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Page" sheetId="1" r:id="rId4"/>
    <sheet state="visible" name="Menu" sheetId="2" r:id="rId5"/>
    <sheet state="visible" name="Footer" sheetId="3" r:id="rId6"/>
    <sheet state="visible" name="Digital Retail" sheetId="4" r:id="rId7"/>
    <sheet state="visible" name="Portals" sheetId="5" r:id="rId8"/>
    <sheet state="visible" name="Loan Origination" sheetId="6" r:id="rId9"/>
    <sheet state="visible" name="Lease Servicing" sheetId="7" r:id="rId10"/>
    <sheet state="visible" name="Wholesale Finance" sheetId="8" r:id="rId11"/>
    <sheet state="visible" name="Mobility Solutions" sheetId="9" r:id="rId12"/>
    <sheet state="visible" name="Transcend Ai Labs" sheetId="10" r:id="rId13"/>
    <sheet state="visible" name="Marketplace" sheetId="11" r:id="rId14"/>
    <sheet state="visible" name="Information Security" sheetId="12" r:id="rId15"/>
    <sheet state="visible" name="Digital Solutions" sheetId="13" r:id="rId16"/>
    <sheet state="visible" name="Ai Ml Services" sheetId="14" r:id="rId17"/>
    <sheet state="visible" name="Generative Ai" sheetId="15" r:id="rId18"/>
    <sheet state="visible" name="Policy Strategy Consulting" sheetId="16" r:id="rId19"/>
    <sheet state="visible" name="Emerging Technologies" sheetId="17" r:id="rId20"/>
    <sheet state="visible" name="Cloud Services" sheetId="18" r:id="rId21"/>
    <sheet state="visible" name="Data Engineering" sheetId="19" r:id="rId22"/>
    <sheet state="visible" name="Automotive Finance" sheetId="20" r:id="rId23"/>
    <sheet state="visible" name="Equipment Finance" sheetId="21" r:id="rId24"/>
    <sheet state="visible" name="Insights" sheetId="22" r:id="rId25"/>
    <sheet state="visible" name="Board of Directors" sheetId="23" r:id="rId26"/>
    <sheet state="visible" name="Management Team" sheetId="24" r:id="rId27"/>
    <sheet state="visible" name="Contact Us" sheetId="25" r:id="rId28"/>
    <sheet state="visible" name="Transcend" sheetId="26" r:id="rId29"/>
    <sheet state="visible" name="Terms of Use" sheetId="27" r:id="rId30"/>
    <sheet state="visible" name="Privacy Policy" sheetId="28" r:id="rId31"/>
    <sheet state="visible" name="Human Rights Policy" sheetId="29" r:id="rId32"/>
    <sheet state="visible" name="Modern Slavery Act" sheetId="30" r:id="rId33"/>
    <sheet state="visible" name="Cookies" sheetId="31" r:id="rId34"/>
    <sheet state="visible" name="Privacy Policy Ccpa" sheetId="32" r:id="rId35"/>
  </sheets>
  <definedNames/>
  <calcPr/>
</workbook>
</file>

<file path=xl/sharedStrings.xml><?xml version="1.0" encoding="utf-8"?>
<sst xmlns="http://schemas.openxmlformats.org/spreadsheetml/2006/main" count="1759" uniqueCount="1070">
  <si>
    <t>English</t>
  </si>
  <si>
    <t>Spanish</t>
  </si>
  <si>
    <t>Revision</t>
  </si>
  <si>
    <t>Additional Notes</t>
  </si>
  <si>
    <t>Shaping Smarter Finance</t>
  </si>
  <si>
    <t>AI-powered ecosystems
that make commerce</t>
  </si>
  <si>
    <t>seamless</t>
  </si>
  <si>
    <t xml:space="preserve">sin fricciones </t>
  </si>
  <si>
    <t>secure</t>
  </si>
  <si>
    <t xml:space="preserve">transparent </t>
  </si>
  <si>
    <t xml:space="preserve">profitable </t>
  </si>
  <si>
    <t>We remove complexity from the asset lifecycle with a composable platform that integrates effortlessly.</t>
  </si>
  <si>
    <t>Get in touch</t>
  </si>
  <si>
    <t>Dealers</t>
  </si>
  <si>
    <t>OEMs</t>
  </si>
  <si>
    <t>Retail Lender</t>
  </si>
  <si>
    <t>Brokers</t>
  </si>
  <si>
    <t>Intermediarios</t>
  </si>
  <si>
    <t>Commericial Lenders</t>
  </si>
  <si>
    <t>The world's leading brands are powered by NETSOL</t>
  </si>
  <si>
    <t>Transcend Platform</t>
  </si>
  <si>
    <t>An AI-driven, composable platform for lenders, OEMs, dealers and fleets uniting digital retail, asset finance, and loan servicing with trust and transparency.</t>
  </si>
  <si>
    <t>Una plataforma componible impulsada por IA para prestamistas, fabricantes de equipos originales, concesionarios y flotas, que une la venta digital, el financiamiento de activos y la gestión de préstamos con confianza y transparencia</t>
  </si>
  <si>
    <t>Transcend</t>
  </si>
  <si>
    <t>Transcend Retail</t>
  </si>
  <si>
    <t xml:space="preserve">Typically, product names should be listed as-is in English. </t>
  </si>
  <si>
    <t>Retail</t>
  </si>
  <si>
    <t>Line 21</t>
  </si>
  <si>
    <t>End-to-end orchestration for OEMs and</t>
  </si>
  <si>
    <t>Orquestación integral de principio a fin para fabricantes de equipos originales y</t>
  </si>
  <si>
    <t>dealers. Modular and scalable to unify</t>
  </si>
  <si>
    <t>concesionarios. Una solución modular y escalable que unifica</t>
  </si>
  <si>
    <t>showroom and online journeys into one</t>
  </si>
  <si>
    <t>los recorridos presenciales y digitales en</t>
  </si>
  <si>
    <t>seamless retail experience.</t>
  </si>
  <si>
    <t>una experiencia minorista perfectamente integrada.</t>
  </si>
  <si>
    <t>Learn more</t>
  </si>
  <si>
    <t>Auto retail redefined. Personalized paths,</t>
  </si>
  <si>
    <t>connected touchpoints and AI-driven precision.</t>
  </si>
  <si>
    <t>Independant dealers</t>
  </si>
  <si>
    <t>Dealer groups</t>
  </si>
  <si>
    <t>Finance</t>
  </si>
  <si>
    <t>AI-driven intelligence for the full contract</t>
  </si>
  <si>
    <t>Inteligencia impulsada por IA para todo el ciclo de vida del contrato, optimizando decisiones, incorporación y operaciones en financiamiento automotriz, de equipo y comercial.</t>
  </si>
  <si>
    <t>lifecycle—boosting decisions, onboarding and</t>
  </si>
  <si>
    <t>Line 36</t>
  </si>
  <si>
    <t>operations across auto, equipment and commercial finance.</t>
  </si>
  <si>
    <t>Smarter lending starts here. AI-powered speed,</t>
  </si>
  <si>
    <t>Un financiamiento más inteligente empieza aquí. Velocidad, flexibilidad y precisión impulsadas por IA.</t>
  </si>
  <si>
    <t>aflexibility and precision.</t>
  </si>
  <si>
    <t>Line 40</t>
  </si>
  <si>
    <t>Auto Finanace</t>
  </si>
  <si>
    <t>Equipment Finance</t>
  </si>
  <si>
    <t>Fleet Finance</t>
  </si>
  <si>
    <t>Specialized Lenders</t>
  </si>
  <si>
    <t>AI Labs</t>
  </si>
  <si>
    <t>Transcend AI</t>
  </si>
  <si>
    <t>Labs</t>
  </si>
  <si>
    <t xml:space="preserve">AI innovation for lending, leasing and retail. Purpose-built tools that </t>
  </si>
  <si>
    <t>accelerate transformation and deliver real-world impact across workflows.</t>
  </si>
  <si>
    <t>Transforming BFSI, finance and leasing</t>
  </si>
  <si>
    <t>with intelligent, industry-specific AI.</t>
  </si>
  <si>
    <t>con inteligencia IA y especifica para cada sector</t>
  </si>
  <si>
    <t>AI Applications</t>
  </si>
  <si>
    <t>AI Services</t>
  </si>
  <si>
    <t>Lab Innovation</t>
  </si>
  <si>
    <t>Marketplace</t>
  </si>
  <si>
    <t>A unified marketplace of modular, API-driven solutions for lending, leasing and retail. Built to simplify and accelerate every workflow.</t>
  </si>
  <si>
    <t>Smarter. Faster. Connected.</t>
  </si>
  <si>
    <t>Your modular marketplace for finance and leasing.</t>
  </si>
  <si>
    <t>Subscription-bbased</t>
  </si>
  <si>
    <t>API-first</t>
  </si>
  <si>
    <t>Componet-based</t>
  </si>
  <si>
    <t>Consultancy</t>
  </si>
  <si>
    <t>Expertise in AI, data, cloud and security—helping BFSI and lenders modernize, scale confidently and build resilient, future-ready operations.</t>
  </si>
  <si>
    <t>Turning complex challenges into transformative opportunities.</t>
  </si>
  <si>
    <t>Convirtiendo desafíos complejos en oportunidades transformadoras.</t>
  </si>
  <si>
    <t>Information Security</t>
  </si>
  <si>
    <t>Data&amp;AI Services</t>
  </si>
  <si>
    <t>Cloud Services</t>
  </si>
  <si>
    <t>Bespoke Development</t>
  </si>
  <si>
    <t>Who we serve</t>
  </si>
  <si>
    <t>Orchestrating commerce, intelligence and innovation across asset finance, retail and advisory ecosystems.</t>
  </si>
  <si>
    <t>Captives &amp; Lenders</t>
  </si>
  <si>
    <t>For captives and lenders, our secure cloud platform streamlines retail and wholesale finance. Originations, servicing and analytics built to support electric, connected and autonomous vehicles.</t>
  </si>
  <si>
    <t>OEMs &amp; Dealers</t>
  </si>
  <si>
    <t>We support OEMs and dealers with a future-ready mobility platform. From digital retail to connected journeys, financing, servicing, and EVs, every channel unified, every touchpoint optimized.</t>
  </si>
  <si>
    <t>Brokers &amp; Aggregators</t>
  </si>
  <si>
    <t>Empower brokers and aggregators with tools to manage multiple lender workflows, automate documentation and accelerate decisions while ensuring audit readiness and operational efficiency.</t>
  </si>
  <si>
    <t xml:space="preserve">Connect with us </t>
  </si>
  <si>
    <t>Technology partner to the world’s leading brands</t>
  </si>
  <si>
    <t>NETSOL Technologies builds AI-powered ecosystems that make finance, commerce, retail and servicing seamless for OEMs, captives, banks, independent finance companies, dealers and fleets, empowering consumers to buy, fund, use, service and renew assets with trust and transparency.</t>
  </si>
  <si>
    <t>With over 40 years of experience and operations in more than 40 countries, we deliver secure, composable platforms that integrate seamlessly with partner systems, simplify the entire asset lifecycle and deliver operational efficiency at scale.</t>
  </si>
  <si>
    <t>200+</t>
  </si>
  <si>
    <t>Customers worldwide</t>
  </si>
  <si>
    <t>300+</t>
  </si>
  <si>
    <t>Successful implementations</t>
  </si>
  <si>
    <t>$500B+</t>
  </si>
  <si>
    <t>Assets managed globally</t>
  </si>
  <si>
    <t>25+</t>
  </si>
  <si>
    <t>Years on NASDAQ: NTWK</t>
  </si>
  <si>
    <t>As business models, channels and technologies evolve, our commitment stays constant: human-centered experiences, responsible AI and measurable outcomes.</t>
  </si>
  <si>
    <t>Beyond software, we work as a strategic partner, offering deep domain expertise, implementation support and process optimization to help our clients modernize with confidence.</t>
  </si>
  <si>
    <t>NINI Partners with NETSOL to power it's new era of auto-retail exprience</t>
  </si>
  <si>
    <t>Do we mean to say MINI instead of "NINI"?</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</si>
  <si>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</si>
  <si>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Mike Peyton</t>
  </si>
  <si>
    <t>Chief motorer and voice-presedent of NINI of the Americas</t>
  </si>
  <si>
    <t>Line100</t>
  </si>
  <si>
    <t>Ikano bank gains compitative edge with NETSOL</t>
  </si>
  <si>
    <t xml:space="preserve">"We are pleased to be working with NETSOL as our strategic platform partner. NETSOL’s smart technology solutions are well-recognized in the finance and leasing space and deploying Transcend Finance (Formerly known as Ascent) enables us to maintain a competitive edge in today’s highly dynamic marketplace. With its powerful configuration engines, Ascent will streamline our processes, enabling faster on-boarding of new partners and speed up new product introductions across markets." </t>
  </si>
  <si>
    <t>Nos complace trabajar con NETSOL como nuestro socio estratégico de plataforma. Las soluciones tecnológicas inteligentes de NETSOL son ampliamente reconocidas en el sector financiero y de arrendamiento, y la implementación de Transcend Finance (anteriormente conocido como Ascent) nos permite mantener una ventaja competitiva en el dinámico mercado actual. Con sus potentes motores de configuración, Ascent optimizará nuestros procesos, facilitando la incorporación más rápida de nuevos socios y acelerando la introducción de nuevos productos en los distintos mercados.</t>
  </si>
  <si>
    <t>Henrik Staulund Chief Commercial Officer at Ikano Bank</t>
  </si>
  <si>
    <t>Haydock Financial finds success with NETSOL's Marketplace</t>
  </si>
  <si>
    <t xml:space="preserve"> "I'd absolutely recommend both Appex Now and NETSOL. The products are brilliant. It works fantastically well. And NETSOL has been responsive to our needs. Quickly made any changes that we required." </t>
  </si>
  <si>
    <t>Mike Boyes</t>
  </si>
  <si>
    <t>Featured reads &amp; insights</t>
  </si>
  <si>
    <t>Stay informed with the latest from NETSOL. Thought leadership, product updates, industry perspectives, and company news, all in one place.</t>
  </si>
  <si>
    <t>Blog</t>
  </si>
  <si>
    <t xml:space="preserve">Beyond the DMS: Why automotive retail’s future is API-first </t>
  </si>
  <si>
    <t xml:space="preserve">NETSOL is at the GlobalData Automotive Europe Conference and Awards 2025  </t>
  </si>
  <si>
    <t xml:space="preserve">NETSOL is at the 25th Annual Auto Finance Summit: Driving the future of auto finance </t>
  </si>
  <si>
    <t xml:space="preserve">NETSOL is at Digital Dealer 2025: Empowering the future of automotive retail </t>
  </si>
  <si>
    <t>AI in BFSI: Revolutionizing risk management</t>
  </si>
  <si>
    <t>The importance of personalization in customer service: Tailoring payment and dispute management for customers</t>
  </si>
  <si>
    <t>The true cost of disconnected systems in Auto Retail</t>
  </si>
  <si>
    <t>Captive of the future: How technology is redefining captive finance operations - Key insights from AFSA’s webinar</t>
  </si>
  <si>
    <t>Fighting fraud in wholesale finance: Leveraging technology for early detection and risk mitigation</t>
  </si>
  <si>
    <t>Let's talk about what's next</t>
  </si>
  <si>
    <t>Rethink what your company can do with the right partner by your side.</t>
  </si>
  <si>
    <t>Subscribe to our newsletter to get the latest news in your inbox.</t>
  </si>
  <si>
    <t>abc@example.com</t>
  </si>
  <si>
    <t xml:space="preserve">Subscribe </t>
  </si>
  <si>
    <t xml:space="preserve">Translate Required  </t>
  </si>
  <si>
    <t>NETSOL</t>
  </si>
  <si>
    <t>Platform</t>
  </si>
  <si>
    <t>Overview</t>
  </si>
  <si>
    <t>Composable AI ecosystem orchestrating global asset and retail finance</t>
  </si>
  <si>
    <t>Digital Retail</t>
  </si>
  <si>
    <t>Redefining auto retail through connected data and intelligent workflows</t>
  </si>
  <si>
    <t>Intermediary Portals</t>
  </si>
  <si>
    <t>Branded digital gateways unifying partners, channels, and customers</t>
  </si>
  <si>
    <t>Originations</t>
  </si>
  <si>
    <t>Experience the future of lease and loan origination with agile, intuitive and cross-channel platforms</t>
  </si>
  <si>
    <t>Servicing</t>
  </si>
  <si>
    <t>Adaptive servicing framework enhancing lifecycle efficiency and insight</t>
  </si>
  <si>
    <t>Wholesale Finance</t>
  </si>
  <si>
    <t>Dynamic finance infrastructure powering resilient dealer ecosystems</t>
  </si>
  <si>
    <t>Mobility Solutions</t>
  </si>
  <si>
    <t>Evolving mobility with modular, data-driven digital frameworks</t>
  </si>
  <si>
    <t>Applied inteligance accelerating interprice transformation and trust</t>
  </si>
  <si>
    <t>marketplace</t>
  </si>
  <si>
    <t>Lifecycle consultancy for BFSI that compounds ROI</t>
  </si>
  <si>
    <t>Real-time defense with audit-ready compliance</t>
  </si>
  <si>
    <t>Digital Solutions</t>
  </si>
  <si>
    <t>AI, cloud, automation built into daily ops</t>
  </si>
  <si>
    <t>AI, ML &amp; Data Analytics</t>
  </si>
  <si>
    <t>Predict, automate, and decide faster with AI and ML</t>
  </si>
  <si>
    <t>Generative AI</t>
  </si>
  <si>
    <t>Create, adapt, and personalize at enterprise speed</t>
  </si>
  <si>
    <t>Policy &amp; Strategy</t>
  </si>
  <si>
    <t>Emerging Technologies</t>
  </si>
  <si>
    <t>Prove and scale what's next, safely</t>
  </si>
  <si>
    <t>Cloud native on multicloud built for scale and uptime</t>
  </si>
  <si>
    <t>Data Engineering</t>
  </si>
  <si>
    <t>Reliable data layers that power AI and decisions</t>
  </si>
  <si>
    <t>Solutions</t>
  </si>
  <si>
    <t>equipment finance</t>
  </si>
  <si>
    <t>Automotive Finance</t>
  </si>
  <si>
    <t>Intelligent ecosystem redefining automotive finance</t>
  </si>
  <si>
    <t>AI-powered platform built for modern equipment finance</t>
  </si>
  <si>
    <t>Insights</t>
  </si>
  <si>
    <t>About Us</t>
  </si>
  <si>
    <t>Technology, trust, and domain expertise in motion</t>
  </si>
  <si>
    <t>Board Of Directors</t>
  </si>
  <si>
    <t>Stewards of vision, integrity, and long-term growth</t>
  </si>
  <si>
    <t>Management Team</t>
  </si>
  <si>
    <t>Pioneering the architecture of modern finance</t>
  </si>
  <si>
    <t>News</t>
  </si>
  <si>
    <t>Innovation, progress, and insight from across NETSOL</t>
  </si>
  <si>
    <t>Investors</t>
  </si>
  <si>
    <t>Driving sustainable value through strategic growth</t>
  </si>
  <si>
    <t>Careers</t>
  </si>
  <si>
    <t>Join the people powering the future of asset finance &amp; leasing</t>
  </si>
  <si>
    <t>Contact Us</t>
  </si>
  <si>
    <t>Why NETSOL</t>
  </si>
  <si>
    <t>Company Information</t>
  </si>
  <si>
    <t>Stock Data</t>
  </si>
  <si>
    <t>SEC Filings</t>
  </si>
  <si>
    <t>Products</t>
  </si>
  <si>
    <t>Calculation Engine</t>
  </si>
  <si>
    <t>Document Generation</t>
  </si>
  <si>
    <t>API Library</t>
  </si>
  <si>
    <t>Loan Origination System</t>
  </si>
  <si>
    <t>Customer Care Portal</t>
  </si>
  <si>
    <t>Tax Calculation Engine</t>
  </si>
  <si>
    <t>Credit Decisioning Engine</t>
  </si>
  <si>
    <t>Case Studies</t>
  </si>
  <si>
    <t>Guides</t>
  </si>
  <si>
    <t>Blogs</t>
  </si>
  <si>
    <t>Events</t>
  </si>
  <si>
    <t>Corporate Headquarters</t>
  </si>
  <si>
    <t>Address: 16000 Ventura Blvd,</t>
  </si>
  <si>
    <t>Suite 770 Encino, CA 91436, USA</t>
  </si>
  <si>
    <t>Phone: +1 818 222 9195</t>
  </si>
  <si>
    <t>Connect With Us</t>
  </si>
  <si>
    <t>© 2025 NETSOL Technologies. All Rights Reserved.</t>
  </si>
  <si>
    <t>Terms of Use</t>
  </si>
  <si>
    <t>Privacy Policy</t>
  </si>
  <si>
    <t>Human Rights Policy</t>
  </si>
  <si>
    <t>Modern Slavery Act</t>
  </si>
  <si>
    <t>The digital retail standard for the world’s leading auto brands</t>
  </si>
  <si>
    <t>Drive revenue with omnichannel transformation and AI-powered precision.</t>
  </si>
  <si>
    <t>Our customers experience</t>
  </si>
  <si>
    <t>Lead to sale</t>
  </si>
  <si>
    <t>conversion rate</t>
  </si>
  <si>
    <t>3 Hours</t>
  </si>
  <si>
    <t>Saved per deal</t>
  </si>
  <si>
    <t>2.5x</t>
  </si>
  <si>
    <t>Increase in</t>
  </si>
  <si>
    <t>digital retail leads</t>
  </si>
  <si>
    <t>Digital retail for the changemakers.</t>
  </si>
  <si>
    <t>OEM-led digital retail transformation is what we do. Whether you need an end-to-end platform or want to optimize an existing solution, Transcend Retail equips you and your dealer network with the technology to execute and scale. Our platform powers real-time insights, streamlines operations, and ensures a connected, consistent retail experience without disrupting dealer operations or existing workflows.</t>
  </si>
  <si>
    <t>Dealer Groups</t>
  </si>
  <si>
    <t>Transcend Retail empowers dealer groups to run smarter, more profitable operations with seamless efficiency. Its modular architecture integrates effortlessly with DMS, CRMs, and third party lender systems, eliminating silos and streamlining workflows. With flexibility for multi-brand and multi-lender environments, it keeps operations smooth, while advanced analytics and dashboards deliver real-time inventory and profitability insights to drive growth without disruption.</t>
  </si>
  <si>
    <t>Dealership</t>
  </si>
  <si>
    <t>Sell more cars, close deals faster, and maximize every profit opportunity. Transcend Retail gives dealers the tools to convert more leads, streamline workflows, and boost F&amp;I revenue. Intuitive customer tools like transparent pricing, AI-powered trade-in offers, and flexible financing create a hassle-free buying experience that drives higher conversions and enhances Customer Satisfaction Index (CSI).</t>
  </si>
  <si>
    <t>Innovation that moves</t>
  </si>
  <si>
    <t>auto retail</t>
  </si>
  <si>
    <t>Turn leads into</t>
  </si>
  <si>
    <t>profit</t>
  </si>
  <si>
    <t>AI-powered tools convert more leads into buyers, while advanced desking tools streamline processes to boost per-unit F&amp;I profitability.</t>
  </si>
  <si>
    <t>Personalized customer</t>
  </si>
  <si>
    <t>journeys</t>
  </si>
  <si>
    <t>Offer personalized, transparent, and hassle-free retail experiences that build trust and loyalty, whether online, in-store or across both.</t>
  </si>
  <si>
    <t>Optimize operations without</t>
  </si>
  <si>
    <t>disruption</t>
  </si>
  <si>
    <t>Seamlessly integrate with legacy systems using tailored, modular solutions that minimize disruption and accelerate time-to-value.</t>
  </si>
  <si>
    <t>Create experiences that</t>
  </si>
  <si>
    <t>resonate</t>
  </si>
  <si>
    <t>Deliver seamless, intuitive journeys optimized for Gen Z and Millennial buyers, ensuring fast, personalized experiences that meet modern expectations.</t>
  </si>
  <si>
    <t>Transform complexity</t>
  </si>
  <si>
    <t>into clarity</t>
  </si>
  <si>
    <t>Centralized dashboards consolidate performance data, providing real-time insights that empower smarter, faster decisions across all channels.</t>
  </si>
  <si>
    <t>Scale smart without breaking the bank</t>
  </si>
  <si>
    <t>Invest in modular solutions that minimize unnecessary expenses while growing with your business to maximize ROI and adaptability.</t>
  </si>
  <si>
    <t>The buying journey</t>
  </si>
  <si>
    <t>Learn how Transcend Retail simplifies each step with intuitive tools and features.</t>
  </si>
  <si>
    <t>Dealer</t>
  </si>
  <si>
    <t>Customer</t>
  </si>
  <si>
    <t>Choose vehicle</t>
  </si>
  <si>
    <t>Empower customers to find the perfect car effortlessly.</t>
  </si>
  <si>
    <t>Pricing &amp; trade-in</t>
  </si>
  <si>
    <t>Provide clear, upfront pricing &amp; reliable trade-in estimates.</t>
  </si>
  <si>
    <t>Credit application</t>
  </si>
  <si>
    <t>Instant credit decisions to immediately inform your customers' buying power.</t>
  </si>
  <si>
    <t>Finalize &amp; sign</t>
  </si>
  <si>
    <t>Secure digital signing &amp; seamless payment processing.</t>
  </si>
  <si>
    <t>Delivery scheduling</t>
  </si>
  <si>
    <t>Simplified scheduling for test drives and vehicle deliveries.</t>
  </si>
  <si>
    <t>Your partner for innovation and excellence</t>
  </si>
  <si>
    <t>Proven expertise</t>
  </si>
  <si>
    <t xml:space="preserve">NETSOL has extensive experience transforming complex auto retail and finance processes. Our solutions are tailored to meet unique your requirements, ensuring a seamless partnership to achieve your goals. </t>
  </si>
  <si>
    <t>Future-ready solutions</t>
  </si>
  <si>
    <t>NETSOL’s innovative, API-driven and headless architecture ensures scalability, and easy integration. Our products are designed to transform online and offline retail experiences, delivering best-in-class solutions backed by data-driven insights.</t>
  </si>
  <si>
    <t>Exceptional customer experience</t>
  </si>
  <si>
    <t xml:space="preserve">Our intuitive UI/UX ensures a superior omnichannel retail customer experience. With modular and flexible controls, NETSOL enables effortless customization of workflows and interfaces, prioritizing customer satisfaction and operational efficiency. </t>
  </si>
  <si>
    <t>What our clients say about us</t>
  </si>
  <si>
    <t>Stefan Christman</t>
  </si>
  <si>
    <t>General Manager, Sales &amp; Marketing, MINI Financial Servicesa</t>
  </si>
  <si>
    <t>Partnering with MINI USA and Transcend Retail to bring customer-centric solutions and ease of doing business with us is paramount. MINI Anywhere gives us the validation we need to sell cars online while also maintaining strong credit &amp; access to the most attractive interest rates for our customers and prospects.</t>
  </si>
  <si>
    <t>Mini Financial Services</t>
  </si>
  <si>
    <t>Download the Case Study</t>
  </si>
  <si>
    <t>Related blogs</t>
  </si>
  <si>
    <t>Podcast</t>
  </si>
  <si>
    <t>What's next for automotive retail? | Transcend AI Labs</t>
  </si>
  <si>
    <t>watch now</t>
  </si>
  <si>
    <t>Case Study</t>
  </si>
  <si>
    <t>A Deep Dive into the Digital Auto Retail Success of MINI</t>
  </si>
  <si>
    <t>Experience NETSOL's digital retail tools</t>
  </si>
  <si>
    <t>Discover how NETSOL can take your business forward with our expertise and decades of experience in the auto and equipment industry.</t>
  </si>
  <si>
    <t>Bespoke portals to reinforce brand identity</t>
  </si>
  <si>
    <t>Provide customers with a unified and self-contained purchasing experience.</t>
  </si>
  <si>
    <t>Sustain and strengthen brand identity while enhancing satisfaction</t>
  </si>
  <si>
    <t>Our bespoke, branded internal portals can be channelled into an intuitive customer-facing gateway that belies the complexity of the technology that supports it. Potential customers will be guided through the retail process through an intuitive and brand-focused path. This reinforces your specific priorities and goals, while also providing the customer with a seamless and convenient purchasing experience.</t>
  </si>
  <si>
    <t>Modern convenience</t>
  </si>
  <si>
    <t>A streamlined purchasing process, prioritizing customer satisfaction, while meeting and enhancing your firm's key goals and brand identity.</t>
  </si>
  <si>
    <t>Effortless system integration</t>
  </si>
  <si>
    <t>Provides all the utility and complexity of a third-party specialized system, despite being seamlessly integrated into your online process.</t>
  </si>
  <si>
    <t>Connected infrastructure</t>
  </si>
  <si>
    <t>Designed in collaboration with our clients and optimized for you. Achieve flawless efficiency with seamless DMS and CRM systems.</t>
  </si>
  <si>
    <t>Customer-centricity</t>
  </si>
  <si>
    <t>Enhance the consumer experience with intuitive and simple portals that are designed to hide the complex technology that drives it.</t>
  </si>
  <si>
    <t>350+</t>
  </si>
  <si>
    <t>30+</t>
  </si>
  <si>
    <t>Countries served</t>
  </si>
  <si>
    <t>End-to-end control and built-in intelligence</t>
  </si>
  <si>
    <t>Broker portals</t>
  </si>
  <si>
    <t>Efficiency and effectiveness are paramount for any broker. Managing disparate systems and processes can be cumbersome and time consuming, often leading to inefficiencies and missed opportunities. NETSOL offers a solution to these challenges by consolidating disparate processes into a single unified interface, revolutionizing the way your brokerage operates</t>
  </si>
  <si>
    <t>Lender portals</t>
  </si>
  <si>
    <t>NETSOL's lender-specific portals are designed to transform the lending process by enhancing risk management and driving profitability. Our advanced tools not only streamline loan origination, but also facilitate seamless communication and collaboration with the lending ecosystem. Empower your lending process with intuitive and efficient lender portals designed for seamless user experience.</t>
  </si>
  <si>
    <t>Dealer portals</t>
  </si>
  <si>
    <t>In the competitive automotive industry, dealers need efficient and comprehensive solutions to manage their operations effectively. NETSOL’s intermediary portals serve as digital command centers, providing dealers with a wide array of tools, resources and services to optimize every aspect of their business, from inventory management to sales and marketing.</t>
  </si>
  <si>
    <t xml:space="preserve">"I'd absolutely recommend both Appex Now and NETSOL. The products are brilliant. It works fantastically well. And NETSOL has been responsive to our needs. Quickly made any changes that we required." </t>
  </si>
  <si>
    <t>Ready to navigate through our intermediary portals?</t>
  </si>
  <si>
    <t>Learn more about NETSOL’s expertly designed, customizable portals and experience their benefits. Venture into our intermediary portals today.</t>
  </si>
  <si>
    <t>Loan Origination</t>
  </si>
  <si>
    <t>An AI-powered loan origination experience</t>
  </si>
  <si>
    <t>Experience the future of lease and loan origination with highly agile, easy-to-use, cross-channel platforms.</t>
  </si>
  <si>
    <t>Positioning lenders to modernize their lending practices with AI</t>
  </si>
  <si>
    <t>What sets our lease and loan origination software apart is our commitment to user experience. From application intake to loan approval, every interaction is designed to be seamless and straightforward, allowing you to focus on what matters most – serving your customers. Streamline the entire loan origination process, from submission to approval, with advanced features of our credit origination software such as real-time, AI-driven decisioning, automated deal flows and more. With cross-platform compatibility, sales teams can provide quick quotes, manage applications on the move, and significantly reduce decision-making time.</t>
  </si>
  <si>
    <t>AI-powered decisions</t>
  </si>
  <si>
    <t>From credit scoring to risk assessment, our loan origination software empowers you to make informed decisions quickly and accurately.</t>
  </si>
  <si>
    <t>Customer self-service</t>
  </si>
  <si>
    <t>Our self-service loan origination software allows customers to go through the complete buying and financing process anywhere at any time.</t>
  </si>
  <si>
    <t>Unlocked insights</t>
  </si>
  <si>
    <t>With advanced analytics and reporting capabilities, you can gain valuable insights into your lending portfolio and identify opportunities for improvement and growth.</t>
  </si>
  <si>
    <t>Enhanced experience</t>
  </si>
  <si>
    <t>With our user-friendly interface and intuitive design, borrowers can initiate and complete applications with ease, leading to higher satisfaction and retention rates.</t>
  </si>
  <si>
    <t>Credit application management</t>
  </si>
  <si>
    <t>Change business rules, add approval levels and adjust reporting requirements according to your needs. Leverage the power of the our credit origination software’s flexibility to handle any level of workflow, from small user groups with limited requirements to large enterprises with complex hierarchies and approval cycles.</t>
  </si>
  <si>
    <t>Digital retail</t>
  </si>
  <si>
    <t>Our turn-key platform for dealers looking for state-of-the-art equipment and auto loan origination software, which helps them make a move into the digital era, addressing a range of customer segments with evolving needs by offering them a seamless, omni-channel, end-to-end asset buying and usage experience.</t>
  </si>
  <si>
    <t>Fleet management</t>
  </si>
  <si>
    <t>Our technology revolutionizes loan origination for fleet management. AI-powered credit assessments, real-time data verification and seamless integration with financial systems ensures fleet managers can secure financing more quickly and efficiently, facilitating better resource allocation and fleet expansion.</t>
  </si>
  <si>
    <t>Experience AI-powered credit origination software</t>
  </si>
  <si>
    <t>Our AI-driven loan and lease origination software enables lenders to better anticipate market trends and consumer behavior, unlocking new opportunities in lending.</t>
  </si>
  <si>
    <t>Next-gen loan &amp; lease servicing software</t>
  </si>
  <si>
    <t>Engineered for precision and compliance, NETSOL’s AI-enabled platform delivers clarity and measurable customer impact across loan and lease operations.</t>
  </si>
  <si>
    <t>Effortlessly control your loan and lease portfolio with AI</t>
  </si>
  <si>
    <t>Simplify the oversight and administration of your loan and lease portfolio via our lease contract management software. Attain real-time insights into portfolio performance, delinquencies and losses, enabling proactive portfolio management and strategic decision-making. Our loan and lease management software is highly configurable, allowing you to tailor workflows, user interfaces and features to suit your specific requirements and preferences.</t>
  </si>
  <si>
    <t>Deeper insights</t>
  </si>
  <si>
    <t>Track contract performance and gain insights into your contract portfolio with Transcend loan servicing software’s advanced reporting and analytics capabilities.</t>
  </si>
  <si>
    <t>360-degree view</t>
  </si>
  <si>
    <t>Gain a comprehensive view of customer accounts, including payment history, balances, and transaction details, all in real time.</t>
  </si>
  <si>
    <t>Stringent mechanisms</t>
  </si>
  <si>
    <t>Benefit from robust security measures, transparency and compliance with NETSOL’s unrivalled technology for lease servicing solutions.</t>
  </si>
  <si>
    <t>Risk mitigation</t>
  </si>
  <si>
    <t>Utilize risk assessment features to identify potential issues early, allowing for proactive management and decision-making.</t>
  </si>
  <si>
    <t>Booking and activation</t>
  </si>
  <si>
    <t>Transcend Finance’s loan servicing software is designed to streamline processes and enhance efficiency, we provide seamless automation for booking and activation. From simple loan agreements to intricate lease structures, our customizable workflows adapt to your specific needs, ensuring precision and compliance at every step.</t>
  </si>
  <si>
    <t>Accounts receivables</t>
  </si>
  <si>
    <t>Accounts receivables Refine the entire process - from invoice generation to payment tracking, ensuring accuracy and efficiency at every stage. Optimize operations, reduce outstanding balances and improve cash flow management with our lease servicing solution’s secure and scalable technology that provides unparalleled control and visibility.</t>
  </si>
  <si>
    <t>Collections</t>
  </si>
  <si>
    <t>We empower your teams to navigate the complexities of collections with ease, automating key tasks and optimizing workflows for maximum effectiveness. Transform your collections operations, improve recovery rates and ensure regulatory compliance with our innovative technology. The cross-platform compatibility feature enables self-service functionalities for your field teams such as schedule management, assignment handling, allocation, task work queues, and geo-location, ensuring your team stays productive anywhere, anytime.</t>
  </si>
  <si>
    <t>Remarketing</t>
  </si>
  <si>
    <t>We enable financial institutions to maximize asset value and minimize losses. Leveraging advanced analytics and AI-driven algorithms, we identify optimal remarketing opportunities, enabling targeted outreach to potential buyers or lessees. Harness cutting-edge solutions for optimized remarketing.</t>
  </si>
  <si>
    <t>Contract management</t>
  </si>
  <si>
    <t>Transcend Finance’s lease contract management software manages detailed credit contracts throughout their lifecycle—from pre-activation and activation through customer management, asset financial management, billing and collections, finance and accounting, restructuring, and maturity.</t>
  </si>
  <si>
    <t>Customer service</t>
  </si>
  <si>
    <t>Empower your customers with self-service solutions and on-the-go convenience. Our cross-platform self-service solution offers a secure, 24/7 portal for viewing contract details, reducing inbound queries, and speeding up repayments. Leverage rules-based promotions, smart dashboards, and direct in-app notifications to engage customers, boost loyalty, and unlock new revenue opportunities.</t>
  </si>
  <si>
    <t>Ready to revolutionize your loan and lease servicing?</t>
  </si>
  <si>
    <t>Explore our complete platform or its individual solutions to futureproof your business and gain a distinct competitive edge in today's ever-evolving landscape.</t>
  </si>
  <si>
    <t>Master wholesale finance operations with AI</t>
  </si>
  <si>
    <t>Gain a competitive edge by automating your wholesale finance and floor planning operations effortlessly.</t>
  </si>
  <si>
    <t>Power your supply chain for wholesale finance</t>
  </si>
  <si>
    <t>and floor planning</t>
  </si>
  <si>
    <t>Gain access to top-tier wholesale finance software and provide your dealers, distributors and auditors with unmatched user experiences. Streamline processes, manage risk, reduce costs, increase dealer engagement and improve customer satisfaction in wholesale financing. Intuitive designs and custom workflow automation accelerate processes by eliminating bottlenecks. Users can navigate the platform easily, enhancing productivity and streamlining operations.</t>
  </si>
  <si>
    <t>Advanced floor planning</t>
  </si>
  <si>
    <t>Utilize powerful floor planning tools for complete contract lifecycle management, resulting in real-time business intelligence and enhanced collaboration.</t>
  </si>
  <si>
    <t>Customizable solutions</t>
  </si>
  <si>
    <t>Our system is highly flexible – designed with configuration and not code in mind, enabling lenders to tailor loans for specific clients and risk factors.</t>
  </si>
  <si>
    <t>Seamless compliance</t>
  </si>
  <si>
    <t>We offer an unparalleled experience with easy customization to meet tax and accounting requirements in any jurisdiction, fully adhering to all compliance requirements.</t>
  </si>
  <si>
    <t>Versatile financing</t>
  </si>
  <si>
    <t>Our wholesale financing solutions support both asset and non-asset-based financing. Further, new products can be easily designed and setup in the system.</t>
  </si>
  <si>
    <t>Distributor OEM and dealer interface</t>
  </si>
  <si>
    <t>Empower your business partners with a portal that delivers more visibility and control over their inventories – with minimal effort. OEMS and dealers can view their use of floorplan, stock status and financial conditions, while entering settlement requests or relocating assets. Extend the same capabilities through cross-platform compatibility, empowering dealers to view floorplan usage, manage settlements or relocations, and track financial conditions on the go.</t>
  </si>
  <si>
    <t>Credit and risk management</t>
  </si>
  <si>
    <t>Give dealers the flexibility to request a credit limit for different asset categories, as well as monitor variations and reviews of defined credit limits. Allow temporary increases in credit limits based on dealer-driven campaigns – with normal limits automatically resuming when temporary periods end.</t>
  </si>
  <si>
    <t>Loan processing</t>
  </si>
  <si>
    <t>Manage the lifecycle of any transaction, from the capture of asset information, credit and contract booking details. Create operating models around your specific back-office needs, for repayments, interest charging, asset tax and service charges – and apply them when credit is approved.</t>
  </si>
  <si>
    <t>Disbursement management</t>
  </si>
  <si>
    <t>Fully streamline the disbursement process, offering efficiency, accuracy and security at every step. Eliminate manual tasks and human errors as our advanced wholesale solutions automate disbursement workflows, ensuring timely payments and optimal fund allocation.</t>
  </si>
  <si>
    <t>Final settlement</t>
  </si>
  <si>
    <t>Optimize your final settlement process with our advanced wholesale finance software, designed to enhance efficiency and accuracy in every transaction. Our solution automates reconciliation, processes settlements in real-time and integrates seamlessly with your existing systems.</t>
  </si>
  <si>
    <t>Inventory stock auditing</t>
  </si>
  <si>
    <t>Efficiently manage and track inventory with unparalleled accuracy and speed. With zero manual processes and real-time insights, automate auditing procedures, detect discrepancies instantly and optimize stock management for your wholesale inventory financing. Our mobile app brings the same level of accuracy to your workforce’s fingertips, enabling on-the-spot scheduling, asset tracking, picture verification, and swift submission of audit results.</t>
  </si>
  <si>
    <t>Ready to optimize your wholesale financing operations?</t>
  </si>
  <si>
    <t>Tailor financing options to meet the diverse needs of dealers and borrowers. Whether it's floorplan financing, revolving credit lines or term loans, our technology provides flexible financing solutions to accommodate various business requirements.</t>
  </si>
  <si>
    <t>A user-centric retail experience</t>
  </si>
  <si>
    <t>An omni-channel purchasing journey that Transcends the limitations of the traditional customer experience.</t>
  </si>
  <si>
    <t>Transforming mobility with smart digital solutions</t>
  </si>
  <si>
    <t>Benefit from smart solutions for modern mobility. Our products apply to every aspect of the sales and leasing journey and aim to Transcend the limitations of traditional mobility solutions. Our library of tools are agile, modular and applicable to businesses of any size. Most importantly, they are scalable to meet your needs in perpetuity. Our mobility solutions are designed to enhance your capabilities and can be catered to your specific needs.</t>
  </si>
  <si>
    <t>Effortless compliance</t>
  </si>
  <si>
    <t>Achieve effortless regulation compliance with our streamlined, intuitive solutions.</t>
  </si>
  <si>
    <t>Accurate taxing</t>
  </si>
  <si>
    <t>Instantly and accurately perform complex and essential tax and credit calculations.</t>
  </si>
  <si>
    <t>Automate accounting</t>
  </si>
  <si>
    <t>Automate complex accounting tasks and enhance customer care.</t>
  </si>
  <si>
    <t>Fraud protection</t>
  </si>
  <si>
    <t>Utilize our seamlessly implemented fraud protection and credit decisioning.</t>
  </si>
  <si>
    <t>Microleasing</t>
  </si>
  <si>
    <t>Embrace agility and affordability with our microleasing options, offering agile, convenient and cost-effective options for vehicle access. NETSOL’s microleasing offerings redefine vehicle access by providing flexible, affordable and sustainable solutions.</t>
  </si>
  <si>
    <t>Fractional ownership</t>
  </si>
  <si>
    <t>Our fractional ownership solutions revolutionize the mobility industry by offering maximum flexibility and promoting sustainability. Embrace the future of mobility with NETSOL's innovative solutions and experience the freedom and benefits of fractional ownership.</t>
  </si>
  <si>
    <t>AutoNation Mobility unlocks invovation and rapid market entry with NETSOL</t>
  </si>
  <si>
    <t xml:space="preserve">"Our strategic alliance with NETSOL aligns perfectly with our goals for innovation and market entry. The swift launch of AutoNation Mobility, a mere six months into our collaboration, highlights our shared commitment to continual innovation and prioritizing customer needs." </t>
  </si>
  <si>
    <t>Ivan Mihov</t>
  </si>
  <si>
    <t>Vice President of Mobility at AutoNation Mobility</t>
  </si>
  <si>
    <t>Ready to Transcend?</t>
  </si>
  <si>
    <t>Transcend AI Labs</t>
  </si>
  <si>
    <t>Pioneering AI-powered business transformation</t>
  </si>
  <si>
    <t>Shaping practical, human-centric AI to drive smarter business outcomes.</t>
  </si>
  <si>
    <t>Transforming complex AI into clear business value</t>
  </si>
  <si>
    <t>Transcend AI Labs is the dedicated AI innovation hub by NETSOL Technologies that revolutionizes how businesses harness the power of artificial intelligence. Leveraging cutting-edge models, human-centric design, and deep industry expertise, Transcend AI Labs enables enterprises to drive smarter decision-making, reduce costs, and unlock new revenue streams. What sets Transcend AI Labs apart is our commitment to making AI simple, practical, and impactful. From model selection to deployment, every step is designed to be seamless and intuitive, allowing you to focus on what matters most, making smarter, faster decisions.</t>
  </si>
  <si>
    <t>Product enhancement</t>
  </si>
  <si>
    <t>We use AI to constantly evolve the Transcend platform, improving features, performance, and functionality to ensure you stay ahead in a rapidly changing business landscape.</t>
  </si>
  <si>
    <t>Platform agnostic</t>
  </si>
  <si>
    <t>Our solutions work seamlessly across any platform or tech stack, giving you the flexibility to integrate without limitations.</t>
  </si>
  <si>
    <t>User-centric design</t>
  </si>
  <si>
    <t>Every solution is built with intuitive interfaces and a focus on user experience, ensuring easy adoption and meaningful engagement.</t>
  </si>
  <si>
    <t>Human augmentation</t>
  </si>
  <si>
    <t>We don’t replace human expertise, we enhance it with AI, empowering people to make smarter, faster, and more confident decisions.</t>
  </si>
  <si>
    <t>Partner with Transcend AI Labs for AI initiatives that deliver real value</t>
  </si>
  <si>
    <t>Tailored industry expertise</t>
  </si>
  <si>
    <t>We specialize in industry-specific AI implementations, tailoring to your use cases, choosing the best AI services, from content generation to predictive analytics – all optimized for your unique business environment and catering to your industry.</t>
  </si>
  <si>
    <t>Platform independence</t>
  </si>
  <si>
    <t>Freedom to innovate on your terms. Run solutions on your choice of infrastructure, be it on-premises, any cloud platform, or even an open-source stack. No vendor lock-in.</t>
  </si>
  <si>
    <t>Data control for enterprises</t>
  </si>
  <si>
    <t>Your data, your rules. Deploy AI platform on-premises or in your private cloud for full control over data and compliance, satisfying security and governance needs every step of the way.</t>
  </si>
  <si>
    <t>Human-in-the-loop accuracy</t>
  </si>
  <si>
    <t>Achieve AI-driven speed with the precision of human oversight at the most critical decision points, ensuring accountability and accuracy.</t>
  </si>
  <si>
    <t>Plug-and-play integration</t>
  </si>
  <si>
    <t>Get started quickly with minimal disruption. Integrate our AI modules with your existing systems and software, so you can plug into AI capabilities and see immediate impact without overhauling your IT landscape.</t>
  </si>
  <si>
    <t>Scalability &amp; future-readiness</t>
  </si>
  <si>
    <t>Our solutions scale with your business growth. As your needs evolve, Transcend AI Labs scales your AI implementations, ensuring efficiency, accuracy, and seamlessness in your operations and innovations.</t>
  </si>
  <si>
    <t>Commitment to security &amp; compliance</t>
  </si>
  <si>
    <t>Our AI services meet the highest standards of security and compliance while protecting your data and empowering innovation – backed by decades of global portfolio in diversely and highly regulated sectors like finance, banking and healthcare.</t>
  </si>
  <si>
    <t>Three pillars of AI at Transcend AI Labs</t>
  </si>
  <si>
    <t>AI-powered applications</t>
  </si>
  <si>
    <t>Comprehensive suite of AI Applications designed to automate and optimize your business processes. From intelligent document processing to predictive analytics, our applications deliver measurable results.</t>
  </si>
  <si>
    <t>Deep reasoning research</t>
  </si>
  <si>
    <t>Advanced AI-driven insights to uncover complex patterns and enhance decision-making.</t>
  </si>
  <si>
    <t>Intelligent document processing</t>
  </si>
  <si>
    <t>Automating document analysis, extraction, &amp; classification to streamline operations and improve accuracy.</t>
  </si>
  <si>
    <t>Flex AI</t>
  </si>
  <si>
    <t>A flexible AI powered finance structure recommender powered by generative AI and Flex.</t>
  </si>
  <si>
    <t>Rule forge</t>
  </si>
  <si>
    <t>AI-powered rules engine to automate compliance, decision-making, and operational workflows.</t>
  </si>
  <si>
    <t>Chat</t>
  </si>
  <si>
    <t>Conversational AI that delivers real-time, intelligent customer support and enhances engagement.</t>
  </si>
  <si>
    <t>Data-driven decisions</t>
  </si>
  <si>
    <t>Machine learning models for predictive analysis and forecasting.</t>
  </si>
  <si>
    <t>AI services</t>
  </si>
  <si>
    <t>Expert consulting and implementation services to help you leverage AI effectively. Our team provides strategic guidance, custom development, and ongoing support for your AI initiatives.</t>
  </si>
  <si>
    <t>AI strategy consulting</t>
  </si>
  <si>
    <t>Strategic planning and roadmap development to align AI initiatives with your business objectives and market opportunities.</t>
  </si>
  <si>
    <t>Custom AI development</t>
  </si>
  <si>
    <t>Bespoke AI solution development tailored to your specific industry requirements and business challenges.</t>
  </si>
  <si>
    <t>AI integration services</t>
  </si>
  <si>
    <t>Seamless integration of AI capabilities into your existing systems and workflows without disrupting operations.</t>
  </si>
  <si>
    <t>Training &amp; support</t>
  </si>
  <si>
    <t>Comprehensive training programs and ongoing support to ensure successful AI adoption across your organization.</t>
  </si>
  <si>
    <t>Lab innovations</t>
  </si>
  <si>
    <t>Latest breakthroughs from our AI research lab including advanced machine learning models, neural networks, and experimental technologies that push the boundaries of what's possible.</t>
  </si>
  <si>
    <t>Advanced Neural Networks</t>
  </si>
  <si>
    <t>Next-generation neural network architectures designed for complex pattern recognition and decision-making processes.</t>
  </si>
  <si>
    <t>Quantum AI research</t>
  </si>
  <si>
    <t>Pioneering research in quantum computing applications for AI, exploring unprecedented computational possibilities.</t>
  </si>
  <si>
    <t>Federated learning</t>
  </si>
  <si>
    <t>Innovative approaches to distributed machine learning that preserve privacy while enabling collaborative AI development.</t>
  </si>
  <si>
    <t>Explainable AI</t>
  </si>
  <si>
    <t>Transparent AI systems that provide clear insights into decision-making processes for better trust and compliance.</t>
  </si>
  <si>
    <t>Transcend Marketplace</t>
  </si>
  <si>
    <t>Connect, configure &amp; innovate</t>
  </si>
  <si>
    <t>From originations to servicing, experience the most intuitive finance and leasing products in asset finance.</t>
  </si>
  <si>
    <t>Flex</t>
  </si>
  <si>
    <t>Swift and precise credit contract calculations</t>
  </si>
  <si>
    <t>Dock</t>
  </si>
  <si>
    <t>Central hub for effortless and rapid document generation</t>
  </si>
  <si>
    <t>Index</t>
  </si>
  <si>
    <t>Master data management simplified</t>
  </si>
  <si>
    <t>Hubex</t>
  </si>
  <si>
    <t>Making Multiple Integrations as Easy as One</t>
  </si>
  <si>
    <t>Lane</t>
  </si>
  <si>
    <t>All-in-one Loan Origination Platform</t>
  </si>
  <si>
    <t>Drift</t>
  </si>
  <si>
    <t>Omni-retail customer journey to elevate your direct-to-consumer (D2C) strategy</t>
  </si>
  <si>
    <t>Link</t>
  </si>
  <si>
    <t>Empowering brokers, lenders, and dealers with streamlined portals.</t>
  </si>
  <si>
    <t>Cura</t>
  </si>
  <si>
    <t>Single Platform to Support Customers Throughout Contract Lifecycle</t>
  </si>
  <si>
    <t>T-Rate</t>
  </si>
  <si>
    <t>Real-Time Universal Tax Calculation</t>
  </si>
  <si>
    <t>Transentry</t>
  </si>
  <si>
    <t>Effortless Accounting Automation at Your Fingertips</t>
  </si>
  <si>
    <t>TermOut</t>
  </si>
  <si>
    <t>Shape the Contract Future, Today</t>
  </si>
  <si>
    <t>EarlyOut</t>
  </si>
  <si>
    <t>Streamlined Early Settlement and Accurate Payoff Processing</t>
  </si>
  <si>
    <t>Modifi</t>
  </si>
  <si>
    <t>Simple and Seamless Contract Modification</t>
  </si>
  <si>
    <t>Check</t>
  </si>
  <si>
    <t>Automated Credit Decisions for Faster and Smarter Lending</t>
  </si>
  <si>
    <t>Recieve Now</t>
  </si>
  <si>
    <t>Efficient Invoice &amp; Receivables Management</t>
  </si>
  <si>
    <t>Advanced information security services</t>
  </si>
  <si>
    <t>Securing your digital world with AI-powered threat-ready technology.</t>
  </si>
  <si>
    <t>Fortify your business against digital threats with information security</t>
  </si>
  <si>
    <t>NETSOL delivers risk-driven security strategies to protect your data, ensure compliance, and enhance operational agility.</t>
  </si>
  <si>
    <t>Ransomware surge</t>
  </si>
  <si>
    <t>2,809 ransomware attacks were recorded in 2022, surging to 5,070 in 2023, with a 55% substantial increase</t>
  </si>
  <si>
    <t>Cybersecurity costs</t>
  </si>
  <si>
    <t>Without robust security services in information security, businesses lose millions in cyber-attacks yearly.</t>
  </si>
  <si>
    <t>Data breach costs</t>
  </si>
  <si>
    <t>The global average data breach cost hit an all-time high at $4.45 billion in 2023, an increase of 15% in three years.</t>
  </si>
  <si>
    <t>AI defeats threats</t>
  </si>
  <si>
    <t>66% of AI adopters confirmed Generative AI helped predict zero-day attacks and reduce false positives.</t>
  </si>
  <si>
    <t>AI-powered insights on information security services</t>
  </si>
  <si>
    <t>80% more success</t>
  </si>
  <si>
    <t>More than 40% of organizations reported a success ratio of over 80% for their AI-powered cybersecurity tools</t>
  </si>
  <si>
    <t>48% more crucial</t>
  </si>
  <si>
    <t>SMBs and enterprises now believe that AI will be essential in protecting against cybersecurity risks and threats.</t>
  </si>
  <si>
    <t>$2.09M saved per company</t>
  </si>
  <si>
    <t>Cybersecurity tools backed with AI can bring savings of over $2.09 million per company in the United States.</t>
  </si>
  <si>
    <t>Solving real problems in information security via stringent security mechanisms</t>
  </si>
  <si>
    <t>Assessment &amp; identification</t>
  </si>
  <si>
    <t>Risk assessment and vulnerability identification are essential in the information security sector. It helps evaluate the financial threats within the IT ecosystem, identifying potential dangers, compliance penalties and possible business losses.</t>
  </si>
  <si>
    <t>Enterprise security &amp; IT risk</t>
  </si>
  <si>
    <t>Enterprise security audits and IT risk assessments are the first defense mechanisms in protecting critical data and IT assets, helping organizations identify susceptibilities and implement adequate controls to mitigate potential threats.</t>
  </si>
  <si>
    <t>Prevention &amp; monitoring</t>
  </si>
  <si>
    <t>Traditional security measures often struggle to keep pace with sophisticated cyber threats, losing millions of dollars in cyber-attacks. NETSOL assists in preventing and monitoring your ecosystem, ensuring reliability with a solid defense against malicious attacks.</t>
  </si>
  <si>
    <t>SIEM &amp; SOAR implementations</t>
  </si>
  <si>
    <t>SIEM and SOAR streamline security operations centers by enhancing their capabilities to detect, analyze, respond to and prevent cybersecurity incidents. With AI in information security, enterprises can leverage improved threat detection and use dynamic responses against malicious attacks.</t>
  </si>
  <si>
    <t>Managed (SoC)</t>
  </si>
  <si>
    <t>Unlike traditional in-house SOCs, managed SOCs provide comprehensive security, including round-the-clock monitoring and incident response. By leveraging cutting-edge AI tools, we help enterprises automate threat response and improve prediction capabilities.</t>
  </si>
  <si>
    <t>Cloud security</t>
  </si>
  <si>
    <t>Businesses are increasingly migrating their operations to cloud environments, where the shift is bringing unique challenges in safeguarding data, applications and infrastructure from cyber threats. There is a need to embrace advanced IT security solutions.</t>
  </si>
  <si>
    <t>Empowering your digital future</t>
  </si>
  <si>
    <t>Fuel your success through strategic talent partnership services and next-gen digital solutions.</t>
  </si>
  <si>
    <t>Future of Technology</t>
  </si>
  <si>
    <t>Beyond automation, igniting innovation with digital solutions</t>
  </si>
  <si>
    <t>Businesses are etching change with talent management solutions, exploring exponential growth and technological revolution. Data and AI are augmenting human expertise and intelligence. NETSOL unlocks a new dimension of work structure, bridging the gap between human and digital potential. Being your digital technology partners, we foster innovation and agility, equipping you with unparalleled talent, unlocking your organization's potential and propelling your projects forward at an unmatched speed.</t>
  </si>
  <si>
    <t>Quiet quitting</t>
  </si>
  <si>
    <t>In 2024, "quiet quitting" has become a trend, where over 50% of employees are not ready to put in extra effort.</t>
  </si>
  <si>
    <t>Training disparity</t>
  </si>
  <si>
    <t>36% of organizations offer quarterly training to employees, but only 5% provide basic training programs.</t>
  </si>
  <si>
    <t>Management failure</t>
  </si>
  <si>
    <t>Poor management leads businesses to lose over $450 billion yearly in productivity.</t>
  </si>
  <si>
    <t>Interview impact</t>
  </si>
  <si>
    <t>65% of employees lose interest in a job due to a bad interview experience.</t>
  </si>
  <si>
    <t>AI-powered insights on digital solutions and talent partnership services</t>
  </si>
  <si>
    <t>8X more success</t>
  </si>
  <si>
    <t>Businesses that achieve high digital maturity with operational efficiency are 8x more likely to outsmart their competitors.</t>
  </si>
  <si>
    <t>50% cost savings</t>
  </si>
  <si>
    <t>NETSOL's efficient on-demand marketing team has a 50% cost saving when compared with in-house hires.</t>
  </si>
  <si>
    <t>44% innovation ready</t>
  </si>
  <si>
    <t>Nearly 87% of businesses agree that the digital revolution can disrupt their industry. However, only 44% are prepared to embrace it.</t>
  </si>
  <si>
    <t>Unmatched digital innovation and talent partnership services</t>
  </si>
  <si>
    <t>Digital transformation services</t>
  </si>
  <si>
    <t>Navigating digital transformation and security threats requires expert guidance. NETSOL crafts strategies with AI, cybersecurity, and agile project management. Leverage AI tools, automation, predictive analytics, and reskilling to enhance efficiency and productivity.</t>
  </si>
  <si>
    <t>Resource augmentation</t>
  </si>
  <si>
    <t>For a high-performing team, you need to acquire the best technical talent. With NETSOL, break the chains of geographical limitations and find the talent with our onshore, nearshore, and offshore resource augmentation, assisting in hiring the best talent</t>
  </si>
  <si>
    <t>Support services</t>
  </si>
  <si>
    <t>Smooth operations and exceptional customer support are critical for your business growth.With our digital partnerships, we optimize efficiency by leveraging AI-powered, proactive maintenance and management, and service training for your brand.</t>
  </si>
  <si>
    <t>Jira migration &amp; training</t>
  </si>
  <si>
    <t>Implementing, migrating to, and mastering Jira in this agile development environment can be complex. NETSOL offers to power your business with intelligent configuration and workflow automation, undisrupted data migration, and AI-powered training and user adoption.</t>
  </si>
  <si>
    <t>Training &amp; development</t>
  </si>
  <si>
    <t>Continuous learning and development are essential for an enhanced development system. Unlock personalized learning journeys by analyzing skill gaps and infusing adaptive learning, microlearning, and real-time performance management with us.</t>
  </si>
  <si>
    <t>Technical services &amp; solutions</t>
  </si>
  <si>
    <t>Managing technical services requires expertise. With our digital consulting and talent solutions, fuel your business with AI-powered infrastructure management, development and automation, future-ready technological revolution, and AI-assisted resolution.</t>
  </si>
  <si>
    <t>Empower your digital journey and unlock limitless potential through strategic talent partnerships.</t>
  </si>
  <si>
    <t>Ai &amp; Ml Services</t>
  </si>
  <si>
    <t>Unlock the power of your data with AI &amp; ML services</t>
  </si>
  <si>
    <t>Transforming your data into valuable insights leveraging AI for data analytics.</t>
  </si>
  <si>
    <t>Transform data into intelligence with AI &amp; ML services and solutions</t>
  </si>
  <si>
    <t>Raw data isn't enough; your business needs clear insights that lead to real results. NETSOL leverages the power of AI, ML and data analytics, transforming data into actionable insights, assisting you in making smarter decisions, predicting future trends, automating tedious tasks and customizing the user experience. Use AI for data analytics to understand your unique business challenges. We provide Cloud AI and ML services while developing bespoke strategies utilizing cutting-edge solutions. With our AI &amp; ML consulting services, unlock your data's true potential and alter your business's future.</t>
  </si>
  <si>
    <t>Data drives profits</t>
  </si>
  <si>
    <t>Data-driven organizations are 23x more likely to acquire customers and become 19x more profitable.</t>
  </si>
  <si>
    <t>ML's domination</t>
  </si>
  <si>
    <t>More than 80% of businesses in North America have adopted machine learning.</t>
  </si>
  <si>
    <t>Big data leads</t>
  </si>
  <si>
    <t>Over 83% of businesses have pursued big data projects to gain a competitive edge over others.</t>
  </si>
  <si>
    <t>ML drives insights</t>
  </si>
  <si>
    <t>Over 74% of C-level executives and data scientists use ML for performance analysis.</t>
  </si>
  <si>
    <t>AI-Powered insights on AI, ML and data analytics</t>
  </si>
  <si>
    <t>58% more revenue</t>
  </si>
  <si>
    <t>Businesses using data-driven strategies generate over 58% more revenue than those that are not.</t>
  </si>
  <si>
    <t>14% more market share</t>
  </si>
  <si>
    <t>The advancements in AI &amp; ML can potentially increase global GDP by 14% by 2030.</t>
  </si>
  <si>
    <t>13x more value</t>
  </si>
  <si>
    <t>In the next 7 years, the value of the Artificial Intelligence industry is expected to increase by 13x.</t>
  </si>
  <si>
    <t>Empowering businesses with AI &amp; ML services and solutions</t>
  </si>
  <si>
    <t>Strategy &amp; planning</t>
  </si>
  <si>
    <t>Harness the power of the growing ocean of data with AWS AI services, addressing the challenges of data. With NETSOL, navigate this journey and build a winning strategy. We will assist you in your business goal alignment, data assessment and prioritization.</t>
  </si>
  <si>
    <t>Data &amp; analytics</t>
  </si>
  <si>
    <t>Businesses must extract meaningful insights and transform raw data into actionable strategies, fueling growth. NETSOL helps navigate data integration and management, advanced analytics and reporting, data warehousing and business intelligence, and data visualization.</t>
  </si>
  <si>
    <t>Responsible AI</t>
  </si>
  <si>
    <t>Businesses must develop and deploy AI with security and accountability in mind. NETSOL ensures AI benefits society without reinforcing existing inequalities. Our processes are fair, unbiased and transparent, honoring data security and privacy.</t>
  </si>
  <si>
    <t>AI solutions</t>
  </si>
  <si>
    <t>Organizations are overburdened with information and need an approach to capitalize on it. NETSOL leverages the power of data analytics and AI services, ensuring predictive and prescriptive analytics, automated data analysis, NLP and IPA.</t>
  </si>
  <si>
    <t>Explore how NETSOL helps unlock your data's true potential with AI &amp; ML.</t>
  </si>
  <si>
    <t>Unleash the power: Generative AI solutions</t>
  </si>
  <si>
    <t>Innovate beyond limits by transforming your business landscape with AI creativity.</t>
  </si>
  <si>
    <t>Empowering businesses with intelligent Generative AI services</t>
  </si>
  <si>
    <t>Generative AI solutions transcend traditional programming, empowering machines to autonomously craft inventive content, unlocking the door to limitless possibilities, unleashing boundless innovation, hyper-personalization and unparalleled efficiency. At NETSOL, we are bridging the gap between modern AI and human imagination. Our experts are rewriting the rules of content management and creation, ushering in a new era of business where data will become your ultimate secret weapon for success.</t>
  </si>
  <si>
    <t>AI trust</t>
  </si>
  <si>
    <t>52% of the general population trusts Gen AI to help them make informed decisions.</t>
  </si>
  <si>
    <t>AI reshaping business</t>
  </si>
  <si>
    <t>75% of business professionals expect Gen AI to cause disruptive change in their sector.</t>
  </si>
  <si>
    <t>AI's Investor Edge</t>
  </si>
  <si>
    <t>67% of investors believe AI enhances investment returns through deep analysis and portfolio management.</t>
  </si>
  <si>
    <t>GenAI impact</t>
  </si>
  <si>
    <t>GenAI now identifies business gaps, manages tedious tasks, and drives innovation.</t>
  </si>
  <si>
    <t>AI-powered insights on Generative AI services</t>
  </si>
  <si>
    <t>Dream it, generate it, achieve it with NETSOL</t>
  </si>
  <si>
    <t>Navigating an AI strategy is challenging for businesses with limited expertise and capacity. NETSOL empowers your enterprise, identifies gaps, finds opportunities, makes customized strategies and translates them into actionable plans.</t>
  </si>
  <si>
    <t>Development &amp; implementation</t>
  </si>
  <si>
    <t>Implementing a Generative AI strategy is challenging. Let NETSOL handle it. We translate your strategies into results with robust data acquisition, model selection, training, testing, refinement and deployment.</t>
  </si>
  <si>
    <t>AI marketing</t>
  </si>
  <si>
    <t>Capturing attention and forging meaningful connections with customers is demanding. As your AI marketing partners, we wield the transformative power of Gen AI to craft personalized, data-driven experiences that resonate with your target audience.</t>
  </si>
  <si>
    <t>Optimization &amp; support</t>
  </si>
  <si>
    <t>The power of Generative AI for financial services has always remained strong after implementation in the finance sector. We infuse ongoing optimization with genuine support, maintaining peak performance while maximizing the value extracted from AI solutions.</t>
  </si>
  <si>
    <t>Explore how NETSOL can help your business get the most out of Generative AI.</t>
  </si>
  <si>
    <t>Harness unparalleled digital policy &amp; strategy</t>
  </si>
  <si>
    <t>Empower your business with a winning policy and data strategy.</t>
  </si>
  <si>
    <t>Powering smarter decisions and building a future-proof foundation</t>
  </si>
  <si>
    <t>By infusing AI into your policies and strategies, businesses can gain deeper insights, automate tedious tasks and make data-driven decisions, propelling their infrastructure forward. With a transformative digital policy and data strategy, leverage advanced data analytics, risk assessment and mitigation, and regulatory compliance monitoring. With our robust policy and strategy consulting services and policy management software, unlock the power of AI to make smarter decisions, gain a competitive edge and achieve long-term success.</t>
  </si>
  <si>
    <t>AI influence</t>
  </si>
  <si>
    <t>By the end of 2024, 60% of governmental policies will directly impact AI.</t>
  </si>
  <si>
    <t>Business intelligence</t>
  </si>
  <si>
    <t>83% of businesses utilize the power of AI to create their own business policies and strategies.</t>
  </si>
  <si>
    <t>Data infusion</t>
  </si>
  <si>
    <t>For prominent data strategy, over 61% of marketers focus on AI and ML infusion.</t>
  </si>
  <si>
    <t>AI automation</t>
  </si>
  <si>
    <t>With AI, 50% of businesses can automate their policy and strategy-making process.</t>
  </si>
  <si>
    <t>AI-powered insights on policy and strategy</t>
  </si>
  <si>
    <t>2.3x strategic planning</t>
  </si>
  <si>
    <t>Organizations with a formal strategic planning process are 2.3x more likely to outperform their competitors.</t>
  </si>
  <si>
    <t>Experience the power of digital innovation and talent partnership services</t>
  </si>
  <si>
    <t>Digital policy &amp; strategy</t>
  </si>
  <si>
    <t>A well-defined digital strategy is the cornerstones of any successful organization. NETSOL provides a roadmap for leveraging technology to achieve your business goals, mitigating risks and fostering innovation while efficiently navigating the evolving digital landscape.</t>
  </si>
  <si>
    <t>Digital transformation</t>
  </si>
  <si>
    <t>Transform your raw data into actionable insights, build a robust data architecture design and have a clear data strategy, fueling your business growth. NETSOL crafts an effective digital transformation strategy by leveraging advanced digital services and tools.</t>
  </si>
  <si>
    <t>Cybersecurity policy</t>
  </si>
  <si>
    <t>Shield your digital assets against data breaches, cyberattacks and compliance issues with a comprehensive information and cybersecurity policy, focusing on risk assessment, policy development and implementation, and compliance gap remediations.</t>
  </si>
  <si>
    <t>Cloud migration strategy</t>
  </si>
  <si>
    <t>The process can be disruptive, complex and costly without a robust cloud migration strategy. With us, navigate your journey to the cloud with a clear roadmap backed by business assessment, migration methodology, compliance consideration and cloud platform selection.</t>
  </si>
  <si>
    <t>Hybrid cloud strategy</t>
  </si>
  <si>
    <t>With a hybrid cloud strategy, leverage on-premise resources with a public cloud service. NETSOL crafts an effective hybrid cloud strategy leveraging policy and procedure software, offering meticulous planning, seamless API integration, and consistent security and compliance practices.</t>
  </si>
  <si>
    <t>Multi-cloud strategy</t>
  </si>
  <si>
    <t>With a multi-cloud strategy, manage and deploy your applications across multiple public cloud providers. NETSOL offers a comprehensive approach to craft and execute a multi-cloud strategy with strategy development and security, and compliance management.</t>
  </si>
  <si>
    <t>Ready to get started?</t>
  </si>
  <si>
    <t>Explore how NETSOL leverages AI for smarter policy and strategy making processes.</t>
  </si>
  <si>
    <t>Experience Web 3.0 &amp; emerging technologies</t>
  </si>
  <si>
    <t>Empowering the future with advanced Web 3.0 services and emerging technologies.</t>
  </si>
  <si>
    <t>Embrace the dawn of a new era with advanced Web 3.0 services</t>
  </si>
  <si>
    <t>Web 3.0, the decentralized web of the future, promises a more immersive, user-centric and intelligent experience. By embracing innovative and emerging technologies, businesses can fuel growth with evolving solutions like AI, blockchain, IoT and Web 3.0, redefining security, privacy, innovation and efficiency. NETSOL, while focusing on user empowerment, offers to develop modern applications that leverage blockchain technology for secure data management and infuse emerging technologies solutions to help enterprises navigate the transition to a more decentralized environment.</t>
  </si>
  <si>
    <t>Web 3.0 market reach</t>
  </si>
  <si>
    <t>The Web 3.0 market is expected to reach $5.5 billion by 2030, growing at a CAGR of 44.9%.</t>
  </si>
  <si>
    <t>Rising demand</t>
  </si>
  <si>
    <t>Surging demand for Web 3.0 escalates the need for secure, transparent digital transactions.</t>
  </si>
  <si>
    <t>Web 3.0 market</t>
  </si>
  <si>
    <t>The market capitalization of Web 3.0 is estimated to be valued at $27.5 billion.</t>
  </si>
  <si>
    <t>Gamer adoption</t>
  </si>
  <si>
    <t>Over 73 million gamers across the globe play games based on Web 3.0 technology.</t>
  </si>
  <si>
    <t>Driving innovation through emerging technology integration with NETSOL</t>
  </si>
  <si>
    <t>Smart contract development</t>
  </si>
  <si>
    <t>The rise of Web 3.0 promotes smart contracts as an integral part of the blockchain world. With these contracts, businesses can improve their security, automate the transactional process and ensure a reliable modern contract, promoting self-executing agreements.</t>
  </si>
  <si>
    <t>Decentralized applications (dApp)</t>
  </si>
  <si>
    <t>The decentralized application development in Web 3.0 emphasizes user control and ownership, running on a blockchain network. dApps are paving the way for a decentralized future, enabling decentralized financing and prioritizing social dApps and dmarketplace.</t>
  </si>
  <si>
    <t>Digital twin</t>
  </si>
  <si>
    <t>A digital twin is the virtual representation of a physical asset or system, combining real-time data from sensors and IoT devices. NETSOL with Web 3.0 unlocks a new era of optimization and innovation with a digital twin, promising to improve efficiency and reduce costs.</t>
  </si>
  <si>
    <t>Metaverse</t>
  </si>
  <si>
    <t>The metaverse promises a revolutionized way to interact, socialize, and conduct business. Web 3.0 and the metaverse offer an enhanced user experience, decentralized ownership and interoperability, fostering control of digital assets, ultimately redefining how we connect.</t>
  </si>
  <si>
    <t>Consulting &amp; compliance</t>
  </si>
  <si>
    <t>The Web 3.0 revolution helps businesses navigate evolving regulations and emerging threats. NETSOL empowers businesses with expert consulting and compliance services in security risk management, regulatory complaints, technology selection and change management.</t>
  </si>
  <si>
    <t>Security &amp; education</t>
  </si>
  <si>
    <t>Get immersed in a personalized learning experience with the revolutionary Web 3.0, capable of protecting student data, ensuring responsible content access and navigating the complexities of a decentralized environment in a blockchain, Metaverse environment.</t>
  </si>
  <si>
    <t>Explore how you can build secure and scalable Web 3.0 solutions with NETSOL.</t>
  </si>
  <si>
    <t>Scale your business with agile cloud solutions</t>
  </si>
  <si>
    <t>Reduce your costs and increase efficiency with multi-cloud networking and security.</t>
  </si>
  <si>
    <t>Unleash the power of possibility with proven cloud services</t>
  </si>
  <si>
    <t>Agility and scalability are no longer luxuries but necessities for modern enterprises. NETSOL cloud services offer a revolutionary approach to IT infrastructure, empowering businesses to thrive and eliminate the need for expensive on-premise hardware with unmatched scalability, agility, security lower costs and reliability. With our cloud backup disaster recovery protocol, ditch your outdated legacy infrastructure, unlock the cloud's power and build a future-proof IT foundation.</t>
  </si>
  <si>
    <t>Market expansion</t>
  </si>
  <si>
    <t>The global cloud computing market grew from $24.63 billion in 2010 to $156.4 billion in 2020.</t>
  </si>
  <si>
    <t>Cloud challenge</t>
  </si>
  <si>
    <t>42% of CTOs and CIOs consider cloud waste the top challenge during and after migration.</t>
  </si>
  <si>
    <t>Cost management</t>
  </si>
  <si>
    <t>Over 58% of businesses struggle to manage their cloud costs for their increasing workload.</t>
  </si>
  <si>
    <t>Cloud investment</t>
  </si>
  <si>
    <t>Leading IT businesses and enterprises invest $8 out of every $10 in cloud services.</t>
  </si>
  <si>
    <t>AI-powered insights on cloud services</t>
  </si>
  <si>
    <t>70% more capabilities</t>
  </si>
  <si>
    <t>Over 70% of enterprises get their AI capabilities from cloud-based software, while 65% create AI applications with cloud services.</t>
  </si>
  <si>
    <t>4.7x more operating margins</t>
  </si>
  <si>
    <t>Eco-friendly business enjoys 4.7x operating margins with AI in the cloud, reducing carbon emissions by up to 64%.</t>
  </si>
  <si>
    <t>50% workload migration</t>
  </si>
  <si>
    <t>Over 54% of enterprises moved to the cloud for disaster recovery and 50% for migrating workload management.</t>
  </si>
  <si>
    <t>Managed cloud services for modern enterprises</t>
  </si>
  <si>
    <t>Managed services</t>
  </si>
  <si>
    <t>Managing a cloud environment is complex, but with managed services, enterprises can outsource management and maintenance, running cloud services smoothly, securely and cost-effectively. Streamline cloud operations, enhance security and scale cloud solutions with us</t>
  </si>
  <si>
    <t>Cloud infrastructure services</t>
  </si>
  <si>
    <t>You need a prominent foundation with a secure cloud infrastructure and essential resources to run your applications seamlessly. We empower your cloud infrastructure by safely deploying and migrating your cloud and optimizing resource provisioning.</t>
  </si>
  <si>
    <t>Development &amp; integrations</t>
  </si>
  <si>
    <t>Navigating the complexities of building and integrating cloud-native applications can be challenging. With NETSOL, leverage the power of AI for secure cloud-native development, API integration, containerization, DevOps expertise and microservices architecture.</t>
  </si>
  <si>
    <t>SaaS development</t>
  </si>
  <si>
    <t>Deploying agile, scalable, cost-effective SaaS applications requires expertise and inventive solutions. NETSOL is ready to empower your SaaS journey with cloud-native architecture backed by a security-first approach, API design and integration services.</t>
  </si>
  <si>
    <t>DevOps</t>
  </si>
  <si>
    <t>DevOps is crucial for optimizing the development and delivery of cloud applications. NETSOL is here to resolve the complex process of DevOps by bridging the gap with CI/CD pipeline automation, IaC, cloud-based monitoring and logging, and security integration.</t>
  </si>
  <si>
    <t>MLOps &amp; model management</t>
  </si>
  <si>
    <t>The journey from creating a model to deploying it in production can be challenging. NETSOL, with expertise in MLOps, helps you navigate this critical stage by streamlining the experimentation, model versioning and governance, and model monitoring.</t>
  </si>
  <si>
    <t>NETSOL + Amazon Web Services Where innovation meets imapact!</t>
  </si>
  <si>
    <t>Discover how our certified expertise can drive your success with cutting-edge cloud solutions. Experience excellence in innovation and scalability with NETSOL's AWS-powered services.</t>
  </si>
  <si>
    <t>Robust data engineering services &amp; solutions</t>
  </si>
  <si>
    <t>With AWS services for data engineering, build scalable data pipelines for your business growth.</t>
  </si>
  <si>
    <t>Generate actionable insights through mature data platforms</t>
  </si>
  <si>
    <t>Due to data trust issues, limited data platforms and inadequate knowledge, businesses struggle to deliver timely insights. With data engineering and analytics services, enterprises can leverage advisory and operational benefits, focusing on reducing ownership costs and enhancing sustainability longevity. NETSOL offers AWS services for data engineering, extracting data from various platforms while leveraging intelligent cataloging through trust testing and deployment and accelerating your data efforts with the AL and ML partnership.</t>
  </si>
  <si>
    <t>Data losses</t>
  </si>
  <si>
    <t>Globally, businesses lose over $15 million yearly due to poor data quality and management.</t>
  </si>
  <si>
    <t>Market surge</t>
  </si>
  <si>
    <t>The global data market is expected to surge to $274.3 billion by 2026,</t>
  </si>
  <si>
    <t>Data lakes</t>
  </si>
  <si>
    <t>The data lakes market is expected to hit a high of $20.04 billion by 2028.</t>
  </si>
  <si>
    <t>Engineering growth</t>
  </si>
  <si>
    <t>The data engineering market will double to $89.02 billion by 2027 from $43.04 billion in 2022.</t>
  </si>
  <si>
    <t>Actionable insights with the right data strategy</t>
  </si>
  <si>
    <t>$3.1T more sustainability</t>
  </si>
  <si>
    <t>The sector can ensure annual savings of $3.1 trillion with data-driven environmental monitoring by 2030.</t>
  </si>
  <si>
    <t>$67.4B blockchain increase</t>
  </si>
  <si>
    <t>The global blockchain market is ready to hit $67.4 billion by 2026, infusing data security and traceability in data engineering.</t>
  </si>
  <si>
    <t>70% scalability</t>
  </si>
  <si>
    <t>By integrating low code / no code technologies in data engineering, businesses can witness 70% scalability of their data pipeline.</t>
  </si>
  <si>
    <t>AI-driven intelligence built on robust data engineering foundations</t>
  </si>
  <si>
    <t>Data migration strategy, development &amp; implementation</t>
  </si>
  <si>
    <t>With a proper data migration strategy, enterprises can assess their data, test and validate it, and transform the information into valuable insights. Development and implementation tools assist in change management while implementing post and pre-migration validation with continuous support.</t>
  </si>
  <si>
    <t>Data wrangling &amp; integration services</t>
  </si>
  <si>
    <t>Data analytics engineering services can tackle the data wrangling challenge using a diversified data source, and converts it into valuable business insights. We combine it by extracting the data via unique sources, harmonizing it, and streamlining the workflow.</t>
  </si>
  <si>
    <t>Data lakes, data warehouse &amp; data marts</t>
  </si>
  <si>
    <t>The algorithm of data engineering relies on robust data storage solutions, where data lakes, warehouses and marts play a significant role. Choose the right solution with us based on your cost, accessibility and data structure needs.</t>
  </si>
  <si>
    <t>Data analytics, reporting &amp; visualization</t>
  </si>
  <si>
    <t>Infuse data analytical solutions in your business to extract the true meaning of the data using advanced analytics tools. Get tailored and automated reports with data reporting, where you can add an interactive dashboard for enhanced data visualization.</t>
  </si>
  <si>
    <t>ETL, ELT, data pipeline, workflow &amp; orchestration</t>
  </si>
  <si>
    <t>Extract, Transform, Load (ETL) and Extract, Load, Transform (ELT) are data movement techniques that assist businesses in transforming their data into meaningful insights. With modern data pipelines, enterprises can effectively manage data volume and complexity.</t>
  </si>
  <si>
    <t>Data modeling, optimization &amp; architecture</t>
  </si>
  <si>
    <t>The foundation of data engineering lies in data modeling, optimization and architecture. From defining data relationships to ensuring performance considerations and strategic data designing, NETSOL empowers you to handle the process with brilliance.</t>
  </si>
  <si>
    <t>Explore how NETSOL develops a comprehensive data architecture design, strengthening your data infrastructure with data engineering services.</t>
  </si>
  <si>
    <t>AI-powered automotive finance software</t>
  </si>
  <si>
    <t>We provide superior technology solutions to the biggest names in the global automotive industry.</t>
  </si>
  <si>
    <t>Driving change in the automotive space worldwide</t>
  </si>
  <si>
    <t>Our cutting-edge technologies help global automakers, auto captives, and finance firms thrive, leveraging 40+ years of expertise in AI-powered loan origination, contract management, and digital retail solutions tailored for the automotive sector.</t>
  </si>
  <si>
    <t>Industry leaders</t>
  </si>
  <si>
    <t>NETSOL has made significant investments to understand the evolving requirements of the global automotive industry.</t>
  </si>
  <si>
    <t>Seamless solutions</t>
  </si>
  <si>
    <t>We empower lenders, dealerships and borrowers alike to navigate the financing and digital retail journey seamlessly.</t>
  </si>
  <si>
    <t>AI-powered operations</t>
  </si>
  <si>
    <t>Our AI-driven solutions power the automotive industry with robust analytics, seamless integration capabilities and advanced automation features.</t>
  </si>
  <si>
    <t>End-to-end products</t>
  </si>
  <si>
    <t>We offer powerful end-to-end automotive finance software as well as easy-to-integrate API-first solutions for auto finance, alongside seamless digital retail.</t>
  </si>
  <si>
    <t>Our innovative equipment leasing software is engineered to empower OEMs with streamlined financing processes, enhanced customer experiences and unparalleled efficiency. From end-to-end finance and leasing to digital retail, our solutions are designed to seamlessly integrate into your operations, unlocking new avenues for growth and profitability.</t>
  </si>
  <si>
    <t>Big ticket finance</t>
  </si>
  <si>
    <t>Commercial and consumer lending</t>
  </si>
  <si>
    <t>SCI Lease Corp enhances lease management processes with NETSOL</t>
  </si>
  <si>
    <t xml:space="preserve">"SCI Lease Corp has recognized the success that NETSOL has had in other markets and we believe their platforms are in line with SCI Lease Corp’s commitment to bring transformative technology and services to the leasing marketplace. Working with NETSOL going forward will enhance our lease management processes, allowing us to better meet our customers’ expectations and provide additional bandwidth to expand our automotive OEM business." </t>
  </si>
  <si>
    <t>President and Chief Executive Leader of SCI Lease Corp</t>
  </si>
  <si>
    <t>Experience accelerated innovation for your auto operations</t>
  </si>
  <si>
    <t>Explore how our automotive finance and leasing software enables the global automotive finance and leasing industry to lower operational expenses, enhance risk evaluation, expedite processing and response times and reach a wider array of customers.</t>
  </si>
  <si>
    <t>AI-powered equipment finance software</t>
  </si>
  <si>
    <t>We provide equipment finance solutions to companies with ever-growing business requirements worldwide.</t>
  </si>
  <si>
    <t>Connect with us</t>
  </si>
  <si>
    <t>Harness the power of unmatched equipment finance technology</t>
  </si>
  <si>
    <t>While you enable organizations to procure the equipment necessary to meet the growing demands of their business, we provide you with the technology that covers the end-to-end equipment finance cycle effortlessly. Whether it's heavy machinery, agricultural, industrial or any form of equipment you finance, we streamline processes and drive growth.</t>
  </si>
  <si>
    <t>Proven technology</t>
  </si>
  <si>
    <t>With a proven track record, NETSOL’s lease management software for OEMs and the equipment finance sector supports highly complex business environments.</t>
  </si>
  <si>
    <t>End-to-end solutions</t>
  </si>
  <si>
    <t>For OEMs and equipment finance and leasing businesses, NETSOL has solutions for originations, servicing, wholesale, as well as digital retail and more.</t>
  </si>
  <si>
    <t>With an experienced global team delivering superior solutions, NETSOL follows a customer-centric product development approach for the industry.</t>
  </si>
  <si>
    <t>Full compliance</t>
  </si>
  <si>
    <t>To ensure compliance with various international quality standards, we meticulously adhere to all regulatory and legal requirements worldwide.</t>
  </si>
  <si>
    <t>Henrik Staulund</t>
  </si>
  <si>
    <t>Chief Commercial Officer at Ikano Bank</t>
  </si>
  <si>
    <t>Ready to elevate your equipment finance game?</t>
  </si>
  <si>
    <t>Stay ahead of the curve and unlock new opportunities for growth and success in equipment finance with our industry-leading equipment finance and equipment leasing solutions.</t>
  </si>
  <si>
    <t>Resource center</t>
  </si>
  <si>
    <t>Explore expert insights and resources on the asset finance industry and the latest in technology in our comprehensive content hub</t>
  </si>
  <si>
    <t>Latest Reads</t>
  </si>
  <si>
    <t>Search by keywords</t>
  </si>
  <si>
    <t>Search here...</t>
  </si>
  <si>
    <t>Search</t>
  </si>
  <si>
    <t>Search by type</t>
  </si>
  <si>
    <t>All</t>
  </si>
  <si>
    <t>Whitepapers</t>
  </si>
  <si>
    <t>Podcasts</t>
  </si>
  <si>
    <t>Webinars</t>
  </si>
  <si>
    <t>Search by Tags</t>
  </si>
  <si>
    <t>Auto Finance</t>
  </si>
  <si>
    <t>AI &amp; ML</t>
  </si>
  <si>
    <t>Digital Strategy</t>
  </si>
  <si>
    <t>Whole Finance</t>
  </si>
  <si>
    <t>Mobility</t>
  </si>
  <si>
    <t>Beyond the DMS: Why automotive retail’s future is API-first</t>
  </si>
  <si>
    <t>Read more</t>
  </si>
  <si>
    <t>NETSOL is at the GlobalData Automotive Europe Conference and Awards 2025</t>
  </si>
  <si>
    <t>NETSOL is at the 25th Annual Auto Finance Summit: Driving the future of auto finance</t>
  </si>
  <si>
    <t>NETSOL is at Digital Dealer 2025: Empowering the future of automotive retail</t>
  </si>
  <si>
    <t>View more</t>
  </si>
  <si>
    <t xml:space="preserve"> Mike Boyes</t>
  </si>
  <si>
    <t>Head of Vendor, Haydock Finance</t>
  </si>
  <si>
    <t>Board of Directors</t>
  </si>
  <si>
    <t>Visionary governance rooted in real-world experience</t>
  </si>
  <si>
    <t>Najeeb Ghauri</t>
  </si>
  <si>
    <t>Director, Chief Executive Officer and Chair of the Board, NetSol Technologies, Inc</t>
  </si>
  <si>
    <t>View Profile</t>
  </si>
  <si>
    <t>Syed Kausar Kazmi</t>
  </si>
  <si>
    <t>Head of Commercial Banking and Business Development, Habib Bank Zurich PLC, UK</t>
  </si>
  <si>
    <t>Mark Caton</t>
  </si>
  <si>
    <t>Director, President of Centela Capital, Inc</t>
  </si>
  <si>
    <t>Ian Smith</t>
  </si>
  <si>
    <t>President, MIP, Inc</t>
  </si>
  <si>
    <t>Malea Farsai</t>
  </si>
  <si>
    <t>Corporate Counsel, NetSol Technologies, Inc</t>
  </si>
  <si>
    <t>Blending decades of global experience across technology, finance, and operations to fuel growth and innovation.</t>
  </si>
  <si>
    <t>Founder, Chairman &amp;</t>
  </si>
  <si>
    <t>Chief Executive Officer,</t>
  </si>
  <si>
    <t>NETSOL Technologies, Inc.</t>
  </si>
  <si>
    <t>Naeem Ghauri</t>
  </si>
  <si>
    <t>Founder and President of</t>
  </si>
  <si>
    <t>Salim Ghauri</t>
  </si>
  <si>
    <t>Founder &amp; Chief Executive Officer of NETSOL Technologies, LLC (Pakistan)</t>
  </si>
  <si>
    <t>Peter Minshall</t>
  </si>
  <si>
    <t>Executive Vice President</t>
  </si>
  <si>
    <t>NETSOL Technologies,</t>
  </si>
  <si>
    <t>North America</t>
  </si>
  <si>
    <t>Patti McGlasson</t>
  </si>
  <si>
    <t>Sr. V.P. Legal &amp; Corporate Affairs, General Counsel and Corporate Secretary, NETSOL Technologies Inc.</t>
  </si>
  <si>
    <t>Roger Almond</t>
  </si>
  <si>
    <t>Chief Financial Officer, NETSOL Technologies, Inc.</t>
  </si>
  <si>
    <t>Erik Wagner</t>
  </si>
  <si>
    <t>Chief Marketing Officer, NETSOL Technologies, Inc.</t>
  </si>
  <si>
    <t>Farooq Ghauri</t>
  </si>
  <si>
    <t>Head of Asia-Pacific, NETSOL Technologies, APAC</t>
  </si>
  <si>
    <t>Asad Ghauri</t>
  </si>
  <si>
    <t>Global Head of Sales &amp; GMD, NETSOL Technologies, Inc.</t>
  </si>
  <si>
    <t>Umar Qadri</t>
  </si>
  <si>
    <t>Deputy Global Head of Sales, NETSOL Technologies Inc.</t>
  </si>
  <si>
    <t>Faizaan Ghauri</t>
  </si>
  <si>
    <t>Chief Strategy Officer, NETSOL Technologies, Inc.</t>
  </si>
  <si>
    <t>Amanda Li Linjie</t>
  </si>
  <si>
    <t>President, NETSOL Technologies, China.</t>
  </si>
  <si>
    <t>Khurram S. Rana</t>
  </si>
  <si>
    <t>Global CHRO - NETSOL Technologies Inc.</t>
  </si>
  <si>
    <t>Kamran Khalid</t>
  </si>
  <si>
    <t>Chief Product &amp; Delivery Officer, NETSOL Technology, Inc.</t>
  </si>
  <si>
    <t>Omar Ghauri</t>
  </si>
  <si>
    <t>Director, Chief Operating Officer, NETSOL Technologies Ltd. Pakistan</t>
  </si>
  <si>
    <t>Contact Sales</t>
  </si>
  <si>
    <t>Complete the form to schedule a demo or ask questions about the ways we can support your business goals</t>
  </si>
  <si>
    <t>Looking to learn about careers at NETSOL?</t>
  </si>
  <si>
    <t>We do not accept applications via this form. To apply for roles, please review our portal here.</t>
  </si>
  <si>
    <t>Apply now</t>
  </si>
  <si>
    <t>First Name*</t>
  </si>
  <si>
    <t>Enter your first name</t>
  </si>
  <si>
    <t>Last name*</t>
  </si>
  <si>
    <t>Enter your last name</t>
  </si>
  <si>
    <t>Work email address*</t>
  </si>
  <si>
    <t>Enter your work email address</t>
  </si>
  <si>
    <t>Company name*</t>
  </si>
  <si>
    <t>Enter your company name</t>
  </si>
  <si>
    <t>Country*</t>
  </si>
  <si>
    <t>Select a country</t>
  </si>
  <si>
    <t>How can we help?*</t>
  </si>
  <si>
    <t>What are your requirements?</t>
  </si>
  <si>
    <t>Product/Service Interest*</t>
  </si>
  <si>
    <t>Please Select</t>
  </si>
  <si>
    <t>How did you hear about us?*</t>
  </si>
  <si>
    <t>By ticking this box, you are consenting to allow NETSOL to contact you about products, services and offers that may be of interest to you. Privacy policy.</t>
  </si>
  <si>
    <t>Submit</t>
  </si>
  <si>
    <t>Office locations</t>
  </si>
  <si>
    <t>Encino, USA</t>
  </si>
  <si>
    <t>NETSOL Technologies Inc. (Headquarters)</t>
  </si>
  <si>
    <t>16000 Ventura Blvd., Suite 770 Encino, CA 91436</t>
  </si>
  <si>
    <t>O: +1 818 222 9195</t>
  </si>
  <si>
    <t>Austin, USA</t>
  </si>
  <si>
    <t>NETSOL Technologies Inc.</t>
  </si>
  <si>
    <t>816 Congress Ave. #1270, Austin, TX 78701</t>
  </si>
  <si>
    <t>London, UK</t>
  </si>
  <si>
    <t>NETSOL Technologies Europe Ltd.</t>
  </si>
  <si>
    <t>25 Wilton Road, Pimlico, London SW1V 1LW</t>
  </si>
  <si>
    <t>O: +44 (0) 1403 282 300</t>
  </si>
  <si>
    <t>Transcend the limits of technology</t>
  </si>
  <si>
    <t>From AI-powered finance solutions to seamless digital retail.</t>
  </si>
  <si>
    <t>Powering the future of finance, retail and beyond</t>
  </si>
  <si>
    <t>The Transcend Platform by NETSOL is a unified, AI-driven ecosystem built to simplify and optimize every stage of the asset, retail, and commerce lifecycle. From originations to servicing, collections, and customer engagement, Transcend enables lenders, OEMs, dealers, and fleets to scale with confidence, integrate seamlessly with partner systems, and deliver connected experiences across markets, products, and touchpoints. Grounded in responsible AI and composable design, it transforms complexity into clarity, helping businesses achieve measurable outcomes while ensuring trust, transparency, and collaboration at every step.</t>
  </si>
  <si>
    <t>AI at the core</t>
  </si>
  <si>
    <t>Harness artificial intelligence and machine learning to power predictive insights, automated workflows and risk management across the finance ecosystem</t>
  </si>
  <si>
    <t>An adaptive platform</t>
  </si>
  <si>
    <t>With integrated frameworks and powerful data management, Transcend provides a secure foundation so you’re always ready for what’s next.</t>
  </si>
  <si>
    <t>Future-ready infrastructure</t>
  </si>
  <si>
    <t>Build your platform with API-first modular components, offering cross-platform capabilities and customizable solutions that scale as your business grows.</t>
  </si>
  <si>
    <t>Enterprise-level security</t>
  </si>
  <si>
    <t>With Transcend’s enterprise-grade cloud security, your financial transactions and sensitive data are safeguarded with the latest protections so that you have peace of mind</t>
  </si>
  <si>
    <t>Tailored solutions for every stage of your business</t>
  </si>
  <si>
    <t>One platform. Every stakeholder.</t>
  </si>
  <si>
    <t xml:space="preserve">Connect lenders, brokers, field agents, and customers in a single ecosystem that drives collaboration and transparency across the finance and leasing lifecycle. </t>
  </si>
  <si>
    <t>Omnichannel journeys</t>
  </si>
  <si>
    <t>Mobile tools for field teams</t>
  </si>
  <si>
    <t>Real-time workflow sync</t>
  </si>
  <si>
    <t>Self-service portals</t>
  </si>
  <si>
    <t xml:space="preserve">AI-powered. API-connected. Cloud-native. </t>
  </si>
  <si>
    <t xml:space="preserve">Transcend is built for scale and speed with architecture that adapts to your business and integrates with your systems. </t>
  </si>
  <si>
    <t>AI-first decisioning</t>
  </si>
  <si>
    <t>Microservices-based architecture</t>
  </si>
  <si>
    <t xml:space="preserve">Guidance at every step.  </t>
  </si>
  <si>
    <t xml:space="preserve">From deployment to optimization, our specialists help you get the most out of Transcend with faster rollouts and higher ROI. </t>
  </si>
  <si>
    <t>Guided deployment</t>
  </si>
  <si>
    <t>Training &amp; enablement</t>
  </si>
  <si>
    <t>Ongoing support</t>
  </si>
  <si>
    <t xml:space="preserve">Secure by design </t>
  </si>
  <si>
    <t xml:space="preserve">Transcend offers enterprise-grade security and compliance capabilities, ensuring sensitive data remains protected and your business stays audit-ready. </t>
  </si>
  <si>
    <t>ISO 27001 certified</t>
  </si>
  <si>
    <t>Data encryption &amp; governance</t>
  </si>
  <si>
    <t>Managed SOC</t>
  </si>
  <si>
    <t xml:space="preserve">Configure. Launch. Scale. </t>
  </si>
  <si>
    <t xml:space="preserve">No IT bottlenecks. Empower business teams to design workflows, build interfaces, and implement changes fast. </t>
  </si>
  <si>
    <t>Low-code/no-code tools</t>
  </si>
  <si>
    <t>1,000+ prebuilt APIs</t>
  </si>
  <si>
    <t>Faster speed-to-market</t>
  </si>
  <si>
    <t>Periodic product updates</t>
  </si>
  <si>
    <t>99.99% uptime</t>
  </si>
  <si>
    <t xml:space="preserve">Product &amp; market flexibility </t>
  </si>
  <si>
    <t>Transcend supports complex financial products and adapts to regulatory needs across industries and geographies.</t>
  </si>
  <si>
    <t>Automotive, equipment, fleet, and more</t>
  </si>
  <si>
    <t>Multi-country, currency, language</t>
  </si>
  <si>
    <t>Local compliance in 30+ markets</t>
  </si>
  <si>
    <t>MINI partners with NETSOL to power its new era of auto-retail experience</t>
  </si>
  <si>
    <t xml:space="preserve">"At MINI, we decided it was time to create an end-to-end purchasing and finance journey for the consumer, and it was important to create something more than a lead generator to facilitate the complete transaction for any MINI customer, any place, any time. Our partnership with NETSOL has enabled us not only to catch up with industry leaders, but also to set new benchmarks in digital auto-retail, which the usual suspects in the industry could not provide." </t>
  </si>
  <si>
    <t>Website Terms of Use</t>
  </si>
  <si>
    <t>Welcome to the NetSol Technologies, Inc. (” Netsol “) Web site (” Web Site “). NetSol provides and makes available this Web Site subject to the following terms of use (“Terms”). These Terms explain a contractual agreement between you (” user ,” ” you ,” ” your “) and NetSol regarding your use of this Web Site. You should print a copy of these Terms for your records. Please note, however, that NetSol may update and amend these Terms from time to time as NetSol deems necessary in its sole discretion.</t>
  </si>
  <si>
    <t>1. WHAT YOU SHOULD KNOW and HOW CHANGES CAN BE MADE</t>
  </si>
  <si>
    <t>The primary goal of this Web Site is to provide you with access to information about NetSol’s businesses, facilities, services, products, and related links to meet your needs with respect to these businesses, facilities, services and products (the ” Content “). These Terms are meant to protect all of the visitors to and users of this Web Site, and your access to and use of this Web Site signifies your agreement with these Terms. DO NOT USE THIS WEB SITE IF YOU DO NOT AGREE WITH THESE TERMS . NetSol reserves the right, in its sole discretion, to modify, alter or otherwise update these Terms, or to change or delete any features of this Web Site, at any time. Such modifications, alterations, and updates to the Terms shall be effective immediately upon posting. You agree to be bound by such modified, altered and updated Terms if you access or use this Web Site after NetSol has posted notice of such modifications, alterations or updates. IF YOU DO NOT AGREE WITH ANY OF THE MODIFIED, ALTERED OR UPDATED TERMS, THEN YOU SHOULD NOT USE THIS WEB SITE AFTER SUCH MODIFICATIONS, ALTERATIONS OR UPDATES HAVE BEEN POSTED.</t>
  </si>
  <si>
    <t>This Web Site will permit you to link to many other Web sites that may or may not be affiliated with this Web Site and/or with NetSol. These other linked Web sites, including the Web sites of NetSol’s affiliated companies, as well as the Web sites of NetSol’s third party content providers, merchants, business partners, sponsors and licensors (collectively the ” Providers “), may have different terms of use that are not the same as these Terms. Your access to and use of such linked Web sites through links provided on this Web Site are not governed by these Terms but, instead, are governed by the terms of use and policies of those Web sites, and NetSol disclaims any and all responsibility for your access to and use of such linked Web sites.</t>
  </si>
  <si>
    <t>You should note that these Terms contain additional disclaimers and limitations on NetSol’s liability, which can be found in Sections 9 and 10 below. Please read these carefully and make sure that you understand them before continuing with your use of this Web Site.</t>
  </si>
  <si>
    <t>2. PRIVACY</t>
  </si>
  <si>
    <t>Registration data and certain other information about you that you may submit or provide to NetSol through this Web Site is subject to NetSol’s Privacy Policy. For more information about NetSol’s use and protection of your information, please review NetSol’s Internet Privacy Policy.</t>
  </si>
  <si>
    <t>3. USE OF THIS WEB SITE and INTELLECTUAL PROPERTY RIGHTS</t>
  </si>
  <si>
    <t>NetSol controls and (either itself and/or through its third party hosts) operates this Web Site. All Content on this Web Site, including, but not limited to, text, images, illustrations, graphics, logos, digital downloads, data, software, headers, icons, scripts, audio clips, and video clips, is the property of NetSol or its Providers, and is protected by copyrights, trademarks, service marks, and/or other intellectual property rights (which are governed by and subject to United States and international copyright laws and treaty provisions, privacy and publicity laws, and communication regulations and statutes). The Content is owned and controlled by NetSol, its affiliated or related entities, or the Providers that have licensed or otherwise made available their content or the right to market their products and/or services to NetSol. Content on this Web Site or any Web site owned, operated, licensed or controlled by the Providers is solely for your personal, non-commercial use, and may not be used in any manner that is likely to cause confusion among NetSol’s customers, other users of this Web Site, or the general public. You agree to abide by all additional copyright notices, information, or restrictions contained in or with any Content.</t>
  </si>
  <si>
    <t>You may download or make a single copy of any Content contained on this Web Site solely for your personal, non-commercial use, consistent with these Terms, provided that you maintain all copyright and other notices contained in or with such Content. Except as otherwise specified above, you may not copy, reproduce, duplicate, republish, upload, post, transmit, distribute, sell and/or exploit the Content in any way (including by e-mail or other electronic means) for commercial use without the prior written consent of NetSol or the Providers. You may request consent by faxing a request to NetSol’s Legal Department at 818.222.9197818.222.9197. Your modification of the Content, use of the Content on any other linked Web site or networked computer environment, or use of the Content for any purpose other than personal, non-commercial use, without the prior written consent of NetSol or the Providers, violates the intellectual property rights and proprietary rights of the Content owners and is strictly prohibited.</t>
  </si>
  <si>
    <t>You may not use any registered or unregistered trademarks, service marks, copyrighted materials or other proprietary information or intellectual property appearing on this Web Site, including, but not limited to, any logos, images or characters, and also including any meta tags or similar code or hidden text or elements containing such information or property, without the express written consent of the owner of the mark or copyright. You may not frame any trademarks, service marks, copyrights, logos, images, text, or other proprietary information or intellectual property of NetSol, or otherwise incorporate into another Web site any of the Content or other materials on this Web Site, without NetSol’s express prior written consent. You may not deep link to any page of portions of this Web Site without NetSol’s prior written consent. You may, however, create or provide a hypertext link or hyperlink to the home page of this Web Site provided that you do not make or attribute to NetSol, its affiliated or related entities or Providers any false, misleading, defamatory, libelous, derogatory, or offensive statements. Any such link cannot include any logos, graphics or trademarks of NetSol, its affiliated or related entities or Providers without NetSol’s express prior written consent.</t>
  </si>
  <si>
    <t>Violation of trademark and copyright laws (“Infringement”) may result in significant civil liability or criminal penalties under United States and/or international copyright and trademark laws. You recognize that any reproduction or use of Content, copyrights, trademarks, service marks, or other intellectual property on this Web Site, except as authorized by these Terms, is considered intentional Infringement.</t>
  </si>
  <si>
    <t>4. USER’S RESPONSIBILITIES</t>
  </si>
  <si>
    <t>You warrant and represent to NetSol that you will not use this Web Site for any purpose that is unlawful, illegal or prohibited by these Terms, including, without limitation, the sending, posting, transmitting, displaying, distributing, or knowingly receiving of or searching for any threatening, harassing, libelous, defamatory, obscene, scandalous, inflammatory, sexually oriented, pornographic, or profane material, content or images, or other images, content or messages that might be considered lewd, lascivious, excessively violent or otherwise offensive. If you violate any of these Terms, your permission to use this Web Site immediately terminates without the necessity of any notice. NetSol, at its sole discretion, retains the right to deny access to this Web Site to anyone for any reason, including for violation of these Terms. Some of these types of violations are more fully described below in Section 5.</t>
  </si>
  <si>
    <t>You are solely responsible for the content, accuracy and your use of your Information, and NetSol merely acts as a passive conduit for your online distribution and publication of your Information. As used in these Terms, ” Information ” means any information or data that you submit to or through this Web Site and any information or data that is generated by this Web Site as a result of your use of or access to this Web Site. Certain special rules and restrictions may apply to your Personally Identifiable Information. For more information regarding these special rules and restrictions please review NetSol’s Internet Privacy Policy.</t>
  </si>
  <si>
    <t>You agree that any Information that you provide will be true, accurate, current and complete. If you provide any Information that is untrue, inaccurate, not current or incomplete (or NetSol has reasonable grounds to suspect that such Information is untrue, inaccurate, not current or incomplete), NetSol has the right to suspend or terminate your access and activity relating to, and to refuse any and all current or future use of, this Web Site.</t>
  </si>
  <si>
    <t>5. PROHIBITED ACTIVITIES</t>
  </si>
  <si>
    <t>You are specifically prohibited from any use of this Web Site, and you agree not to use or permit others to use this Web Site, for any of the following:</t>
  </si>
  <si>
    <t>(a) take any action that imposes an unreasonable or disproportionately large load on, or waste of valuable time for, the Web Site’s infrastructure or resources, including, but not limited to, sending or promoting the distribution of “spam,” “junk mail,” chain letters, or other such unsolicited or unlawful mass e-mailing techniques;</t>
  </si>
  <si>
    <t>(b) disclose to, or share with, any unauthorized third parties the ID’s, assigned confirmation numbers and/or passwords, or use the ID’s, assigned confirmation numbers and/or passwords for any unauthorized purpose, or otherwise allow or facilitate others to gain access to NetSol’s information technology systems, environments, networks, files, data or accounts through the use of the ID’s, assigned confirmation numbers and/or passwords;</t>
  </si>
  <si>
    <t>(c) access or attempt to access NetSol’s information technology systems, environments, networks, files, data or accounts to which express authorization has not been obtained (including access to data not intended for You), or log into a server or account that you are not authorized to access;</t>
  </si>
  <si>
    <t>(d) attempt to decipher, decompile, disassemble, modify, remove or reverse engineer any of the software or HTML code comprising or in any way making up a part of this Web Site;</t>
  </si>
  <si>
    <t>(e) interfere with, disrupt, disable or damage (or attempt to interfere with, disrupt, disable or damage), in an unauthorized manner, the use or operation of this Web Site or NetSol’s, its affiliated or related entities’ or the Providers’ systems, equipment or applications, or service to any user, host, or network, including by use of any programs, scripts, commands, viruses, worms, web bugs, harmful code, Trojan horses, other contaminants, or otherwise. This includes “denial of service” attacks, “flooding” of networks, deliberate attempts to overload a service or to burden excessively a service’s resources, attempts to “crash” a host, and/or modifying or rerouting any Content or services provided at this Web Site;</t>
  </si>
  <si>
    <t>(f) attempt to circumvent or subvert system or network security (i.e., authentication) mechanisms, or probe the security of any system, network, or account, associated or used in conjunction with this Web Site;</t>
  </si>
  <si>
    <t>(g) upload, post, e-mail or otherwise transmit any Information, Content, or proprietary rights that you do not have a right to transmit under the Terms, any law or other contractual or fiduciary relationships; and/or</t>
  </si>
  <si>
    <t>(h) use any robot, spider, intelligent agent, meta-searching, other automatic device, or manual process to search, monitor or copy NetSol’s Web Site pages or the Content in violation of the Terms or without NetSol’s prior written permission, provided that generally available third party Web browsers such as Netscape Navigator® and Microsoft Internet Explorer® may be used without such permission.</t>
  </si>
  <si>
    <t>6. INFORMATION POSTED TO WEB SITE</t>
  </si>
  <si>
    <t>With respect to all Information you elect to post to publicly accessible areas of the Web Site, you agree that NetSol has the right to use, reproduce, copy, modify, publish, distribute, perform and display such Information (in whole or part) on worldwide basis; provided that such use is in accordance with the terms of NetSol’s Internet Privacy Policy.</t>
  </si>
  <si>
    <t>You acknowledge and agree that NetSol may preserve Information, and may also disclose Information if required to do so by law or in the good faith belief that such preservation or disclosure is reasonably necessary to: (a) comply with legal process; (b) enforce the Terms; (c) respond to claims that any Information violates the rights of third-parties; or (d) protect the rights, property, or personal safety of NetSol’s business, employees, Providers, affiliated or related entities, users, and/or the public.7. LINKS TO THIRD PARTY WEB SITES</t>
  </si>
  <si>
    <t>This Web Site may contain links to third-party or Provider Web sites not under NetSol’s control or operation (the ” Linked Sites “). The links will let you leave this Web Site and be directed to and access the Linked Sites, which you access is at your own risk. You acknowledge that NetSol provides the Linked Sites for your convenience and information only. NetSol does not endorse, nor is it responsible for, any content, information, or other related materials, products or services found at any such Linked Sites or any links contained within such Linked Sites, whether or not NetSol is affiliated with the owners of such Linked Sites. Except as otherwise specified in these Terms or pursuant to NetSol’s express written consent, you may not establish a hyperlink to this Web Site from your Web site or the Linked Sites, or provide any links that state or imply any sponsorship or endorsement of your Web site or the Linked Sites by NetSol or the Providers.</t>
  </si>
  <si>
    <t>8. DEALINGS WITH ADVERTISERS</t>
  </si>
  <si>
    <t>Your correspondence or business dealings with, or participation in promotions of, advertisers found on or through this Web Site or any Linked Sites, including payment for and delivery of related goods or services, and any other terms, conditions, warranties, or representations associated with such dealings, are solely between you and such advertisers. You agree that NetSol (and its affiliated or related entities and the Providers) shall neither be responsible nor liable for any loss or damage incurred by you as the result of any such dealings or as the result of the presence of such advertisers on or through this Web Site or the Linked Sites.</t>
  </si>
  <si>
    <t>9. NO WARRANTIES</t>
  </si>
  <si>
    <t>All content, products and services on this web site are provided “as is” and without warranties of any kind, either express or implied. other than those warranties which, under the u.s. laws applicable to these terms, are implied by law and are incapable of exclusion, restriction, or modification, netsol disclaims any and all warranties, express or implied, including, but not limited to, implied warranties of merchantability and fitness for a particular purpose</t>
  </si>
  <si>
    <t>Neither netsol, its affiliated or related entities, nor the providers, nor any person involved in the creation, production, hosting and/or distribution of this web site, warrant that the functions, features or services contained in this web site will be uninterrupted or error-free, that defects will be corrected, or that the server that makes the content available will be free of viruses or other harmful components. the content that you access on this web site is provided solely for your convenience and information only. netsol does not warrant or make any representations regarding the results that may be obtained from the use of this web site, or as to the reliability, accuracy or currency of any content, service, and/or merchandise provided or acquired pursuant to your use of this web site.</t>
  </si>
  <si>
    <t>Netsol is a distributor, and not a publisher, of the information and content at this web site. netsol has no more editorial control over such information and content than does a public library or newsstand. any opinions, advice, statements, services, offers, or other information expressed or made available by third parties or providers (including in the linked sites) are those of the respective authors or distributors of such information and content.</t>
  </si>
  <si>
    <t>Your use of this web site is at your own risk. you (and not netsol) assume the entire cost of all necessary servicing (including, without limitation, your internet connection) and repair or correction of your computer, network and/or system.</t>
  </si>
  <si>
    <t>10. LIMITATION OF LIABILITY</t>
  </si>
  <si>
    <t>In no event shall netsol, its affiliated or related entities or providers, nor any of its or their respective officers, directors, employees or agents, or any person or entity involved in the creation, production, distribution and hosting of this web site, be liable for any indirect, consequential, incidental, special, punitive or exemplary damages, whether arising under contract, warranty, or tort (including negligence) or any other theory of liability, regardless of whether netsol (or its affiliated or related entities or providers) knew or should have known of the possibility of such damages, including, without limitation, from the use or attempted use of this web site or any other linked site.</t>
  </si>
  <si>
    <t>NETSOL'S liability, and the liability of NETSOL'S affiliated or related entities and/or providers, to you or any third parties in any circumstance, is limited to the lesser of (a) the amount of fees, if any, you pay to NETSOL in the 12 months prior to the action giving rise to liability, or (b) $500. some states may not allow for the limitation of liability described above, so the foregoing limitation may not apply to you.</t>
  </si>
  <si>
    <t>By way of example only, netsol and related persons and entities shall not be responsible or liable for any claim or damage arising from failure of performance, error, omission, interruption, deletion, defect, delay in operation, computer virus, theft, destruction, unauthorized access to or alteration of personal records, or the reliance upon or use of content, information, opinions or other materials appearing on this web site. moreover, you expressly acknowledge and agree that netsol is not liable or responsible for any defamatory, offensive, or illegal conduct of other users or third parties.</t>
  </si>
  <si>
    <t>The limitation of liability reflects the allocation of risk between the parties. the limitations specified in this section 10 will survive and apply even if any limited remedy specified in these terms is found to have failed of its essential purpose. the limitations of liability provided in these terms inure to the benefit of netsol and the providers, and to all respective officers, directors, employees, representatives, attorneys, and agents.</t>
  </si>
  <si>
    <t>11. GOVERNING LAW AND JURISDICTION</t>
  </si>
  <si>
    <t>NetSol operates this Web Site (excluding Linked Sites, over which it has no authority or control) from its offices within the State of California (which may be subject to change from time to time at NetSol’s sole discretion). The Web Site can be accessed from all 50 states, as well as from other countries around the world. As each of these places has laws that may differ from those of California, by accessing this Web Site, you agree that these Terms and your use of the Web Site shall be governed in all respect by the internal substantive laws of the State of California, without regard to any conflict of laws provisions, and shall not be governed by the United Nations Convention on the International Sale of Goods. You further agree to submit to the exclusive jurisdiction and venue in the state and federal courts located in the State of New Jersey for all disputes, cases and controversies regarding this Web Site, your use of this Web Site, and your relationship with NetSol. NetSol makes no representation that materials on this Web Site are appropriate or available for use in other locations, and accessing them from territories where the Content is illegal is prohibited. Those who choose to access this Web Site from other locations do so at their own risk and are responsible for compliance with local laws, including laws regarding the transmission of technical data exported from the United States or the country in which you reside.</t>
  </si>
  <si>
    <t>12. INDEMNIFICATION</t>
  </si>
  <si>
    <t>NetSol reserves the right to report any wrongdoing, if and when it becomes aware of it, to any applicable government or law enforcement agencies. You agree to indemnify, defend and hold NetSol and the Providers, its and their officers, directors, employees, affiliated or related entities, agents, licensors, and suppliers, harmless from and against any and all claims, demands, actions, costs, liabilities, losses and damages of any kind (including attorneys’ fees) resulting from your use of this Web Site, your breach of any provision of these Terms and/or any negligent acts, omissions or intentional wrongdoing by You. Any such indemnification shall be conditioned on NetSol: (a) notifying you in writing of any such claim, demand, action, cost, liability, loss or threat of any thereof; (b) cooperating with you in the defense or settlement thereof; and (c) allowing you to control such defense or settlement. NetSol shall be entitled to participate in such defense at its own cost and expense.</t>
  </si>
  <si>
    <t>13. MESSAGE BOARDS</t>
  </si>
  <si>
    <t>In the event that NetSol provides message boards, web logs or blogs, or discussion forums on this Web Site (the ” Forums “), you agree to use the Forums only for personal purposes in a noncommercial manner. You shall not, without NetSol’s express approval, distribute or otherwise publish any material containing any solicitation of funds, advertising, or written solicitation for goods and services. You agree that any uploaded materials may be republished without compensation to you or any other person or entity. In addition, you warrant that all moral rights in any uploaded materials have been waived. While NetSol does not and cannot review every message posted by you or any other user in the Forums, and although NetSol is not responsible for these messages, NetSol reserves the right (but not the obligation) to delete, move, or edit messages that it, in its sole discretion, deems abusive, defamatory, obscene, in violation of copyright or trademark laws, in violation of these terms, or otherwise unacceptable. NetSol does not endorse any information that may be posted on this Web Site through the Forums.</t>
  </si>
  <si>
    <t>14. OTHER GENERAL PROVISIONSThese Terms are for the benefit of NetSol and the Providers, its and their officers, directors, employees, affiliated or related entities, agents, licensors, and suppliers. Each of these individuals or entities shall have the right to assert and enforce these Terms directly against you on its (or their own) behalf. NetSol’s failure to act with respect to a breach by you or others does not waive NetSol’s right to act with respect to subsequent or similar breaches.</t>
  </si>
  <si>
    <t>If any provision of these Terms is held to be invalid or unenforceable, such provision will be struck and the remaining provisions enforced. Headings are for reference purposes only.</t>
  </si>
  <si>
    <t>You and NetSol are dealing at arms’ length, creating a commercial relationship. NetSol is not your Agent or your fiduciary. Many of NetSol’s businesses and facilities may be independently owned and operated by independent franchisees and licensees. In such cases, these franchisees and licensees manage and operate the facilities, and they are the employers of all employees and contractors who work at the facilities. These franchisees are independent contractors, and no agency, partnership, joint venture, employee-employer or franchiser-franchisee relationship is intended or created by these Terms.</t>
  </si>
  <si>
    <t>The provisions and conditions of these Terms, and each obligation referenced herein, represent the entire Agreement between NetSol (including the Providers), its affiliated or related entities, and You, and supersede any prior agreements or understandings not incorporated herein. In the event that any inconsistencies exist between these Terms and any future published terms of use or understanding, the last published Terms shall prevail.</t>
  </si>
  <si>
    <t>NETSOL RESERVES ANY RIGHTS NOT EXPRESSLY GRANTED OR STATED IN THESE TERMS .</t>
  </si>
  <si>
    <t>Registered Company Details</t>
  </si>
  <si>
    <t>NetSol Technologies Europe Ltd (trading as NetSol Technologies). Registered Office Address: Planet House, North Heath Lane, Horsham RH12 5QE West Sussex England. Registered in England No 1998080. VAT:826611533</t>
  </si>
  <si>
    <t>General Principles:</t>
  </si>
  <si>
    <t>NETSOL Technologies Ltd (” NETSOL “) understands that your privacy is important to you and that you care about how your personal data is used and shared online. We respect and value the privacy of everyone who visits this website, https://netsoltech.com (“Our Site”) and will only collect and use personal data in ways that are described here, and in a manner that is consistent with our obligations and your rights under the law.</t>
  </si>
  <si>
    <t>Please read this Privacy Policy and Our Cookie Policy which constitutes part of this agreement carefully and ensure that you understand it. Your acceptance of our Privacy Policy is deemed to occur upon your first use of Our Site. If you do not accept and agree with this Privacy Policy, you must stop using our Site immediately.</t>
  </si>
  <si>
    <t>What Does This Policy Cover?</t>
  </si>
  <si>
    <t>This Privacy Policy applies only to your use of our site. Our site may contain links to other websites. Please note that we have no control over how your data is collected, stored, or used by other websites and we advise you to check the privacy policies of any such websites before providing any data to them.</t>
  </si>
  <si>
    <t>What Data is Being Collected?</t>
  </si>
  <si>
    <t>Our Websites:</t>
  </si>
  <si>
    <t>netsoltech.com, ascent.netsoltech.com, mobility.netsoltech.com</t>
  </si>
  <si>
    <t>Data we collect from you through our websites include your name, job title, business / company name, email and phone number. These are details you provide when engaging with us on our contact us / demo request forms. Our site may also place and access certain first party cookies on your computer or device. These cookies are detailed in our Cookie Policy. This policy is incorporated into this Privacy Policy by this reference.</t>
  </si>
  <si>
    <t>Job Applicants:</t>
  </si>
  <si>
    <t>As part of any recruitment process NETSOL collects and processes personal data relating to job applicants. We will collect your work history, contact details and any other information you have on your CV. We will always be clear about what we are asking for and why, and we will always ask for your consent to provide the information we need to adhere to local employment law.</t>
  </si>
  <si>
    <t>How Do We Use Your Data?</t>
  </si>
  <si>
    <t>All personal data is processed and stored securely, for no longer than is necessary in light of the reason(s) for which it was first collected. We will comply with our obligations and safeguard your rights under the GDPR at all times.</t>
  </si>
  <si>
    <t>Our use of your personal data will always have a lawful basis, either because it is necessary for our performance of a contract with you, because you have consented to our use of your personal data (e.g. by subscribing to emails), or because it is in our legitimate interests. Specifically, we may use your data for the following purposes:</t>
  </si>
  <si>
    <t>Providing and managing your Account.</t>
  </si>
  <si>
    <t>Providing and managing your access to our Site.</t>
  </si>
  <si>
    <t>Supplying our products and services to you (please note that We require your personal data in order to enter into a contract with you).</t>
  </si>
  <si>
    <t>Personalising and tailoring our products and services for you.</t>
  </si>
  <si>
    <t>Replying to emails from you.</t>
  </si>
  <si>
    <t>Supplying you with emails that you have opted into (you may unsubscribe or opt-out at any time by clicking unsubscribe.)</t>
  </si>
  <si>
    <t>Analysing your use of our Site and gathering feedback to enable us to continually improve our Site and your user experience.</t>
  </si>
  <si>
    <t>With your permission and/or where permitted by law, we may also use your data for marketing purposes which may include contacting you by email and/or telephone with information, news and offers on our products and services. We will not, however, send you any unsolicited marketing or spam and will take all reasonable steps to ensure that we fully protect your rights and comply with our obligations under the GDPR and the Privacy and Electronic Communications (EC Directive) Regulations 2003.</t>
  </si>
  <si>
    <t>You have the right to withdraw your consent to us using your personal data at any time, and to request that we delete it. You can do this by using the contact details provided in this Privacy Policy.</t>
  </si>
  <si>
    <t>How Long Do We Keep Your Data?</t>
  </si>
  <si>
    <t>We do not keep your personal data for any longer than is necessary in light of the reason(s) for which it was first collected. Data will therefore be retained for 2 years following its last use.</t>
  </si>
  <si>
    <t>If you’ve applied for a job with us:</t>
  </si>
  <si>
    <t>If you were unsuccessful, we will hold your application data for 8 months from the date of decision and we may contact you with details of relevant posts during that time. At the end of this period, we will delete your information.</t>
  </si>
  <si>
    <t>If you become a NETSOL employee, the data we gather about you will become part of your employee records. We will inform you during your employment of the retention periods of your data after you leave.</t>
  </si>
  <si>
    <t>How and Where Do We Store Your Data?</t>
  </si>
  <si>
    <t>We only keep your personal data for as long as we need to in order to use it as described above and/or for as long as we have your permission to keep it.</t>
  </si>
  <si>
    <t>Some or all of your data may be stored outside of the European Economic Area (“the EEA”) (The EEA consists of all EU member states, plus Norway, Iceland, and Liechtenstein). You are deemed to accept and agree to this by using our site and submitting information to us. If we do store data outside the EEA, We will take all reasonable steps to ensure that your data is treated as safely and securely as it would be within the UK and under the GDPR including using GDPR Compliant suppliers to process and store Personal Data.</t>
  </si>
  <si>
    <t>Do We Share Your Data?</t>
  </si>
  <si>
    <t>Here at NETSOL we take your privacy seriously and the information we hold about you is confidential. We may share your information with other companies in our group for providing you with our products and services, maintaining your account and monitoring the use of our products and services. This includes our parent companies and its subsidiaries</t>
  </si>
  <si>
    <t>We may sometimes contract with third parties to supply products and services to you on our behalf. These may include payment processing, delivery of goods, search engine facilities, advertising, and marketing. In some cases, the third parties may require access to some or all of your data. Where any of your data is required for such a purpose, we will take all reasonable steps to ensure that your data will be handled safely, securely, and in accordance with your rights, our obligations, and the obligations of the third party under the law.</t>
  </si>
  <si>
    <t>We may compile statistics about the use of our site including data on traffic, usage patterns, user numbers, sales, and other information. All such data will be anonymised and will not include any personally identifying data, or any anonymised data that can be combined with other data and used to identify you. We may from time to time share such data with third parties such as prospective investors, affiliates, partners, and advertisers. Data will only be shared and used within the bounds of the law.</t>
  </si>
  <si>
    <t>We may sometimes use third party data processors that are located outside of the European Economic Area (“the EEA”) (The EEA consists of all EU member states, plus Norway, Iceland, and Liechtenstein). Where we transfer any personal data outside the EEA, we will take all reasonable steps to ensure that your data is treated as safely and securely as it would be within the UK and under the GDPR.</t>
  </si>
  <si>
    <t>In certain circumstances, we may be legally required to share certain data held by us, which may include your personal data, for example, where we are involved in legal proceedings, where we are complying with legal requirements, a court order, or a governmental authority.</t>
  </si>
  <si>
    <t>Links to Other Websites</t>
  </si>
  <si>
    <t>Please note that this data Privacy Policy only applies to NETSOL Technologies Ltd. If you follow a link to another site from this one, we are not responsible for the safety of the information you give there. You are responsible for reviewing and abiding by the privacy policies of these third party sites to ensure they comply with the data protection</t>
  </si>
  <si>
    <t>What Happens If Our Business Changes Hands?</t>
  </si>
  <si>
    <t>We may, from time to time, expand or reduce our business and this may involve the sale and/or the transfer of control of all or part of our business. Any personal data that you have provided will, where it is relevant to any part of our business that is being transferred, be transferred along with that part and the new owner or newly controlling party will, under the terms of this Privacy Policy, be permitted to use that data only for the same purposes for which it was originally collected by Us.</t>
  </si>
  <si>
    <t>In the event that any of your data is to be transferred in such a manner, you will not be contacted in advance.</t>
  </si>
  <si>
    <t>Your Rights and How to Contact Us:</t>
  </si>
  <si>
    <t>As a data subject within the EU, you have the following rights under the GDPR, which this Policy and our use of personal data have been designed to uphold:</t>
  </si>
  <si>
    <t>The right to be informed about our collection and use of personal data</t>
  </si>
  <si>
    <t>The right of access to the personal data we hold about you.</t>
  </si>
  <si>
    <t>The right to rectification if any personal data we hold about you is inaccurate or incomplete.</t>
  </si>
  <si>
    <t>The right to be forgotten – i.e. the right to ask us to delete any personal data We hold about you (We only hold your personal data for a limited time, as explained in this policy but if you would like us to delete it sooner, please contact us.</t>
  </si>
  <si>
    <t>The right to restrict (i.e. prevent) the processing of your personal data.</t>
  </si>
  <si>
    <t>The right to data portability (obtaining a copy of your personal data to re-use with another service or organisation).</t>
  </si>
  <si>
    <t>The right to object to us using your personal data for particular purposes and Rights with respect to automated decision-making and profiling.</t>
  </si>
  <si>
    <t>You can exercise any of these rights by contacting our EU GDPR representative, Joanne Hope:</t>
  </si>
  <si>
    <t>Tel: 01403 282300 Email:nte.dpo@netsoltech.com Post: Planet House, North Heath Lane,Hosham,RH125QE</t>
  </si>
  <si>
    <t>We’ll respond to your request without delay and at the latest within one month of your request.</t>
  </si>
  <si>
    <t>You can use the same contact details if you have any cause for complaint about our use of your personal data. We will do our best to solve the problem for you. If we are unable to help, you also have the right to lodge a complaint with the UK’s supervisory authority, the Information Commissioner’s Office https://ico.org.uk. For further information about your rights, please contact the Information Commissioner’s Office or your local Citizens Advice Bureau.</t>
  </si>
  <si>
    <t>How Can You Control Your Data?</t>
  </si>
  <si>
    <t>When you submit personal data via our site, you may be given options to restrict our use of your data. In particular, we aim to give you strong controls on our use of your data for direct marketing purposes (including the ability to opt-out of receiving emails from us which you may do by unsubscribing using the links provided in our emails and at the point of providing your details).</t>
  </si>
  <si>
    <t>You may also wish to sign up to one or more of the preference services operating in the UK: The Telephone Preference Service (“the TPS”), the Corporate Telephone Preference Service (“the CTPS”), and the Mailing Preference Service (“the MPS”). These may help to prevent you receiving unsolicited marketing. Please note, however, that these services will not prevent you from receiving marketing communications that you have consented to receiving.</t>
  </si>
  <si>
    <t>How Can You Access Your Data?</t>
  </si>
  <si>
    <t>You have the right to ask for a copy of any of your personal data held by us (where such data is held). Under the GDPR, no fee is payable and we will provide any and all information in response to your request free of charge. Please contact us using the contact details provided in this privacy policy.</t>
  </si>
  <si>
    <t>Your Right to Withhold Information</t>
  </si>
  <si>
    <t>You may access our site without providing any data at all. However, to use all features and functions available you may be required to submit or allow for the collection of certain data.</t>
  </si>
  <si>
    <t>You may restrict our use of Cookies. For more information, see our Cookie Policy.</t>
  </si>
  <si>
    <t>Changes to Our Privacy Policy</t>
  </si>
  <si>
    <t>We may change this Privacy Policy from time to time (for example, if the law changes). Any changes will be immediately posted on our site and you will be deemed to have accepted the terms of the Privacy Policy on your first use of our site following the alterations. We recommend that you check this page regularly to keep up-to-date.</t>
  </si>
  <si>
    <t>Privacy Notice for California Residents</t>
  </si>
  <si>
    <t>Please review Netsol Technologies privacy notice for California Residents at Privacy-policy-CR</t>
  </si>
  <si>
    <t>When you visit or log in to our website, cookies and similar technologies may be used by our online data partners or vendors to associate these activities with other personal information they or others have about you, including by association with your email or home address. We (or service providers on our behalf) may then send communications and marketing to these email or home addresses. You may opt out of receiving this advertising by visiting https://app.retention.com/optout</t>
  </si>
  <si>
    <t>NETSOL’s Human Rights policy applies to every Netsol employee and is based on the following key principles:</t>
  </si>
  <si>
    <t>Conducting all of our business lawfully in all the communities that we serve and in a manner that respects and promotes human rights and equality for all employees, agency staff and suppliers wherever they are based.</t>
  </si>
  <si>
    <t>A recognition and respect of the fundamental human right to allow employees/people to lead a dignified and independent life, free from abuse, violations and any form of discrimination.</t>
  </si>
  <si>
    <t>A recognition that peoples’ human rights can be directly and indirectly affected by the company’s operations, products and services, and to take steps to identify and reduce the company’s negative impact on communities and environments wherever possible.</t>
  </si>
  <si>
    <t>A desire to act as a responsible organization in achieving a common set of standards applying to all peoples and all nations in the commitment to continual social and economic improvement.</t>
  </si>
  <si>
    <t>Oppose and prohibit the use of human trafficking, child labor, slavery and slave labor, and expect the same from all of our business partners and suppliers. As a global business, the Company is committed to compliance with the International Bill of Human Rights and both applicable labor laws and specific human rights laws such as the U.K.’s Modern Slavery Act.</t>
  </si>
  <si>
    <t>A commitment to seek to only enter into contractual relations with third parties who demonstrate a desire to apply similar principles to the above through their own frameworks and initiatives.</t>
  </si>
  <si>
    <t>Supply Chain</t>
  </si>
  <si>
    <t>NETSOL recognizes that the successful implementation of our Human Rights Policy is heavily influenced by the cooperation and support of our supply chains.</t>
  </si>
  <si>
    <t>If suppliers or contractors act in a way that is inconsistent with our Human Rights Policy and/or are complicit in any human rights abuses, NETSOL will look to terminate their contracts and end all commercial relations with them.</t>
  </si>
  <si>
    <t>Modern Slavery Act Transparency Statement</t>
  </si>
  <si>
    <t>Our Organization:</t>
  </si>
  <si>
    <t>NetSol Technologies, Inc. (“Netsol”) acknowledges internationally proclaimed human rights and is fully committed to combat slavery and human trafficking. We design, develop, market, and export proprietary software products to customers in the automobile financing and leasing, banking, and financial services industries worldwide. We also provide system integration, consulting, and IT products and services in exchange for fees from customers.</t>
  </si>
  <si>
    <t>We have ten wholly owned and six majority owned subsidiaries worldwide including the United Kingdom and our parent company is incorporated in the United States. NETSOL has more than 1400 permanent employees worldwide.</t>
  </si>
  <si>
    <t>The NetSol Human Rights Policy recognizes international human rights as set out in the Bill of Human Rights. Our Policy reflects our responsibilities around slavery and human trafficking.</t>
  </si>
  <si>
    <t>Our Policies and Due Diligence on Slavery and Human Trafficking:</t>
  </si>
  <si>
    <t>We are committed to ensuring that there is no modern slavery or human trafficking in our supply chains or in any part of our business. As a software and services company, we do not have a manufacturing base or supply chain for tangible goods. Accordingly, we believe there is a very low likelihood of slavery and/or human trafficking in our supply chain. However, our company is committed to promoting and protecting human rights wherever we do business. We expect our suppliers and other business partners to be committed to ethical behavior, to comply with all applicable laws and regulations, and to take action to promote the eradication of human trafficking and slavery. We will continue to work with our suppliers and refine our own requirements and processes to reinforce our commitment to human rights and a culture of ethical behavior, integrity and respect.</t>
  </si>
  <si>
    <t>This statement is made pursuant to section 54(1) of the Modern Slavery Act 2015 and constitutes our Company’s slavery and human trafficking statement for the financial year ending June 30, 2024.</t>
  </si>
  <si>
    <t>CEO,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</si>
</sst>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sz val="10.0"/>
      <color rgb="FF000000"/>
      <name val="Arial"/>
    </font>
    <font>
      <color theme="1"/>
      <name val="Arial"/>
      <scheme val="minor"/>
    </font>
    <font>
      <sz val="12.0"/>
      <color rgb="FF454648"/>
      <name val="Arial"/>
    </font>
    <font>
      <sz val="12.0"/>
      <color rgb="FF454648"/>
      <name val="PoppinsRegular"/>
    </font>
    <font>
      <sz val="10.0"/>
      <color rgb="FF1F1F1F"/>
      <name val="Consolas"/>
    </font>
    <font>
      <sz val="10.0"/>
      <color rgb="FF454648"/>
      <name val="PoppinsRegular"/>
    </font>
    <font>
      <sz val="10.0"/>
      <color rgb="FF000000"/>
      <name val="PoppinsLight"/>
    </font>
    <font>
      <sz val="10.0"/>
      <color rgb="FF000000"/>
      <name val="PoppinsRegula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1" numFmtId="0" xfId="0" applyAlignment="1" applyFont="1">
      <alignment readingOrder="0"/>
    </xf>
    <xf borderId="0" fillId="0" fontId="2" numFmtId="0" xfId="0" applyAlignment="1" applyFont="1">
      <alignment horizontal="left" readingOrder="0" shrinkToFit="0" wrapText="1"/>
    </xf>
    <xf borderId="0" fillId="2" fontId="3" numFmtId="0" xfId="0" applyAlignment="1" applyFont="1">
      <alignment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readingOrder="0"/>
    </xf>
    <xf borderId="0" fillId="2" fontId="6" numFmtId="0" xfId="0" applyAlignment="1" applyFont="1">
      <alignment readingOrder="0" shrinkToFit="0" wrapText="1"/>
    </xf>
    <xf borderId="0" fillId="0" fontId="3" numFmtId="0" xfId="0" applyFont="1"/>
    <xf borderId="0" fillId="2" fontId="6" numFmtId="0" xfId="0" applyAlignment="1" applyFont="1">
      <alignment readingOrder="0"/>
    </xf>
    <xf borderId="0" fillId="2" fontId="7" numFmtId="0" xfId="0" applyAlignment="1" applyFont="1">
      <alignment readingOrder="0"/>
    </xf>
    <xf borderId="0" fillId="0" fontId="3" numFmtId="9" xfId="0" applyAlignment="1" applyFont="1" applyNumberFormat="1">
      <alignment readingOrder="0"/>
    </xf>
    <xf borderId="0" fillId="0" fontId="8" numFmtId="0" xfId="0" applyAlignment="1" applyFont="1">
      <alignment readingOrder="0"/>
    </xf>
    <xf borderId="0" fillId="0" fontId="7" numFmtId="0" xfId="0" applyAlignment="1" applyFont="1">
      <alignment horizontal="left" readingOrder="0"/>
    </xf>
    <xf borderId="0" fillId="0" fontId="9" numFmtId="0" xfId="0" applyAlignment="1" applyFont="1">
      <alignment horizontal="left" readingOrder="0"/>
    </xf>
    <xf borderId="0" fillId="2" fontId="9" numFmtId="0" xfId="0" applyAlignment="1" applyFill="1" applyFont="1">
      <alignment horizontal="left" readingOrder="0"/>
    </xf>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50.25"/>
    <col customWidth="1" min="3" max="3" width="36.75"/>
    <col customWidth="1" min="4" max="4" width="16.38"/>
  </cols>
  <sheetData>
    <row r="1">
      <c r="A1" s="1" t="s">
        <v>0</v>
      </c>
      <c r="B1" s="2" t="s">
        <v>1</v>
      </c>
      <c r="C1" s="1" t="s">
        <v>2</v>
      </c>
      <c r="D1" s="3" t="s">
        <v>3</v>
      </c>
    </row>
    <row r="2">
      <c r="A2" s="4" t="s">
        <v>4</v>
      </c>
      <c r="B2" s="5" t="str">
        <f>IFERROR(__xludf.DUMMYFUNCTION("IF(ISBLANK(A2),"""",GOOGLETRANSLATE(A2,""en"",""es""))"),"Moldeando finanzas más inteligentes")</f>
        <v>Moldeando finanzas más inteligentes</v>
      </c>
      <c r="C2" s="6"/>
    </row>
    <row r="3">
      <c r="A3" s="4" t="s">
        <v>5</v>
      </c>
      <c r="B3" s="5" t="str">
        <f>IFERROR(__xludf.DUMMYFUNCTION("IF(ISBLANK(A3),"""",GOOGLETRANSLATE(A3,""en"",""es""))"),"Ecosistemas impulsados ​​por IA que hacen posible el comercio")</f>
        <v>Ecosistemas impulsados ​​por IA que hacen posible el comercio</v>
      </c>
      <c r="C3" s="6"/>
    </row>
    <row r="4">
      <c r="A4" s="7" t="s">
        <v>6</v>
      </c>
      <c r="B4" s="5" t="str">
        <f>IFERROR(__xludf.DUMMYFUNCTION("IF(ISBLANK(A4),"""",GOOGLETRANSLATE(A4,""en"",""es""))"),"sin costura")</f>
        <v>sin costura</v>
      </c>
      <c r="C4" s="7" t="s">
        <v>7</v>
      </c>
    </row>
    <row r="5">
      <c r="A5" s="7" t="s">
        <v>8</v>
      </c>
      <c r="B5" s="5" t="str">
        <f>IFERROR(__xludf.DUMMYFUNCTION("IF(ISBLANK(A5),"""",GOOGLETRANSLATE(A5,""en"",""es""))"),"seguro")</f>
        <v>seguro</v>
      </c>
      <c r="C5" s="6"/>
    </row>
    <row r="6">
      <c r="A6" s="7" t="s">
        <v>9</v>
      </c>
      <c r="B6" s="5" t="str">
        <f>IFERROR(__xludf.DUMMYFUNCTION("IF(ISBLANK(A6),"""",GOOGLETRANSLATE(A6,""en"",""es""))"),"transparente ")</f>
        <v>transparente </v>
      </c>
      <c r="C6" s="6"/>
    </row>
    <row r="7">
      <c r="A7" s="7" t="s">
        <v>10</v>
      </c>
      <c r="B7" s="5" t="str">
        <f>IFERROR(__xludf.DUMMYFUNCTION("IF(ISBLANK(A7),"""",GOOGLETRANSLATE(A7,""en"",""es""))"),"rentable")</f>
        <v>rentable</v>
      </c>
      <c r="C7" s="6"/>
    </row>
    <row r="8">
      <c r="A8" s="7" t="s">
        <v>11</v>
      </c>
      <c r="B8" s="5" t="str">
        <f>IFERROR(__xludf.DUMMYFUNCTION("IF(ISBLANK(A8),"""",GOOGLETRANSLATE(A8,""en"",""es""))"),"Eliminamos la complejidad del ciclo de vida de los activos con una plataforma componible que se integra sin esfuerzo.")</f>
        <v>Eliminamos la complejidad del ciclo de vida de los activos con una plataforma componible que se integra sin esfuerzo.</v>
      </c>
      <c r="C8" s="6"/>
    </row>
    <row r="9">
      <c r="A9" s="6"/>
      <c r="B9" s="5" t="str">
        <f>IFERROR(__xludf.DUMMYFUNCTION("IF(ISBLANK(A9),"""",GOOGLETRANSLATE(A9,""en"",""es""))"),"")</f>
        <v/>
      </c>
      <c r="C9" s="6"/>
    </row>
    <row r="10">
      <c r="A10" s="7" t="s">
        <v>12</v>
      </c>
      <c r="B10" s="5" t="str">
        <f>IFERROR(__xludf.DUMMYFUNCTION("IF(ISBLANK(A10),"""",GOOGLETRANSLATE(A10,""en"",""es""))"),"Ponte en contacto")</f>
        <v>Ponte en contacto</v>
      </c>
      <c r="C10" s="6"/>
    </row>
    <row r="11">
      <c r="A11" s="7" t="s">
        <v>13</v>
      </c>
      <c r="B11" s="5" t="str">
        <f>IFERROR(__xludf.DUMMYFUNCTION("IF(ISBLANK(A11),"""",GOOGLETRANSLATE(A11,""en"",""es""))"),"Distribuidores")</f>
        <v>Distribuidores</v>
      </c>
      <c r="C11" s="6"/>
    </row>
    <row r="12">
      <c r="A12" s="7" t="s">
        <v>14</v>
      </c>
      <c r="B12" s="5" t="str">
        <f>IFERROR(__xludf.DUMMYFUNCTION("IF(ISBLANK(A12),"""",GOOGLETRANSLATE(A12,""en"",""es""))"),"fabricantes de equipos originales (OEM)")</f>
        <v>fabricantes de equipos originales (OEM)</v>
      </c>
      <c r="C12" s="6"/>
    </row>
    <row r="13">
      <c r="A13" s="7" t="s">
        <v>15</v>
      </c>
      <c r="B13" s="5" t="str">
        <f>IFERROR(__xludf.DUMMYFUNCTION("IF(ISBLANK(A13),"""",GOOGLETRANSLATE(A13,""en"",""es""))"),"Prestamista minorista")</f>
        <v>Prestamista minorista</v>
      </c>
      <c r="C13" s="6"/>
    </row>
    <row r="14">
      <c r="A14" s="7" t="s">
        <v>16</v>
      </c>
      <c r="B14" s="5" t="str">
        <f>IFERROR(__xludf.DUMMYFUNCTION("IF(ISBLANK(A14),"""",GOOGLETRANSLATE(A14,""en"",""es""))"),"Corredores")</f>
        <v>Corredores</v>
      </c>
      <c r="C14" s="7" t="s">
        <v>17</v>
      </c>
    </row>
    <row r="15">
      <c r="A15" s="7" t="s">
        <v>18</v>
      </c>
      <c r="B15" s="5" t="str">
        <f>IFERROR(__xludf.DUMMYFUNCTION("IF(ISBLANK(A15),"""",GOOGLETRANSLATE(A15,""en"",""es""))"),"Prestamistas comerciales")</f>
        <v>Prestamistas comerciales</v>
      </c>
      <c r="C15" s="6"/>
    </row>
    <row r="16">
      <c r="A16" s="7" t="s">
        <v>19</v>
      </c>
      <c r="B16" s="5" t="str">
        <f>IFERROR(__xludf.DUMMYFUNCTION("IF(ISBLANK(A16),"""",GOOGLETRANSLATE(A16,""en"",""es""))"),"Las marcas líderes del mundo utilizan la tecnología de NETSOL.")</f>
        <v>Las marcas líderes del mundo utilizan la tecnología de NETSOL.</v>
      </c>
      <c r="C16" s="6"/>
    </row>
    <row r="17">
      <c r="A17" s="7" t="s">
        <v>20</v>
      </c>
      <c r="B17" s="5" t="str">
        <f>IFERROR(__xludf.DUMMYFUNCTION("IF(ISBLANK(A17),"""",GOOGLETRANSLATE(A17,""en"",""es""))"),"Plataforma Transcend")</f>
        <v>Plataforma Transcend</v>
      </c>
      <c r="C17" s="6"/>
    </row>
    <row r="18">
      <c r="A18" s="7" t="s">
        <v>21</v>
      </c>
      <c r="B18" s="5" t="str">
        <f>IFERROR(__xludf.DUMMYFUNCTION("IF(ISBLANK(A18),"""",GOOGLETRANSLATE(A18,""en"",""es""))"),"Una plataforma componible impulsada por IA para prestamistas, fabricantes de equipos originales, distribuidores y flotas que unifica el comercio minorista digital, la financiación de activos y la administración de préstamos con confianza y transparencia.")</f>
        <v>Una plataforma componible impulsada por IA para prestamistas, fabricantes de equipos originales, distribuidores y flotas que unifica el comercio minorista digital, la financiación de activos y la administración de préstamos con confianza y transparencia.</v>
      </c>
      <c r="C18" s="7" t="s">
        <v>22</v>
      </c>
    </row>
    <row r="19">
      <c r="A19" s="6"/>
      <c r="B19" s="5" t="str">
        <f>IFERROR(__xludf.DUMMYFUNCTION("IF(ISBLANK(A19),"""",GOOGLETRANSLATE(A19,""en"",""es""))"),"")</f>
        <v/>
      </c>
      <c r="C19" s="6"/>
    </row>
    <row r="20">
      <c r="A20" s="6"/>
      <c r="B20" s="5" t="str">
        <f>IFERROR(__xludf.DUMMYFUNCTION("IF(ISBLANK(A20),"""",GOOGLETRANSLATE(A20,""en"",""es""))"),"")</f>
        <v/>
      </c>
      <c r="C20" s="6"/>
    </row>
    <row r="21">
      <c r="A21" s="7" t="s">
        <v>23</v>
      </c>
      <c r="B21" s="5" t="str">
        <f>IFERROR(__xludf.DUMMYFUNCTION("IF(ISBLANK(A21),"""",GOOGLETRANSLATE(A21,""en"",""es""))"),"Trascender")</f>
        <v>Trascender</v>
      </c>
      <c r="C21" s="7" t="s">
        <v>24</v>
      </c>
      <c r="D21" s="7" t="s">
        <v>25</v>
      </c>
    </row>
    <row r="22">
      <c r="A22" s="7" t="s">
        <v>26</v>
      </c>
      <c r="B22" s="5" t="str">
        <f>IFERROR(__xludf.DUMMYFUNCTION("IF(ISBLANK(A22),"""",GOOGLETRANSLATE(A22,""en"",""es""))"),"Minorista")</f>
        <v>Minorista</v>
      </c>
      <c r="C22" s="7" t="s">
        <v>27</v>
      </c>
    </row>
    <row r="23">
      <c r="A23" s="7" t="s">
        <v>28</v>
      </c>
      <c r="B23" s="5" t="str">
        <f>IFERROR(__xludf.DUMMYFUNCTION("IF(ISBLANK(A23),"""",GOOGLETRANSLATE(A23,""en"",""es""))"),"Orquestación integral para fabricantes de equipos originales (OEM) y")</f>
        <v>Orquestación integral para fabricantes de equipos originales (OEM) y</v>
      </c>
      <c r="C23" s="7" t="s">
        <v>29</v>
      </c>
    </row>
    <row r="24">
      <c r="A24" s="7" t="s">
        <v>30</v>
      </c>
      <c r="B24" s="5" t="str">
        <f>IFERROR(__xludf.DUMMYFUNCTION("IF(ISBLANK(A24),"""",GOOGLETRANSLATE(A24,""en"",""es""))"),"distribuidores. Modular y escalable para unificar")</f>
        <v>distribuidores. Modular y escalable para unificar</v>
      </c>
      <c r="C24" s="7" t="s">
        <v>31</v>
      </c>
    </row>
    <row r="25">
      <c r="A25" s="7" t="s">
        <v>32</v>
      </c>
      <c r="B25" s="5" t="str">
        <f>IFERROR(__xludf.DUMMYFUNCTION("IF(ISBLANK(A25),"""",GOOGLETRANSLATE(A25,""en"",""es""))"),"recorridos por la sala de exposición y en línea en uno")</f>
        <v>recorridos por la sala de exposición y en línea en uno</v>
      </c>
      <c r="C25" s="7" t="s">
        <v>33</v>
      </c>
    </row>
    <row r="26">
      <c r="A26" s="7" t="s">
        <v>34</v>
      </c>
      <c r="B26" s="5" t="str">
        <f>IFERROR(__xludf.DUMMYFUNCTION("IF(ISBLANK(A26),"""",GOOGLETRANSLATE(A26,""en"",""es""))"),"Una experiencia de compra impecable.")</f>
        <v>Una experiencia de compra impecable.</v>
      </c>
      <c r="C26" s="7" t="s">
        <v>35</v>
      </c>
    </row>
    <row r="27">
      <c r="A27" s="7" t="s">
        <v>36</v>
      </c>
      <c r="B27" s="5" t="str">
        <f>IFERROR(__xludf.DUMMYFUNCTION("IF(ISBLANK(A27),"""",GOOGLETRANSLATE(A27,""en"",""es""))"),"Más información")</f>
        <v>Más información</v>
      </c>
      <c r="C27" s="6"/>
    </row>
    <row r="28">
      <c r="A28" s="7" t="s">
        <v>37</v>
      </c>
      <c r="B28" s="5" t="str">
        <f>IFERROR(__xludf.DUMMYFUNCTION("IF(ISBLANK(A28),"""",GOOGLETRANSLATE(A28,""en"",""es""))"),"Venta minorista de automóviles reinventada. Rutas personalizadas.")</f>
        <v>Venta minorista de automóviles reinventada. Rutas personalizadas.</v>
      </c>
      <c r="C28" s="6"/>
    </row>
    <row r="29">
      <c r="A29" s="7" t="s">
        <v>38</v>
      </c>
      <c r="B29" s="5" t="str">
        <f>IFERROR(__xludf.DUMMYFUNCTION("IF(ISBLANK(A29),"""",GOOGLETRANSLATE(A29,""en"",""es""))"),"Puntos de contacto conectados y precisión impulsada por IA.")</f>
        <v>Puntos de contacto conectados y precisión impulsada por IA.</v>
      </c>
      <c r="C29" s="6"/>
    </row>
    <row r="30">
      <c r="A30" s="7" t="s">
        <v>14</v>
      </c>
      <c r="B30" s="5" t="str">
        <f>IFERROR(__xludf.DUMMYFUNCTION("IF(ISBLANK(A30),"""",GOOGLETRANSLATE(A30,""en"",""es""))"),"fabricantes de equipos originales (OEM)")</f>
        <v>fabricantes de equipos originales (OEM)</v>
      </c>
      <c r="C30" s="6"/>
    </row>
    <row r="31">
      <c r="A31" s="7" t="s">
        <v>39</v>
      </c>
      <c r="B31" s="5" t="str">
        <f>IFERROR(__xludf.DUMMYFUNCTION("IF(ISBLANK(A31),"""",GOOGLETRANSLATE(A31,""en"",""es""))"),"distribuidores independientes")</f>
        <v>distribuidores independientes</v>
      </c>
      <c r="C31" s="6"/>
    </row>
    <row r="32">
      <c r="A32" s="7" t="s">
        <v>40</v>
      </c>
      <c r="B32" s="5" t="str">
        <f>IFERROR(__xludf.DUMMYFUNCTION("IF(ISBLANK(A32),"""",GOOGLETRANSLATE(A32,""en"",""es""))"),"Grupos de distribuidores")</f>
        <v>Grupos de distribuidores</v>
      </c>
      <c r="C32" s="6"/>
    </row>
    <row r="33">
      <c r="A33" s="7" t="s">
        <v>41</v>
      </c>
      <c r="B33" s="5" t="str">
        <f>IFERROR(__xludf.DUMMYFUNCTION("IF(ISBLANK(A33),"""",GOOGLETRANSLATE(A33,""en"",""es""))"),"Finanzas")</f>
        <v>Finanzas</v>
      </c>
      <c r="C33" s="6"/>
    </row>
    <row r="34">
      <c r="A34" s="7" t="s">
        <v>23</v>
      </c>
      <c r="B34" s="5" t="str">
        <f>IFERROR(__xludf.DUMMYFUNCTION("IF(ISBLANK(A34),"""",GOOGLETRANSLATE(A34,""en"",""es""))"),"Trascender")</f>
        <v>Trascender</v>
      </c>
      <c r="C34" s="6"/>
    </row>
    <row r="35">
      <c r="A35" s="6"/>
      <c r="B35" s="5" t="str">
        <f>IFERROR(__xludf.DUMMYFUNCTION("IF(ISBLANK(A35),"""",GOOGLETRANSLATE(A35,""en"",""es""))"),"")</f>
        <v/>
      </c>
      <c r="C35" s="6"/>
    </row>
    <row r="36">
      <c r="A36" s="7" t="s">
        <v>42</v>
      </c>
      <c r="B36" s="5" t="str">
        <f>IFERROR(__xludf.DUMMYFUNCTION("IF(ISBLANK(A36),"""",GOOGLETRANSLATE(A36,""en"",""es""))"),"Inteligencia basada en IA para todo el contrato")</f>
        <v>Inteligencia basada en IA para todo el contrato</v>
      </c>
      <c r="C36" s="7" t="s">
        <v>43</v>
      </c>
    </row>
    <row r="37">
      <c r="A37" s="7" t="s">
        <v>44</v>
      </c>
      <c r="B37" s="5" t="str">
        <f>IFERROR(__xludf.DUMMYFUNCTION("IF(ISBLANK(A37),"""",GOOGLETRANSLATE(A37,""en"",""es""))"),"ciclo de vida: mejora de las decisiones, la incorporación y")</f>
        <v>ciclo de vida: mejora de las decisiones, la incorporación y</v>
      </c>
      <c r="C37" s="7" t="s">
        <v>45</v>
      </c>
    </row>
    <row r="38">
      <c r="A38" s="7" t="s">
        <v>46</v>
      </c>
      <c r="B38" s="5" t="str">
        <f>IFERROR(__xludf.DUMMYFUNCTION("IF(ISBLANK(A38),"""",GOOGLETRANSLATE(A38,""en"",""es""))"),"Operaciones en los sectores de financiación de automóviles, equipos y comercio.")</f>
        <v>Operaciones en los sectores de financiación de automóviles, equipos y comercio.</v>
      </c>
      <c r="C38" s="7" t="s">
        <v>45</v>
      </c>
    </row>
    <row r="39">
      <c r="A39" s="6"/>
      <c r="B39" s="5" t="str">
        <f>IFERROR(__xludf.DUMMYFUNCTION("IF(ISBLANK(A39),"""",GOOGLETRANSLATE(A39,""en"",""es""))"),"")</f>
        <v/>
      </c>
      <c r="C39" s="6"/>
    </row>
    <row r="40">
      <c r="A40" s="7" t="s">
        <v>47</v>
      </c>
      <c r="B40" s="5" t="str">
        <f>IFERROR(__xludf.DUMMYFUNCTION("IF(ISBLANK(A40),"""",GOOGLETRANSLATE(A40,""en"",""es""))"),"Los préstamos más inteligentes comienzan aquí. Velocidad impulsada por IA.")</f>
        <v>Los préstamos más inteligentes comienzan aquí. Velocidad impulsada por IA.</v>
      </c>
      <c r="C40" s="7" t="s">
        <v>48</v>
      </c>
    </row>
    <row r="41">
      <c r="A41" s="7" t="s">
        <v>49</v>
      </c>
      <c r="B41" s="5" t="str">
        <f>IFERROR(__xludf.DUMMYFUNCTION("IF(ISBLANK(A41),"""",GOOGLETRANSLATE(A41,""en"",""es""))"),"flexibilidad y precisión.")</f>
        <v>flexibilidad y precisión.</v>
      </c>
      <c r="C41" s="7" t="s">
        <v>50</v>
      </c>
    </row>
    <row r="42">
      <c r="A42" s="7" t="s">
        <v>51</v>
      </c>
      <c r="B42" s="5" t="str">
        <f>IFERROR(__xludf.DUMMYFUNCTION("IF(ISBLANK(A42),"""",GOOGLETRANSLATE(A42,""en"",""es""))"),"Financiación de automóviles")</f>
        <v>Financiación de automóviles</v>
      </c>
      <c r="C42" s="6"/>
    </row>
    <row r="43">
      <c r="A43" s="7" t="s">
        <v>52</v>
      </c>
      <c r="B43" s="5" t="str">
        <f>IFERROR(__xludf.DUMMYFUNCTION("IF(ISBLANK(A43),"""",GOOGLETRANSLATE(A43,""en"",""es""))"),"Financiación de equipos")</f>
        <v>Financiación de equipos</v>
      </c>
      <c r="C43" s="6"/>
    </row>
    <row r="44">
      <c r="A44" s="7" t="s">
        <v>53</v>
      </c>
      <c r="B44" s="5" t="str">
        <f>IFERROR(__xludf.DUMMYFUNCTION("IF(ISBLANK(A44),"""",GOOGLETRANSLATE(A44,""en"",""es""))"),"Financiación de flotas")</f>
        <v>Financiación de flotas</v>
      </c>
      <c r="C44" s="6"/>
    </row>
    <row r="45">
      <c r="A45" s="7" t="s">
        <v>18</v>
      </c>
      <c r="B45" s="5" t="str">
        <f>IFERROR(__xludf.DUMMYFUNCTION("IF(ISBLANK(A45),"""",GOOGLETRANSLATE(A45,""en"",""es""))"),"Prestamistas comerciales")</f>
        <v>Prestamistas comerciales</v>
      </c>
      <c r="C45" s="6"/>
    </row>
    <row r="46">
      <c r="A46" s="7" t="s">
        <v>54</v>
      </c>
      <c r="B46" s="5" t="str">
        <f>IFERROR(__xludf.DUMMYFUNCTION("IF(ISBLANK(A46),"""",GOOGLETRANSLATE(A46,""en"",""es""))"),"Prestamistas especializados")</f>
        <v>Prestamistas especializados</v>
      </c>
      <c r="C46" s="6"/>
    </row>
    <row r="47">
      <c r="A47" s="7" t="s">
        <v>55</v>
      </c>
      <c r="B47" s="5" t="str">
        <f>IFERROR(__xludf.DUMMYFUNCTION("IF(ISBLANK(A47),"""",GOOGLETRANSLATE(A47,""en"",""es""))"),"Laboratorios de IA")</f>
        <v>Laboratorios de IA</v>
      </c>
      <c r="C47" s="7" t="s">
        <v>55</v>
      </c>
    </row>
    <row r="48">
      <c r="A48" s="7" t="s">
        <v>56</v>
      </c>
      <c r="B48" s="5" t="str">
        <f>IFERROR(__xludf.DUMMYFUNCTION("IF(ISBLANK(A48),"""",GOOGLETRANSLATE(A48,""en"",""es""))"),"Trascender la IA")</f>
        <v>Trascender la IA</v>
      </c>
      <c r="C48" s="7" t="s">
        <v>56</v>
      </c>
    </row>
    <row r="49">
      <c r="A49" s="7" t="s">
        <v>57</v>
      </c>
      <c r="B49" s="5" t="str">
        <f>IFERROR(__xludf.DUMMYFUNCTION("IF(ISBLANK(A49),"""",GOOGLETRANSLATE(A49,""en"",""es""))"),"Laboratorios")</f>
        <v>Laboratorios</v>
      </c>
      <c r="C49" s="7" t="s">
        <v>57</v>
      </c>
    </row>
    <row r="50">
      <c r="A50" s="8" t="s">
        <v>58</v>
      </c>
      <c r="B50" s="5" t="str">
        <f>IFERROR(__xludf.DUMMYFUNCTION("IF(ISBLANK(A50),"""",GOOGLETRANSLATE(A50,""en"",""es""))"),"Innovación en IA para préstamos, arrendamientos y comercio minorista. Herramientas diseñadas específicamente para...")</f>
        <v>Innovación en IA para préstamos, arrendamientos y comercio minorista. Herramientas diseñadas específicamente para...</v>
      </c>
      <c r="C50" s="6"/>
    </row>
    <row r="51">
      <c r="A51" s="7" t="s">
        <v>59</v>
      </c>
      <c r="B51" s="5" t="str">
        <f>IFERROR(__xludf.DUMMYFUNCTION("IF(ISBLANK(A51),"""",GOOGLETRANSLATE(A51,""en"",""es""))"),"Acelerar la transformación y generar un impacto real en todos los flujos de trabajo.")</f>
        <v>Acelerar la transformación y generar un impacto real en todos los flujos de trabajo.</v>
      </c>
      <c r="C51" s="6"/>
    </row>
    <row r="52">
      <c r="A52" s="6"/>
      <c r="B52" s="5" t="str">
        <f>IFERROR(__xludf.DUMMYFUNCTION("IF(ISBLANK(A52),"""",GOOGLETRANSLATE(A52,""en"",""es""))"),"")</f>
        <v/>
      </c>
      <c r="C52" s="6"/>
    </row>
    <row r="53">
      <c r="A53" s="7" t="s">
        <v>60</v>
      </c>
      <c r="B53" s="5" t="str">
        <f>IFERROR(__xludf.DUMMYFUNCTION("IF(ISBLANK(A53),"""",GOOGLETRANSLATE(A53,""en"",""es""))"),"Transformando el sector financiero, las finanzas y el arrendamiento.")</f>
        <v>Transformando el sector financiero, las finanzas y el arrendamiento.</v>
      </c>
      <c r="C53" s="6"/>
    </row>
    <row r="54">
      <c r="A54" s="7" t="s">
        <v>61</v>
      </c>
      <c r="B54" s="5" t="str">
        <f>IFERROR(__xludf.DUMMYFUNCTION("IF(ISBLANK(A54),"""",GOOGLETRANSLATE(A54,""en"",""es""))"),"con inteligencia artificial inteligente y específica para cada sector.")</f>
        <v>con inteligencia artificial inteligente y específica para cada sector.</v>
      </c>
      <c r="C54" s="7" t="s">
        <v>62</v>
      </c>
    </row>
    <row r="55">
      <c r="A55" s="7" t="s">
        <v>63</v>
      </c>
      <c r="B55" s="5" t="str">
        <f>IFERROR(__xludf.DUMMYFUNCTION("IF(ISBLANK(A55),"""",GOOGLETRANSLATE(A55,""en"",""es""))"),"Aplicaciones de IA")</f>
        <v>Aplicaciones de IA</v>
      </c>
      <c r="C55" s="6"/>
    </row>
    <row r="56">
      <c r="A56" s="7" t="s">
        <v>64</v>
      </c>
      <c r="B56" s="5" t="str">
        <f>IFERROR(__xludf.DUMMYFUNCTION("IF(ISBLANK(A56),"""",GOOGLETRANSLATE(A56,""en"",""es""))"),"Servicios de IA")</f>
        <v>Servicios de IA</v>
      </c>
      <c r="C56" s="6"/>
    </row>
    <row r="57">
      <c r="A57" s="7" t="s">
        <v>65</v>
      </c>
      <c r="B57" s="5" t="str">
        <f>IFERROR(__xludf.DUMMYFUNCTION("IF(ISBLANK(A57),"""",GOOGLETRANSLATE(A57,""en"",""es""))"),"Innovación de laboratorio")</f>
        <v>Innovación de laboratorio</v>
      </c>
      <c r="C57" s="6"/>
    </row>
    <row r="58">
      <c r="A58" s="6"/>
      <c r="B58" s="5" t="str">
        <f>IFERROR(__xludf.DUMMYFUNCTION("IF(ISBLANK(A58),"""",GOOGLETRANSLATE(A58,""en"",""es""))"),"")</f>
        <v/>
      </c>
      <c r="C58" s="6"/>
    </row>
    <row r="59">
      <c r="A59" s="6"/>
      <c r="B59" s="5" t="str">
        <f>IFERROR(__xludf.DUMMYFUNCTION("IF(ISBLANK(A59),"""",GOOGLETRANSLATE(A59,""en"",""es""))"),"")</f>
        <v/>
      </c>
      <c r="C59" s="6"/>
    </row>
    <row r="60">
      <c r="A60" s="7" t="s">
        <v>66</v>
      </c>
      <c r="B60" s="5" t="str">
        <f>IFERROR(__xludf.DUMMYFUNCTION("IF(ISBLANK(A60),"""",GOOGLETRANSLATE(A60,""en"",""es""))"),"Mercado")</f>
        <v>Mercado</v>
      </c>
      <c r="C60" s="7" t="s">
        <v>66</v>
      </c>
    </row>
    <row r="61">
      <c r="A61" s="7" t="s">
        <v>67</v>
      </c>
      <c r="B61" s="5" t="str">
        <f>IFERROR(__xludf.DUMMYFUNCTION("IF(ISBLANK(A61),"""",GOOGLETRANSLATE(A61,""en"",""es""))"),"Un mercado unificado de soluciones modulares basadas en API para préstamos, arrendamientos y comercio minorista. Diseñado para simplificar y acelerar cada flujo de trabajo.")</f>
        <v>Un mercado unificado de soluciones modulares basadas en API para préstamos, arrendamientos y comercio minorista. Diseñado para simplificar y acelerar cada flujo de trabajo.</v>
      </c>
      <c r="C61" s="6"/>
    </row>
    <row r="62">
      <c r="A62" s="6"/>
      <c r="B62" s="5" t="str">
        <f>IFERROR(__xludf.DUMMYFUNCTION("IF(ISBLANK(A62),"""",GOOGLETRANSLATE(A62,""en"",""es""))"),"")</f>
        <v/>
      </c>
      <c r="C62" s="6"/>
    </row>
    <row r="63">
      <c r="A63" s="7" t="s">
        <v>68</v>
      </c>
      <c r="B63" s="5" t="str">
        <f>IFERROR(__xludf.DUMMYFUNCTION("IF(ISBLANK(A63),"""",GOOGLETRANSLATE(A63,""en"",""es""))"),"Más inteligente. Más rápido. Conectado.")</f>
        <v>Más inteligente. Más rápido. Conectado.</v>
      </c>
      <c r="C63" s="6"/>
    </row>
    <row r="64">
      <c r="A64" s="7" t="s">
        <v>69</v>
      </c>
      <c r="B64" s="5" t="str">
        <f>IFERROR(__xludf.DUMMYFUNCTION("IF(ISBLANK(A64),"""",GOOGLETRANSLATE(A64,""en"",""es""))"),"Tu plataforma modular para financiación y leasing.")</f>
        <v>Tu plataforma modular para financiación y leasing.</v>
      </c>
      <c r="C64" s="6"/>
    </row>
    <row r="65">
      <c r="A65" s="7" t="s">
        <v>70</v>
      </c>
      <c r="B65" s="5" t="str">
        <f>IFERROR(__xludf.DUMMYFUNCTION("IF(ISBLANK(A65),"""",GOOGLETRANSLATE(A65,""en"",""es""))"),"Suscripción")</f>
        <v>Suscripción</v>
      </c>
      <c r="C65" s="6"/>
    </row>
    <row r="66">
      <c r="A66" s="7" t="s">
        <v>71</v>
      </c>
      <c r="B66" s="5" t="str">
        <f>IFERROR(__xludf.DUMMYFUNCTION("IF(ISBLANK(A66),"""",GOOGLETRANSLATE(A66,""en"",""es""))"),"API primero")</f>
        <v>API primero</v>
      </c>
      <c r="C66" s="6"/>
    </row>
    <row r="67">
      <c r="A67" s="7" t="s">
        <v>72</v>
      </c>
      <c r="B67" s="5" t="str">
        <f>IFERROR(__xludf.DUMMYFUNCTION("IF(ISBLANK(A67),"""",GOOGLETRANSLATE(A67,""en"",""es""))"),"Basado en componentes")</f>
        <v>Basado en componentes</v>
      </c>
      <c r="C67" s="6"/>
    </row>
    <row r="68">
      <c r="A68" s="7" t="s">
        <v>73</v>
      </c>
      <c r="B68" s="5" t="str">
        <f>IFERROR(__xludf.DUMMYFUNCTION("IF(ISBLANK(A68),"""",GOOGLETRANSLATE(A68,""en"",""es""))"),"Consultoría")</f>
        <v>Consultoría</v>
      </c>
      <c r="C68" s="6"/>
    </row>
    <row r="69">
      <c r="A69" s="6"/>
      <c r="B69" s="5" t="str">
        <f>IFERROR(__xludf.DUMMYFUNCTION("IF(ISBLANK(A69),"""",GOOGLETRANSLATE(A69,""en"",""es""))"),"")</f>
        <v/>
      </c>
      <c r="C69" s="6"/>
    </row>
    <row r="70">
      <c r="A70" s="7" t="s">
        <v>73</v>
      </c>
      <c r="B70" s="5" t="str">
        <f>IFERROR(__xludf.DUMMYFUNCTION("IF(ISBLANK(A70),"""",GOOGLETRANSLATE(A70,""en"",""es""))"),"Consultoría")</f>
        <v>Consultoría</v>
      </c>
      <c r="C70" s="6"/>
    </row>
    <row r="71">
      <c r="A71" s="9" t="s">
        <v>74</v>
      </c>
      <c r="B71" s="5" t="str">
        <f>IFERROR(__xludf.DUMMYFUNCTION("IF(ISBLANK(A71),"""",GOOGLETRANSLATE(A71,""en"",""es""))"),"Experiencia en IA, datos, nube y seguridad: ayudamos a las entidades financieras y de crédito a modernizarse, escalar con confianza y construir operaciones resilientes y preparadas para el futuro.")</f>
        <v>Experiencia en IA, datos, nube y seguridad: ayudamos a las entidades financieras y de crédito a modernizarse, escalar con confianza y construir operaciones resilientes y preparadas para el futuro.</v>
      </c>
      <c r="C71" s="6"/>
    </row>
    <row r="72">
      <c r="A72" s="6"/>
      <c r="B72" s="5" t="str">
        <f>IFERROR(__xludf.DUMMYFUNCTION("IF(ISBLANK(A72),"""",GOOGLETRANSLATE(A72,""en"",""es""))"),"")</f>
        <v/>
      </c>
      <c r="C72" s="6"/>
    </row>
    <row r="73">
      <c r="A73" s="7" t="s">
        <v>75</v>
      </c>
      <c r="B73" s="5" t="str">
        <f>IFERROR(__xludf.DUMMYFUNCTION("IF(ISBLANK(A73),"""",GOOGLETRANSLATE(A73,""en"",""es""))"),"Convertir desafíos complejos en oportunidades transformadoras.")</f>
        <v>Convertir desafíos complejos en oportunidades transformadoras.</v>
      </c>
      <c r="C73" s="7" t="s">
        <v>76</v>
      </c>
    </row>
    <row r="74">
      <c r="A74" s="7" t="s">
        <v>77</v>
      </c>
      <c r="B74" s="5" t="str">
        <f>IFERROR(__xludf.DUMMYFUNCTION("IF(ISBLANK(A74),"""",GOOGLETRANSLATE(A74,""en"",""es""))"),"Seguridad de la información")</f>
        <v>Seguridad de la información</v>
      </c>
      <c r="C74" s="6"/>
    </row>
    <row r="75">
      <c r="A75" s="7" t="s">
        <v>78</v>
      </c>
      <c r="B75" s="5" t="str">
        <f>IFERROR(__xludf.DUMMYFUNCTION("IF(ISBLANK(A75),"""",GOOGLETRANSLATE(A75,""en"",""es""))"),"Servicios de datos e IA")</f>
        <v>Servicios de datos e IA</v>
      </c>
      <c r="C75" s="6"/>
    </row>
    <row r="76">
      <c r="A76" s="7" t="s">
        <v>79</v>
      </c>
      <c r="B76" s="5" t="str">
        <f>IFERROR(__xludf.DUMMYFUNCTION("IF(ISBLANK(A76),"""",GOOGLETRANSLATE(A76,""en"",""es""))"),"Servicios en la nube")</f>
        <v>Servicios en la nube</v>
      </c>
      <c r="C76" s="6"/>
    </row>
    <row r="77">
      <c r="A77" s="7" t="s">
        <v>80</v>
      </c>
      <c r="B77" s="5" t="str">
        <f>IFERROR(__xludf.DUMMYFUNCTION("IF(ISBLANK(A77),"""",GOOGLETRANSLATE(A77,""en"",""es""))"),"Desarrollo a medida")</f>
        <v>Desarrollo a medida</v>
      </c>
      <c r="C77" s="6"/>
    </row>
    <row r="78">
      <c r="A78" s="7" t="s">
        <v>81</v>
      </c>
      <c r="B78" s="5" t="str">
        <f>IFERROR(__xludf.DUMMYFUNCTION("IF(ISBLANK(A78),"""",GOOGLETRANSLATE(A78,""en"",""es""))"),"A quiénes servimos")</f>
        <v>A quiénes servimos</v>
      </c>
      <c r="C78" s="6"/>
    </row>
    <row r="79">
      <c r="A79" s="7" t="s">
        <v>82</v>
      </c>
      <c r="B79" s="5" t="str">
        <f>IFERROR(__xludf.DUMMYFUNCTION("IF(ISBLANK(A79),"""",GOOGLETRANSLATE(A79,""en"",""es""))"),"Orquestando el comercio, la inteligencia y la innovación en los ecosistemas de financiación de activos, venta minorista y asesoramiento.")</f>
        <v>Orquestando el comercio, la inteligencia y la innovación en los ecosistemas de financiación de activos, venta minorista y asesoramiento.</v>
      </c>
      <c r="C79" s="6"/>
    </row>
    <row r="80">
      <c r="A80" s="7" t="s">
        <v>83</v>
      </c>
      <c r="B80" s="5" t="str">
        <f>IFERROR(__xludf.DUMMYFUNCTION("IF(ISBLANK(A80),"""",GOOGLETRANSLATE(A80,""en"",""es""))"),"Compañías cautivas y prestamistas")</f>
        <v>Compañías cautivas y prestamistas</v>
      </c>
      <c r="C80" s="6"/>
    </row>
    <row r="81">
      <c r="A81" s="7" t="s">
        <v>84</v>
      </c>
      <c r="B81" s="5" t="str">
        <f>IFERROR(__xludf.DUMMYFUNCTION("IF(ISBLANK(A81),"""",GOOGLETRANSLATE(A81,""en"",""es""))"),"Para las entidades financieras cautivas y los prestamistas, nuestra plataforma segura en la nube agiliza la financiación minorista y mayorista. Ofrecemos originación, administración y análisis diseñados para respaldar vehículos eléctricos, conectados y au"&amp;"tónomos.")</f>
        <v>Para las entidades financieras cautivas y los prestamistas, nuestra plataforma segura en la nube agiliza la financiación minorista y mayorista. Ofrecemos originación, administración y análisis diseñados para respaldar vehículos eléctricos, conectados y autónomos.</v>
      </c>
      <c r="C81" s="6"/>
    </row>
    <row r="82">
      <c r="A82" s="7" t="s">
        <v>85</v>
      </c>
      <c r="B82" s="5" t="str">
        <f>IFERROR(__xludf.DUMMYFUNCTION("IF(ISBLANK(A82),"""",GOOGLETRANSLATE(A82,""en"",""es""))"),"Fabricantes de equipos originales y distribuidores")</f>
        <v>Fabricantes de equipos originales y distribuidores</v>
      </c>
      <c r="C82" s="6"/>
    </row>
    <row r="83">
      <c r="A83" s="7" t="s">
        <v>86</v>
      </c>
      <c r="B83" s="5" t="str">
        <f>IFERROR(__xludf.DUMMYFUNCTION("IF(ISBLANK(A83),"""",GOOGLETRANSLATE(A83,""en"",""es""))"),"Apoyamos a fabricantes y distribuidores con una plataforma de movilidad preparada para el futuro. Desde la venta minorista digital hasta los viajes conectados, la financiación, el mantenimiento y los vehículos eléctricos, todos los canales unificados, tod"&amp;"os los puntos de contacto optimizados.")</f>
        <v>Apoyamos a fabricantes y distribuidores con una plataforma de movilidad preparada para el futuro. Desde la venta minorista digital hasta los viajes conectados, la financiación, el mantenimiento y los vehículos eléctricos, todos los canales unificados, todos los puntos de contacto optimizados.</v>
      </c>
      <c r="C83" s="6"/>
    </row>
    <row r="84">
      <c r="A84" s="7" t="s">
        <v>87</v>
      </c>
      <c r="B84" s="5" t="str">
        <f>IFERROR(__xludf.DUMMYFUNCTION("IF(ISBLANK(A84),"""",GOOGLETRANSLATE(A84,""en"",""es""))"),"Corredores y agregadores")</f>
        <v>Corredores y agregadores</v>
      </c>
      <c r="C84" s="6"/>
    </row>
    <row r="85">
      <c r="A85" s="7" t="s">
        <v>88</v>
      </c>
      <c r="B85" s="5" t="str">
        <f>IFERROR(__xludf.DUMMYFUNCTION("IF(ISBLANK(A85),"""",GOOGLETRANSLATE(A85,""en"",""es""))"),"Capacitar a intermediarios y agregadores con herramientas para gestionar flujos de trabajo de múltiples prestamistas, automatizar la documentación y acelerar las decisiones, garantizando al mismo tiempo la preparación para auditorías y la eficiencia opera"&amp;"tiva.")</f>
        <v>Capacitar a intermediarios y agregadores con herramientas para gestionar flujos de trabajo de múltiples prestamistas, automatizar la documentación y acelerar las decisiones, garantizando al mismo tiempo la preparación para auditorías y la eficiencia operativa.</v>
      </c>
      <c r="C85" s="6"/>
    </row>
    <row r="86">
      <c r="A86" s="7" t="s">
        <v>89</v>
      </c>
      <c r="B86" s="5" t="str">
        <f>IFERROR(__xludf.DUMMYFUNCTION("IF(ISBLANK(A86),"""",GOOGLETRANSLATE(A86,""en"",""es""))"),"Conéctate con nosotros")</f>
        <v>Conéctate con nosotros</v>
      </c>
      <c r="C86" s="6"/>
    </row>
    <row r="87">
      <c r="A87" s="7" t="s">
        <v>90</v>
      </c>
      <c r="B87" s="5" t="str">
        <f>IFERROR(__xludf.DUMMYFUNCTION("IF(ISBLANK(A87),"""",GOOGLETRANSLATE(A87,""en"",""es""))"),"Socio tecnológico de las marcas líderes del mundo")</f>
        <v>Socio tecnológico de las marcas líderes del mundo</v>
      </c>
      <c r="C87" s="6"/>
    </row>
    <row r="88">
      <c r="A88" s="7" t="s">
        <v>91</v>
      </c>
      <c r="B88" s="5" t="str">
        <f>IFERROR(__xludf.DUMMYFUNCTION("IF(ISBLANK(A88),"""",GOOGLETRANSLATE(A88,""en"",""es""))"),"NETSOL Technologies crea ecosistemas impulsados ​​por IA que simplifican las finanzas, el comercio, la venta minorista y los servicios para fabricantes de equipos originales (OEM), compañías de automoción cautivas, bancos, financieras independientes, dist"&amp;"ribuidores y flotas, empoderando a los consumidores para comprar, financiar, usar, dar servicio y renovar activos con confianza y transparencia.")</f>
        <v>NETSOL Technologies crea ecosistemas impulsados ​​por IA que simplifican las finanzas, el comercio, la venta minorista y los servicios para fabricantes de equipos originales (OEM), compañías de automoción cautivas, bancos, financieras independientes, distribuidores y flotas, empoderando a los consumidores para comprar, financiar, usar, dar servicio y renovar activos con confianza y transparencia.</v>
      </c>
      <c r="C88" s="6"/>
    </row>
    <row r="89">
      <c r="A89" s="7" t="s">
        <v>92</v>
      </c>
      <c r="B89" s="5" t="str">
        <f>IFERROR(__xludf.DUMMYFUNCTION("IF(ISBLANK(A89),"""",GOOGLETRANSLATE(A89,""en"",""es""))"),"Con más de 40 años de experiencia y operaciones en más de 40 países, ofrecemos plataformas seguras y componibles que se integran perfectamente con los sistemas de los socios, simplifican todo el ciclo de vida de los activos y brindan eficiencia operativa "&amp;"a gran escala.")</f>
        <v>Con más de 40 años de experiencia y operaciones en más de 40 países, ofrecemos plataformas seguras y componibles que se integran perfectamente con los sistemas de los socios, simplifican todo el ciclo de vida de los activos y brindan eficiencia operativa a gran escala.</v>
      </c>
      <c r="C89" s="6"/>
    </row>
    <row r="90">
      <c r="A90" s="7" t="s">
        <v>93</v>
      </c>
      <c r="B90" s="5" t="str">
        <f>IFERROR(__xludf.DUMMYFUNCTION("IF(ISBLANK(A90),"""",GOOGLETRANSLATE(A90,""en"",""es""))"),"Más de 200")</f>
        <v>Más de 200</v>
      </c>
      <c r="C90" s="6"/>
    </row>
    <row r="91">
      <c r="A91" s="7" t="s">
        <v>94</v>
      </c>
      <c r="B91" s="5" t="str">
        <f>IFERROR(__xludf.DUMMYFUNCTION("IF(ISBLANK(A91),"""",GOOGLETRANSLATE(A91,""en"",""es""))"),"Clientes en todo el mundo")</f>
        <v>Clientes en todo el mundo</v>
      </c>
      <c r="C91" s="6"/>
    </row>
    <row r="92">
      <c r="A92" s="7" t="s">
        <v>95</v>
      </c>
      <c r="B92" s="5" t="str">
        <f>IFERROR(__xludf.DUMMYFUNCTION("IF(ISBLANK(A92),"""",GOOGLETRANSLATE(A92,""en"",""es""))"),"Más de 300")</f>
        <v>Más de 300</v>
      </c>
      <c r="C92" s="6"/>
    </row>
    <row r="93">
      <c r="A93" s="7" t="s">
        <v>96</v>
      </c>
      <c r="B93" s="5" t="str">
        <f>IFERROR(__xludf.DUMMYFUNCTION("IF(ISBLANK(A93),"""",GOOGLETRANSLATE(A93,""en"",""es""))"),"Implementaciones exitosas")</f>
        <v>Implementaciones exitosas</v>
      </c>
      <c r="C93" s="6"/>
    </row>
    <row r="94">
      <c r="A94" s="7" t="s">
        <v>97</v>
      </c>
      <c r="B94" s="5" t="str">
        <f>IFERROR(__xludf.DUMMYFUNCTION("IF(ISBLANK(A94),"""",GOOGLETRANSLATE(A94,""en"",""es""))"),"Más de 500 mil millones de dólares")</f>
        <v>Más de 500 mil millones de dólares</v>
      </c>
      <c r="C94" s="6"/>
    </row>
    <row r="95">
      <c r="A95" s="7" t="s">
        <v>98</v>
      </c>
      <c r="B95" s="5" t="str">
        <f>IFERROR(__xludf.DUMMYFUNCTION("IF(ISBLANK(A95),"""",GOOGLETRANSLATE(A95,""en"",""es""))"),"Activos gestionados a nivel mundial")</f>
        <v>Activos gestionados a nivel mundial</v>
      </c>
      <c r="C95" s="6"/>
    </row>
    <row r="96">
      <c r="A96" s="7" t="s">
        <v>99</v>
      </c>
      <c r="B96" s="5" t="str">
        <f>IFERROR(__xludf.DUMMYFUNCTION("IF(ISBLANK(A96),"""",GOOGLETRANSLATE(A96,""en"",""es""))"),"Más de 25 años")</f>
        <v>Más de 25 años</v>
      </c>
      <c r="C96" s="6"/>
    </row>
    <row r="97">
      <c r="A97" s="7" t="s">
        <v>100</v>
      </c>
      <c r="B97" s="5" t="str">
        <f>IFERROR(__xludf.DUMMYFUNCTION("IF(ISBLANK(A97),"""",GOOGLETRANSLATE(A97,""en"",""es""))"),"Años en NASDAQ: NTWK")</f>
        <v>Años en NASDAQ: NTWK</v>
      </c>
      <c r="C97" s="6"/>
    </row>
    <row r="98">
      <c r="A98" s="7" t="s">
        <v>101</v>
      </c>
      <c r="B98" s="5" t="str">
        <f>IFERROR(__xludf.DUMMYFUNCTION("IF(ISBLANK(A98),"""",GOOGLETRANSLATE(A98,""en"",""es""))"),"A medida que evolucionan los modelos de negocio, los canales y las tecnologías, nuestro compromiso permanece constante: experiencias centradas en el ser humano, IA responsable y resultados medibles.")</f>
        <v>A medida que evolucionan los modelos de negocio, los canales y las tecnologías, nuestro compromiso permanece constante: experiencias centradas en el ser humano, IA responsable y resultados medibles.</v>
      </c>
      <c r="C98" s="6"/>
    </row>
    <row r="99">
      <c r="A99" s="7" t="s">
        <v>102</v>
      </c>
      <c r="B99" s="5" t="str">
        <f>IFERROR(__xludf.DUMMYFUNCTION("IF(ISBLANK(A99),"""",GOOGLETRANSLATE(A99,""en"",""es""))"),"Más allá del software, trabajamos como socio estratégico, ofreciendo un profundo conocimiento del sector, apoyo en la implementación y optimización de procesos para ayudar a nuestros clientes a modernizarse con confianza.")</f>
        <v>Más allá del software, trabajamos como socio estratégico, ofreciendo un profundo conocimiento del sector, apoyo en la implementación y optimización de procesos para ayudar a nuestros clientes a modernizarse con confianza.</v>
      </c>
      <c r="C99" s="6"/>
    </row>
    <row r="100">
      <c r="A100" s="7" t="s">
        <v>103</v>
      </c>
      <c r="B100" s="5" t="str">
        <f>IFERROR(__xludf.DUMMYFUNCTION("IF(ISBLANK(A100),"""",GOOGLETRANSLATE(A100,""en"",""es""))"),"NINI se asocia con NETSOL para impulsar su nueva era de experiencia en la venta minorista de automóviles.")</f>
        <v>NINI se asocia con NETSOL para impulsar su nueva era de experiencia en la venta minorista de automóviles.</v>
      </c>
      <c r="C100" s="6"/>
      <c r="D100" s="7" t="s">
        <v>104</v>
      </c>
    </row>
    <row r="101">
      <c r="A101" s="7" t="s">
        <v>105</v>
      </c>
      <c r="B101" s="5" t="str">
        <f>IFERROR(__xludf.DUMMYFUNCTION("IF(ISBLANK(A101),"""",GOOGLETRANSLATE(A101,""en"",""es""))"),"En MINI, decidimos que era hora de crear una experiencia integral de compra y financiación para el consumidor, y era importante crear algo más que un simple generador de clientes potenciales para facilitar la transacción completa a cualquier cliente de MI"&amp;"NI, en cualquier lugar y en cualquier momento. Nuestra alianza con NETSOL nos ha permitido no solo alcanzar a los líderes del sector, sino también establecer nuevos estándares en la venta digital de automóviles, algo que los actores habituales del sector "&amp;"no podían ofrecer.")</f>
        <v>En MINI, decidimos que era hora de crear una experiencia integral de compra y financiación para el consumidor, y era importante crear algo más que un simple generador de clientes potenciales para facilitar la transacción completa a cualquier cliente de MINI, en cualquier lugar y en cualquier momento. Nuestra alianza con NETSOL nos ha permitido no solo alcanzar a los líderes del sector, sino también establecer nuevos estándares en la venta digital de automóviles, algo que los actores habituales del sector no podían ofrecer.</v>
      </c>
      <c r="C101" s="6"/>
    </row>
    <row r="102">
      <c r="A102" s="7" t="s">
        <v>106</v>
      </c>
      <c r="B102" s="5" t="str">
        <f>IFERROR(__xludf.DUMMYFUNCTION("IF(ISBLANK(A102),"""",GOOGLETRANSLATE(A102,""en"",""es""))"),"Mike Peyton")</f>
        <v>Mike Peyton</v>
      </c>
      <c r="C102" s="6"/>
    </row>
    <row r="103">
      <c r="A103" s="7" t="s">
        <v>107</v>
      </c>
      <c r="B103" s="5" t="str">
        <f>IFERROR(__xludf.DUMMYFUNCTION("IF(ISBLANK(A103),"""",GOOGLETRANSLATE(A103,""en"",""es""))"),"Motorista principal y portavoz de NINI de las Américas")</f>
        <v>Motorista principal y portavoz de NINI de las Américas</v>
      </c>
      <c r="C103" s="6"/>
      <c r="D103" s="10" t="s">
        <v>108</v>
      </c>
    </row>
    <row r="104">
      <c r="A104" s="7" t="s">
        <v>109</v>
      </c>
      <c r="B104" s="5" t="str">
        <f>IFERROR(__xludf.DUMMYFUNCTION("IF(ISBLANK(A104),"""",GOOGLETRANSLATE(A104,""en"",""es""))"),"Ikano Bank obtiene una ventaja competitiva frente a NETSOL.")</f>
        <v>Ikano Bank obtiene una ventaja competitiva frente a NETSOL.</v>
      </c>
      <c r="C104" s="6"/>
    </row>
    <row r="105">
      <c r="A105" s="7" t="s">
        <v>110</v>
      </c>
      <c r="B105" s="5" t="str">
        <f>IFERROR(__xludf.DUMMYFUNCTION("IF(ISBLANK(A105),"""",GOOGLETRANSLATE(A105,""en"",""es""))"),"Nos complace colaborar con NETSOL como nuestro socio estratégico de plataforma. Las soluciones tecnológicas inteligentes de NETSOL gozan de gran reconocimiento en el sector financiero y de arrendamiento, y la implementación de Transcend Finance (anteriorm"&amp;"ente conocida como Ascent) nos permite mantener una ventaja competitiva en el dinámico mercado actual. Gracias a sus potentes motores de configuración, Ascent optimizará nuestros procesos, facilitando la incorporación de nuevos socios y acelerando el lanz"&amp;"amiento de nuevos productos en todos los mercados.")</f>
        <v>Nos complace colaborar con NETSOL como nuestro socio estratégico de plataforma. Las soluciones tecnológicas inteligentes de NETSOL gozan de gran reconocimiento en el sector financiero y de arrendamiento, y la implementación de Transcend Finance (anteriormente conocida como Ascent) nos permite mantener una ventaja competitiva en el dinámico mercado actual. Gracias a sus potentes motores de configuración, Ascent optimizará nuestros procesos, facilitando la incorporación de nuevos socios y acelerando el lanzamiento de nuevos productos en todos los mercados.</v>
      </c>
      <c r="C105" s="7" t="s">
        <v>111</v>
      </c>
    </row>
    <row r="106">
      <c r="A106" s="7" t="s">
        <v>112</v>
      </c>
      <c r="B106" s="5" t="str">
        <f>IFERROR(__xludf.DUMMYFUNCTION("IF(ISBLANK(A106),"""",GOOGLETRANSLATE(A106,""en"",""es""))"),"Henrik Staulund Director Comercial de Ikano Bank")</f>
        <v>Henrik Staulund Director Comercial de Ikano Bank</v>
      </c>
      <c r="C106" s="6"/>
    </row>
    <row r="107">
      <c r="A107" s="7" t="s">
        <v>113</v>
      </c>
      <c r="B107" s="5" t="str">
        <f>IFERROR(__xludf.DUMMYFUNCTION("IF(ISBLANK(A107),"""",GOOGLETRANSLATE(A107,""en"",""es""))"),"Haydock Financial encuentra el éxito con el mercado de NETSOL.")</f>
        <v>Haydock Financial encuentra el éxito con el mercado de NETSOL.</v>
      </c>
      <c r="C107" s="6"/>
    </row>
    <row r="108">
      <c r="A108" s="7" t="s">
        <v>114</v>
      </c>
      <c r="B108" s="5" t="str">
        <f>IFERROR(__xludf.DUMMYFUNCTION("IF(ISBLANK(A108),"""",GOOGLETRANSLATE(A108,""en"",""es""))"),"""Recomendaría sin duda tanto Appex Now como NETSOL. Los productos son excelentes. Funcionan de maravilla. Y NETSOL ha respondido a nuestras necesidades con rapidez. Realizaron cualquier cambio que les solicitamos con celeridad.""")</f>
        <v>"Recomendaría sin duda tanto Appex Now como NETSOL. Los productos son excelentes. Funcionan de maravilla. Y NETSOL ha respondido a nuestras necesidades con rapidez. Realizaron cualquier cambio que les solicitamos con celeridad."</v>
      </c>
      <c r="C108" s="6"/>
    </row>
    <row r="109">
      <c r="A109" s="7" t="s">
        <v>115</v>
      </c>
      <c r="B109" s="5" t="str">
        <f>IFERROR(__xludf.DUMMYFUNCTION("IF(ISBLANK(A109),"""",GOOGLETRANSLATE(A109,""en"",""es""))"),"Mike Boyes")</f>
        <v>Mike Boyes</v>
      </c>
      <c r="C109" s="6"/>
    </row>
    <row r="110">
      <c r="A110" s="7" t="s">
        <v>116</v>
      </c>
      <c r="B110" s="5" t="str">
        <f>IFERROR(__xludf.DUMMYFUNCTION("IF(ISBLANK(A110),"""",GOOGLETRANSLATE(A110,""en"",""es""))"),"Lecturas y reflexiones destacadas")</f>
        <v>Lecturas y reflexiones destacadas</v>
      </c>
      <c r="C110" s="6"/>
    </row>
    <row r="111">
      <c r="A111" s="7" t="s">
        <v>117</v>
      </c>
      <c r="B111" s="5" t="str">
        <f>IFERROR(__xludf.DUMMYFUNCTION("IF(ISBLANK(A111),"""",GOOGLETRANSLATE(A111,""en"",""es""))"),"Manténgase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c r="C111" s="6"/>
    </row>
    <row r="112">
      <c r="A112" s="7" t="s">
        <v>118</v>
      </c>
      <c r="B112" s="5" t="str">
        <f>IFERROR(__xludf.DUMMYFUNCTION("IF(ISBLANK(A112),"""",GOOGLETRANSLATE(A112,""en"",""es""))"),"Blog")</f>
        <v>Blog</v>
      </c>
      <c r="C112" s="6"/>
    </row>
    <row r="113">
      <c r="A113" s="7" t="s">
        <v>119</v>
      </c>
      <c r="B113" s="5" t="str">
        <f>IFERROR(__xludf.DUMMYFUNCTION("IF(ISBLANK(A113),"""",GOOGLETRANSLATE(A113,""en"",""es""))"),"Más allá del DMS: Por qué el futuro de la venta minorista de automóviles se basa en las API")</f>
        <v>Más allá del DMS: Por qué el futuro de la venta minorista de automóviles se basa en las API</v>
      </c>
      <c r="C113" s="6"/>
    </row>
    <row r="114">
      <c r="A114" s="6"/>
      <c r="B114" s="5" t="str">
        <f>IFERROR(__xludf.DUMMYFUNCTION("IF(ISBLANK(A114),"""",GOOGLETRANSLATE(A114,""en"",""es""))"),"")</f>
        <v/>
      </c>
      <c r="C114" s="6"/>
    </row>
    <row r="115">
      <c r="A115" s="6"/>
      <c r="B115" s="5" t="str">
        <f>IFERROR(__xludf.DUMMYFUNCTION("IF(ISBLANK(A115),"""",GOOGLETRANSLATE(A115,""en"",""es""))"),"")</f>
        <v/>
      </c>
      <c r="C115" s="6"/>
    </row>
    <row r="116">
      <c r="A116" s="7" t="s">
        <v>120</v>
      </c>
      <c r="B116" s="5" t="str">
        <f>IFERROR(__xludf.DUMMYFUNCTION("IF(ISBLANK(A116),"""",GOOGLETRANSLATE(A116,""en"",""es""))"),"NETSOL estará presente en la Conferencia y Premios GlobalData Automotive Europe 2025.")</f>
        <v>NETSOL estará presente en la Conferencia y Premios GlobalData Automotive Europe 2025.</v>
      </c>
      <c r="C116" s="6"/>
    </row>
    <row r="117">
      <c r="A117" s="6"/>
      <c r="B117" s="5" t="str">
        <f>IFERROR(__xludf.DUMMYFUNCTION("IF(ISBLANK(A117),"""",GOOGLETRANSLATE(A117,""en"",""es""))"),"")</f>
        <v/>
      </c>
      <c r="C117" s="6"/>
    </row>
    <row r="118">
      <c r="A118" s="6"/>
      <c r="B118" s="5" t="str">
        <f>IFERROR(__xludf.DUMMYFUNCTION("IF(ISBLANK(A118),"""",GOOGLETRANSLATE(A118,""en"",""es""))"),"")</f>
        <v/>
      </c>
      <c r="C118" s="6"/>
    </row>
    <row r="119">
      <c r="A119" s="7" t="s">
        <v>121</v>
      </c>
      <c r="B119" s="5" t="str">
        <f>IFERROR(__xludf.DUMMYFUNCTION("IF(ISBLANK(A119),"""",GOOGLETRANSLATE(A119,""en"",""es""))"),"NETSOL participa en la 25ª Cumbre Anual de Financiación Automotriz: Impulsando el futuro de la financiación automotriz")</f>
        <v>NETSOL participa en la 25ª Cumbre Anual de Financiación Automotriz: Impulsando el futuro de la financiación automotriz</v>
      </c>
      <c r="C119" s="6"/>
    </row>
    <row r="120">
      <c r="A120" s="6"/>
      <c r="B120" s="5" t="str">
        <f>IFERROR(__xludf.DUMMYFUNCTION("IF(ISBLANK(A120),"""",GOOGLETRANSLATE(A120,""en"",""es""))"),"")</f>
        <v/>
      </c>
      <c r="C120" s="6"/>
    </row>
    <row r="121">
      <c r="A121" s="6"/>
      <c r="B121" s="5" t="str">
        <f>IFERROR(__xludf.DUMMYFUNCTION("IF(ISBLANK(A121),"""",GOOGLETRANSLATE(A121,""en"",""es""))"),"")</f>
        <v/>
      </c>
      <c r="C121" s="6"/>
    </row>
    <row r="122">
      <c r="A122" s="7" t="s">
        <v>122</v>
      </c>
      <c r="B122" s="5" t="str">
        <f>IFERROR(__xludf.DUMMYFUNCTION("IF(ISBLANK(A122),"""",GOOGLETRANSLATE(A122,""en"",""es""))"),"NETSOL está presente en Digital Dealer 2025: Impulsando el futuro de la venta minorista de automóviles.")</f>
        <v>NETSOL está presente en Digital Dealer 2025: Impulsando el futuro de la venta minorista de automóviles.</v>
      </c>
      <c r="C122" s="6"/>
    </row>
    <row r="123">
      <c r="A123" s="6"/>
      <c r="B123" s="5" t="str">
        <f>IFERROR(__xludf.DUMMYFUNCTION("IF(ISBLANK(A123),"""",GOOGLETRANSLATE(A123,""en"",""es""))"),"")</f>
        <v/>
      </c>
      <c r="C123" s="6"/>
    </row>
    <row r="124">
      <c r="A124" s="6"/>
      <c r="B124" s="5" t="str">
        <f>IFERROR(__xludf.DUMMYFUNCTION("IF(ISBLANK(A124),"""",GOOGLETRANSLATE(A124,""en"",""es""))"),"")</f>
        <v/>
      </c>
      <c r="C124" s="6"/>
    </row>
    <row r="125">
      <c r="A125" s="11" t="s">
        <v>123</v>
      </c>
      <c r="B125" s="5" t="str">
        <f>IFERROR(__xludf.DUMMYFUNCTION("IF(ISBLANK(A125),"""",GOOGLETRANSLATE(A125,""en"",""es""))"),"La IA en el sector BFSI: revolucionando la gestión de riesgos")</f>
        <v>La IA en el sector BFSI: revolucionando la gestión de riesgos</v>
      </c>
      <c r="C125" s="6"/>
    </row>
    <row r="126">
      <c r="A126" s="6"/>
      <c r="B126" s="5" t="str">
        <f>IFERROR(__xludf.DUMMYFUNCTION("IF(ISBLANK(A126),"""",GOOGLETRANSLATE(A126,""en"",""es""))"),"")</f>
        <v/>
      </c>
      <c r="C126" s="6"/>
    </row>
    <row r="127">
      <c r="A127" s="6"/>
      <c r="B127" s="5" t="str">
        <f>IFERROR(__xludf.DUMMYFUNCTION("IF(ISBLANK(A127),"""",GOOGLETRANSLATE(A127,""en"",""es""))"),"")</f>
        <v/>
      </c>
      <c r="C127" s="6"/>
    </row>
    <row r="128">
      <c r="A128" s="7" t="s">
        <v>124</v>
      </c>
      <c r="B128" s="5" t="str">
        <f>IFERROR(__xludf.DUMMYFUNCTION("IF(ISBLANK(A128),"""",GOOGLETRANSLATE(A128,""en"",""es""))"),"La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c r="C128" s="6"/>
    </row>
    <row r="129">
      <c r="A129" s="6"/>
      <c r="B129" s="5" t="str">
        <f>IFERROR(__xludf.DUMMYFUNCTION("IF(ISBLANK(A129),"""",GOOGLETRANSLATE(A129,""en"",""es""))"),"")</f>
        <v/>
      </c>
      <c r="C129" s="6"/>
    </row>
    <row r="130">
      <c r="A130" s="6"/>
      <c r="B130" s="5" t="str">
        <f>IFERROR(__xludf.DUMMYFUNCTION("IF(ISBLANK(A130),"""",GOOGLETRANSLATE(A130,""en"",""es""))"),"")</f>
        <v/>
      </c>
      <c r="C130" s="6"/>
    </row>
    <row r="131">
      <c r="A131" s="7" t="s">
        <v>125</v>
      </c>
      <c r="B131" s="5" t="str">
        <f>IFERROR(__xludf.DUMMYFUNCTION("IF(ISBLANK(A131),"""",GOOGLETRANSLATE(A131,""en"",""es""))"),"El verdadero coste de los sistemas desconectados en la venta minorista de automóviles")</f>
        <v>El verdadero coste de los sistemas desconectados en la venta minorista de automóviles</v>
      </c>
      <c r="C131" s="6"/>
    </row>
    <row r="132">
      <c r="A132" s="6"/>
      <c r="B132" s="5" t="str">
        <f>IFERROR(__xludf.DUMMYFUNCTION("IF(ISBLANK(A132),"""",GOOGLETRANSLATE(A132,""en"",""es""))"),"")</f>
        <v/>
      </c>
      <c r="C132" s="6"/>
    </row>
    <row r="133">
      <c r="A133" s="6"/>
      <c r="B133" s="5" t="str">
        <f>IFERROR(__xludf.DUMMYFUNCTION("IF(ISBLANK(A133),"""",GOOGLETRANSLATE(A133,""en"",""es""))"),"")</f>
        <v/>
      </c>
      <c r="C133" s="6"/>
    </row>
    <row r="134">
      <c r="A134" s="7" t="s">
        <v>126</v>
      </c>
      <c r="B134" s="5" t="str">
        <f>IFERROR(__xludf.DUMMYFUNCTION("IF(ISBLANK(A134),"""",GOOGLETRANSLATE(A134,""en"",""es""))"),"Las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c r="C134" s="6"/>
    </row>
    <row r="135">
      <c r="A135" s="6"/>
      <c r="B135" s="5" t="str">
        <f>IFERROR(__xludf.DUMMYFUNCTION("IF(ISBLANK(A135),"""",GOOGLETRANSLATE(A135,""en"",""es""))"),"")</f>
        <v/>
      </c>
      <c r="C135" s="6"/>
    </row>
    <row r="136">
      <c r="A136" s="6"/>
      <c r="B136" s="5" t="str">
        <f>IFERROR(__xludf.DUMMYFUNCTION("IF(ISBLANK(A136),"""",GOOGLETRANSLATE(A136,""en"",""es""))"),"")</f>
        <v/>
      </c>
      <c r="C136" s="6"/>
    </row>
    <row r="137">
      <c r="A137" s="7" t="s">
        <v>127</v>
      </c>
      <c r="B137" s="5" t="str">
        <f>IFERROR(__xludf.DUMMYFUNCTION("IF(ISBLANK(A137),"""",GOOGLETRANSLATE(A137,""en"",""es""))"),"Lucha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c r="C137" s="6"/>
    </row>
    <row r="138">
      <c r="A138" s="6"/>
      <c r="B138" s="5" t="str">
        <f>IFERROR(__xludf.DUMMYFUNCTION("IF(ISBLANK(A138),"""",GOOGLETRANSLATE(A138,""en"",""es""))"),"")</f>
        <v/>
      </c>
      <c r="C138" s="6"/>
    </row>
    <row r="139">
      <c r="A139" s="7" t="s">
        <v>128</v>
      </c>
      <c r="B139" s="5" t="str">
        <f>IFERROR(__xludf.DUMMYFUNCTION("IF(ISBLANK(A139),"""",GOOGLETRANSLATE(A139,""en"",""es""))"),"Hablemos de lo que sigue.")</f>
        <v>Hablemos de lo que sigue.</v>
      </c>
      <c r="C139" s="6"/>
    </row>
    <row r="140">
      <c r="A140" s="7" t="s">
        <v>129</v>
      </c>
      <c r="B140" s="5" t="str">
        <f>IFERROR(__xludf.DUMMYFUNCTION("IF(ISBLANK(A140),"""",GOOGLETRANSLATE(A140,""en"",""es""))"),"Replantéate lo que tu empresa puede lograr con el socio adecuado a tu lado.")</f>
        <v>Replantéate lo que tu empresa puede lograr con el socio adecuado a tu lado.</v>
      </c>
      <c r="C140" s="6"/>
    </row>
    <row r="141">
      <c r="A141" s="6"/>
      <c r="B141" s="5" t="str">
        <f>IFERROR(__xludf.DUMMYFUNCTION("IF(ISBLANK(A141),"""",GOOGLETRANSLATE(A141,""en"",""es""))"),"")</f>
        <v/>
      </c>
      <c r="C141" s="6"/>
    </row>
    <row r="142">
      <c r="A142" s="7" t="s">
        <v>130</v>
      </c>
      <c r="B142" s="5" t="str">
        <f>IFERROR(__xludf.DUMMYFUNCTION("IF(ISBLANK(A142),"""",GOOGLETRANSLATE(A142,""en"",""es""))"),"Suscríbase a nuestro boletín para recibir las últimas noticias en su correo electrónico.")</f>
        <v>Suscríbase a nuestro boletín para recibir las últimas noticias en su correo electrónico.</v>
      </c>
      <c r="C142" s="6"/>
    </row>
    <row r="143">
      <c r="A143" s="7" t="s">
        <v>131</v>
      </c>
      <c r="B143" s="5" t="str">
        <f>IFERROR(__xludf.DUMMYFUNCTION("IF(ISBLANK(A143),"""",GOOGLETRANSLATE(A143,""en"",""es""))"),"abc@example.com")</f>
        <v>abc@example.com</v>
      </c>
      <c r="C143" s="6"/>
    </row>
    <row r="144">
      <c r="A144" s="7" t="s">
        <v>132</v>
      </c>
      <c r="B144" s="5" t="str">
        <f>IFERROR(__xludf.DUMMYFUNCTION("IF(ISBLANK(A144),"""",GOOGLETRANSLATE(A144,""en"",""es""))"),"Suscríbete")</f>
        <v>Suscríbete</v>
      </c>
      <c r="C144" s="6"/>
    </row>
    <row r="145">
      <c r="A145" s="6"/>
      <c r="B145" s="5"/>
      <c r="C145" s="6"/>
    </row>
    <row r="146">
      <c r="A146" s="6"/>
      <c r="B146" s="5"/>
      <c r="C146" s="6"/>
    </row>
    <row r="147">
      <c r="A147" s="6"/>
      <c r="B147" s="5"/>
      <c r="C147" s="6"/>
    </row>
    <row r="148">
      <c r="A148" s="6"/>
      <c r="B148" s="5"/>
      <c r="C148" s="6"/>
    </row>
    <row r="149">
      <c r="A149" s="6"/>
      <c r="B149" s="5"/>
      <c r="C149" s="6"/>
    </row>
    <row r="150">
      <c r="A150" s="6"/>
      <c r="B150" s="5"/>
      <c r="C150" s="6"/>
    </row>
    <row r="151">
      <c r="A151" s="6"/>
      <c r="B151" s="5"/>
      <c r="C151" s="6"/>
    </row>
    <row r="152">
      <c r="A152" s="6"/>
      <c r="B152" s="5"/>
      <c r="C152" s="6"/>
    </row>
    <row r="153">
      <c r="A153" s="6"/>
      <c r="B153" s="5"/>
      <c r="C153" s="6"/>
    </row>
    <row r="154">
      <c r="A154" s="6"/>
      <c r="B154" s="5"/>
      <c r="C154" s="6"/>
    </row>
    <row r="155">
      <c r="A155" s="6"/>
      <c r="B155" s="5"/>
      <c r="C155" s="6"/>
    </row>
    <row r="156">
      <c r="A156" s="6"/>
      <c r="B156" s="5"/>
      <c r="C156" s="6"/>
    </row>
    <row r="157">
      <c r="A157" s="6"/>
      <c r="B157" s="5"/>
      <c r="C157" s="6"/>
    </row>
    <row r="158">
      <c r="A158" s="6"/>
      <c r="B158" s="5"/>
      <c r="C158" s="6"/>
    </row>
    <row r="159">
      <c r="A159" s="6"/>
      <c r="B159" s="5"/>
      <c r="C159" s="6"/>
    </row>
    <row r="160">
      <c r="A160" s="6"/>
      <c r="B160" s="5"/>
      <c r="C160" s="6"/>
    </row>
    <row r="161">
      <c r="A161" s="6"/>
      <c r="B161" s="5"/>
      <c r="C161" s="6"/>
    </row>
    <row r="162">
      <c r="A162" s="6"/>
      <c r="B162" s="5"/>
      <c r="C162" s="6"/>
    </row>
    <row r="163">
      <c r="A163" s="6"/>
      <c r="B163" s="5"/>
      <c r="C163" s="6"/>
    </row>
    <row r="164">
      <c r="A164" s="6"/>
      <c r="B164" s="5"/>
      <c r="C164" s="6"/>
    </row>
    <row r="165">
      <c r="A165" s="6"/>
      <c r="B165" s="5"/>
      <c r="C165" s="6"/>
    </row>
    <row r="166">
      <c r="A166" s="6"/>
      <c r="B166" s="5"/>
      <c r="C166" s="6"/>
    </row>
    <row r="167">
      <c r="A167" s="6"/>
      <c r="B167" s="5"/>
      <c r="C167" s="6"/>
    </row>
    <row r="168">
      <c r="A168" s="6"/>
      <c r="B168" s="5"/>
      <c r="C168" s="6"/>
    </row>
    <row r="169">
      <c r="A169" s="6"/>
      <c r="B169" s="5"/>
      <c r="C169" s="6"/>
    </row>
    <row r="170">
      <c r="A170" s="6"/>
      <c r="B170" s="5"/>
      <c r="C170" s="6"/>
    </row>
    <row r="171">
      <c r="A171" s="6"/>
      <c r="B171" s="5"/>
      <c r="C171" s="6"/>
    </row>
    <row r="172">
      <c r="A172" s="6"/>
      <c r="B172" s="5"/>
      <c r="C172" s="6"/>
    </row>
    <row r="173">
      <c r="A173" s="6"/>
      <c r="B173" s="5"/>
      <c r="C173" s="6"/>
    </row>
    <row r="174">
      <c r="A174" s="6"/>
      <c r="B174" s="5"/>
      <c r="C174" s="6"/>
    </row>
    <row r="175">
      <c r="A175" s="6"/>
      <c r="B175" s="5"/>
      <c r="C175" s="6"/>
    </row>
    <row r="176">
      <c r="A176" s="6"/>
      <c r="B176" s="5"/>
      <c r="C176" s="6"/>
    </row>
    <row r="177">
      <c r="A177" s="6"/>
      <c r="B177" s="5"/>
      <c r="C177" s="6"/>
    </row>
    <row r="178">
      <c r="A178" s="6"/>
      <c r="B178" s="5"/>
      <c r="C178" s="6"/>
    </row>
    <row r="179">
      <c r="A179" s="6"/>
      <c r="B179" s="5"/>
      <c r="C179" s="6"/>
    </row>
    <row r="180">
      <c r="A180" s="6"/>
      <c r="B180" s="5"/>
      <c r="C180" s="6"/>
    </row>
    <row r="181">
      <c r="A181" s="6"/>
      <c r="B181" s="5"/>
      <c r="C181" s="6"/>
    </row>
    <row r="182">
      <c r="A182" s="6"/>
      <c r="B182" s="5"/>
      <c r="C182" s="6"/>
    </row>
    <row r="183">
      <c r="A183" s="6"/>
      <c r="B183" s="5"/>
      <c r="C183" s="6"/>
    </row>
    <row r="184">
      <c r="A184" s="6"/>
      <c r="B184" s="5"/>
      <c r="C184" s="6"/>
    </row>
    <row r="185">
      <c r="A185" s="6"/>
      <c r="B185" s="5"/>
      <c r="C185" s="6"/>
    </row>
    <row r="186">
      <c r="A186" s="6"/>
      <c r="B186" s="5"/>
      <c r="C186" s="6"/>
    </row>
    <row r="187">
      <c r="A187" s="6"/>
      <c r="B187" s="5"/>
      <c r="C187" s="6"/>
    </row>
    <row r="188">
      <c r="A188" s="6"/>
      <c r="B188" s="5"/>
      <c r="C188" s="6"/>
    </row>
    <row r="189">
      <c r="A189" s="6"/>
      <c r="B189" s="5"/>
      <c r="C189" s="6"/>
    </row>
    <row r="190">
      <c r="A190" s="6"/>
      <c r="B190" s="5"/>
      <c r="C190" s="6"/>
    </row>
    <row r="191">
      <c r="A191" s="6"/>
      <c r="B191" s="5"/>
      <c r="C191" s="6"/>
    </row>
    <row r="192">
      <c r="A192" s="6"/>
      <c r="B192" s="5"/>
      <c r="C192" s="6"/>
    </row>
    <row r="193">
      <c r="A193" s="6"/>
      <c r="B193" s="5"/>
      <c r="C193" s="6"/>
    </row>
    <row r="194">
      <c r="A194" s="6"/>
      <c r="B194" s="5"/>
      <c r="C194" s="6"/>
    </row>
    <row r="195">
      <c r="A195" s="6"/>
      <c r="B195" s="5"/>
      <c r="C195" s="6"/>
    </row>
    <row r="196">
      <c r="A196" s="6"/>
      <c r="B196" s="5"/>
      <c r="C196" s="6"/>
    </row>
    <row r="197">
      <c r="A197" s="6"/>
      <c r="B197" s="5"/>
      <c r="C197" s="6"/>
    </row>
    <row r="198">
      <c r="A198" s="6"/>
      <c r="B198" s="5"/>
      <c r="C198" s="6"/>
    </row>
    <row r="199">
      <c r="A199" s="6"/>
      <c r="B199" s="5"/>
      <c r="C199" s="6"/>
    </row>
    <row r="200">
      <c r="A200" s="6"/>
      <c r="B200" s="5"/>
      <c r="C200" s="6"/>
    </row>
    <row r="201">
      <c r="A201" s="6"/>
      <c r="B201" s="5"/>
      <c r="C201" s="6"/>
    </row>
    <row r="202">
      <c r="A202" s="6"/>
      <c r="B202" s="5"/>
      <c r="C202" s="6"/>
    </row>
    <row r="203">
      <c r="A203" s="6"/>
      <c r="B203" s="5"/>
      <c r="C203" s="6"/>
    </row>
    <row r="204">
      <c r="A204" s="6"/>
      <c r="B204" s="5"/>
      <c r="C204" s="6"/>
    </row>
    <row r="205">
      <c r="A205" s="6"/>
      <c r="B205" s="5"/>
      <c r="C205" s="6"/>
    </row>
    <row r="206">
      <c r="A206" s="6"/>
      <c r="B206" s="5"/>
      <c r="C206" s="6"/>
    </row>
    <row r="207">
      <c r="A207" s="6"/>
      <c r="B207" s="5"/>
      <c r="C207" s="6"/>
    </row>
    <row r="208">
      <c r="A208" s="6"/>
      <c r="B208" s="5"/>
      <c r="C208" s="6"/>
    </row>
    <row r="209">
      <c r="A209" s="6"/>
      <c r="B209" s="5"/>
      <c r="C209" s="6"/>
    </row>
    <row r="210">
      <c r="A210" s="6"/>
      <c r="B210" s="5"/>
      <c r="C210" s="6"/>
    </row>
    <row r="211">
      <c r="A211" s="6"/>
      <c r="B211" s="5"/>
      <c r="C211" s="6"/>
    </row>
    <row r="212">
      <c r="A212" s="6"/>
      <c r="B212" s="5"/>
      <c r="C212" s="6"/>
    </row>
    <row r="213">
      <c r="A213" s="6"/>
      <c r="B213" s="5"/>
      <c r="C213" s="6"/>
    </row>
    <row r="214">
      <c r="A214" s="6"/>
      <c r="B214" s="5"/>
      <c r="C214" s="6"/>
    </row>
    <row r="215">
      <c r="A215" s="6"/>
      <c r="B215" s="5"/>
      <c r="C215" s="6"/>
    </row>
    <row r="216">
      <c r="A216" s="6"/>
      <c r="B216" s="5"/>
      <c r="C216" s="6"/>
    </row>
    <row r="217">
      <c r="A217" s="6"/>
      <c r="B217" s="5"/>
      <c r="C217" s="6"/>
    </row>
    <row r="218">
      <c r="A218" s="6"/>
      <c r="B218" s="5"/>
      <c r="C218" s="6"/>
    </row>
    <row r="219">
      <c r="A219" s="6"/>
      <c r="B219" s="5"/>
      <c r="C219" s="6"/>
    </row>
    <row r="220">
      <c r="A220" s="6"/>
      <c r="B220" s="5"/>
      <c r="C220" s="6"/>
    </row>
    <row r="221">
      <c r="A221" s="6"/>
      <c r="B221" s="5"/>
      <c r="C221" s="6"/>
    </row>
    <row r="222">
      <c r="A222" s="6"/>
      <c r="B222" s="5"/>
      <c r="C222" s="6"/>
    </row>
    <row r="223">
      <c r="A223" s="6"/>
      <c r="B223" s="5"/>
      <c r="C223" s="6"/>
    </row>
    <row r="224">
      <c r="A224" s="6"/>
      <c r="B224" s="5"/>
      <c r="C224" s="6"/>
    </row>
    <row r="225">
      <c r="A225" s="6"/>
      <c r="B225" s="5"/>
      <c r="C225" s="6"/>
    </row>
    <row r="226">
      <c r="A226" s="6"/>
      <c r="B226" s="5"/>
      <c r="C226" s="6"/>
    </row>
    <row r="227">
      <c r="A227" s="6"/>
      <c r="B227" s="5"/>
      <c r="C227" s="6"/>
    </row>
    <row r="228">
      <c r="A228" s="6"/>
      <c r="B228" s="5"/>
      <c r="C228" s="6"/>
    </row>
    <row r="229">
      <c r="A229" s="6"/>
      <c r="B229" s="5"/>
      <c r="C229" s="6"/>
    </row>
    <row r="230">
      <c r="A230" s="6"/>
      <c r="B230" s="5"/>
      <c r="C230" s="6"/>
    </row>
    <row r="231">
      <c r="A231" s="6"/>
      <c r="B231" s="5"/>
      <c r="C231" s="6"/>
    </row>
    <row r="232">
      <c r="A232" s="6"/>
      <c r="B232" s="5"/>
      <c r="C232" s="6"/>
    </row>
    <row r="233">
      <c r="A233" s="6"/>
      <c r="B233" s="5"/>
      <c r="C233" s="6"/>
    </row>
    <row r="234">
      <c r="A234" s="6"/>
      <c r="B234" s="5"/>
      <c r="C234" s="6"/>
    </row>
    <row r="235">
      <c r="A235" s="6"/>
      <c r="B235" s="5"/>
      <c r="C235" s="6"/>
    </row>
    <row r="236">
      <c r="A236" s="6"/>
      <c r="B236" s="5"/>
      <c r="C236" s="6"/>
    </row>
    <row r="237">
      <c r="A237" s="6"/>
      <c r="B237" s="5"/>
      <c r="C237" s="6"/>
    </row>
    <row r="238">
      <c r="A238" s="6"/>
      <c r="B238" s="5"/>
      <c r="C238" s="6"/>
    </row>
    <row r="239">
      <c r="A239" s="6"/>
      <c r="B239" s="5"/>
      <c r="C239" s="6"/>
    </row>
    <row r="240">
      <c r="A240" s="6"/>
      <c r="B240" s="5"/>
      <c r="C240" s="6"/>
    </row>
    <row r="241">
      <c r="A241" s="6"/>
      <c r="B241" s="5"/>
      <c r="C241" s="6"/>
    </row>
    <row r="242">
      <c r="A242" s="6"/>
      <c r="B242" s="5"/>
      <c r="C242" s="6"/>
    </row>
    <row r="243">
      <c r="A243" s="6"/>
      <c r="B243" s="5"/>
      <c r="C243" s="6"/>
    </row>
    <row r="244">
      <c r="A244" s="6"/>
      <c r="B244" s="5"/>
      <c r="C244" s="6"/>
    </row>
    <row r="245">
      <c r="A245" s="6"/>
      <c r="B245" s="5"/>
      <c r="C245" s="6"/>
    </row>
    <row r="246">
      <c r="A246" s="6"/>
      <c r="B246" s="5"/>
      <c r="C246" s="6"/>
    </row>
    <row r="247">
      <c r="A247" s="6"/>
      <c r="B247" s="5"/>
      <c r="C247" s="6"/>
    </row>
    <row r="248">
      <c r="A248" s="6"/>
      <c r="B248" s="5"/>
      <c r="C248" s="6"/>
    </row>
    <row r="249">
      <c r="A249" s="6"/>
      <c r="B249" s="5"/>
      <c r="C249" s="6"/>
    </row>
    <row r="250">
      <c r="A250" s="6"/>
      <c r="B250" s="5"/>
      <c r="C250" s="6"/>
    </row>
    <row r="251">
      <c r="A251" s="6"/>
      <c r="B251" s="5"/>
      <c r="C251" s="6"/>
    </row>
    <row r="252">
      <c r="A252" s="6"/>
      <c r="B252" s="5"/>
      <c r="C252" s="6"/>
    </row>
    <row r="253">
      <c r="A253" s="6"/>
      <c r="B253" s="5"/>
      <c r="C253" s="6"/>
    </row>
    <row r="254">
      <c r="A254" s="6"/>
      <c r="B254" s="5"/>
      <c r="C254" s="6"/>
    </row>
    <row r="255">
      <c r="A255" s="6"/>
      <c r="B255" s="5"/>
      <c r="C255" s="6"/>
    </row>
    <row r="256">
      <c r="A256" s="6"/>
      <c r="B256" s="5"/>
      <c r="C256" s="6"/>
    </row>
    <row r="257">
      <c r="A257" s="6"/>
      <c r="B257" s="5"/>
      <c r="C257" s="6"/>
    </row>
    <row r="258">
      <c r="A258" s="6"/>
      <c r="B258" s="5"/>
      <c r="C258" s="6"/>
    </row>
    <row r="259">
      <c r="A259" s="6"/>
      <c r="B259" s="5"/>
      <c r="C259" s="6"/>
    </row>
    <row r="260">
      <c r="A260" s="6"/>
      <c r="B260" s="5"/>
      <c r="C260" s="6"/>
    </row>
    <row r="261">
      <c r="A261" s="6"/>
      <c r="B261" s="5"/>
      <c r="C261" s="6"/>
    </row>
    <row r="262">
      <c r="A262" s="6"/>
      <c r="B262" s="5"/>
      <c r="C262" s="6"/>
    </row>
    <row r="263">
      <c r="A263" s="6"/>
      <c r="B263" s="5"/>
      <c r="C263" s="6"/>
    </row>
    <row r="264">
      <c r="A264" s="6"/>
      <c r="B264" s="5"/>
      <c r="C264" s="6"/>
    </row>
    <row r="265">
      <c r="A265" s="6"/>
      <c r="B265" s="5"/>
      <c r="C265" s="6"/>
    </row>
    <row r="266">
      <c r="A266" s="6"/>
      <c r="B266" s="5"/>
      <c r="C266" s="6"/>
    </row>
    <row r="267">
      <c r="A267" s="6"/>
      <c r="B267" s="5"/>
      <c r="C267" s="6"/>
    </row>
    <row r="268">
      <c r="A268" s="6"/>
      <c r="B268" s="5"/>
      <c r="C268" s="6"/>
    </row>
    <row r="269">
      <c r="A269" s="6"/>
      <c r="B269" s="5"/>
      <c r="C269" s="6"/>
    </row>
    <row r="270">
      <c r="A270" s="6"/>
      <c r="B270" s="5"/>
      <c r="C270" s="6"/>
    </row>
    <row r="271">
      <c r="A271" s="6"/>
      <c r="B271" s="5"/>
      <c r="C271" s="6"/>
    </row>
    <row r="272">
      <c r="A272" s="6"/>
      <c r="B272" s="5"/>
      <c r="C272" s="6"/>
    </row>
    <row r="273">
      <c r="A273" s="6"/>
      <c r="B273" s="5"/>
      <c r="C273" s="6"/>
    </row>
    <row r="274">
      <c r="A274" s="6"/>
      <c r="B274" s="5"/>
      <c r="C274" s="6"/>
    </row>
    <row r="275">
      <c r="A275" s="6"/>
      <c r="B275" s="5"/>
      <c r="C275" s="6"/>
    </row>
    <row r="276">
      <c r="A276" s="6"/>
      <c r="B276" s="5"/>
      <c r="C276" s="6"/>
    </row>
    <row r="277">
      <c r="A277" s="6"/>
      <c r="B277" s="5"/>
      <c r="C277" s="6"/>
    </row>
    <row r="278">
      <c r="A278" s="6"/>
      <c r="B278" s="5"/>
      <c r="C278" s="6"/>
    </row>
    <row r="279">
      <c r="A279" s="6"/>
      <c r="B279" s="5"/>
      <c r="C279" s="6"/>
    </row>
    <row r="280">
      <c r="A280" s="6"/>
      <c r="B280" s="5"/>
      <c r="C280" s="6"/>
    </row>
    <row r="281">
      <c r="A281" s="6"/>
      <c r="B281" s="5"/>
      <c r="C281" s="6"/>
    </row>
    <row r="282">
      <c r="A282" s="6"/>
      <c r="B282" s="5"/>
      <c r="C282" s="6"/>
    </row>
    <row r="283">
      <c r="A283" s="6"/>
      <c r="B283" s="5"/>
      <c r="C283" s="6"/>
    </row>
    <row r="284">
      <c r="A284" s="6"/>
      <c r="B284" s="5"/>
      <c r="C284" s="6"/>
    </row>
    <row r="285">
      <c r="A285" s="6"/>
      <c r="B285" s="5"/>
      <c r="C285" s="6"/>
    </row>
    <row r="286">
      <c r="A286" s="6"/>
      <c r="B286" s="5"/>
      <c r="C286" s="6"/>
    </row>
    <row r="287">
      <c r="A287" s="6"/>
      <c r="B287" s="5"/>
      <c r="C287" s="6"/>
    </row>
    <row r="288">
      <c r="A288" s="6"/>
      <c r="B288" s="5"/>
      <c r="C288" s="6"/>
    </row>
    <row r="289">
      <c r="A289" s="6"/>
      <c r="B289" s="5"/>
      <c r="C289" s="6"/>
    </row>
    <row r="290">
      <c r="A290" s="6"/>
      <c r="B290" s="5"/>
      <c r="C290" s="6"/>
    </row>
    <row r="291">
      <c r="A291" s="6"/>
      <c r="B291" s="5"/>
      <c r="C291" s="6"/>
    </row>
    <row r="292">
      <c r="A292" s="6"/>
      <c r="B292" s="5"/>
      <c r="C292" s="6"/>
    </row>
    <row r="293">
      <c r="A293" s="6"/>
      <c r="B293" s="5"/>
      <c r="C293" s="6"/>
    </row>
    <row r="294">
      <c r="A294" s="6"/>
      <c r="B294" s="5"/>
      <c r="C294" s="6"/>
    </row>
    <row r="295">
      <c r="A295" s="6"/>
      <c r="B295" s="5"/>
      <c r="C295" s="6"/>
    </row>
    <row r="296">
      <c r="A296" s="6"/>
      <c r="B296" s="5"/>
      <c r="C296" s="6"/>
    </row>
    <row r="297">
      <c r="A297" s="6"/>
      <c r="B297" s="5"/>
      <c r="C297" s="6"/>
    </row>
    <row r="298">
      <c r="A298" s="6"/>
      <c r="B298" s="5"/>
      <c r="C298" s="6"/>
    </row>
    <row r="299">
      <c r="A299" s="6"/>
      <c r="B299" s="5"/>
      <c r="C299" s="6"/>
    </row>
    <row r="300">
      <c r="A300" s="6"/>
      <c r="B300" s="5"/>
      <c r="C300" s="6"/>
    </row>
    <row r="301">
      <c r="A301" s="6"/>
      <c r="B301" s="5"/>
      <c r="C301" s="6"/>
    </row>
    <row r="302">
      <c r="A302" s="6"/>
      <c r="B302" s="5"/>
      <c r="C302" s="6"/>
    </row>
    <row r="303">
      <c r="A303" s="6"/>
      <c r="B303" s="5"/>
      <c r="C303" s="6"/>
    </row>
    <row r="304">
      <c r="A304" s="6"/>
      <c r="B304" s="5"/>
      <c r="C304" s="6"/>
    </row>
    <row r="305">
      <c r="A305" s="6"/>
      <c r="B305" s="5"/>
      <c r="C305" s="6"/>
    </row>
    <row r="306">
      <c r="A306" s="6"/>
      <c r="B306" s="5"/>
      <c r="C306" s="6"/>
    </row>
    <row r="307">
      <c r="A307" s="6"/>
      <c r="B307" s="5"/>
      <c r="C307" s="6"/>
    </row>
    <row r="308">
      <c r="A308" s="6"/>
      <c r="B308" s="5"/>
      <c r="C308" s="6"/>
    </row>
    <row r="309">
      <c r="A309" s="6"/>
      <c r="B309" s="5"/>
      <c r="C309" s="6"/>
    </row>
    <row r="310">
      <c r="A310" s="6"/>
      <c r="B310" s="5"/>
      <c r="C310" s="6"/>
    </row>
    <row r="311">
      <c r="A311" s="6"/>
      <c r="B311" s="5"/>
      <c r="C311" s="6"/>
    </row>
    <row r="312">
      <c r="A312" s="6"/>
      <c r="B312" s="5"/>
      <c r="C312" s="6"/>
    </row>
    <row r="313">
      <c r="A313" s="6"/>
      <c r="B313" s="5"/>
      <c r="C313" s="6"/>
    </row>
    <row r="314">
      <c r="A314" s="6"/>
      <c r="B314" s="5"/>
      <c r="C314" s="6"/>
    </row>
    <row r="315">
      <c r="A315" s="6"/>
      <c r="B315" s="5"/>
      <c r="C315" s="6"/>
    </row>
    <row r="316">
      <c r="A316" s="6"/>
      <c r="B316" s="5"/>
      <c r="C316" s="6"/>
    </row>
    <row r="317">
      <c r="A317" s="6"/>
      <c r="B317" s="5"/>
      <c r="C317" s="6"/>
    </row>
    <row r="318">
      <c r="A318" s="6"/>
      <c r="B318" s="5"/>
      <c r="C318" s="6"/>
    </row>
    <row r="319">
      <c r="A319" s="6"/>
      <c r="B319" s="5"/>
      <c r="C319" s="6"/>
    </row>
    <row r="320">
      <c r="A320" s="6"/>
      <c r="B320" s="5"/>
      <c r="C320" s="6"/>
    </row>
    <row r="321">
      <c r="A321" s="6"/>
      <c r="B321" s="5"/>
      <c r="C321" s="6"/>
    </row>
    <row r="322">
      <c r="A322" s="6"/>
      <c r="B322" s="5"/>
      <c r="C322" s="6"/>
    </row>
    <row r="323">
      <c r="A323" s="6"/>
      <c r="B323" s="5"/>
      <c r="C323" s="6"/>
    </row>
    <row r="324">
      <c r="A324" s="6"/>
      <c r="B324" s="5"/>
      <c r="C324" s="6"/>
    </row>
    <row r="325">
      <c r="A325" s="6"/>
      <c r="B325" s="5"/>
      <c r="C325" s="6"/>
    </row>
    <row r="326">
      <c r="A326" s="6"/>
      <c r="B326" s="5"/>
      <c r="C326" s="6"/>
    </row>
    <row r="327">
      <c r="A327" s="6"/>
      <c r="B327" s="5"/>
      <c r="C327" s="6"/>
    </row>
    <row r="328">
      <c r="A328" s="6"/>
      <c r="B328" s="5"/>
      <c r="C328" s="6"/>
    </row>
    <row r="329">
      <c r="A329" s="6"/>
      <c r="B329" s="5"/>
      <c r="C329" s="6"/>
    </row>
    <row r="330">
      <c r="A330" s="6"/>
      <c r="B330" s="5"/>
      <c r="C330" s="6"/>
    </row>
    <row r="331">
      <c r="A331" s="6"/>
      <c r="B331" s="5"/>
      <c r="C331" s="6"/>
    </row>
    <row r="332">
      <c r="A332" s="6"/>
      <c r="B332" s="5"/>
      <c r="C332" s="6"/>
    </row>
    <row r="333">
      <c r="A333" s="6"/>
      <c r="B333" s="5"/>
      <c r="C333" s="6"/>
    </row>
    <row r="334">
      <c r="A334" s="6"/>
      <c r="B334" s="5"/>
      <c r="C334" s="6"/>
    </row>
    <row r="335">
      <c r="A335" s="6"/>
      <c r="B335" s="5"/>
      <c r="C335" s="6"/>
    </row>
    <row r="336">
      <c r="A336" s="6"/>
      <c r="B336" s="5"/>
      <c r="C336" s="6"/>
    </row>
    <row r="337">
      <c r="A337" s="6"/>
      <c r="B337" s="5"/>
      <c r="C337" s="6"/>
    </row>
    <row r="338">
      <c r="A338" s="6"/>
      <c r="B338" s="5"/>
      <c r="C338" s="6"/>
    </row>
    <row r="339">
      <c r="A339" s="6"/>
      <c r="B339" s="5"/>
      <c r="C339" s="6"/>
    </row>
    <row r="340">
      <c r="A340" s="6"/>
      <c r="B340" s="5"/>
      <c r="C340" s="6"/>
    </row>
    <row r="341">
      <c r="A341" s="6"/>
      <c r="B341" s="5"/>
      <c r="C341" s="6"/>
    </row>
    <row r="342">
      <c r="A342" s="6"/>
      <c r="B342" s="5"/>
      <c r="C342" s="6"/>
    </row>
    <row r="343">
      <c r="A343" s="6"/>
      <c r="B343" s="5"/>
      <c r="C343" s="6"/>
    </row>
    <row r="344">
      <c r="A344" s="6"/>
      <c r="B344" s="5"/>
      <c r="C344" s="6"/>
    </row>
    <row r="345">
      <c r="A345" s="6"/>
      <c r="B345" s="5"/>
      <c r="C345" s="6"/>
    </row>
    <row r="346">
      <c r="A346" s="6"/>
      <c r="B346" s="5"/>
      <c r="C346" s="6"/>
    </row>
    <row r="347">
      <c r="A347" s="6"/>
      <c r="B347" s="5"/>
      <c r="C347" s="6"/>
    </row>
    <row r="348">
      <c r="A348" s="6"/>
      <c r="B348" s="5"/>
      <c r="C348" s="6"/>
    </row>
    <row r="349">
      <c r="A349" s="6"/>
      <c r="B349" s="5"/>
      <c r="C349" s="6"/>
    </row>
    <row r="350">
      <c r="A350" s="6"/>
      <c r="B350" s="5"/>
      <c r="C350" s="6"/>
    </row>
    <row r="351">
      <c r="A351" s="6"/>
      <c r="B351" s="5"/>
      <c r="C351" s="6"/>
    </row>
    <row r="352">
      <c r="A352" s="6"/>
      <c r="B352" s="5"/>
      <c r="C352" s="6"/>
    </row>
    <row r="353">
      <c r="A353" s="6"/>
      <c r="B353" s="5"/>
      <c r="C353" s="6"/>
    </row>
    <row r="354">
      <c r="A354" s="6"/>
      <c r="B354" s="5"/>
      <c r="C354" s="6"/>
    </row>
    <row r="355">
      <c r="A355" s="6"/>
      <c r="B355" s="5"/>
      <c r="C355" s="6"/>
    </row>
    <row r="356">
      <c r="A356" s="6"/>
      <c r="B356" s="5"/>
      <c r="C356" s="6"/>
    </row>
    <row r="357">
      <c r="A357" s="6"/>
      <c r="B357" s="5"/>
      <c r="C357" s="6"/>
    </row>
    <row r="358">
      <c r="A358" s="6"/>
      <c r="B358" s="5"/>
      <c r="C358" s="6"/>
    </row>
    <row r="359">
      <c r="A359" s="6"/>
      <c r="B359" s="5"/>
      <c r="C359" s="6"/>
    </row>
    <row r="360">
      <c r="A360" s="6"/>
      <c r="B360" s="5"/>
      <c r="C360" s="6"/>
    </row>
    <row r="361">
      <c r="A361" s="6"/>
      <c r="B361" s="5"/>
      <c r="C361" s="6"/>
    </row>
    <row r="362">
      <c r="A362" s="6"/>
      <c r="B362" s="5"/>
      <c r="C362" s="6"/>
    </row>
    <row r="363">
      <c r="A363" s="6"/>
      <c r="B363" s="5"/>
      <c r="C363" s="6"/>
    </row>
    <row r="364">
      <c r="A364" s="6"/>
      <c r="B364" s="5"/>
      <c r="C364" s="6"/>
    </row>
    <row r="365">
      <c r="A365" s="6"/>
      <c r="B365" s="5"/>
      <c r="C365" s="6"/>
    </row>
    <row r="366">
      <c r="A366" s="6"/>
      <c r="B366" s="5"/>
      <c r="C366" s="6"/>
    </row>
    <row r="367">
      <c r="A367" s="6"/>
      <c r="B367" s="5"/>
      <c r="C367" s="6"/>
    </row>
    <row r="368">
      <c r="A368" s="6"/>
      <c r="B368" s="5"/>
      <c r="C368" s="6"/>
    </row>
    <row r="369">
      <c r="A369" s="6"/>
      <c r="B369" s="5"/>
      <c r="C369" s="6"/>
    </row>
    <row r="370">
      <c r="A370" s="6"/>
      <c r="B370" s="5"/>
      <c r="C370" s="6"/>
    </row>
    <row r="371">
      <c r="A371" s="6"/>
      <c r="B371" s="5"/>
      <c r="C371" s="6"/>
    </row>
    <row r="372">
      <c r="A372" s="6"/>
      <c r="B372" s="5"/>
      <c r="C372" s="6"/>
    </row>
    <row r="373">
      <c r="A373" s="6"/>
      <c r="B373" s="5"/>
      <c r="C373" s="6"/>
    </row>
    <row r="374">
      <c r="A374" s="6"/>
      <c r="B374" s="5"/>
      <c r="C374" s="6"/>
    </row>
    <row r="375">
      <c r="A375" s="6"/>
      <c r="B375" s="5"/>
      <c r="C375" s="6"/>
    </row>
    <row r="376">
      <c r="A376" s="6"/>
      <c r="B376" s="5"/>
      <c r="C376" s="6"/>
    </row>
    <row r="377">
      <c r="A377" s="6"/>
      <c r="B377" s="5"/>
      <c r="C377" s="6"/>
    </row>
    <row r="378">
      <c r="A378" s="6"/>
      <c r="B378" s="5"/>
      <c r="C378" s="6"/>
    </row>
    <row r="379">
      <c r="A379" s="6"/>
      <c r="B379" s="5"/>
      <c r="C379" s="6"/>
    </row>
    <row r="380">
      <c r="A380" s="6"/>
      <c r="B380" s="5"/>
      <c r="C380" s="6"/>
    </row>
    <row r="381">
      <c r="A381" s="6"/>
      <c r="B381" s="5"/>
      <c r="C381" s="6"/>
    </row>
    <row r="382">
      <c r="A382" s="6"/>
      <c r="B382" s="5"/>
      <c r="C382" s="6"/>
    </row>
    <row r="383">
      <c r="A383" s="6"/>
      <c r="B383" s="5"/>
      <c r="C383" s="6"/>
    </row>
    <row r="384">
      <c r="A384" s="6"/>
      <c r="B384" s="5"/>
      <c r="C384" s="6"/>
    </row>
    <row r="385">
      <c r="A385" s="6"/>
      <c r="B385" s="5"/>
      <c r="C385" s="6"/>
    </row>
    <row r="386">
      <c r="A386" s="6"/>
      <c r="B386" s="5"/>
      <c r="C386" s="6"/>
    </row>
    <row r="387">
      <c r="A387" s="6"/>
      <c r="B387" s="5"/>
      <c r="C387" s="6"/>
    </row>
    <row r="388">
      <c r="A388" s="6"/>
      <c r="B388" s="5"/>
      <c r="C388" s="6"/>
    </row>
    <row r="389">
      <c r="A389" s="6"/>
      <c r="B389" s="5"/>
      <c r="C389" s="6"/>
    </row>
    <row r="390">
      <c r="A390" s="6"/>
      <c r="B390" s="5"/>
      <c r="C390" s="6"/>
    </row>
    <row r="391">
      <c r="A391" s="6"/>
      <c r="B391" s="5"/>
      <c r="C391" s="6"/>
    </row>
    <row r="392">
      <c r="A392" s="6"/>
      <c r="B392" s="5"/>
      <c r="C392" s="6"/>
    </row>
    <row r="393">
      <c r="A393" s="6"/>
      <c r="B393" s="5"/>
      <c r="C393" s="6"/>
    </row>
    <row r="394">
      <c r="A394" s="6"/>
      <c r="B394" s="5"/>
      <c r="C394" s="6"/>
    </row>
    <row r="395">
      <c r="A395" s="6"/>
      <c r="B395" s="5"/>
      <c r="C395" s="6"/>
    </row>
    <row r="396">
      <c r="A396" s="6"/>
      <c r="B396" s="5"/>
      <c r="C396" s="6"/>
    </row>
    <row r="397">
      <c r="A397" s="6"/>
      <c r="B397" s="5"/>
      <c r="C397" s="6"/>
    </row>
    <row r="398">
      <c r="A398" s="6"/>
      <c r="B398" s="5"/>
      <c r="C398" s="6"/>
    </row>
    <row r="399">
      <c r="A399" s="6"/>
      <c r="B399" s="5"/>
      <c r="C399" s="6"/>
    </row>
    <row r="400">
      <c r="A400" s="6"/>
      <c r="B400" s="5"/>
      <c r="C400" s="6"/>
    </row>
    <row r="401">
      <c r="A401" s="6"/>
      <c r="B401" s="5"/>
      <c r="C401" s="6"/>
    </row>
    <row r="402">
      <c r="A402" s="6"/>
      <c r="B402" s="5"/>
      <c r="C402" s="6"/>
    </row>
    <row r="403">
      <c r="A403" s="6"/>
      <c r="B403" s="5"/>
      <c r="C403" s="6"/>
    </row>
    <row r="404">
      <c r="A404" s="6"/>
      <c r="B404" s="5"/>
      <c r="C404" s="6"/>
    </row>
    <row r="405">
      <c r="A405" s="6"/>
      <c r="B405" s="5"/>
      <c r="C405" s="6"/>
    </row>
    <row r="406">
      <c r="A406" s="6"/>
      <c r="B406" s="5"/>
      <c r="C406" s="6"/>
    </row>
    <row r="407">
      <c r="A407" s="6"/>
      <c r="B407" s="5"/>
      <c r="C407" s="6"/>
    </row>
    <row r="408">
      <c r="A408" s="6"/>
      <c r="B408" s="5"/>
      <c r="C408" s="6"/>
    </row>
    <row r="409">
      <c r="A409" s="6"/>
      <c r="B409" s="5"/>
      <c r="C409" s="6"/>
    </row>
    <row r="410">
      <c r="A410" s="6"/>
      <c r="B410" s="5"/>
      <c r="C410" s="6"/>
    </row>
    <row r="411">
      <c r="A411" s="6"/>
      <c r="B411" s="5"/>
      <c r="C411" s="6"/>
    </row>
    <row r="412">
      <c r="A412" s="6"/>
      <c r="B412" s="5"/>
      <c r="C412" s="6"/>
    </row>
    <row r="413">
      <c r="A413" s="6"/>
      <c r="B413" s="5"/>
      <c r="C413" s="6"/>
    </row>
    <row r="414">
      <c r="A414" s="6"/>
      <c r="B414" s="5"/>
      <c r="C414" s="6"/>
    </row>
    <row r="415">
      <c r="A415" s="6"/>
      <c r="B415" s="5"/>
      <c r="C415" s="6"/>
    </row>
    <row r="416">
      <c r="A416" s="6"/>
      <c r="B416" s="5"/>
      <c r="C416" s="6"/>
    </row>
    <row r="417">
      <c r="A417" s="6"/>
      <c r="B417" s="5"/>
      <c r="C417" s="6"/>
    </row>
    <row r="418">
      <c r="A418" s="6"/>
      <c r="B418" s="5"/>
      <c r="C418" s="6"/>
    </row>
    <row r="419">
      <c r="A419" s="6"/>
      <c r="B419" s="5"/>
      <c r="C419" s="6"/>
    </row>
    <row r="420">
      <c r="A420" s="6"/>
      <c r="B420" s="5"/>
      <c r="C420" s="6"/>
    </row>
    <row r="421">
      <c r="A421" s="6"/>
      <c r="B421" s="5"/>
      <c r="C421" s="6"/>
    </row>
    <row r="422">
      <c r="A422" s="6"/>
      <c r="B422" s="5"/>
      <c r="C422" s="6"/>
    </row>
    <row r="423">
      <c r="A423" s="6"/>
      <c r="B423" s="5"/>
      <c r="C423" s="6"/>
    </row>
    <row r="424">
      <c r="A424" s="6"/>
      <c r="B424" s="5"/>
      <c r="C424" s="6"/>
    </row>
    <row r="425">
      <c r="A425" s="6"/>
      <c r="B425" s="5"/>
      <c r="C425" s="6"/>
    </row>
    <row r="426">
      <c r="A426" s="6"/>
      <c r="B426" s="5"/>
      <c r="C426" s="6"/>
    </row>
    <row r="427">
      <c r="A427" s="6"/>
      <c r="B427" s="5"/>
      <c r="C427" s="6"/>
    </row>
    <row r="428">
      <c r="A428" s="6"/>
      <c r="B428" s="5"/>
      <c r="C428" s="6"/>
    </row>
    <row r="429">
      <c r="A429" s="6"/>
      <c r="B429" s="5"/>
      <c r="C429" s="6"/>
    </row>
    <row r="430">
      <c r="A430" s="6"/>
      <c r="B430" s="5"/>
      <c r="C430" s="6"/>
    </row>
    <row r="431">
      <c r="A431" s="6"/>
      <c r="B431" s="5"/>
      <c r="C431" s="6"/>
    </row>
    <row r="432">
      <c r="A432" s="6"/>
      <c r="B432" s="5"/>
      <c r="C432" s="6"/>
    </row>
    <row r="433">
      <c r="A433" s="6"/>
      <c r="B433" s="5"/>
      <c r="C433" s="6"/>
    </row>
    <row r="434">
      <c r="A434" s="6"/>
      <c r="B434" s="5"/>
      <c r="C434" s="6"/>
    </row>
    <row r="435">
      <c r="A435" s="6"/>
      <c r="B435" s="5"/>
      <c r="C435" s="6"/>
    </row>
    <row r="436">
      <c r="A436" s="6"/>
      <c r="B436" s="5"/>
      <c r="C436" s="6"/>
    </row>
    <row r="437">
      <c r="A437" s="6"/>
      <c r="B437" s="5"/>
      <c r="C437" s="6"/>
    </row>
    <row r="438">
      <c r="A438" s="6"/>
      <c r="B438" s="5"/>
      <c r="C438" s="6"/>
    </row>
    <row r="439">
      <c r="A439" s="6"/>
      <c r="B439" s="5"/>
      <c r="C439" s="6"/>
    </row>
    <row r="440">
      <c r="A440" s="6"/>
      <c r="B440" s="5"/>
      <c r="C440" s="6"/>
    </row>
    <row r="441">
      <c r="A441" s="6"/>
      <c r="B441" s="5"/>
      <c r="C441" s="6"/>
    </row>
    <row r="442">
      <c r="A442" s="6"/>
      <c r="B442" s="5"/>
      <c r="C442" s="6"/>
    </row>
    <row r="443">
      <c r="A443" s="6"/>
      <c r="B443" s="5"/>
      <c r="C443" s="6"/>
    </row>
    <row r="444">
      <c r="A444" s="6"/>
      <c r="B444" s="5"/>
      <c r="C444" s="6"/>
    </row>
    <row r="445">
      <c r="A445" s="6"/>
      <c r="B445" s="5"/>
      <c r="C445" s="6"/>
    </row>
    <row r="446">
      <c r="A446" s="6"/>
      <c r="B446" s="5"/>
      <c r="C446" s="6"/>
    </row>
    <row r="447">
      <c r="A447" s="6"/>
      <c r="B447" s="5"/>
      <c r="C447" s="6"/>
    </row>
    <row r="448">
      <c r="A448" s="6"/>
      <c r="B448" s="5"/>
      <c r="C448" s="6"/>
    </row>
    <row r="449">
      <c r="A449" s="6"/>
      <c r="B449" s="5"/>
      <c r="C449" s="6"/>
    </row>
    <row r="450">
      <c r="A450" s="6"/>
      <c r="B450" s="5"/>
      <c r="C450" s="6"/>
    </row>
    <row r="451">
      <c r="A451" s="6"/>
      <c r="B451" s="5"/>
      <c r="C451" s="6"/>
    </row>
    <row r="452">
      <c r="A452" s="6"/>
      <c r="B452" s="5"/>
      <c r="C452" s="6"/>
    </row>
    <row r="453">
      <c r="A453" s="6"/>
      <c r="B453" s="5"/>
      <c r="C453" s="6"/>
    </row>
    <row r="454">
      <c r="A454" s="6"/>
      <c r="B454" s="5"/>
      <c r="C454" s="6"/>
    </row>
    <row r="455">
      <c r="A455" s="6"/>
      <c r="B455" s="5"/>
      <c r="C455" s="6"/>
    </row>
    <row r="456">
      <c r="A456" s="6"/>
      <c r="B456" s="5"/>
      <c r="C456" s="6"/>
    </row>
    <row r="457">
      <c r="A457" s="6"/>
      <c r="B457" s="5"/>
      <c r="C457" s="6"/>
    </row>
    <row r="458">
      <c r="A458" s="6"/>
      <c r="B458" s="5"/>
      <c r="C458" s="6"/>
    </row>
    <row r="459">
      <c r="A459" s="6"/>
      <c r="B459" s="5"/>
      <c r="C459" s="6"/>
    </row>
    <row r="460">
      <c r="A460" s="6"/>
      <c r="B460" s="5"/>
      <c r="C460" s="6"/>
    </row>
    <row r="461">
      <c r="A461" s="6"/>
      <c r="B461" s="5"/>
      <c r="C461" s="6"/>
    </row>
    <row r="462">
      <c r="A462" s="6"/>
      <c r="B462" s="5"/>
      <c r="C462" s="6"/>
    </row>
    <row r="463">
      <c r="A463" s="6"/>
      <c r="B463" s="5"/>
      <c r="C463" s="6"/>
    </row>
    <row r="464">
      <c r="A464" s="6"/>
      <c r="B464" s="5"/>
      <c r="C464" s="6"/>
    </row>
    <row r="465">
      <c r="A465" s="6"/>
      <c r="B465" s="5"/>
      <c r="C465" s="6"/>
    </row>
    <row r="466">
      <c r="A466" s="6"/>
      <c r="B466" s="5"/>
      <c r="C466" s="6"/>
    </row>
    <row r="467">
      <c r="A467" s="6"/>
      <c r="B467" s="5"/>
      <c r="C467" s="6"/>
    </row>
    <row r="468">
      <c r="A468" s="6"/>
      <c r="B468" s="5"/>
      <c r="C468" s="6"/>
    </row>
    <row r="469">
      <c r="A469" s="6"/>
      <c r="B469" s="5"/>
      <c r="C469" s="6"/>
    </row>
    <row r="470">
      <c r="A470" s="6"/>
      <c r="B470" s="5"/>
      <c r="C470" s="6"/>
    </row>
    <row r="471">
      <c r="A471" s="6"/>
      <c r="B471" s="5"/>
      <c r="C471" s="6"/>
    </row>
    <row r="472">
      <c r="A472" s="6"/>
      <c r="B472" s="5"/>
      <c r="C472" s="6"/>
    </row>
    <row r="473">
      <c r="A473" s="6"/>
      <c r="B473" s="5"/>
      <c r="C473" s="6"/>
    </row>
    <row r="474">
      <c r="A474" s="6"/>
      <c r="B474" s="5"/>
      <c r="C474" s="6"/>
    </row>
    <row r="475">
      <c r="A475" s="6"/>
      <c r="B475" s="5"/>
      <c r="C475" s="6"/>
    </row>
    <row r="476">
      <c r="A476" s="6"/>
      <c r="B476" s="5"/>
      <c r="C476" s="6"/>
    </row>
    <row r="477">
      <c r="A477" s="6"/>
      <c r="B477" s="5"/>
      <c r="C477" s="6"/>
    </row>
    <row r="478">
      <c r="A478" s="6"/>
      <c r="B478" s="5"/>
      <c r="C478" s="6"/>
    </row>
    <row r="479">
      <c r="A479" s="6"/>
      <c r="B479" s="5"/>
      <c r="C479" s="6"/>
    </row>
    <row r="480">
      <c r="A480" s="6"/>
      <c r="B480" s="5"/>
      <c r="C480" s="6"/>
    </row>
    <row r="481">
      <c r="A481" s="6"/>
      <c r="B481" s="5"/>
      <c r="C481" s="6"/>
    </row>
    <row r="482">
      <c r="A482" s="6"/>
      <c r="B482" s="5"/>
      <c r="C482" s="6"/>
    </row>
    <row r="483">
      <c r="A483" s="6"/>
      <c r="B483" s="5"/>
      <c r="C483" s="6"/>
    </row>
    <row r="484">
      <c r="A484" s="6"/>
      <c r="B484" s="5"/>
      <c r="C484" s="6"/>
    </row>
    <row r="485">
      <c r="A485" s="6"/>
      <c r="B485" s="5"/>
      <c r="C485" s="6"/>
    </row>
    <row r="486">
      <c r="A486" s="6"/>
      <c r="B486" s="5"/>
      <c r="C486" s="6"/>
    </row>
    <row r="487">
      <c r="A487" s="6"/>
      <c r="B487" s="5"/>
      <c r="C487" s="6"/>
    </row>
    <row r="488">
      <c r="A488" s="6"/>
      <c r="B488" s="5"/>
      <c r="C488" s="6"/>
    </row>
    <row r="489">
      <c r="A489" s="6"/>
      <c r="B489" s="5"/>
      <c r="C489" s="6"/>
    </row>
    <row r="490">
      <c r="A490" s="6"/>
      <c r="B490" s="5"/>
      <c r="C490" s="6"/>
    </row>
    <row r="491">
      <c r="A491" s="6"/>
      <c r="B491" s="5"/>
      <c r="C491" s="6"/>
    </row>
    <row r="492">
      <c r="A492" s="6"/>
      <c r="B492" s="5"/>
      <c r="C492" s="6"/>
    </row>
    <row r="493">
      <c r="A493" s="6"/>
      <c r="B493" s="5"/>
      <c r="C493" s="6"/>
    </row>
    <row r="494">
      <c r="A494" s="6"/>
      <c r="B494" s="5"/>
      <c r="C494" s="6"/>
    </row>
    <row r="495">
      <c r="A495" s="6"/>
      <c r="B495" s="5"/>
      <c r="C495" s="6"/>
    </row>
    <row r="496">
      <c r="A496" s="6"/>
      <c r="B496" s="5"/>
      <c r="C496" s="6"/>
    </row>
    <row r="497">
      <c r="A497" s="6"/>
      <c r="B497" s="5"/>
      <c r="C497" s="6"/>
    </row>
    <row r="498">
      <c r="A498" s="6"/>
      <c r="B498" s="5"/>
      <c r="C498" s="6"/>
    </row>
    <row r="499">
      <c r="A499" s="6"/>
      <c r="B499" s="5"/>
      <c r="C499" s="6"/>
    </row>
    <row r="500">
      <c r="A500" s="6"/>
      <c r="B500" s="5"/>
      <c r="C500" s="6"/>
    </row>
    <row r="501">
      <c r="A501" s="6"/>
      <c r="B501" s="5"/>
      <c r="C501" s="6"/>
    </row>
    <row r="502">
      <c r="A502" s="6"/>
      <c r="B502" s="5"/>
      <c r="C502" s="6"/>
    </row>
    <row r="503">
      <c r="A503" s="6"/>
      <c r="B503" s="5"/>
      <c r="C503" s="6"/>
    </row>
    <row r="504">
      <c r="A504" s="6"/>
      <c r="B504" s="5"/>
      <c r="C504" s="6"/>
    </row>
    <row r="505">
      <c r="A505" s="6"/>
      <c r="B505" s="5"/>
      <c r="C505" s="6"/>
    </row>
    <row r="506">
      <c r="A506" s="6"/>
      <c r="B506" s="5"/>
      <c r="C506" s="6"/>
    </row>
    <row r="507">
      <c r="A507" s="6"/>
      <c r="B507" s="5"/>
      <c r="C507" s="6"/>
    </row>
    <row r="508">
      <c r="A508" s="6"/>
      <c r="B508" s="5"/>
      <c r="C508" s="6"/>
    </row>
    <row r="509">
      <c r="A509" s="6"/>
      <c r="B509" s="5"/>
      <c r="C509" s="6"/>
    </row>
    <row r="510">
      <c r="A510" s="6"/>
      <c r="B510" s="5"/>
      <c r="C510" s="6"/>
    </row>
    <row r="511">
      <c r="A511" s="6"/>
      <c r="B511" s="5"/>
      <c r="C511" s="6"/>
    </row>
    <row r="512">
      <c r="A512" s="6"/>
      <c r="B512" s="5"/>
      <c r="C512" s="6"/>
    </row>
    <row r="513">
      <c r="A513" s="6"/>
      <c r="B513" s="5"/>
      <c r="C513" s="6"/>
    </row>
    <row r="514">
      <c r="A514" s="6"/>
      <c r="B514" s="5"/>
      <c r="C514" s="6"/>
    </row>
    <row r="515">
      <c r="A515" s="6"/>
      <c r="B515" s="5"/>
      <c r="C515" s="6"/>
    </row>
    <row r="516">
      <c r="A516" s="6"/>
      <c r="B516" s="5"/>
      <c r="C516" s="6"/>
    </row>
    <row r="517">
      <c r="A517" s="6"/>
      <c r="B517" s="5"/>
      <c r="C517" s="6"/>
    </row>
    <row r="518">
      <c r="A518" s="6"/>
      <c r="B518" s="5"/>
      <c r="C518" s="6"/>
    </row>
    <row r="519">
      <c r="A519" s="6"/>
      <c r="B519" s="5"/>
      <c r="C519" s="6"/>
    </row>
    <row r="520">
      <c r="A520" s="6"/>
      <c r="B520" s="5"/>
      <c r="C520" s="6"/>
    </row>
    <row r="521">
      <c r="A521" s="6"/>
      <c r="B521" s="5"/>
      <c r="C521" s="6"/>
    </row>
    <row r="522">
      <c r="A522" s="6"/>
      <c r="B522" s="5"/>
      <c r="C522" s="6"/>
    </row>
    <row r="523">
      <c r="A523" s="6"/>
      <c r="B523" s="5"/>
      <c r="C523" s="6"/>
    </row>
    <row r="524">
      <c r="A524" s="6"/>
      <c r="B524" s="5"/>
      <c r="C524" s="6"/>
    </row>
    <row r="525">
      <c r="A525" s="6"/>
      <c r="B525" s="5"/>
      <c r="C525" s="6"/>
    </row>
    <row r="526">
      <c r="A526" s="6"/>
      <c r="B526" s="5"/>
      <c r="C526" s="6"/>
    </row>
    <row r="527">
      <c r="A527" s="6"/>
      <c r="B527" s="5"/>
      <c r="C527" s="6"/>
    </row>
    <row r="528">
      <c r="A528" s="6"/>
      <c r="B528" s="5"/>
      <c r="C528" s="6"/>
    </row>
    <row r="529">
      <c r="A529" s="6"/>
      <c r="B529" s="5"/>
      <c r="C529" s="6"/>
    </row>
    <row r="530">
      <c r="A530" s="6"/>
      <c r="B530" s="5"/>
      <c r="C530" s="6"/>
    </row>
    <row r="531">
      <c r="A531" s="6"/>
      <c r="B531" s="5"/>
      <c r="C531" s="6"/>
    </row>
    <row r="532">
      <c r="A532" s="6"/>
      <c r="B532" s="5"/>
      <c r="C532" s="6"/>
    </row>
    <row r="533">
      <c r="A533" s="6"/>
      <c r="B533" s="5"/>
      <c r="C533" s="6"/>
    </row>
    <row r="534">
      <c r="A534" s="6"/>
      <c r="B534" s="5"/>
      <c r="C534" s="6"/>
    </row>
    <row r="535">
      <c r="A535" s="6"/>
      <c r="B535" s="5"/>
      <c r="C535" s="6"/>
    </row>
    <row r="536">
      <c r="A536" s="6"/>
      <c r="B536" s="5"/>
      <c r="C536" s="6"/>
    </row>
    <row r="537">
      <c r="A537" s="6"/>
      <c r="B537" s="5"/>
      <c r="C537" s="6"/>
    </row>
    <row r="538">
      <c r="A538" s="6"/>
      <c r="B538" s="5"/>
      <c r="C538" s="6"/>
    </row>
    <row r="539">
      <c r="A539" s="6"/>
      <c r="B539" s="5"/>
      <c r="C539" s="6"/>
    </row>
    <row r="540">
      <c r="A540" s="6"/>
      <c r="B540" s="5"/>
      <c r="C540" s="6"/>
    </row>
    <row r="541">
      <c r="A541" s="6"/>
      <c r="B541" s="5"/>
      <c r="C541" s="6"/>
    </row>
    <row r="542">
      <c r="A542" s="6"/>
      <c r="B542" s="5"/>
      <c r="C542" s="6"/>
    </row>
    <row r="543">
      <c r="A543" s="6"/>
      <c r="B543" s="5"/>
      <c r="C543" s="6"/>
    </row>
    <row r="544">
      <c r="A544" s="6"/>
      <c r="B544" s="5"/>
      <c r="C544" s="6"/>
    </row>
    <row r="545">
      <c r="A545" s="6"/>
      <c r="B545" s="5"/>
      <c r="C545" s="6"/>
    </row>
    <row r="546">
      <c r="A546" s="6"/>
      <c r="B546" s="5"/>
      <c r="C546" s="6"/>
    </row>
    <row r="547">
      <c r="A547" s="6"/>
      <c r="B547" s="5"/>
      <c r="C547" s="6"/>
    </row>
    <row r="548">
      <c r="A548" s="6"/>
      <c r="B548" s="5"/>
      <c r="C548" s="6"/>
    </row>
    <row r="549">
      <c r="A549" s="6"/>
      <c r="B549" s="5"/>
      <c r="C549" s="6"/>
    </row>
    <row r="550">
      <c r="A550" s="6"/>
      <c r="B550" s="5"/>
      <c r="C550" s="6"/>
    </row>
    <row r="551">
      <c r="A551" s="6"/>
      <c r="B551" s="5"/>
      <c r="C551" s="6"/>
    </row>
    <row r="552">
      <c r="A552" s="6"/>
      <c r="B552" s="5"/>
      <c r="C552" s="6"/>
    </row>
    <row r="553">
      <c r="A553" s="6"/>
      <c r="B553" s="5"/>
      <c r="C553" s="6"/>
    </row>
    <row r="554">
      <c r="A554" s="6"/>
      <c r="B554" s="5"/>
      <c r="C554" s="6"/>
    </row>
    <row r="555">
      <c r="A555" s="6"/>
      <c r="B555" s="5"/>
      <c r="C555" s="6"/>
    </row>
    <row r="556">
      <c r="A556" s="6"/>
      <c r="B556" s="5"/>
      <c r="C556" s="6"/>
    </row>
    <row r="557">
      <c r="A557" s="6"/>
      <c r="B557" s="5"/>
      <c r="C557" s="6"/>
    </row>
    <row r="558">
      <c r="A558" s="6"/>
      <c r="B558" s="5"/>
      <c r="C558" s="6"/>
    </row>
    <row r="559">
      <c r="A559" s="6"/>
      <c r="B559" s="5"/>
      <c r="C559" s="6"/>
    </row>
    <row r="560">
      <c r="A560" s="6"/>
      <c r="B560" s="5"/>
      <c r="C560" s="6"/>
    </row>
    <row r="561">
      <c r="A561" s="6"/>
      <c r="B561" s="5"/>
      <c r="C561" s="6"/>
    </row>
    <row r="562">
      <c r="A562" s="6"/>
      <c r="B562" s="5"/>
      <c r="C562" s="6"/>
    </row>
    <row r="563">
      <c r="A563" s="6"/>
      <c r="B563" s="5"/>
      <c r="C563" s="6"/>
    </row>
    <row r="564">
      <c r="A564" s="6"/>
      <c r="B564" s="5"/>
      <c r="C564" s="6"/>
    </row>
    <row r="565">
      <c r="A565" s="6"/>
      <c r="B565" s="5"/>
      <c r="C565" s="6"/>
    </row>
    <row r="566">
      <c r="A566" s="6"/>
      <c r="B566" s="5"/>
      <c r="C566" s="6"/>
    </row>
    <row r="567">
      <c r="A567" s="6"/>
      <c r="B567" s="5"/>
      <c r="C567" s="6"/>
    </row>
    <row r="568">
      <c r="A568" s="6"/>
      <c r="B568" s="5"/>
      <c r="C568" s="6"/>
    </row>
    <row r="569">
      <c r="A569" s="6"/>
      <c r="B569" s="5"/>
      <c r="C569" s="6"/>
    </row>
    <row r="570">
      <c r="A570" s="6"/>
      <c r="B570" s="5"/>
      <c r="C570" s="6"/>
    </row>
    <row r="571">
      <c r="A571" s="6"/>
      <c r="B571" s="5"/>
      <c r="C571" s="6"/>
    </row>
    <row r="572">
      <c r="A572" s="6"/>
      <c r="B572" s="5"/>
      <c r="C572" s="6"/>
    </row>
    <row r="573">
      <c r="A573" s="6"/>
      <c r="B573" s="5"/>
      <c r="C573" s="6"/>
    </row>
    <row r="574">
      <c r="A574" s="6"/>
      <c r="B574" s="5"/>
      <c r="C574" s="6"/>
    </row>
    <row r="575">
      <c r="A575" s="6"/>
      <c r="B575" s="5"/>
      <c r="C575" s="6"/>
    </row>
    <row r="576">
      <c r="A576" s="6"/>
      <c r="B576" s="5"/>
      <c r="C576" s="6"/>
    </row>
    <row r="577">
      <c r="A577" s="6"/>
      <c r="B577" s="5"/>
      <c r="C577" s="6"/>
    </row>
    <row r="578">
      <c r="A578" s="6"/>
      <c r="B578" s="5"/>
      <c r="C578" s="6"/>
    </row>
    <row r="579">
      <c r="A579" s="6"/>
      <c r="B579" s="5"/>
      <c r="C579" s="6"/>
    </row>
    <row r="580">
      <c r="A580" s="6"/>
      <c r="B580" s="5"/>
      <c r="C580" s="6"/>
    </row>
    <row r="581">
      <c r="A581" s="6"/>
      <c r="B581" s="5"/>
      <c r="C581" s="6"/>
    </row>
    <row r="582">
      <c r="A582" s="6"/>
      <c r="B582" s="5"/>
      <c r="C582" s="6"/>
    </row>
    <row r="583">
      <c r="A583" s="6"/>
      <c r="B583" s="5"/>
      <c r="C583" s="6"/>
    </row>
    <row r="584">
      <c r="A584" s="6"/>
      <c r="B584" s="5"/>
      <c r="C584" s="6"/>
    </row>
    <row r="585">
      <c r="A585" s="6"/>
      <c r="B585" s="5"/>
      <c r="C585" s="6"/>
    </row>
    <row r="586">
      <c r="A586" s="6"/>
      <c r="B586" s="5"/>
      <c r="C586" s="6"/>
    </row>
    <row r="587">
      <c r="A587" s="6"/>
      <c r="B587" s="5"/>
      <c r="C587" s="6"/>
    </row>
    <row r="588">
      <c r="A588" s="6"/>
      <c r="B588" s="5"/>
      <c r="C588" s="6"/>
    </row>
    <row r="589">
      <c r="A589" s="6"/>
      <c r="B589" s="5"/>
      <c r="C589" s="6"/>
    </row>
    <row r="590">
      <c r="A590" s="6"/>
      <c r="B590" s="5"/>
      <c r="C590" s="6"/>
    </row>
    <row r="591">
      <c r="A591" s="6"/>
      <c r="B591" s="5"/>
      <c r="C591" s="6"/>
    </row>
    <row r="592">
      <c r="A592" s="6"/>
      <c r="B592" s="5"/>
      <c r="C592" s="6"/>
    </row>
    <row r="593">
      <c r="A593" s="6"/>
      <c r="B593" s="5"/>
      <c r="C593" s="6"/>
    </row>
    <row r="594">
      <c r="A594" s="6"/>
      <c r="B594" s="5"/>
      <c r="C594" s="6"/>
    </row>
    <row r="595">
      <c r="A595" s="6"/>
      <c r="B595" s="5"/>
      <c r="C595" s="6"/>
    </row>
    <row r="596">
      <c r="A596" s="6"/>
      <c r="B596" s="5"/>
      <c r="C596" s="6"/>
    </row>
    <row r="597">
      <c r="A597" s="6"/>
      <c r="B597" s="5"/>
      <c r="C597" s="6"/>
    </row>
    <row r="598">
      <c r="A598" s="6"/>
      <c r="B598" s="5"/>
      <c r="C598" s="6"/>
    </row>
    <row r="599">
      <c r="A599" s="6"/>
      <c r="B599" s="5"/>
      <c r="C599" s="6"/>
    </row>
    <row r="600">
      <c r="A600" s="6"/>
      <c r="B600" s="5"/>
      <c r="C600" s="6"/>
    </row>
    <row r="601">
      <c r="A601" s="6"/>
      <c r="B601" s="5"/>
      <c r="C601" s="6"/>
    </row>
    <row r="602">
      <c r="A602" s="6"/>
      <c r="B602" s="5"/>
      <c r="C602" s="6"/>
    </row>
    <row r="603">
      <c r="A603" s="6"/>
      <c r="B603" s="5"/>
      <c r="C603" s="6"/>
    </row>
    <row r="604">
      <c r="A604" s="6"/>
      <c r="B604" s="5"/>
      <c r="C604" s="6"/>
    </row>
    <row r="605">
      <c r="A605" s="6"/>
      <c r="B605" s="5"/>
      <c r="C605" s="6"/>
    </row>
    <row r="606">
      <c r="A606" s="6"/>
      <c r="B606" s="5"/>
      <c r="C606" s="6"/>
    </row>
    <row r="607">
      <c r="A607" s="6"/>
      <c r="B607" s="5"/>
      <c r="C607" s="6"/>
    </row>
    <row r="608">
      <c r="A608" s="6"/>
      <c r="B608" s="5"/>
      <c r="C608" s="6"/>
    </row>
    <row r="609">
      <c r="A609" s="6"/>
      <c r="B609" s="5"/>
      <c r="C609" s="6"/>
    </row>
    <row r="610">
      <c r="A610" s="6"/>
      <c r="B610" s="5"/>
      <c r="C610" s="6"/>
    </row>
    <row r="611">
      <c r="A611" s="6"/>
      <c r="B611" s="5"/>
      <c r="C611" s="6"/>
    </row>
    <row r="612">
      <c r="A612" s="6"/>
      <c r="B612" s="5"/>
      <c r="C612" s="6"/>
    </row>
    <row r="613">
      <c r="A613" s="6"/>
      <c r="B613" s="5"/>
      <c r="C613" s="6"/>
    </row>
    <row r="614">
      <c r="A614" s="6"/>
      <c r="B614" s="5"/>
      <c r="C614" s="6"/>
    </row>
    <row r="615">
      <c r="A615" s="6"/>
      <c r="B615" s="5"/>
      <c r="C615" s="6"/>
    </row>
    <row r="616">
      <c r="A616" s="6"/>
      <c r="B616" s="5"/>
      <c r="C616" s="6"/>
    </row>
    <row r="617">
      <c r="A617" s="6"/>
      <c r="B617" s="5"/>
      <c r="C617" s="6"/>
    </row>
    <row r="618">
      <c r="A618" s="6"/>
      <c r="B618" s="5"/>
      <c r="C618" s="6"/>
    </row>
    <row r="619">
      <c r="A619" s="6"/>
      <c r="B619" s="5"/>
      <c r="C619" s="6"/>
    </row>
    <row r="620">
      <c r="A620" s="6"/>
      <c r="B620" s="5"/>
      <c r="C620" s="6"/>
    </row>
    <row r="621">
      <c r="A621" s="6"/>
      <c r="B621" s="5"/>
      <c r="C621" s="6"/>
    </row>
    <row r="622">
      <c r="A622" s="6"/>
      <c r="B622" s="5"/>
      <c r="C622" s="6"/>
    </row>
    <row r="623">
      <c r="A623" s="6"/>
      <c r="B623" s="5"/>
      <c r="C623" s="6"/>
    </row>
    <row r="624">
      <c r="A624" s="6"/>
      <c r="B624" s="5"/>
      <c r="C624" s="6"/>
    </row>
    <row r="625">
      <c r="A625" s="6"/>
      <c r="B625" s="5"/>
      <c r="C625" s="6"/>
    </row>
    <row r="626">
      <c r="A626" s="6"/>
      <c r="B626" s="5"/>
      <c r="C626" s="6"/>
    </row>
    <row r="627">
      <c r="A627" s="6"/>
      <c r="B627" s="5"/>
      <c r="C627" s="6"/>
    </row>
    <row r="628">
      <c r="A628" s="6"/>
      <c r="B628" s="5"/>
      <c r="C628" s="6"/>
    </row>
    <row r="629">
      <c r="A629" s="6"/>
      <c r="B629" s="5"/>
      <c r="C629" s="6"/>
    </row>
    <row r="630">
      <c r="A630" s="6"/>
      <c r="B630" s="5"/>
      <c r="C630" s="6"/>
    </row>
    <row r="631">
      <c r="A631" s="6"/>
      <c r="B631" s="5"/>
      <c r="C631" s="6"/>
    </row>
    <row r="632">
      <c r="A632" s="6"/>
      <c r="B632" s="5"/>
      <c r="C632" s="6"/>
    </row>
    <row r="633">
      <c r="A633" s="6"/>
      <c r="B633" s="5"/>
      <c r="C633" s="6"/>
    </row>
    <row r="634">
      <c r="A634" s="6"/>
      <c r="B634" s="5"/>
      <c r="C634" s="6"/>
    </row>
    <row r="635">
      <c r="A635" s="6"/>
      <c r="B635" s="5"/>
      <c r="C635" s="6"/>
    </row>
    <row r="636">
      <c r="A636" s="6"/>
      <c r="B636" s="5"/>
      <c r="C636" s="6"/>
    </row>
    <row r="637">
      <c r="A637" s="6"/>
      <c r="B637" s="5"/>
      <c r="C637" s="6"/>
    </row>
    <row r="638">
      <c r="A638" s="6"/>
      <c r="B638" s="5"/>
      <c r="C638" s="6"/>
    </row>
    <row r="639">
      <c r="A639" s="6"/>
      <c r="B639" s="5"/>
      <c r="C639" s="6"/>
    </row>
    <row r="640">
      <c r="A640" s="6"/>
      <c r="B640" s="5"/>
      <c r="C640" s="6"/>
    </row>
    <row r="641">
      <c r="A641" s="6"/>
      <c r="B641" s="5"/>
      <c r="C641" s="6"/>
    </row>
    <row r="642">
      <c r="A642" s="6"/>
      <c r="B642" s="5"/>
      <c r="C642" s="6"/>
    </row>
    <row r="643">
      <c r="A643" s="6"/>
      <c r="B643" s="5"/>
      <c r="C643" s="6"/>
    </row>
    <row r="644">
      <c r="A644" s="6"/>
      <c r="B644" s="5"/>
      <c r="C644" s="6"/>
    </row>
    <row r="645">
      <c r="A645" s="6"/>
      <c r="B645" s="5"/>
      <c r="C645" s="6"/>
    </row>
    <row r="646">
      <c r="A646" s="6"/>
      <c r="B646" s="5"/>
      <c r="C646" s="6"/>
    </row>
    <row r="647">
      <c r="A647" s="6"/>
      <c r="B647" s="5"/>
      <c r="C647" s="6"/>
    </row>
    <row r="648">
      <c r="A648" s="6"/>
      <c r="B648" s="5"/>
      <c r="C648" s="6"/>
    </row>
    <row r="649">
      <c r="A649" s="6"/>
      <c r="B649" s="5"/>
      <c r="C649" s="6"/>
    </row>
    <row r="650">
      <c r="A650" s="6"/>
      <c r="B650" s="5"/>
      <c r="C650" s="6"/>
    </row>
    <row r="651">
      <c r="A651" s="6"/>
      <c r="B651" s="5"/>
      <c r="C651" s="6"/>
    </row>
    <row r="652">
      <c r="A652" s="6"/>
      <c r="B652" s="5"/>
      <c r="C652" s="6"/>
    </row>
    <row r="653">
      <c r="A653" s="6"/>
      <c r="B653" s="5"/>
      <c r="C653" s="6"/>
    </row>
    <row r="654">
      <c r="A654" s="6"/>
      <c r="B654" s="5"/>
      <c r="C654" s="6"/>
    </row>
    <row r="655">
      <c r="A655" s="6"/>
      <c r="B655" s="5"/>
      <c r="C655" s="6"/>
    </row>
    <row r="656">
      <c r="A656" s="6"/>
      <c r="B656" s="5"/>
      <c r="C656" s="6"/>
    </row>
    <row r="657">
      <c r="A657" s="6"/>
      <c r="B657" s="5"/>
      <c r="C657" s="6"/>
    </row>
    <row r="658">
      <c r="A658" s="6"/>
      <c r="B658" s="5"/>
      <c r="C658" s="6"/>
    </row>
    <row r="659">
      <c r="A659" s="6"/>
      <c r="B659" s="5"/>
      <c r="C659" s="6"/>
    </row>
    <row r="660">
      <c r="A660" s="6"/>
      <c r="B660" s="5"/>
      <c r="C660" s="6"/>
    </row>
    <row r="661">
      <c r="A661" s="6"/>
      <c r="B661" s="5"/>
      <c r="C661" s="6"/>
    </row>
    <row r="662">
      <c r="A662" s="6"/>
      <c r="B662" s="5"/>
      <c r="C662" s="6"/>
    </row>
    <row r="663">
      <c r="A663" s="6"/>
      <c r="B663" s="5"/>
      <c r="C663" s="6"/>
    </row>
    <row r="664">
      <c r="A664" s="6"/>
      <c r="B664" s="5"/>
      <c r="C664" s="6"/>
    </row>
    <row r="665">
      <c r="A665" s="6"/>
      <c r="B665" s="5"/>
      <c r="C665" s="6"/>
    </row>
    <row r="666">
      <c r="A666" s="6"/>
      <c r="B666" s="5"/>
      <c r="C666" s="6"/>
    </row>
    <row r="667">
      <c r="A667" s="6"/>
      <c r="B667" s="5"/>
      <c r="C667" s="6"/>
    </row>
    <row r="668">
      <c r="A668" s="6"/>
      <c r="B668" s="5"/>
      <c r="C668" s="6"/>
    </row>
    <row r="669">
      <c r="A669" s="6"/>
      <c r="B669" s="5"/>
      <c r="C669" s="6"/>
    </row>
    <row r="670">
      <c r="A670" s="6"/>
      <c r="B670" s="5"/>
      <c r="C670" s="6"/>
    </row>
    <row r="671">
      <c r="A671" s="6"/>
      <c r="B671" s="5"/>
      <c r="C671" s="6"/>
    </row>
    <row r="672">
      <c r="A672" s="6"/>
      <c r="B672" s="5"/>
      <c r="C672" s="6"/>
    </row>
    <row r="673">
      <c r="A673" s="6"/>
      <c r="B673" s="5"/>
      <c r="C673" s="6"/>
    </row>
    <row r="674">
      <c r="A674" s="6"/>
      <c r="B674" s="5"/>
      <c r="C674" s="6"/>
    </row>
    <row r="675">
      <c r="A675" s="6"/>
      <c r="B675" s="5"/>
      <c r="C675" s="6"/>
    </row>
    <row r="676">
      <c r="A676" s="6"/>
      <c r="B676" s="5"/>
      <c r="C676" s="6"/>
    </row>
    <row r="677">
      <c r="A677" s="6"/>
      <c r="B677" s="5"/>
      <c r="C677" s="6"/>
    </row>
    <row r="678">
      <c r="A678" s="6"/>
      <c r="B678" s="5"/>
      <c r="C678" s="6"/>
    </row>
    <row r="679">
      <c r="A679" s="6"/>
      <c r="B679" s="5"/>
      <c r="C679" s="6"/>
    </row>
    <row r="680">
      <c r="A680" s="6"/>
      <c r="B680" s="5"/>
      <c r="C680" s="6"/>
    </row>
    <row r="681">
      <c r="A681" s="6"/>
      <c r="B681" s="5"/>
      <c r="C681" s="6"/>
    </row>
    <row r="682">
      <c r="A682" s="6"/>
      <c r="B682" s="5"/>
      <c r="C682" s="6"/>
    </row>
    <row r="683">
      <c r="A683" s="6"/>
      <c r="B683" s="5"/>
      <c r="C683" s="6"/>
    </row>
    <row r="684">
      <c r="A684" s="6"/>
      <c r="B684" s="5"/>
      <c r="C684" s="6"/>
    </row>
    <row r="685">
      <c r="A685" s="6"/>
      <c r="B685" s="5"/>
      <c r="C685" s="6"/>
    </row>
    <row r="686">
      <c r="A686" s="6"/>
      <c r="B686" s="5"/>
      <c r="C686" s="6"/>
    </row>
    <row r="687">
      <c r="A687" s="6"/>
      <c r="B687" s="5"/>
      <c r="C687" s="6"/>
    </row>
    <row r="688">
      <c r="A688" s="6"/>
      <c r="B688" s="5"/>
      <c r="C688" s="6"/>
    </row>
    <row r="689">
      <c r="A689" s="6"/>
      <c r="B689" s="5"/>
      <c r="C689" s="6"/>
    </row>
    <row r="690">
      <c r="A690" s="6"/>
      <c r="B690" s="5"/>
      <c r="C690" s="6"/>
    </row>
    <row r="691">
      <c r="A691" s="6"/>
      <c r="B691" s="5"/>
      <c r="C691" s="6"/>
    </row>
    <row r="692">
      <c r="A692" s="6"/>
      <c r="B692" s="5"/>
      <c r="C692" s="6"/>
    </row>
    <row r="693">
      <c r="A693" s="6"/>
      <c r="B693" s="5"/>
      <c r="C693" s="6"/>
    </row>
    <row r="694">
      <c r="A694" s="6"/>
      <c r="B694" s="5"/>
      <c r="C694" s="6"/>
    </row>
    <row r="695">
      <c r="A695" s="6"/>
      <c r="B695" s="5"/>
      <c r="C695" s="6"/>
    </row>
    <row r="696">
      <c r="A696" s="6"/>
      <c r="B696" s="5"/>
      <c r="C696" s="6"/>
    </row>
    <row r="697">
      <c r="A697" s="6"/>
      <c r="B697" s="5"/>
      <c r="C697" s="6"/>
    </row>
    <row r="698">
      <c r="A698" s="6"/>
      <c r="B698" s="5"/>
      <c r="C698" s="6"/>
    </row>
    <row r="699">
      <c r="A699" s="6"/>
      <c r="B699" s="5"/>
      <c r="C699" s="6"/>
    </row>
    <row r="700">
      <c r="A700" s="6"/>
      <c r="B700" s="5"/>
      <c r="C700" s="6"/>
    </row>
    <row r="701">
      <c r="A701" s="6"/>
      <c r="B701" s="5"/>
      <c r="C701" s="6"/>
    </row>
    <row r="702">
      <c r="A702" s="6"/>
      <c r="B702" s="5"/>
      <c r="C702" s="6"/>
    </row>
    <row r="703">
      <c r="A703" s="6"/>
      <c r="B703" s="5"/>
      <c r="C703" s="6"/>
    </row>
    <row r="704">
      <c r="A704" s="6"/>
      <c r="B704" s="5"/>
      <c r="C704" s="6"/>
    </row>
    <row r="705">
      <c r="A705" s="6"/>
      <c r="B705" s="5"/>
      <c r="C705" s="6"/>
    </row>
    <row r="706">
      <c r="A706" s="6"/>
      <c r="B706" s="5"/>
      <c r="C706" s="6"/>
    </row>
    <row r="707">
      <c r="A707" s="6"/>
      <c r="B707" s="5"/>
      <c r="C707" s="6"/>
    </row>
    <row r="708">
      <c r="A708" s="6"/>
      <c r="B708" s="5"/>
      <c r="C708" s="6"/>
    </row>
    <row r="709">
      <c r="A709" s="6"/>
      <c r="B709" s="5"/>
      <c r="C709" s="6"/>
    </row>
    <row r="710">
      <c r="A710" s="6"/>
      <c r="B710" s="5"/>
      <c r="C710" s="6"/>
    </row>
    <row r="711">
      <c r="A711" s="6"/>
      <c r="B711" s="5"/>
      <c r="C711" s="6"/>
    </row>
    <row r="712">
      <c r="A712" s="6"/>
      <c r="B712" s="5"/>
      <c r="C712" s="6"/>
    </row>
    <row r="713">
      <c r="A713" s="6"/>
      <c r="B713" s="5"/>
      <c r="C713" s="6"/>
    </row>
    <row r="714">
      <c r="A714" s="6"/>
      <c r="B714" s="5"/>
      <c r="C714" s="6"/>
    </row>
    <row r="715">
      <c r="A715" s="6"/>
      <c r="B715" s="5"/>
      <c r="C715" s="6"/>
    </row>
    <row r="716">
      <c r="A716" s="6"/>
      <c r="B716" s="5"/>
      <c r="C716" s="6"/>
    </row>
    <row r="717">
      <c r="A717" s="6"/>
      <c r="B717" s="5"/>
      <c r="C717" s="6"/>
    </row>
    <row r="718">
      <c r="A718" s="6"/>
      <c r="B718" s="5"/>
      <c r="C718" s="6"/>
    </row>
    <row r="719">
      <c r="A719" s="6"/>
      <c r="B719" s="5"/>
      <c r="C719" s="6"/>
    </row>
    <row r="720">
      <c r="A720" s="6"/>
      <c r="B720" s="5"/>
      <c r="C720" s="6"/>
    </row>
    <row r="721">
      <c r="A721" s="6"/>
      <c r="B721" s="5"/>
      <c r="C721" s="6"/>
    </row>
    <row r="722">
      <c r="A722" s="6"/>
      <c r="B722" s="5"/>
      <c r="C722" s="6"/>
    </row>
    <row r="723">
      <c r="A723" s="6"/>
      <c r="B723" s="5"/>
      <c r="C723" s="6"/>
    </row>
    <row r="724">
      <c r="A724" s="6"/>
      <c r="B724" s="5"/>
      <c r="C724" s="6"/>
    </row>
    <row r="725">
      <c r="A725" s="6"/>
      <c r="B725" s="5"/>
      <c r="C725" s="6"/>
    </row>
    <row r="726">
      <c r="A726" s="6"/>
      <c r="B726" s="5"/>
      <c r="C726" s="6"/>
    </row>
    <row r="727">
      <c r="A727" s="6"/>
      <c r="B727" s="5"/>
      <c r="C727" s="6"/>
    </row>
    <row r="728">
      <c r="A728" s="6"/>
      <c r="B728" s="5"/>
      <c r="C728" s="6"/>
    </row>
    <row r="729">
      <c r="A729" s="6"/>
      <c r="B729" s="5"/>
      <c r="C729" s="6"/>
    </row>
    <row r="730">
      <c r="A730" s="6"/>
      <c r="B730" s="5"/>
      <c r="C730" s="6"/>
    </row>
    <row r="731">
      <c r="A731" s="6"/>
      <c r="B731" s="5"/>
      <c r="C731" s="6"/>
    </row>
    <row r="732">
      <c r="A732" s="6"/>
      <c r="B732" s="5"/>
      <c r="C732" s="6"/>
    </row>
    <row r="733">
      <c r="A733" s="6"/>
      <c r="B733" s="5"/>
      <c r="C733" s="6"/>
    </row>
    <row r="734">
      <c r="A734" s="6"/>
      <c r="B734" s="5"/>
      <c r="C734" s="6"/>
    </row>
    <row r="735">
      <c r="A735" s="6"/>
      <c r="B735" s="5"/>
      <c r="C735" s="6"/>
    </row>
    <row r="736">
      <c r="A736" s="6"/>
      <c r="B736" s="5"/>
      <c r="C736" s="6"/>
    </row>
    <row r="737">
      <c r="A737" s="6"/>
      <c r="B737" s="5"/>
      <c r="C737" s="6"/>
    </row>
    <row r="738">
      <c r="A738" s="6"/>
      <c r="B738" s="5"/>
      <c r="C738" s="6"/>
    </row>
    <row r="739">
      <c r="A739" s="6"/>
      <c r="B739" s="5"/>
      <c r="C739" s="6"/>
    </row>
    <row r="740">
      <c r="A740" s="6"/>
      <c r="B740" s="5"/>
      <c r="C740" s="6"/>
    </row>
    <row r="741">
      <c r="A741" s="6"/>
      <c r="B741" s="5"/>
      <c r="C741" s="6"/>
    </row>
    <row r="742">
      <c r="A742" s="6"/>
      <c r="B742" s="5"/>
      <c r="C742" s="6"/>
    </row>
    <row r="743">
      <c r="A743" s="6"/>
      <c r="B743" s="5"/>
      <c r="C743" s="6"/>
    </row>
    <row r="744">
      <c r="A744" s="6"/>
      <c r="B744" s="5"/>
      <c r="C744" s="6"/>
    </row>
    <row r="745">
      <c r="A745" s="6"/>
      <c r="B745" s="5"/>
      <c r="C745" s="6"/>
    </row>
    <row r="746">
      <c r="A746" s="6"/>
      <c r="B746" s="5"/>
      <c r="C746" s="6"/>
    </row>
    <row r="747">
      <c r="A747" s="6"/>
      <c r="B747" s="5"/>
      <c r="C747" s="6"/>
    </row>
    <row r="748">
      <c r="A748" s="6"/>
      <c r="B748" s="5"/>
      <c r="C748" s="6"/>
    </row>
    <row r="749">
      <c r="A749" s="6"/>
      <c r="B749" s="5"/>
      <c r="C749" s="6"/>
    </row>
    <row r="750">
      <c r="A750" s="6"/>
      <c r="B750" s="5"/>
      <c r="C750" s="6"/>
    </row>
    <row r="751">
      <c r="A751" s="6"/>
      <c r="B751" s="5"/>
      <c r="C751" s="6"/>
    </row>
    <row r="752">
      <c r="A752" s="6"/>
      <c r="B752" s="5"/>
      <c r="C752" s="6"/>
    </row>
    <row r="753">
      <c r="A753" s="6"/>
      <c r="B753" s="5"/>
      <c r="C753" s="6"/>
    </row>
    <row r="754">
      <c r="A754" s="6"/>
      <c r="B754" s="5"/>
      <c r="C754" s="6"/>
    </row>
    <row r="755">
      <c r="A755" s="6"/>
      <c r="B755" s="5"/>
      <c r="C755" s="6"/>
    </row>
    <row r="756">
      <c r="A756" s="6"/>
      <c r="B756" s="5"/>
      <c r="C756" s="6"/>
    </row>
    <row r="757">
      <c r="A757" s="6"/>
      <c r="B757" s="5"/>
      <c r="C757" s="6"/>
    </row>
    <row r="758">
      <c r="A758" s="6"/>
      <c r="B758" s="5"/>
      <c r="C758" s="6"/>
    </row>
    <row r="759">
      <c r="A759" s="6"/>
      <c r="B759" s="5"/>
      <c r="C759" s="6"/>
    </row>
    <row r="760">
      <c r="A760" s="6"/>
      <c r="B760" s="5"/>
      <c r="C760" s="6"/>
    </row>
    <row r="761">
      <c r="A761" s="6"/>
      <c r="B761" s="5"/>
      <c r="C761" s="6"/>
    </row>
    <row r="762">
      <c r="A762" s="6"/>
      <c r="B762" s="5"/>
      <c r="C762" s="6"/>
    </row>
    <row r="763">
      <c r="A763" s="6"/>
      <c r="B763" s="5"/>
      <c r="C763" s="6"/>
    </row>
    <row r="764">
      <c r="A764" s="6"/>
      <c r="B764" s="5"/>
      <c r="C764" s="6"/>
    </row>
    <row r="765">
      <c r="A765" s="6"/>
      <c r="B765" s="5"/>
      <c r="C765" s="6"/>
    </row>
    <row r="766">
      <c r="A766" s="6"/>
      <c r="B766" s="5"/>
      <c r="C766" s="6"/>
    </row>
    <row r="767">
      <c r="A767" s="6"/>
      <c r="B767" s="5"/>
      <c r="C767" s="6"/>
    </row>
    <row r="768">
      <c r="A768" s="6"/>
      <c r="B768" s="5"/>
      <c r="C768" s="6"/>
    </row>
    <row r="769">
      <c r="A769" s="6"/>
      <c r="B769" s="5"/>
      <c r="C769" s="6"/>
    </row>
    <row r="770">
      <c r="A770" s="6"/>
      <c r="B770" s="5"/>
      <c r="C770" s="6"/>
    </row>
    <row r="771">
      <c r="A771" s="6"/>
      <c r="B771" s="5"/>
      <c r="C771" s="6"/>
    </row>
    <row r="772">
      <c r="A772" s="6"/>
      <c r="B772" s="5"/>
      <c r="C772" s="6"/>
    </row>
    <row r="773">
      <c r="A773" s="6"/>
      <c r="B773" s="5"/>
      <c r="C773" s="6"/>
    </row>
    <row r="774">
      <c r="A774" s="6"/>
      <c r="B774" s="5"/>
      <c r="C774" s="6"/>
    </row>
    <row r="775">
      <c r="A775" s="6"/>
      <c r="B775" s="5"/>
      <c r="C775" s="6"/>
    </row>
    <row r="776">
      <c r="A776" s="6"/>
      <c r="B776" s="5"/>
      <c r="C776" s="6"/>
    </row>
    <row r="777">
      <c r="A777" s="6"/>
      <c r="B777" s="5"/>
      <c r="C777" s="6"/>
    </row>
    <row r="778">
      <c r="A778" s="6"/>
      <c r="B778" s="5"/>
      <c r="C778" s="6"/>
    </row>
    <row r="779">
      <c r="A779" s="6"/>
      <c r="B779" s="5"/>
      <c r="C779" s="6"/>
    </row>
    <row r="780">
      <c r="A780" s="6"/>
      <c r="B780" s="5"/>
      <c r="C780" s="6"/>
    </row>
    <row r="781">
      <c r="A781" s="6"/>
      <c r="B781" s="5"/>
      <c r="C781" s="6"/>
    </row>
    <row r="782">
      <c r="A782" s="6"/>
      <c r="B782" s="5"/>
      <c r="C782" s="6"/>
    </row>
    <row r="783">
      <c r="A783" s="6"/>
      <c r="B783" s="5"/>
      <c r="C783" s="6"/>
    </row>
    <row r="784">
      <c r="A784" s="6"/>
      <c r="B784" s="5"/>
      <c r="C784" s="6"/>
    </row>
    <row r="785">
      <c r="A785" s="6"/>
      <c r="B785" s="5"/>
      <c r="C785" s="6"/>
    </row>
    <row r="786">
      <c r="A786" s="6"/>
      <c r="B786" s="5"/>
      <c r="C786" s="6"/>
    </row>
    <row r="787">
      <c r="A787" s="6"/>
      <c r="B787" s="5"/>
      <c r="C787" s="6"/>
    </row>
    <row r="788">
      <c r="A788" s="6"/>
      <c r="B788" s="5"/>
      <c r="C788" s="6"/>
    </row>
    <row r="789">
      <c r="A789" s="6"/>
      <c r="B789" s="5"/>
      <c r="C789" s="6"/>
    </row>
    <row r="790">
      <c r="A790" s="6"/>
      <c r="B790" s="5"/>
      <c r="C790" s="6"/>
    </row>
    <row r="791">
      <c r="A791" s="6"/>
      <c r="B791" s="5"/>
      <c r="C791" s="6"/>
    </row>
    <row r="792">
      <c r="A792" s="6"/>
      <c r="B792" s="5"/>
      <c r="C792" s="6"/>
    </row>
    <row r="793">
      <c r="A793" s="6"/>
      <c r="B793" s="5"/>
      <c r="C793" s="6"/>
    </row>
    <row r="794">
      <c r="A794" s="6"/>
      <c r="B794" s="5"/>
      <c r="C794" s="6"/>
    </row>
    <row r="795">
      <c r="A795" s="6"/>
      <c r="B795" s="5"/>
      <c r="C795" s="6"/>
    </row>
    <row r="796">
      <c r="A796" s="6"/>
      <c r="B796" s="5"/>
      <c r="C796" s="6"/>
    </row>
    <row r="797">
      <c r="A797" s="6"/>
      <c r="B797" s="5"/>
      <c r="C797" s="6"/>
    </row>
    <row r="798">
      <c r="A798" s="6"/>
      <c r="B798" s="5"/>
      <c r="C798" s="6"/>
    </row>
    <row r="799">
      <c r="A799" s="6"/>
      <c r="B799" s="5"/>
      <c r="C799" s="6"/>
    </row>
    <row r="800">
      <c r="A800" s="6"/>
      <c r="B800" s="5"/>
      <c r="C800" s="6"/>
    </row>
    <row r="801">
      <c r="A801" s="6"/>
      <c r="B801" s="5"/>
      <c r="C801" s="6"/>
    </row>
    <row r="802">
      <c r="A802" s="6"/>
      <c r="B802" s="5"/>
      <c r="C802" s="6"/>
    </row>
    <row r="803">
      <c r="A803" s="6"/>
      <c r="B803" s="5"/>
      <c r="C803" s="6"/>
    </row>
    <row r="804">
      <c r="A804" s="6"/>
      <c r="B804" s="5"/>
      <c r="C804" s="6"/>
    </row>
    <row r="805">
      <c r="A805" s="6"/>
      <c r="B805" s="5"/>
      <c r="C805" s="6"/>
    </row>
    <row r="806">
      <c r="A806" s="6"/>
      <c r="B806" s="5"/>
      <c r="C806" s="6"/>
    </row>
    <row r="807">
      <c r="A807" s="6"/>
      <c r="B807" s="5"/>
      <c r="C807" s="6"/>
    </row>
    <row r="808">
      <c r="A808" s="6"/>
      <c r="B808" s="5"/>
      <c r="C808" s="6"/>
    </row>
    <row r="809">
      <c r="A809" s="6"/>
      <c r="B809" s="5"/>
      <c r="C809" s="6"/>
    </row>
    <row r="810">
      <c r="A810" s="6"/>
      <c r="B810" s="5"/>
      <c r="C810" s="6"/>
    </row>
    <row r="811">
      <c r="A811" s="6"/>
      <c r="B811" s="5"/>
      <c r="C811" s="6"/>
    </row>
    <row r="812">
      <c r="A812" s="6"/>
      <c r="B812" s="5"/>
      <c r="C812" s="6"/>
    </row>
    <row r="813">
      <c r="A813" s="6"/>
      <c r="B813" s="5"/>
      <c r="C813" s="6"/>
    </row>
    <row r="814">
      <c r="A814" s="6"/>
      <c r="B814" s="5"/>
      <c r="C814" s="6"/>
    </row>
    <row r="815">
      <c r="A815" s="6"/>
      <c r="B815" s="5"/>
      <c r="C815" s="6"/>
    </row>
    <row r="816">
      <c r="A816" s="6"/>
      <c r="B816" s="5"/>
      <c r="C816" s="6"/>
    </row>
    <row r="817">
      <c r="A817" s="6"/>
      <c r="B817" s="5"/>
      <c r="C817" s="6"/>
    </row>
    <row r="818">
      <c r="A818" s="6"/>
      <c r="B818" s="5"/>
      <c r="C818" s="6"/>
    </row>
    <row r="819">
      <c r="A819" s="6"/>
      <c r="B819" s="5"/>
      <c r="C819" s="6"/>
    </row>
    <row r="820">
      <c r="A820" s="6"/>
      <c r="B820" s="5"/>
      <c r="C820" s="6"/>
    </row>
    <row r="821">
      <c r="A821" s="6"/>
      <c r="B821" s="5"/>
      <c r="C821" s="6"/>
    </row>
    <row r="822">
      <c r="A822" s="6"/>
      <c r="B822" s="5"/>
      <c r="C822" s="6"/>
    </row>
    <row r="823">
      <c r="A823" s="6"/>
      <c r="B823" s="5"/>
      <c r="C823" s="6"/>
    </row>
    <row r="824">
      <c r="A824" s="6"/>
      <c r="B824" s="5"/>
      <c r="C824" s="6"/>
    </row>
    <row r="825">
      <c r="A825" s="6"/>
      <c r="B825" s="5"/>
      <c r="C825" s="6"/>
    </row>
    <row r="826">
      <c r="A826" s="6"/>
      <c r="B826" s="5"/>
      <c r="C826" s="6"/>
    </row>
    <row r="827">
      <c r="A827" s="6"/>
      <c r="B827" s="5"/>
      <c r="C827" s="6"/>
    </row>
    <row r="828">
      <c r="A828" s="6"/>
      <c r="B828" s="5"/>
      <c r="C828" s="6"/>
    </row>
    <row r="829">
      <c r="A829" s="6"/>
      <c r="B829" s="5"/>
      <c r="C829" s="6"/>
    </row>
    <row r="830">
      <c r="A830" s="6"/>
      <c r="B830" s="5"/>
      <c r="C830" s="6"/>
    </row>
    <row r="831">
      <c r="A831" s="6"/>
      <c r="B831" s="5"/>
      <c r="C831" s="6"/>
    </row>
    <row r="832">
      <c r="A832" s="6"/>
      <c r="B832" s="5"/>
      <c r="C832" s="6"/>
    </row>
    <row r="833">
      <c r="A833" s="6"/>
      <c r="B833" s="5"/>
      <c r="C833" s="6"/>
    </row>
    <row r="834">
      <c r="A834" s="6"/>
      <c r="B834" s="5"/>
      <c r="C834" s="6"/>
    </row>
    <row r="835">
      <c r="A835" s="6"/>
      <c r="B835" s="5"/>
      <c r="C835" s="6"/>
    </row>
    <row r="836">
      <c r="A836" s="6"/>
      <c r="B836" s="5"/>
      <c r="C836" s="6"/>
    </row>
    <row r="837">
      <c r="A837" s="6"/>
      <c r="B837" s="5"/>
      <c r="C837" s="6"/>
    </row>
    <row r="838">
      <c r="A838" s="6"/>
      <c r="B838" s="5"/>
      <c r="C838" s="6"/>
    </row>
    <row r="839">
      <c r="A839" s="6"/>
      <c r="B839" s="5"/>
      <c r="C839" s="6"/>
    </row>
    <row r="840">
      <c r="A840" s="6"/>
      <c r="B840" s="5"/>
      <c r="C840" s="6"/>
    </row>
    <row r="841">
      <c r="A841" s="6"/>
      <c r="B841" s="5"/>
      <c r="C841" s="6"/>
    </row>
    <row r="842">
      <c r="A842" s="6"/>
      <c r="B842" s="5"/>
      <c r="C842" s="6"/>
    </row>
    <row r="843">
      <c r="A843" s="6"/>
      <c r="B843" s="5"/>
      <c r="C843" s="6"/>
    </row>
    <row r="844">
      <c r="A844" s="6"/>
      <c r="B844" s="5"/>
      <c r="C844" s="6"/>
    </row>
    <row r="845">
      <c r="A845" s="6"/>
      <c r="B845" s="5"/>
      <c r="C845" s="6"/>
    </row>
    <row r="846">
      <c r="A846" s="6"/>
      <c r="B846" s="5"/>
      <c r="C846" s="6"/>
    </row>
    <row r="847">
      <c r="A847" s="6"/>
      <c r="B847" s="5"/>
      <c r="C847" s="6"/>
    </row>
    <row r="848">
      <c r="A848" s="6"/>
      <c r="B848" s="5"/>
      <c r="C848" s="6"/>
    </row>
    <row r="849">
      <c r="A849" s="6"/>
      <c r="B849" s="5"/>
      <c r="C849" s="6"/>
    </row>
    <row r="850">
      <c r="A850" s="6"/>
      <c r="B850" s="5"/>
      <c r="C850" s="6"/>
    </row>
    <row r="851">
      <c r="A851" s="6"/>
      <c r="B851" s="5"/>
      <c r="C851" s="6"/>
    </row>
    <row r="852">
      <c r="A852" s="6"/>
      <c r="B852" s="5"/>
      <c r="C852" s="6"/>
    </row>
    <row r="853">
      <c r="A853" s="6"/>
      <c r="B853" s="5"/>
      <c r="C853" s="6"/>
    </row>
    <row r="854">
      <c r="A854" s="6"/>
      <c r="B854" s="5"/>
      <c r="C854" s="6"/>
    </row>
    <row r="855">
      <c r="A855" s="6"/>
      <c r="B855" s="5"/>
      <c r="C855" s="6"/>
    </row>
    <row r="856">
      <c r="A856" s="6"/>
      <c r="B856" s="5"/>
      <c r="C856" s="6"/>
    </row>
    <row r="857">
      <c r="A857" s="6"/>
      <c r="B857" s="5"/>
      <c r="C857" s="6"/>
    </row>
    <row r="858">
      <c r="A858" s="6"/>
      <c r="B858" s="5"/>
      <c r="C858" s="6"/>
    </row>
    <row r="859">
      <c r="A859" s="6"/>
      <c r="B859" s="5"/>
      <c r="C859" s="6"/>
    </row>
    <row r="860">
      <c r="A860" s="6"/>
      <c r="B860" s="5"/>
      <c r="C860" s="6"/>
    </row>
    <row r="861">
      <c r="A861" s="6"/>
      <c r="B861" s="5"/>
      <c r="C861" s="6"/>
    </row>
    <row r="862">
      <c r="A862" s="6"/>
      <c r="B862" s="5"/>
      <c r="C862" s="6"/>
    </row>
    <row r="863">
      <c r="A863" s="6"/>
      <c r="B863" s="5"/>
      <c r="C863" s="6"/>
    </row>
    <row r="864">
      <c r="A864" s="6"/>
      <c r="B864" s="5"/>
      <c r="C864" s="6"/>
    </row>
    <row r="865">
      <c r="A865" s="6"/>
      <c r="B865" s="5"/>
      <c r="C865" s="6"/>
    </row>
    <row r="866">
      <c r="A866" s="6"/>
      <c r="B866" s="5"/>
      <c r="C866" s="6"/>
    </row>
    <row r="867">
      <c r="A867" s="6"/>
      <c r="B867" s="5"/>
      <c r="C867" s="6"/>
    </row>
    <row r="868">
      <c r="A868" s="6"/>
      <c r="B868" s="5"/>
      <c r="C868" s="6"/>
    </row>
    <row r="869">
      <c r="A869" s="6"/>
      <c r="B869" s="5"/>
      <c r="C869" s="6"/>
    </row>
    <row r="870">
      <c r="A870" s="6"/>
      <c r="B870" s="5"/>
      <c r="C870" s="6"/>
    </row>
    <row r="871">
      <c r="A871" s="6"/>
      <c r="B871" s="5"/>
      <c r="C871" s="6"/>
    </row>
    <row r="872">
      <c r="A872" s="6"/>
      <c r="B872" s="5"/>
      <c r="C872" s="6"/>
    </row>
    <row r="873">
      <c r="A873" s="6"/>
      <c r="B873" s="5"/>
      <c r="C873" s="6"/>
    </row>
    <row r="874">
      <c r="A874" s="6"/>
      <c r="B874" s="5"/>
      <c r="C874" s="6"/>
    </row>
    <row r="875">
      <c r="A875" s="6"/>
      <c r="B875" s="5"/>
      <c r="C875" s="6"/>
    </row>
    <row r="876">
      <c r="A876" s="6"/>
      <c r="B876" s="5"/>
      <c r="C876" s="6"/>
    </row>
    <row r="877">
      <c r="A877" s="6"/>
      <c r="B877" s="5"/>
      <c r="C877" s="6"/>
    </row>
    <row r="878">
      <c r="A878" s="6"/>
      <c r="B878" s="5"/>
      <c r="C878" s="6"/>
    </row>
    <row r="879">
      <c r="A879" s="6"/>
      <c r="B879" s="5"/>
      <c r="C879" s="6"/>
    </row>
    <row r="880">
      <c r="A880" s="6"/>
      <c r="B880" s="5"/>
      <c r="C880" s="6"/>
    </row>
    <row r="881">
      <c r="A881" s="6"/>
      <c r="B881" s="5"/>
      <c r="C881" s="6"/>
    </row>
    <row r="882">
      <c r="A882" s="6"/>
      <c r="B882" s="5"/>
      <c r="C882" s="6"/>
    </row>
    <row r="883">
      <c r="A883" s="6"/>
      <c r="B883" s="5"/>
      <c r="C883" s="6"/>
    </row>
    <row r="884">
      <c r="A884" s="6"/>
      <c r="B884" s="5"/>
      <c r="C884" s="6"/>
    </row>
    <row r="885">
      <c r="A885" s="6"/>
      <c r="B885" s="5"/>
      <c r="C885" s="6"/>
    </row>
    <row r="886">
      <c r="A886" s="6"/>
      <c r="B886" s="5"/>
      <c r="C886" s="6"/>
    </row>
    <row r="887">
      <c r="A887" s="6"/>
      <c r="B887" s="5"/>
      <c r="C887" s="6"/>
    </row>
    <row r="888">
      <c r="A888" s="6"/>
      <c r="B888" s="5"/>
      <c r="C888" s="6"/>
    </row>
    <row r="889">
      <c r="A889" s="6"/>
      <c r="B889" s="5"/>
      <c r="C889" s="6"/>
    </row>
    <row r="890">
      <c r="A890" s="6"/>
      <c r="B890" s="5"/>
      <c r="C890" s="6"/>
    </row>
    <row r="891">
      <c r="A891" s="6"/>
      <c r="B891" s="5"/>
      <c r="C891" s="6"/>
    </row>
    <row r="892">
      <c r="A892" s="6"/>
      <c r="B892" s="5"/>
      <c r="C892" s="6"/>
    </row>
    <row r="893">
      <c r="A893" s="6"/>
      <c r="B893" s="5"/>
      <c r="C893" s="6"/>
    </row>
    <row r="894">
      <c r="A894" s="6"/>
      <c r="B894" s="5"/>
      <c r="C894" s="6"/>
    </row>
    <row r="895">
      <c r="A895" s="6"/>
      <c r="B895" s="5"/>
      <c r="C895" s="6"/>
    </row>
    <row r="896">
      <c r="A896" s="6"/>
      <c r="B896" s="5"/>
      <c r="C896" s="6"/>
    </row>
    <row r="897">
      <c r="A897" s="6"/>
      <c r="B897" s="5"/>
      <c r="C897" s="6"/>
    </row>
    <row r="898">
      <c r="A898" s="6"/>
      <c r="B898" s="5"/>
      <c r="C898" s="6"/>
    </row>
    <row r="899">
      <c r="A899" s="6"/>
      <c r="B899" s="5"/>
      <c r="C899" s="6"/>
    </row>
    <row r="900">
      <c r="A900" s="6"/>
      <c r="B900" s="5"/>
      <c r="C900" s="6"/>
    </row>
    <row r="901">
      <c r="A901" s="6"/>
      <c r="B901" s="5"/>
      <c r="C901" s="6"/>
    </row>
    <row r="902">
      <c r="A902" s="6"/>
      <c r="B902" s="5"/>
      <c r="C902" s="6"/>
    </row>
    <row r="903">
      <c r="A903" s="6"/>
      <c r="B903" s="5"/>
      <c r="C903" s="6"/>
    </row>
    <row r="904">
      <c r="A904" s="6"/>
      <c r="B904" s="5"/>
      <c r="C904" s="6"/>
    </row>
    <row r="905">
      <c r="A905" s="6"/>
      <c r="B905" s="5"/>
      <c r="C905" s="6"/>
    </row>
    <row r="906">
      <c r="A906" s="6"/>
      <c r="B906" s="5"/>
      <c r="C906" s="6"/>
    </row>
    <row r="907">
      <c r="A907" s="6"/>
      <c r="B907" s="5"/>
      <c r="C907" s="6"/>
    </row>
    <row r="908">
      <c r="A908" s="6"/>
      <c r="B908" s="5"/>
      <c r="C908" s="6"/>
    </row>
    <row r="909">
      <c r="A909" s="6"/>
      <c r="B909" s="5"/>
      <c r="C909" s="6"/>
    </row>
    <row r="910">
      <c r="A910" s="6"/>
      <c r="B910" s="5"/>
      <c r="C910" s="6"/>
    </row>
    <row r="911">
      <c r="A911" s="6"/>
      <c r="B911" s="5"/>
      <c r="C911" s="6"/>
    </row>
    <row r="912">
      <c r="A912" s="6"/>
      <c r="B912" s="5"/>
      <c r="C912" s="6"/>
    </row>
    <row r="913">
      <c r="A913" s="6"/>
      <c r="B913" s="5"/>
      <c r="C913" s="6"/>
    </row>
    <row r="914">
      <c r="A914" s="6"/>
      <c r="B914" s="5"/>
      <c r="C914" s="6"/>
    </row>
    <row r="915">
      <c r="A915" s="6"/>
      <c r="B915" s="5"/>
      <c r="C915" s="6"/>
    </row>
    <row r="916">
      <c r="A916" s="6"/>
      <c r="B916" s="5"/>
      <c r="C916" s="6"/>
    </row>
    <row r="917">
      <c r="A917" s="6"/>
      <c r="B917" s="5"/>
      <c r="C917" s="6"/>
    </row>
    <row r="918">
      <c r="A918" s="6"/>
      <c r="B918" s="5"/>
      <c r="C918" s="6"/>
    </row>
    <row r="919">
      <c r="A919" s="6"/>
      <c r="B919" s="5"/>
      <c r="C919" s="6"/>
    </row>
    <row r="920">
      <c r="A920" s="6"/>
      <c r="B920" s="5"/>
      <c r="C920" s="6"/>
    </row>
    <row r="921">
      <c r="A921" s="6"/>
      <c r="B921" s="5"/>
      <c r="C921" s="6"/>
    </row>
    <row r="922">
      <c r="A922" s="6"/>
      <c r="B922" s="5"/>
      <c r="C922" s="6"/>
    </row>
    <row r="923">
      <c r="A923" s="6"/>
      <c r="B923" s="5"/>
      <c r="C923" s="6"/>
    </row>
    <row r="924">
      <c r="A924" s="6"/>
      <c r="B924" s="5"/>
      <c r="C924" s="6"/>
    </row>
    <row r="925">
      <c r="A925" s="6"/>
      <c r="B925" s="5"/>
      <c r="C925" s="6"/>
    </row>
    <row r="926">
      <c r="A926" s="6"/>
      <c r="B926" s="5"/>
      <c r="C926" s="6"/>
    </row>
    <row r="927">
      <c r="A927" s="6"/>
      <c r="B927" s="5"/>
      <c r="C927" s="6"/>
    </row>
    <row r="928">
      <c r="A928" s="6"/>
      <c r="B928" s="5"/>
      <c r="C928" s="6"/>
    </row>
    <row r="929">
      <c r="A929" s="6"/>
      <c r="B929" s="5"/>
      <c r="C929" s="6"/>
    </row>
    <row r="930">
      <c r="A930" s="6"/>
      <c r="B930" s="5"/>
      <c r="C930" s="6"/>
    </row>
    <row r="931">
      <c r="A931" s="6"/>
      <c r="B931" s="5"/>
      <c r="C931" s="6"/>
    </row>
    <row r="932">
      <c r="A932" s="6"/>
      <c r="B932" s="5"/>
      <c r="C932" s="6"/>
    </row>
    <row r="933">
      <c r="A933" s="6"/>
      <c r="B933" s="5"/>
      <c r="C933" s="6"/>
    </row>
    <row r="934">
      <c r="A934" s="6"/>
      <c r="B934" s="5"/>
      <c r="C934" s="6"/>
    </row>
    <row r="935">
      <c r="A935" s="6"/>
      <c r="B935" s="5"/>
      <c r="C935" s="6"/>
    </row>
    <row r="936">
      <c r="A936" s="6"/>
      <c r="B936" s="5"/>
      <c r="C936" s="6"/>
    </row>
    <row r="937">
      <c r="A937" s="6"/>
      <c r="B937" s="5"/>
      <c r="C937" s="6"/>
    </row>
    <row r="938">
      <c r="A938" s="6"/>
      <c r="B938" s="5"/>
      <c r="C938" s="6"/>
    </row>
    <row r="939">
      <c r="A939" s="6"/>
      <c r="B939" s="5"/>
      <c r="C939" s="6"/>
    </row>
    <row r="940">
      <c r="A940" s="6"/>
      <c r="B940" s="5"/>
      <c r="C940" s="6"/>
    </row>
    <row r="941">
      <c r="A941" s="6"/>
      <c r="B941" s="5"/>
      <c r="C941" s="6"/>
    </row>
    <row r="942">
      <c r="A942" s="6"/>
      <c r="B942" s="5"/>
      <c r="C942" s="6"/>
    </row>
    <row r="943">
      <c r="A943" s="6"/>
      <c r="B943" s="5"/>
      <c r="C943" s="6"/>
    </row>
    <row r="944">
      <c r="A944" s="6"/>
      <c r="B944" s="5"/>
      <c r="C944" s="6"/>
    </row>
    <row r="945">
      <c r="A945" s="6"/>
      <c r="B945" s="5"/>
      <c r="C945" s="6"/>
    </row>
    <row r="946">
      <c r="A946" s="6"/>
      <c r="B946" s="5"/>
      <c r="C946" s="6"/>
    </row>
    <row r="947">
      <c r="A947" s="6"/>
      <c r="B947" s="5"/>
      <c r="C947" s="6"/>
    </row>
    <row r="948">
      <c r="A948" s="6"/>
      <c r="B948" s="5"/>
      <c r="C948" s="6"/>
    </row>
    <row r="949">
      <c r="A949" s="6"/>
      <c r="B949" s="5"/>
      <c r="C949" s="6"/>
    </row>
    <row r="950">
      <c r="A950" s="6"/>
      <c r="B950" s="5"/>
      <c r="C950" s="6"/>
    </row>
    <row r="951">
      <c r="A951" s="6"/>
      <c r="B951" s="5"/>
      <c r="C951" s="6"/>
    </row>
    <row r="952">
      <c r="A952" s="6"/>
      <c r="B952" s="5"/>
      <c r="C952" s="6"/>
    </row>
    <row r="953">
      <c r="A953" s="6"/>
      <c r="B953" s="5"/>
      <c r="C953" s="6"/>
    </row>
    <row r="954">
      <c r="A954" s="6"/>
      <c r="B954" s="5"/>
      <c r="C954" s="6"/>
    </row>
    <row r="955">
      <c r="A955" s="6"/>
      <c r="B955" s="5"/>
      <c r="C955" s="6"/>
    </row>
    <row r="956">
      <c r="A956" s="6"/>
      <c r="B956" s="5"/>
      <c r="C956" s="6"/>
    </row>
    <row r="957">
      <c r="A957" s="6"/>
      <c r="B957" s="5"/>
      <c r="C957" s="6"/>
    </row>
    <row r="958">
      <c r="A958" s="6"/>
      <c r="B958" s="5"/>
      <c r="C958" s="6"/>
    </row>
    <row r="959">
      <c r="A959" s="6"/>
      <c r="B959" s="5"/>
      <c r="C959" s="6"/>
    </row>
    <row r="960">
      <c r="A960" s="6"/>
      <c r="B960" s="5"/>
      <c r="C960" s="6"/>
    </row>
    <row r="961">
      <c r="A961" s="6"/>
      <c r="B961" s="5"/>
      <c r="C961" s="6"/>
    </row>
    <row r="962">
      <c r="A962" s="6"/>
      <c r="B962" s="5"/>
      <c r="C962" s="6"/>
    </row>
    <row r="963">
      <c r="A963" s="6"/>
      <c r="B963" s="5"/>
      <c r="C963" s="6"/>
    </row>
    <row r="964">
      <c r="A964" s="6"/>
      <c r="B964" s="5"/>
      <c r="C964" s="6"/>
    </row>
    <row r="965">
      <c r="A965" s="6"/>
      <c r="B965" s="5"/>
      <c r="C965" s="6"/>
    </row>
    <row r="966">
      <c r="A966" s="6"/>
      <c r="B966" s="5"/>
      <c r="C966" s="6"/>
    </row>
    <row r="967">
      <c r="A967" s="6"/>
      <c r="B967" s="5"/>
      <c r="C967" s="6"/>
    </row>
    <row r="968">
      <c r="A968" s="6"/>
      <c r="B968" s="5"/>
      <c r="C968" s="6"/>
    </row>
    <row r="969">
      <c r="A969" s="6"/>
      <c r="B969" s="5"/>
      <c r="C969" s="6"/>
    </row>
    <row r="970">
      <c r="A970" s="6"/>
      <c r="B970" s="5"/>
      <c r="C970" s="6"/>
    </row>
    <row r="971">
      <c r="A971" s="6"/>
      <c r="B971" s="5"/>
      <c r="C971" s="6"/>
    </row>
    <row r="972">
      <c r="A972" s="6"/>
      <c r="B972" s="5"/>
      <c r="C972" s="6"/>
    </row>
    <row r="973">
      <c r="A973" s="6"/>
      <c r="B973" s="5"/>
      <c r="C973" s="6"/>
    </row>
    <row r="974">
      <c r="A974" s="6"/>
      <c r="B974" s="5"/>
      <c r="C974" s="6"/>
    </row>
    <row r="975">
      <c r="A975" s="6"/>
      <c r="B975" s="5"/>
      <c r="C975" s="6"/>
    </row>
    <row r="976">
      <c r="A976" s="6"/>
      <c r="B976" s="5"/>
      <c r="C976" s="6"/>
    </row>
    <row r="977">
      <c r="A977" s="6"/>
      <c r="B977" s="5"/>
      <c r="C977" s="6"/>
    </row>
    <row r="978">
      <c r="A978" s="6"/>
      <c r="B978" s="5"/>
      <c r="C978" s="6"/>
    </row>
    <row r="979">
      <c r="A979" s="6"/>
      <c r="B979" s="5"/>
      <c r="C979" s="6"/>
    </row>
    <row r="980">
      <c r="A980" s="6"/>
      <c r="B980" s="5"/>
      <c r="C980" s="6"/>
    </row>
    <row r="981">
      <c r="A981" s="6"/>
      <c r="B981" s="5"/>
      <c r="C981" s="6"/>
    </row>
    <row r="982">
      <c r="A982" s="6"/>
      <c r="B982" s="5"/>
      <c r="C982" s="6"/>
    </row>
    <row r="983">
      <c r="A983" s="6"/>
      <c r="B983" s="5"/>
      <c r="C983" s="6"/>
    </row>
    <row r="984">
      <c r="A984" s="6"/>
      <c r="B984" s="5"/>
      <c r="C984" s="6"/>
    </row>
    <row r="985">
      <c r="A985" s="6"/>
      <c r="B985" s="5"/>
      <c r="C985" s="6"/>
    </row>
    <row r="986">
      <c r="A986" s="6"/>
      <c r="B986" s="5"/>
      <c r="C986" s="6"/>
    </row>
    <row r="987">
      <c r="A987" s="6"/>
      <c r="B987" s="5"/>
      <c r="C987" s="6"/>
    </row>
    <row r="988">
      <c r="A988" s="6"/>
      <c r="B988" s="5"/>
      <c r="C988" s="6"/>
    </row>
    <row r="989">
      <c r="A989" s="6"/>
      <c r="B989" s="5"/>
      <c r="C989" s="6"/>
    </row>
    <row r="990">
      <c r="A990" s="6"/>
      <c r="B990" s="5"/>
      <c r="C990" s="6"/>
    </row>
    <row r="991">
      <c r="A991" s="6"/>
      <c r="B991" s="5"/>
      <c r="C991" s="6"/>
    </row>
    <row r="992">
      <c r="A992" s="6"/>
      <c r="B992" s="5"/>
      <c r="C992" s="6"/>
    </row>
    <row r="993">
      <c r="A993" s="6"/>
      <c r="B993" s="5"/>
      <c r="C993" s="6"/>
    </row>
    <row r="994">
      <c r="A994" s="6"/>
      <c r="B994" s="5"/>
      <c r="C994" s="6"/>
    </row>
    <row r="995">
      <c r="A995" s="6"/>
      <c r="B995" s="5"/>
      <c r="C995" s="6"/>
    </row>
    <row r="996">
      <c r="A996" s="6"/>
      <c r="B996" s="5"/>
      <c r="C996" s="6"/>
    </row>
    <row r="997">
      <c r="A997" s="6"/>
      <c r="B997" s="5"/>
      <c r="C997" s="6"/>
    </row>
    <row r="998">
      <c r="A998" s="6"/>
      <c r="B998" s="5"/>
      <c r="C998" s="6"/>
    </row>
    <row r="999">
      <c r="A999" s="6"/>
      <c r="B999" s="5"/>
      <c r="C999" s="6"/>
    </row>
    <row r="1000">
      <c r="A1000" s="6"/>
      <c r="B1000" s="5"/>
      <c r="C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 customWidth="1" min="2" max="2" width="22.88"/>
  </cols>
  <sheetData>
    <row r="1">
      <c r="A1" s="3" t="s">
        <v>0</v>
      </c>
      <c r="B1" s="10" t="s">
        <v>133</v>
      </c>
    </row>
    <row r="2">
      <c r="A2" s="10" t="s">
        <v>134</v>
      </c>
      <c r="B2" s="12" t="str">
        <f>IFERROR(__xludf.DUMMYFUNCTION("IF(ISBLANK(A2),"""",GOOGLETRANSLATE(A2,""en"",""es""))"),"NETSO")</f>
        <v>NETSO</v>
      </c>
    </row>
    <row r="3">
      <c r="A3" s="10" t="s">
        <v>135</v>
      </c>
      <c r="B3" s="12" t="str">
        <f>IFERROR(__xludf.DUMMYFUNCTION("IF(ISBLANK(A3),"""",GOOGLETRANSLATE(A3,""en"",""es""))"),"Plataforma")</f>
        <v>Plataforma</v>
      </c>
    </row>
    <row r="4">
      <c r="A4" s="10" t="s">
        <v>136</v>
      </c>
      <c r="B4" s="12" t="str">
        <f>IFERROR(__xludf.DUMMYFUNCTION("IF(ISBLANK(A4),"""",GOOGLETRANSLATE(A4,""en"",""es""))"),"Descripción general")</f>
        <v>Descripción general</v>
      </c>
    </row>
    <row r="5">
      <c r="A5" s="10" t="s">
        <v>20</v>
      </c>
      <c r="B5" s="12" t="str">
        <f>IFERROR(__xludf.DUMMYFUNCTION("IF(ISBLANK(A5),"""",GOOGLETRANSLATE(A5,""en"",""es""))"),"Plataforma Transcend")</f>
        <v>Plataforma Transcend</v>
      </c>
    </row>
    <row r="6">
      <c r="A6" s="10" t="s">
        <v>137</v>
      </c>
      <c r="B6" s="12" t="str">
        <f>IFERROR(__xludf.DUMMYFUNCTION("IF(ISBLANK(A6),"""",GOOGLETRANSLATE(A6,""en"",""es""))"),"Ecosistema de IA componible que orquesta las finanzas globales de activos y minoristas")</f>
        <v>Ecosistema de IA componible que orquesta las finanzas globales de activos y minoristas</v>
      </c>
    </row>
    <row r="7">
      <c r="A7" s="10" t="s">
        <v>138</v>
      </c>
      <c r="B7" s="12" t="str">
        <f>IFERROR(__xludf.DUMMYFUNCTION("IF(ISBLANK(A7),"""",GOOGLETRANSLATE(A7,""en"",""es""))"),"Comercio minorista digital")</f>
        <v>Comercio minorista digital</v>
      </c>
    </row>
    <row r="8">
      <c r="A8" s="13" t="s">
        <v>139</v>
      </c>
      <c r="B8" s="12" t="str">
        <f>IFERROR(__xludf.DUMMYFUNCTION("IF(ISBLANK(A8),"""",GOOGLETRANSLATE(A8,""en"",""es""))"),"Redefiniendo la venta minorista de automóviles a través de datos conectados y flujos de trabajo inteligentes")</f>
        <v>Redefiniendo la venta minorista de automóviles a través de datos conectados y flujos de trabajo inteligentes</v>
      </c>
    </row>
    <row r="9">
      <c r="A9" s="13" t="s">
        <v>140</v>
      </c>
      <c r="B9" s="12" t="str">
        <f>IFERROR(__xludf.DUMMYFUNCTION("IF(ISBLANK(A9),"""",GOOGLETRANSLATE(A9,""en"",""es""))"),"Portales intermediarios")</f>
        <v>Portales intermediarios</v>
      </c>
    </row>
    <row r="10">
      <c r="A10" s="10" t="s">
        <v>141</v>
      </c>
      <c r="B10" s="12" t="str">
        <f>IFERROR(__xludf.DUMMYFUNCTION("IF(ISBLANK(A10),"""",GOOGLETRANSLATE(A10,""en"",""es""))"),"Portales digitales de marca que unifican socios, canales y clientes")</f>
        <v>Portales digitales de marca que unifican socios, canales y clientes</v>
      </c>
    </row>
    <row r="11">
      <c r="A11" s="13" t="s">
        <v>142</v>
      </c>
      <c r="B11" s="12" t="str">
        <f>IFERROR(__xludf.DUMMYFUNCTION("IF(ISBLANK(A11),"""",GOOGLETRANSLATE(A11,""en"",""es""))"),"Orígenes")</f>
        <v>Orígenes</v>
      </c>
    </row>
    <row r="12">
      <c r="A12" s="10" t="s">
        <v>143</v>
      </c>
      <c r="B12" s="12" t="str">
        <f>IFERROR(__xludf.DUMMYFUNCTION("IF(ISBLANK(A12),"""",GOOGLETRANSLATE(A12,""en"",""es""))"),"Experimente el futuro de la originación de arrendamientos y préstamos con plataformas ágiles, intuitivas y multicanal.")</f>
        <v>Experimente el futuro de la originación de arrendamientos y préstamos con plataformas ágiles, intuitivas y multicanal.</v>
      </c>
    </row>
    <row r="13">
      <c r="A13" s="13" t="s">
        <v>144</v>
      </c>
      <c r="B13" s="12" t="str">
        <f>IFERROR(__xludf.DUMMYFUNCTION("IF(ISBLANK(A13),"""",GOOGLETRANSLATE(A13,""en"",""es""))"),"Servicio")</f>
        <v>Servicio</v>
      </c>
    </row>
    <row r="14">
      <c r="A14" s="13" t="s">
        <v>145</v>
      </c>
      <c r="B14" s="12" t="str">
        <f>IFERROR(__xludf.DUMMYFUNCTION("IF(ISBLANK(A14),"""",GOOGLETRANSLATE(A14,""en"",""es""))"),"Marco de servicio adaptativo que mejora la eficiencia y el conocimiento del ciclo de vida")</f>
        <v>Marco de servicio adaptativo que mejora la eficiencia y el conocimiento del ciclo de vida</v>
      </c>
    </row>
    <row r="15">
      <c r="A15" s="13" t="s">
        <v>146</v>
      </c>
      <c r="B15" s="12" t="str">
        <f>IFERROR(__xludf.DUMMYFUNCTION("IF(ISBLANK(A15),"""",GOOGLETRANSLATE(A15,""en"",""es""))"),"Financiación mayorista")</f>
        <v>Financiación mayorista</v>
      </c>
    </row>
    <row r="16">
      <c r="A16" s="13" t="s">
        <v>147</v>
      </c>
      <c r="B16" s="12" t="str">
        <f>IFERROR(__xludf.DUMMYFUNCTION("IF(ISBLANK(A16),"""",GOOGLETRANSLATE(A16,""en"",""es""))"),"Infraestructura financiera dinámica que impulsa ecosistemas de distribuidores resilientes")</f>
        <v>Infraestructura financiera dinámica que impulsa ecosistemas de distribuidores resilientes</v>
      </c>
    </row>
    <row r="17">
      <c r="A17" s="13" t="s">
        <v>148</v>
      </c>
      <c r="B17" s="12" t="str">
        <f>IFERROR(__xludf.DUMMYFUNCTION("IF(ISBLANK(A17),"""",GOOGLETRANSLATE(A17,""en"",""es""))"),"Soluciones de movilidad")</f>
        <v>Soluciones de movilidad</v>
      </c>
    </row>
    <row r="18">
      <c r="A18" s="13" t="s">
        <v>149</v>
      </c>
      <c r="B18" s="12" t="str">
        <f>IFERROR(__xludf.DUMMYFUNCTION("IF(ISBLANK(A18),"""",GOOGLETRANSLATE(A18,""en"",""es""))"),"Evolución de la movilidad con marcos digitales modulares basados ​​en datos")</f>
        <v>Evolución de la movilidad con marcos digitales modulares basados ​​en datos</v>
      </c>
    </row>
    <row r="19">
      <c r="A19" s="10" t="s">
        <v>55</v>
      </c>
      <c r="B19" s="12" t="str">
        <f>IFERROR(__xludf.DUMMYFUNCTION("IF(ISBLANK(A19),"""",GOOGLETRANSLATE(A19,""en"",""es""))"),"Laboratorios de IA")</f>
        <v>Laboratorios de IA</v>
      </c>
    </row>
    <row r="20">
      <c r="A20" s="10" t="s">
        <v>150</v>
      </c>
      <c r="B20" s="12" t="str">
        <f>IFERROR(__xludf.DUMMYFUNCTION("IF(ISBLANK(A20),"""",GOOGLETRANSLATE(A20,""en"",""es""))"),"La inteligencia aplicada acelera la transformación inter-precios y la confianza")</f>
        <v>La inteligencia aplicada acelera la transformación inter-precios y la confianza</v>
      </c>
    </row>
    <row r="21">
      <c r="A21" s="10" t="s">
        <v>151</v>
      </c>
      <c r="B21" s="12" t="str">
        <f>IFERROR(__xludf.DUMMYFUNCTION("IF(ISBLANK(A21),"""",GOOGLETRANSLATE(A21,""en"",""es""))"),"mercado")</f>
        <v>mercado</v>
      </c>
    </row>
    <row r="22">
      <c r="B22" s="12" t="str">
        <f>IFERROR(__xludf.DUMMYFUNCTION("IF(ISBLANK(A22),"""",GOOGLETRANSLATE(A22,""en"",""es""))"),"")</f>
        <v/>
      </c>
    </row>
    <row r="23">
      <c r="A23" s="10" t="s">
        <v>136</v>
      </c>
      <c r="B23" s="12" t="str">
        <f>IFERROR(__xludf.DUMMYFUNCTION("IF(ISBLANK(A23),"""",GOOGLETRANSLATE(A23,""en"",""es""))"),"Descripción general")</f>
        <v>Descripción general</v>
      </c>
    </row>
    <row r="24">
      <c r="A24" s="10" t="s">
        <v>73</v>
      </c>
      <c r="B24" s="12" t="str">
        <f>IFERROR(__xludf.DUMMYFUNCTION("IF(ISBLANK(A24),"""",GOOGLETRANSLATE(A24,""en"",""es""))"),"Consultoría")</f>
        <v>Consultoría</v>
      </c>
    </row>
    <row r="25">
      <c r="A25" s="14" t="s">
        <v>152</v>
      </c>
      <c r="B25" s="12" t="str">
        <f>IFERROR(__xludf.DUMMYFUNCTION("IF(ISBLANK(A25),"""",GOOGLETRANSLATE(A25,""en"",""es""))"),"Consultoría de ciclo de vida para BFSI que maximiza el ROI")</f>
        <v>Consultoría de ciclo de vida para BFSI que maximiza el ROI</v>
      </c>
    </row>
    <row r="26">
      <c r="A26" s="13" t="s">
        <v>77</v>
      </c>
      <c r="B26" s="12" t="str">
        <f>IFERROR(__xludf.DUMMYFUNCTION("IF(ISBLANK(A26),"""",GOOGLETRANSLATE(A26,""en"",""es""))"),"Seguridad de la información")</f>
        <v>Seguridad de la información</v>
      </c>
    </row>
    <row r="27">
      <c r="A27" s="13" t="s">
        <v>153</v>
      </c>
      <c r="B27" s="12" t="str">
        <f>IFERROR(__xludf.DUMMYFUNCTION("IF(ISBLANK(A27),"""",GOOGLETRANSLATE(A27,""en"",""es""))"),"Defensa en tiempo real con cumplimiento listo para auditorías")</f>
        <v>Defensa en tiempo real con cumplimiento listo para auditorías</v>
      </c>
    </row>
    <row r="28">
      <c r="A28" s="13" t="s">
        <v>154</v>
      </c>
      <c r="B28" s="12" t="str">
        <f>IFERROR(__xludf.DUMMYFUNCTION("IF(ISBLANK(A28),"""",GOOGLETRANSLATE(A28,""en"",""es""))"),"Soluciones digitales")</f>
        <v>Soluciones digitales</v>
      </c>
    </row>
    <row r="29">
      <c r="A29" s="13" t="s">
        <v>155</v>
      </c>
      <c r="B29" s="12" t="str">
        <f>IFERROR(__xludf.DUMMYFUNCTION("IF(ISBLANK(A29),"""",GOOGLETRANSLATE(A29,""en"",""es""))"),"Inteligencia artificial, nube y automatización integradas en las operaciones diarias.")</f>
        <v>Inteligencia artificial, nube y automatización integradas en las operaciones diarias.</v>
      </c>
    </row>
    <row r="30">
      <c r="A30" s="13" t="s">
        <v>156</v>
      </c>
      <c r="B30" s="12" t="str">
        <f>IFERROR(__xludf.DUMMYFUNCTION("IF(ISBLANK(A30),"""",GOOGLETRANSLATE(A30,""en"",""es""))"),"Inteligencia artificial, aprendizaje automático y análisis de datos")</f>
        <v>Inteligencia artificial, aprendizaje automático y análisis de datos</v>
      </c>
    </row>
    <row r="31">
      <c r="A31" s="13" t="s">
        <v>157</v>
      </c>
      <c r="B31" s="12" t="str">
        <f>IFERROR(__xludf.DUMMYFUNCTION("IF(ISBLANK(A31),"""",GOOGLETRANSLATE(A31,""en"",""es""))"),"Predice, automatiza y decide más rápido con IA y aprendizaje automático.")</f>
        <v>Predice, automatiza y decide más rápido con IA y aprendizaje automático.</v>
      </c>
    </row>
    <row r="32">
      <c r="A32" s="13" t="s">
        <v>158</v>
      </c>
      <c r="B32" s="12" t="str">
        <f>IFERROR(__xludf.DUMMYFUNCTION("IF(ISBLANK(A32),"""",GOOGLETRANSLATE(A32,""en"",""es""))"),"IA generativa")</f>
        <v>IA generativa</v>
      </c>
    </row>
    <row r="33">
      <c r="A33" s="13" t="s">
        <v>159</v>
      </c>
      <c r="B33" s="12" t="str">
        <f>IFERROR(__xludf.DUMMYFUNCTION("IF(ISBLANK(A33),"""",GOOGLETRANSLATE(A33,""en"",""es""))"),"Crea, adapta y personaliza a la velocidad de la empresa.")</f>
        <v>Crea, adapta y personaliza a la velocidad de la empresa.</v>
      </c>
    </row>
    <row r="34">
      <c r="A34" s="13" t="s">
        <v>160</v>
      </c>
      <c r="B34" s="12" t="str">
        <f>IFERROR(__xludf.DUMMYFUNCTION("IF(ISBLANK(A34),"""",GOOGLETRANSLATE(A34,""en"",""es""))"),"Política y estrategia")</f>
        <v>Política y estrategia</v>
      </c>
    </row>
    <row r="35">
      <c r="A35" s="13" t="s">
        <v>161</v>
      </c>
      <c r="B35" s="12" t="str">
        <f>IFERROR(__xludf.DUMMYFUNCTION("IF(ISBLANK(A35),"""",GOOGLETRANSLATE(A35,""en"",""es""))"),"Tecnologías emergentes")</f>
        <v>Tecnologías emergentes</v>
      </c>
    </row>
    <row r="36">
      <c r="A36" s="13" t="s">
        <v>162</v>
      </c>
      <c r="B36" s="12" t="str">
        <f>IFERROR(__xludf.DUMMYFUNCTION("IF(ISBLANK(A36),"""",GOOGLETRANSLATE(A36,""en"",""es""))"),"Demuestra y escala lo que viene, de forma segura.")</f>
        <v>Demuestra y escala lo que viene, de forma segura.</v>
      </c>
    </row>
    <row r="37">
      <c r="A37" s="13" t="s">
        <v>79</v>
      </c>
      <c r="B37" s="12" t="str">
        <f>IFERROR(__xludf.DUMMYFUNCTION("IF(ISBLANK(A37),"""",GOOGLETRANSLATE(A37,""en"",""es""))"),"Servicios en la nube")</f>
        <v>Servicios en la nube</v>
      </c>
    </row>
    <row r="38">
      <c r="A38" s="13" t="s">
        <v>163</v>
      </c>
      <c r="B38" s="12" t="str">
        <f>IFERROR(__xludf.DUMMYFUNCTION("IF(ISBLANK(A38),"""",GOOGLETRANSLATE(A38,""en"",""es""))"),"Nativo de la nube en multicloud, diseñado para la escalabilidad y el tiempo de actividad.")</f>
        <v>Nativo de la nube en multicloud, diseñado para la escalabilidad y el tiempo de actividad.</v>
      </c>
    </row>
    <row r="39">
      <c r="A39" s="13" t="s">
        <v>164</v>
      </c>
      <c r="B39" s="12" t="str">
        <f>IFERROR(__xludf.DUMMYFUNCTION("IF(ISBLANK(A39),"""",GOOGLETRANSLATE(A39,""en"",""es""))"),"Ingeniería de datos")</f>
        <v>Ingeniería de datos</v>
      </c>
    </row>
    <row r="40">
      <c r="A40" s="13" t="s">
        <v>165</v>
      </c>
      <c r="B40" s="12" t="str">
        <f>IFERROR(__xludf.DUMMYFUNCTION("IF(ISBLANK(A40),"""",GOOGLETRANSLATE(A40,""en"",""es""))"),"Capas de datos confiables que impulsan la IA y las decisiones")</f>
        <v>Capas de datos confiables que impulsan la IA y las decisiones</v>
      </c>
    </row>
    <row r="41">
      <c r="A41" s="10" t="s">
        <v>166</v>
      </c>
      <c r="B41" s="12" t="str">
        <f>IFERROR(__xludf.DUMMYFUNCTION("IF(ISBLANK(A41),"""",GOOGLETRANSLATE(A41,""en"",""es""))"),"Soluciones")</f>
        <v>Soluciones</v>
      </c>
    </row>
    <row r="42">
      <c r="B42" s="12" t="str">
        <f>IFERROR(__xludf.DUMMYFUNCTION("IF(ISBLANK(A42),"""",GOOGLETRANSLATE(A42,""en"",""es""))"),"")</f>
        <v/>
      </c>
    </row>
    <row r="43">
      <c r="A43" s="10" t="s">
        <v>167</v>
      </c>
      <c r="B43" s="12" t="str">
        <f>IFERROR(__xludf.DUMMYFUNCTION("IF(ISBLANK(A43),"""",GOOGLETRANSLATE(A43,""en"",""es""))"),"financiación de equipos")</f>
        <v>financiación de equipos</v>
      </c>
    </row>
    <row r="44">
      <c r="A44" s="10" t="s">
        <v>168</v>
      </c>
      <c r="B44" s="12" t="str">
        <f>IFERROR(__xludf.DUMMYFUNCTION("IF(ISBLANK(A44),"""",GOOGLETRANSLATE(A44,""en"",""es""))"),"Financiación de automóviles")</f>
        <v>Financiación de automóviles</v>
      </c>
    </row>
    <row r="45">
      <c r="A45" s="10" t="s">
        <v>169</v>
      </c>
      <c r="B45" s="12" t="str">
        <f>IFERROR(__xludf.DUMMYFUNCTION("IF(ISBLANK(A45),"""",GOOGLETRANSLATE(A45,""en"",""es""))"),"Ecosistema inteligente que redefine las finanzas automotrices")</f>
        <v>Ecosistema inteligente que redefine las finanzas automotrices</v>
      </c>
    </row>
    <row r="46">
      <c r="B46" s="12" t="str">
        <f>IFERROR(__xludf.DUMMYFUNCTION("IF(ISBLANK(A46),"""",GOOGLETRANSLATE(A46,""en"",""es""))"),"")</f>
        <v/>
      </c>
    </row>
    <row r="47">
      <c r="A47" s="14" t="s">
        <v>170</v>
      </c>
      <c r="B47" s="12" t="str">
        <f>IFERROR(__xludf.DUMMYFUNCTION("IF(ISBLANK(A47),"""",GOOGLETRANSLATE(A47,""en"",""es""))"),"Plataforma impulsada por IA diseñada para la financiación de equipos modernos")</f>
        <v>Plataforma impulsada por IA diseñada para la financiación de equipos modernos</v>
      </c>
    </row>
    <row r="48">
      <c r="A48" s="10" t="s">
        <v>171</v>
      </c>
      <c r="B48" s="12" t="str">
        <f>IFERROR(__xludf.DUMMYFUNCTION("IF(ISBLANK(A48),"""",GOOGLETRANSLATE(A48,""en"",""es""))"),"Perspectivas")</f>
        <v>Perspectivas</v>
      </c>
    </row>
    <row r="49">
      <c r="B49" s="12" t="str">
        <f>IFERROR(__xludf.DUMMYFUNCTION("IF(ISBLANK(A49),"""",GOOGLETRANSLATE(A49,""en"",""es""))"),"")</f>
        <v/>
      </c>
    </row>
    <row r="50">
      <c r="A50" s="10" t="s">
        <v>136</v>
      </c>
      <c r="B50" s="12" t="str">
        <f>IFERROR(__xludf.DUMMYFUNCTION("IF(ISBLANK(A50),"""",GOOGLETRANSLATE(A50,""en"",""es""))"),"Descripción general")</f>
        <v>Descripción general</v>
      </c>
    </row>
    <row r="51">
      <c r="A51" s="10" t="s">
        <v>172</v>
      </c>
      <c r="B51" s="12" t="str">
        <f>IFERROR(__xludf.DUMMYFUNCTION("IF(ISBLANK(A51),"""",GOOGLETRANSLATE(A51,""en"",""es""))"),"Sobre nosotros")</f>
        <v>Sobre nosotros</v>
      </c>
    </row>
    <row r="52">
      <c r="A52" s="14" t="s">
        <v>173</v>
      </c>
      <c r="B52" s="12" t="str">
        <f>IFERROR(__xludf.DUMMYFUNCTION("IF(ISBLANK(A52),"""",GOOGLETRANSLATE(A52,""en"",""es""))"),"Tecnología, confianza y experiencia en el sector en movimiento")</f>
        <v>Tecnología, confianza y experiencia en el sector en movimiento</v>
      </c>
    </row>
    <row r="53">
      <c r="A53" s="13" t="s">
        <v>174</v>
      </c>
      <c r="B53" s="12" t="str">
        <f>IFERROR(__xludf.DUMMYFUNCTION("IF(ISBLANK(A53),"""",GOOGLETRANSLATE(A53,""en"",""es""))"),"Junta Directiva")</f>
        <v>Junta Directiva</v>
      </c>
    </row>
    <row r="54">
      <c r="A54" s="13" t="s">
        <v>175</v>
      </c>
      <c r="B54" s="12" t="str">
        <f>IFERROR(__xludf.DUMMYFUNCTION("IF(ISBLANK(A54),"""",GOOGLETRANSLATE(A54,""en"",""es""))"),"Guardianes de la visión, la integridad y el crecimiento a largo plazo")</f>
        <v>Guardianes de la visión, la integridad y el crecimiento a largo plazo</v>
      </c>
    </row>
    <row r="55">
      <c r="A55" s="13" t="s">
        <v>176</v>
      </c>
      <c r="B55" s="12" t="str">
        <f>IFERROR(__xludf.DUMMYFUNCTION("IF(ISBLANK(A55),"""",GOOGLETRANSLATE(A55,""en"",""es""))"),"Equipo directivo")</f>
        <v>Equipo directivo</v>
      </c>
    </row>
    <row r="56">
      <c r="A56" s="13" t="s">
        <v>177</v>
      </c>
      <c r="B56" s="12" t="str">
        <f>IFERROR(__xludf.DUMMYFUNCTION("IF(ISBLANK(A56),"""",GOOGLETRANSLATE(A56,""en"",""es""))"),"Pioneros en la arquitectura de las finanzas modernas")</f>
        <v>Pioneros en la arquitectura de las finanzas modernas</v>
      </c>
    </row>
    <row r="57">
      <c r="A57" s="13" t="s">
        <v>178</v>
      </c>
      <c r="B57" s="12" t="str">
        <f>IFERROR(__xludf.DUMMYFUNCTION("IF(ISBLANK(A57),"""",GOOGLETRANSLATE(A57,""en"",""es""))"),"Noticias")</f>
        <v>Noticias</v>
      </c>
    </row>
    <row r="58">
      <c r="A58" s="13" t="s">
        <v>179</v>
      </c>
      <c r="B58" s="12" t="str">
        <f>IFERROR(__xludf.DUMMYFUNCTION("IF(ISBLANK(A58),"""",GOOGLETRANSLATE(A58,""en"",""es""))"),"Innovación, progreso y perspectivas de toda NETSOL")</f>
        <v>Innovación, progreso y perspectivas de toda NETSOL</v>
      </c>
    </row>
    <row r="59">
      <c r="A59" s="13" t="s">
        <v>180</v>
      </c>
      <c r="B59" s="12" t="str">
        <f>IFERROR(__xludf.DUMMYFUNCTION("IF(ISBLANK(A59),"""",GOOGLETRANSLATE(A59,""en"",""es""))"),"inversores")</f>
        <v>inversores</v>
      </c>
    </row>
    <row r="60">
      <c r="A60" s="13" t="s">
        <v>181</v>
      </c>
      <c r="B60" s="12" t="str">
        <f>IFERROR(__xludf.DUMMYFUNCTION("IF(ISBLANK(A60),"""",GOOGLETRANSLATE(A60,""en"",""es""))"),"Impulsar el valor sostenible mediante el crecimiento estratégico")</f>
        <v>Impulsar el valor sostenible mediante el crecimiento estratégico</v>
      </c>
    </row>
    <row r="61">
      <c r="A61" s="13" t="s">
        <v>182</v>
      </c>
      <c r="B61" s="12" t="str">
        <f>IFERROR(__xludf.DUMMYFUNCTION("IF(ISBLANK(A61),"""",GOOGLETRANSLATE(A61,""en"",""es""))"),"Carreras")</f>
        <v>Carreras</v>
      </c>
    </row>
    <row r="62">
      <c r="A62" s="13" t="s">
        <v>183</v>
      </c>
      <c r="B62" s="12" t="str">
        <f>IFERROR(__xludf.DUMMYFUNCTION("IF(ISBLANK(A62),"""",GOOGLETRANSLATE(A62,""en"",""es""))"),"Únete a quienes impulsan el futuro de la financiación y el arrendamiento de activos.")</f>
        <v>Únete a quienes impulsan el futuro de la financiación y el arrendamiento de activos.</v>
      </c>
    </row>
    <row r="63">
      <c r="A63" s="10" t="s">
        <v>184</v>
      </c>
      <c r="B63" s="12" t="str">
        <f>IFERROR(__xludf.DUMMYFUNCTION("IF(ISBLANK(A63),"""",GOOGLETRANSLATE(A63,""en"",""es""))"),"Contáctanos")</f>
        <v>Contáctanos</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s>
  <sheetData>
    <row r="1">
      <c r="A1" s="10" t="s">
        <v>0</v>
      </c>
      <c r="B1" s="10" t="s">
        <v>133</v>
      </c>
    </row>
    <row r="2">
      <c r="A2" s="10" t="s">
        <v>134</v>
      </c>
      <c r="B2" s="12" t="str">
        <f>IFERROR(__xludf.DUMMYFUNCTION("IF(ISBLANK(A2),"""",GOOGLETRANSLATE(A2,""en"",""es""))"),"NETSO")</f>
        <v>NETSO</v>
      </c>
    </row>
    <row r="3">
      <c r="A3" s="10" t="s">
        <v>185</v>
      </c>
      <c r="B3" s="12" t="str">
        <f>IFERROR(__xludf.DUMMYFUNCTION("IF(ISBLANK(A3),"""",GOOGLETRANSLATE(A3,""en"",""es""))"),"¿Por qué NET SOL?")</f>
        <v>¿Por qué NET SOL?</v>
      </c>
    </row>
    <row r="4">
      <c r="A4" s="10" t="s">
        <v>174</v>
      </c>
      <c r="B4" s="12" t="str">
        <f>IFERROR(__xludf.DUMMYFUNCTION("IF(ISBLANK(A4),"""",GOOGLETRANSLATE(A4,""en"",""es""))"),"Junta Directiva")</f>
        <v>Junta Directiva</v>
      </c>
    </row>
    <row r="5">
      <c r="A5" s="10" t="s">
        <v>176</v>
      </c>
      <c r="B5" s="12" t="str">
        <f>IFERROR(__xludf.DUMMYFUNCTION("IF(ISBLANK(A5),"""",GOOGLETRANSLATE(A5,""en"",""es""))"),"Equipo directivo")</f>
        <v>Equipo directivo</v>
      </c>
    </row>
    <row r="6">
      <c r="A6" s="10" t="s">
        <v>182</v>
      </c>
      <c r="B6" s="12" t="str">
        <f>IFERROR(__xludf.DUMMYFUNCTION("IF(ISBLANK(A6),"""",GOOGLETRANSLATE(A6,""en"",""es""))"),"Carreras")</f>
        <v>Carreras</v>
      </c>
    </row>
    <row r="7">
      <c r="A7" s="10" t="s">
        <v>180</v>
      </c>
      <c r="B7" s="12" t="str">
        <f>IFERROR(__xludf.DUMMYFUNCTION("IF(ISBLANK(A7),"""",GOOGLETRANSLATE(A7,""en"",""es""))"),"inversores")</f>
        <v>inversores</v>
      </c>
    </row>
    <row r="8">
      <c r="A8" s="10" t="s">
        <v>186</v>
      </c>
      <c r="B8" s="12" t="str">
        <f>IFERROR(__xludf.DUMMYFUNCTION("IF(ISBLANK(A8),"""",GOOGLETRANSLATE(A8,""en"",""es""))"),"Información de la empresa")</f>
        <v>Información de la empresa</v>
      </c>
    </row>
    <row r="9">
      <c r="A9" s="10" t="s">
        <v>178</v>
      </c>
      <c r="B9" s="12" t="str">
        <f>IFERROR(__xludf.DUMMYFUNCTION("IF(ISBLANK(A9),"""",GOOGLETRANSLATE(A9,""en"",""es""))"),"Noticias")</f>
        <v>Noticias</v>
      </c>
    </row>
    <row r="10">
      <c r="A10" s="10" t="s">
        <v>187</v>
      </c>
      <c r="B10" s="12" t="str">
        <f>IFERROR(__xludf.DUMMYFUNCTION("IF(ISBLANK(A10),"""",GOOGLETRANSLATE(A10,""en"",""es""))"),"Datos bursátiles")</f>
        <v>Datos bursátiles</v>
      </c>
    </row>
    <row r="11">
      <c r="A11" s="10" t="s">
        <v>188</v>
      </c>
      <c r="B11" s="12" t="str">
        <f>IFERROR(__xludf.DUMMYFUNCTION("IF(ISBLANK(A11),"""",GOOGLETRANSLATE(A11,""en"",""es""))"),"Documentos presentados ante la SEC")</f>
        <v>Documentos presentados ante la SEC</v>
      </c>
    </row>
    <row r="12">
      <c r="A12" s="10" t="s">
        <v>189</v>
      </c>
      <c r="B12" s="12" t="str">
        <f>IFERROR(__xludf.DUMMYFUNCTION("IF(ISBLANK(A12),"""",GOOGLETRANSLATE(A12,""en"",""es""))"),"Productos")</f>
        <v>Productos</v>
      </c>
    </row>
    <row r="13">
      <c r="A13" s="10" t="s">
        <v>20</v>
      </c>
      <c r="B13" s="12" t="str">
        <f>IFERROR(__xludf.DUMMYFUNCTION("IF(ISBLANK(A13),"""",GOOGLETRANSLATE(A13,""en"",""es""))"),"Plataforma Transcend")</f>
        <v>Plataforma Transcend</v>
      </c>
    </row>
    <row r="14">
      <c r="A14" s="10" t="s">
        <v>138</v>
      </c>
      <c r="B14" s="12" t="str">
        <f>IFERROR(__xludf.DUMMYFUNCTION("IF(ISBLANK(A14),"""",GOOGLETRANSLATE(A14,""en"",""es""))"),"Comercio minorista digital")</f>
        <v>Comercio minorista digital</v>
      </c>
    </row>
    <row r="15">
      <c r="A15" s="10" t="s">
        <v>140</v>
      </c>
      <c r="B15" s="12" t="str">
        <f>IFERROR(__xludf.DUMMYFUNCTION("IF(ISBLANK(A15),"""",GOOGLETRANSLATE(A15,""en"",""es""))"),"Portales intermediarios")</f>
        <v>Portales intermediarios</v>
      </c>
    </row>
    <row r="16">
      <c r="A16" s="10" t="s">
        <v>142</v>
      </c>
      <c r="B16" s="12" t="str">
        <f>IFERROR(__xludf.DUMMYFUNCTION("IF(ISBLANK(A16),"""",GOOGLETRANSLATE(A16,""en"",""es""))"),"Orígenes")</f>
        <v>Orígenes</v>
      </c>
    </row>
    <row r="17">
      <c r="A17" s="10" t="s">
        <v>144</v>
      </c>
      <c r="B17" s="12" t="str">
        <f>IFERROR(__xludf.DUMMYFUNCTION("IF(ISBLANK(A17),"""",GOOGLETRANSLATE(A17,""en"",""es""))"),"Servicio")</f>
        <v>Servicio</v>
      </c>
    </row>
    <row r="18">
      <c r="A18" s="10" t="s">
        <v>146</v>
      </c>
      <c r="B18" s="12" t="str">
        <f>IFERROR(__xludf.DUMMYFUNCTION("IF(ISBLANK(A18),"""",GOOGLETRANSLATE(A18,""en"",""es""))"),"Financiación mayorista")</f>
        <v>Financiación mayorista</v>
      </c>
    </row>
    <row r="19">
      <c r="A19" s="10" t="s">
        <v>148</v>
      </c>
      <c r="B19" s="12" t="str">
        <f>IFERROR(__xludf.DUMMYFUNCTION("IF(ISBLANK(A19),"""",GOOGLETRANSLATE(A19,""en"",""es""))"),"Soluciones de movilidad")</f>
        <v>Soluciones de movilidad</v>
      </c>
    </row>
    <row r="20">
      <c r="A20" s="10" t="s">
        <v>66</v>
      </c>
      <c r="B20" s="12" t="str">
        <f>IFERROR(__xludf.DUMMYFUNCTION("IF(ISBLANK(A20),"""",GOOGLETRANSLATE(A20,""en"",""es""))"),"Mercado")</f>
        <v>Mercado</v>
      </c>
    </row>
    <row r="21">
      <c r="A21" s="10" t="s">
        <v>190</v>
      </c>
      <c r="B21" s="12" t="str">
        <f>IFERROR(__xludf.DUMMYFUNCTION("IF(ISBLANK(A21),"""",GOOGLETRANSLATE(A21,""en"",""es""))"),"Motor de cálculo")</f>
        <v>Motor de cálculo</v>
      </c>
    </row>
    <row r="22">
      <c r="A22" s="10" t="s">
        <v>191</v>
      </c>
      <c r="B22" s="12" t="str">
        <f>IFERROR(__xludf.DUMMYFUNCTION("IF(ISBLANK(A22),"""",GOOGLETRANSLATE(A22,""en"",""es""))"),"Generación de documentos")</f>
        <v>Generación de documentos</v>
      </c>
    </row>
    <row r="23">
      <c r="A23" s="10" t="s">
        <v>192</v>
      </c>
      <c r="B23" s="12" t="str">
        <f>IFERROR(__xludf.DUMMYFUNCTION("IF(ISBLANK(A23),"""",GOOGLETRANSLATE(A23,""en"",""es""))"),"Biblioteca de API")</f>
        <v>Biblioteca de API</v>
      </c>
    </row>
    <row r="24">
      <c r="A24" s="10" t="s">
        <v>193</v>
      </c>
      <c r="B24" s="12" t="str">
        <f>IFERROR(__xludf.DUMMYFUNCTION("IF(ISBLANK(A24),"""",GOOGLETRANSLATE(A24,""en"",""es""))"),"Sistema de originación de préstamos")</f>
        <v>Sistema de originación de préstamos</v>
      </c>
    </row>
    <row r="25">
      <c r="A25" s="10" t="s">
        <v>194</v>
      </c>
      <c r="B25" s="12" t="str">
        <f>IFERROR(__xludf.DUMMYFUNCTION("IF(ISBLANK(A25),"""",GOOGLETRANSLATE(A25,""en"",""es""))"),"Portal de Atención al Cliente")</f>
        <v>Portal de Atención al Cliente</v>
      </c>
    </row>
    <row r="26">
      <c r="A26" s="10" t="s">
        <v>195</v>
      </c>
      <c r="B26" s="12" t="str">
        <f>IFERROR(__xludf.DUMMYFUNCTION("IF(ISBLANK(A26),"""",GOOGLETRANSLATE(A26,""en"",""es""))"),"Motor de cálculo de impuestos")</f>
        <v>Motor de cálculo de impuestos</v>
      </c>
    </row>
    <row r="27">
      <c r="A27" s="10" t="s">
        <v>196</v>
      </c>
      <c r="B27" s="12" t="str">
        <f>IFERROR(__xludf.DUMMYFUNCTION("IF(ISBLANK(A27),"""",GOOGLETRANSLATE(A27,""en"",""es""))"),"Motor de decisiones crediticias")</f>
        <v>Motor de decisiones crediticias</v>
      </c>
    </row>
    <row r="28">
      <c r="A28" s="10" t="s">
        <v>73</v>
      </c>
      <c r="B28" s="12" t="str">
        <f>IFERROR(__xludf.DUMMYFUNCTION("IF(ISBLANK(A28),"""",GOOGLETRANSLATE(A28,""en"",""es""))"),"Consultoría")</f>
        <v>Consultoría</v>
      </c>
    </row>
    <row r="29">
      <c r="A29" s="10" t="s">
        <v>77</v>
      </c>
      <c r="B29" s="12" t="str">
        <f>IFERROR(__xludf.DUMMYFUNCTION("IF(ISBLANK(A29),"""",GOOGLETRANSLATE(A29,""en"",""es""))"),"Seguridad de la información")</f>
        <v>Seguridad de la información</v>
      </c>
    </row>
    <row r="30">
      <c r="A30" s="10" t="s">
        <v>154</v>
      </c>
      <c r="B30" s="12" t="str">
        <f>IFERROR(__xludf.DUMMYFUNCTION("IF(ISBLANK(A30),"""",GOOGLETRANSLATE(A30,""en"",""es""))"),"Soluciones digitales")</f>
        <v>Soluciones digitales</v>
      </c>
    </row>
    <row r="31">
      <c r="A31" s="10" t="s">
        <v>156</v>
      </c>
      <c r="B31" s="12" t="str">
        <f>IFERROR(__xludf.DUMMYFUNCTION("IF(ISBLANK(A31),"""",GOOGLETRANSLATE(A31,""en"",""es""))"),"Inteligencia artificial, aprendizaje automático y análisis de datos")</f>
        <v>Inteligencia artificial, aprendizaje automático y análisis de datos</v>
      </c>
    </row>
    <row r="32">
      <c r="A32" s="10" t="s">
        <v>158</v>
      </c>
      <c r="B32" s="12" t="str">
        <f>IFERROR(__xludf.DUMMYFUNCTION("IF(ISBLANK(A32),"""",GOOGLETRANSLATE(A32,""en"",""es""))"),"IA generativa")</f>
        <v>IA generativa</v>
      </c>
    </row>
    <row r="33">
      <c r="A33" s="10" t="s">
        <v>161</v>
      </c>
      <c r="B33" s="12" t="str">
        <f>IFERROR(__xludf.DUMMYFUNCTION("IF(ISBLANK(A33),"""",GOOGLETRANSLATE(A33,""en"",""es""))"),"Tecnologías emergentes")</f>
        <v>Tecnologías emergentes</v>
      </c>
    </row>
    <row r="34">
      <c r="A34" s="10" t="s">
        <v>79</v>
      </c>
      <c r="B34" s="12" t="str">
        <f>IFERROR(__xludf.DUMMYFUNCTION("IF(ISBLANK(A34),"""",GOOGLETRANSLATE(A34,""en"",""es""))"),"Servicios en la nube")</f>
        <v>Servicios en la nube</v>
      </c>
    </row>
    <row r="35">
      <c r="A35" s="10" t="s">
        <v>164</v>
      </c>
      <c r="B35" s="12" t="str">
        <f>IFERROR(__xludf.DUMMYFUNCTION("IF(ISBLANK(A35),"""",GOOGLETRANSLATE(A35,""en"",""es""))"),"Ingeniería de datos")</f>
        <v>Ingeniería de datos</v>
      </c>
    </row>
    <row r="36">
      <c r="A36" s="10" t="s">
        <v>171</v>
      </c>
      <c r="B36" s="12" t="str">
        <f>IFERROR(__xludf.DUMMYFUNCTION("IF(ISBLANK(A36),"""",GOOGLETRANSLATE(A36,""en"",""es""))"),"Perspectivas")</f>
        <v>Perspectivas</v>
      </c>
    </row>
    <row r="37">
      <c r="A37" s="10" t="s">
        <v>197</v>
      </c>
      <c r="B37" s="12" t="str">
        <f>IFERROR(__xludf.DUMMYFUNCTION("IF(ISBLANK(A37),"""",GOOGLETRANSLATE(A37,""en"",""es""))"),"Estudios de caso")</f>
        <v>Estudios de caso</v>
      </c>
    </row>
    <row r="38">
      <c r="A38" s="10" t="s">
        <v>198</v>
      </c>
      <c r="B38" s="12" t="str">
        <f>IFERROR(__xludf.DUMMYFUNCTION("IF(ISBLANK(A38),"""",GOOGLETRANSLATE(A38,""en"",""es""))"),"Guías")</f>
        <v>Guías</v>
      </c>
    </row>
    <row r="39">
      <c r="A39" s="10" t="s">
        <v>199</v>
      </c>
      <c r="B39" s="12" t="str">
        <f>IFERROR(__xludf.DUMMYFUNCTION("IF(ISBLANK(A39),"""",GOOGLETRANSLATE(A39,""en"",""es""))"),"Blogs")</f>
        <v>Blogs</v>
      </c>
    </row>
    <row r="40">
      <c r="A40" s="10" t="s">
        <v>200</v>
      </c>
      <c r="B40" s="12" t="str">
        <f>IFERROR(__xludf.DUMMYFUNCTION("IF(ISBLANK(A40),"""",GOOGLETRANSLATE(A40,""en"",""es""))"),"Eventos")</f>
        <v>Eventos</v>
      </c>
    </row>
    <row r="41">
      <c r="A41" s="10" t="s">
        <v>166</v>
      </c>
      <c r="B41" s="12" t="str">
        <f>IFERROR(__xludf.DUMMYFUNCTION("IF(ISBLANK(A41),"""",GOOGLETRANSLATE(A41,""en"",""es""))"),"Soluciones")</f>
        <v>Soluciones</v>
      </c>
    </row>
    <row r="42">
      <c r="A42" s="10" t="s">
        <v>168</v>
      </c>
      <c r="B42" s="12" t="str">
        <f>IFERROR(__xludf.DUMMYFUNCTION("IF(ISBLANK(A42),"""",GOOGLETRANSLATE(A42,""en"",""es""))"),"Financiación de automóviles")</f>
        <v>Financiación de automóviles</v>
      </c>
    </row>
    <row r="43">
      <c r="A43" s="10" t="s">
        <v>52</v>
      </c>
      <c r="B43" s="12" t="str">
        <f>IFERROR(__xludf.DUMMYFUNCTION("IF(ISBLANK(A43),"""",GOOGLETRANSLATE(A43,""en"",""es""))"),"Financiación de equipos")</f>
        <v>Financiación de equipos</v>
      </c>
    </row>
    <row r="44">
      <c r="A44" s="10" t="s">
        <v>184</v>
      </c>
      <c r="B44" s="12" t="str">
        <f>IFERROR(__xludf.DUMMYFUNCTION("IF(ISBLANK(A44),"""",GOOGLETRANSLATE(A44,""en"",""es""))"),"Contáctanos")</f>
        <v>Contáctanos</v>
      </c>
    </row>
    <row r="45">
      <c r="A45" s="10" t="s">
        <v>201</v>
      </c>
      <c r="B45" s="12" t="str">
        <f>IFERROR(__xludf.DUMMYFUNCTION("IF(ISBLANK(A45),"""",GOOGLETRANSLATE(A45,""en"",""es""))"),"Sede corporativa")</f>
        <v>Sede corporativa</v>
      </c>
    </row>
    <row r="46">
      <c r="B46" s="12" t="str">
        <f>IFERROR(__xludf.DUMMYFUNCTION("IF(ISBLANK(A46),"""",GOOGLETRANSLATE(A46,""en"",""es""))"),"")</f>
        <v/>
      </c>
    </row>
    <row r="47">
      <c r="A47" s="10" t="s">
        <v>202</v>
      </c>
      <c r="B47" s="12" t="str">
        <f>IFERROR(__xludf.DUMMYFUNCTION("IF(ISBLANK(A47),"""",GOOGLETRANSLATE(A47,""en"",""es""))"),"Dirección: 16000 Ventura Blvd,")</f>
        <v>Dirección: 16000 Ventura Blvd,</v>
      </c>
    </row>
    <row r="48">
      <c r="A48" s="10" t="s">
        <v>203</v>
      </c>
      <c r="B48" s="12" t="str">
        <f>IFERROR(__xludf.DUMMYFUNCTION("IF(ISBLANK(A48),"""",GOOGLETRANSLATE(A48,""en"",""es""))"),"Suite 770 Encino, CA 91436, EE. UU.")</f>
        <v>Suite 770 Encino, CA 91436, EE. UU.</v>
      </c>
    </row>
    <row r="49">
      <c r="B49" s="12" t="str">
        <f>IFERROR(__xludf.DUMMYFUNCTION("IF(ISBLANK(A49),"""",GOOGLETRANSLATE(A49,""en"",""es""))"),"")</f>
        <v/>
      </c>
    </row>
    <row r="50">
      <c r="A50" s="10" t="s">
        <v>204</v>
      </c>
      <c r="B50" s="12" t="str">
        <f>IFERROR(__xludf.DUMMYFUNCTION("IF(ISBLANK(A50),"""",GOOGLETRANSLATE(A50,""en"",""es""))"),"Teléfono: +1 818 222 9195")</f>
        <v>Teléfono: +1 818 222 9195</v>
      </c>
    </row>
    <row r="51">
      <c r="B51" s="12" t="str">
        <f>IFERROR(__xludf.DUMMYFUNCTION("IF(ISBLANK(A51),"""",GOOGLETRANSLATE(A51,""en"",""es""))"),"")</f>
        <v/>
      </c>
    </row>
    <row r="52">
      <c r="A52" s="10" t="s">
        <v>205</v>
      </c>
      <c r="B52" s="12" t="str">
        <f>IFERROR(__xludf.DUMMYFUNCTION("IF(ISBLANK(A52),"""",GOOGLETRANSLATE(A52,""en"",""es""))"),"Conéctate con nosotros")</f>
        <v>Conéctate con nosotros</v>
      </c>
    </row>
    <row r="53">
      <c r="A53" s="10" t="s">
        <v>206</v>
      </c>
      <c r="B53" s="12" t="str">
        <f>IFERROR(__xludf.DUMMYFUNCTION("IF(ISBLANK(A53),"""",GOOGLETRANSLATE(A53,""en"",""es""))"),"© 2025 NETSOL Technologies. Todos los derechos reservados.")</f>
        <v>© 2025 NETSOL Technologies. Todos los derechos reservados.</v>
      </c>
    </row>
    <row r="54">
      <c r="A54" s="10" t="s">
        <v>207</v>
      </c>
      <c r="B54" s="12" t="str">
        <f>IFERROR(__xludf.DUMMYFUNCTION("IF(ISBLANK(A54),"""",GOOGLETRANSLATE(A54,""en"",""es""))"),"Condiciones de uso")</f>
        <v>Condiciones de uso</v>
      </c>
    </row>
    <row r="55">
      <c r="A55" s="10" t="s">
        <v>208</v>
      </c>
      <c r="B55" s="12" t="str">
        <f>IFERROR(__xludf.DUMMYFUNCTION("IF(ISBLANK(A55),"""",GOOGLETRANSLATE(A55,""en"",""es""))"),"política de privacidad")</f>
        <v>política de privacidad</v>
      </c>
    </row>
    <row r="56">
      <c r="A56" s="10" t="s">
        <v>209</v>
      </c>
      <c r="B56" s="12" t="str">
        <f>IFERROR(__xludf.DUMMYFUNCTION("IF(ISBLANK(A56),"""",GOOGLETRANSLATE(A56,""en"",""es""))"),"Política de Derechos Humanos")</f>
        <v>Política de Derechos Humanos</v>
      </c>
    </row>
    <row r="57">
      <c r="A57" s="10" t="s">
        <v>210</v>
      </c>
      <c r="B57" s="12" t="str">
        <f>IFERROR(__xludf.DUMMYFUNCTION("IF(ISBLANK(A57),"""",GOOGLETRANSLATE(A57,""en"",""es""))"),"Ley contra la esclavitud moderna")</f>
        <v>Ley contra la esclavitud moderna</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0"/>
  </cols>
  <sheetData>
    <row r="1">
      <c r="A1" s="10" t="s">
        <v>0</v>
      </c>
      <c r="B1" s="10" t="s">
        <v>133</v>
      </c>
    </row>
    <row r="2">
      <c r="A2" s="10" t="s">
        <v>24</v>
      </c>
      <c r="B2" s="12" t="str">
        <f>IFERROR(__xludf.DUMMYFUNCTION("IF(ISBLANK(A2),"""",GOOGLETRANSLATE(A2,""en"",""es""))"),"Transcend Retail")</f>
        <v>Transcend Retail</v>
      </c>
    </row>
    <row r="3">
      <c r="A3" s="10" t="s">
        <v>211</v>
      </c>
      <c r="B3" s="12" t="str">
        <f>IFERROR(__xludf.DUMMYFUNCTION("IF(ISBLANK(A3),"""",GOOGLETRANSLATE(A3,""en"",""es""))"),"El estándar de venta minorista digital para las principales marcas de automóviles del mundo.")</f>
        <v>El estándar de venta minorista digital para las principales marcas de automóviles del mundo.</v>
      </c>
    </row>
    <row r="4">
      <c r="A4" s="10" t="s">
        <v>212</v>
      </c>
      <c r="B4" s="12" t="str">
        <f>IFERROR(__xludf.DUMMYFUNCTION("IF(ISBLANK(A4),"""",GOOGLETRANSLATE(A4,""en"",""es""))"),"Impulsa los ingresos con la transformación omnicanal y la precisión impulsada por IA.")</f>
        <v>Impulsa los ingresos con la transformación omnicanal y la precisión impulsada por IA.</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213</v>
      </c>
      <c r="B7" s="12" t="str">
        <f>IFERROR(__xludf.DUMMYFUNCTION("IF(ISBLANK(A7),"""",GOOGLETRANSLATE(A7,""en"",""es""))"),"La experiencia de nuestros clientes")</f>
        <v>La experiencia de nuestros clientes</v>
      </c>
    </row>
    <row r="8">
      <c r="A8" s="15">
        <v>0.25</v>
      </c>
      <c r="B8" s="12" t="str">
        <f>IFERROR(__xludf.DUMMYFUNCTION("IF(ISBLANK(A8),"""",GOOGLETRANSLATE(A8,""en"",""es""))"),"25%")</f>
        <v>25%</v>
      </c>
    </row>
    <row r="9">
      <c r="A9" s="10" t="s">
        <v>214</v>
      </c>
      <c r="B9" s="12" t="str">
        <f>IFERROR(__xludf.DUMMYFUNCTION("IF(ISBLANK(A9),"""",GOOGLETRANSLATE(A9,""en"",""es""))"),"Generar ventas")</f>
        <v>Generar ventas</v>
      </c>
    </row>
    <row r="10">
      <c r="A10" s="10" t="s">
        <v>215</v>
      </c>
      <c r="B10" s="12" t="str">
        <f>IFERROR(__xludf.DUMMYFUNCTION("IF(ISBLANK(A10),"""",GOOGLETRANSLATE(A10,""en"",""es""))"),"tasa de conversión")</f>
        <v>tasa de conversión</v>
      </c>
    </row>
    <row r="11">
      <c r="A11" s="10" t="s">
        <v>216</v>
      </c>
      <c r="B11" s="12" t="str">
        <f>IFERROR(__xludf.DUMMYFUNCTION("IF(ISBLANK(A11),"""",GOOGLETRANSLATE(A11,""en"",""es""))"),"3 horas")</f>
        <v>3 horas</v>
      </c>
    </row>
    <row r="12">
      <c r="A12" s="10" t="s">
        <v>217</v>
      </c>
      <c r="B12" s="12" t="str">
        <f>IFERROR(__xludf.DUMMYFUNCTION("IF(ISBLANK(A12),"""",GOOGLETRANSLATE(A12,""en"",""es""))"),"Ahorro por oferta")</f>
        <v>Ahorro por oferta</v>
      </c>
    </row>
    <row r="13">
      <c r="A13" s="10" t="s">
        <v>218</v>
      </c>
      <c r="B13" s="12" t="str">
        <f>IFERROR(__xludf.DUMMYFUNCTION("IF(ISBLANK(A13),"""",GOOGLETRANSLATE(A13,""en"",""es""))"),"2,5x")</f>
        <v>2,5x</v>
      </c>
    </row>
    <row r="14">
      <c r="A14" s="10" t="s">
        <v>219</v>
      </c>
      <c r="B14" s="12" t="str">
        <f>IFERROR(__xludf.DUMMYFUNCTION("IF(ISBLANK(A14),"""",GOOGLETRANSLATE(A14,""en"",""es""))"),"Aumento en")</f>
        <v>Aumento en</v>
      </c>
    </row>
    <row r="15">
      <c r="A15" s="10" t="s">
        <v>220</v>
      </c>
      <c r="B15" s="12" t="str">
        <f>IFERROR(__xludf.DUMMYFUNCTION("IF(ISBLANK(A15),"""",GOOGLETRANSLATE(A15,""en"",""es""))"),"líderes de ventas minoristas digitales")</f>
        <v>líderes de ventas minoristas digitales</v>
      </c>
    </row>
    <row r="16">
      <c r="B16" s="12" t="str">
        <f>IFERROR(__xludf.DUMMYFUNCTION("IF(ISBLANK(A16),"""",GOOGLETRANSLATE(A16,""en"",""es""))"),"")</f>
        <v/>
      </c>
    </row>
    <row r="17">
      <c r="A17" s="10" t="s">
        <v>221</v>
      </c>
      <c r="B17" s="12" t="str">
        <f>IFERROR(__xludf.DUMMYFUNCTION("IF(ISBLANK(A17),"""",GOOGLETRANSLATE(A17,""en"",""es""))"),"Comercio digital para los agentes del cambio.")</f>
        <v>Comercio digital para los agentes del cambio.</v>
      </c>
    </row>
    <row r="18">
      <c r="A18" s="10" t="s">
        <v>14</v>
      </c>
      <c r="B18" s="12" t="str">
        <f>IFERROR(__xludf.DUMMYFUNCTION("IF(ISBLANK(A18),"""",GOOGLETRANSLATE(A18,""en"",""es""))"),"fabricantes de equipos originales (OEM)")</f>
        <v>fabricantes de equipos originales (OEM)</v>
      </c>
    </row>
    <row r="19">
      <c r="A19" s="10" t="s">
        <v>222</v>
      </c>
      <c r="B19" s="12" t="str">
        <f>IFERROR(__xludf.DUMMYFUNCTION("IF(ISBLANK(A19),"""",GOOGLETRANSLATE(A19,""en"",""es""))"),"La transformación digital del sector minorista, liderada por los fabricantes de equipos originales (OEM), es nuestra especialidad. Tanto si necesita una plataforma integral como si desea optimizar una solución existente, Transcend Retail le proporciona a "&amp;"usted y a su red de distribuidores la tecnología necesaria para implementar y escalar sus operaciones. Nuestra plataforma ofrece información en tiempo real, agiliza las operaciones y garantiza una experiencia de venta al público conectada y coherente sin "&amp;"interrumpir las operaciones de los distribuidores ni los flujos de trabajo existentes.")</f>
        <v>La transformación digital del sector minorista, liderada por los fabricantes de equipos originales (OEM), es nuestra especialidad. Tanto si necesita una plataforma integral como si desea optimizar una solución existente, Transcend Retail le proporciona a usted y a su red de distribuidores la tecnología necesaria para implementar y escalar sus operaciones. Nuestra plataforma ofrece información en tiempo real, agiliza las operaciones y garantiza una experiencia de venta al público conectada y coherente sin interrumpir las operaciones de los distribuidores ni los flujos de trabajo existentes.</v>
      </c>
    </row>
    <row r="20">
      <c r="A20" s="10" t="s">
        <v>223</v>
      </c>
      <c r="B20" s="12" t="str">
        <f>IFERROR(__xludf.DUMMYFUNCTION("IF(ISBLANK(A20),"""",GOOGLETRANSLATE(A20,""en"",""es""))"),"Grupos de distribuidores")</f>
        <v>Grupos de distribuidores</v>
      </c>
    </row>
    <row r="21">
      <c r="A21" s="10" t="s">
        <v>224</v>
      </c>
      <c r="B21" s="12" t="str">
        <f>IFERROR(__xludf.DUMMYFUNCTION("IF(ISBLANK(A21),"""",GOOGLETRANSLATE(A21,""en"",""es""))"),"Transcend Retail permite a los grupos de concesionarios gestionar operaciones más inteligentes y rentables con una eficiencia impecable. Su arquitectura modular se integra fácilmente con los sistemas de gestión de concesionarios (DMS), los sistemas de ges"&amp;"tión de relaciones con clientes (CRM) y los sistemas de financiación de terceros, eliminando los silos de información y optimizando los flujos de trabajo. Gracias a su flexibilidad para entornos multimarca y multifinanciera, mantiene las operaciones fluid"&amp;"as, mientras que las analíticas avanzadas y los paneles de control proporcionan información en tiempo real sobre el inventario y la rentabilidad para impulsar el crecimiento sin interrupciones.")</f>
        <v>Transcend Retail permite a los grupos de concesionarios gestionar operaciones más inteligentes y rentables con una eficiencia impecable. Su arquitectura modular se integra fácilmente con los sistemas de gestión de concesionarios (DMS), los sistemas de gestión de relaciones con clientes (CRM) y los sistemas de financiación de terceros, eliminando los silos de información y optimizando los flujos de trabajo. Gracias a su flexibilidad para entornos multimarca y multifinanciera, mantiene las operaciones fluidas, mientras que las analíticas avanzadas y los paneles de control proporcionan información en tiempo real sobre el inventario y la rentabilidad para impulsar el crecimiento sin interrupciones.</v>
      </c>
    </row>
    <row r="22">
      <c r="A22" s="10" t="s">
        <v>225</v>
      </c>
      <c r="B22" s="12" t="str">
        <f>IFERROR(__xludf.DUMMYFUNCTION("IF(ISBLANK(A22),"""",GOOGLETRANSLATE(A22,""en"",""es""))"),"Concesión")</f>
        <v>Concesión</v>
      </c>
    </row>
    <row r="23">
      <c r="A23" s="16" t="s">
        <v>226</v>
      </c>
      <c r="B23" s="12" t="str">
        <f>IFERROR(__xludf.DUMMYFUNCTION("IF(ISBLANK(A23),"""",GOOGLETRANSLATE(A23,""en"",""es""))"),"Venda más autos, cierre tratos más rápido y maximice cada oportunidad de ganancia. Transcend Retail ofrece a los concesionarios las herramientas para convertir más clientes potenciales, optimizar los flujos de trabajo e impulsar los ingresos de financiaci"&amp;"ón y seguros. Herramientas intuitivas para el cliente, como precios transparentes, ofertas de intercambio con inteligencia artificial y financiación flexible, crean una experiencia de compra sin complicaciones que genera mayores conversiones y mejora el Í"&amp;"ndice de Satisfacción del Cliente (ISC).")</f>
        <v>Venda más autos, cierre tratos más rápido y maximice cada oportunidad de ganancia. Transcend Retail ofrece a los concesionarios las herramientas para convertir más clientes potenciales, optimizar los flujos de trabajo e impulsar los ingresos de financiación y seguros. Herramientas intuitivas para el cliente, como precios transparentes, ofertas de intercambio con inteligencia artificial y financiación flexible, crean una experiencia de compra sin complicaciones que genera mayores conversiones y mejora el Índice de Satisfacción del Cliente (ISC).</v>
      </c>
    </row>
    <row r="24">
      <c r="A24" s="10" t="s">
        <v>227</v>
      </c>
      <c r="B24" s="12" t="str">
        <f>IFERROR(__xludf.DUMMYFUNCTION("IF(ISBLANK(A24),"""",GOOGLETRANSLATE(A24,""en"",""es""))"),"Innovación que impulsa")</f>
        <v>Innovación que impulsa</v>
      </c>
    </row>
    <row r="25">
      <c r="A25" s="10" t="s">
        <v>228</v>
      </c>
      <c r="B25" s="12" t="str">
        <f>IFERROR(__xludf.DUMMYFUNCTION("IF(ISBLANK(A25),"""",GOOGLETRANSLATE(A25,""en"",""es""))"),"venta minorista de automóviles")</f>
        <v>venta minorista de automóviles</v>
      </c>
    </row>
    <row r="26">
      <c r="A26" s="10" t="s">
        <v>229</v>
      </c>
      <c r="B26" s="12" t="str">
        <f>IFERROR(__xludf.DUMMYFUNCTION("IF(ISBLANK(A26),"""",GOOGLETRANSLATE(A26,""en"",""es""))"),"Convierta los clientes potenciales en")</f>
        <v>Convierta los clientes potenciales en</v>
      </c>
    </row>
    <row r="27">
      <c r="A27" s="10" t="s">
        <v>230</v>
      </c>
      <c r="B27" s="12" t="str">
        <f>IFERROR(__xludf.DUMMYFUNCTION("IF(ISBLANK(A27),"""",GOOGLETRANSLATE(A27,""en"",""es""))"),"ganancia")</f>
        <v>ganancia</v>
      </c>
    </row>
    <row r="28">
      <c r="A28" s="10" t="s">
        <v>231</v>
      </c>
      <c r="B28" s="12" t="str">
        <f>IFERROR(__xludf.DUMMYFUNCTION("IF(ISBLANK(A28),"""",GOOGLETRANSLATE(A28,""en"",""es""))"),"Las herramientas impulsadas por IA convierten más clientes potenciales en compradores, mientras que las herramientas avanzadas de gestión de ventas agilizan los procesos para aumentar la rentabilidad por unidad de financiación y seguros.")</f>
        <v>Las herramientas impulsadas por IA convierten más clientes potenciales en compradores, mientras que las herramientas avanzadas de gestión de ventas agilizan los procesos para aumentar la rentabilidad por unidad de financiación y seguros.</v>
      </c>
    </row>
    <row r="29">
      <c r="A29" s="10" t="s">
        <v>232</v>
      </c>
      <c r="B29" s="12" t="str">
        <f>IFERROR(__xludf.DUMMYFUNCTION("IF(ISBLANK(A29),"""",GOOGLETRANSLATE(A29,""en"",""es""))"),"Cliente personalizado")</f>
        <v>Cliente personalizado</v>
      </c>
    </row>
    <row r="30">
      <c r="A30" s="10" t="s">
        <v>233</v>
      </c>
      <c r="B30" s="12" t="str">
        <f>IFERROR(__xludf.DUMMYFUNCTION("IF(ISBLANK(A30),"""",GOOGLETRANSLATE(A30,""en"",""es""))"),"viajes")</f>
        <v>viajes</v>
      </c>
    </row>
    <row r="31">
      <c r="A31" s="10" t="s">
        <v>234</v>
      </c>
      <c r="B31" s="12" t="str">
        <f>IFERROR(__xludf.DUMMYFUNCTION("IF(ISBLANK(A31),"""",GOOGLETRANSLATE(A31,""en"",""es""))"),"Ofrezca experiencias de compra personalizadas, transparentes y sin complicaciones que generen confianza y fidelidad, ya sea en línea, en la tienda física o en ambos canales.")</f>
        <v>Ofrezca experiencias de compra personalizadas, transparentes y sin complicaciones que generen confianza y fidelidad, ya sea en línea, en la tienda física o en ambos canales.</v>
      </c>
    </row>
    <row r="32">
      <c r="A32" s="10" t="s">
        <v>235</v>
      </c>
      <c r="B32" s="12" t="str">
        <f>IFERROR(__xludf.DUMMYFUNCTION("IF(ISBLANK(A32),"""",GOOGLETRANSLATE(A32,""en"",""es""))"),"Optimizar las operaciones sin")</f>
        <v>Optimizar las operaciones sin</v>
      </c>
    </row>
    <row r="33">
      <c r="A33" s="10" t="s">
        <v>236</v>
      </c>
      <c r="B33" s="12" t="str">
        <f>IFERROR(__xludf.DUMMYFUNCTION("IF(ISBLANK(A33),"""",GOOGLETRANSLATE(A33,""en"",""es""))"),"ruptura")</f>
        <v>ruptura</v>
      </c>
    </row>
    <row r="34">
      <c r="A34" s="10" t="s">
        <v>237</v>
      </c>
      <c r="B34" s="12" t="str">
        <f>IFERROR(__xludf.DUMMYFUNCTION("IF(ISBLANK(A34),"""",GOOGLETRANSLATE(A34,""en"",""es""))"),"Intégrelo sin problemas con los sistemas heredados utilizando soluciones modulares y personalizadas que minimizan las interrupciones y aceleran el tiempo de obtención de valor.")</f>
        <v>Intégrelo sin problemas con los sistemas heredados utilizando soluciones modulares y personalizadas que minimizan las interrupciones y aceleran el tiempo de obtención de valor.</v>
      </c>
    </row>
    <row r="35">
      <c r="A35" s="10" t="s">
        <v>238</v>
      </c>
      <c r="B35" s="12" t="str">
        <f>IFERROR(__xludf.DUMMYFUNCTION("IF(ISBLANK(A35),"""",GOOGLETRANSLATE(A35,""en"",""es""))"),"Crea experiencias que")</f>
        <v>Crea experiencias que</v>
      </c>
    </row>
    <row r="36">
      <c r="A36" s="10" t="s">
        <v>239</v>
      </c>
      <c r="B36" s="12" t="str">
        <f>IFERROR(__xludf.DUMMYFUNCTION("IF(ISBLANK(A36),"""",GOOGLETRANSLATE(A36,""en"",""es""))"),"resonar")</f>
        <v>resonar</v>
      </c>
    </row>
    <row r="37">
      <c r="A37" s="10" t="s">
        <v>240</v>
      </c>
      <c r="B37" s="12" t="str">
        <f>IFERROR(__xludf.DUMMYFUNCTION("IF(ISBLANK(A37),"""",GOOGLETRANSLATE(A37,""en"",""es""))"),"Ofrecer recorridos fluidos e intuitivos, optimizados para compradores de la Generación Z y Millennials, garantizando experiencias rápidas y personalizadas que satisfagan las expectativas modernas.")</f>
        <v>Ofrecer recorridos fluidos e intuitivos, optimizados para compradores de la Generación Z y Millennials, garantizando experiencias rápidas y personalizadas que satisfagan las expectativas modernas.</v>
      </c>
    </row>
    <row r="38">
      <c r="A38" s="10" t="s">
        <v>241</v>
      </c>
      <c r="B38" s="12" t="str">
        <f>IFERROR(__xludf.DUMMYFUNCTION("IF(ISBLANK(A38),"""",GOOGLETRANSLATE(A38,""en"",""es""))"),"Transformar la complejidad")</f>
        <v>Transformar la complejidad</v>
      </c>
    </row>
    <row r="39">
      <c r="A39" s="10" t="s">
        <v>242</v>
      </c>
      <c r="B39" s="12" t="str">
        <f>IFERROR(__xludf.DUMMYFUNCTION("IF(ISBLANK(A39),"""",GOOGLETRANSLATE(A39,""en"",""es""))"),"hacia la claridad")</f>
        <v>hacia la claridad</v>
      </c>
    </row>
    <row r="40">
      <c r="A40" s="10" t="s">
        <v>243</v>
      </c>
      <c r="B40" s="12" t="str">
        <f>IFERROR(__xludf.DUMMYFUNCTION("IF(ISBLANK(A40),"""",GOOGLETRANSLATE(A40,""en"",""es""))"),"Los paneles de control centralizados consolidan los datos de rendimiento, proporcionando información en tiempo real que permite tomar decisiones más inteligentes y rápidas en todos los canales.")</f>
        <v>Los paneles de control centralizados consolidan los datos de rendimiento, proporcionando información en tiempo real que permite tomar decisiones más inteligentes y rápidas en todos los canales.</v>
      </c>
    </row>
    <row r="41">
      <c r="A41" s="10" t="s">
        <v>244</v>
      </c>
      <c r="B41" s="12" t="str">
        <f>IFERROR(__xludf.DUMMYFUNCTION("IF(ISBLANK(A41),"""",GOOGLETRANSLATE(A41,""en"",""es""))"),"Escala de forma inteligente sin arruinarte")</f>
        <v>Escala de forma inteligente sin arruinarte</v>
      </c>
    </row>
    <row r="42">
      <c r="A42" s="10" t="s">
        <v>245</v>
      </c>
      <c r="B42" s="12" t="str">
        <f>IFERROR(__xludf.DUMMYFUNCTION("IF(ISBLANK(A42),"""",GOOGLETRANSLATE(A42,""en"",""es""))"),"Invierte en soluciones modulares que minimicen los gastos innecesarios y que crezcan con tu negocio para maximizar el retorno de la inversión y la adaptabilidad.")</f>
        <v>Invierte en soluciones modulares que minimicen los gastos innecesarios y que crezcan con tu negocio para maximizar el retorno de la inversión y la adaptabilidad.</v>
      </c>
    </row>
    <row r="43">
      <c r="A43" s="10" t="s">
        <v>246</v>
      </c>
      <c r="B43" s="12" t="str">
        <f>IFERROR(__xludf.DUMMYFUNCTION("IF(ISBLANK(A43),"""",GOOGLETRANSLATE(A43,""en"",""es""))"),"El proceso de compra")</f>
        <v>El proceso de compra</v>
      </c>
    </row>
    <row r="44">
      <c r="A44" s="10" t="s">
        <v>247</v>
      </c>
      <c r="B44" s="12" t="str">
        <f>IFERROR(__xludf.DUMMYFUNCTION("IF(ISBLANK(A44),"""",GOOGLETRANSLATE(A44,""en"",""es""))"),"Descubre cómo Transcend Retail simplifica cada paso con herramientas y funciones intuitivas.")</f>
        <v>Descubre cómo Transcend Retail simplifica cada paso con herramientas y funciones intuitivas.</v>
      </c>
    </row>
    <row r="45">
      <c r="A45" s="10" t="s">
        <v>248</v>
      </c>
      <c r="B45" s="12" t="str">
        <f>IFERROR(__xludf.DUMMYFUNCTION("IF(ISBLANK(A45),"""",GOOGLETRANSLATE(A45,""en"",""es""))"),"Distribuidor")</f>
        <v>Distribuidor</v>
      </c>
    </row>
    <row r="46">
      <c r="A46" s="10" t="s">
        <v>249</v>
      </c>
      <c r="B46" s="12" t="str">
        <f>IFERROR(__xludf.DUMMYFUNCTION("IF(ISBLANK(A46),"""",GOOGLETRANSLATE(A46,""en"",""es""))"),"Cliente")</f>
        <v>Cliente</v>
      </c>
    </row>
    <row r="47">
      <c r="A47" s="10" t="s">
        <v>250</v>
      </c>
      <c r="B47" s="12" t="str">
        <f>IFERROR(__xludf.DUMMYFUNCTION("IF(ISBLANK(A47),"""",GOOGLETRANSLATE(A47,""en"",""es""))"),"Elige un vehículo")</f>
        <v>Elige un vehículo</v>
      </c>
    </row>
    <row r="48">
      <c r="A48" s="10" t="s">
        <v>251</v>
      </c>
      <c r="B48" s="12" t="str">
        <f>IFERROR(__xludf.DUMMYFUNCTION("IF(ISBLANK(A48),"""",GOOGLETRANSLATE(A48,""en"",""es""))"),"Capacitar a los clientes para que encuentren el coche perfecto sin esfuerzo.")</f>
        <v>Capacitar a los clientes para que encuentren el coche perfecto sin esfuerzo.</v>
      </c>
    </row>
    <row r="49">
      <c r="A49" s="10" t="s">
        <v>252</v>
      </c>
      <c r="B49" s="12" t="str">
        <f>IFERROR(__xludf.DUMMYFUNCTION("IF(ISBLANK(A49),"""",GOOGLETRANSLATE(A49,""en"",""es""))"),"Precios y canje")</f>
        <v>Precios y canje</v>
      </c>
    </row>
    <row r="50">
      <c r="A50" s="10" t="s">
        <v>253</v>
      </c>
      <c r="B50" s="12" t="str">
        <f>IFERROR(__xludf.DUMMYFUNCTION("IF(ISBLANK(A50),"""",GOOGLETRANSLATE(A50,""en"",""es""))"),"Ofrecemos precios claros y transparentes, así como tasaciones fiables para vehículos usados.")</f>
        <v>Ofrecemos precios claros y transparentes, así como tasaciones fiables para vehículos usados.</v>
      </c>
    </row>
    <row r="51">
      <c r="A51" s="10" t="s">
        <v>254</v>
      </c>
      <c r="B51" s="12" t="str">
        <f>IFERROR(__xludf.DUMMYFUNCTION("IF(ISBLANK(A51),"""",GOOGLETRANSLATE(A51,""en"",""es""))"),"Solicitud de crédito")</f>
        <v>Solicitud de crédito</v>
      </c>
    </row>
    <row r="52">
      <c r="A52" s="10" t="s">
        <v>255</v>
      </c>
      <c r="B52" s="12" t="str">
        <f>IFERROR(__xludf.DUMMYFUNCTION("IF(ISBLANK(A52),"""",GOOGLETRANSLATE(A52,""en"",""es""))"),"Decisiones de crédito instantáneas para informar inmediatamente a sus clientes sobre su capacidad de compra.")</f>
        <v>Decisiones de crédito instantáneas para informar inmediatamente a sus clientes sobre su capacidad de compra.</v>
      </c>
    </row>
    <row r="53">
      <c r="A53" s="10" t="s">
        <v>256</v>
      </c>
      <c r="B53" s="12" t="str">
        <f>IFERROR(__xludf.DUMMYFUNCTION("IF(ISBLANK(A53),"""",GOOGLETRANSLATE(A53,""en"",""es""))"),"Finalizar y firmar")</f>
        <v>Finalizar y firmar</v>
      </c>
    </row>
    <row r="54">
      <c r="A54" s="10" t="s">
        <v>257</v>
      </c>
      <c r="B54" s="12" t="str">
        <f>IFERROR(__xludf.DUMMYFUNCTION("IF(ISBLANK(A54),"""",GOOGLETRANSLATE(A54,""en"",""es""))"),"Firma digital segura y procesamiento de pagos sin complicaciones.")</f>
        <v>Firma digital segura y procesamiento de pagos sin complicaciones.</v>
      </c>
    </row>
    <row r="55">
      <c r="A55" s="10" t="s">
        <v>258</v>
      </c>
      <c r="B55" s="12" t="str">
        <f>IFERROR(__xludf.DUMMYFUNCTION("IF(ISBLANK(A55),"""",GOOGLETRANSLATE(A55,""en"",""es""))"),"programación de entregas")</f>
        <v>programación de entregas</v>
      </c>
    </row>
    <row r="56">
      <c r="A56" s="10" t="s">
        <v>259</v>
      </c>
      <c r="B56" s="12" t="str">
        <f>IFERROR(__xludf.DUMMYFUNCTION("IF(ISBLANK(A56),"""",GOOGLETRANSLATE(A56,""en"",""es""))"),"Programación simplificada para pruebas de manejo y entregas de vehículos.")</f>
        <v>Programación simplificada para pruebas de manejo y entregas de vehículos.</v>
      </c>
    </row>
    <row r="57">
      <c r="A57" s="10" t="s">
        <v>260</v>
      </c>
      <c r="B57" s="12" t="str">
        <f>IFERROR(__xludf.DUMMYFUNCTION("IF(ISBLANK(A57),"""",GOOGLETRANSLATE(A57,""en"",""es""))"),"Su socio para la innovación y la excelencia")</f>
        <v>Su socio para la innovación y la excelencia</v>
      </c>
    </row>
    <row r="58">
      <c r="A58" s="10" t="s">
        <v>261</v>
      </c>
      <c r="B58" s="12" t="str">
        <f>IFERROR(__xludf.DUMMYFUNCTION("IF(ISBLANK(A58),"""",GOOGLETRANSLATE(A58,""en"",""es""))"),"Experiencia demostrada")</f>
        <v>Experiencia demostrada</v>
      </c>
    </row>
    <row r="59">
      <c r="A59" s="10" t="s">
        <v>262</v>
      </c>
      <c r="B59" s="12" t="str">
        <f>IFERROR(__xludf.DUMMYFUNCTION("IF(ISBLANK(A59),"""",GOOGLETRANSLATE(A59,""en"",""es""))"),"NETSOL cuenta con una amplia experiencia en la transformación de procesos complejos de venta minorista y financiación de automóviles. Nuestras soluciones se adaptan a sus necesidades específicas, garantizando una colaboración fluida para alcanzar sus obje"&amp;"tivos.")</f>
        <v>NETSOL cuenta con una amplia experiencia en la transformación de procesos complejos de venta minorista y financiación de automóviles. Nuestras soluciones se adaptan a sus necesidades específicas, garantizando una colaboración fluida para alcanzar sus objetivos.</v>
      </c>
    </row>
    <row r="60">
      <c r="A60" s="10" t="s">
        <v>263</v>
      </c>
      <c r="B60" s="12" t="str">
        <f>IFERROR(__xludf.DUMMYFUNCTION("IF(ISBLANK(A60),"""",GOOGLETRANSLATE(A60,""en"",""es""))"),"Soluciones preparadas para el futuro")</f>
        <v>Soluciones preparadas para el futuro</v>
      </c>
    </row>
    <row r="61">
      <c r="A61" s="10" t="s">
        <v>264</v>
      </c>
      <c r="B61" s="12" t="str">
        <f>IFERROR(__xludf.DUMMYFUNCTION("IF(ISBLANK(A61),"""",GOOGLETRANSLATE(A61,""en"",""es""))"),"La innovadora arquitectura headless de NETSOL, basada en API, garantiza la escalabilidad y una fácil integración. Nuestros productos están diseñados para transformar las experiencias de venta minorista online y offline, ofreciendo soluciones de vanguardia"&amp;" respaldadas por información basada en datos.")</f>
        <v>La innovadora arquitectura headless de NETSOL, basada en API, garantiza la escalabilidad y una fácil integración. Nuestros productos están diseñados para transformar las experiencias de venta minorista online y offline, ofreciendo soluciones de vanguardia respaldadas por información basada en datos.</v>
      </c>
    </row>
    <row r="62">
      <c r="A62" s="10" t="s">
        <v>265</v>
      </c>
      <c r="B62" s="12" t="str">
        <f>IFERROR(__xludf.DUMMYFUNCTION("IF(ISBLANK(A62),"""",GOOGLETRANSLATE(A62,""en"",""es""))"),"Experiencia excepcional del cliente")</f>
        <v>Experiencia excepcional del cliente</v>
      </c>
    </row>
    <row r="63">
      <c r="A63" s="10" t="s">
        <v>266</v>
      </c>
      <c r="B63" s="12" t="str">
        <f>IFERROR(__xludf.DUMMYFUNCTION("IF(ISBLANK(A63),"""",GOOGLETRANSLATE(A63,""en"",""es""))"),"Nuestra interfaz de usuario intuitiva garantiza una experiencia de cliente omnicanal superior. Con controles modulares y flexibles, NETSOL permite una personalización sencilla de flujos de trabajo e interfaces, priorizando la satisfacción del cliente y la"&amp;" eficiencia operativa.")</f>
        <v>Nuestra interfaz de usuario intuitiva garantiza una experiencia de cliente omnicanal superior. Con controles modulares y flexibles, NETSOL permite una personalización sencilla de flujos de trabajo e interfaces, priorizando la satisfacción del cliente y la eficiencia operativa.</v>
      </c>
    </row>
    <row r="64">
      <c r="A64" s="10" t="s">
        <v>267</v>
      </c>
      <c r="B64" s="12" t="str">
        <f>IFERROR(__xludf.DUMMYFUNCTION("IF(ISBLANK(A64),"""",GOOGLETRANSLATE(A64,""en"",""es""))"),"Lo que nuestros clientes dicen de nosotros")</f>
        <v>Lo que nuestros clientes dicen de nosotros</v>
      </c>
    </row>
    <row r="65">
      <c r="A65" s="10" t="s">
        <v>268</v>
      </c>
      <c r="B65" s="12" t="str">
        <f>IFERROR(__xludf.DUMMYFUNCTION("IF(ISBLANK(A65),"""",GOOGLETRANSLATE(A65,""en"",""es""))"),"Stefan Christman")</f>
        <v>Stefan Christman</v>
      </c>
    </row>
    <row r="66">
      <c r="A66" s="10" t="s">
        <v>269</v>
      </c>
      <c r="B66" s="12" t="str">
        <f>IFERROR(__xludf.DUMMYFUNCTION("IF(ISBLANK(A66),"""",GOOGLETRANSLATE(A66,""en"",""es""))"),"Gerente general de ventas y marketing de MINI Financial Services")</f>
        <v>Gerente general de ventas y marketing de MINI Financial Services</v>
      </c>
    </row>
    <row r="67">
      <c r="A67" s="10" t="s">
        <v>270</v>
      </c>
      <c r="B67" s="12" t="str">
        <f>IFERROR(__xludf.DUMMYFUNCTION("IF(ISBLANK(A67),"""",GOOGLETRANSLATE(A67,""en"",""es""))"),"Colaborar con MINI USA y Transcend Retail para ofrecer soluciones centradas en el cliente y facilitar las transacciones con nosotros es fundamental. MINI Anywhere nos proporciona la validación necesaria para vender coches online, manteniendo a la vez una "&amp;"sólida solvencia crediticia y acceso a los tipos de interés más atractivos para nuestros clientes y potenciales clientes.")</f>
        <v>Colaborar con MINI USA y Transcend Retail para ofrecer soluciones centradas en el cliente y facilitar las transacciones con nosotros es fundamental. MINI Anywhere nos proporciona la validación necesaria para vender coches online, manteniendo a la vez una sólida solvencia crediticia y acceso a los tipos de interés más atractivos para nuestros clientes y potenciales clientes.</v>
      </c>
    </row>
    <row r="68">
      <c r="A68" s="10" t="s">
        <v>271</v>
      </c>
      <c r="B68" s="12" t="str">
        <f>IFERROR(__xludf.DUMMYFUNCTION("IF(ISBLANK(A68),"""",GOOGLETRANSLATE(A68,""en"",""es""))"),"Mini Servicios Financieros")</f>
        <v>Mini Servicios Financieros</v>
      </c>
    </row>
    <row r="69">
      <c r="A69" s="10" t="s">
        <v>272</v>
      </c>
      <c r="B69" s="12" t="str">
        <f>IFERROR(__xludf.DUMMYFUNCTION("IF(ISBLANK(A69),"""",GOOGLETRANSLATE(A69,""en"",""es""))"),"Descargar el estudio de caso")</f>
        <v>Descargar el estudio de caso</v>
      </c>
    </row>
    <row r="70">
      <c r="A70" s="10" t="s">
        <v>273</v>
      </c>
      <c r="B70" s="12" t="str">
        <f>IFERROR(__xludf.DUMMYFUNCTION("IF(ISBLANK(A70),"""",GOOGLETRANSLATE(A70,""en"",""es""))"),"Blogs relacionados")</f>
        <v>Blogs relacionados</v>
      </c>
    </row>
    <row r="71">
      <c r="A71" s="10" t="s">
        <v>122</v>
      </c>
      <c r="B71" s="12" t="str">
        <f>IFERROR(__xludf.DUMMYFUNCTION("IF(ISBLANK(A71),"""",GOOGLETRANSLATE(A71,""en"",""es""))"),"NETSOL está presente en Digital Dealer 2025: Impulsando el futuro de la venta minorista de automóviles.")</f>
        <v>NETSOL está presente en Digital Dealer 2025: Impulsando el futuro de la venta minorista de automóviles.</v>
      </c>
    </row>
    <row r="72">
      <c r="A72" s="10" t="s">
        <v>36</v>
      </c>
      <c r="B72" s="12" t="str">
        <f>IFERROR(__xludf.DUMMYFUNCTION("IF(ISBLANK(A72),"""",GOOGLETRANSLATE(A72,""en"",""es""))"),"Más información")</f>
        <v>Más información</v>
      </c>
    </row>
    <row r="73">
      <c r="A73" s="10" t="s">
        <v>274</v>
      </c>
      <c r="B73" s="12" t="str">
        <f>IFERROR(__xludf.DUMMYFUNCTION("IF(ISBLANK(A73),"""",GOOGLETRANSLATE(A73,""en"",""es""))"),"Podcast")</f>
        <v>Podcast</v>
      </c>
    </row>
    <row r="74">
      <c r="A74" s="10" t="s">
        <v>275</v>
      </c>
      <c r="B74" s="12" t="str">
        <f>IFERROR(__xludf.DUMMYFUNCTION("IF(ISBLANK(A74),"""",GOOGLETRANSLATE(A74,""en"",""es""))"),"¿Qué le depara el futuro al sector de la venta minorista de automóviles? | Transcend AI Labs")</f>
        <v>¿Qué le depara el futuro al sector de la venta minorista de automóviles? | Transcend AI Labs</v>
      </c>
    </row>
    <row r="75">
      <c r="A75" s="10" t="s">
        <v>276</v>
      </c>
      <c r="B75" s="12" t="str">
        <f>IFERROR(__xludf.DUMMYFUNCTION("IF(ISBLANK(A75),"""",GOOGLETRANSLATE(A75,""en"",""es""))"),"Mira ahora")</f>
        <v>Mira ahora</v>
      </c>
    </row>
    <row r="76">
      <c r="A76" s="10" t="s">
        <v>277</v>
      </c>
      <c r="B76" s="12" t="str">
        <f>IFERROR(__xludf.DUMMYFUNCTION("IF(ISBLANK(A76),"""",GOOGLETRANSLATE(A76,""en"",""es""))"),"Estudio de caso")</f>
        <v>Estudio de caso</v>
      </c>
    </row>
    <row r="77">
      <c r="A77" s="10" t="s">
        <v>278</v>
      </c>
      <c r="B77" s="12" t="str">
        <f>IFERROR(__xludf.DUMMYFUNCTION("IF(ISBLANK(A77),"""",GOOGLETRANSLATE(A77,""en"",""es""))"),"Un análisis en profundidad del éxito de MINI en la venta digital de automóviles.")</f>
        <v>Un análisis en profundidad del éxito de MINI en la venta digital de automóviles.</v>
      </c>
    </row>
    <row r="78">
      <c r="A78" s="10" t="s">
        <v>272</v>
      </c>
      <c r="B78" s="12" t="str">
        <f>IFERROR(__xludf.DUMMYFUNCTION("IF(ISBLANK(A78),"""",GOOGLETRANSLATE(A78,""en"",""es""))"),"Descargar el estudio de caso")</f>
        <v>Descargar el estudio de caso</v>
      </c>
    </row>
    <row r="79">
      <c r="A79" s="10" t="s">
        <v>279</v>
      </c>
      <c r="B79" s="12" t="str">
        <f>IFERROR(__xludf.DUMMYFUNCTION("IF(ISBLANK(A79),"""",GOOGLETRANSLATE(A79,""en"",""es""))"),"Experimenta las herramientas de venta digital de NETSOL")</f>
        <v>Experimenta las herramientas de venta digital de NETSOL</v>
      </c>
    </row>
    <row r="80">
      <c r="A80" s="10" t="s">
        <v>280</v>
      </c>
      <c r="B80" s="12" t="str">
        <f>IFERROR(__xludf.DUMMYFUNCTION("IF(ISBLANK(A80),"""",GOOGLETRANSLATE(A80,""en"",""es""))"),"Descubra cómo NETSOL puede impulsar su negocio con nuestra experiencia y décadas de trayectoria en la industria automotriz y de equipos.")</f>
        <v>Descubra cómo NETSOL puede impulsar su negocio con nuestra experiencia y décadas de trayectoria en la industria automotriz y de equipos.</v>
      </c>
    </row>
    <row r="81">
      <c r="B81" s="12" t="str">
        <f>IFERROR(__xludf.DUMMYFUNCTION("IF(ISBLANK(A81),"""",GOOGLETRANSLATE(A81,""en"",""es""))"),"")</f>
        <v/>
      </c>
    </row>
    <row r="82">
      <c r="B82" s="12" t="str">
        <f>IFERROR(__xludf.DUMMYFUNCTION("IF(ISBLANK(A82),"""",GOOGLETRANSLATE(A82,""en"",""es""))"),"")</f>
        <v/>
      </c>
    </row>
    <row r="83">
      <c r="A83" s="10" t="s">
        <v>130</v>
      </c>
      <c r="B83" s="12" t="str">
        <f>IFERROR(__xludf.DUMMYFUNCTION("IF(ISBLANK(A83),"""",GOOGLETRANSLATE(A83,""en"",""es""))"),"Suscríbase a nuestro boletín para recibir las últimas noticias en su correo electrónico.")</f>
        <v>Suscríbase a nuestro boletín para recibir las últimas noticias en su correo electrónico.</v>
      </c>
    </row>
    <row r="84">
      <c r="A84" s="10" t="s">
        <v>131</v>
      </c>
      <c r="B84" s="12" t="str">
        <f>IFERROR(__xludf.DUMMYFUNCTION("IF(ISBLANK(A84),"""",GOOGLETRANSLATE(A84,""en"",""es""))"),"abc@example.com")</f>
        <v>abc@example.com</v>
      </c>
    </row>
    <row r="85">
      <c r="A85" s="10" t="s">
        <v>132</v>
      </c>
      <c r="B85" s="12" t="str">
        <f>IFERROR(__xludf.DUMMYFUNCTION("IF(ISBLANK(A85),"""",GOOGLETRANSLATE(A85,""en"",""es""))"),"Suscríbete")</f>
        <v>Suscríbete</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9.75"/>
  </cols>
  <sheetData>
    <row r="1">
      <c r="A1" s="3" t="s">
        <v>0</v>
      </c>
      <c r="B1" s="3" t="s">
        <v>133</v>
      </c>
    </row>
    <row r="2">
      <c r="A2" s="10" t="s">
        <v>140</v>
      </c>
      <c r="B2" s="12" t="str">
        <f>IFERROR(__xludf.DUMMYFUNCTION("IF(ISBLANK(A2),"""",GOOGLETRANSLATE(A2,""en"",""es""))"),"Portales intermediarios")</f>
        <v>Portales intermediarios</v>
      </c>
    </row>
    <row r="3">
      <c r="A3" s="10" t="s">
        <v>281</v>
      </c>
      <c r="B3" s="12" t="str">
        <f>IFERROR(__xludf.DUMMYFUNCTION("IF(ISBLANK(A3),"""",GOOGLETRANSLATE(A3,""en"",""es""))"),"Portales personalizados para reforzar la identidad de marca")</f>
        <v>Portales personalizados para reforzar la identidad de marca</v>
      </c>
    </row>
    <row r="4">
      <c r="A4" s="10" t="s">
        <v>282</v>
      </c>
      <c r="B4" s="12" t="str">
        <f>IFERROR(__xludf.DUMMYFUNCTION("IF(ISBLANK(A4),"""",GOOGLETRANSLATE(A4,""en"",""es""))"),"Ofrecer a los clientes una experiencia de compra unificada y autónoma.")</f>
        <v>Ofrecer a los clientes una experiencia de compra unificada y autónoma.</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283</v>
      </c>
      <c r="B7" s="12" t="str">
        <f>IFERROR(__xludf.DUMMYFUNCTION("IF(ISBLANK(A7),"""",GOOGLETRANSLATE(A7,""en"",""es""))"),"Mantener y fortalecer la identidad de marca al tiempo que se mejora la satisfacción")</f>
        <v>Mantener y fortalecer la identidad de marca al tiempo que se mejora la satisfacción</v>
      </c>
    </row>
    <row r="8">
      <c r="A8" s="10" t="s">
        <v>284</v>
      </c>
      <c r="B8" s="12" t="str">
        <f>IFERROR(__xludf.DUMMYFUNCTION("IF(ISBLANK(A8),"""",GOOGLETRANSLATE(A8,""en"",""es""))"),"Nuestros portales internos personalizados con su marca se integran en una plataforma intuitiva para el cliente que oculta la complejidad de la tecnología que la sustenta. Los clientes potenciales serán guiados a través del proceso de compra mediante una r"&amp;"uta intuitiva y centrada en la marca. Esto refuerza sus prioridades y objetivos específicos, a la vez que proporciona al cliente una experiencia de compra fluida y cómoda.")</f>
        <v>Nuestros portales internos personalizados con su marca se integran en una plataforma intuitiva para el cliente que oculta la complejidad de la tecnología que la sustenta. Los clientes potenciales serán guiados a través del proceso de compra mediante una ruta intuitiva y centrada en la marca. Esto refuerza sus prioridades y objetivos específicos, a la vez que proporciona al cliente una experiencia de compra fluida y cómoda.</v>
      </c>
    </row>
    <row r="9">
      <c r="A9" s="10" t="s">
        <v>285</v>
      </c>
      <c r="B9" s="12" t="str">
        <f>IFERROR(__xludf.DUMMYFUNCTION("IF(ISBLANK(A9),"""",GOOGLETRANSLATE(A9,""en"",""es""))"),"Comodidad moderna")</f>
        <v>Comodidad moderna</v>
      </c>
    </row>
    <row r="10">
      <c r="A10" s="10" t="s">
        <v>286</v>
      </c>
      <c r="B10" s="12" t="str">
        <f>IFERROR(__xludf.DUMMYFUNCTION("IF(ISBLANK(A10),"""",GOOGLETRANSLATE(A10,""en"",""es""))"),"Un proceso de compra optimizado, que prioriza la satisfacción del cliente, al tiempo que cumple y mejora los objetivos clave y la identidad de marca de su empresa.")</f>
        <v>Un proceso de compra optimizado, que prioriza la satisfacción del cliente, al tiempo que cumple y mejora los objetivos clave y la identidad de marca de su empresa.</v>
      </c>
    </row>
    <row r="11">
      <c r="A11" s="10" t="s">
        <v>287</v>
      </c>
      <c r="B11" s="12" t="str">
        <f>IFERROR(__xludf.DUMMYFUNCTION("IF(ISBLANK(A11),"""",GOOGLETRANSLATE(A11,""en"",""es""))"),"Integración de sistemas sin esfuerzo")</f>
        <v>Integración de sistemas sin esfuerzo</v>
      </c>
    </row>
    <row r="12">
      <c r="A12" s="10" t="s">
        <v>288</v>
      </c>
      <c r="B12" s="12" t="str">
        <f>IFERROR(__xludf.DUMMYFUNCTION("IF(ISBLANK(A12),"""",GOOGLETRANSLATE(A12,""en"",""es""))"),"Proporciona toda la utilidad y complejidad de un sistema especializado de terceros, a pesar de estar perfectamente integrado en su proceso en línea.")</f>
        <v>Proporciona toda la utilidad y complejidad de un sistema especializado de terceros, a pesar de estar perfectamente integrado en su proceso en línea.</v>
      </c>
    </row>
    <row r="13">
      <c r="A13" s="10" t="s">
        <v>289</v>
      </c>
      <c r="B13" s="12" t="str">
        <f>IFERROR(__xludf.DUMMYFUNCTION("IF(ISBLANK(A13),"""",GOOGLETRANSLATE(A13,""en"",""es""))"),"Infraestructura conectada")</f>
        <v>Infraestructura conectada</v>
      </c>
    </row>
    <row r="14">
      <c r="A14" s="10" t="s">
        <v>290</v>
      </c>
      <c r="B14" s="12" t="str">
        <f>IFERROR(__xludf.DUMMYFUNCTION("IF(ISBLANK(A14),"""",GOOGLETRANSLATE(A14,""en"",""es""))"),"Diseñado en colaboración con nuestros clientes y optimizado para usted. Logre una eficiencia impecable con sistemas DMS y CRM integrados.")</f>
        <v>Diseñado en colaboración con nuestros clientes y optimizado para usted. Logre una eficiencia impecable con sistemas DMS y CRM integrados.</v>
      </c>
    </row>
    <row r="15">
      <c r="A15" s="10" t="s">
        <v>291</v>
      </c>
      <c r="B15" s="12" t="str">
        <f>IFERROR(__xludf.DUMMYFUNCTION("IF(ISBLANK(A15),"""",GOOGLETRANSLATE(A15,""en"",""es""))"),"Enfoque centrado en el cliente")</f>
        <v>Enfoque centrado en el cliente</v>
      </c>
    </row>
    <row r="16">
      <c r="A16" s="10" t="s">
        <v>292</v>
      </c>
      <c r="B16" s="12" t="str">
        <f>IFERROR(__xludf.DUMMYFUNCTION("IF(ISBLANK(A16),"""",GOOGLETRANSLATE(A16,""en"",""es""))"),"Mejore la experiencia del consumidor con portales intuitivos y sencillos diseñados para ocultar la compleja tecnología que los impulsa.")</f>
        <v>Mejore la experiencia del consumidor con portales intuitivos y sencillos diseñados para ocultar la compleja tecnología que los impulsa.</v>
      </c>
    </row>
    <row r="17">
      <c r="A17" s="10" t="s">
        <v>97</v>
      </c>
      <c r="B17" s="12" t="str">
        <f>IFERROR(__xludf.DUMMYFUNCTION("IF(ISBLANK(A17),"""",GOOGLETRANSLATE(A17,""en"",""es""))"),"Más de 500 mil millones de dólares")</f>
        <v>Más de 500 mil millones de dólares</v>
      </c>
    </row>
    <row r="18">
      <c r="A18" s="10" t="s">
        <v>98</v>
      </c>
      <c r="B18" s="12" t="str">
        <f>IFERROR(__xludf.DUMMYFUNCTION("IF(ISBLANK(A18),"""",GOOGLETRANSLATE(A18,""en"",""es""))"),"Activos gestionados a nivel mundial")</f>
        <v>Activos gestionados a nivel mundial</v>
      </c>
    </row>
    <row r="19">
      <c r="A19" s="10" t="s">
        <v>293</v>
      </c>
      <c r="B19" s="12" t="str">
        <f>IFERROR(__xludf.DUMMYFUNCTION("IF(ISBLANK(A19),"""",GOOGLETRANSLATE(A19,""en"",""es""))"),"Más de 350")</f>
        <v>Más de 350</v>
      </c>
    </row>
    <row r="20">
      <c r="A20" s="10" t="s">
        <v>96</v>
      </c>
      <c r="B20" s="12" t="str">
        <f>IFERROR(__xludf.DUMMYFUNCTION("IF(ISBLANK(A20),"""",GOOGLETRANSLATE(A20,""en"",""es""))"),"Implementaciones exitosas")</f>
        <v>Implementaciones exitosas</v>
      </c>
    </row>
    <row r="21">
      <c r="A21" s="10" t="s">
        <v>93</v>
      </c>
      <c r="B21" s="12" t="str">
        <f>IFERROR(__xludf.DUMMYFUNCTION("IF(ISBLANK(A21),"""",GOOGLETRANSLATE(A21,""en"",""es""))"),"Más de 200")</f>
        <v>Más de 200</v>
      </c>
    </row>
    <row r="22">
      <c r="A22" s="10" t="s">
        <v>94</v>
      </c>
      <c r="B22" s="12" t="str">
        <f>IFERROR(__xludf.DUMMYFUNCTION("IF(ISBLANK(A22),"""",GOOGLETRANSLATE(A22,""en"",""es""))"),"Clientes en todo el mundo")</f>
        <v>Clientes en todo el mundo</v>
      </c>
    </row>
    <row r="23">
      <c r="A23" s="10" t="s">
        <v>294</v>
      </c>
      <c r="B23" s="12" t="str">
        <f>IFERROR(__xludf.DUMMYFUNCTION("IF(ISBLANK(A23),"""",GOOGLETRANSLATE(A23,""en"",""es""))"),"Más de 30 años")</f>
        <v>Más de 30 años</v>
      </c>
    </row>
    <row r="24">
      <c r="A24" s="10" t="s">
        <v>295</v>
      </c>
      <c r="B24" s="12" t="str">
        <f>IFERROR(__xludf.DUMMYFUNCTION("IF(ISBLANK(A24),"""",GOOGLETRANSLATE(A24,""en"",""es""))"),"Países atendidos")</f>
        <v>Países atendidos</v>
      </c>
    </row>
    <row r="25">
      <c r="A25" s="10" t="s">
        <v>296</v>
      </c>
      <c r="B25" s="12" t="str">
        <f>IFERROR(__xludf.DUMMYFUNCTION("IF(ISBLANK(A25),"""",GOOGLETRANSLATE(A25,""en"",""es""))"),"Control integral e inteligencia integrada")</f>
        <v>Control integral e inteligencia integrada</v>
      </c>
    </row>
    <row r="26">
      <c r="A26" s="13" t="s">
        <v>297</v>
      </c>
      <c r="B26" s="12" t="str">
        <f>IFERROR(__xludf.DUMMYFUNCTION("IF(ISBLANK(A26),"""",GOOGLETRANSLATE(A26,""en"",""es""))"),"portales de corredores")</f>
        <v>portales de corredores</v>
      </c>
    </row>
    <row r="27">
      <c r="A27" s="10" t="s">
        <v>298</v>
      </c>
      <c r="B27" s="12" t="str">
        <f>IFERROR(__xludf.DUMMYFUNCTION("IF(ISBLANK(A27),"""",GOOGLETRANSLATE(A27,""en"",""es""))"),"La eficiencia y la eficacia son primordiales para cualquier agente inmobiliario. Gestionar sistemas y procesos dispares puede ser engorroso y consumir mucho tiempo, lo que a menudo genera ineficiencias y oportunidades perdidas. NETSOL ofrece una solución "&amp;"a estos desafíos al consolidar procesos dispares en una única interfaz unificada, revolucionando la forma en que opera su agencia.")</f>
        <v>La eficiencia y la eficacia son primordiales para cualquier agente inmobiliario. Gestionar sistemas y procesos dispares puede ser engorroso y consumir mucho tiempo, lo que a menudo genera ineficiencias y oportunidades perdidas. NETSOL ofrece una solución a estos desafíos al consolidar procesos dispares en una única interfaz unificada, revolucionando la forma en que opera su agencia.</v>
      </c>
    </row>
    <row r="28">
      <c r="A28" s="13" t="s">
        <v>299</v>
      </c>
      <c r="B28" s="12" t="str">
        <f>IFERROR(__xludf.DUMMYFUNCTION("IF(ISBLANK(A28),"""",GOOGLETRANSLATE(A28,""en"",""es""))"),"Portales de prestamistas")</f>
        <v>Portales de prestamistas</v>
      </c>
    </row>
    <row r="29">
      <c r="A29" s="10" t="s">
        <v>300</v>
      </c>
      <c r="B29" s="12" t="str">
        <f>IFERROR(__xludf.DUMMYFUNCTION("IF(ISBLANK(A29),"""",GOOGLETRANSLATE(A29,""en"",""es""))"),"Los portales de NETSOL, específicos para entidades financieras, están diseñados para transformar el proceso de préstamo, optimizando la gestión de riesgos e impulsando la rentabilidad. Nuestras herramientas avanzadas no solo agilizan la originación de pré"&amp;"stamos, sino que también facilitan una comunicación y colaboración fluidas con el ecosistema crediticio. Potencie su proceso de préstamo con portales intuitivos y eficientes, diseñados para una experiencia de usuario impecable.")</f>
        <v>Los portales de NETSOL, específicos para entidades financieras, están diseñados para transformar el proceso de préstamo, optimizando la gestión de riesgos e impulsando la rentabilidad. Nuestras herramientas avanzadas no solo agilizan la originación de préstamos, sino que también facilitan una comunicación y colaboración fluidas con el ecosistema crediticio. Potencie su proceso de préstamo con portales intuitivos y eficientes, diseñados para una experiencia de usuario impecable.</v>
      </c>
    </row>
    <row r="30">
      <c r="A30" s="10" t="s">
        <v>301</v>
      </c>
      <c r="B30" s="12" t="str">
        <f>IFERROR(__xludf.DUMMYFUNCTION("IF(ISBLANK(A30),"""",GOOGLETRANSLATE(A30,""en"",""es""))"),"Portales de distribuidores")</f>
        <v>Portales de distribuidores</v>
      </c>
    </row>
    <row r="31">
      <c r="A31" s="10" t="s">
        <v>302</v>
      </c>
      <c r="B31" s="12" t="str">
        <f>IFERROR(__xludf.DUMMYFUNCTION("IF(ISBLANK(A31),"""",GOOGLETRANSLATE(A31,""en"",""es""))"),"En el competitivo sector automotriz, los concesionarios necesitan soluciones eficientes e integrales para gestionar sus operaciones con eficacia. Los portales intermediarios de NETSOL funcionan como centros de control digitales, proporcionando a los conce"&amp;"sionarios una amplia gama de herramientas, recursos y servicios para optimizar todos los aspectos de su negocio, desde la gestión de inventario hasta las ventas y el marketing.")</f>
        <v>En el competitivo sector automotriz, los concesionarios necesitan soluciones eficientes e integrales para gestionar sus operaciones con eficacia. Los portales intermediarios de NETSOL funcionan como centros de control digitales, proporcionando a los concesionarios una amplia gama de herramientas, recursos y servicios para optimizar todos los aspectos de su negocio, desde la gestión de inventario hasta las ventas y el marketing.</v>
      </c>
    </row>
    <row r="32">
      <c r="A32" s="13" t="s">
        <v>113</v>
      </c>
      <c r="B32" s="12" t="str">
        <f>IFERROR(__xludf.DUMMYFUNCTION("IF(ISBLANK(A32),"""",GOOGLETRANSLATE(A32,""en"",""es""))"),"Haydock Financial encuentra el éxito con el mercado de NETSOL.")</f>
        <v>Haydock Financial encuentra el éxito con el mercado de NETSOL.</v>
      </c>
    </row>
    <row r="33">
      <c r="A33" s="10" t="s">
        <v>303</v>
      </c>
      <c r="B33" s="12" t="str">
        <f>IFERROR(__xludf.DUMMYFUNCTION("IF(ISBLANK(A33),"""",GOOGLETRANSLATE(A33,""en"",""es""))"),"""Recomendaría sin duda tanto Appex Now como NETSOL. Los productos son excelentes. Funcionan de maravilla. Y NETSOL ha respondido a nuestras necesidades con rapidez. Realizaron cualquier cambio que les solicitamos con celeridad.""")</f>
        <v>"Recomendaría sin duda tanto Appex Now como NETSOL. Los productos son excelentes. Funcionan de maravilla. Y NETSOL ha respondido a nuestras necesidades con rapidez. Realizaron cualquier cambio que les solicitamos con celeridad."</v>
      </c>
    </row>
    <row r="34">
      <c r="A34" s="13" t="s">
        <v>115</v>
      </c>
      <c r="B34" s="12" t="str">
        <f>IFERROR(__xludf.DUMMYFUNCTION("IF(ISBLANK(A34),"""",GOOGLETRANSLATE(A34,""en"",""es""))"),"Mike Boyes")</f>
        <v>Mike Boyes</v>
      </c>
    </row>
    <row r="35">
      <c r="A35" s="10" t="s">
        <v>304</v>
      </c>
      <c r="B35" s="12" t="str">
        <f>IFERROR(__xludf.DUMMYFUNCTION("IF(ISBLANK(A35),"""",GOOGLETRANSLATE(A35,""en"",""es""))"),"¿Preparado para navegar a través de nuestros portales intermediarios?")</f>
        <v>¿Preparado para navegar a través de nuestros portales intermediarios?</v>
      </c>
    </row>
    <row r="36">
      <c r="A36" s="10" t="s">
        <v>305</v>
      </c>
      <c r="B36" s="12" t="str">
        <f>IFERROR(__xludf.DUMMYFUNCTION("IF(ISBLANK(A36),"""",GOOGLETRANSLATE(A36,""en"",""es""))"),"Descubra más sobre los portales personalizables y diseñados por expertos de NETSOL y experimente sus ventajas. Acceda hoy mismo a nuestros portales para intermediarios.")</f>
        <v>Descubra más sobre los portales personalizables y diseñados por expertos de NETSOL y experimente sus ventajas. Acceda hoy mismo a nuestros portales para intermediarios.</v>
      </c>
    </row>
    <row r="37">
      <c r="B37" s="12" t="str">
        <f>IFERROR(__xludf.DUMMYFUNCTION("IF(ISBLANK(A37),"""",GOOGLETRANSLATE(A37,""en"",""es""))"),"")</f>
        <v/>
      </c>
    </row>
    <row r="38">
      <c r="A38" s="10" t="s">
        <v>116</v>
      </c>
      <c r="B38" s="12" t="str">
        <f>IFERROR(__xludf.DUMMYFUNCTION("IF(ISBLANK(A38),"""",GOOGLETRANSLATE(A38,""en"",""es""))"),"Lecturas y reflexiones destacadas")</f>
        <v>Lecturas y reflexiones destacadas</v>
      </c>
    </row>
    <row r="39">
      <c r="A39" s="17" t="s">
        <v>117</v>
      </c>
      <c r="B39" s="12" t="str">
        <f>IFERROR(__xludf.DUMMYFUNCTION("IF(ISBLANK(A39),"""",GOOGLETRANSLATE(A39,""en"",""es""))"),"Manténgase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0">
      <c r="A40" s="10" t="s">
        <v>118</v>
      </c>
      <c r="B40" s="12" t="str">
        <f>IFERROR(__xludf.DUMMYFUNCTION("IF(ISBLANK(A40),"""",GOOGLETRANSLATE(A40,""en"",""es""))"),"Blog")</f>
        <v>Blog</v>
      </c>
    </row>
    <row r="41">
      <c r="A41" s="10" t="s">
        <v>119</v>
      </c>
      <c r="B41" s="12" t="str">
        <f>IFERROR(__xludf.DUMMYFUNCTION("IF(ISBLANK(A41),"""",GOOGLETRANSLATE(A41,""en"",""es""))"),"Más allá del DMS: Por qué el futuro de la venta minorista de automóviles se basa en las API")</f>
        <v>Más allá del DMS: Por qué el futuro de la venta minorista de automóviles se basa en las API</v>
      </c>
    </row>
    <row r="42">
      <c r="A42" s="10" t="s">
        <v>36</v>
      </c>
      <c r="B42" s="12" t="str">
        <f>IFERROR(__xludf.DUMMYFUNCTION("IF(ISBLANK(A42),"""",GOOGLETRANSLATE(A42,""en"",""es""))"),"Más información")</f>
        <v>Más información</v>
      </c>
    </row>
    <row r="43">
      <c r="B43" s="12" t="str">
        <f>IFERROR(__xludf.DUMMYFUNCTION("IF(ISBLANK(A43),"""",GOOGLETRANSLATE(A43,""en"",""es""))"),"")</f>
        <v/>
      </c>
    </row>
    <row r="44">
      <c r="A44" s="10" t="s">
        <v>120</v>
      </c>
      <c r="B44" s="12" t="str">
        <f>IFERROR(__xludf.DUMMYFUNCTION("IF(ISBLANK(A44),"""",GOOGLETRANSLATE(A44,""en"",""es""))"),"NETSOL estará presente en la Conferencia y Premios GlobalData Automotive Europe 2025.")</f>
        <v>NETSOL estará presente en la Conferencia y Premios GlobalData Automotive Europe 2025.</v>
      </c>
    </row>
    <row r="45">
      <c r="B45" s="12" t="str">
        <f>IFERROR(__xludf.DUMMYFUNCTION("IF(ISBLANK(A45),"""",GOOGLETRANSLATE(A45,""en"",""es""))"),"")</f>
        <v/>
      </c>
    </row>
    <row r="46">
      <c r="B46" s="12" t="str">
        <f>IFERROR(__xludf.DUMMYFUNCTION("IF(ISBLANK(A46),"""",GOOGLETRANSLATE(A46,""en"",""es""))"),"")</f>
        <v/>
      </c>
    </row>
    <row r="47">
      <c r="A47" s="10" t="s">
        <v>121</v>
      </c>
      <c r="B47" s="12" t="str">
        <f>IFERROR(__xludf.DUMMYFUNCTION("IF(ISBLANK(A47),"""",GOOGLETRANSLATE(A47,""en"",""es""))"),"NETSOL participa en la 25ª Cumbre Anual de Financiación Automotriz: Impulsando el futuro de la financiación automotriz")</f>
        <v>NETSOL participa en la 25ª Cumbre Anual de Financiación Automotriz: Impulsando el futuro de la financiación automotriz</v>
      </c>
    </row>
    <row r="48">
      <c r="B48" s="12" t="str">
        <f>IFERROR(__xludf.DUMMYFUNCTION("IF(ISBLANK(A48),"""",GOOGLETRANSLATE(A48,""en"",""es""))"),"")</f>
        <v/>
      </c>
    </row>
    <row r="49">
      <c r="B49" s="12" t="str">
        <f>IFERROR(__xludf.DUMMYFUNCTION("IF(ISBLANK(A49),"""",GOOGLETRANSLATE(A49,""en"",""es""))"),"")</f>
        <v/>
      </c>
    </row>
    <row r="50">
      <c r="A50" s="10" t="s">
        <v>122</v>
      </c>
      <c r="B50" s="12" t="str">
        <f>IFERROR(__xludf.DUMMYFUNCTION("IF(ISBLANK(A50),"""",GOOGLETRANSLATE(A50,""en"",""es""))"),"NETSOL está presente en Digital Dealer 2025: Impulsando el futuro de la venta minorista de automóviles.")</f>
        <v>NETSOL está presente en Digital Dealer 2025: Impulsando el futuro de la venta minorista de automóviles.</v>
      </c>
    </row>
    <row r="51">
      <c r="B51" s="12" t="str">
        <f>IFERROR(__xludf.DUMMYFUNCTION("IF(ISBLANK(A51),"""",GOOGLETRANSLATE(A51,""en"",""es""))"),"")</f>
        <v/>
      </c>
    </row>
    <row r="52">
      <c r="B52" s="12" t="str">
        <f>IFERROR(__xludf.DUMMYFUNCTION("IF(ISBLANK(A52),"""",GOOGLETRANSLATE(A52,""en"",""es""))"),"")</f>
        <v/>
      </c>
    </row>
    <row r="53">
      <c r="A53" s="13" t="s">
        <v>123</v>
      </c>
      <c r="B53" s="12" t="str">
        <f>IFERROR(__xludf.DUMMYFUNCTION("IF(ISBLANK(A53),"""",GOOGLETRANSLATE(A53,""en"",""es""))"),"La IA en el sector BFSI: revolucionando la gestión de riesgos")</f>
        <v>La IA en el sector BFSI: revolucionando la gestión de riesgos</v>
      </c>
    </row>
    <row r="54">
      <c r="B54" s="12" t="str">
        <f>IFERROR(__xludf.DUMMYFUNCTION("IF(ISBLANK(A54),"""",GOOGLETRANSLATE(A54,""en"",""es""))"),"")</f>
        <v/>
      </c>
    </row>
    <row r="55">
      <c r="B55" s="12" t="str">
        <f>IFERROR(__xludf.DUMMYFUNCTION("IF(ISBLANK(A55),"""",GOOGLETRANSLATE(A55,""en"",""es""))"),"")</f>
        <v/>
      </c>
    </row>
    <row r="56">
      <c r="A56" s="10" t="s">
        <v>124</v>
      </c>
      <c r="B56" s="12" t="str">
        <f>IFERROR(__xludf.DUMMYFUNCTION("IF(ISBLANK(A56),"""",GOOGLETRANSLATE(A56,""en"",""es""))"),"La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7">
      <c r="B57" s="12" t="str">
        <f>IFERROR(__xludf.DUMMYFUNCTION("IF(ISBLANK(A57),"""",GOOGLETRANSLATE(A57,""en"",""es""))"),"")</f>
        <v/>
      </c>
    </row>
    <row r="58">
      <c r="B58" s="12" t="str">
        <f>IFERROR(__xludf.DUMMYFUNCTION("IF(ISBLANK(A58),"""",GOOGLETRANSLATE(A58,""en"",""es""))"),"")</f>
        <v/>
      </c>
    </row>
    <row r="59">
      <c r="A59" s="10" t="s">
        <v>125</v>
      </c>
      <c r="B59" s="12" t="str">
        <f>IFERROR(__xludf.DUMMYFUNCTION("IF(ISBLANK(A59),"""",GOOGLETRANSLATE(A59,""en"",""es""))"),"El verdadero coste de los sistemas desconectados en la venta minorista de automóviles")</f>
        <v>El verdadero coste de los sistemas desconectados en la venta minorista de automóviles</v>
      </c>
    </row>
    <row r="60">
      <c r="B60" s="12" t="str">
        <f>IFERROR(__xludf.DUMMYFUNCTION("IF(ISBLANK(A60),"""",GOOGLETRANSLATE(A60,""en"",""es""))"),"")</f>
        <v/>
      </c>
    </row>
    <row r="61">
      <c r="B61" s="12" t="str">
        <f>IFERROR(__xludf.DUMMYFUNCTION("IF(ISBLANK(A61),"""",GOOGLETRANSLATE(A61,""en"",""es""))"),"")</f>
        <v/>
      </c>
    </row>
    <row r="62">
      <c r="A62" s="10" t="s">
        <v>126</v>
      </c>
      <c r="B62" s="12" t="str">
        <f>IFERROR(__xludf.DUMMYFUNCTION("IF(ISBLANK(A62),"""",GOOGLETRANSLATE(A62,""en"",""es""))"),"Las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3">
      <c r="B63" s="12" t="str">
        <f>IFERROR(__xludf.DUMMYFUNCTION("IF(ISBLANK(A63),"""",GOOGLETRANSLATE(A63,""en"",""es""))"),"")</f>
        <v/>
      </c>
    </row>
    <row r="64">
      <c r="B64" s="12" t="str">
        <f>IFERROR(__xludf.DUMMYFUNCTION("IF(ISBLANK(A64),"""",GOOGLETRANSLATE(A64,""en"",""es""))"),"")</f>
        <v/>
      </c>
    </row>
    <row r="65">
      <c r="A65" s="10" t="s">
        <v>127</v>
      </c>
      <c r="B65" s="12" t="str">
        <f>IFERROR(__xludf.DUMMYFUNCTION("IF(ISBLANK(A65),"""",GOOGLETRANSLATE(A65,""en"",""es""))"),"Lucha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6">
      <c r="B66" s="12" t="str">
        <f>IFERROR(__xludf.DUMMYFUNCTION("IF(ISBLANK(A66),"""",GOOGLETRANSLATE(A66,""en"",""es""))"),"")</f>
        <v/>
      </c>
    </row>
    <row r="67">
      <c r="A67" s="10" t="s">
        <v>130</v>
      </c>
      <c r="B67" s="12" t="str">
        <f>IFERROR(__xludf.DUMMYFUNCTION("IF(ISBLANK(A67),"""",GOOGLETRANSLATE(A67,""en"",""es""))"),"Suscríbase a nuestro boletín para recibir las últimas noticias en su correo electrónico.")</f>
        <v>Suscríbase a nuestro boletín para recibir las últimas noticias en su correo electrónico.</v>
      </c>
    </row>
    <row r="68">
      <c r="A68" s="10" t="s">
        <v>131</v>
      </c>
      <c r="B68" s="12" t="str">
        <f>IFERROR(__xludf.DUMMYFUNCTION("IF(ISBLANK(A68),"""",GOOGLETRANSLATE(A68,""en"",""es""))"),"abc@example.com")</f>
        <v>abc@example.com</v>
      </c>
    </row>
    <row r="69">
      <c r="A69" s="10" t="s">
        <v>132</v>
      </c>
      <c r="B69" s="12" t="str">
        <f>IFERROR(__xludf.DUMMYFUNCTION("IF(ISBLANK(A69),"""",GOOGLETRANSLATE(A69,""en"",""es""))"),"Suscríbete")</f>
        <v>Suscríbete</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38"/>
  </cols>
  <sheetData>
    <row r="1">
      <c r="A1" s="3" t="s">
        <v>0</v>
      </c>
      <c r="B1" s="3" t="s">
        <v>133</v>
      </c>
    </row>
    <row r="2">
      <c r="A2" s="10" t="s">
        <v>306</v>
      </c>
      <c r="B2" s="12" t="str">
        <f>IFERROR(__xludf.DUMMYFUNCTION("IF(ISBLANK(A2),"""",GOOGLETRANSLATE(A2,""en"",""es""))"),"Originación de préstamos")</f>
        <v>Originación de préstamos</v>
      </c>
    </row>
    <row r="3">
      <c r="A3" s="10" t="s">
        <v>307</v>
      </c>
      <c r="B3" s="12" t="str">
        <f>IFERROR(__xludf.DUMMYFUNCTION("IF(ISBLANK(A3),"""",GOOGLETRANSLATE(A3,""en"",""es""))"),"Una experiencia de originación de préstamos impulsada por IA")</f>
        <v>Una experiencia de originación de préstamos impulsada por IA</v>
      </c>
    </row>
    <row r="4">
      <c r="A4" s="10" t="s">
        <v>308</v>
      </c>
      <c r="B4" s="12" t="str">
        <f>IFERROR(__xludf.DUMMYFUNCTION("IF(ISBLANK(A4),"""",GOOGLETRANSLATE(A4,""en"",""es""))"),"Experimente el futuro de la originación de arrendamientos y préstamos con plataformas multicanal altamente ágiles y fáciles de usar.")</f>
        <v>Experimente el futuro de la originación de arrendamientos y préstamos con plataformas multicanal altamente ágiles y fáciles de usar.</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309</v>
      </c>
      <c r="B7" s="12" t="str">
        <f>IFERROR(__xludf.DUMMYFUNCTION("IF(ISBLANK(A7),"""",GOOGLETRANSLATE(A7,""en"",""es""))"),"Posicionando a las entidades crediticias para modernizar sus prácticas de préstamo con IA")</f>
        <v>Posicionando a las entidades crediticias para modernizar sus prácticas de préstamo con IA</v>
      </c>
    </row>
    <row r="8">
      <c r="A8" s="10" t="s">
        <v>310</v>
      </c>
      <c r="B8" s="12" t="str">
        <f>IFERROR(__xludf.DUMMYFUNCTION("IF(ISBLANK(A8),"""",GOOGLETRANSLATE(A8,""en"",""es""))"),"Lo que distingue a nuestro software de originación de préstamos y arrendamientos es nuestro compromiso con la experiencia del usuario. Desde la recepción de la solicitud hasta la aprobación del préstamo, cada interacción está diseñada para ser fluida y di"&amp;"recta, permitiéndole concentrarse en lo más importante: atender a sus clientes. Optimice todo el proceso de originación de préstamos, desde la solicitud hasta la aprobación, con las funciones avanzadas de nuestro software de originación de crédito, como l"&amp;"a toma de decisiones en tiempo real basada en IA, la automatización de flujos de operaciones y mucho más. Gracias a la compatibilidad multiplataforma, los equipos de ventas pueden proporcionar cotizaciones rápidas, gestionar solicitudes desde cualquier lu"&amp;"gar y reducir significativamente el tiempo de toma de decisiones.")</f>
        <v>Lo que distingue a nuestro software de originación de préstamos y arrendamientos es nuestro compromiso con la experiencia del usuario. Desde la recepción de la solicitud hasta la aprobación del préstamo, cada interacción está diseñada para ser fluida y directa, permitiéndole concentrarse en lo más importante: atender a sus clientes. Optimice todo el proceso de originación de préstamos, desde la solicitud hasta la aprobación, con las funciones avanzadas de nuestro software de originación de crédito, como la toma de decisiones en tiempo real basada en IA, la automatización de flujos de operaciones y mucho más. Gracias a la compatibilidad multiplataforma, los equipos de ventas pueden proporcionar cotizaciones rápidas, gestionar solicitudes desde cualquier lugar y reducir significativamente el tiempo de toma de decisiones.</v>
      </c>
    </row>
    <row r="9">
      <c r="A9" s="10" t="s">
        <v>311</v>
      </c>
      <c r="B9" s="12" t="str">
        <f>IFERROR(__xludf.DUMMYFUNCTION("IF(ISBLANK(A9),"""",GOOGLETRANSLATE(A9,""en"",""es""))"),"decisiones basadas en IA")</f>
        <v>decisiones basadas en IA</v>
      </c>
    </row>
    <row r="10">
      <c r="A10" s="10" t="s">
        <v>312</v>
      </c>
      <c r="B10" s="12" t="str">
        <f>IFERROR(__xludf.DUMMYFUNCTION("IF(ISBLANK(A10),"""",GOOGLETRANSLATE(A10,""en"",""es""))"),"Desde la calificación crediticia hasta la evaluación de riesgos, nuestro software de originación de préstamos le permite tomar decisiones informadas de forma rápida y precisa.")</f>
        <v>Desde la calificación crediticia hasta la evaluación de riesgos, nuestro software de originación de préstamos le permite tomar decisiones informadas de forma rápida y precisa.</v>
      </c>
    </row>
    <row r="11">
      <c r="A11" s="10" t="s">
        <v>313</v>
      </c>
      <c r="B11" s="12" t="str">
        <f>IFERROR(__xludf.DUMMYFUNCTION("IF(ISBLANK(A11),"""",GOOGLETRANSLATE(A11,""en"",""es""))"),"Autoservicio del cliente")</f>
        <v>Autoservicio del cliente</v>
      </c>
    </row>
    <row r="12">
      <c r="A12" s="10" t="s">
        <v>314</v>
      </c>
      <c r="B12" s="12" t="str">
        <f>IFERROR(__xludf.DUMMYFUNCTION("IF(ISBLANK(A12),"""",GOOGLETRANSLATE(A12,""en"",""es""))"),"Nuestro software de originación de préstamos de autoservicio permite a los clientes realizar todo el proceso de compra y financiación en cualquier lugar y en cualquier momento.")</f>
        <v>Nuestro software de originación de préstamos de autoservicio permite a los clientes realizar todo el proceso de compra y financiación en cualquier lugar y en cualquier momento.</v>
      </c>
    </row>
    <row r="13">
      <c r="A13" s="10" t="s">
        <v>315</v>
      </c>
      <c r="B13" s="12" t="str">
        <f>IFERROR(__xludf.DUMMYFUNCTION("IF(ISBLANK(A13),"""",GOOGLETRANSLATE(A13,""en"",""es""))"),"Información desbloqueada")</f>
        <v>Información desbloqueada</v>
      </c>
    </row>
    <row r="14">
      <c r="A14" s="10" t="s">
        <v>316</v>
      </c>
      <c r="B14" s="12" t="str">
        <f>IFERROR(__xludf.DUMMYFUNCTION("IF(ISBLANK(A14),"""",GOOGLETRANSLATE(A14,""en"",""es""))"),"Gracias a sus avanzadas capacidades de análisis e informes, podrá obtener información valiosa sobre su cartera de préstamos e identificar oportunidades de mejora y crecimiento.")</f>
        <v>Gracias a sus avanzadas capacidades de análisis e informes, podrá obtener información valiosa sobre su cartera de préstamos e identificar oportunidades de mejora y crecimiento.</v>
      </c>
    </row>
    <row r="15">
      <c r="A15" s="10" t="s">
        <v>317</v>
      </c>
      <c r="B15" s="12" t="str">
        <f>IFERROR(__xludf.DUMMYFUNCTION("IF(ISBLANK(A15),"""",GOOGLETRANSLATE(A15,""en"",""es""))"),"Experiencia mejorada")</f>
        <v>Experiencia mejorada</v>
      </c>
    </row>
    <row r="16">
      <c r="A16" s="10" t="s">
        <v>318</v>
      </c>
      <c r="B16" s="12" t="str">
        <f>IFERROR(__xludf.DUMMYFUNCTION("IF(ISBLANK(A16),"""",GOOGLETRANSLATE(A16,""en"",""es""))"),"Gracias a nuestra interfaz fácil de usar y a su diseño intuitivo, los prestatarios pueden iniciar y completar sus solicitudes con facilidad, lo que se traduce en mayores tasas de satisfacción y retención.")</f>
        <v>Gracias a nuestra interfaz fácil de usar y a su diseño intuitivo, los prestatarios pueden iniciar y completar sus solicitudes con facilidad, lo que se traduce en mayores tasas de satisfacción y retención.</v>
      </c>
    </row>
    <row r="17">
      <c r="A17" s="10" t="s">
        <v>97</v>
      </c>
      <c r="B17" s="12" t="str">
        <f>IFERROR(__xludf.DUMMYFUNCTION("IF(ISBLANK(A17),"""",GOOGLETRANSLATE(A17,""en"",""es""))"),"Más de 500 mil millones de dólares")</f>
        <v>Más de 500 mil millones de dólares</v>
      </c>
    </row>
    <row r="18">
      <c r="A18" s="10" t="s">
        <v>98</v>
      </c>
      <c r="B18" s="12" t="str">
        <f>IFERROR(__xludf.DUMMYFUNCTION("IF(ISBLANK(A18),"""",GOOGLETRANSLATE(A18,""en"",""es""))"),"Activos gestionados a nivel mundial")</f>
        <v>Activos gestionados a nivel mundial</v>
      </c>
    </row>
    <row r="19">
      <c r="A19" s="10" t="s">
        <v>293</v>
      </c>
      <c r="B19" s="12" t="str">
        <f>IFERROR(__xludf.DUMMYFUNCTION("IF(ISBLANK(A19),"""",GOOGLETRANSLATE(A19,""en"",""es""))"),"Más de 350")</f>
        <v>Más de 350</v>
      </c>
    </row>
    <row r="20">
      <c r="A20" s="10" t="s">
        <v>96</v>
      </c>
      <c r="B20" s="12" t="str">
        <f>IFERROR(__xludf.DUMMYFUNCTION("IF(ISBLANK(A20),"""",GOOGLETRANSLATE(A20,""en"",""es""))"),"Implementaciones exitosas")</f>
        <v>Implementaciones exitosas</v>
      </c>
    </row>
    <row r="21">
      <c r="A21" s="10" t="s">
        <v>93</v>
      </c>
      <c r="B21" s="12" t="str">
        <f>IFERROR(__xludf.DUMMYFUNCTION("IF(ISBLANK(A21),"""",GOOGLETRANSLATE(A21,""en"",""es""))"),"Más de 200")</f>
        <v>Más de 200</v>
      </c>
    </row>
    <row r="22">
      <c r="A22" s="10" t="s">
        <v>94</v>
      </c>
      <c r="B22" s="12" t="str">
        <f>IFERROR(__xludf.DUMMYFUNCTION("IF(ISBLANK(A22),"""",GOOGLETRANSLATE(A22,""en"",""es""))"),"Clientes en todo el mundo")</f>
        <v>Clientes en todo el mundo</v>
      </c>
    </row>
    <row r="23">
      <c r="A23" s="10" t="s">
        <v>294</v>
      </c>
      <c r="B23" s="12" t="str">
        <f>IFERROR(__xludf.DUMMYFUNCTION("IF(ISBLANK(A23),"""",GOOGLETRANSLATE(A23,""en"",""es""))"),"Más de 30 años")</f>
        <v>Más de 30 años</v>
      </c>
    </row>
    <row r="24">
      <c r="A24" s="10" t="s">
        <v>295</v>
      </c>
      <c r="B24" s="12" t="str">
        <f>IFERROR(__xludf.DUMMYFUNCTION("IF(ISBLANK(A24),"""",GOOGLETRANSLATE(A24,""en"",""es""))"),"Países atendidos")</f>
        <v>Países atendidos</v>
      </c>
    </row>
    <row r="25">
      <c r="A25" s="10" t="s">
        <v>296</v>
      </c>
      <c r="B25" s="12" t="str">
        <f>IFERROR(__xludf.DUMMYFUNCTION("IF(ISBLANK(A25),"""",GOOGLETRANSLATE(A25,""en"",""es""))"),"Control integral e inteligencia integrada")</f>
        <v>Control integral e inteligencia integrada</v>
      </c>
    </row>
    <row r="26">
      <c r="A26" s="10" t="s">
        <v>319</v>
      </c>
      <c r="B26" s="12" t="str">
        <f>IFERROR(__xludf.DUMMYFUNCTION("IF(ISBLANK(A26),"""",GOOGLETRANSLATE(A26,""en"",""es""))"),"Gestión de solicitudes de crédito")</f>
        <v>Gestión de solicitudes de crédito</v>
      </c>
    </row>
    <row r="27">
      <c r="A27" s="10" t="s">
        <v>320</v>
      </c>
      <c r="B27" s="12" t="str">
        <f>IFERROR(__xludf.DUMMYFUNCTION("IF(ISBLANK(A27),"""",GOOGLETRANSLATE(A27,""en"",""es""))"),"Modifique las reglas de negocio, añada niveles de aprobación y ajuste los requisitos de informes según sus necesidades. Aproveche la flexibilidad de nuestro software de originación de crédito para gestionar cualquier nivel de flujo de trabajo, desde peque"&amp;"ños grupos de usuarios con requisitos limitados hasta grandes empresas con jerarquías y ciclos de aprobación complejos.")</f>
        <v>Modifique las reglas de negocio, añada niveles de aprobación y ajuste los requisitos de informes según sus necesidades. Aproveche la flexibilidad de nuestro software de originación de crédito para gestionar cualquier nivel de flujo de trabajo, desde pequeños grupos de usuarios con requisitos limitados hasta grandes empresas con jerarquías y ciclos de aprobación complejos.</v>
      </c>
    </row>
    <row r="28">
      <c r="A28" s="10" t="s">
        <v>321</v>
      </c>
      <c r="B28" s="12" t="str">
        <f>IFERROR(__xludf.DUMMYFUNCTION("IF(ISBLANK(A28),"""",GOOGLETRANSLATE(A28,""en"",""es""))"),"Comercio minorista digital")</f>
        <v>Comercio minorista digital</v>
      </c>
    </row>
    <row r="29">
      <c r="A29" s="10" t="s">
        <v>322</v>
      </c>
      <c r="B29" s="12" t="str">
        <f>IFERROR(__xludf.DUMMYFUNCTION("IF(ISBLANK(A29),"""",GOOGLETRANSLATE(A29,""en"",""es""))"),"Nuestra plataforma llave en mano para concesionarios que buscan equipos de última generación y software de originación de préstamos para automóviles, les ayuda a dar el salto a la era digital, atendiendo a una variedad de segmentos de clientes con necesid"&amp;"ades en constante evolución al ofrecerles una experiencia de compra y uso de activos integral, omnicanal y sin interrupciones.")</f>
        <v>Nuestra plataforma llave en mano para concesionarios que buscan equipos de última generación y software de originación de préstamos para automóviles, les ayuda a dar el salto a la era digital, atendiendo a una variedad de segmentos de clientes con necesidades en constante evolución al ofrecerles una experiencia de compra y uso de activos integral, omnicanal y sin interrupciones.</v>
      </c>
    </row>
    <row r="30">
      <c r="A30" s="10" t="s">
        <v>323</v>
      </c>
      <c r="B30" s="12" t="str">
        <f>IFERROR(__xludf.DUMMYFUNCTION("IF(ISBLANK(A30),"""",GOOGLETRANSLATE(A30,""en"",""es""))"),"Gestión de flotas")</f>
        <v>Gestión de flotas</v>
      </c>
    </row>
    <row r="31">
      <c r="A31" s="10" t="s">
        <v>324</v>
      </c>
      <c r="B31" s="12" t="str">
        <f>IFERROR(__xludf.DUMMYFUNCTION("IF(ISBLANK(A31),"""",GOOGLETRANSLATE(A31,""en"",""es""))"),"Nuestra tecnología revoluciona la originación de préstamos para la gestión de flotas. Las evaluaciones crediticias impulsadas por IA, la verificación de datos en tiempo real y la perfecta integración con los sistemas financieros garantizan que los gestore"&amp;"s de flotas puedan obtener financiación de forma más rápida y eficiente, lo que facilita una mejor asignación de recursos y la expansión de la flota.")</f>
        <v>Nuestra tecnología revoluciona la originación de préstamos para la gestión de flotas. Las evaluaciones crediticias impulsadas por IA, la verificación de datos en tiempo real y la perfecta integración con los sistemas financieros garantizan que los gestores de flotas puedan obtener financiación de forma más rápida y eficiente, lo que facilita una mejor asignación de recursos y la expansión de la flota.</v>
      </c>
    </row>
    <row r="32">
      <c r="A32" s="10" t="s">
        <v>113</v>
      </c>
      <c r="B32" s="12" t="str">
        <f>IFERROR(__xludf.DUMMYFUNCTION("IF(ISBLANK(A32),"""",GOOGLETRANSLATE(A32,""en"",""es""))"),"Haydock Financial encuentra el éxito con el mercado de NETSOL.")</f>
        <v>Haydock Financial encuentra el éxito con el mercado de NETSOL.</v>
      </c>
    </row>
    <row r="33">
      <c r="A33" s="10" t="s">
        <v>114</v>
      </c>
      <c r="B33" s="12" t="str">
        <f>IFERROR(__xludf.DUMMYFUNCTION("IF(ISBLANK(A33),"""",GOOGLETRANSLATE(A33,""en"",""es""))"),"""Recomendaría sin duda tanto Appex Now como NETSOL. Los productos son excelentes. Funcionan de maravilla. Y NETSOL ha respondido a nuestras necesidades con rapidez. Realizaron cualquier cambio que les solicitamos con celeridad.""")</f>
        <v>"Recomendaría sin duda tanto Appex Now como NETSOL. Los productos son excelentes. Funcionan de maravilla. Y NETSOL ha respondido a nuestras necesidades con rapidez. Realizaron cualquier cambio que les solicitamos con celeridad."</v>
      </c>
    </row>
    <row r="34">
      <c r="A34" s="10" t="s">
        <v>115</v>
      </c>
      <c r="B34" s="12" t="str">
        <f>IFERROR(__xludf.DUMMYFUNCTION("IF(ISBLANK(A34),"""",GOOGLETRANSLATE(A34,""en"",""es""))"),"Mike Boyes")</f>
        <v>Mike Boyes</v>
      </c>
    </row>
    <row r="35">
      <c r="A35" s="10" t="s">
        <v>325</v>
      </c>
      <c r="B35" s="12" t="str">
        <f>IFERROR(__xludf.DUMMYFUNCTION("IF(ISBLANK(A35),"""",GOOGLETRANSLATE(A35,""en"",""es""))"),"Experimente el software de originación de crédito impulsado por IA.")</f>
        <v>Experimente el software de originación de crédito impulsado por IA.</v>
      </c>
    </row>
    <row r="36">
      <c r="A36" s="10" t="s">
        <v>326</v>
      </c>
      <c r="B36" s="12" t="str">
        <f>IFERROR(__xludf.DUMMYFUNCTION("IF(ISBLANK(A36),"""",GOOGLETRANSLATE(A36,""en"",""es""))"),"Nuestro software de originación de préstamos y arrendamientos impulsado por IA permite a los prestamistas anticipar mejor las tendencias del mercado y el comportamiento del consumidor, abriendo nuevas oportunidades en el sector crediticio.")</f>
        <v>Nuestro software de originación de préstamos y arrendamientos impulsado por IA permite a los prestamistas anticipar mejor las tendencias del mercado y el comportamiento del consumidor, abriendo nuevas oportunidades en el sector crediticio.</v>
      </c>
    </row>
    <row r="37">
      <c r="B37" s="12" t="str">
        <f>IFERROR(__xludf.DUMMYFUNCTION("IF(ISBLANK(A37),"""",GOOGLETRANSLATE(A37,""en"",""es""))"),"")</f>
        <v/>
      </c>
    </row>
    <row r="38">
      <c r="A38" s="10" t="s">
        <v>116</v>
      </c>
      <c r="B38" s="12" t="str">
        <f>IFERROR(__xludf.DUMMYFUNCTION("IF(ISBLANK(A38),"""",GOOGLETRANSLATE(A38,""en"",""es""))"),"Lecturas y reflexiones destacadas")</f>
        <v>Lecturas y reflexiones destacadas</v>
      </c>
    </row>
    <row r="39">
      <c r="A39" s="17" t="s">
        <v>117</v>
      </c>
      <c r="B39" s="12" t="str">
        <f>IFERROR(__xludf.DUMMYFUNCTION("IF(ISBLANK(A39),"""",GOOGLETRANSLATE(A39,""en"",""es""))"),"Manténgase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0">
      <c r="A40" s="10" t="s">
        <v>118</v>
      </c>
      <c r="B40" s="12" t="str">
        <f>IFERROR(__xludf.DUMMYFUNCTION("IF(ISBLANK(A40),"""",GOOGLETRANSLATE(A40,""en"",""es""))"),"Blog")</f>
        <v>Blog</v>
      </c>
    </row>
    <row r="41">
      <c r="A41" s="10" t="s">
        <v>119</v>
      </c>
      <c r="B41" s="12" t="str">
        <f>IFERROR(__xludf.DUMMYFUNCTION("IF(ISBLANK(A41),"""",GOOGLETRANSLATE(A41,""en"",""es""))"),"Más allá del DMS: Por qué el futuro de la venta minorista de automóviles se basa en las API")</f>
        <v>Más allá del DMS: Por qué el futuro de la venta minorista de automóviles se basa en las API</v>
      </c>
    </row>
    <row r="42">
      <c r="A42" s="10" t="s">
        <v>36</v>
      </c>
      <c r="B42" s="12" t="str">
        <f>IFERROR(__xludf.DUMMYFUNCTION("IF(ISBLANK(A42),"""",GOOGLETRANSLATE(A42,""en"",""es""))"),"Más información")</f>
        <v>Más información</v>
      </c>
    </row>
    <row r="43">
      <c r="B43" s="12" t="str">
        <f>IFERROR(__xludf.DUMMYFUNCTION("IF(ISBLANK(A43),"""",GOOGLETRANSLATE(A43,""en"",""es""))"),"")</f>
        <v/>
      </c>
    </row>
    <row r="44">
      <c r="A44" s="10" t="s">
        <v>120</v>
      </c>
      <c r="B44" s="12" t="str">
        <f>IFERROR(__xludf.DUMMYFUNCTION("IF(ISBLANK(A44),"""",GOOGLETRANSLATE(A44,""en"",""es""))"),"NETSOL estará presente en la Conferencia y Premios GlobalData Automotive Europe 2025.")</f>
        <v>NETSOL estará presente en la Conferencia y Premios GlobalData Automotive Europe 2025.</v>
      </c>
    </row>
    <row r="45">
      <c r="B45" s="12" t="str">
        <f>IFERROR(__xludf.DUMMYFUNCTION("IF(ISBLANK(A45),"""",GOOGLETRANSLATE(A45,""en"",""es""))"),"")</f>
        <v/>
      </c>
    </row>
    <row r="46">
      <c r="B46" s="12" t="str">
        <f>IFERROR(__xludf.DUMMYFUNCTION("IF(ISBLANK(A46),"""",GOOGLETRANSLATE(A46,""en"",""es""))"),"")</f>
        <v/>
      </c>
    </row>
    <row r="47">
      <c r="A47" s="10" t="s">
        <v>121</v>
      </c>
      <c r="B47" s="12" t="str">
        <f>IFERROR(__xludf.DUMMYFUNCTION("IF(ISBLANK(A47),"""",GOOGLETRANSLATE(A47,""en"",""es""))"),"NETSOL participa en la 25ª Cumbre Anual de Financiación Automotriz: Impulsando el futuro de la financiación automotriz")</f>
        <v>NETSOL participa en la 25ª Cumbre Anual de Financiación Automotriz: Impulsando el futuro de la financiación automotriz</v>
      </c>
    </row>
    <row r="48">
      <c r="B48" s="12" t="str">
        <f>IFERROR(__xludf.DUMMYFUNCTION("IF(ISBLANK(A48),"""",GOOGLETRANSLATE(A48,""en"",""es""))"),"")</f>
        <v/>
      </c>
    </row>
    <row r="49">
      <c r="A49" s="10" t="s">
        <v>118</v>
      </c>
      <c r="B49" s="12" t="str">
        <f>IFERROR(__xludf.DUMMYFUNCTION("IF(ISBLANK(A49),"""",GOOGLETRANSLATE(A49,""en"",""es""))"),"Blog")</f>
        <v>Blog</v>
      </c>
    </row>
    <row r="50">
      <c r="A50" s="10" t="s">
        <v>122</v>
      </c>
      <c r="B50" s="12" t="str">
        <f>IFERROR(__xludf.DUMMYFUNCTION("IF(ISBLANK(A50),"""",GOOGLETRANSLATE(A50,""en"",""es""))"),"NETSOL está presente en Digital Dealer 2025: Impulsando el futuro de la venta minorista de automóviles.")</f>
        <v>NETSOL está presente en Digital Dealer 2025: Impulsando el futuro de la venta minorista de automóviles.</v>
      </c>
    </row>
    <row r="51">
      <c r="B51" s="12" t="str">
        <f>IFERROR(__xludf.DUMMYFUNCTION("IF(ISBLANK(A51),"""",GOOGLETRANSLATE(A51,""en"",""es""))"),"")</f>
        <v/>
      </c>
    </row>
    <row r="52">
      <c r="B52" s="12" t="str">
        <f>IFERROR(__xludf.DUMMYFUNCTION("IF(ISBLANK(A52),"""",GOOGLETRANSLATE(A52,""en"",""es""))"),"")</f>
        <v/>
      </c>
    </row>
    <row r="53">
      <c r="A53" s="13" t="s">
        <v>123</v>
      </c>
      <c r="B53" s="12" t="str">
        <f>IFERROR(__xludf.DUMMYFUNCTION("IF(ISBLANK(A53),"""",GOOGLETRANSLATE(A53,""en"",""es""))"),"La IA en el sector BFSI: revolucionando la gestión de riesgos")</f>
        <v>La IA en el sector BFSI: revolucionando la gestión de riesgos</v>
      </c>
    </row>
    <row r="54">
      <c r="B54" s="12" t="str">
        <f>IFERROR(__xludf.DUMMYFUNCTION("IF(ISBLANK(A54),"""",GOOGLETRANSLATE(A54,""en"",""es""))"),"")</f>
        <v/>
      </c>
    </row>
    <row r="55">
      <c r="B55" s="12" t="str">
        <f>IFERROR(__xludf.DUMMYFUNCTION("IF(ISBLANK(A55),"""",GOOGLETRANSLATE(A55,""en"",""es""))"),"")</f>
        <v/>
      </c>
    </row>
    <row r="56">
      <c r="A56" s="10" t="s">
        <v>124</v>
      </c>
      <c r="B56" s="12" t="str">
        <f>IFERROR(__xludf.DUMMYFUNCTION("IF(ISBLANK(A56),"""",GOOGLETRANSLATE(A56,""en"",""es""))"),"La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7">
      <c r="B57" s="12" t="str">
        <f>IFERROR(__xludf.DUMMYFUNCTION("IF(ISBLANK(A57),"""",GOOGLETRANSLATE(A57,""en"",""es""))"),"")</f>
        <v/>
      </c>
    </row>
    <row r="58">
      <c r="B58" s="12" t="str">
        <f>IFERROR(__xludf.DUMMYFUNCTION("IF(ISBLANK(A58),"""",GOOGLETRANSLATE(A58,""en"",""es""))"),"")</f>
        <v/>
      </c>
    </row>
    <row r="59">
      <c r="A59" s="10" t="s">
        <v>125</v>
      </c>
      <c r="B59" s="12" t="str">
        <f>IFERROR(__xludf.DUMMYFUNCTION("IF(ISBLANK(A59),"""",GOOGLETRANSLATE(A59,""en"",""es""))"),"El verdadero coste de los sistemas desconectados en la venta minorista de automóviles")</f>
        <v>El verdadero coste de los sistemas desconectados en la venta minorista de automóviles</v>
      </c>
    </row>
    <row r="60">
      <c r="B60" s="12" t="str">
        <f>IFERROR(__xludf.DUMMYFUNCTION("IF(ISBLANK(A60),"""",GOOGLETRANSLATE(A60,""en"",""es""))"),"")</f>
        <v/>
      </c>
    </row>
    <row r="61">
      <c r="B61" s="12" t="str">
        <f>IFERROR(__xludf.DUMMYFUNCTION("IF(ISBLANK(A61),"""",GOOGLETRANSLATE(A61,""en"",""es""))"),"")</f>
        <v/>
      </c>
    </row>
    <row r="62">
      <c r="A62" s="10" t="s">
        <v>126</v>
      </c>
      <c r="B62" s="12" t="str">
        <f>IFERROR(__xludf.DUMMYFUNCTION("IF(ISBLANK(A62),"""",GOOGLETRANSLATE(A62,""en"",""es""))"),"Las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3">
      <c r="B63" s="12" t="str">
        <f>IFERROR(__xludf.DUMMYFUNCTION("IF(ISBLANK(A63),"""",GOOGLETRANSLATE(A63,""en"",""es""))"),"")</f>
        <v/>
      </c>
    </row>
    <row r="64">
      <c r="B64" s="12" t="str">
        <f>IFERROR(__xludf.DUMMYFUNCTION("IF(ISBLANK(A64),"""",GOOGLETRANSLATE(A64,""en"",""es""))"),"")</f>
        <v/>
      </c>
    </row>
    <row r="65">
      <c r="A65" s="10" t="s">
        <v>127</v>
      </c>
      <c r="B65" s="12" t="str">
        <f>IFERROR(__xludf.DUMMYFUNCTION("IF(ISBLANK(A65),"""",GOOGLETRANSLATE(A65,""en"",""es""))"),"Lucha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6">
      <c r="B66" s="12" t="str">
        <f>IFERROR(__xludf.DUMMYFUNCTION("IF(ISBLANK(A66),"""",GOOGLETRANSLATE(A66,""en"",""es""))"),"")</f>
        <v/>
      </c>
    </row>
    <row r="67">
      <c r="A67" s="10" t="s">
        <v>130</v>
      </c>
      <c r="B67" s="12" t="str">
        <f>IFERROR(__xludf.DUMMYFUNCTION("IF(ISBLANK(A67),"""",GOOGLETRANSLATE(A67,""en"",""es""))"),"Suscríbase a nuestro boletín para recibir las últimas noticias en su correo electrónico.")</f>
        <v>Suscríbase a nuestro boletín para recibir las últimas noticias en su correo electrónico.</v>
      </c>
    </row>
    <row r="68">
      <c r="A68" s="10" t="s">
        <v>131</v>
      </c>
      <c r="B68" s="12" t="str">
        <f>IFERROR(__xludf.DUMMYFUNCTION("IF(ISBLANK(A68),"""",GOOGLETRANSLATE(A68,""en"",""es""))"),"abc@example.com")</f>
        <v>abc@example.com</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25"/>
  </cols>
  <sheetData>
    <row r="1">
      <c r="A1" s="3" t="s">
        <v>0</v>
      </c>
      <c r="B1" s="3" t="s">
        <v>133</v>
      </c>
    </row>
    <row r="2">
      <c r="A2" s="18" t="s">
        <v>144</v>
      </c>
      <c r="B2" s="12" t="str">
        <f>IFERROR(__xludf.DUMMYFUNCTION("IF(ISBLANK(A2),"""",GOOGLETRANSLATE(A2,""en"",""es""))"),"Servicio")</f>
        <v>Servicio</v>
      </c>
    </row>
    <row r="3">
      <c r="A3" s="10" t="s">
        <v>327</v>
      </c>
      <c r="B3" s="12" t="str">
        <f>IFERROR(__xludf.DUMMYFUNCTION("IF(ISBLANK(A3),"""",GOOGLETRANSLATE(A3,""en"",""es""))"),"Software de administración de préstamos y arrendamientos de última generación")</f>
        <v>Software de administración de préstamos y arrendamientos de última generación</v>
      </c>
    </row>
    <row r="4">
      <c r="A4" s="10" t="s">
        <v>328</v>
      </c>
      <c r="B4" s="12" t="str">
        <f>IFERROR(__xludf.DUMMYFUNCTION("IF(ISBLANK(A4),"""",GOOGLETRANSLATE(A4,""en"",""es""))"),"Diseñada para la precisión y el cumplimiento, la plataforma de NETSOL con inteligencia artificial ofrece claridad y un impacto medible en el cliente en todas las operaciones de préstamos y arrendamientos.")</f>
        <v>Diseñada para la precisión y el cumplimiento, la plataforma de NETSOL con inteligencia artificial ofrece claridad y un impacto medible en el cliente en todas las operaciones de préstamos y arrendamientos.</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185</v>
      </c>
      <c r="B7" s="12" t="str">
        <f>IFERROR(__xludf.DUMMYFUNCTION("IF(ISBLANK(A7),"""",GOOGLETRANSLATE(A7,""en"",""es""))"),"¿Por qué NET SOL?")</f>
        <v>¿Por qué NET SOL?</v>
      </c>
    </row>
    <row r="8">
      <c r="A8" s="10" t="s">
        <v>329</v>
      </c>
      <c r="B8" s="12" t="str">
        <f>IFERROR(__xludf.DUMMYFUNCTION("IF(ISBLANK(A8),"""",GOOGLETRANSLATE(A8,""en"",""es""))"),"Controla fácilmente tu cartera de préstamos y arrendamientos con IA.")</f>
        <v>Controla fácilmente tu cartera de préstamos y arrendamientos con IA.</v>
      </c>
    </row>
    <row r="9">
      <c r="A9" s="10" t="s">
        <v>330</v>
      </c>
      <c r="B9" s="12" t="str">
        <f>IFERROR(__xludf.DUMMYFUNCTION("IF(ISBLANK(A9),"""",GOOGLETRANSLATE(A9,""en"",""es""))"),"Simplifique la supervisión y administración de su cartera de préstamos y arrendamientos con nuestro software de gestión de contratos de arrendamiento. Obtenga información en tiempo real sobre el rendimiento de la cartera, la morosidad y las pérdidas, lo q"&amp;"ue le permitirá una gestión proactiva y una toma de decisiones estratégicas. Nuestro software de gestión de préstamos y arrendamientos es altamente configurable, lo que le permite adaptar los flujos de trabajo, las interfaces de usuario y las funciones a "&amp;"sus necesidades y preferencias específicas.")</f>
        <v>Simplifique la supervisión y administración de su cartera de préstamos y arrendamientos con nuestro software de gestión de contratos de arrendamiento. Obtenga información en tiempo real sobre el rendimiento de la cartera, la morosidad y las pérdidas, lo que le permitirá una gestión proactiva y una toma de decisiones estratégicas. Nuestro software de gestión de préstamos y arrendamientos es altamente configurable, lo que le permite adaptar los flujos de trabajo, las interfaces de usuario y las funciones a sus necesidades y preferencias específicas.</v>
      </c>
    </row>
    <row r="10">
      <c r="A10" s="10" t="s">
        <v>331</v>
      </c>
      <c r="B10" s="12" t="str">
        <f>IFERROR(__xludf.DUMMYFUNCTION("IF(ISBLANK(A10),"""",GOOGLETRANSLATE(A10,""en"",""es""))"),"Perspectivas más profundas")</f>
        <v>Perspectivas más profundas</v>
      </c>
    </row>
    <row r="11">
      <c r="A11" s="10" t="s">
        <v>332</v>
      </c>
      <c r="B11" s="12" t="str">
        <f>IFERROR(__xludf.DUMMYFUNCTION("IF(ISBLANK(A11),"""",GOOGLETRANSLATE(A11,""en"",""es""))"),"Realice un seguimiento del rendimiento de los contratos y obtenga información sobre su cartera de contratos con las capacidades avanzadas de informes y análisis del software de administración de préstamos Transcend.")</f>
        <v>Realice un seguimiento del rendimiento de los contratos y obtenga información sobre su cartera de contratos con las capacidades avanzadas de informes y análisis del software de administración de préstamos Transcend.</v>
      </c>
    </row>
    <row r="12">
      <c r="A12" s="10" t="s">
        <v>333</v>
      </c>
      <c r="B12" s="12" t="str">
        <f>IFERROR(__xludf.DUMMYFUNCTION("IF(ISBLANK(A12),"""",GOOGLETRANSLATE(A12,""en"",""es""))"),"Vista de 360 ​​grados")</f>
        <v>Vista de 360 ​​grados</v>
      </c>
    </row>
    <row r="13">
      <c r="A13" s="10" t="s">
        <v>334</v>
      </c>
      <c r="B13" s="12" t="str">
        <f>IFERROR(__xludf.DUMMYFUNCTION("IF(ISBLANK(A13),"""",GOOGLETRANSLATE(A13,""en"",""es""))"),"Obtenga una visión integral de las cuentas de los clientes, incluyendo el historial de pagos, los saldos y los detalles de las transacciones, todo en tiempo real.")</f>
        <v>Obtenga una visión integral de las cuentas de los clientes, incluyendo el historial de pagos, los saldos y los detalles de las transacciones, todo en tiempo real.</v>
      </c>
    </row>
    <row r="14">
      <c r="A14" s="10" t="s">
        <v>335</v>
      </c>
      <c r="B14" s="12" t="str">
        <f>IFERROR(__xludf.DUMMYFUNCTION("IF(ISBLANK(A14),"""",GOOGLETRANSLATE(A14,""en"",""es""))"),"Mecanismos rigurosos")</f>
        <v>Mecanismos rigurosos</v>
      </c>
    </row>
    <row r="15">
      <c r="A15" s="10" t="s">
        <v>336</v>
      </c>
      <c r="B15" s="12" t="str">
        <f>IFERROR(__xludf.DUMMYFUNCTION("IF(ISBLANK(A15),"""",GOOGLETRANSLATE(A15,""en"",""es""))"),"Benefíciese de sólidas medidas de seguridad, transparencia y cumplimiento con la tecnología inigualable de NETSOL para soluciones de administración de arrendamientos.")</f>
        <v>Benefíciese de sólidas medidas de seguridad, transparencia y cumplimiento con la tecnología inigualable de NETSOL para soluciones de administración de arrendamientos.</v>
      </c>
    </row>
    <row r="16">
      <c r="A16" s="10" t="s">
        <v>337</v>
      </c>
      <c r="B16" s="12" t="str">
        <f>IFERROR(__xludf.DUMMYFUNCTION("IF(ISBLANK(A16),"""",GOOGLETRANSLATE(A16,""en"",""es""))"),"mitigación de riesgos")</f>
        <v>mitigación de riesgos</v>
      </c>
    </row>
    <row r="17">
      <c r="A17" s="10" t="s">
        <v>338</v>
      </c>
      <c r="B17" s="12" t="str">
        <f>IFERROR(__xludf.DUMMYFUNCTION("IF(ISBLANK(A17),"""",GOOGLETRANSLATE(A17,""en"",""es""))"),"Utilice las herramientas de evaluación de riesgos para identificar posibles problemas con antelación, lo que permitirá una gestión y toma de decisiones proactivas.")</f>
        <v>Utilice las herramientas de evaluación de riesgos para identificar posibles problemas con antelación, lo que permitirá una gestión y toma de decisiones proactivas.</v>
      </c>
    </row>
    <row r="18">
      <c r="A18" s="10" t="s">
        <v>97</v>
      </c>
      <c r="B18" s="12" t="str">
        <f>IFERROR(__xludf.DUMMYFUNCTION("IF(ISBLANK(A18),"""",GOOGLETRANSLATE(A18,""en"",""es""))"),"Más de 500 mil millones de dólares")</f>
        <v>Más de 500 mil millones de dólares</v>
      </c>
    </row>
    <row r="19">
      <c r="A19" s="10" t="s">
        <v>98</v>
      </c>
      <c r="B19" s="12" t="str">
        <f>IFERROR(__xludf.DUMMYFUNCTION("IF(ISBLANK(A19),"""",GOOGLETRANSLATE(A19,""en"",""es""))"),"Activos gestionados a nivel mundial")</f>
        <v>Activos gestionados a nivel mundial</v>
      </c>
    </row>
    <row r="20">
      <c r="A20" s="10" t="s">
        <v>293</v>
      </c>
      <c r="B20" s="12" t="str">
        <f>IFERROR(__xludf.DUMMYFUNCTION("IF(ISBLANK(A20),"""",GOOGLETRANSLATE(A20,""en"",""es""))"),"Más de 350")</f>
        <v>Más de 350</v>
      </c>
    </row>
    <row r="21">
      <c r="A21" s="10" t="s">
        <v>96</v>
      </c>
      <c r="B21" s="12" t="str">
        <f>IFERROR(__xludf.DUMMYFUNCTION("IF(ISBLANK(A21),"""",GOOGLETRANSLATE(A21,""en"",""es""))"),"Implementaciones exitosas")</f>
        <v>Implementaciones exitosas</v>
      </c>
    </row>
    <row r="22">
      <c r="A22" s="10" t="s">
        <v>93</v>
      </c>
      <c r="B22" s="12" t="str">
        <f>IFERROR(__xludf.DUMMYFUNCTION("IF(ISBLANK(A22),"""",GOOGLETRANSLATE(A22,""en"",""es""))"),"Más de 200")</f>
        <v>Más de 200</v>
      </c>
    </row>
    <row r="23">
      <c r="A23" s="10" t="s">
        <v>94</v>
      </c>
      <c r="B23" s="12" t="str">
        <f>IFERROR(__xludf.DUMMYFUNCTION("IF(ISBLANK(A23),"""",GOOGLETRANSLATE(A23,""en"",""es""))"),"Clientes en todo el mundo")</f>
        <v>Clientes en todo el mundo</v>
      </c>
    </row>
    <row r="24">
      <c r="A24" s="10" t="s">
        <v>294</v>
      </c>
      <c r="B24" s="12" t="str">
        <f>IFERROR(__xludf.DUMMYFUNCTION("IF(ISBLANK(A24),"""",GOOGLETRANSLATE(A24,""en"",""es""))"),"Más de 30 años")</f>
        <v>Más de 30 años</v>
      </c>
    </row>
    <row r="25">
      <c r="A25" s="10" t="s">
        <v>295</v>
      </c>
      <c r="B25" s="12" t="str">
        <f>IFERROR(__xludf.DUMMYFUNCTION("IF(ISBLANK(A25),"""",GOOGLETRANSLATE(A25,""en"",""es""))"),"Países atendidos")</f>
        <v>Países atendidos</v>
      </c>
    </row>
    <row r="26">
      <c r="A26" s="10" t="s">
        <v>296</v>
      </c>
      <c r="B26" s="12" t="str">
        <f>IFERROR(__xludf.DUMMYFUNCTION("IF(ISBLANK(A26),"""",GOOGLETRANSLATE(A26,""en"",""es""))"),"Control integral e inteligencia integrada")</f>
        <v>Control integral e inteligencia integrada</v>
      </c>
    </row>
    <row r="27">
      <c r="A27" s="10" t="s">
        <v>339</v>
      </c>
      <c r="B27" s="12" t="str">
        <f>IFERROR(__xludf.DUMMYFUNCTION("IF(ISBLANK(A27),"""",GOOGLETRANSLATE(A27,""en"",""es""))"),"Reserva y activación")</f>
        <v>Reserva y activación</v>
      </c>
    </row>
    <row r="28">
      <c r="A28" s="10" t="s">
        <v>340</v>
      </c>
      <c r="B28" s="12" t="str">
        <f>IFERROR(__xludf.DUMMYFUNCTION("IF(ISBLANK(A28),"""",GOOGLETRANSLATE(A28,""en"",""es""))"),"El software de gestión de préstamos de Transcend Finance está diseñado para optimizar los procesos y mejorar la eficiencia, ofreciendo una automatización completa para la reserva y activación de préstamos. Desde contratos de préstamo sencillos hasta estru"&amp;"cturas de arrendamiento complejas, nuestros flujos de trabajo personalizables se adaptan a sus necesidades específicas, garantizando precisión y cumplimiento en cada paso.")</f>
        <v>El software de gestión de préstamos de Transcend Finance está diseñado para optimizar los procesos y mejorar la eficiencia, ofreciendo una automatización completa para la reserva y activación de préstamos. Desde contratos de préstamo sencillos hasta estructuras de arrendamiento complejas, nuestros flujos de trabajo personalizables se adaptan a sus necesidades específicas, garantizando precisión y cumplimiento en cada paso.</v>
      </c>
    </row>
    <row r="29">
      <c r="A29" s="10" t="s">
        <v>36</v>
      </c>
      <c r="B29" s="12" t="str">
        <f>IFERROR(__xludf.DUMMYFUNCTION("IF(ISBLANK(A29),"""",GOOGLETRANSLATE(A29,""en"",""es""))"),"Más información")</f>
        <v>Más información</v>
      </c>
    </row>
    <row r="30">
      <c r="A30" s="10" t="s">
        <v>341</v>
      </c>
      <c r="B30" s="12" t="str">
        <f>IFERROR(__xludf.DUMMYFUNCTION("IF(ISBLANK(A30),"""",GOOGLETRANSLATE(A30,""en"",""es""))"),"cuentas por cobrar")</f>
        <v>cuentas por cobrar</v>
      </c>
    </row>
    <row r="31">
      <c r="A31" s="10" t="s">
        <v>342</v>
      </c>
      <c r="B31" s="12" t="str">
        <f>IFERROR(__xludf.DUMMYFUNCTION("IF(ISBLANK(A31),"""",GOOGLETRANSLATE(A31,""en"",""es""))"),"Gestión de cuentas por cobrar: Perfeccione todo el proceso, desde la generación de facturas hasta el seguimiento de pagos, garantizando precisión y eficiencia en cada etapa. Optimice las operaciones, reduzca los saldos pendientes y mejore la gestión del f"&amp;"lujo de caja con la tecnología segura y escalable de nuestra solución de administración de arrendamientos, que proporciona un control y una visibilidad sin precedentes.")</f>
        <v>Gestión de cuentas por cobrar: Perfeccione todo el proceso, desde la generación de facturas hasta el seguimiento de pagos, garantizando precisión y eficiencia en cada etapa. Optimice las operaciones, reduzca los saldos pendientes y mejore la gestión del flujo de caja con la tecnología segura y escalable de nuestra solución de administración de arrendamientos, que proporciona un control y una visibilidad sin precedentes.</v>
      </c>
    </row>
    <row r="32">
      <c r="B32" s="12" t="str">
        <f>IFERROR(__xludf.DUMMYFUNCTION("IF(ISBLANK(A32),"""",GOOGLETRANSLATE(A32,""en"",""es""))"),"")</f>
        <v/>
      </c>
    </row>
    <row r="33">
      <c r="A33" s="10" t="s">
        <v>343</v>
      </c>
      <c r="B33" s="12" t="str">
        <f>IFERROR(__xludf.DUMMYFUNCTION("IF(ISBLANK(A33),"""",GOOGLETRANSLATE(A33,""en"",""es""))"),"Colecciones")</f>
        <v>Colecciones</v>
      </c>
    </row>
    <row r="34">
      <c r="A34" s="10" t="s">
        <v>344</v>
      </c>
      <c r="B34" s="12" t="str">
        <f>IFERROR(__xludf.DUMMYFUNCTION("IF(ISBLANK(A34),"""",GOOGLETRANSLATE(A34,""en"",""es""))"),"Capacitamos a sus equipos para que gestionen con facilidad las complejidades de la cobranza, automatizando tareas clave y optimizando los flujos de trabajo para lograr la máxima eficacia. Transforme sus operaciones de cobranza, mejore las tasas de recuper"&amp;"ación y garantice el cumplimiento normativo con nuestra tecnología innovadora. La compatibilidad multiplataforma permite a sus equipos de campo acceder a funcionalidades de autoservicio, como la gestión de agendas, la asignación de tareas, la gestión de c"&amp;"olas de trabajo y la geolocalización, lo que garantiza la productividad de su equipo en cualquier lugar y momento.")</f>
        <v>Capacitamos a sus equipos para que gestionen con facilidad las complejidades de la cobranza, automatizando tareas clave y optimizando los flujos de trabajo para lograr la máxima eficacia. Transforme sus operaciones de cobranza, mejore las tasas de recuperación y garantice el cumplimiento normativo con nuestra tecnología innovadora. La compatibilidad multiplataforma permite a sus equipos de campo acceder a funcionalidades de autoservicio, como la gestión de agendas, la asignación de tareas, la gestión de colas de trabajo y la geolocalización, lo que garantiza la productividad de su equipo en cualquier lugar y momento.</v>
      </c>
    </row>
    <row r="35">
      <c r="B35" s="12" t="str">
        <f>IFERROR(__xludf.DUMMYFUNCTION("IF(ISBLANK(A35),"""",GOOGLETRANSLATE(A35,""en"",""es""))"),"")</f>
        <v/>
      </c>
    </row>
    <row r="36">
      <c r="A36" s="10" t="s">
        <v>345</v>
      </c>
      <c r="B36" s="12" t="str">
        <f>IFERROR(__xludf.DUMMYFUNCTION("IF(ISBLANK(A36),"""",GOOGLETRANSLATE(A36,""en"",""es""))"),"Remarketing")</f>
        <v>Remarketing</v>
      </c>
    </row>
    <row r="37">
      <c r="A37" s="10" t="s">
        <v>346</v>
      </c>
      <c r="B37" s="12" t="str">
        <f>IFERROR(__xludf.DUMMYFUNCTION("IF(ISBLANK(A37),"""",GOOGLETRANSLATE(A37,""en"",""es""))"),"Ayudamos a las instituciones financieras a maximizar el valor de sus activos y minimizar las pérdidas. Mediante análisis avanzados y algoritmos basados ​​en IA, identificamos las mejores oportunidades de remarketing, lo que permite contactar directamente "&amp;"con potenciales compradores o arrendatarios. Aproveche nuestras soluciones de vanguardia para optimizar el remarketing.")</f>
        <v>Ayudamos a las instituciones financieras a maximizar el valor de sus activos y minimizar las pérdidas. Mediante análisis avanzados y algoritmos basados ​​en IA, identificamos las mejores oportunidades de remarketing, lo que permite contactar directamente con potenciales compradores o arrendatarios. Aproveche nuestras soluciones de vanguardia para optimizar el remarketing.</v>
      </c>
    </row>
    <row r="38">
      <c r="B38" s="12" t="str">
        <f>IFERROR(__xludf.DUMMYFUNCTION("IF(ISBLANK(A38),"""",GOOGLETRANSLATE(A38,""en"",""es""))"),"")</f>
        <v/>
      </c>
    </row>
    <row r="39">
      <c r="A39" s="10" t="s">
        <v>347</v>
      </c>
      <c r="B39" s="12" t="str">
        <f>IFERROR(__xludf.DUMMYFUNCTION("IF(ISBLANK(A39),"""",GOOGLETRANSLATE(A39,""en"",""es""))"),"Gestión de contratos")</f>
        <v>Gestión de contratos</v>
      </c>
    </row>
    <row r="40">
      <c r="A40" s="10" t="s">
        <v>348</v>
      </c>
      <c r="B40" s="12" t="str">
        <f>IFERROR(__xludf.DUMMYFUNCTION("IF(ISBLANK(A40),"""",GOOGLETRANSLATE(A40,""en"",""es""))"),"El software de gestión de contratos de arrendamiento de Transcend Finance administra contratos de crédito detallados a lo largo de todo su ciclo de vida: desde la preactivación y activación hasta la gestión de clientes, la gestión financiera de activos, l"&amp;"a facturación y cobranza, las finanzas y la contabilidad, la reestructuración y el vencimiento.")</f>
        <v>El software de gestión de contratos de arrendamiento de Transcend Finance administra contratos de crédito detallados a lo largo de todo su ciclo de vida: desde la preactivación y activación hasta la gestión de clientes, la gestión financiera de activos, la facturación y cobranza, las finanzas y la contabilidad, la reestructuración y el vencimiento.</v>
      </c>
    </row>
    <row r="41">
      <c r="B41" s="12" t="str">
        <f>IFERROR(__xludf.DUMMYFUNCTION("IF(ISBLANK(A41),"""",GOOGLETRANSLATE(A41,""en"",""es""))"),"")</f>
        <v/>
      </c>
    </row>
    <row r="42">
      <c r="A42" s="10" t="s">
        <v>349</v>
      </c>
      <c r="B42" s="12" t="str">
        <f>IFERROR(__xludf.DUMMYFUNCTION("IF(ISBLANK(A42),"""",GOOGLETRANSLATE(A42,""en"",""es""))"),"Servicio al cliente")</f>
        <v>Servicio al cliente</v>
      </c>
    </row>
    <row r="43">
      <c r="A43" s="10" t="s">
        <v>350</v>
      </c>
      <c r="B43" s="12" t="str">
        <f>IFERROR(__xludf.DUMMYFUNCTION("IF(ISBLANK(A43),"""",GOOGLETRANSLATE(A43,""en"",""es""))"),"Empodera a tus clientes con soluciones de autoservicio y comodidad en cualquier lugar. Nuestra solución multiplataforma de autoservicio ofrece un portal seguro, disponible las 24 horas, para consultar los detalles del contrato, reducir las consultas entra"&amp;"ntes y agilizar los pagos. Aprovecha las promociones basadas en reglas, los paneles inteligentes y las notificaciones directas en la aplicación para fidelizar a tus clientes y generar nuevas oportunidades de ingresos.")</f>
        <v>Empodera a tus clientes con soluciones de autoservicio y comodidad en cualquier lugar. Nuestra solución multiplataforma de autoservicio ofrece un portal seguro, disponible las 24 horas, para consultar los detalles del contrato, reducir las consultas entrantes y agilizar los pagos. Aprovecha las promociones basadas en reglas, los paneles inteligentes y las notificaciones directas en la aplicación para fidelizar a tus clientes y generar nuevas oportunidades de ingresos.</v>
      </c>
    </row>
    <row r="44">
      <c r="B44" s="12" t="str">
        <f>IFERROR(__xludf.DUMMYFUNCTION("IF(ISBLANK(A44),"""",GOOGLETRANSLATE(A44,""en"",""es""))"),"")</f>
        <v/>
      </c>
    </row>
    <row r="45">
      <c r="A45" s="10" t="s">
        <v>109</v>
      </c>
      <c r="B45" s="12" t="str">
        <f>IFERROR(__xludf.DUMMYFUNCTION("IF(ISBLANK(A45),"""",GOOGLETRANSLATE(A45,""en"",""es""))"),"Ikano Bank obtiene una ventaja competitiva frente a NETSOL.")</f>
        <v>Ikano Bank obtiene una ventaja competitiva frente a NETSOL.</v>
      </c>
    </row>
    <row r="46">
      <c r="A46" s="10" t="s">
        <v>110</v>
      </c>
      <c r="B46" s="12" t="str">
        <f>IFERROR(__xludf.DUMMYFUNCTION("IF(ISBLANK(A46),"""",GOOGLETRANSLATE(A46,""en"",""es""))"),"Nos complace colaborar con NETSOL como nuestro socio estratégico de plataforma. Las soluciones tecnológicas inteligentes de NETSOL gozan de gran reconocimiento en el sector financiero y de arrendamiento, y la implementación de Transcend Finance (anteriorm"&amp;"ente conocida como Ascent) nos permite mantener una ventaja competitiva en el dinámico mercado actual. Gracias a sus potentes motores de configuración, Ascent optimizará nuestros procesos, facilitando la incorporación de nuevos socios y acelerando el lanz"&amp;"amiento de nuevos productos en todos los mercados.")</f>
        <v>Nos complace colaborar con NETSOL como nuestro socio estratégico de plataforma. Las soluciones tecnológicas inteligentes de NETSOL gozan de gran reconocimiento en el sector financiero y de arrendamiento, y la implementación de Transcend Finance (anteriormente conocida como Ascent) nos permite mantener una ventaja competitiva en el dinámico mercado actual. Gracias a sus potentes motores de configuración, Ascent optimizará nuestros procesos, facilitando la incorporación de nuevos socios y acelerando el lanzamiento de nuevos productos en todos los mercados.</v>
      </c>
    </row>
    <row r="47">
      <c r="A47" s="10" t="s">
        <v>112</v>
      </c>
      <c r="B47" s="12" t="str">
        <f>IFERROR(__xludf.DUMMYFUNCTION("IF(ISBLANK(A47),"""",GOOGLETRANSLATE(A47,""en"",""es""))"),"Henrik Staulund Director Comercial de Ikano Bank")</f>
        <v>Henrik Staulund Director Comercial de Ikano Bank</v>
      </c>
    </row>
    <row r="48">
      <c r="A48" s="10" t="s">
        <v>351</v>
      </c>
      <c r="B48" s="12" t="str">
        <f>IFERROR(__xludf.DUMMYFUNCTION("IF(ISBLANK(A48),"""",GOOGLETRANSLATE(A48,""en"",""es""))"),"¿Listo para revolucionar la administración de sus préstamos y arrendamientos?")</f>
        <v>¿Listo para revolucionar la administración de sus préstamos y arrendamientos?</v>
      </c>
    </row>
    <row r="49">
      <c r="A49" s="10" t="s">
        <v>352</v>
      </c>
      <c r="B49" s="12" t="str">
        <f>IFERROR(__xludf.DUMMYFUNCTION("IF(ISBLANK(A49),"""",GOOGLETRANSLATE(A49,""en"",""es""))"),"Explore nuestra plataforma completa o sus soluciones individuales para preparar su negocio para el futuro y obtener una clara ventaja competitiva en el panorama actual en constante evolución.")</f>
        <v>Explore nuestra plataforma completa o sus soluciones individuales para preparar su negocio para el futuro y obtener una clara ventaja competitiva en el panorama actual en constante evolución.</v>
      </c>
    </row>
    <row r="50">
      <c r="B50" s="12" t="str">
        <f>IFERROR(__xludf.DUMMYFUNCTION("IF(ISBLANK(A50),"""",GOOGLETRANSLATE(A50,""en"",""es""))"),"")</f>
        <v/>
      </c>
    </row>
    <row r="51">
      <c r="A51" s="10" t="s">
        <v>116</v>
      </c>
      <c r="B51" s="12" t="str">
        <f>IFERROR(__xludf.DUMMYFUNCTION("IF(ISBLANK(A51),"""",GOOGLETRANSLATE(A51,""en"",""es""))"),"Lecturas y reflexiones destacadas")</f>
        <v>Lecturas y reflexiones destacadas</v>
      </c>
    </row>
    <row r="52">
      <c r="A52" s="17" t="s">
        <v>117</v>
      </c>
      <c r="B52" s="12" t="str">
        <f>IFERROR(__xludf.DUMMYFUNCTION("IF(ISBLANK(A52),"""",GOOGLETRANSLATE(A52,""en"",""es""))"),"Manténgase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53">
      <c r="A53" s="10" t="s">
        <v>118</v>
      </c>
      <c r="B53" s="12" t="str">
        <f>IFERROR(__xludf.DUMMYFUNCTION("IF(ISBLANK(A53),"""",GOOGLETRANSLATE(A53,""en"",""es""))"),"Blog")</f>
        <v>Blog</v>
      </c>
    </row>
    <row r="54">
      <c r="A54" s="10" t="s">
        <v>119</v>
      </c>
      <c r="B54" s="12" t="str">
        <f>IFERROR(__xludf.DUMMYFUNCTION("IF(ISBLANK(A54),"""",GOOGLETRANSLATE(A54,""en"",""es""))"),"Más allá del DMS: Por qué el futuro de la venta minorista de automóviles se basa en las API")</f>
        <v>Más allá del DMS: Por qué el futuro de la venta minorista de automóviles se basa en las API</v>
      </c>
    </row>
    <row r="55">
      <c r="A55" s="10" t="s">
        <v>36</v>
      </c>
      <c r="B55" s="12" t="str">
        <f>IFERROR(__xludf.DUMMYFUNCTION("IF(ISBLANK(A55),"""",GOOGLETRANSLATE(A55,""en"",""es""))"),"Más información")</f>
        <v>Más información</v>
      </c>
    </row>
    <row r="56">
      <c r="B56" s="12" t="str">
        <f>IFERROR(__xludf.DUMMYFUNCTION("IF(ISBLANK(A56),"""",GOOGLETRANSLATE(A56,""en"",""es""))"),"")</f>
        <v/>
      </c>
    </row>
    <row r="57">
      <c r="A57" s="10" t="s">
        <v>120</v>
      </c>
      <c r="B57" s="12" t="str">
        <f>IFERROR(__xludf.DUMMYFUNCTION("IF(ISBLANK(A57),"""",GOOGLETRANSLATE(A57,""en"",""es""))"),"NETSOL estará presente en la Conferencia y Premios GlobalData Automotive Europe 2025.")</f>
        <v>NETSOL estará presente en la Conferencia y Premios GlobalData Automotive Europe 2025.</v>
      </c>
    </row>
    <row r="58">
      <c r="B58" s="12" t="str">
        <f>IFERROR(__xludf.DUMMYFUNCTION("IF(ISBLANK(A58),"""",GOOGLETRANSLATE(A58,""en"",""es""))"),"")</f>
        <v/>
      </c>
    </row>
    <row r="59">
      <c r="B59" s="12" t="str">
        <f>IFERROR(__xludf.DUMMYFUNCTION("IF(ISBLANK(A59),"""",GOOGLETRANSLATE(A59,""en"",""es""))"),"")</f>
        <v/>
      </c>
    </row>
    <row r="60">
      <c r="A60" s="10" t="s">
        <v>121</v>
      </c>
      <c r="B60" s="12" t="str">
        <f>IFERROR(__xludf.DUMMYFUNCTION("IF(ISBLANK(A60),"""",GOOGLETRANSLATE(A60,""en"",""es""))"),"NETSOL participa en la 25ª Cumbre Anual de Financiación Automotriz: Impulsando el futuro de la financiación automotriz")</f>
        <v>NETSOL participa en la 25ª Cumbre Anual de Financiación Automotriz: Impulsando el futuro de la financiación automotriz</v>
      </c>
    </row>
    <row r="61">
      <c r="B61" s="12" t="str">
        <f>IFERROR(__xludf.DUMMYFUNCTION("IF(ISBLANK(A61),"""",GOOGLETRANSLATE(A61,""en"",""es""))"),"")</f>
        <v/>
      </c>
    </row>
    <row r="62">
      <c r="B62" s="12" t="str">
        <f>IFERROR(__xludf.DUMMYFUNCTION("IF(ISBLANK(A62),"""",GOOGLETRANSLATE(A62,""en"",""es""))"),"")</f>
        <v/>
      </c>
    </row>
    <row r="63">
      <c r="A63" s="10" t="s">
        <v>122</v>
      </c>
      <c r="B63" s="12" t="str">
        <f>IFERROR(__xludf.DUMMYFUNCTION("IF(ISBLANK(A63),"""",GOOGLETRANSLATE(A63,""en"",""es""))"),"NETSOL está presente en Digital Dealer 2025: Impulsando el futuro de la venta minorista de automóviles.")</f>
        <v>NETSOL está presente en Digital Dealer 2025: Impulsando el futuro de la venta minorista de automóviles.</v>
      </c>
    </row>
    <row r="64">
      <c r="B64" s="12" t="str">
        <f>IFERROR(__xludf.DUMMYFUNCTION("IF(ISBLANK(A64),"""",GOOGLETRANSLATE(A64,""en"",""es""))"),"")</f>
        <v/>
      </c>
    </row>
    <row r="65">
      <c r="B65" s="12" t="str">
        <f>IFERROR(__xludf.DUMMYFUNCTION("IF(ISBLANK(A65),"""",GOOGLETRANSLATE(A65,""en"",""es""))"),"")</f>
        <v/>
      </c>
    </row>
    <row r="66">
      <c r="A66" s="13" t="s">
        <v>123</v>
      </c>
      <c r="B66" s="12" t="str">
        <f>IFERROR(__xludf.DUMMYFUNCTION("IF(ISBLANK(A66),"""",GOOGLETRANSLATE(A66,""en"",""es""))"),"La IA en el sector BFSI: revolucionando la gestión de riesgos")</f>
        <v>La IA en el sector BFSI: revolucionando la gestión de riesgos</v>
      </c>
    </row>
    <row r="67">
      <c r="B67" s="12" t="str">
        <f>IFERROR(__xludf.DUMMYFUNCTION("IF(ISBLANK(A67),"""",GOOGLETRANSLATE(A67,""en"",""es""))"),"")</f>
        <v/>
      </c>
    </row>
    <row r="68">
      <c r="B68" s="12" t="str">
        <f>IFERROR(__xludf.DUMMYFUNCTION("IF(ISBLANK(A68),"""",GOOGLETRANSLATE(A68,""en"",""es""))"),"")</f>
        <v/>
      </c>
    </row>
    <row r="69">
      <c r="A69" s="10" t="s">
        <v>124</v>
      </c>
      <c r="B69" s="12" t="str">
        <f>IFERROR(__xludf.DUMMYFUNCTION("IF(ISBLANK(A69),"""",GOOGLETRANSLATE(A69,""en"",""es""))"),"La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70">
      <c r="B70" s="12" t="str">
        <f>IFERROR(__xludf.DUMMYFUNCTION("IF(ISBLANK(A70),"""",GOOGLETRANSLATE(A70,""en"",""es""))"),"")</f>
        <v/>
      </c>
    </row>
    <row r="71">
      <c r="B71" s="12" t="str">
        <f>IFERROR(__xludf.DUMMYFUNCTION("IF(ISBLANK(A71),"""",GOOGLETRANSLATE(A71,""en"",""es""))"),"")</f>
        <v/>
      </c>
    </row>
    <row r="72">
      <c r="A72" s="10" t="s">
        <v>125</v>
      </c>
      <c r="B72" s="12" t="str">
        <f>IFERROR(__xludf.DUMMYFUNCTION("IF(ISBLANK(A72),"""",GOOGLETRANSLATE(A72,""en"",""es""))"),"El verdadero coste de los sistemas desconectados en la venta minorista de automóviles")</f>
        <v>El verdadero coste de los sistemas desconectados en la venta minorista de automóviles</v>
      </c>
    </row>
    <row r="73">
      <c r="B73" s="12" t="str">
        <f>IFERROR(__xludf.DUMMYFUNCTION("IF(ISBLANK(A73),"""",GOOGLETRANSLATE(A73,""en"",""es""))"),"")</f>
        <v/>
      </c>
    </row>
    <row r="74">
      <c r="B74" s="12" t="str">
        <f>IFERROR(__xludf.DUMMYFUNCTION("IF(ISBLANK(A74),"""",GOOGLETRANSLATE(A74,""en"",""es""))"),"")</f>
        <v/>
      </c>
    </row>
    <row r="75">
      <c r="A75" s="10" t="s">
        <v>126</v>
      </c>
      <c r="B75" s="12" t="str">
        <f>IFERROR(__xludf.DUMMYFUNCTION("IF(ISBLANK(A75),"""",GOOGLETRANSLATE(A75,""en"",""es""))"),"Las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76">
      <c r="B76" s="12" t="str">
        <f>IFERROR(__xludf.DUMMYFUNCTION("IF(ISBLANK(A76),"""",GOOGLETRANSLATE(A76,""en"",""es""))"),"")</f>
        <v/>
      </c>
    </row>
    <row r="77">
      <c r="B77" s="12" t="str">
        <f>IFERROR(__xludf.DUMMYFUNCTION("IF(ISBLANK(A77),"""",GOOGLETRANSLATE(A77,""en"",""es""))"),"")</f>
        <v/>
      </c>
    </row>
    <row r="78">
      <c r="A78" s="10" t="s">
        <v>127</v>
      </c>
      <c r="B78" s="12" t="str">
        <f>IFERROR(__xludf.DUMMYFUNCTION("IF(ISBLANK(A78),"""",GOOGLETRANSLATE(A78,""en"",""es""))"),"Lucha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9">
      <c r="B79" s="12" t="str">
        <f>IFERROR(__xludf.DUMMYFUNCTION("IF(ISBLANK(A79),"""",GOOGLETRANSLATE(A79,""en"",""es""))"),"")</f>
        <v/>
      </c>
    </row>
    <row r="80">
      <c r="A80" s="10" t="s">
        <v>130</v>
      </c>
      <c r="B80" s="12" t="str">
        <f>IFERROR(__xludf.DUMMYFUNCTION("IF(ISBLANK(A80),"""",GOOGLETRANSLATE(A80,""en"",""es""))"),"Suscríbase a nuestro boletín para recibir las últimas noticias en su correo electrónico.")</f>
        <v>Suscríbase a nuestro boletín para recibir las últimas noticias en su correo electrónico.</v>
      </c>
    </row>
    <row r="81">
      <c r="A81" s="10" t="s">
        <v>131</v>
      </c>
      <c r="B81" s="12" t="str">
        <f>IFERROR(__xludf.DUMMYFUNCTION("IF(ISBLANK(A81),"""",GOOGLETRANSLATE(A81,""en"",""es""))"),"abc@example.com")</f>
        <v>abc@example.com</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75"/>
  </cols>
  <sheetData>
    <row r="1">
      <c r="A1" s="3" t="s">
        <v>0</v>
      </c>
      <c r="B1" s="3" t="s">
        <v>133</v>
      </c>
    </row>
    <row r="2">
      <c r="A2" s="10" t="s">
        <v>146</v>
      </c>
      <c r="B2" s="12" t="str">
        <f>IFERROR(__xludf.DUMMYFUNCTION("IF(ISBLANK(A2),"""",GOOGLETRANSLATE(A2,""en"",""es""))"),"Financiación mayorista")</f>
        <v>Financiación mayorista</v>
      </c>
    </row>
    <row r="3">
      <c r="A3" s="10" t="s">
        <v>353</v>
      </c>
      <c r="B3" s="12" t="str">
        <f>IFERROR(__xludf.DUMMYFUNCTION("IF(ISBLANK(A3),"""",GOOGLETRANSLATE(A3,""en"",""es""))"),"Domina las operaciones financieras mayoristas con IA")</f>
        <v>Domina las operaciones financieras mayoristas con IA</v>
      </c>
    </row>
    <row r="4">
      <c r="A4" s="10" t="s">
        <v>354</v>
      </c>
      <c r="B4" s="12" t="str">
        <f>IFERROR(__xludf.DUMMYFUNCTION("IF(ISBLANK(A4),"""",GOOGLETRANSLATE(A4,""en"",""es""))"),"Obtenga una ventaja competitiva automatizando sin esfuerzo sus operaciones de financiación mayorista y planificación de inventario.")</f>
        <v>Obtenga una ventaja competitiva automatizando sin esfuerzo sus operaciones de financiación mayorista y planificación de inventario.</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185</v>
      </c>
      <c r="B7" s="12" t="str">
        <f>IFERROR(__xludf.DUMMYFUNCTION("IF(ISBLANK(A7),"""",GOOGLETRANSLATE(A7,""en"",""es""))"),"¿Por qué NET SOL?")</f>
        <v>¿Por qué NET SOL?</v>
      </c>
    </row>
    <row r="8">
      <c r="A8" s="10" t="s">
        <v>355</v>
      </c>
      <c r="B8" s="12" t="str">
        <f>IFERROR(__xludf.DUMMYFUNCTION("IF(ISBLANK(A8),"""",GOOGLETRANSLATE(A8,""en"",""es""))"),"Potencia tu cadena de suministro para la financiación mayorista")</f>
        <v>Potencia tu cadena de suministro para la financiación mayorista</v>
      </c>
    </row>
    <row r="9">
      <c r="A9" s="10" t="s">
        <v>356</v>
      </c>
      <c r="B9" s="12" t="str">
        <f>IFERROR(__xludf.DUMMYFUNCTION("IF(ISBLANK(A9),"""",GOOGLETRANSLATE(A9,""en"",""es""))"),"y planos de planta")</f>
        <v>y planos de planta</v>
      </c>
    </row>
    <row r="10">
      <c r="A10" s="10" t="s">
        <v>357</v>
      </c>
      <c r="B10" s="12" t="str">
        <f>IFERROR(__xludf.DUMMYFUNCTION("IF(ISBLANK(A10),"""",GOOGLETRANSLATE(A10,""en"",""es""))"),"Acceda a un software de financiación mayorista de primer nivel y brinde a sus distribuidores, concesionarios y auditores una experiencia de usuario inigualable. Optimice los procesos, gestione el riesgo, reduzca los costos, aumente la participación de los"&amp;" concesionarios y mejore la satisfacción del cliente en la financiación mayorista. Los diseños intuitivos y la automatización personalizada del flujo de trabajo aceleran los procesos al eliminar los cuellos de botella. Los usuarios pueden navegar fácilmen"&amp;"te por la plataforma, lo que mejora la productividad y optimiza las operaciones.")</f>
        <v>Acceda a un software de financiación mayorista de primer nivel y brinde a sus distribuidores, concesionarios y auditores una experiencia de usuario inigualable. Optimice los procesos, gestione el riesgo, reduzca los costos, aumente la participación de los concesionarios y mejore la satisfacción del cliente en la financiación mayorista. Los diseños intuitivos y la automatización personalizada del flujo de trabajo aceleran los procesos al eliminar los cuellos de botella. Los usuarios pueden navegar fácilmente por la plataforma, lo que mejora la productividad y optimiza las operaciones.</v>
      </c>
    </row>
    <row r="11">
      <c r="A11" s="10" t="s">
        <v>358</v>
      </c>
      <c r="B11" s="12" t="str">
        <f>IFERROR(__xludf.DUMMYFUNCTION("IF(ISBLANK(A11),"""",GOOGLETRANSLATE(A11,""en"",""es""))"),"Planificación de planta avanzada")</f>
        <v>Planificación de planta avanzada</v>
      </c>
    </row>
    <row r="12">
      <c r="A12" s="10" t="s">
        <v>359</v>
      </c>
      <c r="B12" s="12" t="str">
        <f>IFERROR(__xludf.DUMMYFUNCTION("IF(ISBLANK(A12),"""",GOOGLETRANSLATE(A12,""en"",""es""))"),"Utilice potentes herramientas de planificación de espacios para una gestión completa del ciclo de vida del contrato, lo que se traduce en inteligencia empresarial en tiempo real y una colaboración mejorada.")</f>
        <v>Utilice potentes herramientas de planificación de espacios para una gestión completa del ciclo de vida del contrato, lo que se traduce en inteligencia empresarial en tiempo real y una colaboración mejorada.</v>
      </c>
    </row>
    <row r="13">
      <c r="A13" s="10" t="s">
        <v>360</v>
      </c>
      <c r="B13" s="12" t="str">
        <f>IFERROR(__xludf.DUMMYFUNCTION("IF(ISBLANK(A13),"""",GOOGLETRANSLATE(A13,""en"",""es""))"),"Soluciones personalizables")</f>
        <v>Soluciones personalizables</v>
      </c>
    </row>
    <row r="14">
      <c r="A14" s="10" t="s">
        <v>361</v>
      </c>
      <c r="B14" s="12" t="str">
        <f>IFERROR(__xludf.DUMMYFUNCTION("IF(ISBLANK(A14),"""",GOOGLETRANSLATE(A14,""en"",""es""))"),"Nuestro sistema es altamente flexible: está diseñado pensando en la configuración y no en el código, lo que permite a los prestamistas adaptar los préstamos a clientes específicos y factores de riesgo.")</f>
        <v>Nuestro sistema es altamente flexible: está diseñado pensando en la configuración y no en el código, lo que permite a los prestamistas adaptar los préstamos a clientes específicos y factores de riesgo.</v>
      </c>
    </row>
    <row r="15">
      <c r="A15" s="10" t="s">
        <v>362</v>
      </c>
      <c r="B15" s="12" t="str">
        <f>IFERROR(__xludf.DUMMYFUNCTION("IF(ISBLANK(A15),"""",GOOGLETRANSLATE(A15,""en"",""es""))"),"Cumplimiento impecable")</f>
        <v>Cumplimiento impecable</v>
      </c>
    </row>
    <row r="16">
      <c r="A16" s="10" t="s">
        <v>363</v>
      </c>
      <c r="B16" s="12" t="str">
        <f>IFERROR(__xludf.DUMMYFUNCTION("IF(ISBLANK(A16),"""",GOOGLETRANSLATE(A16,""en"",""es""))"),"Ofrecemos una experiencia inigualable con una fácil personalización para cumplir con los requisitos fiscales y contables en cualquier jurisdicción, cumpliendo plenamente con todos los requisitos de conformidad.")</f>
        <v>Ofrecemos una experiencia inigualable con una fácil personalización para cumplir con los requisitos fiscales y contables en cualquier jurisdicción, cumpliendo plenamente con todos los requisitos de conformidad.</v>
      </c>
    </row>
    <row r="17">
      <c r="A17" s="10" t="s">
        <v>364</v>
      </c>
      <c r="B17" s="12" t="str">
        <f>IFERROR(__xludf.DUMMYFUNCTION("IF(ISBLANK(A17),"""",GOOGLETRANSLATE(A17,""en"",""es""))"),"Financiación versátil")</f>
        <v>Financiación versátil</v>
      </c>
    </row>
    <row r="18">
      <c r="A18" s="10" t="s">
        <v>365</v>
      </c>
      <c r="B18" s="12" t="str">
        <f>IFERROR(__xludf.DUMMYFUNCTION("IF(ISBLANK(A18),"""",GOOGLETRANSLATE(A18,""en"",""es""))"),"Nuestras soluciones de financiación mayorista admiten tanto financiación con activos como sin ellos. Además, es posible diseñar e integrar fácilmente nuevos productos en el sistema.")</f>
        <v>Nuestras soluciones de financiación mayorista admiten tanto financiación con activos como sin ellos. Además, es posible diseñar e integrar fácilmente nuevos productos en el sistema.</v>
      </c>
    </row>
    <row r="19">
      <c r="A19" s="10" t="s">
        <v>97</v>
      </c>
      <c r="B19" s="12" t="str">
        <f>IFERROR(__xludf.DUMMYFUNCTION("IF(ISBLANK(A19),"""",GOOGLETRANSLATE(A19,""en"",""es""))"),"Más de 500 mil millones de dólares")</f>
        <v>Más de 500 mil millones de dólares</v>
      </c>
    </row>
    <row r="20">
      <c r="A20" s="10" t="s">
        <v>98</v>
      </c>
      <c r="B20" s="12" t="str">
        <f>IFERROR(__xludf.DUMMYFUNCTION("IF(ISBLANK(A20),"""",GOOGLETRANSLATE(A20,""en"",""es""))"),"Activos gestionados a nivel mundial")</f>
        <v>Activos gestionados a nivel mundial</v>
      </c>
    </row>
    <row r="21">
      <c r="A21" s="10" t="s">
        <v>293</v>
      </c>
      <c r="B21" s="12" t="str">
        <f>IFERROR(__xludf.DUMMYFUNCTION("IF(ISBLANK(A21),"""",GOOGLETRANSLATE(A21,""en"",""es""))"),"Más de 350")</f>
        <v>Más de 350</v>
      </c>
    </row>
    <row r="22">
      <c r="A22" s="10" t="s">
        <v>96</v>
      </c>
      <c r="B22" s="12" t="str">
        <f>IFERROR(__xludf.DUMMYFUNCTION("IF(ISBLANK(A22),"""",GOOGLETRANSLATE(A22,""en"",""es""))"),"Implementaciones exitosas")</f>
        <v>Implementaciones exitosas</v>
      </c>
    </row>
    <row r="23">
      <c r="A23" s="10" t="s">
        <v>93</v>
      </c>
      <c r="B23" s="12" t="str">
        <f>IFERROR(__xludf.DUMMYFUNCTION("IF(ISBLANK(A23),"""",GOOGLETRANSLATE(A23,""en"",""es""))"),"Más de 200")</f>
        <v>Más de 200</v>
      </c>
    </row>
    <row r="24">
      <c r="A24" s="10" t="s">
        <v>94</v>
      </c>
      <c r="B24" s="12" t="str">
        <f>IFERROR(__xludf.DUMMYFUNCTION("IF(ISBLANK(A24),"""",GOOGLETRANSLATE(A24,""en"",""es""))"),"Clientes en todo el mundo")</f>
        <v>Clientes en todo el mundo</v>
      </c>
    </row>
    <row r="25">
      <c r="A25" s="10" t="s">
        <v>294</v>
      </c>
      <c r="B25" s="12" t="str">
        <f>IFERROR(__xludf.DUMMYFUNCTION("IF(ISBLANK(A25),"""",GOOGLETRANSLATE(A25,""en"",""es""))"),"Más de 30 años")</f>
        <v>Más de 30 años</v>
      </c>
    </row>
    <row r="26">
      <c r="A26" s="10" t="s">
        <v>295</v>
      </c>
      <c r="B26" s="12" t="str">
        <f>IFERROR(__xludf.DUMMYFUNCTION("IF(ISBLANK(A26),"""",GOOGLETRANSLATE(A26,""en"",""es""))"),"Países atendidos")</f>
        <v>Países atendidos</v>
      </c>
    </row>
    <row r="27">
      <c r="A27" s="10" t="s">
        <v>296</v>
      </c>
      <c r="B27" s="12" t="str">
        <f>IFERROR(__xludf.DUMMYFUNCTION("IF(ISBLANK(A27),"""",GOOGLETRANSLATE(A27,""en"",""es""))"),"Control integral e inteligencia integrada")</f>
        <v>Control integral e inteligencia integrada</v>
      </c>
    </row>
    <row r="28">
      <c r="A28" s="10" t="s">
        <v>366</v>
      </c>
      <c r="B28" s="12" t="str">
        <f>IFERROR(__xludf.DUMMYFUNCTION("IF(ISBLANK(A28),"""",GOOGLETRANSLATE(A28,""en"",""es""))"),"Interfaz entre distribuidor, fabricante de equipo original (OEM) y concesionario")</f>
        <v>Interfaz entre distribuidor, fabricante de equipo original (OEM) y concesionario</v>
      </c>
    </row>
    <row r="29">
      <c r="A29" s="10" t="s">
        <v>367</v>
      </c>
      <c r="B29" s="12" t="str">
        <f>IFERROR(__xludf.DUMMYFUNCTION("IF(ISBLANK(A29),"""",GOOGLETRANSLATE(A29,""en"",""es""))"),"Potencie a sus socios comerciales con un portal que les brinde mayor visibilidad y control sobre sus inventarios, con el mínimo esfuerzo. Los fabricantes de equipos originales (OEM) y los distribuidores pueden consultar el uso de su financiación, el estad"&amp;"o de las existencias y la situación financiera, al tiempo que registran solicitudes de liquidación o reubican activos. Amplíe estas mismas funcionalidades mediante la compatibilidad multiplataforma, lo que permite a los distribuidores consultar el uso de "&amp;"la financiación, gestionar liquidaciones o reubicaciones y realizar un seguimiento de la situación financiera desde cualquier lugar.")</f>
        <v>Potencie a sus socios comerciales con un portal que les brinde mayor visibilidad y control sobre sus inventarios, con el mínimo esfuerzo. Los fabricantes de equipos originales (OEM) y los distribuidores pueden consultar el uso de su financiación, el estado de las existencias y la situación financiera, al tiempo que registran solicitudes de liquidación o reubican activos. Amplíe estas mismas funcionalidades mediante la compatibilidad multiplataforma, lo que permite a los distribuidores consultar el uso de la financiación, gestionar liquidaciones o reubicaciones y realizar un seguimiento de la situación financiera desde cualquier lugar.</v>
      </c>
    </row>
    <row r="30">
      <c r="B30" s="12" t="str">
        <f>IFERROR(__xludf.DUMMYFUNCTION("IF(ISBLANK(A30),"""",GOOGLETRANSLATE(A30,""en"",""es""))"),"")</f>
        <v/>
      </c>
    </row>
    <row r="31">
      <c r="A31" s="10" t="s">
        <v>368</v>
      </c>
      <c r="B31" s="12" t="str">
        <f>IFERROR(__xludf.DUMMYFUNCTION("IF(ISBLANK(A31),"""",GOOGLETRANSLATE(A31,""en"",""es""))"),"Gestión de crédito y riesgos")</f>
        <v>Gestión de crédito y riesgos</v>
      </c>
    </row>
    <row r="32">
      <c r="A32" s="10" t="s">
        <v>369</v>
      </c>
      <c r="B32" s="12" t="str">
        <f>IFERROR(__xludf.DUMMYFUNCTION("IF(ISBLANK(A32),"""",GOOGLETRANSLATE(A32,""en"",""es""))"),"Ofrezca a los concesionarios la flexibilidad de solicitar un límite de crédito para diferentes categorías de activos, así como de supervisar las variaciones y revisiones de los límites de crédito definidos. Permita aumentos temporales en los límites de cr"&amp;"édito basados ​​en campañas impulsadas por los concesionarios; los límites normales se reanudarán automáticamente al finalizar los períodos temporales.")</f>
        <v>Ofrezca a los concesionarios la flexibilidad de solicitar un límite de crédito para diferentes categorías de activos, así como de supervisar las variaciones y revisiones de los límites de crédito definidos. Permita aumentos temporales en los límites de crédito basados ​​en campañas impulsadas por los concesionarios; los límites normales se reanudarán automáticamente al finalizar los períodos temporales.</v>
      </c>
    </row>
    <row r="33">
      <c r="B33" s="12" t="str">
        <f>IFERROR(__xludf.DUMMYFUNCTION("IF(ISBLANK(A33),"""",GOOGLETRANSLATE(A33,""en"",""es""))"),"")</f>
        <v/>
      </c>
    </row>
    <row r="34">
      <c r="A34" s="10" t="s">
        <v>370</v>
      </c>
      <c r="B34" s="12" t="str">
        <f>IFERROR(__xludf.DUMMYFUNCTION("IF(ISBLANK(A34),"""",GOOGLETRANSLATE(A34,""en"",""es""))"),"Procesamiento de préstamos")</f>
        <v>Procesamiento de préstamos</v>
      </c>
    </row>
    <row r="35">
      <c r="A35" s="10" t="s">
        <v>371</v>
      </c>
      <c r="B35" s="12" t="str">
        <f>IFERROR(__xludf.DUMMYFUNCTION("IF(ISBLANK(A35),"""",GOOGLETRANSLATE(A35,""en"",""es""))"),"Gestiona el ciclo de vida de cualquier transacción, desde la captura de información de activos hasta los detalles de crédito y registro de contratos. Crea modelos operativos adaptados a tus necesidades específicas de back-office para reembolsos, cobro de "&amp;"intereses, impuestos sobre activos y cargos por servicio, y aplícalos una vez aprobado el crédito.")</f>
        <v>Gestiona el ciclo de vida de cualquier transacción, desde la captura de información de activos hasta los detalles de crédito y registro de contratos. Crea modelos operativos adaptados a tus necesidades específicas de back-office para reembolsos, cobro de intereses, impuestos sobre activos y cargos por servicio, y aplícalos una vez aprobado el crédito.</v>
      </c>
    </row>
    <row r="36">
      <c r="B36" s="12" t="str">
        <f>IFERROR(__xludf.DUMMYFUNCTION("IF(ISBLANK(A36),"""",GOOGLETRANSLATE(A36,""en"",""es""))"),"")</f>
        <v/>
      </c>
    </row>
    <row r="37">
      <c r="A37" s="10" t="s">
        <v>372</v>
      </c>
      <c r="B37" s="12" t="str">
        <f>IFERROR(__xludf.DUMMYFUNCTION("IF(ISBLANK(A37),"""",GOOGLETRANSLATE(A37,""en"",""es""))"),"Gestión de desembolsos")</f>
        <v>Gestión de desembolsos</v>
      </c>
    </row>
    <row r="38">
      <c r="A38" s="10" t="s">
        <v>373</v>
      </c>
      <c r="B38" s="12" t="str">
        <f>IFERROR(__xludf.DUMMYFUNCTION("IF(ISBLANK(A38),"""",GOOGLETRANSLATE(A38,""en"",""es""))"),"Optimice al máximo el proceso de desembolso, ofreciendo eficiencia, precisión y seguridad en cada etapa. Elimine las tareas manuales y los errores humanos, ya que nuestras avanzadas soluciones mayoristas automatizan los flujos de trabajo de desembolso, ga"&amp;"rantizando pagos puntuales y una asignación óptima de fondos.")</f>
        <v>Optimice al máximo el proceso de desembolso, ofreciendo eficiencia, precisión y seguridad en cada etapa. Elimine las tareas manuales y los errores humanos, ya que nuestras avanzadas soluciones mayoristas automatizan los flujos de trabajo de desembolso, garantizando pagos puntuales y una asignación óptima de fondos.</v>
      </c>
    </row>
    <row r="39">
      <c r="B39" s="12" t="str">
        <f>IFERROR(__xludf.DUMMYFUNCTION("IF(ISBLANK(A39),"""",GOOGLETRANSLATE(A39,""en"",""es""))"),"")</f>
        <v/>
      </c>
    </row>
    <row r="40">
      <c r="A40" s="10" t="s">
        <v>374</v>
      </c>
      <c r="B40" s="12" t="str">
        <f>IFERROR(__xludf.DUMMYFUNCTION("IF(ISBLANK(A40),"""",GOOGLETRANSLATE(A40,""en"",""es""))"),"Liquidación final")</f>
        <v>Liquidación final</v>
      </c>
    </row>
    <row r="41">
      <c r="A41" s="10" t="s">
        <v>375</v>
      </c>
      <c r="B41" s="12" t="str">
        <f>IFERROR(__xludf.DUMMYFUNCTION("IF(ISBLANK(A41),"""",GOOGLETRANSLATE(A41,""en"",""es""))"),"Optimice su proceso de liquidación final con nuestro avanzado software de financiación mayorista, diseñado para mejorar la eficiencia y la precisión en cada transacción. Nuestra solución automatiza la conciliación, procesa las liquidaciones en tiempo real"&amp;" y se integra a la perfección con sus sistemas actuales.")</f>
        <v>Optimice su proceso de liquidación final con nuestro avanzado software de financiación mayorista, diseñado para mejorar la eficiencia y la precisión en cada transacción. Nuestra solución automatiza la conciliación, procesa las liquidaciones en tiempo real y se integra a la perfección con sus sistemas actuales.</v>
      </c>
    </row>
    <row r="42">
      <c r="B42" s="12" t="str">
        <f>IFERROR(__xludf.DUMMYFUNCTION("IF(ISBLANK(A42),"""",GOOGLETRANSLATE(A42,""en"",""es""))"),"")</f>
        <v/>
      </c>
    </row>
    <row r="43">
      <c r="A43" s="10" t="s">
        <v>376</v>
      </c>
      <c r="B43" s="12" t="str">
        <f>IFERROR(__xludf.DUMMYFUNCTION("IF(ISBLANK(A43),"""",GOOGLETRANSLATE(A43,""en"",""es""))"),"Auditoría de existencias de inventario")</f>
        <v>Auditoría de existencias de inventario</v>
      </c>
    </row>
    <row r="44">
      <c r="A44" s="10" t="s">
        <v>377</v>
      </c>
      <c r="B44" s="12" t="str">
        <f>IFERROR(__xludf.DUMMYFUNCTION("IF(ISBLANK(A44),"""",GOOGLETRANSLATE(A44,""en"",""es""))"),"Gestione y controle su inventario con una precisión y velocidad inigualables. Sin procesos manuales y con información en tiempo real, automatice los procedimientos de auditoría, detecte discrepancias al instante y optimice la gestión de existencias para l"&amp;"a financiación de su inventario mayorista. Nuestra aplicación móvil pone el mismo nivel de precisión al alcance de su equipo, permitiendo la programación inmediata, el seguimiento de activos, la verificación fotográfica y el envío rápido de los resultados"&amp;" de las auditorías.")</f>
        <v>Gestione y controle su inventario con una precisión y velocidad inigualables. Sin procesos manuales y con información en tiempo real, automatice los procedimientos de auditoría, detecte discrepancias al instante y optimice la gestión de existencias para la financiación de su inventario mayorista. Nuestra aplicación móvil pone el mismo nivel de precisión al alcance de su equipo, permitiendo la programación inmediata, el seguimiento de activos, la verificación fotográfica y el envío rápido de los resultados de las auditorías.</v>
      </c>
    </row>
    <row r="45">
      <c r="B45" s="12" t="str">
        <f>IFERROR(__xludf.DUMMYFUNCTION("IF(ISBLANK(A45),"""",GOOGLETRANSLATE(A45,""en"",""es""))"),"")</f>
        <v/>
      </c>
    </row>
    <row r="46">
      <c r="A46" s="10" t="s">
        <v>378</v>
      </c>
      <c r="B46" s="12" t="str">
        <f>IFERROR(__xludf.DUMMYFUNCTION("IF(ISBLANK(A46),"""",GOOGLETRANSLATE(A46,""en"",""es""))"),"¿Listo para optimizar sus operaciones de financiación mayorista?")</f>
        <v>¿Listo para optimizar sus operaciones de financiación mayorista?</v>
      </c>
    </row>
    <row r="47">
      <c r="A47" s="10" t="s">
        <v>379</v>
      </c>
      <c r="B47" s="12" t="str">
        <f>IFERROR(__xludf.DUMMYFUNCTION("IF(ISBLANK(A47),"""",GOOGLETRANSLATE(A47,""en"",""es""))"),"Adaptamos las opciones de financiación a las diversas necesidades de concesionarios y prestatarios. Ya sea financiación de inventario, líneas de crédito renovables o préstamos a plazo, nuestra tecnología ofrece soluciones de financiación flexibles que se "&amp;"ajustan a las distintas necesidades empresariales.")</f>
        <v>Adaptamos las opciones de financiación a las diversas necesidades de concesionarios y prestatarios. Ya sea financiación de inventario, líneas de crédito renovables o préstamos a plazo, nuestra tecnología ofrece soluciones de financiación flexibles que se ajustan a las distintas necesidades empresariales.</v>
      </c>
    </row>
    <row r="48">
      <c r="B48" s="12" t="str">
        <f>IFERROR(__xludf.DUMMYFUNCTION("IF(ISBLANK(A48),"""",GOOGLETRANSLATE(A48,""en"",""es""))"),"")</f>
        <v/>
      </c>
    </row>
    <row r="49">
      <c r="A49" s="10" t="s">
        <v>116</v>
      </c>
      <c r="B49" s="12" t="str">
        <f>IFERROR(__xludf.DUMMYFUNCTION("IF(ISBLANK(A49),"""",GOOGLETRANSLATE(A49,""en"",""es""))"),"Lecturas y reflexiones destacadas")</f>
        <v>Lecturas y reflexiones destacadas</v>
      </c>
    </row>
    <row r="50">
      <c r="A50" s="17" t="s">
        <v>117</v>
      </c>
      <c r="B50" s="12" t="str">
        <f>IFERROR(__xludf.DUMMYFUNCTION("IF(ISBLANK(A50),"""",GOOGLETRANSLATE(A50,""en"",""es""))"),"Manténgase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51">
      <c r="A51" s="10" t="s">
        <v>118</v>
      </c>
      <c r="B51" s="12" t="str">
        <f>IFERROR(__xludf.DUMMYFUNCTION("IF(ISBLANK(A51),"""",GOOGLETRANSLATE(A51,""en"",""es""))"),"Blog")</f>
        <v>Blog</v>
      </c>
    </row>
    <row r="52">
      <c r="A52" s="10" t="s">
        <v>119</v>
      </c>
      <c r="B52" s="12" t="str">
        <f>IFERROR(__xludf.DUMMYFUNCTION("IF(ISBLANK(A52),"""",GOOGLETRANSLATE(A52,""en"",""es""))"),"Más allá del DMS: Por qué el futuro de la venta minorista de automóviles se basa en las API")</f>
        <v>Más allá del DMS: Por qué el futuro de la venta minorista de automóviles se basa en las API</v>
      </c>
    </row>
    <row r="53">
      <c r="A53" s="10" t="s">
        <v>36</v>
      </c>
      <c r="B53" s="12" t="str">
        <f>IFERROR(__xludf.DUMMYFUNCTION("IF(ISBLANK(A53),"""",GOOGLETRANSLATE(A53,""en"",""es""))"),"Más información")</f>
        <v>Más información</v>
      </c>
    </row>
    <row r="54">
      <c r="B54" s="12" t="str">
        <f>IFERROR(__xludf.DUMMYFUNCTION("IF(ISBLANK(A54),"""",GOOGLETRANSLATE(A54,""en"",""es""))"),"")</f>
        <v/>
      </c>
    </row>
    <row r="55">
      <c r="A55" s="10" t="s">
        <v>120</v>
      </c>
      <c r="B55" s="12" t="str">
        <f>IFERROR(__xludf.DUMMYFUNCTION("IF(ISBLANK(A55),"""",GOOGLETRANSLATE(A55,""en"",""es""))"),"NETSOL estará presente en la Conferencia y Premios GlobalData Automotive Europe 2025.")</f>
        <v>NETSOL estará presente en la Conferencia y Premios GlobalData Automotive Europe 2025.</v>
      </c>
    </row>
    <row r="56">
      <c r="B56" s="12" t="str">
        <f>IFERROR(__xludf.DUMMYFUNCTION("IF(ISBLANK(A56),"""",GOOGLETRANSLATE(A56,""en"",""es""))"),"")</f>
        <v/>
      </c>
    </row>
    <row r="57">
      <c r="B57" s="12" t="str">
        <f>IFERROR(__xludf.DUMMYFUNCTION("IF(ISBLANK(A57),"""",GOOGLETRANSLATE(A57,""en"",""es""))"),"")</f>
        <v/>
      </c>
    </row>
    <row r="58">
      <c r="A58" s="10" t="s">
        <v>121</v>
      </c>
      <c r="B58" s="12" t="str">
        <f>IFERROR(__xludf.DUMMYFUNCTION("IF(ISBLANK(A58),"""",GOOGLETRANSLATE(A58,""en"",""es""))"),"NETSOL participa en la 25ª Cumbre Anual de Financiación Automotriz: Impulsando el futuro de la financiación automotriz")</f>
        <v>NETSOL participa en la 25ª Cumbre Anual de Financiación Automotriz: Impulsando el futuro de la financiación automotriz</v>
      </c>
    </row>
    <row r="59">
      <c r="B59" s="12" t="str">
        <f>IFERROR(__xludf.DUMMYFUNCTION("IF(ISBLANK(A59),"""",GOOGLETRANSLATE(A59,""en"",""es""))"),"")</f>
        <v/>
      </c>
    </row>
    <row r="60">
      <c r="B60" s="12" t="str">
        <f>IFERROR(__xludf.DUMMYFUNCTION("IF(ISBLANK(A60),"""",GOOGLETRANSLATE(A60,""en"",""es""))"),"")</f>
        <v/>
      </c>
    </row>
    <row r="61">
      <c r="A61" s="10" t="s">
        <v>122</v>
      </c>
      <c r="B61" s="12" t="str">
        <f>IFERROR(__xludf.DUMMYFUNCTION("IF(ISBLANK(A61),"""",GOOGLETRANSLATE(A61,""en"",""es""))"),"NETSOL está presente en Digital Dealer 2025: Impulsando el futuro de la venta minorista de automóviles.")</f>
        <v>NETSOL está presente en Digital Dealer 2025: Impulsando el futuro de la venta minorista de automóviles.</v>
      </c>
    </row>
    <row r="62">
      <c r="B62" s="12" t="str">
        <f>IFERROR(__xludf.DUMMYFUNCTION("IF(ISBLANK(A62),"""",GOOGLETRANSLATE(A62,""en"",""es""))"),"")</f>
        <v/>
      </c>
    </row>
    <row r="63">
      <c r="B63" s="12" t="str">
        <f>IFERROR(__xludf.DUMMYFUNCTION("IF(ISBLANK(A63),"""",GOOGLETRANSLATE(A63,""en"",""es""))"),"")</f>
        <v/>
      </c>
    </row>
    <row r="64">
      <c r="A64" s="13" t="s">
        <v>123</v>
      </c>
      <c r="B64" s="12" t="str">
        <f>IFERROR(__xludf.DUMMYFUNCTION("IF(ISBLANK(A64),"""",GOOGLETRANSLATE(A64,""en"",""es""))"),"La IA en el sector BFSI: revolucionando la gestión de riesgos")</f>
        <v>La IA en el sector BFSI: revolucionando la gestión de riesgos</v>
      </c>
    </row>
    <row r="65">
      <c r="B65" s="12" t="str">
        <f>IFERROR(__xludf.DUMMYFUNCTION("IF(ISBLANK(A65),"""",GOOGLETRANSLATE(A65,""en"",""es""))"),"")</f>
        <v/>
      </c>
    </row>
    <row r="66">
      <c r="B66" s="12" t="str">
        <f>IFERROR(__xludf.DUMMYFUNCTION("IF(ISBLANK(A66),"""",GOOGLETRANSLATE(A66,""en"",""es""))"),"")</f>
        <v/>
      </c>
    </row>
    <row r="67">
      <c r="A67" s="10" t="s">
        <v>124</v>
      </c>
      <c r="B67" s="12" t="str">
        <f>IFERROR(__xludf.DUMMYFUNCTION("IF(ISBLANK(A67),"""",GOOGLETRANSLATE(A67,""en"",""es""))"),"La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8">
      <c r="B68" s="12" t="str">
        <f>IFERROR(__xludf.DUMMYFUNCTION("IF(ISBLANK(A68),"""",GOOGLETRANSLATE(A68,""en"",""es""))"),"")</f>
        <v/>
      </c>
    </row>
    <row r="69">
      <c r="B69" s="12" t="str">
        <f>IFERROR(__xludf.DUMMYFUNCTION("IF(ISBLANK(A69),"""",GOOGLETRANSLATE(A69,""en"",""es""))"),"")</f>
        <v/>
      </c>
    </row>
    <row r="70">
      <c r="A70" s="10" t="s">
        <v>125</v>
      </c>
      <c r="B70" s="12" t="str">
        <f>IFERROR(__xludf.DUMMYFUNCTION("IF(ISBLANK(A70),"""",GOOGLETRANSLATE(A70,""en"",""es""))"),"El verdadero coste de los sistemas desconectados en la venta minorista de automóviles")</f>
        <v>El verdadero coste de los sistemas desconectados en la venta minorista de automóviles</v>
      </c>
    </row>
    <row r="71">
      <c r="B71" s="12" t="str">
        <f>IFERROR(__xludf.DUMMYFUNCTION("IF(ISBLANK(A71),"""",GOOGLETRANSLATE(A71,""en"",""es""))"),"")</f>
        <v/>
      </c>
    </row>
    <row r="72">
      <c r="B72" s="12" t="str">
        <f>IFERROR(__xludf.DUMMYFUNCTION("IF(ISBLANK(A72),"""",GOOGLETRANSLATE(A72,""en"",""es""))"),"")</f>
        <v/>
      </c>
    </row>
    <row r="73">
      <c r="A73" s="10" t="s">
        <v>126</v>
      </c>
      <c r="B73" s="12" t="str">
        <f>IFERROR(__xludf.DUMMYFUNCTION("IF(ISBLANK(A73),"""",GOOGLETRANSLATE(A73,""en"",""es""))"),"Las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74">
      <c r="B74" s="12" t="str">
        <f>IFERROR(__xludf.DUMMYFUNCTION("IF(ISBLANK(A74),"""",GOOGLETRANSLATE(A74,""en"",""es""))"),"")</f>
        <v/>
      </c>
    </row>
    <row r="75">
      <c r="B75" s="12" t="str">
        <f>IFERROR(__xludf.DUMMYFUNCTION("IF(ISBLANK(A75),"""",GOOGLETRANSLATE(A75,""en"",""es""))"),"")</f>
        <v/>
      </c>
    </row>
    <row r="76">
      <c r="A76" s="10" t="s">
        <v>127</v>
      </c>
      <c r="B76" s="12" t="str">
        <f>IFERROR(__xludf.DUMMYFUNCTION("IF(ISBLANK(A76),"""",GOOGLETRANSLATE(A76,""en"",""es""))"),"Lucha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7">
      <c r="B77" s="12" t="str">
        <f>IFERROR(__xludf.DUMMYFUNCTION("IF(ISBLANK(A77),"""",GOOGLETRANSLATE(A77,""en"",""es""))"),"")</f>
        <v/>
      </c>
    </row>
    <row r="78">
      <c r="A78" s="10" t="s">
        <v>130</v>
      </c>
      <c r="B78" s="12" t="str">
        <f>IFERROR(__xludf.DUMMYFUNCTION("IF(ISBLANK(A78),"""",GOOGLETRANSLATE(A78,""en"",""es""))"),"Suscríbase a nuestro boletín para recibir las últimas noticias en su correo electrónico.")</f>
        <v>Suscríbase a nuestro boletín para recibir las últimas noticias en su correo electrónico.</v>
      </c>
    </row>
    <row r="79">
      <c r="A79" s="10" t="s">
        <v>131</v>
      </c>
      <c r="B79" s="12" t="str">
        <f>IFERROR(__xludf.DUMMYFUNCTION("IF(ISBLANK(A79),"""",GOOGLETRANSLATE(A79,""en"",""es""))"),"abc@example.com")</f>
        <v>abc@example.com</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63"/>
  </cols>
  <sheetData>
    <row r="1">
      <c r="A1" s="3" t="s">
        <v>0</v>
      </c>
      <c r="B1" s="3" t="s">
        <v>133</v>
      </c>
    </row>
    <row r="2">
      <c r="A2" s="10" t="s">
        <v>148</v>
      </c>
      <c r="B2" s="12" t="str">
        <f>IFERROR(__xludf.DUMMYFUNCTION("IF(ISBLANK(A2),"""",GOOGLETRANSLATE(A2,""en"",""es""))"),"Soluciones de movilidad")</f>
        <v>Soluciones de movilidad</v>
      </c>
    </row>
    <row r="3">
      <c r="A3" s="10" t="s">
        <v>380</v>
      </c>
      <c r="B3" s="12" t="str">
        <f>IFERROR(__xludf.DUMMYFUNCTION("IF(ISBLANK(A3),"""",GOOGLETRANSLATE(A3,""en"",""es""))"),"Una experiencia de venta minorista centrada en el usuario")</f>
        <v>Una experiencia de venta minorista centrada en el usuario</v>
      </c>
    </row>
    <row r="4">
      <c r="A4" s="10" t="s">
        <v>381</v>
      </c>
      <c r="B4" s="12" t="str">
        <f>IFERROR(__xludf.DUMMYFUNCTION("IF(ISBLANK(A4),"""",GOOGLETRANSLATE(A4,""en"",""es""))"),"Un proceso de compra omnicanal que trasciende las limitaciones de la experiencia tradicional del cliente.")</f>
        <v>Un proceso de compra omnicanal que trasciende las limitaciones de la experiencia tradicional del cliente.</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B7" s="12" t="str">
        <f>IFERROR(__xludf.DUMMYFUNCTION("IF(ISBLANK(A7),"""",GOOGLETRANSLATE(A7,""en"",""es""))"),"")</f>
        <v/>
      </c>
    </row>
    <row r="8">
      <c r="A8" s="10" t="s">
        <v>382</v>
      </c>
      <c r="B8" s="12" t="str">
        <f>IFERROR(__xludf.DUMMYFUNCTION("IF(ISBLANK(A8),"""",GOOGLETRANSLATE(A8,""en"",""es""))"),"Transformando la movilidad con soluciones digitales inteligentes")</f>
        <v>Transformando la movilidad con soluciones digitales inteligentes</v>
      </c>
    </row>
    <row r="9">
      <c r="A9" s="10" t="s">
        <v>383</v>
      </c>
      <c r="B9" s="12" t="str">
        <f>IFERROR(__xludf.DUMMYFUNCTION("IF(ISBLANK(A9),"""",GOOGLETRANSLATE(A9,""en"",""es""))"),"Benefíciese de soluciones inteligentes para la movilidad moderna. Nuestros productos abarcan todas las etapas del proceso de venta y arrendamiento, y buscan superar las limitaciones de las soluciones de movilidad tradicionales. Nuestra biblioteca de herra"&amp;"mientas es ágil, modular y adaptable a empresas de cualquier tamaño. Lo más importante es que son escalables para satisfacer sus necesidades en todo momento. Nuestras soluciones de movilidad están diseñadas para potenciar sus capacidades y se adaptan a su"&amp;"s necesidades específicas.")</f>
        <v>Benefíciese de soluciones inteligentes para la movilidad moderna. Nuestros productos abarcan todas las etapas del proceso de venta y arrendamiento, y buscan superar las limitaciones de las soluciones de movilidad tradicionales. Nuestra biblioteca de herramientas es ágil, modular y adaptable a empresas de cualquier tamaño. Lo más importante es que son escalables para satisfacer sus necesidades en todo momento. Nuestras soluciones de movilidad están diseñadas para potenciar sus capacidades y se adaptan a sus necesidades específicas.</v>
      </c>
    </row>
    <row r="10">
      <c r="A10" s="10" t="s">
        <v>384</v>
      </c>
      <c r="B10" s="12" t="str">
        <f>IFERROR(__xludf.DUMMYFUNCTION("IF(ISBLANK(A10),"""",GOOGLETRANSLATE(A10,""en"",""es""))"),"Cumplimiento sin esfuerzo")</f>
        <v>Cumplimiento sin esfuerzo</v>
      </c>
    </row>
    <row r="11">
      <c r="A11" s="10" t="s">
        <v>385</v>
      </c>
      <c r="B11" s="12" t="str">
        <f>IFERROR(__xludf.DUMMYFUNCTION("IF(ISBLANK(A11),"""",GOOGLETRANSLATE(A11,""en"",""es""))"),"Logre un cumplimiento normativo sin esfuerzo con nuestras soluciones optimizadas e intuitivas.")</f>
        <v>Logre un cumplimiento normativo sin esfuerzo con nuestras soluciones optimizadas e intuitivas.</v>
      </c>
    </row>
    <row r="12">
      <c r="A12" s="10" t="s">
        <v>386</v>
      </c>
      <c r="B12" s="12" t="str">
        <f>IFERROR(__xludf.DUMMYFUNCTION("IF(ISBLANK(A12),"""",GOOGLETRANSLATE(A12,""en"",""es""))"),"Impuestos precisos")</f>
        <v>Impuestos precisos</v>
      </c>
    </row>
    <row r="13">
      <c r="A13" s="10" t="s">
        <v>387</v>
      </c>
      <c r="B13" s="12" t="str">
        <f>IFERROR(__xludf.DUMMYFUNCTION("IF(ISBLANK(A13),"""",GOOGLETRANSLATE(A13,""en"",""es""))"),"Realice de forma instantánea y precisa cálculos complejos y esenciales de impuestos y créditos.")</f>
        <v>Realice de forma instantánea y precisa cálculos complejos y esenciales de impuestos y créditos.</v>
      </c>
    </row>
    <row r="14">
      <c r="A14" s="10" t="s">
        <v>388</v>
      </c>
      <c r="B14" s="12" t="str">
        <f>IFERROR(__xludf.DUMMYFUNCTION("IF(ISBLANK(A14),"""",GOOGLETRANSLATE(A14,""en"",""es""))"),"Automatizar la contabilidad")</f>
        <v>Automatizar la contabilidad</v>
      </c>
    </row>
    <row r="15">
      <c r="A15" s="10" t="s">
        <v>389</v>
      </c>
      <c r="B15" s="12" t="str">
        <f>IFERROR(__xludf.DUMMYFUNCTION("IF(ISBLANK(A15),"""",GOOGLETRANSLATE(A15,""en"",""es""))"),"Automatice tareas contables complejas y mejore la atención al cliente.")</f>
        <v>Automatice tareas contables complejas y mejore la atención al cliente.</v>
      </c>
    </row>
    <row r="16">
      <c r="A16" s="10" t="s">
        <v>390</v>
      </c>
      <c r="B16" s="12" t="str">
        <f>IFERROR(__xludf.DUMMYFUNCTION("IF(ISBLANK(A16),"""",GOOGLETRANSLATE(A16,""en"",""es""))"),"Protección contra el fraude")</f>
        <v>Protección contra el fraude</v>
      </c>
    </row>
    <row r="17">
      <c r="A17" s="10" t="s">
        <v>391</v>
      </c>
      <c r="B17" s="12" t="str">
        <f>IFERROR(__xludf.DUMMYFUNCTION("IF(ISBLANK(A17),"""",GOOGLETRANSLATE(A17,""en"",""es""))"),"Aproveche nuestra protección contra el fraude y nuestro sistema de toma de decisiones crediticias implementados a la perfección.")</f>
        <v>Aproveche nuestra protección contra el fraude y nuestro sistema de toma de decisiones crediticias implementados a la perfección.</v>
      </c>
    </row>
    <row r="18">
      <c r="A18" s="10" t="s">
        <v>97</v>
      </c>
      <c r="B18" s="12" t="str">
        <f>IFERROR(__xludf.DUMMYFUNCTION("IF(ISBLANK(A18),"""",GOOGLETRANSLATE(A18,""en"",""es""))"),"Más de 500 mil millones de dólares")</f>
        <v>Más de 500 mil millones de dólares</v>
      </c>
    </row>
    <row r="19">
      <c r="A19" s="10" t="s">
        <v>98</v>
      </c>
      <c r="B19" s="12" t="str">
        <f>IFERROR(__xludf.DUMMYFUNCTION("IF(ISBLANK(A19),"""",GOOGLETRANSLATE(A19,""en"",""es""))"),"Activos gestionados a nivel mundial")</f>
        <v>Activos gestionados a nivel mundial</v>
      </c>
    </row>
    <row r="20">
      <c r="A20" s="10" t="s">
        <v>293</v>
      </c>
      <c r="B20" s="12" t="str">
        <f>IFERROR(__xludf.DUMMYFUNCTION("IF(ISBLANK(A20),"""",GOOGLETRANSLATE(A20,""en"",""es""))"),"Más de 350")</f>
        <v>Más de 350</v>
      </c>
    </row>
    <row r="21">
      <c r="A21" s="10" t="s">
        <v>96</v>
      </c>
      <c r="B21" s="12" t="str">
        <f>IFERROR(__xludf.DUMMYFUNCTION("IF(ISBLANK(A21),"""",GOOGLETRANSLATE(A21,""en"",""es""))"),"Implementaciones exitosas")</f>
        <v>Implementaciones exitosas</v>
      </c>
    </row>
    <row r="22">
      <c r="A22" s="10" t="s">
        <v>93</v>
      </c>
      <c r="B22" s="12" t="str">
        <f>IFERROR(__xludf.DUMMYFUNCTION("IF(ISBLANK(A22),"""",GOOGLETRANSLATE(A22,""en"",""es""))"),"Más de 200")</f>
        <v>Más de 200</v>
      </c>
    </row>
    <row r="23">
      <c r="A23" s="10" t="s">
        <v>94</v>
      </c>
      <c r="B23" s="12" t="str">
        <f>IFERROR(__xludf.DUMMYFUNCTION("IF(ISBLANK(A23),"""",GOOGLETRANSLATE(A23,""en"",""es""))"),"Clientes en todo el mundo")</f>
        <v>Clientes en todo el mundo</v>
      </c>
    </row>
    <row r="24">
      <c r="A24" s="10" t="s">
        <v>294</v>
      </c>
      <c r="B24" s="12" t="str">
        <f>IFERROR(__xludf.DUMMYFUNCTION("IF(ISBLANK(A24),"""",GOOGLETRANSLATE(A24,""en"",""es""))"),"Más de 30 años")</f>
        <v>Más de 30 años</v>
      </c>
    </row>
    <row r="25">
      <c r="A25" s="10" t="s">
        <v>295</v>
      </c>
      <c r="B25" s="12" t="str">
        <f>IFERROR(__xludf.DUMMYFUNCTION("IF(ISBLANK(A25),"""",GOOGLETRANSLATE(A25,""en"",""es""))"),"Países atendidos")</f>
        <v>Países atendidos</v>
      </c>
    </row>
    <row r="26">
      <c r="A26" s="10" t="s">
        <v>296</v>
      </c>
      <c r="B26" s="12" t="str">
        <f>IFERROR(__xludf.DUMMYFUNCTION("IF(ISBLANK(A26),"""",GOOGLETRANSLATE(A26,""en"",""es""))"),"Control integral e inteligencia integrada")</f>
        <v>Control integral e inteligencia integrada</v>
      </c>
    </row>
    <row r="27">
      <c r="A27" s="10" t="s">
        <v>392</v>
      </c>
      <c r="B27" s="12" t="str">
        <f>IFERROR(__xludf.DUMMYFUNCTION("IF(ISBLANK(A27),"""",GOOGLETRANSLATE(A27,""en"",""es""))"),"Microarrendamiento")</f>
        <v>Microarrendamiento</v>
      </c>
    </row>
    <row r="28">
      <c r="A28" s="10" t="s">
        <v>393</v>
      </c>
      <c r="B28" s="12" t="str">
        <f>IFERROR(__xludf.DUMMYFUNCTION("IF(ISBLANK(A28),"""",GOOGLETRANSLATE(A28,""en"",""es""))"),"Disfrute de agilidad y asequibilidad con nuestras opciones de microarrendamiento, que ofrecen soluciones ágiles, convenientes y rentables para el acceso a vehículos. Las soluciones de microarrendamiento de NETSOL redefinen el acceso a vehículos al proporc"&amp;"ionar soluciones flexibles, asequibles y sostenibles.")</f>
        <v>Disfrute de agilidad y asequibilidad con nuestras opciones de microarrendamiento, que ofrecen soluciones ágiles, convenientes y rentables para el acceso a vehículos. Las soluciones de microarrendamiento de NETSOL redefinen el acceso a vehículos al proporcionar soluciones flexibles, asequibles y sostenibles.</v>
      </c>
    </row>
    <row r="29">
      <c r="B29" s="12" t="str">
        <f>IFERROR(__xludf.DUMMYFUNCTION("IF(ISBLANK(A29),"""",GOOGLETRANSLATE(A29,""en"",""es""))"),"")</f>
        <v/>
      </c>
    </row>
    <row r="30">
      <c r="A30" s="10" t="s">
        <v>394</v>
      </c>
      <c r="B30" s="12" t="str">
        <f>IFERROR(__xludf.DUMMYFUNCTION("IF(ISBLANK(A30),"""",GOOGLETRANSLATE(A30,""en"",""es""))"),"propiedad fraccionada")</f>
        <v>propiedad fraccionada</v>
      </c>
    </row>
    <row r="31">
      <c r="A31" s="10" t="s">
        <v>395</v>
      </c>
      <c r="B31" s="12" t="str">
        <f>IFERROR(__xludf.DUMMYFUNCTION("IF(ISBLANK(A31),"""",GOOGLETRANSLATE(A31,""en"",""es""))"),"Nuestras soluciones de propiedad fraccionada revolucionan el sector de la movilidad al ofrecer la máxima flexibilidad y promover la sostenibilidad. Dé el salto al futuro de la movilidad con las innovadoras soluciones de NETSOL y experimente la libertad y "&amp;"las ventajas de la propiedad fraccionada.")</f>
        <v>Nuestras soluciones de propiedad fraccionada revolucionan el sector de la movilidad al ofrecer la máxima flexibilidad y promover la sostenibilidad. Dé el salto al futuro de la movilidad con las innovadoras soluciones de NETSOL y experimente la libertad y las ventajas de la propiedad fraccionada.</v>
      </c>
    </row>
    <row r="32">
      <c r="B32" s="12" t="str">
        <f>IFERROR(__xludf.DUMMYFUNCTION("IF(ISBLANK(A32),"""",GOOGLETRANSLATE(A32,""en"",""es""))"),"")</f>
        <v/>
      </c>
    </row>
    <row r="33">
      <c r="A33" s="10" t="s">
        <v>396</v>
      </c>
      <c r="B33" s="12" t="str">
        <f>IFERROR(__xludf.DUMMYFUNCTION("IF(ISBLANK(A33),"""",GOOGLETRANSLATE(A33,""en"",""es""))"),"AutoNation Mobility impulsa la participación y la rápida entrada al mercado con NETSOL.")</f>
        <v>AutoNation Mobility impulsa la participación y la rápida entrada al mercado con NETSOL.</v>
      </c>
    </row>
    <row r="34">
      <c r="A34" s="10" t="s">
        <v>397</v>
      </c>
      <c r="B34" s="12" t="str">
        <f>IFERROR(__xludf.DUMMYFUNCTION("IF(ISBLANK(A34),"""",GOOGLETRANSLATE(A34,""en"",""es""))"),"""Nuestra alianza estratégica con NETSOL se alinea perfectamente con nuestros objetivos de innovación y entrada al mercado. El rápido lanzamiento de AutoNation Mobility, apenas seis meses después del inicio de nuestra colaboración, destaca nuestro comprom"&amp;"iso compartido con la innovación continua y la priorización de las necesidades del cliente.""")</f>
        <v>"Nuestra alianza estratégica con NETSOL se alinea perfectamente con nuestros objetivos de innovación y entrada al mercado. El rápido lanzamiento de AutoNation Mobility, apenas seis meses después del inicio de nuestra colaboración, destaca nuestro compromiso compartido con la innovación continua y la priorización de las necesidades del cliente."</v>
      </c>
    </row>
    <row r="35">
      <c r="A35" s="10" t="s">
        <v>398</v>
      </c>
      <c r="B35" s="12" t="str">
        <f>IFERROR(__xludf.DUMMYFUNCTION("IF(ISBLANK(A35),"""",GOOGLETRANSLATE(A35,""en"",""es""))"),"Iván Mihov")</f>
        <v>Iván Mihov</v>
      </c>
    </row>
    <row r="36">
      <c r="A36" s="10" t="s">
        <v>399</v>
      </c>
      <c r="B36" s="12" t="str">
        <f>IFERROR(__xludf.DUMMYFUNCTION("IF(ISBLANK(A36),"""",GOOGLETRANSLATE(A36,""en"",""es""))"),"Vicepresidente de Movilidad en AutoNation Mobility")</f>
        <v>Vicepresidente de Movilidad en AutoNation Mobility</v>
      </c>
    </row>
    <row r="37">
      <c r="A37" s="10" t="s">
        <v>400</v>
      </c>
      <c r="B37" s="12" t="str">
        <f>IFERROR(__xludf.DUMMYFUNCTION("IF(ISBLANK(A37),"""",GOOGLETRANSLATE(A37,""en"",""es""))"),"¿Listo para trascender?")</f>
        <v>¿Listo para trascender?</v>
      </c>
    </row>
    <row r="38">
      <c r="A38" s="10" t="s">
        <v>352</v>
      </c>
      <c r="B38" s="12" t="str">
        <f>IFERROR(__xludf.DUMMYFUNCTION("IF(ISBLANK(A38),"""",GOOGLETRANSLATE(A38,""en"",""es""))"),"Explore nuestra plataforma completa o sus soluciones individuales para preparar su negocio para el futuro y obtener una clara ventaja competitiva en el panorama actual en constante evolución.")</f>
        <v>Explore nuestra plataforma completa o sus soluciones individuales para preparar su negocio para el futuro y obtener una clara ventaja competitiva en el panorama actual en constante evolución.</v>
      </c>
    </row>
    <row r="39">
      <c r="B39" s="12" t="str">
        <f>IFERROR(__xludf.DUMMYFUNCTION("IF(ISBLANK(A39),"""",GOOGLETRANSLATE(A39,""en"",""es""))"),"")</f>
        <v/>
      </c>
    </row>
    <row r="40">
      <c r="A40" s="10" t="s">
        <v>116</v>
      </c>
      <c r="B40" s="12" t="str">
        <f>IFERROR(__xludf.DUMMYFUNCTION("IF(ISBLANK(A40),"""",GOOGLETRANSLATE(A40,""en"",""es""))"),"Lecturas y reflexiones destacadas")</f>
        <v>Lecturas y reflexiones destacadas</v>
      </c>
    </row>
    <row r="41">
      <c r="A41" s="17" t="s">
        <v>117</v>
      </c>
      <c r="B41" s="12" t="str">
        <f>IFERROR(__xludf.DUMMYFUNCTION("IF(ISBLANK(A41),"""",GOOGLETRANSLATE(A41,""en"",""es""))"),"Manténgase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2">
      <c r="A42" s="10" t="s">
        <v>118</v>
      </c>
      <c r="B42" s="12" t="str">
        <f>IFERROR(__xludf.DUMMYFUNCTION("IF(ISBLANK(A42),"""",GOOGLETRANSLATE(A42,""en"",""es""))"),"Blog")</f>
        <v>Blog</v>
      </c>
    </row>
    <row r="43">
      <c r="A43" s="10" t="s">
        <v>119</v>
      </c>
      <c r="B43" s="12" t="str">
        <f>IFERROR(__xludf.DUMMYFUNCTION("IF(ISBLANK(A43),"""",GOOGLETRANSLATE(A43,""en"",""es""))"),"Más allá del DMS: Por qué el futuro de la venta minorista de automóviles se basa en las API")</f>
        <v>Más allá del DMS: Por qué el futuro de la venta minorista de automóviles se basa en las API</v>
      </c>
    </row>
    <row r="44">
      <c r="A44" s="10" t="s">
        <v>36</v>
      </c>
      <c r="B44" s="12" t="str">
        <f>IFERROR(__xludf.DUMMYFUNCTION("IF(ISBLANK(A44),"""",GOOGLETRANSLATE(A44,""en"",""es""))"),"Más información")</f>
        <v>Más información</v>
      </c>
    </row>
    <row r="45">
      <c r="B45" s="12" t="str">
        <f>IFERROR(__xludf.DUMMYFUNCTION("IF(ISBLANK(A45),"""",GOOGLETRANSLATE(A45,""en"",""es""))"),"")</f>
        <v/>
      </c>
    </row>
    <row r="46">
      <c r="A46" s="10" t="s">
        <v>120</v>
      </c>
      <c r="B46" s="12" t="str">
        <f>IFERROR(__xludf.DUMMYFUNCTION("IF(ISBLANK(A46),"""",GOOGLETRANSLATE(A46,""en"",""es""))"),"NETSOL estará presente en la Conferencia y Premios GlobalData Automotive Europe 2025.")</f>
        <v>NETSOL estará presente en la Conferencia y Premios GlobalData Automotive Europe 2025.</v>
      </c>
    </row>
    <row r="47">
      <c r="B47" s="12" t="str">
        <f>IFERROR(__xludf.DUMMYFUNCTION("IF(ISBLANK(A47),"""",GOOGLETRANSLATE(A47,""en"",""es""))"),"")</f>
        <v/>
      </c>
    </row>
    <row r="48">
      <c r="B48" s="12" t="str">
        <f>IFERROR(__xludf.DUMMYFUNCTION("IF(ISBLANK(A48),"""",GOOGLETRANSLATE(A48,""en"",""es""))"),"")</f>
        <v/>
      </c>
    </row>
    <row r="49">
      <c r="A49" s="10" t="s">
        <v>121</v>
      </c>
      <c r="B49" s="12" t="str">
        <f>IFERROR(__xludf.DUMMYFUNCTION("IF(ISBLANK(A49),"""",GOOGLETRANSLATE(A49,""en"",""es""))"),"NETSOL participa en la 25ª Cumbre Anual de Financiación Automotriz: Impulsando el futuro de la financiación automotriz")</f>
        <v>NETSOL participa en la 25ª Cumbre Anual de Financiación Automotriz: Impulsando el futuro de la financiación automotriz</v>
      </c>
    </row>
    <row r="50">
      <c r="B50" s="12" t="str">
        <f>IFERROR(__xludf.DUMMYFUNCTION("IF(ISBLANK(A50),"""",GOOGLETRANSLATE(A50,""en"",""es""))"),"")</f>
        <v/>
      </c>
    </row>
    <row r="51">
      <c r="B51" s="12" t="str">
        <f>IFERROR(__xludf.DUMMYFUNCTION("IF(ISBLANK(A51),"""",GOOGLETRANSLATE(A51,""en"",""es""))"),"")</f>
        <v/>
      </c>
    </row>
    <row r="52">
      <c r="A52" s="10" t="s">
        <v>122</v>
      </c>
      <c r="B52" s="12" t="str">
        <f>IFERROR(__xludf.DUMMYFUNCTION("IF(ISBLANK(A52),"""",GOOGLETRANSLATE(A52,""en"",""es""))"),"NETSOL está presente en Digital Dealer 2025: Impulsando el futuro de la venta minorista de automóviles.")</f>
        <v>NETSOL está presente en Digital Dealer 2025: Impulsando el futuro de la venta minorista de automóviles.</v>
      </c>
    </row>
    <row r="53">
      <c r="B53" s="12" t="str">
        <f>IFERROR(__xludf.DUMMYFUNCTION("IF(ISBLANK(A53),"""",GOOGLETRANSLATE(A53,""en"",""es""))"),"")</f>
        <v/>
      </c>
    </row>
    <row r="54">
      <c r="B54" s="12" t="str">
        <f>IFERROR(__xludf.DUMMYFUNCTION("IF(ISBLANK(A54),"""",GOOGLETRANSLATE(A54,""en"",""es""))"),"")</f>
        <v/>
      </c>
    </row>
    <row r="55">
      <c r="A55" s="13" t="s">
        <v>123</v>
      </c>
      <c r="B55" s="12" t="str">
        <f>IFERROR(__xludf.DUMMYFUNCTION("IF(ISBLANK(A55),"""",GOOGLETRANSLATE(A55,""en"",""es""))"),"La IA en el sector BFSI: revolucionando la gestión de riesgos")</f>
        <v>La IA en el sector BFSI: revolucionando la gestión de riesgos</v>
      </c>
    </row>
    <row r="56">
      <c r="B56" s="12" t="str">
        <f>IFERROR(__xludf.DUMMYFUNCTION("IF(ISBLANK(A56),"""",GOOGLETRANSLATE(A56,""en"",""es""))"),"")</f>
        <v/>
      </c>
    </row>
    <row r="57">
      <c r="B57" s="12" t="str">
        <f>IFERROR(__xludf.DUMMYFUNCTION("IF(ISBLANK(A57),"""",GOOGLETRANSLATE(A57,""en"",""es""))"),"")</f>
        <v/>
      </c>
    </row>
    <row r="58">
      <c r="A58" s="10" t="s">
        <v>124</v>
      </c>
      <c r="B58" s="12" t="str">
        <f>IFERROR(__xludf.DUMMYFUNCTION("IF(ISBLANK(A58),"""",GOOGLETRANSLATE(A58,""en"",""es""))"),"La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9">
      <c r="B59" s="12" t="str">
        <f>IFERROR(__xludf.DUMMYFUNCTION("IF(ISBLANK(A59),"""",GOOGLETRANSLATE(A59,""en"",""es""))"),"")</f>
        <v/>
      </c>
    </row>
    <row r="60">
      <c r="B60" s="12" t="str">
        <f>IFERROR(__xludf.DUMMYFUNCTION("IF(ISBLANK(A60),"""",GOOGLETRANSLATE(A60,""en"",""es""))"),"")</f>
        <v/>
      </c>
    </row>
    <row r="61">
      <c r="A61" s="10" t="s">
        <v>125</v>
      </c>
      <c r="B61" s="12" t="str">
        <f>IFERROR(__xludf.DUMMYFUNCTION("IF(ISBLANK(A61),"""",GOOGLETRANSLATE(A61,""en"",""es""))"),"El verdadero coste de los sistemas desconectados en la venta minorista de automóviles")</f>
        <v>El verdadero coste de los sistemas desconectados en la venta minorista de automóviles</v>
      </c>
    </row>
    <row r="62">
      <c r="B62" s="12" t="str">
        <f>IFERROR(__xludf.DUMMYFUNCTION("IF(ISBLANK(A62),"""",GOOGLETRANSLATE(A62,""en"",""es""))"),"")</f>
        <v/>
      </c>
    </row>
    <row r="63">
      <c r="B63" s="12" t="str">
        <f>IFERROR(__xludf.DUMMYFUNCTION("IF(ISBLANK(A63),"""",GOOGLETRANSLATE(A63,""en"",""es""))"),"")</f>
        <v/>
      </c>
    </row>
    <row r="64">
      <c r="A64" s="10" t="s">
        <v>126</v>
      </c>
      <c r="B64" s="12" t="str">
        <f>IFERROR(__xludf.DUMMYFUNCTION("IF(ISBLANK(A64),"""",GOOGLETRANSLATE(A64,""en"",""es""))"),"Las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5">
      <c r="B65" s="12" t="str">
        <f>IFERROR(__xludf.DUMMYFUNCTION("IF(ISBLANK(A65),"""",GOOGLETRANSLATE(A65,""en"",""es""))"),"")</f>
        <v/>
      </c>
    </row>
    <row r="66">
      <c r="B66" s="12" t="str">
        <f>IFERROR(__xludf.DUMMYFUNCTION("IF(ISBLANK(A66),"""",GOOGLETRANSLATE(A66,""en"",""es""))"),"")</f>
        <v/>
      </c>
    </row>
    <row r="67">
      <c r="A67" s="10" t="s">
        <v>127</v>
      </c>
      <c r="B67" s="12" t="str">
        <f>IFERROR(__xludf.DUMMYFUNCTION("IF(ISBLANK(A67),"""",GOOGLETRANSLATE(A67,""en"",""es""))"),"Lucha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8">
      <c r="B68" s="12" t="str">
        <f>IFERROR(__xludf.DUMMYFUNCTION("IF(ISBLANK(A68),"""",GOOGLETRANSLATE(A68,""en"",""es""))"),"")</f>
        <v/>
      </c>
    </row>
    <row r="69">
      <c r="A69" s="10" t="s">
        <v>130</v>
      </c>
      <c r="B69" s="12" t="str">
        <f>IFERROR(__xludf.DUMMYFUNCTION("IF(ISBLANK(A69),"""",GOOGLETRANSLATE(A69,""en"",""es""))"),"Suscríbase a nuestro boletín para recibir las últimas noticias en su correo electrónico.")</f>
        <v>Suscríbase a nuestro boletín para recibir las últimas noticias en su correo electrónico.</v>
      </c>
    </row>
    <row r="70">
      <c r="A70" s="10" t="s">
        <v>131</v>
      </c>
      <c r="B70" s="12" t="str">
        <f>IFERROR(__xludf.DUMMYFUNCTION("IF(ISBLANK(A70),"""",GOOGLETRANSLATE(A70,""en"",""es""))"),"abc@example.com")</f>
        <v>abc@example.com</v>
      </c>
    </row>
    <row r="71">
      <c r="A71" s="10" t="s">
        <v>132</v>
      </c>
      <c r="B71" s="12" t="str">
        <f>IFERROR(__xludf.DUMMYFUNCTION("IF(ISBLANK(A71),"""",GOOGLETRANSLATE(A71,""en"",""es""))"),"Suscríbete")</f>
        <v>Suscríbete</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8"/>
  </cols>
  <sheetData>
    <row r="1">
      <c r="A1" s="3" t="s">
        <v>0</v>
      </c>
      <c r="B1" s="3" t="s">
        <v>133</v>
      </c>
    </row>
    <row r="2">
      <c r="A2" s="10" t="s">
        <v>401</v>
      </c>
      <c r="B2" s="12" t="str">
        <f>IFERROR(__xludf.DUMMYFUNCTION("IF(ISBLANK(A2),"""",GOOGLETRANSLATE(A2,""en"",""es""))"),"Laboratorios de IA Transcend")</f>
        <v>Laboratorios de IA Transcend</v>
      </c>
    </row>
    <row r="3">
      <c r="A3" s="10" t="s">
        <v>402</v>
      </c>
      <c r="B3" s="12" t="str">
        <f>IFERROR(__xludf.DUMMYFUNCTION("IF(ISBLANK(A3),"""",GOOGLETRANSLATE(A3,""en"",""es""))"),"Transformación empresarial pionera impulsada por la IA")</f>
        <v>Transformación empresarial pionera impulsada por la IA</v>
      </c>
    </row>
    <row r="4">
      <c r="A4" s="10" t="s">
        <v>403</v>
      </c>
      <c r="B4" s="12" t="str">
        <f>IFERROR(__xludf.DUMMYFUNCTION("IF(ISBLANK(A4),"""",GOOGLETRANSLATE(A4,""en"",""es""))"),"Desarrollar una IA práctica y centrada en el ser humano para impulsar resultados empresariales más inteligentes.")</f>
        <v>Desarrollar una IA práctica y centrada en el ser humano para impulsar resultados empresariales más inteligentes.</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185</v>
      </c>
      <c r="B7" s="12" t="str">
        <f>IFERROR(__xludf.DUMMYFUNCTION("IF(ISBLANK(A7),"""",GOOGLETRANSLATE(A7,""en"",""es""))"),"¿Por qué NET SOL?")</f>
        <v>¿Por qué NET SOL?</v>
      </c>
    </row>
    <row r="8">
      <c r="A8" s="10" t="s">
        <v>404</v>
      </c>
      <c r="B8" s="12" t="str">
        <f>IFERROR(__xludf.DUMMYFUNCTION("IF(ISBLANK(A8),"""",GOOGLETRANSLATE(A8,""en"",""es""))"),"Transformar la IA compleja en un valor empresarial claro")</f>
        <v>Transformar la IA compleja en un valor empresarial claro</v>
      </c>
    </row>
    <row r="9">
      <c r="A9" s="10" t="s">
        <v>405</v>
      </c>
      <c r="B9" s="12" t="str">
        <f>IFERROR(__xludf.DUMMYFUNCTION("IF(ISBLANK(A9),"""",GOOGLETRANSLATE(A9,""en"",""es""))"),"Transcend AI Labs es el centro de innovación en IA de NETSOL Technologies que revoluciona la forma en que las empresas aprovechan el poder de la inteligencia artificial. Gracias a modelos de vanguardia, un diseño centrado en el usuario y una profunda expe"&amp;"riencia en el sector, Transcend AI Labs permite a las empresas tomar decisiones más inteligentes, reducir costes y generar nuevas fuentes de ingresos. Lo que distingue a Transcend AI Labs es nuestro compromiso con hacer que la IA sea sencilla, práctica e "&amp;"impactante. Desde la selección del modelo hasta la implementación, cada paso está diseñado para ser fluido e intuitivo, lo que le permite centrarse en lo más importante: tomar decisiones más inteligentes y rápidas.")</f>
        <v>Transcend AI Labs es el centro de innovación en IA de NETSOL Technologies que revoluciona la forma en que las empresas aprovechan el poder de la inteligencia artificial. Gracias a modelos de vanguardia, un diseño centrado en el usuario y una profunda experiencia en el sector, Transcend AI Labs permite a las empresas tomar decisiones más inteligentes, reducir costes y generar nuevas fuentes de ingresos. Lo que distingue a Transcend AI Labs es nuestro compromiso con hacer que la IA sea sencilla, práctica e impactante. Desde la selección del modelo hasta la implementación, cada paso está diseñado para ser fluido e intuitivo, lo que le permite centrarse en lo más importante: tomar decisiones más inteligentes y rápidas.</v>
      </c>
    </row>
    <row r="10">
      <c r="A10" s="10" t="s">
        <v>406</v>
      </c>
      <c r="B10" s="12" t="str">
        <f>IFERROR(__xludf.DUMMYFUNCTION("IF(ISBLANK(A10),"""",GOOGLETRANSLATE(A10,""en"",""es""))"),"Mejora del producto")</f>
        <v>Mejora del producto</v>
      </c>
    </row>
    <row r="11">
      <c r="A11" s="10" t="s">
        <v>407</v>
      </c>
      <c r="B11" s="12" t="str">
        <f>IFERROR(__xludf.DUMMYFUNCTION("IF(ISBLANK(A11),"""",GOOGLETRANSLATE(A11,""en"",""es""))"),"Utilizamos la IA para evolucionar constantemente la plataforma Transcend, mejorando las características, el rendimiento y la funcionalidad para garantizar que usted se mantenga a la vanguardia en un entorno empresarial en constante cambio.")</f>
        <v>Utilizamos la IA para evolucionar constantemente la plataforma Transcend, mejorando las características, el rendimiento y la funcionalidad para garantizar que usted se mantenga a la vanguardia en un entorno empresarial en constante cambio.</v>
      </c>
    </row>
    <row r="12">
      <c r="A12" s="10" t="s">
        <v>408</v>
      </c>
      <c r="B12" s="12" t="str">
        <f>IFERROR(__xludf.DUMMYFUNCTION("IF(ISBLANK(A12),"""",GOOGLETRANSLATE(A12,""en"",""es""))"),"Independiente de la plataforma")</f>
        <v>Independiente de la plataforma</v>
      </c>
    </row>
    <row r="13">
      <c r="A13" s="10" t="s">
        <v>409</v>
      </c>
      <c r="B13" s="12" t="str">
        <f>IFERROR(__xludf.DUMMYFUNCTION("IF(ISBLANK(A13),"""",GOOGLETRANSLATE(A13,""en"",""es""))"),"Nuestras soluciones funcionan a la perfección en cualquier plataforma o pila tecnológica, lo que le brinda la flexibilidad para integrarse sin limitaciones.")</f>
        <v>Nuestras soluciones funcionan a la perfección en cualquier plataforma o pila tecnológica, lo que le brinda la flexibilidad para integrarse sin limitaciones.</v>
      </c>
    </row>
    <row r="14">
      <c r="A14" s="10" t="s">
        <v>410</v>
      </c>
      <c r="B14" s="12" t="str">
        <f>IFERROR(__xludf.DUMMYFUNCTION("IF(ISBLANK(A14),"""",GOOGLETRANSLATE(A14,""en"",""es""))"),"Diseño centrado en el usuario")</f>
        <v>Diseño centrado en el usuario</v>
      </c>
    </row>
    <row r="15">
      <c r="A15" s="10" t="s">
        <v>411</v>
      </c>
      <c r="B15" s="12" t="str">
        <f>IFERROR(__xludf.DUMMYFUNCTION("IF(ISBLANK(A15),"""",GOOGLETRANSLATE(A15,""en"",""es""))"),"Cada solución está construida con interfaces intuitivas y un enfoque en la experiencia del usuario, lo que garantiza una fácil adopción y una interacción significativa.")</f>
        <v>Cada solución está construida con interfaces intuitivas y un enfoque en la experiencia del usuario, lo que garantiza una fácil adopción y una interacción significativa.</v>
      </c>
    </row>
    <row r="16">
      <c r="A16" s="10" t="s">
        <v>412</v>
      </c>
      <c r="B16" s="12" t="str">
        <f>IFERROR(__xludf.DUMMYFUNCTION("IF(ISBLANK(A16),"""",GOOGLETRANSLATE(A16,""en"",""es""))"),"Aumento humano")</f>
        <v>Aumento humano</v>
      </c>
    </row>
    <row r="17">
      <c r="A17" s="10" t="s">
        <v>413</v>
      </c>
      <c r="B17" s="12" t="str">
        <f>IFERROR(__xludf.DUMMYFUNCTION("IF(ISBLANK(A17),"""",GOOGLETRANSLATE(A17,""en"",""es""))"),"No sustituimos la experiencia humana, la mejoramos con IA, capacitando a las personas para tomar decisiones más inteligentes, rápidas y seguras.")</f>
        <v>No sustituimos la experiencia humana, la mejoramos con IA, capacitando a las personas para tomar decisiones más inteligentes, rápidas y seguras.</v>
      </c>
    </row>
    <row r="18">
      <c r="A18" s="10" t="s">
        <v>97</v>
      </c>
      <c r="B18" s="12" t="str">
        <f>IFERROR(__xludf.DUMMYFUNCTION("IF(ISBLANK(A18),"""",GOOGLETRANSLATE(A18,""en"",""es""))"),"Más de 500 mil millones de dólares")</f>
        <v>Más de 500 mil millones de dólares</v>
      </c>
    </row>
    <row r="19">
      <c r="A19" s="10" t="s">
        <v>98</v>
      </c>
      <c r="B19" s="12" t="str">
        <f>IFERROR(__xludf.DUMMYFUNCTION("IF(ISBLANK(A19),"""",GOOGLETRANSLATE(A19,""en"",""es""))"),"Activos gestionados a nivel mundial")</f>
        <v>Activos gestionados a nivel mundial</v>
      </c>
    </row>
    <row r="20">
      <c r="A20" s="10" t="s">
        <v>293</v>
      </c>
      <c r="B20" s="12" t="str">
        <f>IFERROR(__xludf.DUMMYFUNCTION("IF(ISBLANK(A20),"""",GOOGLETRANSLATE(A20,""en"",""es""))"),"Más de 350")</f>
        <v>Más de 350</v>
      </c>
    </row>
    <row r="21">
      <c r="A21" s="10" t="s">
        <v>96</v>
      </c>
      <c r="B21" s="12" t="str">
        <f>IFERROR(__xludf.DUMMYFUNCTION("IF(ISBLANK(A21),"""",GOOGLETRANSLATE(A21,""en"",""es""))"),"Implementaciones exitosas")</f>
        <v>Implementaciones exitosas</v>
      </c>
    </row>
    <row r="22">
      <c r="A22" s="10" t="s">
        <v>93</v>
      </c>
      <c r="B22" s="12" t="str">
        <f>IFERROR(__xludf.DUMMYFUNCTION("IF(ISBLANK(A22),"""",GOOGLETRANSLATE(A22,""en"",""es""))"),"Más de 200")</f>
        <v>Más de 200</v>
      </c>
    </row>
    <row r="23">
      <c r="A23" s="10" t="s">
        <v>94</v>
      </c>
      <c r="B23" s="12" t="str">
        <f>IFERROR(__xludf.DUMMYFUNCTION("IF(ISBLANK(A23),"""",GOOGLETRANSLATE(A23,""en"",""es""))"),"Clientes en todo el mundo")</f>
        <v>Clientes en todo el mundo</v>
      </c>
    </row>
    <row r="24">
      <c r="A24" s="10" t="s">
        <v>294</v>
      </c>
      <c r="B24" s="12" t="str">
        <f>IFERROR(__xludf.DUMMYFUNCTION("IF(ISBLANK(A24),"""",GOOGLETRANSLATE(A24,""en"",""es""))"),"Más de 30 años")</f>
        <v>Más de 30 años</v>
      </c>
    </row>
    <row r="25">
      <c r="A25" s="10" t="s">
        <v>295</v>
      </c>
      <c r="B25" s="12" t="str">
        <f>IFERROR(__xludf.DUMMYFUNCTION("IF(ISBLANK(A25),"""",GOOGLETRANSLATE(A25,""en"",""es""))"),"Países atendidos")</f>
        <v>Países atendidos</v>
      </c>
    </row>
    <row r="26">
      <c r="A26" s="10" t="s">
        <v>414</v>
      </c>
      <c r="B26" s="12" t="str">
        <f>IFERROR(__xludf.DUMMYFUNCTION("IF(ISBLANK(A26),"""",GOOGLETRANSLATE(A26,""en"",""es""))"),"Colabore con Transcend AI Labs en iniciativas de IA que aporten valor real.")</f>
        <v>Colabore con Transcend AI Labs en iniciativas de IA que aporten valor real.</v>
      </c>
    </row>
    <row r="27">
      <c r="A27" s="10" t="s">
        <v>415</v>
      </c>
      <c r="B27" s="12" t="str">
        <f>IFERROR(__xludf.DUMMYFUNCTION("IF(ISBLANK(A27),"""",GOOGLETRANSLATE(A27,""en"",""es""))"),"Experiencia sectorial a medida")</f>
        <v>Experiencia sectorial a medida</v>
      </c>
    </row>
    <row r="28">
      <c r="A28" s="10" t="s">
        <v>416</v>
      </c>
      <c r="B28" s="12" t="str">
        <f>IFERROR(__xludf.DUMMYFUNCTION("IF(ISBLANK(A28),"""",GOOGLETRANSLATE(A28,""en"",""es""))"),"Nos especializamos en implementaciones de IA específicas para cada sector, adaptándonos a sus casos de uso y eligiendo los mejores servicios de IA, desde la generación de contenido hasta el análisis predictivo; todo ello optimizado para su entorno empresa"&amp;"rial único y adaptado a su sector.")</f>
        <v>Nos especializamos en implementaciones de IA específicas para cada sector, adaptándonos a sus casos de uso y eligiendo los mejores servicios de IA, desde la generación de contenido hasta el análisis predictivo; todo ello optimizado para su entorno empresarial único y adaptado a su sector.</v>
      </c>
    </row>
    <row r="29">
      <c r="A29" s="10" t="s">
        <v>417</v>
      </c>
      <c r="B29" s="12" t="str">
        <f>IFERROR(__xludf.DUMMYFUNCTION("IF(ISBLANK(A29),"""",GOOGLETRANSLATE(A29,""en"",""es""))"),"Independencia de plataforma")</f>
        <v>Independencia de plataforma</v>
      </c>
    </row>
    <row r="30">
      <c r="A30" s="10" t="s">
        <v>418</v>
      </c>
      <c r="B30" s="12" t="str">
        <f>IFERROR(__xludf.DUMMYFUNCTION("IF(ISBLANK(A30),"""",GOOGLETRANSLATE(A30,""en"",""es""))"),"Libertad para innovar a tu manera. Implementa soluciones en la infraestructura que prefieras: local, en cualquier plataforma en la nube o incluso con software de código abierto. Sin ataduras a proveedores.")</f>
        <v>Libertad para innovar a tu manera. Implementa soluciones en la infraestructura que prefieras: local, en cualquier plataforma en la nube o incluso con software de código abierto. Sin ataduras a proveedores.</v>
      </c>
    </row>
    <row r="31">
      <c r="B31" s="12" t="str">
        <f>IFERROR(__xludf.DUMMYFUNCTION("IF(ISBLANK(A31),"""",GOOGLETRANSLATE(A31,""en"",""es""))"),"")</f>
        <v/>
      </c>
    </row>
    <row r="32">
      <c r="A32" s="10" t="s">
        <v>419</v>
      </c>
      <c r="B32" s="12" t="str">
        <f>IFERROR(__xludf.DUMMYFUNCTION("IF(ISBLANK(A32),"""",GOOGLETRANSLATE(A32,""en"",""es""))"),"Control de datos para empresas")</f>
        <v>Control de datos para empresas</v>
      </c>
    </row>
    <row r="33">
      <c r="A33" s="10" t="s">
        <v>420</v>
      </c>
      <c r="B33" s="12" t="str">
        <f>IFERROR(__xludf.DUMMYFUNCTION("IF(ISBLANK(A33),"""",GOOGLETRANSLATE(A33,""en"",""es""))"),"Tus datos, tus reglas. Implementa la plataforma de IA en tus instalaciones o en tu nube privada para un control total sobre los datos y el cumplimiento normativo, satisfaciendo las necesidades de seguridad y gobernanza en cada paso del proceso.")</f>
        <v>Tus datos, tus reglas. Implementa la plataforma de IA en tus instalaciones o en tu nube privada para un control total sobre los datos y el cumplimiento normativo, satisfaciendo las necesidades de seguridad y gobernanza en cada paso del proceso.</v>
      </c>
    </row>
    <row r="34">
      <c r="B34" s="12" t="str">
        <f>IFERROR(__xludf.DUMMYFUNCTION("IF(ISBLANK(A34),"""",GOOGLETRANSLATE(A34,""en"",""es""))"),"")</f>
        <v/>
      </c>
    </row>
    <row r="35">
      <c r="A35" s="10" t="s">
        <v>421</v>
      </c>
      <c r="B35" s="12" t="str">
        <f>IFERROR(__xludf.DUMMYFUNCTION("IF(ISBLANK(A35),"""",GOOGLETRANSLATE(A35,""en"",""es""))"),"Precisión con intervención humana")</f>
        <v>Precisión con intervención humana</v>
      </c>
    </row>
    <row r="36">
      <c r="A36" s="10" t="s">
        <v>422</v>
      </c>
      <c r="B36" s="12" t="str">
        <f>IFERROR(__xludf.DUMMYFUNCTION("IF(ISBLANK(A36),"""",GOOGLETRANSLATE(A36,""en"",""es""))"),"Logre la velocidad impulsada por la IA con la precisión de la supervisión humana en los puntos de decisión más críticos, garantizando la rendición de cuentas y la exactitud.")</f>
        <v>Logre la velocidad impulsada por la IA con la precisión de la supervisión humana en los puntos de decisión más críticos, garantizando la rendición de cuentas y la exactitud.</v>
      </c>
    </row>
    <row r="37">
      <c r="B37" s="12" t="str">
        <f>IFERROR(__xludf.DUMMYFUNCTION("IF(ISBLANK(A37),"""",GOOGLETRANSLATE(A37,""en"",""es""))"),"")</f>
        <v/>
      </c>
    </row>
    <row r="38">
      <c r="A38" s="10" t="s">
        <v>423</v>
      </c>
      <c r="B38" s="12" t="str">
        <f>IFERROR(__xludf.DUMMYFUNCTION("IF(ISBLANK(A38),"""",GOOGLETRANSLATE(A38,""en"",""es""))"),"Integración plug-and-play")</f>
        <v>Integración plug-and-play</v>
      </c>
    </row>
    <row r="39">
      <c r="A39" s="10" t="s">
        <v>424</v>
      </c>
      <c r="B39" s="12" t="str">
        <f>IFERROR(__xludf.DUMMYFUNCTION("IF(ISBLANK(A39),"""",GOOGLETRANSLATE(A39,""en"",""es""))"),"Comience rápidamente con mínimas interrupciones. Integre nuestros módulos de IA con sus sistemas y software existentes para aprovechar las capacidades de la IA y ver un impacto inmediato sin necesidad de renovar su infraestructura de TI.")</f>
        <v>Comience rápidamente con mínimas interrupciones. Integre nuestros módulos de IA con sus sistemas y software existentes para aprovechar las capacidades de la IA y ver un impacto inmediato sin necesidad de renovar su infraestructura de TI.</v>
      </c>
    </row>
    <row r="40">
      <c r="B40" s="12" t="str">
        <f>IFERROR(__xludf.DUMMYFUNCTION("IF(ISBLANK(A40),"""",GOOGLETRANSLATE(A40,""en"",""es""))"),"")</f>
        <v/>
      </c>
    </row>
    <row r="41">
      <c r="A41" s="10" t="s">
        <v>425</v>
      </c>
      <c r="B41" s="12" t="str">
        <f>IFERROR(__xludf.DUMMYFUNCTION("IF(ISBLANK(A41),"""",GOOGLETRANSLATE(A41,""en"",""es""))"),"Escalabilidad y preparación para el futuro")</f>
        <v>Escalabilidad y preparación para el futuro</v>
      </c>
    </row>
    <row r="42">
      <c r="A42" s="10" t="s">
        <v>426</v>
      </c>
      <c r="B42" s="12" t="str">
        <f>IFERROR(__xludf.DUMMYFUNCTION("IF(ISBLANK(A42),"""",GOOGLETRANSLATE(A42,""en"",""es""))"),"Nuestras soluciones se adaptan al crecimiento de su negocio. A medida que evolucionan sus necesidades, Transcend AI Labs escala sus implementaciones de IA, garantizando eficiencia, precisión y fluidez en sus operaciones e innovaciones.")</f>
        <v>Nuestras soluciones se adaptan al crecimiento de su negocio. A medida que evolucionan sus necesidades, Transcend AI Labs escala sus implementaciones de IA, garantizando eficiencia, precisión y fluidez en sus operaciones e innovaciones.</v>
      </c>
    </row>
    <row r="43">
      <c r="B43" s="12" t="str">
        <f>IFERROR(__xludf.DUMMYFUNCTION("IF(ISBLANK(A43),"""",GOOGLETRANSLATE(A43,""en"",""es""))"),"")</f>
        <v/>
      </c>
    </row>
    <row r="44">
      <c r="A44" s="10" t="s">
        <v>427</v>
      </c>
      <c r="B44" s="12" t="str">
        <f>IFERROR(__xludf.DUMMYFUNCTION("IF(ISBLANK(A44),"""",GOOGLETRANSLATE(A44,""en"",""es""))"),"Compromiso con la seguridad y el cumplimiento")</f>
        <v>Compromiso con la seguridad y el cumplimiento</v>
      </c>
    </row>
    <row r="45">
      <c r="A45" s="10" t="s">
        <v>428</v>
      </c>
      <c r="B45" s="12" t="str">
        <f>IFERROR(__xludf.DUMMYFUNCTION("IF(ISBLANK(A45),"""",GOOGLETRANSLATE(A45,""en"",""es""))"),"Nuestros servicios de IA cumplen con los más altos estándares de seguridad y cumplimiento, a la vez que protegen sus datos e impulsan la innovación, respaldados por décadas de experiencia global en sectores diversos y altamente regulados como las finanzas"&amp;", la banca y la sanidad.")</f>
        <v>Nuestros servicios de IA cumplen con los más altos estándares de seguridad y cumplimiento, a la vez que protegen sus datos e impulsan la innovación, respaldados por décadas de experiencia global en sectores diversos y altamente regulados como las finanzas, la banca y la sanidad.</v>
      </c>
    </row>
    <row r="46">
      <c r="B46" s="12" t="str">
        <f>IFERROR(__xludf.DUMMYFUNCTION("IF(ISBLANK(A46),"""",GOOGLETRANSLATE(A46,""en"",""es""))"),"")</f>
        <v/>
      </c>
    </row>
    <row r="47">
      <c r="A47" s="10" t="s">
        <v>429</v>
      </c>
      <c r="B47" s="12" t="str">
        <f>IFERROR(__xludf.DUMMYFUNCTION("IF(ISBLANK(A47),"""",GOOGLETRANSLATE(A47,""en"",""es""))"),"Tres pilares de la IA en Transcend AI Labs")</f>
        <v>Tres pilares de la IA en Transcend AI Labs</v>
      </c>
    </row>
    <row r="48">
      <c r="A48" s="10" t="s">
        <v>63</v>
      </c>
      <c r="B48" s="12" t="str">
        <f>IFERROR(__xludf.DUMMYFUNCTION("IF(ISBLANK(A48),"""",GOOGLETRANSLATE(A48,""en"",""es""))"),"Aplicaciones de IA")</f>
        <v>Aplicaciones de IA</v>
      </c>
    </row>
    <row r="49">
      <c r="A49" s="10" t="s">
        <v>430</v>
      </c>
      <c r="B49" s="12" t="str">
        <f>IFERROR(__xludf.DUMMYFUNCTION("IF(ISBLANK(A49),"""",GOOGLETRANSLATE(A49,""en"",""es""))"),"aplicaciones impulsadas por IA")</f>
        <v>aplicaciones impulsadas por IA</v>
      </c>
    </row>
    <row r="50">
      <c r="A50" s="10" t="s">
        <v>431</v>
      </c>
      <c r="B50" s="12" t="str">
        <f>IFERROR(__xludf.DUMMYFUNCTION("IF(ISBLANK(A50),"""",GOOGLETRANSLATE(A50,""en"",""es""))"),"Conjunto integral de aplicaciones de IA diseñadas para automatizar y optimizar sus procesos de negocio. Desde el procesamiento inteligente de documentos hasta el análisis predictivo, nuestras aplicaciones ofrecen resultados cuantificables.")</f>
        <v>Conjunto integral de aplicaciones de IA diseñadas para automatizar y optimizar sus procesos de negocio. Desde el procesamiento inteligente de documentos hasta el análisis predictivo, nuestras aplicaciones ofrecen resultados cuantificables.</v>
      </c>
    </row>
    <row r="51">
      <c r="A51" s="10" t="s">
        <v>432</v>
      </c>
      <c r="B51" s="12" t="str">
        <f>IFERROR(__xludf.DUMMYFUNCTION("IF(ISBLANK(A51),"""",GOOGLETRANSLATE(A51,""en"",""es""))"),"Investigación de razonamiento profundo")</f>
        <v>Investigación de razonamiento profundo</v>
      </c>
    </row>
    <row r="52">
      <c r="A52" s="10" t="s">
        <v>433</v>
      </c>
      <c r="B52" s="12" t="str">
        <f>IFERROR(__xludf.DUMMYFUNCTION("IF(ISBLANK(A52),"""",GOOGLETRANSLATE(A52,""en"",""es""))"),"Información avanzada basada en IA para descubrir patrones complejos y mejorar la toma de decisiones.")</f>
        <v>Información avanzada basada en IA para descubrir patrones complejos y mejorar la toma de decisiones.</v>
      </c>
    </row>
    <row r="53">
      <c r="A53" s="10" t="s">
        <v>434</v>
      </c>
      <c r="B53" s="12" t="str">
        <f>IFERROR(__xludf.DUMMYFUNCTION("IF(ISBLANK(A53),"""",GOOGLETRANSLATE(A53,""en"",""es""))"),"Procesamiento inteligente de documentos")</f>
        <v>Procesamiento inteligente de documentos</v>
      </c>
    </row>
    <row r="54">
      <c r="A54" s="10" t="s">
        <v>435</v>
      </c>
      <c r="B54" s="12" t="str">
        <f>IFERROR(__xludf.DUMMYFUNCTION("IF(ISBLANK(A54),"""",GOOGLETRANSLATE(A54,""en"",""es""))"),"Automatizar el análisis, la extracción y la clasificación de documentos para optimizar las operaciones y mejorar la precisión.")</f>
        <v>Automatizar el análisis, la extracción y la clasificación de documentos para optimizar las operaciones y mejorar la precisión.</v>
      </c>
    </row>
    <row r="55">
      <c r="A55" s="10" t="s">
        <v>436</v>
      </c>
      <c r="B55" s="12" t="str">
        <f>IFERROR(__xludf.DUMMYFUNCTION("IF(ISBLANK(A55),"""",GOOGLETRANSLATE(A55,""en"",""es""))"),"Flex AI")</f>
        <v>Flex AI</v>
      </c>
    </row>
    <row r="56">
      <c r="A56" s="10" t="s">
        <v>437</v>
      </c>
      <c r="B56" s="12" t="str">
        <f>IFERROR(__xludf.DUMMYFUNCTION("IF(ISBLANK(A56),"""",GOOGLETRANSLATE(A56,""en"",""es""))"),"Un recomendador de estructuras financieras flexible impulsado por IA generativa y Flex.")</f>
        <v>Un recomendador de estructuras financieras flexible impulsado por IA generativa y Flex.</v>
      </c>
    </row>
    <row r="57">
      <c r="A57" s="10" t="s">
        <v>438</v>
      </c>
      <c r="B57" s="12" t="str">
        <f>IFERROR(__xludf.DUMMYFUNCTION("IF(ISBLANK(A57),"""",GOOGLETRANSLATE(A57,""en"",""es""))"),"Forja de reglas")</f>
        <v>Forja de reglas</v>
      </c>
    </row>
    <row r="58">
      <c r="A58" s="10" t="s">
        <v>439</v>
      </c>
      <c r="B58" s="12" t="str">
        <f>IFERROR(__xludf.DUMMYFUNCTION("IF(ISBLANK(A58),"""",GOOGLETRANSLATE(A58,""en"",""es""))"),"Motor de reglas impulsado por IA para automatizar el cumplimiento normativo, la toma de decisiones y los flujos de trabajo operativos.")</f>
        <v>Motor de reglas impulsado por IA para automatizar el cumplimiento normativo, la toma de decisiones y los flujos de trabajo operativos.</v>
      </c>
    </row>
    <row r="59">
      <c r="A59" s="10" t="s">
        <v>440</v>
      </c>
      <c r="B59" s="12" t="str">
        <f>IFERROR(__xludf.DUMMYFUNCTION("IF(ISBLANK(A59),"""",GOOGLETRANSLATE(A59,""en"",""es""))"),"Charlar")</f>
        <v>Charlar</v>
      </c>
    </row>
    <row r="60">
      <c r="A60" s="10" t="s">
        <v>441</v>
      </c>
      <c r="B60" s="12" t="str">
        <f>IFERROR(__xludf.DUMMYFUNCTION("IF(ISBLANK(A60),"""",GOOGLETRANSLATE(A60,""en"",""es""))"),"Inteligencia artificial conversacional que ofrece asistencia al cliente inteligente y en tiempo real, y mejora la interacción.")</f>
        <v>Inteligencia artificial conversacional que ofrece asistencia al cliente inteligente y en tiempo real, y mejora la interacción.</v>
      </c>
    </row>
    <row r="61">
      <c r="A61" s="10" t="s">
        <v>442</v>
      </c>
      <c r="B61" s="12" t="str">
        <f>IFERROR(__xludf.DUMMYFUNCTION("IF(ISBLANK(A61),"""",GOOGLETRANSLATE(A61,""en"",""es""))"),"decisiones basadas en datos")</f>
        <v>decisiones basadas en datos</v>
      </c>
    </row>
    <row r="62">
      <c r="A62" s="10" t="s">
        <v>443</v>
      </c>
      <c r="B62" s="12" t="str">
        <f>IFERROR(__xludf.DUMMYFUNCTION("IF(ISBLANK(A62),"""",GOOGLETRANSLATE(A62,""en"",""es""))"),"Modelos de aprendizaje automático para análisis predictivo y pronóstico.")</f>
        <v>Modelos de aprendizaje automático para análisis predictivo y pronóstico.</v>
      </c>
    </row>
    <row r="63">
      <c r="A63" s="10" t="s">
        <v>444</v>
      </c>
      <c r="B63" s="12" t="str">
        <f>IFERROR(__xludf.DUMMYFUNCTION("IF(ISBLANK(A63),"""",GOOGLETRANSLATE(A63,""en"",""es""))"),"Servicios de IA")</f>
        <v>Servicios de IA</v>
      </c>
    </row>
    <row r="64">
      <c r="A64" s="10" t="s">
        <v>444</v>
      </c>
      <c r="B64" s="12" t="str">
        <f>IFERROR(__xludf.DUMMYFUNCTION("IF(ISBLANK(A64),"""",GOOGLETRANSLATE(A64,""en"",""es""))"),"Servicios de IA")</f>
        <v>Servicios de IA</v>
      </c>
    </row>
    <row r="65">
      <c r="A65" s="10" t="s">
        <v>445</v>
      </c>
      <c r="B65" s="12" t="str">
        <f>IFERROR(__xludf.DUMMYFUNCTION("IF(ISBLANK(A65),"""",GOOGLETRANSLATE(A65,""en"",""es""))"),"Servicios expertos de consultoría e implementación para ayudarle a aprovechar la IA de forma eficaz. Nuestro equipo ofrece orientación estratégica, desarrollo a medida y soporte continuo para sus iniciativas de IA.")</f>
        <v>Servicios expertos de consultoría e implementación para ayudarle a aprovechar la IA de forma eficaz. Nuestro equipo ofrece orientación estratégica, desarrollo a medida y soporte continuo para sus iniciativas de IA.</v>
      </c>
    </row>
    <row r="66">
      <c r="A66" s="10" t="s">
        <v>446</v>
      </c>
      <c r="B66" s="12" t="str">
        <f>IFERROR(__xludf.DUMMYFUNCTION("IF(ISBLANK(A66),"""",GOOGLETRANSLATE(A66,""en"",""es""))"),"consultoría estratégica en IA")</f>
        <v>consultoría estratégica en IA</v>
      </c>
    </row>
    <row r="67">
      <c r="A67" s="10" t="s">
        <v>447</v>
      </c>
      <c r="B67" s="12" t="str">
        <f>IFERROR(__xludf.DUMMYFUNCTION("IF(ISBLANK(A67),"""",GOOGLETRANSLATE(A67,""en"",""es""))"),"Planificación estratégica y desarrollo de hojas de ruta para alinear las iniciativas de IA con sus objetivos comerciales y oportunidades de mercado.")</f>
        <v>Planificación estratégica y desarrollo de hojas de ruta para alinear las iniciativas de IA con sus objetivos comerciales y oportunidades de mercado.</v>
      </c>
    </row>
    <row r="68">
      <c r="A68" s="10" t="s">
        <v>448</v>
      </c>
      <c r="B68" s="12" t="str">
        <f>IFERROR(__xludf.DUMMYFUNCTION("IF(ISBLANK(A68),"""",GOOGLETRANSLATE(A68,""en"",""es""))"),"Desarrollo de IA a medida")</f>
        <v>Desarrollo de IA a medida</v>
      </c>
    </row>
    <row r="69">
      <c r="A69" s="10" t="s">
        <v>449</v>
      </c>
      <c r="B69" s="12" t="str">
        <f>IFERROR(__xludf.DUMMYFUNCTION("IF(ISBLANK(A69),"""",GOOGLETRANSLATE(A69,""en"",""es""))"),"Desarrollo de soluciones de IA a medida, adaptadas a los requisitos específicos de su sector y a los retos de su negocio.")</f>
        <v>Desarrollo de soluciones de IA a medida, adaptadas a los requisitos específicos de su sector y a los retos de su negocio.</v>
      </c>
    </row>
    <row r="70">
      <c r="A70" s="10" t="s">
        <v>450</v>
      </c>
      <c r="B70" s="12" t="str">
        <f>IFERROR(__xludf.DUMMYFUNCTION("IF(ISBLANK(A70),"""",GOOGLETRANSLATE(A70,""en"",""es""))"),"servicios de integración de IA")</f>
        <v>servicios de integración de IA</v>
      </c>
    </row>
    <row r="71">
      <c r="A71" s="10" t="s">
        <v>451</v>
      </c>
      <c r="B71" s="12" t="str">
        <f>IFERROR(__xludf.DUMMYFUNCTION("IF(ISBLANK(A71),"""",GOOGLETRANSLATE(A71,""en"",""es""))"),"Integración perfecta de las capacidades de IA en sus sistemas y flujos de trabajo existentes sin interrumpir las operaciones.")</f>
        <v>Integración perfecta de las capacidades de IA en sus sistemas y flujos de trabajo existentes sin interrumpir las operaciones.</v>
      </c>
    </row>
    <row r="72">
      <c r="A72" s="10" t="s">
        <v>452</v>
      </c>
      <c r="B72" s="12" t="str">
        <f>IFERROR(__xludf.DUMMYFUNCTION("IF(ISBLANK(A72),"""",GOOGLETRANSLATE(A72,""en"",""es""))"),"Formación y apoyo")</f>
        <v>Formación y apoyo</v>
      </c>
    </row>
    <row r="73">
      <c r="A73" s="10" t="s">
        <v>453</v>
      </c>
      <c r="B73" s="12" t="str">
        <f>IFERROR(__xludf.DUMMYFUNCTION("IF(ISBLANK(A73),"""",GOOGLETRANSLATE(A73,""en"",""es""))"),"Programas de capacitación integrales y apoyo continuo para garantizar una adopción exitosa de la IA en toda su organización.")</f>
        <v>Programas de capacitación integrales y apoyo continuo para garantizar una adopción exitosa de la IA en toda su organización.</v>
      </c>
    </row>
    <row r="74">
      <c r="A74" s="10" t="s">
        <v>454</v>
      </c>
      <c r="B74" s="12" t="str">
        <f>IFERROR(__xludf.DUMMYFUNCTION("IF(ISBLANK(A74),"""",GOOGLETRANSLATE(A74,""en"",""es""))"),"innovaciones de laboratorio")</f>
        <v>innovaciones de laboratorio</v>
      </c>
    </row>
    <row r="75">
      <c r="A75" s="10" t="s">
        <v>454</v>
      </c>
      <c r="B75" s="12" t="str">
        <f>IFERROR(__xludf.DUMMYFUNCTION("IF(ISBLANK(A75),"""",GOOGLETRANSLATE(A75,""en"",""es""))"),"innovaciones de laboratorio")</f>
        <v>innovaciones de laboratorio</v>
      </c>
    </row>
    <row r="76">
      <c r="A76" s="10" t="s">
        <v>455</v>
      </c>
      <c r="B76" s="12" t="str">
        <f>IFERROR(__xludf.DUMMYFUNCTION("IF(ISBLANK(A76),"""",GOOGLETRANSLATE(A76,""en"",""es""))"),"Los últimos avances de nuestro laboratorio de investigación en IA incluyen modelos avanzados de aprendizaje automático, redes neuronales y tecnologías experimentales que amplían los límites de lo posible.")</f>
        <v>Los últimos avances de nuestro laboratorio de investigación en IA incluyen modelos avanzados de aprendizaje automático, redes neuronales y tecnologías experimentales que amplían los límites de lo posible.</v>
      </c>
    </row>
    <row r="77">
      <c r="A77" s="10" t="s">
        <v>456</v>
      </c>
      <c r="B77" s="12" t="str">
        <f>IFERROR(__xludf.DUMMYFUNCTION("IF(ISBLANK(A77),"""",GOOGLETRANSLATE(A77,""en"",""es""))"),"Redes Neuronales Avanzadas")</f>
        <v>Redes Neuronales Avanzadas</v>
      </c>
    </row>
    <row r="78">
      <c r="A78" s="10" t="s">
        <v>457</v>
      </c>
      <c r="B78" s="12" t="str">
        <f>IFERROR(__xludf.DUMMYFUNCTION("IF(ISBLANK(A78),"""",GOOGLETRANSLATE(A78,""en"",""es""))"),"Arquitecturas de redes neuronales de última generación diseñadas para el reconocimiento de patrones complejos y procesos de toma de decisiones.")</f>
        <v>Arquitecturas de redes neuronales de última generación diseñadas para el reconocimiento de patrones complejos y procesos de toma de decisiones.</v>
      </c>
    </row>
    <row r="79">
      <c r="A79" s="10" t="s">
        <v>458</v>
      </c>
      <c r="B79" s="12" t="str">
        <f>IFERROR(__xludf.DUMMYFUNCTION("IF(ISBLANK(A79),"""",GOOGLETRANSLATE(A79,""en"",""es""))"),"Investigación en IA cuántica")</f>
        <v>Investigación en IA cuántica</v>
      </c>
    </row>
    <row r="80">
      <c r="A80" s="10" t="s">
        <v>459</v>
      </c>
      <c r="B80" s="12" t="str">
        <f>IFERROR(__xludf.DUMMYFUNCTION("IF(ISBLANK(A80),"""",GOOGLETRANSLATE(A80,""en"",""es""))"),"Investigación pionera en aplicaciones de computación cuántica para la IA, explorando posibilidades computacionales sin precedentes.")</f>
        <v>Investigación pionera en aplicaciones de computación cuántica para la IA, explorando posibilidades computacionales sin precedentes.</v>
      </c>
    </row>
    <row r="81">
      <c r="A81" s="10" t="s">
        <v>460</v>
      </c>
      <c r="B81" s="12" t="str">
        <f>IFERROR(__xludf.DUMMYFUNCTION("IF(ISBLANK(A81),"""",GOOGLETRANSLATE(A81,""en"",""es""))"),"aprendizaje federado")</f>
        <v>aprendizaje federado</v>
      </c>
    </row>
    <row r="82">
      <c r="A82" s="10" t="s">
        <v>461</v>
      </c>
      <c r="B82" s="12" t="str">
        <f>IFERROR(__xludf.DUMMYFUNCTION("IF(ISBLANK(A82),"""",GOOGLETRANSLATE(A82,""en"",""es""))"),"Enfoques innovadores para el aprendizaje automático distribuido que preservan la privacidad al tiempo que permiten el desarrollo colaborativo de IA.")</f>
        <v>Enfoques innovadores para el aprendizaje automático distribuido que preservan la privacidad al tiempo que permiten el desarrollo colaborativo de IA.</v>
      </c>
    </row>
    <row r="83">
      <c r="A83" s="10" t="s">
        <v>462</v>
      </c>
      <c r="B83" s="12" t="str">
        <f>IFERROR(__xludf.DUMMYFUNCTION("IF(ISBLANK(A83),"""",GOOGLETRANSLATE(A83,""en"",""es""))"),"IA explicable")</f>
        <v>IA explicable</v>
      </c>
    </row>
    <row r="84">
      <c r="A84" s="10" t="s">
        <v>463</v>
      </c>
      <c r="B84" s="12" t="str">
        <f>IFERROR(__xludf.DUMMYFUNCTION("IF(ISBLANK(A84),"""",GOOGLETRANSLATE(A84,""en"",""es""))"),"Sistemas de IA transparentes que proporcionan información clara sobre los procesos de toma de decisiones para una mayor confianza y cumplimiento.")</f>
        <v>Sistemas de IA transparentes que proporcionan información clara sobre los procesos de toma de decisiones para una mayor confianza y cumplimiento.</v>
      </c>
    </row>
    <row r="85">
      <c r="A85" s="10" t="s">
        <v>116</v>
      </c>
      <c r="B85" s="12" t="str">
        <f>IFERROR(__xludf.DUMMYFUNCTION("IF(ISBLANK(A85),"""",GOOGLETRANSLATE(A85,""en"",""es""))"),"Lecturas y reflexiones destacadas")</f>
        <v>Lecturas y reflexiones destacadas</v>
      </c>
    </row>
    <row r="86">
      <c r="A86" s="17" t="s">
        <v>117</v>
      </c>
      <c r="B86" s="12" t="str">
        <f>IFERROR(__xludf.DUMMYFUNCTION("IF(ISBLANK(A86),"""",GOOGLETRANSLATE(A86,""en"",""es""))"),"Manténgase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87">
      <c r="A87" s="10" t="s">
        <v>118</v>
      </c>
      <c r="B87" s="12" t="str">
        <f>IFERROR(__xludf.DUMMYFUNCTION("IF(ISBLANK(A87),"""",GOOGLETRANSLATE(A87,""en"",""es""))"),"Blog")</f>
        <v>Blog</v>
      </c>
    </row>
    <row r="88">
      <c r="A88" s="10" t="s">
        <v>119</v>
      </c>
      <c r="B88" s="12" t="str">
        <f>IFERROR(__xludf.DUMMYFUNCTION("IF(ISBLANK(A88),"""",GOOGLETRANSLATE(A88,""en"",""es""))"),"Más allá del DMS: Por qué el futuro de la venta minorista de automóviles se basa en las API")</f>
        <v>Más allá del DMS: Por qué el futuro de la venta minorista de automóviles se basa en las API</v>
      </c>
    </row>
    <row r="89">
      <c r="A89" s="10" t="s">
        <v>36</v>
      </c>
      <c r="B89" s="12" t="str">
        <f>IFERROR(__xludf.DUMMYFUNCTION("IF(ISBLANK(A89),"""",GOOGLETRANSLATE(A89,""en"",""es""))"),"Más información")</f>
        <v>Más información</v>
      </c>
    </row>
    <row r="90">
      <c r="B90" s="12" t="str">
        <f>IFERROR(__xludf.DUMMYFUNCTION("IF(ISBLANK(A90),"""",GOOGLETRANSLATE(A90,""en"",""es""))"),"")</f>
        <v/>
      </c>
    </row>
    <row r="91">
      <c r="A91" s="10" t="s">
        <v>120</v>
      </c>
      <c r="B91" s="12" t="str">
        <f>IFERROR(__xludf.DUMMYFUNCTION("IF(ISBLANK(A91),"""",GOOGLETRANSLATE(A91,""en"",""es""))"),"NETSOL estará presente en la Conferencia y Premios GlobalData Automotive Europe 2025.")</f>
        <v>NETSOL estará presente en la Conferencia y Premios GlobalData Automotive Europe 2025.</v>
      </c>
    </row>
    <row r="92">
      <c r="B92" s="12" t="str">
        <f>IFERROR(__xludf.DUMMYFUNCTION("IF(ISBLANK(A92),"""",GOOGLETRANSLATE(A92,""en"",""es""))"),"")</f>
        <v/>
      </c>
    </row>
    <row r="93">
      <c r="B93" s="12" t="str">
        <f>IFERROR(__xludf.DUMMYFUNCTION("IF(ISBLANK(A93),"""",GOOGLETRANSLATE(A93,""en"",""es""))"),"")</f>
        <v/>
      </c>
    </row>
    <row r="94">
      <c r="A94" s="10" t="s">
        <v>121</v>
      </c>
      <c r="B94" s="12" t="str">
        <f>IFERROR(__xludf.DUMMYFUNCTION("IF(ISBLANK(A94),"""",GOOGLETRANSLATE(A94,""en"",""es""))"),"NETSOL participa en la 25ª Cumbre Anual de Financiación Automotriz: Impulsando el futuro de la financiación automotriz")</f>
        <v>NETSOL participa en la 25ª Cumbre Anual de Financiación Automotriz: Impulsando el futuro de la financiación automotriz</v>
      </c>
    </row>
    <row r="95">
      <c r="B95" s="12" t="str">
        <f>IFERROR(__xludf.DUMMYFUNCTION("IF(ISBLANK(A95),"""",GOOGLETRANSLATE(A95,""en"",""es""))"),"")</f>
        <v/>
      </c>
    </row>
    <row r="96">
      <c r="B96" s="12" t="str">
        <f>IFERROR(__xludf.DUMMYFUNCTION("IF(ISBLANK(A96),"""",GOOGLETRANSLATE(A96,""en"",""es""))"),"")</f>
        <v/>
      </c>
    </row>
    <row r="97">
      <c r="A97" s="10" t="s">
        <v>122</v>
      </c>
      <c r="B97" s="12" t="str">
        <f>IFERROR(__xludf.DUMMYFUNCTION("IF(ISBLANK(A97),"""",GOOGLETRANSLATE(A97,""en"",""es""))"),"NETSOL está presente en Digital Dealer 2025: Impulsando el futuro de la venta minorista de automóviles.")</f>
        <v>NETSOL está presente en Digital Dealer 2025: Impulsando el futuro de la venta minorista de automóviles.</v>
      </c>
    </row>
    <row r="98">
      <c r="B98" s="12" t="str">
        <f>IFERROR(__xludf.DUMMYFUNCTION("IF(ISBLANK(A98),"""",GOOGLETRANSLATE(A98,""en"",""es""))"),"")</f>
        <v/>
      </c>
    </row>
    <row r="99">
      <c r="B99" s="12" t="str">
        <f>IFERROR(__xludf.DUMMYFUNCTION("IF(ISBLANK(A99),"""",GOOGLETRANSLATE(A99,""en"",""es""))"),"")</f>
        <v/>
      </c>
    </row>
    <row r="100">
      <c r="A100" s="13" t="s">
        <v>123</v>
      </c>
      <c r="B100" s="12" t="str">
        <f>IFERROR(__xludf.DUMMYFUNCTION("IF(ISBLANK(A100),"""",GOOGLETRANSLATE(A100,""en"",""es""))"),"La IA en el sector BFSI: revolucionando la gestión de riesgos")</f>
        <v>La IA en el sector BFSI: revolucionando la gestión de riesgos</v>
      </c>
    </row>
    <row r="101">
      <c r="B101" s="12" t="str">
        <f>IFERROR(__xludf.DUMMYFUNCTION("IF(ISBLANK(A101),"""",GOOGLETRANSLATE(A101,""en"",""es""))"),"")</f>
        <v/>
      </c>
    </row>
    <row r="102">
      <c r="B102" s="12" t="str">
        <f>IFERROR(__xludf.DUMMYFUNCTION("IF(ISBLANK(A102),"""",GOOGLETRANSLATE(A102,""en"",""es""))"),"")</f>
        <v/>
      </c>
    </row>
    <row r="103">
      <c r="A103" s="10" t="s">
        <v>124</v>
      </c>
      <c r="B103" s="12" t="str">
        <f>IFERROR(__xludf.DUMMYFUNCTION("IF(ISBLANK(A103),"""",GOOGLETRANSLATE(A103,""en"",""es""))"),"La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104">
      <c r="B104" s="12" t="str">
        <f>IFERROR(__xludf.DUMMYFUNCTION("IF(ISBLANK(A104),"""",GOOGLETRANSLATE(A104,""en"",""es""))"),"")</f>
        <v/>
      </c>
    </row>
    <row r="105">
      <c r="B105" s="12" t="str">
        <f>IFERROR(__xludf.DUMMYFUNCTION("IF(ISBLANK(A105),"""",GOOGLETRANSLATE(A105,""en"",""es""))"),"")</f>
        <v/>
      </c>
    </row>
    <row r="106">
      <c r="A106" s="10" t="s">
        <v>125</v>
      </c>
      <c r="B106" s="12" t="str">
        <f>IFERROR(__xludf.DUMMYFUNCTION("IF(ISBLANK(A106),"""",GOOGLETRANSLATE(A106,""en"",""es""))"),"El verdadero coste de los sistemas desconectados en la venta minorista de automóviles")</f>
        <v>El verdadero coste de los sistemas desconectados en la venta minorista de automóviles</v>
      </c>
    </row>
    <row r="107">
      <c r="B107" s="12" t="str">
        <f>IFERROR(__xludf.DUMMYFUNCTION("IF(ISBLANK(A107),"""",GOOGLETRANSLATE(A107,""en"",""es""))"),"")</f>
        <v/>
      </c>
    </row>
    <row r="108">
      <c r="B108" s="12" t="str">
        <f>IFERROR(__xludf.DUMMYFUNCTION("IF(ISBLANK(A108),"""",GOOGLETRANSLATE(A108,""en"",""es""))"),"")</f>
        <v/>
      </c>
    </row>
    <row r="109">
      <c r="A109" s="10" t="s">
        <v>126</v>
      </c>
      <c r="B109" s="12" t="str">
        <f>IFERROR(__xludf.DUMMYFUNCTION("IF(ISBLANK(A109),"""",GOOGLETRANSLATE(A109,""en"",""es""))"),"Las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110">
      <c r="B110" s="12" t="str">
        <f>IFERROR(__xludf.DUMMYFUNCTION("IF(ISBLANK(A110),"""",GOOGLETRANSLATE(A110,""en"",""es""))"),"")</f>
        <v/>
      </c>
    </row>
    <row r="111">
      <c r="B111" s="12" t="str">
        <f>IFERROR(__xludf.DUMMYFUNCTION("IF(ISBLANK(A111),"""",GOOGLETRANSLATE(A111,""en"",""es""))"),"")</f>
        <v/>
      </c>
    </row>
    <row r="112">
      <c r="A112" s="10" t="s">
        <v>127</v>
      </c>
      <c r="B112" s="12" t="str">
        <f>IFERROR(__xludf.DUMMYFUNCTION("IF(ISBLANK(A112),"""",GOOGLETRANSLATE(A112,""en"",""es""))"),"Lucha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113">
      <c r="B113" s="12" t="str">
        <f>IFERROR(__xludf.DUMMYFUNCTION("IF(ISBLANK(A113),"""",GOOGLETRANSLATE(A113,""en"",""es""))"),"")</f>
        <v/>
      </c>
    </row>
    <row r="114">
      <c r="A114" s="10" t="s">
        <v>130</v>
      </c>
      <c r="B114" s="12" t="str">
        <f>IFERROR(__xludf.DUMMYFUNCTION("IF(ISBLANK(A114),"""",GOOGLETRANSLATE(A114,""en"",""es""))"),"Suscríbase a nuestro boletín para recibir las últimas noticias en su correo electrónico.")</f>
        <v>Suscríbase a nuestro boletín para recibir las últimas noticias en su correo electrónico.</v>
      </c>
    </row>
    <row r="115">
      <c r="A115" s="10" t="s">
        <v>131</v>
      </c>
      <c r="B115" s="12" t="str">
        <f>IFERROR(__xludf.DUMMYFUNCTION("IF(ISBLANK(A115),"""",GOOGLETRANSLATE(A115,""en"",""es""))"),"abc@example.com")</f>
        <v>abc@example.com</v>
      </c>
    </row>
    <row r="116">
      <c r="A116" s="10" t="s">
        <v>132</v>
      </c>
      <c r="B116" s="12" t="str">
        <f>IFERROR(__xludf.DUMMYFUNCTION("IF(ISBLANK(A116),"""",GOOGLETRANSLATE(A116,""en"",""es""))"),"Suscríbete")</f>
        <v>Suscríbete</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5"/>
  </cols>
  <sheetData>
    <row r="1">
      <c r="A1" s="3" t="s">
        <v>0</v>
      </c>
      <c r="B1" s="3" t="s">
        <v>133</v>
      </c>
    </row>
    <row r="2">
      <c r="A2" s="10" t="s">
        <v>464</v>
      </c>
      <c r="B2" s="12" t="str">
        <f>IFERROR(__xludf.DUMMYFUNCTION("IF(ISBLANK(A2),"""",GOOGLETRANSLATE(A2,""en"",""es""))"),"Mercado de Transcend")</f>
        <v>Mercado de Transcend</v>
      </c>
    </row>
    <row r="3">
      <c r="A3" s="10" t="s">
        <v>465</v>
      </c>
      <c r="B3" s="12" t="str">
        <f>IFERROR(__xludf.DUMMYFUNCTION("IF(ISBLANK(A3),"""",GOOGLETRANSLATE(A3,""en"",""es""))"),"Conectar, configurar e innovar")</f>
        <v>Conectar, configurar e innovar</v>
      </c>
    </row>
    <row r="4">
      <c r="A4" s="18" t="s">
        <v>466</v>
      </c>
      <c r="B4" s="12" t="str">
        <f>IFERROR(__xludf.DUMMYFUNCTION("IF(ISBLANK(A4),"""",GOOGLETRANSLATE(A4,""en"",""es""))"),"Desde la originación hasta el mantenimiento, experimente los productos de financiación y arrendamiento más intuitivos en financiación de activos.")</f>
        <v>Desde la originación hasta el mantenimiento, experimente los productos de financiación y arrendamiento más intuitivos en financiación de activos.</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467</v>
      </c>
      <c r="B7" s="12" t="str">
        <f>IFERROR(__xludf.DUMMYFUNCTION("IF(ISBLANK(A7),"""",GOOGLETRANSLATE(A7,""en"",""es""))"),"Doblar")</f>
        <v>Doblar</v>
      </c>
    </row>
    <row r="8">
      <c r="A8" s="10" t="s">
        <v>468</v>
      </c>
      <c r="B8" s="12" t="str">
        <f>IFERROR(__xludf.DUMMYFUNCTION("IF(ISBLANK(A8),"""",GOOGLETRANSLATE(A8,""en"",""es""))"),"Cálculos de contratos de crédito rápidos y precisos")</f>
        <v>Cálculos de contratos de crédito rápidos y precisos</v>
      </c>
    </row>
    <row r="9">
      <c r="A9" s="10" t="s">
        <v>36</v>
      </c>
      <c r="B9" s="12" t="str">
        <f>IFERROR(__xludf.DUMMYFUNCTION("IF(ISBLANK(A9),"""",GOOGLETRANSLATE(A9,""en"",""es""))"),"Más información")</f>
        <v>Más información</v>
      </c>
    </row>
    <row r="10">
      <c r="A10" s="10" t="s">
        <v>469</v>
      </c>
      <c r="B10" s="12" t="str">
        <f>IFERROR(__xludf.DUMMYFUNCTION("IF(ISBLANK(A10),"""",GOOGLETRANSLATE(A10,""en"",""es""))"),"Muelle")</f>
        <v>Muelle</v>
      </c>
    </row>
    <row r="11">
      <c r="A11" s="10" t="s">
        <v>470</v>
      </c>
      <c r="B11" s="12" t="str">
        <f>IFERROR(__xludf.DUMMYFUNCTION("IF(ISBLANK(A11),"""",GOOGLETRANSLATE(A11,""en"",""es""))"),"Centro neurálgico para la generación de documentos de forma rápida y sencilla")</f>
        <v>Centro neurálgico para la generación de documentos de forma rápida y sencilla</v>
      </c>
    </row>
    <row r="12">
      <c r="B12" s="12" t="str">
        <f>IFERROR(__xludf.DUMMYFUNCTION("IF(ISBLANK(A12),"""",GOOGLETRANSLATE(A12,""en"",""es""))"),"")</f>
        <v/>
      </c>
    </row>
    <row r="13">
      <c r="A13" s="10" t="s">
        <v>471</v>
      </c>
      <c r="B13" s="12" t="str">
        <f>IFERROR(__xludf.DUMMYFUNCTION("IF(ISBLANK(A13),"""",GOOGLETRANSLATE(A13,""en"",""es""))"),"Índice")</f>
        <v>Índice</v>
      </c>
    </row>
    <row r="14">
      <c r="A14" s="10" t="s">
        <v>472</v>
      </c>
      <c r="B14" s="12" t="str">
        <f>IFERROR(__xludf.DUMMYFUNCTION("IF(ISBLANK(A14),"""",GOOGLETRANSLATE(A14,""en"",""es""))"),"Gestión simplificada de datos maestros")</f>
        <v>Gestión simplificada de datos maestros</v>
      </c>
    </row>
    <row r="15">
      <c r="B15" s="12" t="str">
        <f>IFERROR(__xludf.DUMMYFUNCTION("IF(ISBLANK(A15),"""",GOOGLETRANSLATE(A15,""en"",""es""))"),"")</f>
        <v/>
      </c>
    </row>
    <row r="16">
      <c r="A16" s="10" t="s">
        <v>473</v>
      </c>
      <c r="B16" s="12" t="str">
        <f>IFERROR(__xludf.DUMMYFUNCTION("IF(ISBLANK(A16),"""",GOOGLETRANSLATE(A16,""en"",""es""))"),"Hubex")</f>
        <v>Hubex</v>
      </c>
    </row>
    <row r="17">
      <c r="A17" s="10" t="s">
        <v>474</v>
      </c>
      <c r="B17" s="12" t="str">
        <f>IFERROR(__xludf.DUMMYFUNCTION("IF(ISBLANK(A17),"""",GOOGLETRANSLATE(A17,""en"",""es""))"),"Integrar múltiples proyectos es tan fácil como hacerlo uno solo.")</f>
        <v>Integrar múltiples proyectos es tan fácil como hacerlo uno solo.</v>
      </c>
    </row>
    <row r="18">
      <c r="B18" s="12" t="str">
        <f>IFERROR(__xludf.DUMMYFUNCTION("IF(ISBLANK(A18),"""",GOOGLETRANSLATE(A18,""en"",""es""))"),"")</f>
        <v/>
      </c>
    </row>
    <row r="19">
      <c r="A19" s="10" t="s">
        <v>475</v>
      </c>
      <c r="B19" s="12" t="str">
        <f>IFERROR(__xludf.DUMMYFUNCTION("IF(ISBLANK(A19),"""",GOOGLETRANSLATE(A19,""en"",""es""))"),"carril")</f>
        <v>carril</v>
      </c>
    </row>
    <row r="20">
      <c r="A20" s="10" t="s">
        <v>476</v>
      </c>
      <c r="B20" s="12" t="str">
        <f>IFERROR(__xludf.DUMMYFUNCTION("IF(ISBLANK(A20),"""",GOOGLETRANSLATE(A20,""en"",""es""))"),"Plataforma integral de originación de préstamos")</f>
        <v>Plataforma integral de originación de préstamos</v>
      </c>
    </row>
    <row r="21">
      <c r="B21" s="12" t="str">
        <f>IFERROR(__xludf.DUMMYFUNCTION("IF(ISBLANK(A21),"""",GOOGLETRANSLATE(A21,""en"",""es""))"),"")</f>
        <v/>
      </c>
    </row>
    <row r="22">
      <c r="A22" s="10" t="s">
        <v>477</v>
      </c>
      <c r="B22" s="12" t="str">
        <f>IFERROR(__xludf.DUMMYFUNCTION("IF(ISBLANK(A22),"""",GOOGLETRANSLATE(A22,""en"",""es""))"),"Deriva")</f>
        <v>Deriva</v>
      </c>
    </row>
    <row r="23">
      <c r="A23" s="10" t="s">
        <v>478</v>
      </c>
      <c r="B23" s="12" t="str">
        <f>IFERROR(__xludf.DUMMYFUNCTION("IF(ISBLANK(A23),"""",GOOGLETRANSLATE(A23,""en"",""es""))"),"Recorrido del cliente omnicanal para potenciar su estrategia de venta directa al consumidor (D2C).")</f>
        <v>Recorrido del cliente omnicanal para potenciar su estrategia de venta directa al consumidor (D2C).</v>
      </c>
    </row>
    <row r="24">
      <c r="B24" s="12" t="str">
        <f>IFERROR(__xludf.DUMMYFUNCTION("IF(ISBLANK(A24),"""",GOOGLETRANSLATE(A24,""en"",""es""))"),"")</f>
        <v/>
      </c>
    </row>
    <row r="25">
      <c r="A25" s="10" t="s">
        <v>479</v>
      </c>
      <c r="B25" s="12" t="str">
        <f>IFERROR(__xludf.DUMMYFUNCTION("IF(ISBLANK(A25),"""",GOOGLETRANSLATE(A25,""en"",""es""))"),"Enlace")</f>
        <v>Enlace</v>
      </c>
    </row>
    <row r="26">
      <c r="A26" s="10" t="s">
        <v>480</v>
      </c>
      <c r="B26" s="12" t="str">
        <f>IFERROR(__xludf.DUMMYFUNCTION("IF(ISBLANK(A26),"""",GOOGLETRANSLATE(A26,""en"",""es""))"),"Empoderamos a corredores, prestamistas y distribuidores con portales optimizados.")</f>
        <v>Empoderamos a corredores, prestamistas y distribuidores con portales optimizados.</v>
      </c>
    </row>
    <row r="27">
      <c r="B27" s="12" t="str">
        <f>IFERROR(__xludf.DUMMYFUNCTION("IF(ISBLANK(A27),"""",GOOGLETRANSLATE(A27,""en"",""es""))"),"")</f>
        <v/>
      </c>
    </row>
    <row r="28">
      <c r="A28" s="10" t="s">
        <v>481</v>
      </c>
      <c r="B28" s="12" t="str">
        <f>IFERROR(__xludf.DUMMYFUNCTION("IF(ISBLANK(A28),"""",GOOGLETRANSLATE(A28,""en"",""es""))"),"Cura")</f>
        <v>Cura</v>
      </c>
    </row>
    <row r="29">
      <c r="A29" s="10" t="s">
        <v>482</v>
      </c>
      <c r="B29" s="12" t="str">
        <f>IFERROR(__xludf.DUMMYFUNCTION("IF(ISBLANK(A29),"""",GOOGLETRANSLATE(A29,""en"",""es""))"),"Plataforma única para brindar soporte a los clientes durante todo el ciclo de vida del contrato")</f>
        <v>Plataforma única para brindar soporte a los clientes durante todo el ciclo de vida del contrato</v>
      </c>
    </row>
    <row r="30">
      <c r="B30" s="12" t="str">
        <f>IFERROR(__xludf.DUMMYFUNCTION("IF(ISBLANK(A30),"""",GOOGLETRANSLATE(A30,""en"",""es""))"),"")</f>
        <v/>
      </c>
    </row>
    <row r="31">
      <c r="A31" s="10" t="s">
        <v>483</v>
      </c>
      <c r="B31" s="12" t="str">
        <f>IFERROR(__xludf.DUMMYFUNCTION("IF(ISBLANK(A31),"""",GOOGLETRANSLATE(A31,""en"",""es""))"),"Tasa T")</f>
        <v>Tasa T</v>
      </c>
    </row>
    <row r="32">
      <c r="A32" s="10" t="s">
        <v>484</v>
      </c>
      <c r="B32" s="12" t="str">
        <f>IFERROR(__xludf.DUMMYFUNCTION("IF(ISBLANK(A32),"""",GOOGLETRANSLATE(A32,""en"",""es""))"),"Cálculo universal de impuestos en tiempo real")</f>
        <v>Cálculo universal de impuestos en tiempo real</v>
      </c>
    </row>
    <row r="33">
      <c r="B33" s="12" t="str">
        <f>IFERROR(__xludf.DUMMYFUNCTION("IF(ISBLANK(A33),"""",GOOGLETRANSLATE(A33,""en"",""es""))"),"")</f>
        <v/>
      </c>
    </row>
    <row r="34">
      <c r="A34" s="10" t="s">
        <v>485</v>
      </c>
      <c r="B34" s="12" t="str">
        <f>IFERROR(__xludf.DUMMYFUNCTION("IF(ISBLANK(A34),"""",GOOGLETRANSLATE(A34,""en"",""es""))"),"Transentrada")</f>
        <v>Transentrada</v>
      </c>
    </row>
    <row r="35">
      <c r="A35" s="10" t="s">
        <v>486</v>
      </c>
      <c r="B35" s="12" t="str">
        <f>IFERROR(__xludf.DUMMYFUNCTION("IF(ISBLANK(A35),"""",GOOGLETRANSLATE(A35,""en"",""es""))"),"Automatización contable sin esfuerzo al alcance de su mano")</f>
        <v>Automatización contable sin esfuerzo al alcance de su mano</v>
      </c>
    </row>
    <row r="36">
      <c r="B36" s="12" t="str">
        <f>IFERROR(__xludf.DUMMYFUNCTION("IF(ISBLANK(A36),"""",GOOGLETRANSLATE(A36,""en"",""es""))"),"")</f>
        <v/>
      </c>
    </row>
    <row r="37">
      <c r="A37" s="10" t="s">
        <v>487</v>
      </c>
      <c r="B37" s="12" t="str">
        <f>IFERROR(__xludf.DUMMYFUNCTION("IF(ISBLANK(A37),"""",GOOGLETRANSLATE(A37,""en"",""es""))"),"TermOut")</f>
        <v>TermOut</v>
      </c>
    </row>
    <row r="38">
      <c r="A38" s="10" t="s">
        <v>488</v>
      </c>
      <c r="B38" s="12" t="str">
        <f>IFERROR(__xludf.DUMMYFUNCTION("IF(ISBLANK(A38),"""",GOOGLETRANSLATE(A38,""en"",""es""))"),"Moldea el futuro de los contratos, hoy mismo.")</f>
        <v>Moldea el futuro de los contratos, hoy mismo.</v>
      </c>
    </row>
    <row r="39">
      <c r="B39" s="12" t="str">
        <f>IFERROR(__xludf.DUMMYFUNCTION("IF(ISBLANK(A39),"""",GOOGLETRANSLATE(A39,""en"",""es""))"),"")</f>
        <v/>
      </c>
    </row>
    <row r="40">
      <c r="A40" s="10" t="s">
        <v>489</v>
      </c>
      <c r="B40" s="12" t="str">
        <f>IFERROR(__xludf.DUMMYFUNCTION("IF(ISBLANK(A40),"""",GOOGLETRANSLATE(A40,""en"",""es""))"),"Salida temprana")</f>
        <v>Salida temprana</v>
      </c>
    </row>
    <row r="41">
      <c r="A41" s="10" t="s">
        <v>490</v>
      </c>
      <c r="B41" s="12" t="str">
        <f>IFERROR(__xludf.DUMMYFUNCTION("IF(ISBLANK(A41),"""",GOOGLETRANSLATE(A41,""en"",""es""))"),"Liquidación anticipada simplificada y procesamiento de pagos preciso")</f>
        <v>Liquidación anticipada simplificada y procesamiento de pagos preciso</v>
      </c>
    </row>
    <row r="42">
      <c r="B42" s="12" t="str">
        <f>IFERROR(__xludf.DUMMYFUNCTION("IF(ISBLANK(A42),"""",GOOGLETRANSLATE(A42,""en"",""es""))"),"")</f>
        <v/>
      </c>
    </row>
    <row r="43">
      <c r="A43" s="10" t="s">
        <v>491</v>
      </c>
      <c r="B43" s="12" t="str">
        <f>IFERROR(__xludf.DUMMYFUNCTION("IF(ISBLANK(A43),"""",GOOGLETRANSLATE(A43,""en"",""es""))"),"Modifi")</f>
        <v>Modifi</v>
      </c>
    </row>
    <row r="44">
      <c r="A44" s="10" t="s">
        <v>492</v>
      </c>
      <c r="B44" s="12" t="str">
        <f>IFERROR(__xludf.DUMMYFUNCTION("IF(ISBLANK(A44),"""",GOOGLETRANSLATE(A44,""en"",""es""))"),"Modificación de contrato simple y sin complicaciones")</f>
        <v>Modificación de contrato simple y sin complicaciones</v>
      </c>
    </row>
    <row r="45">
      <c r="B45" s="12" t="str">
        <f>IFERROR(__xludf.DUMMYFUNCTION("IF(ISBLANK(A45),"""",GOOGLETRANSLATE(A45,""en"",""es""))"),"")</f>
        <v/>
      </c>
    </row>
    <row r="46">
      <c r="A46" s="10" t="s">
        <v>493</v>
      </c>
      <c r="B46" s="12" t="str">
        <f>IFERROR(__xludf.DUMMYFUNCTION("IF(ISBLANK(A46),"""",GOOGLETRANSLATE(A46,""en"",""es""))"),"Controlar")</f>
        <v>Controlar</v>
      </c>
    </row>
    <row r="47">
      <c r="A47" s="10" t="s">
        <v>494</v>
      </c>
      <c r="B47" s="12" t="str">
        <f>IFERROR(__xludf.DUMMYFUNCTION("IF(ISBLANK(A47),"""",GOOGLETRANSLATE(A47,""en"",""es""))"),"Decisiones de crédito automatizadas para préstamos más rápidos e inteligentes")</f>
        <v>Decisiones de crédito automatizadas para préstamos más rápidos e inteligentes</v>
      </c>
    </row>
    <row r="48">
      <c r="B48" s="12" t="str">
        <f>IFERROR(__xludf.DUMMYFUNCTION("IF(ISBLANK(A48),"""",GOOGLETRANSLATE(A48,""en"",""es""))"),"")</f>
        <v/>
      </c>
    </row>
    <row r="49">
      <c r="A49" s="10" t="s">
        <v>495</v>
      </c>
      <c r="B49" s="12" t="str">
        <f>IFERROR(__xludf.DUMMYFUNCTION("IF(ISBLANK(A49),"""",GOOGLETRANSLATE(A49,""en"",""es""))"),"Reciba ahora")</f>
        <v>Reciba ahora</v>
      </c>
    </row>
    <row r="50">
      <c r="A50" s="10" t="s">
        <v>496</v>
      </c>
      <c r="B50" s="12" t="str">
        <f>IFERROR(__xludf.DUMMYFUNCTION("IF(ISBLANK(A50),"""",GOOGLETRANSLATE(A50,""en"",""es""))"),"Gestión eficiente de facturas y cuentas por cobrar")</f>
        <v>Gestión eficiente de facturas y cuentas por cobrar</v>
      </c>
    </row>
    <row r="51">
      <c r="B51" s="12" t="str">
        <f>IFERROR(__xludf.DUMMYFUNCTION("IF(ISBLANK(A51),"""",GOOGLETRANSLATE(A51,""en"",""es""))"),"")</f>
        <v/>
      </c>
    </row>
    <row r="52">
      <c r="A52" s="10" t="s">
        <v>103</v>
      </c>
      <c r="B52" s="12" t="str">
        <f>IFERROR(__xludf.DUMMYFUNCTION("IF(ISBLANK(A52),"""",GOOGLETRANSLATE(A52,""en"",""es""))"),"NINI se asocia con NETSOL para impulsar su nueva era de experiencia en la venta minorista de automóviles.")</f>
        <v>NINI se asocia con NETSOL para impulsar su nueva era de experiencia en la venta minorista de automóviles.</v>
      </c>
    </row>
    <row r="53">
      <c r="A53" s="10" t="s">
        <v>105</v>
      </c>
      <c r="B53" s="12" t="str">
        <f>IFERROR(__xludf.DUMMYFUNCTION("IF(ISBLANK(A53),"""",GOOGLETRANSLATE(A53,""en"",""es""))"),"En MINI, decidimos que era hora de crear una experiencia integral de compra y financiación para el consumidor, y era importante crear algo más que un simple generador de clientes potenciales para facilitar la transacción completa a cualquier cliente de MI"&amp;"NI, en cualquier lugar y en cualquier momento. Nuestra alianza con NETSOL nos ha permitido no solo alcanzar a los líderes del sector, sino también establecer nuevos estándares en la venta digital de automóviles, algo que los actores habituales del sector "&amp;"no podían ofrecer.")</f>
        <v>En MINI, decidimos que era hora de crear una experiencia integral de compra y financiación para el consumidor, y era importante crear algo más que un simple generador de clientes potenciales para facilitar la transacción completa a cualquier cliente de MINI, en cualquier lugar y en cualquier momento. Nuestra alianza con NETSOL nos ha permitido no solo alcanzar a los líderes del sector, sino también establecer nuevos estándares en la venta digital de automóviles, algo que los actores habituales del sector no podían ofrecer.</v>
      </c>
    </row>
    <row r="54">
      <c r="A54" s="10" t="s">
        <v>106</v>
      </c>
      <c r="B54" s="12" t="str">
        <f>IFERROR(__xludf.DUMMYFUNCTION("IF(ISBLANK(A54),"""",GOOGLETRANSLATE(A54,""en"",""es""))"),"Mike Peyton")</f>
        <v>Mike Peyton</v>
      </c>
    </row>
    <row r="55">
      <c r="A55" s="10" t="s">
        <v>107</v>
      </c>
      <c r="B55" s="12" t="str">
        <f>IFERROR(__xludf.DUMMYFUNCTION("IF(ISBLANK(A55),"""",GOOGLETRANSLATE(A55,""en"",""es""))"),"Motorista principal y portavoz de NINI de las Américas")</f>
        <v>Motorista principal y portavoz de NINI de las Américas</v>
      </c>
    </row>
    <row r="56">
      <c r="A56" s="10" t="s">
        <v>113</v>
      </c>
      <c r="B56" s="12" t="str">
        <f>IFERROR(__xludf.DUMMYFUNCTION("IF(ISBLANK(A56),"""",GOOGLETRANSLATE(A56,""en"",""es""))"),"Haydock Financial encuentra el éxito con el mercado de NETSOL.")</f>
        <v>Haydock Financial encuentra el éxito con el mercado de NETSOL.</v>
      </c>
    </row>
    <row r="57">
      <c r="A57" s="10" t="s">
        <v>114</v>
      </c>
      <c r="B57" s="12" t="str">
        <f>IFERROR(__xludf.DUMMYFUNCTION("IF(ISBLANK(A57),"""",GOOGLETRANSLATE(A57,""en"",""es""))"),"""Recomendaría sin duda tanto Appex Now como NETSOL. Los productos son excelentes. Funcionan de maravilla. Y NETSOL ha respondido a nuestras necesidades con rapidez. Realizaron cualquier cambio que les solicitamos con celeridad.""")</f>
        <v>"Recomendaría sin duda tanto Appex Now como NETSOL. Los productos son excelentes. Funcionan de maravilla. Y NETSOL ha respondido a nuestras necesidades con rapidez. Realizaron cualquier cambio que les solicitamos con celeridad."</v>
      </c>
    </row>
    <row r="58">
      <c r="A58" s="10" t="s">
        <v>115</v>
      </c>
      <c r="B58" s="12" t="str">
        <f>IFERROR(__xludf.DUMMYFUNCTION("IF(ISBLANK(A58),"""",GOOGLETRANSLATE(A58,""en"",""es""))"),"Mike Boyes")</f>
        <v>Mike Boyes</v>
      </c>
    </row>
    <row r="59">
      <c r="A59" s="10" t="s">
        <v>130</v>
      </c>
      <c r="B59" s="12" t="str">
        <f>IFERROR(__xludf.DUMMYFUNCTION("IF(ISBLANK(A59),"""",GOOGLETRANSLATE(A59,""en"",""es""))"),"Suscríbase a nuestro boletín para recibir las últimas noticias en su correo electrónico.")</f>
        <v>Suscríbase a nuestro boletín para recibir las últimas noticias en su correo electrónico.</v>
      </c>
    </row>
    <row r="60">
      <c r="A60" s="10" t="s">
        <v>131</v>
      </c>
      <c r="B60" s="12" t="str">
        <f>IFERROR(__xludf.DUMMYFUNCTION("IF(ISBLANK(A60),"""",GOOGLETRANSLATE(A60,""en"",""es""))"),"abc@example.com")</f>
        <v>abc@example.com</v>
      </c>
    </row>
    <row r="61">
      <c r="A61" s="10" t="s">
        <v>132</v>
      </c>
      <c r="B61" s="12" t="str">
        <f>IFERROR(__xludf.DUMMYFUNCTION("IF(ISBLANK(A61),"""",GOOGLETRANSLATE(A61,""en"",""es""))"),"Suscríbete")</f>
        <v>Suscríbete</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13"/>
  </cols>
  <sheetData>
    <row r="1">
      <c r="A1" s="3" t="s">
        <v>0</v>
      </c>
      <c r="B1" s="3" t="s">
        <v>133</v>
      </c>
    </row>
    <row r="2">
      <c r="A2" s="19" t="s">
        <v>77</v>
      </c>
      <c r="B2" s="12" t="str">
        <f>IFERROR(__xludf.DUMMYFUNCTION("IF(ISBLANK(A2),"""",GOOGLETRANSLATE(A2,""en"",""es""))"),"Seguridad de la información")</f>
        <v>Seguridad de la información</v>
      </c>
    </row>
    <row r="3">
      <c r="A3" s="10" t="s">
        <v>497</v>
      </c>
      <c r="B3" s="12" t="str">
        <f>IFERROR(__xludf.DUMMYFUNCTION("IF(ISBLANK(A3),"""",GOOGLETRANSLATE(A3,""en"",""es""))"),"Servicios avanzados de seguridad de la información")</f>
        <v>Servicios avanzados de seguridad de la información</v>
      </c>
    </row>
    <row r="4">
      <c r="A4" s="10" t="s">
        <v>498</v>
      </c>
      <c r="B4" s="12" t="str">
        <f>IFERROR(__xludf.DUMMYFUNCTION("IF(ISBLANK(A4),"""",GOOGLETRANSLATE(A4,""en"",""es""))"),"Proteja su mundo digital con tecnología preparada para amenazas impulsada por IA.")</f>
        <v>Proteja su mundo digital con tecnología preparada para amenazas impulsada por IA.</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499</v>
      </c>
      <c r="B7" s="12" t="str">
        <f>IFERROR(__xludf.DUMMYFUNCTION("IF(ISBLANK(A7),"""",GOOGLETRANSLATE(A7,""en"",""es""))"),"Proteja su negocio contra las amenazas digitales con seguridad de la información.")</f>
        <v>Proteja su negocio contra las amenazas digitales con seguridad de la información.</v>
      </c>
    </row>
    <row r="8">
      <c r="A8" s="10" t="s">
        <v>500</v>
      </c>
      <c r="B8" s="12" t="str">
        <f>IFERROR(__xludf.DUMMYFUNCTION("IF(ISBLANK(A8),"""",GOOGLETRANSLATE(A8,""en"",""es""))"),"NETSOL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9">
      <c r="A9" s="10" t="s">
        <v>501</v>
      </c>
      <c r="B9" s="12" t="str">
        <f>IFERROR(__xludf.DUMMYFUNCTION("IF(ISBLANK(A9),"""",GOOGLETRANSLATE(A9,""en"",""es""))"),"Aumento repentino de ransomware")</f>
        <v>Aumento repentino de ransomware</v>
      </c>
    </row>
    <row r="10">
      <c r="A10" s="10" t="s">
        <v>502</v>
      </c>
      <c r="B10" s="12" t="str">
        <f>IFERROR(__xludf.DUMMYFUNCTION("IF(ISBLANK(A10),"""",GOOGLETRANSLATE(A10,""en"",""es""))"),"En 2022 se registraron 2.809 ataques de ransomware, cifra que aumentó drásticamente a 5.070 en 2023, lo que supone un incremento sustancial del 55%.")</f>
        <v>En 2022 se registraron 2.809 ataques de ransomware, cifra que aumentó drásticamente a 5.070 en 2023, lo que supone un incremento sustancial del 55%.</v>
      </c>
    </row>
    <row r="11">
      <c r="A11" s="10" t="s">
        <v>503</v>
      </c>
      <c r="B11" s="12" t="str">
        <f>IFERROR(__xludf.DUMMYFUNCTION("IF(ISBLANK(A11),"""",GOOGLETRANSLATE(A11,""en"",""es""))"),"Costos de ciberseguridad")</f>
        <v>Costos de ciberseguridad</v>
      </c>
    </row>
    <row r="12">
      <c r="A12" s="10" t="s">
        <v>504</v>
      </c>
      <c r="B12" s="12" t="str">
        <f>IFERROR(__xludf.DUMMYFUNCTION("IF(ISBLANK(A12),"""",GOOGLETRANSLATE(A12,""en"",""es""))"),"Sin servicios de seguridad robustos en el ámbito de la seguridad de la información, las empresas pierden millones cada año en ciberataques.")</f>
        <v>Sin servicios de seguridad robustos en el ámbito de la seguridad de la información, las empresas pierden millones cada año en ciberataques.</v>
      </c>
    </row>
    <row r="13">
      <c r="A13" s="10" t="s">
        <v>505</v>
      </c>
      <c r="B13" s="12" t="str">
        <f>IFERROR(__xludf.DUMMYFUNCTION("IF(ISBLANK(A13),"""",GOOGLETRANSLATE(A13,""en"",""es""))"),"Costos de filtración de datos")</f>
        <v>Costos de filtración de datos</v>
      </c>
    </row>
    <row r="14">
      <c r="A14" s="10" t="s">
        <v>506</v>
      </c>
      <c r="B14" s="12" t="str">
        <f>IFERROR(__xludf.DUMMYFUNCTION("IF(ISBLANK(A14),"""",GOOGLETRANSLATE(A14,""en"",""es""))"),"El coste medio mundial de las filtraciones de datos alcanzó un máximo histórico de 4.450 millones de dólares en 2023, lo que supone un aumento del 15% en tres años.")</f>
        <v>El coste medio mundial de las filtraciones de datos alcanzó un máximo histórico de 4.450 millones de dólares en 2023, lo que supone un aumento del 15% en tres años.</v>
      </c>
    </row>
    <row r="15">
      <c r="A15" s="10" t="s">
        <v>507</v>
      </c>
      <c r="B15" s="12" t="str">
        <f>IFERROR(__xludf.DUMMYFUNCTION("IF(ISBLANK(A15),"""",GOOGLETRANSLATE(A15,""en"",""es""))"),"La IA derrota las amenazas")</f>
        <v>La IA derrota las amenazas</v>
      </c>
    </row>
    <row r="16">
      <c r="A16" s="10" t="s">
        <v>508</v>
      </c>
      <c r="B16" s="12" t="str">
        <f>IFERROR(__xludf.DUMMYFUNCTION("IF(ISBLANK(A16),"""",GOOGLETRANSLATE(A16,""en"",""es""))"),"El 66% de los usuarios de IA confirmaron que la IA generativa ayudó a predecir ataques de día cero y a reducir los falsos positivos.")</f>
        <v>El 66% de los usuarios de IA confirmaron que la IA generativa ayudó a predecir ataques de día cero y a reducir los falsos positivos.</v>
      </c>
    </row>
    <row r="17">
      <c r="A17" s="10" t="s">
        <v>509</v>
      </c>
      <c r="B17" s="12" t="str">
        <f>IFERROR(__xludf.DUMMYFUNCTION("IF(ISBLANK(A17),"""",GOOGLETRANSLATE(A17,""en"",""es""))"),"Información basada en IA sobre servicios de seguridad de la información")</f>
        <v>Información basada en IA sobre servicios de seguridad de la información</v>
      </c>
    </row>
    <row r="18">
      <c r="A18" s="10" t="s">
        <v>500</v>
      </c>
      <c r="B18" s="12" t="str">
        <f>IFERROR(__xludf.DUMMYFUNCTION("IF(ISBLANK(A18),"""",GOOGLETRANSLATE(A18,""en"",""es""))"),"NETSOL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19">
      <c r="B19" s="12" t="str">
        <f>IFERROR(__xludf.DUMMYFUNCTION("IF(ISBLANK(A19),"""",GOOGLETRANSLATE(A19,""en"",""es""))"),"")</f>
        <v/>
      </c>
    </row>
    <row r="20">
      <c r="A20" s="10" t="s">
        <v>510</v>
      </c>
      <c r="B20" s="12" t="str">
        <f>IFERROR(__xludf.DUMMYFUNCTION("IF(ISBLANK(A20),"""",GOOGLETRANSLATE(A20,""en"",""es""))"),"80% más de éxito")</f>
        <v>80% más de éxito</v>
      </c>
    </row>
    <row r="21">
      <c r="A21" s="10" t="s">
        <v>511</v>
      </c>
      <c r="B21" s="12" t="str">
        <f>IFERROR(__xludf.DUMMYFUNCTION("IF(ISBLANK(A21),"""",GOOGLETRANSLATE(A21,""en"",""es""))"),"Más del 40% de las organizaciones reportaron una tasa de éxito superior al 80% para sus herramientas de ciberseguridad basadas en IA.")</f>
        <v>Más del 40% de las organizaciones reportaron una tasa de éxito superior al 80% para sus herramientas de ciberseguridad basadas en IA.</v>
      </c>
    </row>
    <row r="22">
      <c r="A22" s="10" t="s">
        <v>512</v>
      </c>
      <c r="B22" s="12" t="str">
        <f>IFERROR(__xludf.DUMMYFUNCTION("IF(ISBLANK(A22),"""",GOOGLETRANSLATE(A22,""en"",""es""))"),"un 48% más crucial")</f>
        <v>un 48% más crucial</v>
      </c>
    </row>
    <row r="23">
      <c r="A23" s="10" t="s">
        <v>513</v>
      </c>
      <c r="B23" s="12" t="str">
        <f>IFERROR(__xludf.DUMMYFUNCTION("IF(ISBLANK(A23),"""",GOOGLETRANSLATE(A23,""en"",""es""))"),"Las pymes y las grandes empresas creen ahora que la IA será esencial para protegerse contra los riesgos y las amenazas de ciberseguridad.")</f>
        <v>Las pymes y las grandes empresas creen ahora que la IA será esencial para protegerse contra los riesgos y las amenazas de ciberseguridad.</v>
      </c>
    </row>
    <row r="24">
      <c r="A24" s="10" t="s">
        <v>514</v>
      </c>
      <c r="B24" s="12" t="str">
        <f>IFERROR(__xludf.DUMMYFUNCTION("IF(ISBLANK(A24),"""",GOOGLETRANSLATE(A24,""en"",""es""))"),"Ahorro de 2,09 millones de dólares por empresa")</f>
        <v>Ahorro de 2,09 millones de dólares por empresa</v>
      </c>
    </row>
    <row r="25">
      <c r="A25" s="10" t="s">
        <v>515</v>
      </c>
      <c r="B25" s="12" t="str">
        <f>IFERROR(__xludf.DUMMYFUNCTION("IF(ISBLANK(A25),"""",GOOGLETRANSLATE(A25,""en"",""es""))"),"Las herramientas de ciberseguridad respaldadas por IA pueden generar ahorros de más de 2,09 millones de dólares por empresa en Estados Unidos.")</f>
        <v>Las herramientas de ciberseguridad respaldadas por IA pueden generar ahorros de más de 2,09 millones de dólares por empresa en Estados Unidos.</v>
      </c>
    </row>
    <row r="26">
      <c r="A26" s="10" t="s">
        <v>516</v>
      </c>
      <c r="B26" s="12" t="str">
        <f>IFERROR(__xludf.DUMMYFUNCTION("IF(ISBLANK(A26),"""",GOOGLETRANSLATE(A26,""en"",""es""))"),"Solución de problemas reales en seguridad de la información mediante mecanismos de seguridad rigurosos")</f>
        <v>Solución de problemas reales en seguridad de la información mediante mecanismos de seguridad rigurosos</v>
      </c>
    </row>
    <row r="27">
      <c r="A27" s="10" t="s">
        <v>517</v>
      </c>
      <c r="B27" s="12" t="str">
        <f>IFERROR(__xludf.DUMMYFUNCTION("IF(ISBLANK(A27),"""",GOOGLETRANSLATE(A27,""en"",""es""))"),"Evaluación e identificación")</f>
        <v>Evaluación e identificación</v>
      </c>
    </row>
    <row r="28">
      <c r="A28" s="10" t="s">
        <v>518</v>
      </c>
      <c r="B28" s="12" t="str">
        <f>IFERROR(__xludf.DUMMYFUNCTION("IF(ISBLANK(A28),"""",GOOGLETRANSLATE(A28,""en"",""es""))"),"La evaluación de riesgos y la identificación de vulnerabilidades son esenciales en el sector de la seguridad de la información. Ayudan a evaluar las amenazas financieras dentro del ecosistema de TI, identificando peligros potenciales, sanciones por incump"&amp;"limiento y posibles pérdidas empresariales.")</f>
        <v>La evaluación de riesgos y la identificación de vulnerabilidades son esenciales en el sector de la seguridad de la información. Ayudan a evaluar las amenazas financieras dentro del ecosistema de TI, identificando peligros potenciales, sanciones por incumplimiento y posibles pérdidas empresariales.</v>
      </c>
    </row>
    <row r="29">
      <c r="A29" s="10" t="s">
        <v>519</v>
      </c>
      <c r="B29" s="12" t="str">
        <f>IFERROR(__xludf.DUMMYFUNCTION("IF(ISBLANK(A29),"""",GOOGLETRANSLATE(A29,""en"",""es""))"),"Seguridad empresarial y riesgos informáticos")</f>
        <v>Seguridad empresarial y riesgos informáticos</v>
      </c>
    </row>
    <row r="30">
      <c r="A30" s="10" t="s">
        <v>520</v>
      </c>
      <c r="B30" s="12" t="str">
        <f>IFERROR(__xludf.DUMMYFUNCTION("IF(ISBLANK(A30),"""",GOOGLETRANSLATE(A30,""en"",""es""))"),"Las auditorías de seguridad empresarial y las evaluaciones de riesgos de TI son los primeros mecanismos de defensa para proteger los datos críticos y los activos de TI, ayudando a las organizaciones a identificar vulnerabilidades e implementar controles a"&amp;"decuados para mitigar las amenazas potenciales.")</f>
        <v>Las auditorías de seguridad empresarial y las evaluaciones de riesgos de TI son los primeros mecanismos de defensa para proteger los datos críticos y los activos de TI, ayudando a las organizaciones a identificar vulnerabilidades e implementar controles adecuados para mitigar las amenazas potenciales.</v>
      </c>
    </row>
    <row r="31">
      <c r="A31" s="10" t="s">
        <v>521</v>
      </c>
      <c r="B31" s="12" t="str">
        <f>IFERROR(__xludf.DUMMYFUNCTION("IF(ISBLANK(A31),"""",GOOGLETRANSLATE(A31,""en"",""es""))"),"Prevención y monitoreo")</f>
        <v>Prevención y monitoreo</v>
      </c>
    </row>
    <row r="32">
      <c r="A32" s="10" t="s">
        <v>522</v>
      </c>
      <c r="B32" s="12" t="str">
        <f>IFERROR(__xludf.DUMMYFUNCTION("IF(ISBLANK(A32),"""",GOOGLETRANSLATE(A32,""en"",""es""))"),"Las medidas de seguridad tradicionales a menudo no logran mantenerse al día con las sofisticadas ciberamenazas, lo que ocasiona pérdidas millonarias en ciberataques. NETSOL ayuda a prevenir y monitorear su ecosistema, garantizando la confiabilidad con una"&amp;" sólida defensa contra ataques maliciosos.")</f>
        <v>Las medidas de seguridad tradicionales a menudo no logran mantenerse al día con las sofisticadas ciberamenazas, lo que ocasiona pérdidas millonarias en ciberataques. NETSOL ayuda a prevenir y monitorear su ecosistema, garantizando la confiabilidad con una sólida defensa contra ataques maliciosos.</v>
      </c>
    </row>
    <row r="33">
      <c r="A33" s="10" t="s">
        <v>523</v>
      </c>
      <c r="B33" s="12" t="str">
        <f>IFERROR(__xludf.DUMMYFUNCTION("IF(ISBLANK(A33),"""",GOOGLETRANSLATE(A33,""en"",""es""))"),"Implementaciones de SIEM y SOAR")</f>
        <v>Implementaciones de SIEM y SOAR</v>
      </c>
    </row>
    <row r="34">
      <c r="A34" s="10" t="s">
        <v>524</v>
      </c>
      <c r="B34" s="12" t="str">
        <f>IFERROR(__xludf.DUMMYFUNCTION("IF(ISBLANK(A34),"""",GOOGLETRANSLATE(A34,""en"",""es""))"),"SIEM y SOAR optimizan los centros de operaciones de seguridad al mejorar sus capacidades para detectar, analizar, responder y prevenir incidentes de ciberseguridad. Con la IA aplicada a la seguridad de la información, las empresas pueden aprovechar la det"&amp;"ección mejorada de amenazas y utilizar respuestas dinámicas contra ataques maliciosos.")</f>
        <v>SIEM y SOAR optimizan los centros de operaciones de seguridad al mejorar sus capacidades para detectar, analizar, responder y prevenir incidentes de ciberseguridad. Con la IA aplicada a la seguridad de la información, las empresas pueden aprovechar la detección mejorada de amenazas y utilizar respuestas dinámicas contra ataques maliciosos.</v>
      </c>
    </row>
    <row r="35">
      <c r="A35" s="10" t="s">
        <v>525</v>
      </c>
      <c r="B35" s="12" t="str">
        <f>IFERROR(__xludf.DUMMYFUNCTION("IF(ISBLANK(A35),"""",GOOGLETRANSLATE(A35,""en"",""es""))"),"Gestionado (SoC)")</f>
        <v>Gestionado (SoC)</v>
      </c>
    </row>
    <row r="36">
      <c r="A36" s="10" t="s">
        <v>526</v>
      </c>
      <c r="B36" s="12" t="str">
        <f>IFERROR(__xludf.DUMMYFUNCTION("IF(ISBLANK(A36),"""",GOOGLETRANSLATE(A36,""en"",""es""))"),"A diferencia de los SOC internos tradicionales, los SOC gestionados ofrecen seguridad integral, incluyendo monitorización continua y respuesta ante incidentes. Mediante el uso de herramientas de IA de vanguardia, ayudamos a las empresas a automatizar la r"&amp;"espuesta ante amenazas y mejorar sus capacidades de predicción.")</f>
        <v>A diferencia de los SOC internos tradicionales, los SOC gestionados ofrecen seguridad integral, incluyendo monitorización continua y respuesta ante incidentes. Mediante el uso de herramientas de IA de vanguardia, ayudamos a las empresas a automatizar la respuesta ante amenazas y mejorar sus capacidades de predicción.</v>
      </c>
    </row>
    <row r="37">
      <c r="A37" s="10" t="s">
        <v>527</v>
      </c>
      <c r="B37" s="12" t="str">
        <f>IFERROR(__xludf.DUMMYFUNCTION("IF(ISBLANK(A37),"""",GOOGLETRANSLATE(A37,""en"",""es""))"),"Seguridad en la nube")</f>
        <v>Seguridad en la nube</v>
      </c>
    </row>
    <row r="38">
      <c r="A38" s="10" t="s">
        <v>528</v>
      </c>
      <c r="B38" s="12" t="str">
        <f>IFERROR(__xludf.DUMMYFUNCTION("IF(ISBLANK(A38),"""",GOOGLETRANSLATE(A38,""en"",""es""))"),"Las empresas están migrando cada vez más sus operaciones a entornos en la nube, lo que plantea desafíos únicos para proteger los datos, las aplicaciones y la infraestructura de las ciberamenazas. Es necesario adoptar soluciones de seguridad informática av"&amp;"anzadas.")</f>
        <v>Las empresas están migrando cada vez más sus operaciones a entornos en la nube, lo que plantea desafíos únicos para proteger los datos, las aplicaciones y la infraestructura de las ciberamenazas. Es necesario adoptar soluciones de seguridad informática avanzadas.</v>
      </c>
    </row>
    <row r="39">
      <c r="A39" s="10" t="s">
        <v>128</v>
      </c>
      <c r="B39" s="12" t="str">
        <f>IFERROR(__xludf.DUMMYFUNCTION("IF(ISBLANK(A39),"""",GOOGLETRANSLATE(A39,""en"",""es""))"),"Hablemos de lo que sigue.")</f>
        <v>Hablemos de lo que sigue.</v>
      </c>
    </row>
    <row r="40">
      <c r="A40" s="10" t="s">
        <v>129</v>
      </c>
      <c r="B40" s="12" t="str">
        <f>IFERROR(__xludf.DUMMYFUNCTION("IF(ISBLANK(A40),"""",GOOGLETRANSLATE(A40,""en"",""es""))"),"Replantéate lo que tu empresa puede lograr con el socio adecuado a tu lado.")</f>
        <v>Replantéate lo que tu empresa puede lograr con el socio adecuado a tu lado.</v>
      </c>
    </row>
    <row r="41">
      <c r="B41" s="12" t="str">
        <f>IFERROR(__xludf.DUMMYFUNCTION("IF(ISBLANK(A41),"""",GOOGLETRANSLATE(A41,""en"",""es""))"),"")</f>
        <v/>
      </c>
    </row>
    <row r="42">
      <c r="A42" s="10" t="s">
        <v>116</v>
      </c>
      <c r="B42" s="12" t="str">
        <f>IFERROR(__xludf.DUMMYFUNCTION("IF(ISBLANK(A42),"""",GOOGLETRANSLATE(A42,""en"",""es""))"),"Lecturas y reflexiones destacadas")</f>
        <v>Lecturas y reflexiones destacadas</v>
      </c>
    </row>
    <row r="43">
      <c r="A43" s="17" t="s">
        <v>117</v>
      </c>
      <c r="B43" s="12" t="str">
        <f>IFERROR(__xludf.DUMMYFUNCTION("IF(ISBLANK(A43),"""",GOOGLETRANSLATE(A43,""en"",""es""))"),"Manténgase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4">
      <c r="A44" s="10" t="s">
        <v>118</v>
      </c>
      <c r="B44" s="12" t="str">
        <f>IFERROR(__xludf.DUMMYFUNCTION("IF(ISBLANK(A44),"""",GOOGLETRANSLATE(A44,""en"",""es""))"),"Blog")</f>
        <v>Blog</v>
      </c>
    </row>
    <row r="45">
      <c r="A45" s="10" t="s">
        <v>119</v>
      </c>
      <c r="B45" s="12" t="str">
        <f>IFERROR(__xludf.DUMMYFUNCTION("IF(ISBLANK(A45),"""",GOOGLETRANSLATE(A45,""en"",""es""))"),"Más allá del DMS: Por qué el futuro de la venta minorista de automóviles se basa en las API")</f>
        <v>Más allá del DMS: Por qué el futuro de la venta minorista de automóviles se basa en las API</v>
      </c>
    </row>
    <row r="46">
      <c r="A46" s="10" t="s">
        <v>36</v>
      </c>
      <c r="B46" s="12" t="str">
        <f>IFERROR(__xludf.DUMMYFUNCTION("IF(ISBLANK(A46),"""",GOOGLETRANSLATE(A46,""en"",""es""))"),"Más información")</f>
        <v>Más información</v>
      </c>
    </row>
    <row r="47">
      <c r="B47" s="12" t="str">
        <f>IFERROR(__xludf.DUMMYFUNCTION("IF(ISBLANK(A47),"""",GOOGLETRANSLATE(A47,""en"",""es""))"),"")</f>
        <v/>
      </c>
    </row>
    <row r="48">
      <c r="A48" s="10" t="s">
        <v>120</v>
      </c>
      <c r="B48" s="12" t="str">
        <f>IFERROR(__xludf.DUMMYFUNCTION("IF(ISBLANK(A48),"""",GOOGLETRANSLATE(A48,""en"",""es""))"),"NETSOL estará presente en la Conferencia y Premios GlobalData Automotive Europe 2025.")</f>
        <v>NETSOL estará presente en la Conferencia y Premios GlobalData Automotive Europe 2025.</v>
      </c>
    </row>
    <row r="49">
      <c r="B49" s="12" t="str">
        <f>IFERROR(__xludf.DUMMYFUNCTION("IF(ISBLANK(A49),"""",GOOGLETRANSLATE(A49,""en"",""es""))"),"")</f>
        <v/>
      </c>
    </row>
    <row r="50">
      <c r="B50" s="12" t="str">
        <f>IFERROR(__xludf.DUMMYFUNCTION("IF(ISBLANK(A50),"""",GOOGLETRANSLATE(A50,""en"",""es""))"),"")</f>
        <v/>
      </c>
    </row>
    <row r="51">
      <c r="A51" s="10" t="s">
        <v>121</v>
      </c>
      <c r="B51" s="12" t="str">
        <f>IFERROR(__xludf.DUMMYFUNCTION("IF(ISBLANK(A51),"""",GOOGLETRANSLATE(A51,""en"",""es""))"),"NETSOL participa en la 25ª Cumbre Anual de Financiación Automotriz: Impulsando el futuro de la financiación automotriz")</f>
        <v>NETSOL participa en la 25ª Cumbre Anual de Financiación Automotriz: Impulsando el futuro de la financiación automotriz</v>
      </c>
    </row>
    <row r="52">
      <c r="B52" s="12" t="str">
        <f>IFERROR(__xludf.DUMMYFUNCTION("IF(ISBLANK(A52),"""",GOOGLETRANSLATE(A52,""en"",""es""))"),"")</f>
        <v/>
      </c>
    </row>
    <row r="53">
      <c r="B53" s="12" t="str">
        <f>IFERROR(__xludf.DUMMYFUNCTION("IF(ISBLANK(A53),"""",GOOGLETRANSLATE(A53,""en"",""es""))"),"")</f>
        <v/>
      </c>
    </row>
    <row r="54">
      <c r="A54" s="10" t="s">
        <v>122</v>
      </c>
      <c r="B54" s="12" t="str">
        <f>IFERROR(__xludf.DUMMYFUNCTION("IF(ISBLANK(A54),"""",GOOGLETRANSLATE(A54,""en"",""es""))"),"NETSOL está presente en Digital Dealer 2025: Impulsando el futuro de la venta minorista de automóviles.")</f>
        <v>NETSOL está presente en Digital Dealer 2025: Impulsando el futuro de la venta minorista de automóviles.</v>
      </c>
    </row>
    <row r="55">
      <c r="B55" s="12" t="str">
        <f>IFERROR(__xludf.DUMMYFUNCTION("IF(ISBLANK(A55),"""",GOOGLETRANSLATE(A55,""en"",""es""))"),"")</f>
        <v/>
      </c>
    </row>
    <row r="56">
      <c r="B56" s="12" t="str">
        <f>IFERROR(__xludf.DUMMYFUNCTION("IF(ISBLANK(A56),"""",GOOGLETRANSLATE(A56,""en"",""es""))"),"")</f>
        <v/>
      </c>
    </row>
    <row r="57">
      <c r="A57" s="13" t="s">
        <v>123</v>
      </c>
      <c r="B57" s="12" t="str">
        <f>IFERROR(__xludf.DUMMYFUNCTION("IF(ISBLANK(A57),"""",GOOGLETRANSLATE(A57,""en"",""es""))"),"La IA en el sector BFSI: revolucionando la gestión de riesgos")</f>
        <v>La IA en el sector BFSI: revolucionando la gestión de riesgos</v>
      </c>
    </row>
    <row r="58">
      <c r="B58" s="12" t="str">
        <f>IFERROR(__xludf.DUMMYFUNCTION("IF(ISBLANK(A58),"""",GOOGLETRANSLATE(A58,""en"",""es""))"),"")</f>
        <v/>
      </c>
    </row>
    <row r="59">
      <c r="B59" s="12" t="str">
        <f>IFERROR(__xludf.DUMMYFUNCTION("IF(ISBLANK(A59),"""",GOOGLETRANSLATE(A59,""en"",""es""))"),"")</f>
        <v/>
      </c>
    </row>
    <row r="60">
      <c r="A60" s="10" t="s">
        <v>124</v>
      </c>
      <c r="B60" s="12" t="str">
        <f>IFERROR(__xludf.DUMMYFUNCTION("IF(ISBLANK(A60),"""",GOOGLETRANSLATE(A60,""en"",""es""))"),"La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1">
      <c r="B61" s="12" t="str">
        <f>IFERROR(__xludf.DUMMYFUNCTION("IF(ISBLANK(A61),"""",GOOGLETRANSLATE(A61,""en"",""es""))"),"")</f>
        <v/>
      </c>
    </row>
    <row r="62">
      <c r="B62" s="12" t="str">
        <f>IFERROR(__xludf.DUMMYFUNCTION("IF(ISBLANK(A62),"""",GOOGLETRANSLATE(A62,""en"",""es""))"),"")</f>
        <v/>
      </c>
    </row>
    <row r="63">
      <c r="A63" s="10" t="s">
        <v>125</v>
      </c>
      <c r="B63" s="12" t="str">
        <f>IFERROR(__xludf.DUMMYFUNCTION("IF(ISBLANK(A63),"""",GOOGLETRANSLATE(A63,""en"",""es""))"),"El verdadero coste de los sistemas desconectados en la venta minorista de automóviles")</f>
        <v>El verdadero coste de los sistemas desconectados en la venta minorista de automóviles</v>
      </c>
    </row>
    <row r="64">
      <c r="B64" s="12" t="str">
        <f>IFERROR(__xludf.DUMMYFUNCTION("IF(ISBLANK(A64),"""",GOOGLETRANSLATE(A64,""en"",""es""))"),"")</f>
        <v/>
      </c>
    </row>
    <row r="65">
      <c r="B65" s="12" t="str">
        <f>IFERROR(__xludf.DUMMYFUNCTION("IF(ISBLANK(A65),"""",GOOGLETRANSLATE(A65,""en"",""es""))"),"")</f>
        <v/>
      </c>
    </row>
    <row r="66">
      <c r="A66" s="10" t="s">
        <v>126</v>
      </c>
      <c r="B66" s="12" t="str">
        <f>IFERROR(__xludf.DUMMYFUNCTION("IF(ISBLANK(A66),"""",GOOGLETRANSLATE(A66,""en"",""es""))"),"Las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7">
      <c r="B67" s="12" t="str">
        <f>IFERROR(__xludf.DUMMYFUNCTION("IF(ISBLANK(A67),"""",GOOGLETRANSLATE(A67,""en"",""es""))"),"")</f>
        <v/>
      </c>
    </row>
    <row r="68">
      <c r="B68" s="12" t="str">
        <f>IFERROR(__xludf.DUMMYFUNCTION("IF(ISBLANK(A68),"""",GOOGLETRANSLATE(A68,""en"",""es""))"),"")</f>
        <v/>
      </c>
    </row>
    <row r="69">
      <c r="A69" s="10" t="s">
        <v>127</v>
      </c>
      <c r="B69" s="12" t="str">
        <f>IFERROR(__xludf.DUMMYFUNCTION("IF(ISBLANK(A69),"""",GOOGLETRANSLATE(A69,""en"",""es""))"),"Lucha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0">
      <c r="B70" s="12" t="str">
        <f>IFERROR(__xludf.DUMMYFUNCTION("IF(ISBLANK(A70),"""",GOOGLETRANSLATE(A70,""en"",""es""))"),"")</f>
        <v/>
      </c>
    </row>
    <row r="71">
      <c r="A71" s="10" t="s">
        <v>130</v>
      </c>
      <c r="B71" s="12" t="str">
        <f>IFERROR(__xludf.DUMMYFUNCTION("IF(ISBLANK(A71),"""",GOOGLETRANSLATE(A71,""en"",""es""))"),"Suscríbase a nuestro boletín para recibir las últimas noticias en su correo electrónico.")</f>
        <v>Suscríbase a nuestro boletín para recibir las últimas noticias en su correo electrónico.</v>
      </c>
    </row>
    <row r="72">
      <c r="A72" s="10" t="s">
        <v>131</v>
      </c>
      <c r="B72" s="12" t="str">
        <f>IFERROR(__xludf.DUMMYFUNCTION("IF(ISBLANK(A72),"""",GOOGLETRANSLATE(A72,""en"",""es""))"),"abc@example.com")</f>
        <v>abc@example.com</v>
      </c>
    </row>
    <row r="73">
      <c r="A73" s="10" t="s">
        <v>132</v>
      </c>
      <c r="B73" s="12" t="str">
        <f>IFERROR(__xludf.DUMMYFUNCTION("IF(ISBLANK(A73),"""",GOOGLETRANSLATE(A73,""en"",""es""))"),"Suscríbete")</f>
        <v>Suscríbete</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5"/>
  </cols>
  <sheetData>
    <row r="1">
      <c r="A1" s="3" t="s">
        <v>0</v>
      </c>
      <c r="B1" s="3" t="s">
        <v>133</v>
      </c>
    </row>
    <row r="2">
      <c r="A2" s="10" t="s">
        <v>154</v>
      </c>
      <c r="B2" s="12" t="str">
        <f>IFERROR(__xludf.DUMMYFUNCTION("IF(ISBLANK(A2),"""",GOOGLETRANSLATE(A2,""en"",""es""))"),"Soluciones digitales")</f>
        <v>Soluciones digitales</v>
      </c>
    </row>
    <row r="3">
      <c r="A3" s="10" t="s">
        <v>529</v>
      </c>
      <c r="B3" s="12" t="str">
        <f>IFERROR(__xludf.DUMMYFUNCTION("IF(ISBLANK(A3),"""",GOOGLETRANSLATE(A3,""en"",""es""))"),"Potenciando tu futuro digital")</f>
        <v>Potenciando tu futuro digital</v>
      </c>
    </row>
    <row r="4">
      <c r="A4" s="10" t="s">
        <v>530</v>
      </c>
      <c r="B4" s="12" t="str">
        <f>IFERROR(__xludf.DUMMYFUNCTION("IF(ISBLANK(A4),"""",GOOGLETRANSLATE(A4,""en"",""es""))"),"Impulsa tu éxito a través de servicios estratégicos de colaboración en talento y soluciones digitales de última generación.")</f>
        <v>Impulsa tu éxito a través de servicios estratégicos de colaboración en talento y soluciones digitales de última generación.</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531</v>
      </c>
      <c r="B7" s="12" t="str">
        <f>IFERROR(__xludf.DUMMYFUNCTION("IF(ISBLANK(A7),"""",GOOGLETRANSLATE(A7,""en"",""es""))"),"El futuro de la tecnología")</f>
        <v>El futuro de la tecnología</v>
      </c>
    </row>
    <row r="8">
      <c r="B8" s="12" t="str">
        <f>IFERROR(__xludf.DUMMYFUNCTION("IF(ISBLANK(A8),"""",GOOGLETRANSLATE(A8,""en"",""es""))"),"")</f>
        <v/>
      </c>
    </row>
    <row r="9">
      <c r="A9" s="10" t="s">
        <v>532</v>
      </c>
      <c r="B9" s="12" t="str">
        <f>IFERROR(__xludf.DUMMYFUNCTION("IF(ISBLANK(A9),"""",GOOGLETRANSLATE(A9,""en"",""es""))"),"Más allá de la automatización, impulsando la innovación con soluciones digitales")</f>
        <v>Más allá de la automatización, impulsando la innovación con soluciones digitales</v>
      </c>
    </row>
    <row r="10">
      <c r="A10" s="10" t="s">
        <v>533</v>
      </c>
      <c r="B10" s="12" t="str">
        <f>IFERROR(__xludf.DUMMYFUNCTION("IF(ISBLANK(A10),"""",GOOGLETRANSLATE(A10,""en"",""es""))"),"Las empresas están transformando el mundo con soluciones de gestión del talento, explorando el crecimiento exponencial y la revolución tecnológica. Los datos y la IA potencian la experiencia y la inteligencia humanas. NETSOL abre una nueva dimensión en la"&amp;" estructura del trabajo, uniendo el potencial humano y el digital. Como sus socios tecnológicos digitales, impulsamos la innovación y la agilidad, brindándoles un talento sin igual, liberando el potencial de su organización e impulsando sus proyectos a un"&amp;"a velocidad inigualable.")</f>
        <v>Las empresas están transformando el mundo con soluciones de gestión del talento, explorando el crecimiento exponencial y la revolución tecnológica. Los datos y la IA potencian la experiencia y la inteligencia humanas. NETSOL abre una nueva dimensión en la estructura del trabajo, uniendo el potencial humano y el digital. Como sus socios tecnológicos digitales, impulsamos la innovación y la agilidad, brindándoles un talento sin igual, liberando el potencial de su organización e impulsando sus proyectos a una velocidad inigualable.</v>
      </c>
    </row>
    <row r="11">
      <c r="A11" s="10" t="s">
        <v>534</v>
      </c>
      <c r="B11" s="12" t="str">
        <f>IFERROR(__xludf.DUMMYFUNCTION("IF(ISBLANK(A11),"""",GOOGLETRANSLATE(A11,""en"",""es""))"),"Renuncia silenciosa")</f>
        <v>Renuncia silenciosa</v>
      </c>
    </row>
    <row r="12">
      <c r="A12" s="10" t="s">
        <v>535</v>
      </c>
      <c r="B12" s="12" t="str">
        <f>IFERROR(__xludf.DUMMYFUNCTION("IF(ISBLANK(A12),"""",GOOGLETRANSLATE(A12,""en"",""es""))"),"En 2024, la ""renuncia silenciosa"" se ha convertido en una tendencia, donde más del 50% de los empleados no están dispuestos a realizar un esfuerzo adicional.")</f>
        <v>En 2024, la "renuncia silenciosa" se ha convertido en una tendencia, donde más del 50% de los empleados no están dispuestos a realizar un esfuerzo adicional.</v>
      </c>
    </row>
    <row r="13">
      <c r="A13" s="10" t="s">
        <v>536</v>
      </c>
      <c r="B13" s="12" t="str">
        <f>IFERROR(__xludf.DUMMYFUNCTION("IF(ISBLANK(A13),"""",GOOGLETRANSLATE(A13,""en"",""es""))"),"disparidad en la formación")</f>
        <v>disparidad en la formación</v>
      </c>
    </row>
    <row r="14">
      <c r="A14" s="10" t="s">
        <v>537</v>
      </c>
      <c r="B14" s="12" t="str">
        <f>IFERROR(__xludf.DUMMYFUNCTION("IF(ISBLANK(A14),"""",GOOGLETRANSLATE(A14,""en"",""es""))"),"El 36% de las organizaciones ofrece capacitación trimestral a sus empleados, pero solo el 5% proporciona programas de capacitación básica.")</f>
        <v>El 36% de las organizaciones ofrece capacitación trimestral a sus empleados, pero solo el 5% proporciona programas de capacitación básica.</v>
      </c>
    </row>
    <row r="15">
      <c r="A15" s="10" t="s">
        <v>538</v>
      </c>
      <c r="B15" s="12" t="str">
        <f>IFERROR(__xludf.DUMMYFUNCTION("IF(ISBLANK(A15),"""",GOOGLETRANSLATE(A15,""en"",""es""))"),"Fracaso de gestión")</f>
        <v>Fracaso de gestión</v>
      </c>
    </row>
    <row r="16">
      <c r="A16" s="10" t="s">
        <v>539</v>
      </c>
      <c r="B16" s="12" t="str">
        <f>IFERROR(__xludf.DUMMYFUNCTION("IF(ISBLANK(A16),"""",GOOGLETRANSLATE(A16,""en"",""es""))"),"La mala gestión provoca que las empresas pierdan más de 450 mil millones de dólares anuales en productividad.")</f>
        <v>La mala gestión provoca que las empresas pierdan más de 450 mil millones de dólares anuales en productividad.</v>
      </c>
    </row>
    <row r="17">
      <c r="A17" s="10" t="s">
        <v>540</v>
      </c>
      <c r="B17" s="12" t="str">
        <f>IFERROR(__xludf.DUMMYFUNCTION("IF(ISBLANK(A17),"""",GOOGLETRANSLATE(A17,""en"",""es""))"),"Impacto de la entrevista")</f>
        <v>Impacto de la entrevista</v>
      </c>
    </row>
    <row r="18">
      <c r="A18" s="10" t="s">
        <v>541</v>
      </c>
      <c r="B18" s="12" t="str">
        <f>IFERROR(__xludf.DUMMYFUNCTION("IF(ISBLANK(A18),"""",GOOGLETRANSLATE(A18,""en"",""es""))"),"El 65% de los empleados pierden el interés en un trabajo debido a una mala experiencia en la entrevista.")</f>
        <v>El 65% de los empleados pierden el interés en un trabajo debido a una mala experiencia en la entrevista.</v>
      </c>
    </row>
    <row r="19">
      <c r="A19" s="10" t="s">
        <v>542</v>
      </c>
      <c r="B19" s="12" t="str">
        <f>IFERROR(__xludf.DUMMYFUNCTION("IF(ISBLANK(A19),"""",GOOGLETRANSLATE(A19,""en"",""es""))"),"Información basada en IA sobre soluciones digitales y servicios de colaboración con el talento")</f>
        <v>Información basada en IA sobre soluciones digitales y servicios de colaboración con el talento</v>
      </c>
    </row>
    <row r="20">
      <c r="A20" s="10" t="s">
        <v>500</v>
      </c>
      <c r="B20" s="12" t="str">
        <f>IFERROR(__xludf.DUMMYFUNCTION("IF(ISBLANK(A20),"""",GOOGLETRANSLATE(A20,""en"",""es""))"),"NETSOL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21">
      <c r="B21" s="12" t="str">
        <f>IFERROR(__xludf.DUMMYFUNCTION("IF(ISBLANK(A21),"""",GOOGLETRANSLATE(A21,""en"",""es""))"),"")</f>
        <v/>
      </c>
    </row>
    <row r="22">
      <c r="A22" s="10" t="s">
        <v>543</v>
      </c>
      <c r="B22" s="12" t="str">
        <f>IFERROR(__xludf.DUMMYFUNCTION("IF(ISBLANK(A22),"""",GOOGLETRANSLATE(A22,""en"",""es""))"),"8 veces más éxito")</f>
        <v>8 veces más éxito</v>
      </c>
    </row>
    <row r="23">
      <c r="A23" s="10" t="s">
        <v>544</v>
      </c>
      <c r="B23" s="12" t="str">
        <f>IFERROR(__xludf.DUMMYFUNCTION("IF(ISBLANK(A23),"""",GOOGLETRANSLATE(A23,""en"",""es""))"),"Las empresas que alcanzan un alto grado de madurez digital con eficiencia operativa tienen 8 veces más probabilidades de superar a sus competidores.")</f>
        <v>Las empresas que alcanzan un alto grado de madurez digital con eficiencia operativa tienen 8 veces más probabilidades de superar a sus competidores.</v>
      </c>
    </row>
    <row r="24">
      <c r="A24" s="10" t="s">
        <v>545</v>
      </c>
      <c r="B24" s="12" t="str">
        <f>IFERROR(__xludf.DUMMYFUNCTION("IF(ISBLANK(A24),"""",GOOGLETRANSLATE(A24,""en"",""es""))"),"Ahorro de costes del 50%")</f>
        <v>Ahorro de costes del 50%</v>
      </c>
    </row>
    <row r="25">
      <c r="A25" s="10" t="s">
        <v>546</v>
      </c>
      <c r="B25" s="12" t="str">
        <f>IFERROR(__xludf.DUMMYFUNCTION("IF(ISBLANK(A25),"""",GOOGLETRANSLATE(A25,""en"",""es""))"),"El eficiente equipo de marketing bajo demanda de NETSOL consigue un ahorro de costes del 50% en comparación con las contrataciones internas.")</f>
        <v>El eficiente equipo de marketing bajo demanda de NETSOL consigue un ahorro de costes del 50% en comparación con las contrataciones internas.</v>
      </c>
    </row>
    <row r="26">
      <c r="A26" s="10" t="s">
        <v>547</v>
      </c>
      <c r="B26" s="12" t="str">
        <f>IFERROR(__xludf.DUMMYFUNCTION("IF(ISBLANK(A26),"""",GOOGLETRANSLATE(A26,""en"",""es""))"),"44% listos para la innovación")</f>
        <v>44% listos para la innovación</v>
      </c>
    </row>
    <row r="27">
      <c r="A27" s="10" t="s">
        <v>548</v>
      </c>
      <c r="B27" s="12" t="str">
        <f>IFERROR(__xludf.DUMMYFUNCTION("IF(ISBLANK(A27),"""",GOOGLETRANSLATE(A27,""en"",""es""))"),"Casi el 87% de las empresas coinciden en que la revolución digital puede transformar su sector. Sin embargo, solo el 44% está preparado para adoptarla.")</f>
        <v>Casi el 87% de las empresas coinciden en que la revolución digital puede transformar su sector. Sin embargo, solo el 44% está preparado para adoptarla.</v>
      </c>
    </row>
    <row r="28">
      <c r="A28" s="10" t="s">
        <v>549</v>
      </c>
      <c r="B28" s="12" t="str">
        <f>IFERROR(__xludf.DUMMYFUNCTION("IF(ISBLANK(A28),"""",GOOGLETRANSLATE(A28,""en"",""es""))"),"Servicios inigualables de innovación digital y colaboración con el talento")</f>
        <v>Servicios inigualables de innovación digital y colaboración con el talento</v>
      </c>
    </row>
    <row r="29">
      <c r="A29" s="10" t="s">
        <v>550</v>
      </c>
      <c r="B29" s="12" t="str">
        <f>IFERROR(__xludf.DUMMYFUNCTION("IF(ISBLANK(A29),"""",GOOGLETRANSLATE(A29,""en"",""es""))"),"Servicios de transformación digital")</f>
        <v>Servicios de transformación digital</v>
      </c>
    </row>
    <row r="30">
      <c r="A30" s="10" t="s">
        <v>551</v>
      </c>
      <c r="B30" s="12" t="str">
        <f>IFERROR(__xludf.DUMMYFUNCTION("IF(ISBLANK(A30),"""",GOOGLETRANSLATE(A30,""en"",""es""))"),"Para afrontar la transformación digital y las amenazas a la seguridad, se requiere asesoramiento experto. NETSOL diseña estrategias con IA, ciberseguridad y gestión ágil de proyectos. Aproveche las herramientas de IA, la automatización, el análisis predic"&amp;"tivo y la capacitación continua para mejorar la eficiencia y la productividad.")</f>
        <v>Para afrontar la transformación digital y las amenazas a la seguridad, se requiere asesoramiento experto. NETSOL diseña estrategias con IA, ciberseguridad y gestión ágil de proyectos. Aproveche las herramientas de IA, la automatización, el análisis predictivo y la capacitación continua para mejorar la eficiencia y la productividad.</v>
      </c>
    </row>
    <row r="31">
      <c r="A31" s="10" t="s">
        <v>552</v>
      </c>
      <c r="B31" s="12" t="str">
        <f>IFERROR(__xludf.DUMMYFUNCTION("IF(ISBLANK(A31),"""",GOOGLETRANSLATE(A31,""en"",""es""))"),"aumento de recursos")</f>
        <v>aumento de recursos</v>
      </c>
    </row>
    <row r="32">
      <c r="A32" s="10" t="s">
        <v>553</v>
      </c>
      <c r="B32" s="12" t="str">
        <f>IFERROR(__xludf.DUMMYFUNCTION("IF(ISBLANK(A32),"""",GOOGLETRANSLATE(A32,""en"",""es""))"),"Para un equipo de alto rendimiento, necesitas contar con el mejor talento técnico. Con NETSOL, supera las limitaciones geográficas y encuentra el talento que necesitas gracias a nuestra ampliación de recursos locales, cercanos y en el extranjero, que te a"&amp;"yuda a contratar a los mejores profesionales.")</f>
        <v>Para un equipo de alto rendimiento, necesitas contar con el mejor talento técnico. Con NETSOL, supera las limitaciones geográficas y encuentra el talento que necesitas gracias a nuestra ampliación de recursos locales, cercanos y en el extranjero, que te ayuda a contratar a los mejores profesionales.</v>
      </c>
    </row>
    <row r="33">
      <c r="A33" s="10" t="s">
        <v>554</v>
      </c>
      <c r="B33" s="12" t="str">
        <f>IFERROR(__xludf.DUMMYFUNCTION("IF(ISBLANK(A33),"""",GOOGLETRANSLATE(A33,""en"",""es""))"),"Servicios de apoyo")</f>
        <v>Servicios de apoyo</v>
      </c>
    </row>
    <row r="34">
      <c r="A34" s="10" t="s">
        <v>555</v>
      </c>
      <c r="B34" s="12" t="str">
        <f>IFERROR(__xludf.DUMMYFUNCTION("IF(ISBLANK(A34),"""",GOOGLETRANSLATE(A34,""en"",""es""))"),"El buen funcionamiento y una atención al cliente excepcional son fundamentales para el crecimiento de su negocio. Con nuestras alianzas digitales, optimizamos la eficiencia aprovechando el mantenimiento y la gestión proactivos impulsados ​​por IA y la for"&amp;"mación en servicio para su marca.")</f>
        <v>El buen funcionamiento y una atención al cliente excepcional son fundamentales para el crecimiento de su negocio. Con nuestras alianzas digitales, optimizamos la eficiencia aprovechando el mantenimiento y la gestión proactivos impulsados ​​por IA y la formación en servicio para su marca.</v>
      </c>
    </row>
    <row r="35">
      <c r="A35" s="10" t="s">
        <v>556</v>
      </c>
      <c r="B35" s="12" t="str">
        <f>IFERROR(__xludf.DUMMYFUNCTION("IF(ISBLANK(A35),"""",GOOGLETRANSLATE(A35,""en"",""es""))"),"Migración y formación en Jira")</f>
        <v>Migración y formación en Jira</v>
      </c>
    </row>
    <row r="36">
      <c r="A36" s="10" t="s">
        <v>557</v>
      </c>
      <c r="B36" s="12" t="str">
        <f>IFERROR(__xludf.DUMMYFUNCTION("IF(ISBLANK(A36),"""",GOOGLETRANSLATE(A36,""en"",""es""))"),"Implementar, migrar y dominar Jira en este entorno de desarrollo ágil puede ser complejo. NETSOL ofrece potenciar su negocio con configuración inteligente y automatización de flujos de trabajo, migración de datos sin interrupciones y capacitación y adopci"&amp;"ón de usuarios impulsadas por IA.")</f>
        <v>Implementar, migrar y dominar Jira en este entorno de desarrollo ágil puede ser complejo. NETSOL ofrece potenciar su negocio con configuración inteligente y automatización de flujos de trabajo, migración de datos sin interrupciones y capacitación y adopción de usuarios impulsadas por IA.</v>
      </c>
    </row>
    <row r="37">
      <c r="A37" s="10" t="s">
        <v>558</v>
      </c>
      <c r="B37" s="12" t="str">
        <f>IFERROR(__xludf.DUMMYFUNCTION("IF(ISBLANK(A37),"""",GOOGLETRANSLATE(A37,""en"",""es""))"),"Formación y desarrollo")</f>
        <v>Formación y desarrollo</v>
      </c>
    </row>
    <row r="38">
      <c r="A38" s="10" t="s">
        <v>559</v>
      </c>
      <c r="B38" s="12" t="str">
        <f>IFERROR(__xludf.DUMMYFUNCTION("IF(ISBLANK(A38),"""",GOOGLETRANSLATE(A38,""en"",""es""))"),"El aprendizaje y el desarrollo continuos son esenciales para un sistema de desarrollo optimizado. Descubre itinerarios de aprendizaje personalizados analizando las carencias de habilidades e integrando con nosotros el aprendizaje adaptativo, el microapren"&amp;"dizaje y la gestión del rendimiento en tiempo real.")</f>
        <v>El aprendizaje y el desarrollo continuos son esenciales para un sistema de desarrollo optimizado. Descubre itinerarios de aprendizaje personalizados analizando las carencias de habilidades e integrando con nosotros el aprendizaje adaptativo, el microaprendizaje y la gestión del rendimiento en tiempo real.</v>
      </c>
    </row>
    <row r="39">
      <c r="A39" s="10" t="s">
        <v>560</v>
      </c>
      <c r="B39" s="12" t="str">
        <f>IFERROR(__xludf.DUMMYFUNCTION("IF(ISBLANK(A39),"""",GOOGLETRANSLATE(A39,""en"",""es""))"),"Servicios y soluciones técnicas")</f>
        <v>Servicios y soluciones técnicas</v>
      </c>
    </row>
    <row r="40">
      <c r="A40" s="10" t="s">
        <v>561</v>
      </c>
      <c r="B40" s="12" t="str">
        <f>IFERROR(__xludf.DUMMYFUNCTION("IF(ISBLANK(A40),"""",GOOGLETRANSLATE(A40,""en"",""es""))"),"Gestionar servicios técnicos requiere experiencia. Con nuestras soluciones de consultoría digital y talento, impulse su negocio con gestión, desarrollo y automatización de infraestructuras impulsadas por IA, una revolución tecnológica preparada para el fu"&amp;"turo y resolución asistida por IA.")</f>
        <v>Gestionar servicios técnicos requiere experiencia. Con nuestras soluciones de consultoría digital y talento, impulse su negocio con gestión, desarrollo y automatización de infraestructuras impulsadas por IA, una revolución tecnológica preparada para el futuro y resolución asistida por IA.</v>
      </c>
    </row>
    <row r="41">
      <c r="A41" s="10" t="s">
        <v>128</v>
      </c>
      <c r="B41" s="12" t="str">
        <f>IFERROR(__xludf.DUMMYFUNCTION("IF(ISBLANK(A41),"""",GOOGLETRANSLATE(A41,""en"",""es""))"),"Hablemos de lo que sigue.")</f>
        <v>Hablemos de lo que sigue.</v>
      </c>
    </row>
    <row r="42">
      <c r="A42" s="10" t="s">
        <v>562</v>
      </c>
      <c r="B42" s="12" t="str">
        <f>IFERROR(__xludf.DUMMYFUNCTION("IF(ISBLANK(A42),"""",GOOGLETRANSLATE(A42,""en"",""es""))"),"Potencia tu transformación digital y libera un potencial ilimitado a través de alianzas estratégicas con talento.")</f>
        <v>Potencia tu transformación digital y libera un potencial ilimitado a través de alianzas estratégicas con talento.</v>
      </c>
    </row>
    <row r="43">
      <c r="B43" s="12" t="str">
        <f>IFERROR(__xludf.DUMMYFUNCTION("IF(ISBLANK(A43),"""",GOOGLETRANSLATE(A43,""en"",""es""))"),"")</f>
        <v/>
      </c>
    </row>
    <row r="44">
      <c r="A44" s="10" t="s">
        <v>116</v>
      </c>
      <c r="B44" s="12" t="str">
        <f>IFERROR(__xludf.DUMMYFUNCTION("IF(ISBLANK(A44),"""",GOOGLETRANSLATE(A44,""en"",""es""))"),"Lecturas y reflexiones destacadas")</f>
        <v>Lecturas y reflexiones destacadas</v>
      </c>
    </row>
    <row r="45">
      <c r="A45" s="17" t="s">
        <v>117</v>
      </c>
      <c r="B45" s="12" t="str">
        <f>IFERROR(__xludf.DUMMYFUNCTION("IF(ISBLANK(A45),"""",GOOGLETRANSLATE(A45,""en"",""es""))"),"Manténgase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6">
      <c r="A46" s="10" t="s">
        <v>118</v>
      </c>
      <c r="B46" s="12" t="str">
        <f>IFERROR(__xludf.DUMMYFUNCTION("IF(ISBLANK(A46),"""",GOOGLETRANSLATE(A46,""en"",""es""))"),"Blog")</f>
        <v>Blog</v>
      </c>
    </row>
    <row r="47">
      <c r="A47" s="10" t="s">
        <v>119</v>
      </c>
      <c r="B47" s="12" t="str">
        <f>IFERROR(__xludf.DUMMYFUNCTION("IF(ISBLANK(A47),"""",GOOGLETRANSLATE(A47,""en"",""es""))"),"Más allá del DMS: Por qué el futuro de la venta minorista de automóviles se basa en las API")</f>
        <v>Más allá del DMS: Por qué el futuro de la venta minorista de automóviles se basa en las API</v>
      </c>
    </row>
    <row r="48">
      <c r="A48" s="10" t="s">
        <v>36</v>
      </c>
      <c r="B48" s="12" t="str">
        <f>IFERROR(__xludf.DUMMYFUNCTION("IF(ISBLANK(A48),"""",GOOGLETRANSLATE(A48,""en"",""es""))"),"Más información")</f>
        <v>Más información</v>
      </c>
    </row>
    <row r="49">
      <c r="B49" s="12" t="str">
        <f>IFERROR(__xludf.DUMMYFUNCTION("IF(ISBLANK(A49),"""",GOOGLETRANSLATE(A49,""en"",""es""))"),"")</f>
        <v/>
      </c>
    </row>
    <row r="50">
      <c r="A50" s="10" t="s">
        <v>120</v>
      </c>
      <c r="B50" s="12" t="str">
        <f>IFERROR(__xludf.DUMMYFUNCTION("IF(ISBLANK(A50),"""",GOOGLETRANSLATE(A50,""en"",""es""))"),"NETSOL estará presente en la Conferencia y Premios GlobalData Automotive Europe 2025.")</f>
        <v>NETSOL estará presente en la Conferencia y Premios GlobalData Automotive Europe 2025.</v>
      </c>
    </row>
    <row r="51">
      <c r="B51" s="12" t="str">
        <f>IFERROR(__xludf.DUMMYFUNCTION("IF(ISBLANK(A51),"""",GOOGLETRANSLATE(A51,""en"",""es""))"),"")</f>
        <v/>
      </c>
    </row>
    <row r="52">
      <c r="B52" s="12" t="str">
        <f>IFERROR(__xludf.DUMMYFUNCTION("IF(ISBLANK(A52),"""",GOOGLETRANSLATE(A52,""en"",""es""))"),"")</f>
        <v/>
      </c>
    </row>
    <row r="53">
      <c r="A53" s="10" t="s">
        <v>121</v>
      </c>
      <c r="B53" s="12" t="str">
        <f>IFERROR(__xludf.DUMMYFUNCTION("IF(ISBLANK(A53),"""",GOOGLETRANSLATE(A53,""en"",""es""))"),"NETSOL participa en la 25ª Cumbre Anual de Financiación Automotriz: Impulsando el futuro de la financiación automotriz")</f>
        <v>NETSOL participa en la 25ª Cumbre Anual de Financiación Automotriz: Impulsando el futuro de la financiación automotriz</v>
      </c>
    </row>
    <row r="54">
      <c r="B54" s="12" t="str">
        <f>IFERROR(__xludf.DUMMYFUNCTION("IF(ISBLANK(A54),"""",GOOGLETRANSLATE(A54,""en"",""es""))"),"")</f>
        <v/>
      </c>
    </row>
    <row r="55">
      <c r="B55" s="12" t="str">
        <f>IFERROR(__xludf.DUMMYFUNCTION("IF(ISBLANK(A55),"""",GOOGLETRANSLATE(A55,""en"",""es""))"),"")</f>
        <v/>
      </c>
    </row>
    <row r="56">
      <c r="A56" s="10" t="s">
        <v>122</v>
      </c>
      <c r="B56" s="12" t="str">
        <f>IFERROR(__xludf.DUMMYFUNCTION("IF(ISBLANK(A56),"""",GOOGLETRANSLATE(A56,""en"",""es""))"),"NETSOL está presente en Digital Dealer 2025: Impulsando el futuro de la venta minorista de automóviles.")</f>
        <v>NETSOL está presente en Digital Dealer 2025: Impulsando el futuro de la venta minorista de automóviles.</v>
      </c>
    </row>
    <row r="57">
      <c r="B57" s="12" t="str">
        <f>IFERROR(__xludf.DUMMYFUNCTION("IF(ISBLANK(A57),"""",GOOGLETRANSLATE(A57,""en"",""es""))"),"")</f>
        <v/>
      </c>
    </row>
    <row r="58">
      <c r="B58" s="12" t="str">
        <f>IFERROR(__xludf.DUMMYFUNCTION("IF(ISBLANK(A58),"""",GOOGLETRANSLATE(A58,""en"",""es""))"),"")</f>
        <v/>
      </c>
    </row>
    <row r="59">
      <c r="A59" s="13" t="s">
        <v>123</v>
      </c>
      <c r="B59" s="12" t="str">
        <f>IFERROR(__xludf.DUMMYFUNCTION("IF(ISBLANK(A59),"""",GOOGLETRANSLATE(A59,""en"",""es""))"),"La IA en el sector BFSI: revolucionando la gestión de riesgos")</f>
        <v>La IA en el sector BFSI: revolucionando la gestión de riesgos</v>
      </c>
    </row>
    <row r="60">
      <c r="B60" s="12" t="str">
        <f>IFERROR(__xludf.DUMMYFUNCTION("IF(ISBLANK(A60),"""",GOOGLETRANSLATE(A60,""en"",""es""))"),"")</f>
        <v/>
      </c>
    </row>
    <row r="61">
      <c r="B61" s="12" t="str">
        <f>IFERROR(__xludf.DUMMYFUNCTION("IF(ISBLANK(A61),"""",GOOGLETRANSLATE(A61,""en"",""es""))"),"")</f>
        <v/>
      </c>
    </row>
    <row r="62">
      <c r="A62" s="10" t="s">
        <v>124</v>
      </c>
      <c r="B62" s="12" t="str">
        <f>IFERROR(__xludf.DUMMYFUNCTION("IF(ISBLANK(A62),"""",GOOGLETRANSLATE(A62,""en"",""es""))"),"La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3">
      <c r="B63" s="12" t="str">
        <f>IFERROR(__xludf.DUMMYFUNCTION("IF(ISBLANK(A63),"""",GOOGLETRANSLATE(A63,""en"",""es""))"),"")</f>
        <v/>
      </c>
    </row>
    <row r="64">
      <c r="B64" s="12" t="str">
        <f>IFERROR(__xludf.DUMMYFUNCTION("IF(ISBLANK(A64),"""",GOOGLETRANSLATE(A64,""en"",""es""))"),"")</f>
        <v/>
      </c>
    </row>
    <row r="65">
      <c r="A65" s="10" t="s">
        <v>125</v>
      </c>
      <c r="B65" s="12" t="str">
        <f>IFERROR(__xludf.DUMMYFUNCTION("IF(ISBLANK(A65),"""",GOOGLETRANSLATE(A65,""en"",""es""))"),"El verdadero coste de los sistemas desconectados en la venta minorista de automóviles")</f>
        <v>El verdadero coste de los sistemas desconectados en la venta minorista de automóviles</v>
      </c>
    </row>
    <row r="66">
      <c r="B66" s="12" t="str">
        <f>IFERROR(__xludf.DUMMYFUNCTION("IF(ISBLANK(A66),"""",GOOGLETRANSLATE(A66,""en"",""es""))"),"")</f>
        <v/>
      </c>
    </row>
    <row r="67">
      <c r="B67" s="12" t="str">
        <f>IFERROR(__xludf.DUMMYFUNCTION("IF(ISBLANK(A67),"""",GOOGLETRANSLATE(A67,""en"",""es""))"),"")</f>
        <v/>
      </c>
    </row>
    <row r="68">
      <c r="A68" s="10" t="s">
        <v>126</v>
      </c>
      <c r="B68" s="12" t="str">
        <f>IFERROR(__xludf.DUMMYFUNCTION("IF(ISBLANK(A68),"""",GOOGLETRANSLATE(A68,""en"",""es""))"),"Las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9">
      <c r="B69" s="12" t="str">
        <f>IFERROR(__xludf.DUMMYFUNCTION("IF(ISBLANK(A69),"""",GOOGLETRANSLATE(A69,""en"",""es""))"),"")</f>
        <v/>
      </c>
    </row>
    <row r="70">
      <c r="B70" s="12" t="str">
        <f>IFERROR(__xludf.DUMMYFUNCTION("IF(ISBLANK(A70),"""",GOOGLETRANSLATE(A70,""en"",""es""))"),"")</f>
        <v/>
      </c>
    </row>
    <row r="71">
      <c r="A71" s="10" t="s">
        <v>127</v>
      </c>
      <c r="B71" s="12" t="str">
        <f>IFERROR(__xludf.DUMMYFUNCTION("IF(ISBLANK(A71),"""",GOOGLETRANSLATE(A71,""en"",""es""))"),"Lucha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2">
      <c r="B72" s="12" t="str">
        <f>IFERROR(__xludf.DUMMYFUNCTION("IF(ISBLANK(A72),"""",GOOGLETRANSLATE(A72,""en"",""es""))"),"")</f>
        <v/>
      </c>
    </row>
    <row r="73">
      <c r="A73" s="10" t="s">
        <v>130</v>
      </c>
      <c r="B73" s="12" t="str">
        <f>IFERROR(__xludf.DUMMYFUNCTION("IF(ISBLANK(A73),"""",GOOGLETRANSLATE(A73,""en"",""es""))"),"Suscríbase a nuestro boletín para recibir las últimas noticias en su correo electrónico.")</f>
        <v>Suscríbase a nuestro boletín para recibir las últimas noticias en su correo electrónico.</v>
      </c>
    </row>
    <row r="74">
      <c r="A74" s="10" t="s">
        <v>131</v>
      </c>
      <c r="B74" s="12" t="str">
        <f>IFERROR(__xludf.DUMMYFUNCTION("IF(ISBLANK(A74),"""",GOOGLETRANSLATE(A74,""en"",""es""))"),"abc@example.com")</f>
        <v>abc@example.com</v>
      </c>
    </row>
    <row r="75">
      <c r="A75" s="10" t="s">
        <v>132</v>
      </c>
      <c r="B75" s="12" t="str">
        <f>IFERROR(__xludf.DUMMYFUNCTION("IF(ISBLANK(A75),"""",GOOGLETRANSLATE(A75,""en"",""es""))"),"Suscríbete")</f>
        <v>Suscríbete</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0"/>
  </cols>
  <sheetData>
    <row r="1">
      <c r="A1" s="3" t="s">
        <v>0</v>
      </c>
      <c r="B1" s="3" t="s">
        <v>133</v>
      </c>
    </row>
    <row r="2">
      <c r="A2" s="10" t="s">
        <v>563</v>
      </c>
      <c r="B2" s="12" t="str">
        <f>IFERROR(__xludf.DUMMYFUNCTION("IF(ISBLANK(A2),"""",GOOGLETRANSLATE(A2,""en"",""es""))"),"Servicios de IA y ML")</f>
        <v>Servicios de IA y ML</v>
      </c>
    </row>
    <row r="3">
      <c r="A3" s="10" t="s">
        <v>564</v>
      </c>
      <c r="B3" s="12" t="str">
        <f>IFERROR(__xludf.DUMMYFUNCTION("IF(ISBLANK(A3),"""",GOOGLETRANSLATE(A3,""en"",""es""))"),"Libera el poder de tus datos con los servicios de IA y ML.")</f>
        <v>Libera el poder de tus datos con los servicios de IA y ML.</v>
      </c>
    </row>
    <row r="4">
      <c r="A4" s="10" t="s">
        <v>565</v>
      </c>
      <c r="B4" s="12" t="str">
        <f>IFERROR(__xludf.DUMMYFUNCTION("IF(ISBLANK(A4),"""",GOOGLETRANSLATE(A4,""en"",""es""))"),"Transforme sus datos en información valiosa aprovechando la IA para el análisis de datos.")</f>
        <v>Transforme sus datos en información valiosa aprovechando la IA para el análisis de datos.</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566</v>
      </c>
      <c r="B7" s="12" t="str">
        <f>IFERROR(__xludf.DUMMYFUNCTION("IF(ISBLANK(A7),"""",GOOGLETRANSLATE(A7,""en"",""es""))"),"Transforme los datos en inteligencia con servicios y soluciones de IA y ML.")</f>
        <v>Transforme los datos en inteligencia con servicios y soluciones de IA y ML.</v>
      </c>
    </row>
    <row r="8">
      <c r="A8" s="10" t="s">
        <v>567</v>
      </c>
      <c r="B8" s="12" t="str">
        <f>IFERROR(__xludf.DUMMYFUNCTION("IF(ISBLANK(A8),"""",GOOGLETRANSLATE(A8,""en"",""es""))"),"Los datos sin procesar no bastan; su empresa necesita información clara que genere resultados reales. NETSOL aprovecha el poder de la IA, el aprendizaje automático y el análisis de datos, transformando la información en datos prácticos que le ayudan a tom"&amp;"ar decisiones más inteligentes, predecir tendencias futuras, automatizar tareas repetitivas y personalizar la experiencia del usuario. Utilice la IA para el análisis de datos y comprenda los desafíos únicos de su negocio. Ofrecemos servicios de IA y apren"&amp;"dizaje automático en la nube, desarrollando estrategias a medida con soluciones de vanguardia. Con nuestros servicios de consultoría en IA y aprendizaje automático, libere el verdadero potencial de sus datos y transforme el futuro de su empresa.")</f>
        <v>Los datos sin procesar no bastan; su empresa necesita información clara que genere resultados reales. NETSOL aprovecha el poder de la IA, el aprendizaje automático y el análisis de datos, transformando la información en datos prácticos que le ayudan a tomar decisiones más inteligentes, predecir tendencias futuras, automatizar tareas repetitivas y personalizar la experiencia del usuario. Utilice la IA para el análisis de datos y comprenda los desafíos únicos de su negocio. Ofrecemos servicios de IA y aprendizaje automático en la nube, desarrollando estrategias a medida con soluciones de vanguardia. Con nuestros servicios de consultoría en IA y aprendizaje automático, libere el verdadero potencial de sus datos y transforme el futuro de su empresa.</v>
      </c>
    </row>
    <row r="9">
      <c r="A9" s="10" t="s">
        <v>568</v>
      </c>
      <c r="B9" s="12" t="str">
        <f>IFERROR(__xludf.DUMMYFUNCTION("IF(ISBLANK(A9),"""",GOOGLETRANSLATE(A9,""en"",""es""))"),"Los datos impulsan las ganancias")</f>
        <v>Los datos impulsan las ganancias</v>
      </c>
    </row>
    <row r="10">
      <c r="A10" s="10" t="s">
        <v>569</v>
      </c>
      <c r="B10" s="12" t="str">
        <f>IFERROR(__xludf.DUMMYFUNCTION("IF(ISBLANK(A10),"""",GOOGLETRANSLATE(A10,""en"",""es""))"),"Las organizaciones basadas en datos tienen 23 veces más probabilidades de adquirir clientes y ser 19 veces más rentables.")</f>
        <v>Las organizaciones basadas en datos tienen 23 veces más probabilidades de adquirir clientes y ser 19 veces más rentables.</v>
      </c>
    </row>
    <row r="11">
      <c r="A11" s="10" t="s">
        <v>570</v>
      </c>
      <c r="B11" s="12" t="str">
        <f>IFERROR(__xludf.DUMMYFUNCTION("IF(ISBLANK(A11),"""",GOOGLETRANSLATE(A11,""en"",""es""))"),"La dominación de ML")</f>
        <v>La dominación de ML</v>
      </c>
    </row>
    <row r="12">
      <c r="A12" s="10" t="s">
        <v>571</v>
      </c>
      <c r="B12" s="12" t="str">
        <f>IFERROR(__xludf.DUMMYFUNCTION("IF(ISBLANK(A12),"""",GOOGLETRANSLATE(A12,""en"",""es""))"),"Más del 80% de las empresas en Norteamérica han adoptado el aprendizaje automático.")</f>
        <v>Más del 80% de las empresas en Norteamérica han adoptado el aprendizaje automático.</v>
      </c>
    </row>
    <row r="13">
      <c r="A13" s="10" t="s">
        <v>572</v>
      </c>
      <c r="B13" s="12" t="str">
        <f>IFERROR(__xludf.DUMMYFUNCTION("IF(ISBLANK(A13),"""",GOOGLETRANSLATE(A13,""en"",""es""))"),"Los grandes datos lideran")</f>
        <v>Los grandes datos lideran</v>
      </c>
    </row>
    <row r="14">
      <c r="A14" s="10" t="s">
        <v>573</v>
      </c>
      <c r="B14" s="12" t="str">
        <f>IFERROR(__xludf.DUMMYFUNCTION("IF(ISBLANK(A14),"""",GOOGLETRANSLATE(A14,""en"",""es""))"),"Más del 83% de las empresas han emprendido proyectos de big data para obtener una ventaja competitiva sobre sus competidores.")</f>
        <v>Más del 83% de las empresas han emprendido proyectos de big data para obtener una ventaja competitiva sobre sus competidores.</v>
      </c>
    </row>
    <row r="15">
      <c r="A15" s="10" t="s">
        <v>574</v>
      </c>
      <c r="B15" s="12" t="str">
        <f>IFERROR(__xludf.DUMMYFUNCTION("IF(ISBLANK(A15),"""",GOOGLETRANSLATE(A15,""en"",""es""))"),"El aprendizaje automático genera conocimiento")</f>
        <v>El aprendizaje automático genera conocimiento</v>
      </c>
    </row>
    <row r="16">
      <c r="A16" s="10" t="s">
        <v>575</v>
      </c>
      <c r="B16" s="12" t="str">
        <f>IFERROR(__xludf.DUMMYFUNCTION("IF(ISBLANK(A16),"""",GOOGLETRANSLATE(A16,""en"",""es""))"),"Más del 74% de los ejecutivos de alto nivel y científicos de datos utilizan el aprendizaje automático para el análisis del rendimiento.")</f>
        <v>Más del 74% de los ejecutivos de alto nivel y científicos de datos utilizan el aprendizaje automático para el análisis del rendimiento.</v>
      </c>
    </row>
    <row r="17">
      <c r="A17" s="10" t="s">
        <v>576</v>
      </c>
      <c r="B17" s="12" t="str">
        <f>IFERROR(__xludf.DUMMYFUNCTION("IF(ISBLANK(A17),"""",GOOGLETRANSLATE(A17,""en"",""es""))"),"Información basada en IA sobre IA, aprendizaje automático y análisis de datos")</f>
        <v>Información basada en IA sobre IA, aprendizaje automático y análisis de datos</v>
      </c>
    </row>
    <row r="18">
      <c r="A18" s="10" t="s">
        <v>500</v>
      </c>
      <c r="B18" s="12" t="str">
        <f>IFERROR(__xludf.DUMMYFUNCTION("IF(ISBLANK(A18),"""",GOOGLETRANSLATE(A18,""en"",""es""))"),"NETSOL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19">
      <c r="B19" s="12" t="str">
        <f>IFERROR(__xludf.DUMMYFUNCTION("IF(ISBLANK(A19),"""",GOOGLETRANSLATE(A19,""en"",""es""))"),"")</f>
        <v/>
      </c>
    </row>
    <row r="20">
      <c r="A20" s="10" t="s">
        <v>577</v>
      </c>
      <c r="B20" s="12" t="str">
        <f>IFERROR(__xludf.DUMMYFUNCTION("IF(ISBLANK(A20),"""",GOOGLETRANSLATE(A20,""en"",""es""))"),"58% más ingresos")</f>
        <v>58% más ingresos</v>
      </c>
    </row>
    <row r="21">
      <c r="A21" s="10" t="s">
        <v>578</v>
      </c>
      <c r="B21" s="12" t="str">
        <f>IFERROR(__xludf.DUMMYFUNCTION("IF(ISBLANK(A21),"""",GOOGLETRANSLATE(A21,""en"",""es""))"),"Las empresas que utilizan estrategias basadas en datos generan un 58% más de ingresos que las que no lo hacen.")</f>
        <v>Las empresas que utilizan estrategias basadas en datos generan un 58% más de ingresos que las que no lo hacen.</v>
      </c>
    </row>
    <row r="22">
      <c r="A22" s="10" t="s">
        <v>579</v>
      </c>
      <c r="B22" s="12" t="str">
        <f>IFERROR(__xludf.DUMMYFUNCTION("IF(ISBLANK(A22),"""",GOOGLETRANSLATE(A22,""en"",""es""))"),"14% más de cuota de mercado")</f>
        <v>14% más de cuota de mercado</v>
      </c>
    </row>
    <row r="23">
      <c r="A23" s="10" t="s">
        <v>580</v>
      </c>
      <c r="B23" s="12" t="str">
        <f>IFERROR(__xludf.DUMMYFUNCTION("IF(ISBLANK(A23),"""",GOOGLETRANSLATE(A23,""en"",""es""))"),"Los avances en IA y ML tienen el potencial de aumentar el PIB mundial en un 14% para 2030.")</f>
        <v>Los avances en IA y ML tienen el potencial de aumentar el PIB mundial en un 14% para 2030.</v>
      </c>
    </row>
    <row r="24">
      <c r="A24" s="10" t="s">
        <v>581</v>
      </c>
      <c r="B24" s="12" t="str">
        <f>IFERROR(__xludf.DUMMYFUNCTION("IF(ISBLANK(A24),"""",GOOGLETRANSLATE(A24,""en"",""es""))"),"13 veces más valor")</f>
        <v>13 veces más valor</v>
      </c>
    </row>
    <row r="25">
      <c r="A25" s="10" t="s">
        <v>582</v>
      </c>
      <c r="B25" s="12" t="str">
        <f>IFERROR(__xludf.DUMMYFUNCTION("IF(ISBLANK(A25),"""",GOOGLETRANSLATE(A25,""en"",""es""))"),"Se prevé que en los próximos 7 años el valor de la industria de la Inteligencia Artificial se multiplique por 13.")</f>
        <v>Se prevé que en los próximos 7 años el valor de la industria de la Inteligencia Artificial se multiplique por 13.</v>
      </c>
    </row>
    <row r="26">
      <c r="A26" s="10" t="s">
        <v>583</v>
      </c>
      <c r="B26" s="12" t="str">
        <f>IFERROR(__xludf.DUMMYFUNCTION("IF(ISBLANK(A26),"""",GOOGLETRANSLATE(A26,""en"",""es""))"),"Potenciando las empresas con servicios y soluciones de IA y ML.")</f>
        <v>Potenciando las empresas con servicios y soluciones de IA y ML.</v>
      </c>
    </row>
    <row r="27">
      <c r="A27" s="10" t="s">
        <v>584</v>
      </c>
      <c r="B27" s="12" t="str">
        <f>IFERROR(__xludf.DUMMYFUNCTION("IF(ISBLANK(A27),"""",GOOGLETRANSLATE(A27,""en"",""es""))"),"Estrategia y planificación")</f>
        <v>Estrategia y planificación</v>
      </c>
    </row>
    <row r="28">
      <c r="A28" s="10" t="s">
        <v>585</v>
      </c>
      <c r="B28" s="12" t="str">
        <f>IFERROR(__xludf.DUMMYFUNCTION("IF(ISBLANK(A28),"""",GOOGLETRANSLATE(A28,""en"",""es""))"),"Aproveche el poder del creciente océano de datos con los servicios de IA de AWS y aborde los desafíos que presentan. Con NETSOL, recorra este camino y desarrolle una estrategia ganadora. Le ayudaremos a alinear sus objetivos comerciales, evaluar sus datos"&amp;" y priorizarlos.")</f>
        <v>Aproveche el poder del creciente océano de datos con los servicios de IA de AWS y aborde los desafíos que presentan. Con NETSOL, recorra este camino y desarrolle una estrategia ganadora. Le ayudaremos a alinear sus objetivos comerciales, evaluar sus datos y priorizarlos.</v>
      </c>
    </row>
    <row r="29">
      <c r="A29" s="10" t="s">
        <v>586</v>
      </c>
      <c r="B29" s="12" t="str">
        <f>IFERROR(__xludf.DUMMYFUNCTION("IF(ISBLANK(A29),"""",GOOGLETRANSLATE(A29,""en"",""es""))"),"Datos y análisis")</f>
        <v>Datos y análisis</v>
      </c>
    </row>
    <row r="30">
      <c r="A30" s="10" t="s">
        <v>587</v>
      </c>
      <c r="B30" s="12" t="str">
        <f>IFERROR(__xludf.DUMMYFUNCTION("IF(ISBLANK(A30),"""",GOOGLETRANSLATE(A30,""en"",""es""))"),"Las empresas deben extraer información valiosa y transformar los datos brutos en estrategias prácticas que impulsen el crecimiento. NETSOL facilita la integración y gestión de datos, el análisis avanzado y la generación de informes, el almacenamiento de d"&amp;"atos, la inteligencia empresarial y la visualización de datos.")</f>
        <v>Las empresas deben extraer información valiosa y transformar los datos brutos en estrategias prácticas que impulsen el crecimiento. NETSOL facilita la integración y gestión de datos, el análisis avanzado y la generación de informes, el almacenamiento de datos, la inteligencia empresarial y la visualización de datos.</v>
      </c>
    </row>
    <row r="31">
      <c r="A31" s="10" t="s">
        <v>588</v>
      </c>
      <c r="B31" s="12" t="str">
        <f>IFERROR(__xludf.DUMMYFUNCTION("IF(ISBLANK(A31),"""",GOOGLETRANSLATE(A31,""en"",""es""))"),"IA responsable")</f>
        <v>IA responsable</v>
      </c>
    </row>
    <row r="32">
      <c r="A32" s="10" t="s">
        <v>589</v>
      </c>
      <c r="B32" s="12" t="str">
        <f>IFERROR(__xludf.DUMMYFUNCTION("IF(ISBLANK(A32),"""",GOOGLETRANSLATE(A32,""en"",""es""))"),"Las empresas deben desarrollar e implementar la IA teniendo en cuenta la seguridad y la responsabilidad. NETSOL garantiza que la IA beneficie a la sociedad sin reforzar las desigualdades existentes. Nuestros procesos son justos, imparciales y transparente"&amp;"s, y respetan la seguridad y la privacidad de los datos.")</f>
        <v>Las empresas deben desarrollar e implementar la IA teniendo en cuenta la seguridad y la responsabilidad. NETSOL garantiza que la IA beneficie a la sociedad sin reforzar las desigualdades existentes. Nuestros procesos son justos, imparciales y transparentes, y respetan la seguridad y la privacidad de los datos.</v>
      </c>
    </row>
    <row r="33">
      <c r="A33" s="10" t="s">
        <v>590</v>
      </c>
      <c r="B33" s="12" t="str">
        <f>IFERROR(__xludf.DUMMYFUNCTION("IF(ISBLANK(A33),"""",GOOGLETRANSLATE(A33,""en"",""es""))"),"soluciones de IA")</f>
        <v>soluciones de IA</v>
      </c>
    </row>
    <row r="34">
      <c r="A34" s="10" t="s">
        <v>591</v>
      </c>
      <c r="B34" s="12" t="str">
        <f>IFERROR(__xludf.DUMMYFUNCTION("IF(ISBLANK(A34),"""",GOOGLETRANSLATE(A34,""en"",""es""))"),"Las organizaciones están saturadas de información y necesitan una estrategia para sacarle el máximo provecho. NETSOL aprovecha el poder del análisis de datos y los servicios de IA, garantizando análisis predictivos y prescriptivos, análisis de datos autom"&amp;"atizado, PLN y IPA.")</f>
        <v>Las organizaciones están saturadas de información y necesitan una estrategia para sacarle el máximo provecho. NETSOL aprovecha el poder del análisis de datos y los servicios de IA, garantizando análisis predictivos y prescriptivos, análisis de datos automatizado, PLN y IPA.</v>
      </c>
    </row>
    <row r="35">
      <c r="A35" s="10" t="s">
        <v>128</v>
      </c>
      <c r="B35" s="12" t="str">
        <f>IFERROR(__xludf.DUMMYFUNCTION("IF(ISBLANK(A35),"""",GOOGLETRANSLATE(A35,""en"",""es""))"),"Hablemos de lo que sigue.")</f>
        <v>Hablemos de lo que sigue.</v>
      </c>
    </row>
    <row r="36">
      <c r="A36" s="10" t="s">
        <v>592</v>
      </c>
      <c r="B36" s="12" t="str">
        <f>IFERROR(__xludf.DUMMYFUNCTION("IF(ISBLANK(A36),"""",GOOGLETRANSLATE(A36,""en"",""es""))"),"Descubre cómo NETSOL te ayuda a desbloquear el verdadero potencial de tus datos con IA y ML.")</f>
        <v>Descubre cómo NETSOL te ayuda a desbloquear el verdadero potencial de tus datos con IA y ML.</v>
      </c>
    </row>
    <row r="37">
      <c r="B37" s="12" t="str">
        <f>IFERROR(__xludf.DUMMYFUNCTION("IF(ISBLANK(A37),"""",GOOGLETRANSLATE(A37,""en"",""es""))"),"")</f>
        <v/>
      </c>
    </row>
    <row r="38">
      <c r="A38" s="10" t="s">
        <v>116</v>
      </c>
      <c r="B38" s="12" t="str">
        <f>IFERROR(__xludf.DUMMYFUNCTION("IF(ISBLANK(A38),"""",GOOGLETRANSLATE(A38,""en"",""es""))"),"Lecturas y reflexiones destacadas")</f>
        <v>Lecturas y reflexiones destacadas</v>
      </c>
    </row>
    <row r="39">
      <c r="A39" s="17" t="s">
        <v>117</v>
      </c>
      <c r="B39" s="12" t="str">
        <f>IFERROR(__xludf.DUMMYFUNCTION("IF(ISBLANK(A39),"""",GOOGLETRANSLATE(A39,""en"",""es""))"),"Manténgase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0">
      <c r="A40" s="10" t="s">
        <v>118</v>
      </c>
      <c r="B40" s="12" t="str">
        <f>IFERROR(__xludf.DUMMYFUNCTION("IF(ISBLANK(A40),"""",GOOGLETRANSLATE(A40,""en"",""es""))"),"Blog")</f>
        <v>Blog</v>
      </c>
    </row>
    <row r="41">
      <c r="A41" s="10" t="s">
        <v>119</v>
      </c>
      <c r="B41" s="12" t="str">
        <f>IFERROR(__xludf.DUMMYFUNCTION("IF(ISBLANK(A41),"""",GOOGLETRANSLATE(A41,""en"",""es""))"),"Más allá del DMS: Por qué el futuro de la venta minorista de automóviles se basa en las API")</f>
        <v>Más allá del DMS: Por qué el futuro de la venta minorista de automóviles se basa en las API</v>
      </c>
    </row>
    <row r="42">
      <c r="A42" s="10" t="s">
        <v>36</v>
      </c>
      <c r="B42" s="12" t="str">
        <f>IFERROR(__xludf.DUMMYFUNCTION("IF(ISBLANK(A42),"""",GOOGLETRANSLATE(A42,""en"",""es""))"),"Más información")</f>
        <v>Más información</v>
      </c>
    </row>
    <row r="43">
      <c r="B43" s="12" t="str">
        <f>IFERROR(__xludf.DUMMYFUNCTION("IF(ISBLANK(A43),"""",GOOGLETRANSLATE(A43,""en"",""es""))"),"")</f>
        <v/>
      </c>
    </row>
    <row r="44">
      <c r="A44" s="10" t="s">
        <v>120</v>
      </c>
      <c r="B44" s="12" t="str">
        <f>IFERROR(__xludf.DUMMYFUNCTION("IF(ISBLANK(A44),"""",GOOGLETRANSLATE(A44,""en"",""es""))"),"NETSOL estará presente en la Conferencia y Premios GlobalData Automotive Europe 2025.")</f>
        <v>NETSOL estará presente en la Conferencia y Premios GlobalData Automotive Europe 2025.</v>
      </c>
    </row>
    <row r="45">
      <c r="B45" s="12" t="str">
        <f>IFERROR(__xludf.DUMMYFUNCTION("IF(ISBLANK(A45),"""",GOOGLETRANSLATE(A45,""en"",""es""))"),"")</f>
        <v/>
      </c>
    </row>
    <row r="46">
      <c r="B46" s="12" t="str">
        <f>IFERROR(__xludf.DUMMYFUNCTION("IF(ISBLANK(A46),"""",GOOGLETRANSLATE(A46,""en"",""es""))"),"")</f>
        <v/>
      </c>
    </row>
    <row r="47">
      <c r="A47" s="10" t="s">
        <v>121</v>
      </c>
      <c r="B47" s="12" t="str">
        <f>IFERROR(__xludf.DUMMYFUNCTION("IF(ISBLANK(A47),"""",GOOGLETRANSLATE(A47,""en"",""es""))"),"NETSOL participa en la 25ª Cumbre Anual de Financiación Automotriz: Impulsando el futuro de la financiación automotriz")</f>
        <v>NETSOL participa en la 25ª Cumbre Anual de Financiación Automotriz: Impulsando el futuro de la financiación automotriz</v>
      </c>
    </row>
    <row r="48">
      <c r="B48" s="12" t="str">
        <f>IFERROR(__xludf.DUMMYFUNCTION("IF(ISBLANK(A48),"""",GOOGLETRANSLATE(A48,""en"",""es""))"),"")</f>
        <v/>
      </c>
    </row>
    <row r="49">
      <c r="B49" s="12" t="str">
        <f>IFERROR(__xludf.DUMMYFUNCTION("IF(ISBLANK(A49),"""",GOOGLETRANSLATE(A49,""en"",""es""))"),"")</f>
        <v/>
      </c>
    </row>
    <row r="50">
      <c r="A50" s="10" t="s">
        <v>122</v>
      </c>
      <c r="B50" s="12" t="str">
        <f>IFERROR(__xludf.DUMMYFUNCTION("IF(ISBLANK(A50),"""",GOOGLETRANSLATE(A50,""en"",""es""))"),"NETSOL está presente en Digital Dealer 2025: Impulsando el futuro de la venta minorista de automóviles.")</f>
        <v>NETSOL está presente en Digital Dealer 2025: Impulsando el futuro de la venta minorista de automóviles.</v>
      </c>
    </row>
    <row r="51">
      <c r="B51" s="12" t="str">
        <f>IFERROR(__xludf.DUMMYFUNCTION("IF(ISBLANK(A51),"""",GOOGLETRANSLATE(A51,""en"",""es""))"),"")</f>
        <v/>
      </c>
    </row>
    <row r="52">
      <c r="B52" s="12" t="str">
        <f>IFERROR(__xludf.DUMMYFUNCTION("IF(ISBLANK(A52),"""",GOOGLETRANSLATE(A52,""en"",""es""))"),"")</f>
        <v/>
      </c>
    </row>
    <row r="53">
      <c r="A53" s="13" t="s">
        <v>123</v>
      </c>
      <c r="B53" s="12" t="str">
        <f>IFERROR(__xludf.DUMMYFUNCTION("IF(ISBLANK(A53),"""",GOOGLETRANSLATE(A53,""en"",""es""))"),"La IA en el sector BFSI: revolucionando la gestión de riesgos")</f>
        <v>La IA en el sector BFSI: revolucionando la gestión de riesgos</v>
      </c>
    </row>
    <row r="54">
      <c r="B54" s="12" t="str">
        <f>IFERROR(__xludf.DUMMYFUNCTION("IF(ISBLANK(A54),"""",GOOGLETRANSLATE(A54,""en"",""es""))"),"")</f>
        <v/>
      </c>
    </row>
    <row r="55">
      <c r="B55" s="12" t="str">
        <f>IFERROR(__xludf.DUMMYFUNCTION("IF(ISBLANK(A55),"""",GOOGLETRANSLATE(A55,""en"",""es""))"),"")</f>
        <v/>
      </c>
    </row>
    <row r="56">
      <c r="A56" s="10" t="s">
        <v>124</v>
      </c>
      <c r="B56" s="12" t="str">
        <f>IFERROR(__xludf.DUMMYFUNCTION("IF(ISBLANK(A56),"""",GOOGLETRANSLATE(A56,""en"",""es""))"),"La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7">
      <c r="B57" s="12" t="str">
        <f>IFERROR(__xludf.DUMMYFUNCTION("IF(ISBLANK(A57),"""",GOOGLETRANSLATE(A57,""en"",""es""))"),"")</f>
        <v/>
      </c>
    </row>
    <row r="58">
      <c r="B58" s="12" t="str">
        <f>IFERROR(__xludf.DUMMYFUNCTION("IF(ISBLANK(A58),"""",GOOGLETRANSLATE(A58,""en"",""es""))"),"")</f>
        <v/>
      </c>
    </row>
    <row r="59">
      <c r="A59" s="10" t="s">
        <v>125</v>
      </c>
      <c r="B59" s="12" t="str">
        <f>IFERROR(__xludf.DUMMYFUNCTION("IF(ISBLANK(A59),"""",GOOGLETRANSLATE(A59,""en"",""es""))"),"El verdadero coste de los sistemas desconectados en la venta minorista de automóviles")</f>
        <v>El verdadero coste de los sistemas desconectados en la venta minorista de automóviles</v>
      </c>
    </row>
    <row r="60">
      <c r="B60" s="12" t="str">
        <f>IFERROR(__xludf.DUMMYFUNCTION("IF(ISBLANK(A60),"""",GOOGLETRANSLATE(A60,""en"",""es""))"),"")</f>
        <v/>
      </c>
    </row>
    <row r="61">
      <c r="B61" s="12" t="str">
        <f>IFERROR(__xludf.DUMMYFUNCTION("IF(ISBLANK(A61),"""",GOOGLETRANSLATE(A61,""en"",""es""))"),"")</f>
        <v/>
      </c>
    </row>
    <row r="62">
      <c r="A62" s="10" t="s">
        <v>126</v>
      </c>
      <c r="B62" s="12" t="str">
        <f>IFERROR(__xludf.DUMMYFUNCTION("IF(ISBLANK(A62),"""",GOOGLETRANSLATE(A62,""en"",""es""))"),"Las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3">
      <c r="B63" s="12" t="str">
        <f>IFERROR(__xludf.DUMMYFUNCTION("IF(ISBLANK(A63),"""",GOOGLETRANSLATE(A63,""en"",""es""))"),"")</f>
        <v/>
      </c>
    </row>
    <row r="64">
      <c r="B64" s="12" t="str">
        <f>IFERROR(__xludf.DUMMYFUNCTION("IF(ISBLANK(A64),"""",GOOGLETRANSLATE(A64,""en"",""es""))"),"")</f>
        <v/>
      </c>
    </row>
    <row r="65">
      <c r="A65" s="10" t="s">
        <v>127</v>
      </c>
      <c r="B65" s="12" t="str">
        <f>IFERROR(__xludf.DUMMYFUNCTION("IF(ISBLANK(A65),"""",GOOGLETRANSLATE(A65,""en"",""es""))"),"Lucha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6">
      <c r="B66" s="12" t="str">
        <f>IFERROR(__xludf.DUMMYFUNCTION("IF(ISBLANK(A66),"""",GOOGLETRANSLATE(A66,""en"",""es""))"),"")</f>
        <v/>
      </c>
    </row>
    <row r="67">
      <c r="A67" s="10" t="s">
        <v>130</v>
      </c>
      <c r="B67" s="12" t="str">
        <f>IFERROR(__xludf.DUMMYFUNCTION("IF(ISBLANK(A67),"""",GOOGLETRANSLATE(A67,""en"",""es""))"),"Suscríbase a nuestro boletín para recibir las últimas noticias en su correo electrónico.")</f>
        <v>Suscríbase a nuestro boletín para recibir las últimas noticias en su correo electrónico.</v>
      </c>
    </row>
    <row r="68">
      <c r="A68" s="10" t="s">
        <v>131</v>
      </c>
      <c r="B68" s="12" t="str">
        <f>IFERROR(__xludf.DUMMYFUNCTION("IF(ISBLANK(A68),"""",GOOGLETRANSLATE(A68,""en"",""es""))"),"abc@example.com")</f>
        <v>abc@example.com</v>
      </c>
    </row>
    <row r="69">
      <c r="A69" s="10" t="s">
        <v>132</v>
      </c>
      <c r="B69" s="12" t="str">
        <f>IFERROR(__xludf.DUMMYFUNCTION("IF(ISBLANK(A69),"""",GOOGLETRANSLATE(A69,""en"",""es""))"),"Suscríbete")</f>
        <v>Suscríbete</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0"/>
  </cols>
  <sheetData>
    <row r="1">
      <c r="A1" s="3" t="s">
        <v>0</v>
      </c>
      <c r="B1" s="3" t="s">
        <v>133</v>
      </c>
    </row>
    <row r="2">
      <c r="A2" s="10" t="s">
        <v>158</v>
      </c>
      <c r="B2" s="12" t="str">
        <f>IFERROR(__xludf.DUMMYFUNCTION("IF(ISBLANK(A2),"""",GOOGLETRANSLATE(A2,""en"",""es""))"),"IA generativa")</f>
        <v>IA generativa</v>
      </c>
    </row>
    <row r="3">
      <c r="A3" s="10" t="s">
        <v>593</v>
      </c>
      <c r="B3" s="12" t="str">
        <f>IFERROR(__xludf.DUMMYFUNCTION("IF(ISBLANK(A3),"""",GOOGLETRANSLATE(A3,""en"",""es""))"),"Desata el poder: Soluciones de IA generativa")</f>
        <v>Desata el poder: Soluciones de IA generativa</v>
      </c>
    </row>
    <row r="4">
      <c r="A4" s="10" t="s">
        <v>594</v>
      </c>
      <c r="B4" s="12" t="str">
        <f>IFERROR(__xludf.DUMMYFUNCTION("IF(ISBLANK(A4),"""",GOOGLETRANSLATE(A4,""en"",""es""))"),"Innova sin límites transformando tu panorama empresarial con la creatividad de la IA.")</f>
        <v>Innova sin límites transformando tu panorama empresarial con la creatividad de la IA.</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595</v>
      </c>
      <c r="B7" s="12" t="str">
        <f>IFERROR(__xludf.DUMMYFUNCTION("IF(ISBLANK(A7),"""",GOOGLETRANSLATE(A7,""en"",""es""))"),"Potenciando las empresas con servicios inteligentes de IA generativa")</f>
        <v>Potenciando las empresas con servicios inteligentes de IA generativa</v>
      </c>
    </row>
    <row r="8">
      <c r="A8" s="10" t="s">
        <v>596</v>
      </c>
      <c r="B8" s="12" t="str">
        <f>IFERROR(__xludf.DUMMYFUNCTION("IF(ISBLANK(A8),"""",GOOGLETRANSLATE(A8,""en"",""es""))"),"Las soluciones de IA generativa trascienden la programación tradicional, permitiendo a las máquinas crear contenido innovador de forma autónoma, abriendo la puerta a posibilidades ilimitadas, impulsando la innovación sin límites, la hiperpersonalización y"&amp;" una eficiencia sin precedentes. En NETSOL, unimos la IA moderna con la imaginación humana. Nuestros expertos están redefiniendo las reglas de la gestión y creación de contenido, dando paso a una nueva era empresarial donde los datos se convertirán en su "&amp;"arma secreta para el éxito.")</f>
        <v>Las soluciones de IA generativa trascienden la programación tradicional, permitiendo a las máquinas crear contenido innovador de forma autónoma, abriendo la puerta a posibilidades ilimitadas, impulsando la innovación sin límites, la hiperpersonalización y una eficiencia sin precedentes. En NETSOL, unimos la IA moderna con la imaginación humana. Nuestros expertos están redefiniendo las reglas de la gestión y creación de contenido, dando paso a una nueva era empresarial donde los datos se convertirán en su arma secreta para el éxito.</v>
      </c>
    </row>
    <row r="9">
      <c r="A9" s="10" t="s">
        <v>597</v>
      </c>
      <c r="B9" s="12" t="str">
        <f>IFERROR(__xludf.DUMMYFUNCTION("IF(ISBLANK(A9),"""",GOOGLETRANSLATE(A9,""en"",""es""))"),"Confianza en la IA")</f>
        <v>Confianza en la IA</v>
      </c>
    </row>
    <row r="10">
      <c r="A10" s="10" t="s">
        <v>598</v>
      </c>
      <c r="B10" s="12" t="str">
        <f>IFERROR(__xludf.DUMMYFUNCTION("IF(ISBLANK(A10),"""",GOOGLETRANSLATE(A10,""en"",""es""))"),"El 52% de la población general confía en Gen AI para que les ayude a tomar decisiones informadas.")</f>
        <v>El 52% de la población general confía en Gen AI para que les ayude a tomar decisiones informadas.</v>
      </c>
    </row>
    <row r="11">
      <c r="A11" s="10" t="s">
        <v>599</v>
      </c>
      <c r="B11" s="12" t="str">
        <f>IFERROR(__xludf.DUMMYFUNCTION("IF(ISBLANK(A11),"""",GOOGLETRANSLATE(A11,""en"",""es""))"),"La IA está transformando los negocios")</f>
        <v>La IA está transformando los negocios</v>
      </c>
    </row>
    <row r="12">
      <c r="A12" s="10" t="s">
        <v>600</v>
      </c>
      <c r="B12" s="12" t="str">
        <f>IFERROR(__xludf.DUMMYFUNCTION("IF(ISBLANK(A12),"""",GOOGLETRANSLATE(A12,""en"",""es""))"),"El 75% de los profesionales del mundo empresarial esperan que la IA de nueva generación provoque cambios disruptivos en su sector.")</f>
        <v>El 75% de los profesionales del mundo empresarial esperan que la IA de nueva generación provoque cambios disruptivos en su sector.</v>
      </c>
    </row>
    <row r="13">
      <c r="A13" s="10" t="s">
        <v>601</v>
      </c>
      <c r="B13" s="12" t="str">
        <f>IFERROR(__xludf.DUMMYFUNCTION("IF(ISBLANK(A13),"""",GOOGLETRANSLATE(A13,""en"",""es""))"),"La ventaja de la IA para los inversores")</f>
        <v>La ventaja de la IA para los inversores</v>
      </c>
    </row>
    <row r="14">
      <c r="A14" s="10" t="s">
        <v>602</v>
      </c>
      <c r="B14" s="12" t="str">
        <f>IFERROR(__xludf.DUMMYFUNCTION("IF(ISBLANK(A14),"""",GOOGLETRANSLATE(A14,""en"",""es""))"),"El 67% de los inversores cree que la IA mejora la rentabilidad de las inversiones mediante un análisis profundo y una gestión de cartera eficaz.")</f>
        <v>El 67% de los inversores cree que la IA mejora la rentabilidad de las inversiones mediante un análisis profundo y una gestión de cartera eficaz.</v>
      </c>
    </row>
    <row r="15">
      <c r="A15" s="10" t="s">
        <v>603</v>
      </c>
      <c r="B15" s="12" t="str">
        <f>IFERROR(__xludf.DUMMYFUNCTION("IF(ISBLANK(A15),"""",GOOGLETRANSLATE(A15,""en"",""es""))"),"Impacto de GenAI")</f>
        <v>Impacto de GenAI</v>
      </c>
    </row>
    <row r="16">
      <c r="A16" s="10" t="s">
        <v>604</v>
      </c>
      <c r="B16" s="12" t="str">
        <f>IFERROR(__xludf.DUMMYFUNCTION("IF(ISBLANK(A16),"""",GOOGLETRANSLATE(A16,""en"",""es""))"),"GenAI ahora identifica deficiencias empresariales, gestiona tareas tediosas e impulsa la innovación.")</f>
        <v>GenAI ahora identifica deficiencias empresariales, gestiona tareas tediosas e impulsa la innovación.</v>
      </c>
    </row>
    <row r="17">
      <c r="A17" s="10" t="s">
        <v>605</v>
      </c>
      <c r="B17" s="12" t="str">
        <f>IFERROR(__xludf.DUMMYFUNCTION("IF(ISBLANK(A17),"""",GOOGLETRANSLATE(A17,""en"",""es""))"),"Información basada en IA sobre servicios de IA generativa")</f>
        <v>Información basada en IA sobre servicios de IA generativa</v>
      </c>
    </row>
    <row r="18">
      <c r="A18" s="10" t="s">
        <v>500</v>
      </c>
      <c r="B18" s="12" t="str">
        <f>IFERROR(__xludf.DUMMYFUNCTION("IF(ISBLANK(A18),"""",GOOGLETRANSLATE(A18,""en"",""es""))"),"NETSOL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19">
      <c r="B19" s="12" t="str">
        <f>IFERROR(__xludf.DUMMYFUNCTION("IF(ISBLANK(A19),"""",GOOGLETRANSLATE(A19,""en"",""es""))"),"")</f>
        <v/>
      </c>
    </row>
    <row r="20">
      <c r="A20" s="10" t="s">
        <v>606</v>
      </c>
      <c r="B20" s="12" t="str">
        <f>IFERROR(__xludf.DUMMYFUNCTION("IF(ISBLANK(A20),"""",GOOGLETRANSLATE(A20,""en"",""es""))"),"Sueña, crea, logra con NETSOL")</f>
        <v>Sueña, crea, logra con NETSOL</v>
      </c>
    </row>
    <row r="21">
      <c r="A21" s="10" t="s">
        <v>584</v>
      </c>
      <c r="B21" s="12" t="str">
        <f>IFERROR(__xludf.DUMMYFUNCTION("IF(ISBLANK(A21),"""",GOOGLETRANSLATE(A21,""en"",""es""))"),"Estrategia y planificación")</f>
        <v>Estrategia y planificación</v>
      </c>
    </row>
    <row r="22">
      <c r="A22" s="10" t="s">
        <v>607</v>
      </c>
      <c r="B22" s="12" t="str">
        <f>IFERROR(__xludf.DUMMYFUNCTION("IF(ISBLANK(A22),"""",GOOGLETRANSLATE(A22,""en"",""es""))"),"Implementar una estrategia de IA supone un reto para las empresas con recursos y experiencia limitados. NETSOL potencia su empresa, identifica carencias, descubre oportunidades, crea estrategias personalizadas y las transforma en planes de acción.")</f>
        <v>Implementar una estrategia de IA supone un reto para las empresas con recursos y experiencia limitados. NETSOL potencia su empresa, identifica carencias, descubre oportunidades, crea estrategias personalizadas y las transforma en planes de acción.</v>
      </c>
    </row>
    <row r="23">
      <c r="A23" s="10" t="s">
        <v>608</v>
      </c>
      <c r="B23" s="12" t="str">
        <f>IFERROR(__xludf.DUMMYFUNCTION("IF(ISBLANK(A23),"""",GOOGLETRANSLATE(A23,""en"",""es""))"),"Desarrollo e implementación")</f>
        <v>Desarrollo e implementación</v>
      </c>
    </row>
    <row r="24">
      <c r="A24" s="10" t="s">
        <v>609</v>
      </c>
      <c r="B24" s="12" t="str">
        <f>IFERROR(__xludf.DUMMYFUNCTION("IF(ISBLANK(A24),"""",GOOGLETRANSLATE(A24,""en"",""es""))"),"Implementar una estrategia de IA generativa es todo un reto. Deja que NETSOL se encargue. Convertimos tus estrategias en resultados mediante una sólida adquisición de datos, selección de modelos, entrenamiento, pruebas, perfeccionamiento e implementación.")</f>
        <v>Implementar una estrategia de IA generativa es todo un reto. Deja que NETSOL se encargue. Convertimos tus estrategias en resultados mediante una sólida adquisición de datos, selección de modelos, entrenamiento, pruebas, perfeccionamiento e implementación.</v>
      </c>
    </row>
    <row r="25">
      <c r="A25" s="10" t="s">
        <v>610</v>
      </c>
      <c r="B25" s="12" t="str">
        <f>IFERROR(__xludf.DUMMYFUNCTION("IF(ISBLANK(A25),"""",GOOGLETRANSLATE(A25,""en"",""es""))"),"Marketing con IA")</f>
        <v>Marketing con IA</v>
      </c>
    </row>
    <row r="26">
      <c r="A26" s="10" t="s">
        <v>611</v>
      </c>
      <c r="B26" s="12" t="str">
        <f>IFERROR(__xludf.DUMMYFUNCTION("IF(ISBLANK(A26),"""",GOOGLETRANSLATE(A26,""en"",""es""))"),"Captar la atención y forjar conexiones significativas con los clientes es todo un reto. Como sus socios de marketing con IA, aprovechamos el poder transformador de la IA de última generación para crear experiencias personalizadas basadas en datos que cone"&amp;"cten con su público objetivo.")</f>
        <v>Captar la atención y forjar conexiones significativas con los clientes es todo un reto. Como sus socios de marketing con IA, aprovechamos el poder transformador de la IA de última generación para crear experiencias personalizadas basadas en datos que conecten con su público objetivo.</v>
      </c>
    </row>
    <row r="27">
      <c r="A27" s="10" t="s">
        <v>612</v>
      </c>
      <c r="B27" s="12" t="str">
        <f>IFERROR(__xludf.DUMMYFUNCTION("IF(ISBLANK(A27),"""",GOOGLETRANSLATE(A27,""en"",""es""))"),"Optimización y soporte")</f>
        <v>Optimización y soporte</v>
      </c>
    </row>
    <row r="28">
      <c r="A28" s="10" t="s">
        <v>613</v>
      </c>
      <c r="B28" s="12" t="str">
        <f>IFERROR(__xludf.DUMMYFUNCTION("IF(ISBLANK(A28),"""",GOOGLETRANSLATE(A28,""en"",""es""))"),"El poder de la IA generativa para los servicios financieros se ha mantenido firme tras su implementación en el sector. Integramos la optimización continua con un soporte integral, manteniendo un rendimiento óptimo y maximizando el valor extraído de las so"&amp;"luciones de IA.")</f>
        <v>El poder de la IA generativa para los servicios financieros se ha mantenido firme tras su implementación en el sector. Integramos la optimización continua con un soporte integral, manteniendo un rendimiento óptimo y maximizando el valor extraído de las soluciones de IA.</v>
      </c>
    </row>
    <row r="29">
      <c r="A29" s="10" t="s">
        <v>128</v>
      </c>
      <c r="B29" s="12" t="str">
        <f>IFERROR(__xludf.DUMMYFUNCTION("IF(ISBLANK(A29),"""",GOOGLETRANSLATE(A29,""en"",""es""))"),"Hablemos de lo que sigue.")</f>
        <v>Hablemos de lo que sigue.</v>
      </c>
    </row>
    <row r="30">
      <c r="A30" s="10" t="s">
        <v>614</v>
      </c>
      <c r="B30" s="12" t="str">
        <f>IFERROR(__xludf.DUMMYFUNCTION("IF(ISBLANK(A30),"""",GOOGLETRANSLATE(A30,""en"",""es""))"),"Descubre cómo NETSOL puede ayudar a tu empresa a sacar el máximo partido a la IA generativa.")</f>
        <v>Descubre cómo NETSOL puede ayudar a tu empresa a sacar el máximo partido a la IA generativa.</v>
      </c>
    </row>
    <row r="31">
      <c r="B31" s="12" t="str">
        <f>IFERROR(__xludf.DUMMYFUNCTION("IF(ISBLANK(A31),"""",GOOGLETRANSLATE(A31,""en"",""es""))"),"")</f>
        <v/>
      </c>
    </row>
    <row r="32">
      <c r="A32" s="10" t="s">
        <v>116</v>
      </c>
      <c r="B32" s="12" t="str">
        <f>IFERROR(__xludf.DUMMYFUNCTION("IF(ISBLANK(A32),"""",GOOGLETRANSLATE(A32,""en"",""es""))"),"Lecturas y reflexiones destacadas")</f>
        <v>Lecturas y reflexiones destacadas</v>
      </c>
    </row>
    <row r="33">
      <c r="A33" s="17" t="s">
        <v>117</v>
      </c>
      <c r="B33" s="12" t="str">
        <f>IFERROR(__xludf.DUMMYFUNCTION("IF(ISBLANK(A33),"""",GOOGLETRANSLATE(A33,""en"",""es""))"),"Manténgase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34">
      <c r="A34" s="10" t="s">
        <v>118</v>
      </c>
      <c r="B34" s="12" t="str">
        <f>IFERROR(__xludf.DUMMYFUNCTION("IF(ISBLANK(A34),"""",GOOGLETRANSLATE(A34,""en"",""es""))"),"Blog")</f>
        <v>Blog</v>
      </c>
    </row>
    <row r="35">
      <c r="A35" s="10" t="s">
        <v>119</v>
      </c>
      <c r="B35" s="12" t="str">
        <f>IFERROR(__xludf.DUMMYFUNCTION("IF(ISBLANK(A35),"""",GOOGLETRANSLATE(A35,""en"",""es""))"),"Más allá del DMS: Por qué el futuro de la venta minorista de automóviles se basa en las API")</f>
        <v>Más allá del DMS: Por qué el futuro de la venta minorista de automóviles se basa en las API</v>
      </c>
    </row>
    <row r="36">
      <c r="A36" s="10" t="s">
        <v>36</v>
      </c>
      <c r="B36" s="12" t="str">
        <f>IFERROR(__xludf.DUMMYFUNCTION("IF(ISBLANK(A36),"""",GOOGLETRANSLATE(A36,""en"",""es""))"),"Más información")</f>
        <v>Más información</v>
      </c>
    </row>
    <row r="37">
      <c r="B37" s="12" t="str">
        <f>IFERROR(__xludf.DUMMYFUNCTION("IF(ISBLANK(A37),"""",GOOGLETRANSLATE(A37,""en"",""es""))"),"")</f>
        <v/>
      </c>
    </row>
    <row r="38">
      <c r="A38" s="10" t="s">
        <v>120</v>
      </c>
      <c r="B38" s="12" t="str">
        <f>IFERROR(__xludf.DUMMYFUNCTION("IF(ISBLANK(A38),"""",GOOGLETRANSLATE(A38,""en"",""es""))"),"NETSOL estará presente en la Conferencia y Premios GlobalData Automotive Europe 2025.")</f>
        <v>NETSOL estará presente en la Conferencia y Premios GlobalData Automotive Europe 2025.</v>
      </c>
    </row>
    <row r="39">
      <c r="B39" s="12" t="str">
        <f>IFERROR(__xludf.DUMMYFUNCTION("IF(ISBLANK(A39),"""",GOOGLETRANSLATE(A39,""en"",""es""))"),"")</f>
        <v/>
      </c>
    </row>
    <row r="40">
      <c r="B40" s="12" t="str">
        <f>IFERROR(__xludf.DUMMYFUNCTION("IF(ISBLANK(A40),"""",GOOGLETRANSLATE(A40,""en"",""es""))"),"")</f>
        <v/>
      </c>
    </row>
    <row r="41">
      <c r="A41" s="10" t="s">
        <v>121</v>
      </c>
      <c r="B41" s="12" t="str">
        <f>IFERROR(__xludf.DUMMYFUNCTION("IF(ISBLANK(A41),"""",GOOGLETRANSLATE(A41,""en"",""es""))"),"NETSOL participa en la 25ª Cumbre Anual de Financiación Automotriz: Impulsando el futuro de la financiación automotriz")</f>
        <v>NETSOL participa en la 25ª Cumbre Anual de Financiación Automotriz: Impulsando el futuro de la financiación automotriz</v>
      </c>
    </row>
    <row r="42">
      <c r="B42" s="12" t="str">
        <f>IFERROR(__xludf.DUMMYFUNCTION("IF(ISBLANK(A42),"""",GOOGLETRANSLATE(A42,""en"",""es""))"),"")</f>
        <v/>
      </c>
    </row>
    <row r="43">
      <c r="B43" s="12" t="str">
        <f>IFERROR(__xludf.DUMMYFUNCTION("IF(ISBLANK(A43),"""",GOOGLETRANSLATE(A43,""en"",""es""))"),"")</f>
        <v/>
      </c>
    </row>
    <row r="44">
      <c r="A44" s="10" t="s">
        <v>122</v>
      </c>
      <c r="B44" s="12" t="str">
        <f>IFERROR(__xludf.DUMMYFUNCTION("IF(ISBLANK(A44),"""",GOOGLETRANSLATE(A44,""en"",""es""))"),"NETSOL está presente en Digital Dealer 2025: Impulsando el futuro de la venta minorista de automóviles.")</f>
        <v>NETSOL está presente en Digital Dealer 2025: Impulsando el futuro de la venta minorista de automóviles.</v>
      </c>
    </row>
    <row r="45">
      <c r="B45" s="12" t="str">
        <f>IFERROR(__xludf.DUMMYFUNCTION("IF(ISBLANK(A45),"""",GOOGLETRANSLATE(A45,""en"",""es""))"),"")</f>
        <v/>
      </c>
    </row>
    <row r="46">
      <c r="B46" s="12" t="str">
        <f>IFERROR(__xludf.DUMMYFUNCTION("IF(ISBLANK(A46),"""",GOOGLETRANSLATE(A46,""en"",""es""))"),"")</f>
        <v/>
      </c>
    </row>
    <row r="47">
      <c r="A47" s="13" t="s">
        <v>123</v>
      </c>
      <c r="B47" s="12" t="str">
        <f>IFERROR(__xludf.DUMMYFUNCTION("IF(ISBLANK(A47),"""",GOOGLETRANSLATE(A47,""en"",""es""))"),"La IA en el sector BFSI: revolucionando la gestión de riesgos")</f>
        <v>La IA en el sector BFSI: revolucionando la gestión de riesgos</v>
      </c>
    </row>
    <row r="48">
      <c r="B48" s="12" t="str">
        <f>IFERROR(__xludf.DUMMYFUNCTION("IF(ISBLANK(A48),"""",GOOGLETRANSLATE(A48,""en"",""es""))"),"")</f>
        <v/>
      </c>
    </row>
    <row r="49">
      <c r="B49" s="12" t="str">
        <f>IFERROR(__xludf.DUMMYFUNCTION("IF(ISBLANK(A49),"""",GOOGLETRANSLATE(A49,""en"",""es""))"),"")</f>
        <v/>
      </c>
    </row>
    <row r="50">
      <c r="A50" s="10" t="s">
        <v>124</v>
      </c>
      <c r="B50" s="12" t="str">
        <f>IFERROR(__xludf.DUMMYFUNCTION("IF(ISBLANK(A50),"""",GOOGLETRANSLATE(A50,""en"",""es""))"),"La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1">
      <c r="B51" s="12" t="str">
        <f>IFERROR(__xludf.DUMMYFUNCTION("IF(ISBLANK(A51),"""",GOOGLETRANSLATE(A51,""en"",""es""))"),"")</f>
        <v/>
      </c>
    </row>
    <row r="52">
      <c r="B52" s="12" t="str">
        <f>IFERROR(__xludf.DUMMYFUNCTION("IF(ISBLANK(A52),"""",GOOGLETRANSLATE(A52,""en"",""es""))"),"")</f>
        <v/>
      </c>
    </row>
    <row r="53">
      <c r="A53" s="10" t="s">
        <v>125</v>
      </c>
      <c r="B53" s="12" t="str">
        <f>IFERROR(__xludf.DUMMYFUNCTION("IF(ISBLANK(A53),"""",GOOGLETRANSLATE(A53,""en"",""es""))"),"El verdadero coste de los sistemas desconectados en la venta minorista de automóviles")</f>
        <v>El verdadero coste de los sistemas desconectados en la venta minorista de automóviles</v>
      </c>
    </row>
    <row r="54">
      <c r="B54" s="12" t="str">
        <f>IFERROR(__xludf.DUMMYFUNCTION("IF(ISBLANK(A54),"""",GOOGLETRANSLATE(A54,""en"",""es""))"),"")</f>
        <v/>
      </c>
    </row>
    <row r="55">
      <c r="B55" s="12" t="str">
        <f>IFERROR(__xludf.DUMMYFUNCTION("IF(ISBLANK(A55),"""",GOOGLETRANSLATE(A55,""en"",""es""))"),"")</f>
        <v/>
      </c>
    </row>
    <row r="56">
      <c r="A56" s="10" t="s">
        <v>126</v>
      </c>
      <c r="B56" s="12" t="str">
        <f>IFERROR(__xludf.DUMMYFUNCTION("IF(ISBLANK(A56),"""",GOOGLETRANSLATE(A56,""en"",""es""))"),"Las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57">
      <c r="B57" s="12" t="str">
        <f>IFERROR(__xludf.DUMMYFUNCTION("IF(ISBLANK(A57),"""",GOOGLETRANSLATE(A57,""en"",""es""))"),"")</f>
        <v/>
      </c>
    </row>
    <row r="58">
      <c r="B58" s="12" t="str">
        <f>IFERROR(__xludf.DUMMYFUNCTION("IF(ISBLANK(A58),"""",GOOGLETRANSLATE(A58,""en"",""es""))"),"")</f>
        <v/>
      </c>
    </row>
    <row r="59">
      <c r="A59" s="10" t="s">
        <v>127</v>
      </c>
      <c r="B59" s="12" t="str">
        <f>IFERROR(__xludf.DUMMYFUNCTION("IF(ISBLANK(A59),"""",GOOGLETRANSLATE(A59,""en"",""es""))"),"Lucha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0">
      <c r="B60" s="12" t="str">
        <f>IFERROR(__xludf.DUMMYFUNCTION("IF(ISBLANK(A60),"""",GOOGLETRANSLATE(A60,""en"",""es""))"),"")</f>
        <v/>
      </c>
    </row>
    <row r="61">
      <c r="A61" s="10" t="s">
        <v>130</v>
      </c>
      <c r="B61" s="12" t="str">
        <f>IFERROR(__xludf.DUMMYFUNCTION("IF(ISBLANK(A61),"""",GOOGLETRANSLATE(A61,""en"",""es""))"),"Suscríbase a nuestro boletín para recibir las últimas noticias en su correo electrónico.")</f>
        <v>Suscríbase a nuestro boletín para recibir las últimas noticias en su correo electrónico.</v>
      </c>
    </row>
    <row r="62">
      <c r="A62" s="10" t="s">
        <v>131</v>
      </c>
      <c r="B62" s="12" t="str">
        <f>IFERROR(__xludf.DUMMYFUNCTION("IF(ISBLANK(A62),"""",GOOGLETRANSLATE(A62,""en"",""es""))"),"abc@example.com")</f>
        <v>abc@example.com</v>
      </c>
    </row>
    <row r="63">
      <c r="A63" s="10" t="s">
        <v>132</v>
      </c>
      <c r="B63" s="12" t="str">
        <f>IFERROR(__xludf.DUMMYFUNCTION("IF(ISBLANK(A63),"""",GOOGLETRANSLATE(A63,""en"",""es""))"),"Suscríbete")</f>
        <v>Suscríbete</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63"/>
  </cols>
  <sheetData>
    <row r="1">
      <c r="A1" s="3" t="s">
        <v>0</v>
      </c>
      <c r="B1" s="3" t="s">
        <v>133</v>
      </c>
    </row>
    <row r="2">
      <c r="A2" s="10" t="s">
        <v>160</v>
      </c>
      <c r="B2" s="12" t="str">
        <f>IFERROR(__xludf.DUMMYFUNCTION("IF(ISBLANK(A2),"""",GOOGLETRANSLATE(A2,""en"",""es""))"),"Política y estrategia")</f>
        <v>Política y estrategia</v>
      </c>
    </row>
    <row r="3">
      <c r="A3" s="10" t="s">
        <v>615</v>
      </c>
      <c r="B3" s="12" t="str">
        <f>IFERROR(__xludf.DUMMYFUNCTION("IF(ISBLANK(A3),"""",GOOGLETRANSLATE(A3,""en"",""es""))"),"Aprovechar una política y estrategia digital sin precedentes")</f>
        <v>Aprovechar una política y estrategia digital sin precedentes</v>
      </c>
    </row>
    <row r="4">
      <c r="A4" s="10" t="s">
        <v>616</v>
      </c>
      <c r="B4" s="12" t="str">
        <f>IFERROR(__xludf.DUMMYFUNCTION("IF(ISBLANK(A4),"""",GOOGLETRANSLATE(A4,""en"",""es""))"),"Potencia tu negocio con una política y una estrategia de datos ganadoras.")</f>
        <v>Potencia tu negocio con una política y una estrategia de datos ganadoras.</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617</v>
      </c>
      <c r="B7" s="12" t="str">
        <f>IFERROR(__xludf.DUMMYFUNCTION("IF(ISBLANK(A7),"""",GOOGLETRANSLATE(A7,""en"",""es""))"),"Impulsando decisiones más inteligentes y construyendo una base sólida para el futuro.")</f>
        <v>Impulsando decisiones más inteligentes y construyendo una base sólida para el futuro.</v>
      </c>
    </row>
    <row r="8">
      <c r="A8" s="10" t="s">
        <v>618</v>
      </c>
      <c r="B8" s="12" t="str">
        <f>IFERROR(__xludf.DUMMYFUNCTION("IF(ISBLANK(A8),"""",GOOGLETRANSLATE(A8,""en"",""es""))"),"Al integrar la IA en sus políticas y estrategias, las empresas pueden obtener información más detallada, automatizar tareas repetitivas y tomar decisiones basadas en datos, impulsando así su infraestructura. Con una estrategia digital transformadora de po"&amp;"líticas y datos, aproveche el análisis avanzado de datos, la evaluación y mitigación de riesgos y el monitoreo del cumplimiento normativo. Gracias a nuestros sólidos servicios de consultoría en políticas y estrategias, y a nuestro software de gestión de p"&amp;"olíticas, libere el poder de la IA para tomar decisiones más inteligentes, obtener una ventaja competitiva y lograr el éxito a largo plazo.")</f>
        <v>Al integrar la IA en sus políticas y estrategias, las empresas pueden obtener información más detallada, automatizar tareas repetitivas y tomar decisiones basadas en datos, impulsando así su infraestructura. Con una estrategia digital transformadora de políticas y datos, aproveche el análisis avanzado de datos, la evaluación y mitigación de riesgos y el monitoreo del cumplimiento normativo. Gracias a nuestros sólidos servicios de consultoría en políticas y estrategias, y a nuestro software de gestión de políticas, libere el poder de la IA para tomar decisiones más inteligentes, obtener una ventaja competitiva y lograr el éxito a largo plazo.</v>
      </c>
    </row>
    <row r="9">
      <c r="A9" s="10" t="s">
        <v>619</v>
      </c>
      <c r="B9" s="12" t="str">
        <f>IFERROR(__xludf.DUMMYFUNCTION("IF(ISBLANK(A9),"""",GOOGLETRANSLATE(A9,""en"",""es""))"),"influencia de la IA")</f>
        <v>influencia de la IA</v>
      </c>
    </row>
    <row r="10">
      <c r="A10" s="10" t="s">
        <v>620</v>
      </c>
      <c r="B10" s="12" t="str">
        <f>IFERROR(__xludf.DUMMYFUNCTION("IF(ISBLANK(A10),"""",GOOGLETRANSLATE(A10,""en"",""es""))"),"Para finales de 2024, el 60% de las políticas gubernamentales tendrán un impacto directo en la IA.")</f>
        <v>Para finales de 2024, el 60% de las políticas gubernamentales tendrán un impacto directo en la IA.</v>
      </c>
    </row>
    <row r="11">
      <c r="A11" s="10" t="s">
        <v>621</v>
      </c>
      <c r="B11" s="12" t="str">
        <f>IFERROR(__xludf.DUMMYFUNCTION("IF(ISBLANK(A11),"""",GOOGLETRANSLATE(A11,""en"",""es""))"),"Inteligencia empresarial")</f>
        <v>Inteligencia empresarial</v>
      </c>
    </row>
    <row r="12">
      <c r="A12" s="10" t="s">
        <v>622</v>
      </c>
      <c r="B12" s="12" t="str">
        <f>IFERROR(__xludf.DUMMYFUNCTION("IF(ISBLANK(A12),"""",GOOGLETRANSLATE(A12,""en"",""es""))"),"El 83% de las empresas utilizan el poder de la IA para crear sus propias políticas y estrategias empresariales.")</f>
        <v>El 83% de las empresas utilizan el poder de la IA para crear sus propias políticas y estrategias empresariales.</v>
      </c>
    </row>
    <row r="13">
      <c r="A13" s="10" t="s">
        <v>623</v>
      </c>
      <c r="B13" s="12" t="str">
        <f>IFERROR(__xludf.DUMMYFUNCTION("IF(ISBLANK(A13),"""",GOOGLETRANSLATE(A13,""en"",""es""))"),"Infusión de datos")</f>
        <v>Infusión de datos</v>
      </c>
    </row>
    <row r="14">
      <c r="A14" s="10" t="s">
        <v>624</v>
      </c>
      <c r="B14" s="12" t="str">
        <f>IFERROR(__xludf.DUMMYFUNCTION("IF(ISBLANK(A14),"""",GOOGLETRANSLATE(A14,""en"",""es""))"),"Más del 61% de los profesionales del marketing se centran en la integración de la IA y el aprendizaje automático para lograr una estrategia de datos destacada.")</f>
        <v>Más del 61% de los profesionales del marketing se centran en la integración de la IA y el aprendizaje automático para lograr una estrategia de datos destacada.</v>
      </c>
    </row>
    <row r="15">
      <c r="A15" s="10" t="s">
        <v>625</v>
      </c>
      <c r="B15" s="12" t="str">
        <f>IFERROR(__xludf.DUMMYFUNCTION("IF(ISBLANK(A15),"""",GOOGLETRANSLATE(A15,""en"",""es""))"),"automatización de IA")</f>
        <v>automatización de IA</v>
      </c>
    </row>
    <row r="16">
      <c r="A16" s="10" t="s">
        <v>626</v>
      </c>
      <c r="B16" s="12" t="str">
        <f>IFERROR(__xludf.DUMMYFUNCTION("IF(ISBLANK(A16),"""",GOOGLETRANSLATE(A16,""en"",""es""))"),"Con la IA, el 50% de las empresas pueden automatizar su proceso de formulación de políticas y estrategias.")</f>
        <v>Con la IA, el 50% de las empresas pueden automatizar su proceso de formulación de políticas y estrategias.</v>
      </c>
    </row>
    <row r="17">
      <c r="A17" s="10" t="s">
        <v>627</v>
      </c>
      <c r="B17" s="12" t="str">
        <f>IFERROR(__xludf.DUMMYFUNCTION("IF(ISBLANK(A17),"""",GOOGLETRANSLATE(A17,""en"",""es""))"),"Información basada en IA sobre política y estrategia")</f>
        <v>Información basada en IA sobre política y estrategia</v>
      </c>
    </row>
    <row r="18">
      <c r="A18" s="10" t="s">
        <v>500</v>
      </c>
      <c r="B18" s="12" t="str">
        <f>IFERROR(__xludf.DUMMYFUNCTION("IF(ISBLANK(A18),"""",GOOGLETRANSLATE(A18,""en"",""es""))"),"NETSOL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19">
      <c r="A19" s="10" t="s">
        <v>628</v>
      </c>
      <c r="B19" s="12" t="str">
        <f>IFERROR(__xludf.DUMMYFUNCTION("IF(ISBLANK(A19),"""",GOOGLETRANSLATE(A19,""en"",""es""))"),"2,3x planificación estratégica")</f>
        <v>2,3x planificación estratégica</v>
      </c>
    </row>
    <row r="20">
      <c r="A20" s="10" t="s">
        <v>629</v>
      </c>
      <c r="B20" s="12" t="str">
        <f>IFERROR(__xludf.DUMMYFUNCTION("IF(ISBLANK(A20),"""",GOOGLETRANSLATE(A20,""en"",""es""))"),"Las organizaciones con un proceso formal de planificación estratégica tienen 2,3 veces más probabilidades de superar a sus competidores.")</f>
        <v>Las organizaciones con un proceso formal de planificación estratégica tienen 2,3 veces más probabilidades de superar a sus competidores.</v>
      </c>
    </row>
    <row r="21">
      <c r="A21" s="10" t="s">
        <v>630</v>
      </c>
      <c r="B21" s="12" t="str">
        <f>IFERROR(__xludf.DUMMYFUNCTION("IF(ISBLANK(A21),"""",GOOGLETRANSLATE(A21,""en"",""es""))"),"Experimente el poder de la innovación digital y los servicios de colaboración con el talento.")</f>
        <v>Experimente el poder de la innovación digital y los servicios de colaboración con el talento.</v>
      </c>
    </row>
    <row r="22">
      <c r="A22" s="10" t="s">
        <v>631</v>
      </c>
      <c r="B22" s="12" t="str">
        <f>IFERROR(__xludf.DUMMYFUNCTION("IF(ISBLANK(A22),"""",GOOGLETRANSLATE(A22,""en"",""es""))"),"Política y estrategia digital")</f>
        <v>Política y estrategia digital</v>
      </c>
    </row>
    <row r="23">
      <c r="A23" s="10" t="s">
        <v>632</v>
      </c>
      <c r="B23" s="12" t="str">
        <f>IFERROR(__xludf.DUMMYFUNCTION("IF(ISBLANK(A23),"""",GOOGLETRANSLATE(A23,""en"",""es""))"),"Una estrategia digital bien definida es fundamental para el éxito de cualquier organización. NETSOL ofrece una hoja de ruta para aprovechar la tecnología y alcanzar sus objetivos de negocio, mitigando riesgos y fomentando la innovación, a la vez que se ad"&amp;"apta eficazmente al cambiante panorama digital.")</f>
        <v>Una estrategia digital bien definida es fundamental para el éxito de cualquier organización. NETSOL ofrece una hoja de ruta para aprovechar la tecnología y alcanzar sus objetivos de negocio, mitigando riesgos y fomentando la innovación, a la vez que se adapta eficazmente al cambiante panorama digital.</v>
      </c>
    </row>
    <row r="24">
      <c r="A24" s="10" t="s">
        <v>633</v>
      </c>
      <c r="B24" s="12" t="str">
        <f>IFERROR(__xludf.DUMMYFUNCTION("IF(ISBLANK(A24),"""",GOOGLETRANSLATE(A24,""en"",""es""))"),"transformación digital")</f>
        <v>transformación digital</v>
      </c>
    </row>
    <row r="25">
      <c r="A25" s="10" t="s">
        <v>634</v>
      </c>
      <c r="B25" s="12" t="str">
        <f>IFERROR(__xludf.DUMMYFUNCTION("IF(ISBLANK(A25),"""",GOOGLETRANSLATE(A25,""en"",""es""))"),"Transforme sus datos brutos en información práctica, diseñe una arquitectura de datos sólida y defina una estrategia de datos clara para impulsar el crecimiento de su negocio. NETSOL crea una estrategia de transformación digital eficaz mediante el uso de "&amp;"servicios y herramientas digitales avanzadas.")</f>
        <v>Transforme sus datos brutos en información práctica, diseñe una arquitectura de datos sólida y defina una estrategia de datos clara para impulsar el crecimiento de su negocio. NETSOL crea una estrategia de transformación digital eficaz mediante el uso de servicios y herramientas digitales avanzadas.</v>
      </c>
    </row>
    <row r="26">
      <c r="A26" s="10" t="s">
        <v>635</v>
      </c>
      <c r="B26" s="12" t="str">
        <f>IFERROR(__xludf.DUMMYFUNCTION("IF(ISBLANK(A26),"""",GOOGLETRANSLATE(A26,""en"",""es""))"),"Política de ciberseguridad")</f>
        <v>Política de ciberseguridad</v>
      </c>
    </row>
    <row r="27">
      <c r="A27" s="10" t="s">
        <v>636</v>
      </c>
      <c r="B27" s="12" t="str">
        <f>IFERROR(__xludf.DUMMYFUNCTION("IF(ISBLANK(A27),"""",GOOGLETRANSLATE(A27,""en"",""es""))"),"Proteja sus activos digitales contra filtraciones de datos, ciberataques y problemas de cumplimiento normativo con una política integral de información y ciberseguridad, centrada en la evaluación de riesgos, el desarrollo e implementación de políticas y l"&amp;"a subsanación de deficiencias en el cumplimiento normativo.")</f>
        <v>Proteja sus activos digitales contra filtraciones de datos, ciberataques y problemas de cumplimiento normativo con una política integral de información y ciberseguridad, centrada en la evaluación de riesgos, el desarrollo e implementación de políticas y la subsanación de deficiencias en el cumplimiento normativo.</v>
      </c>
    </row>
    <row r="28">
      <c r="A28" s="10" t="s">
        <v>637</v>
      </c>
      <c r="B28" s="12" t="str">
        <f>IFERROR(__xludf.DUMMYFUNCTION("IF(ISBLANK(A28),"""",GOOGLETRANSLATE(A28,""en"",""es""))"),"Estrategia de migración a la nube")</f>
        <v>Estrategia de migración a la nube</v>
      </c>
    </row>
    <row r="29">
      <c r="A29" s="10" t="s">
        <v>638</v>
      </c>
      <c r="B29" s="12" t="str">
        <f>IFERROR(__xludf.DUMMYFUNCTION("IF(ISBLANK(A29),"""",GOOGLETRANSLATE(A29,""en"",""es""))"),"El proceso puede ser disruptivo, complejo y costoso sin una estrategia sólida de migración a la nube. Con nosotros, guíe su transición a la nube con una hoja de ruta clara, respaldada por una evaluación de negocio, una metodología de migración, considerac"&amp;"iones de cumplimiento y la selección de la plataforma en la nube.")</f>
        <v>El proceso puede ser disruptivo, complejo y costoso sin una estrategia sólida de migración a la nube. Con nosotros, guíe su transición a la nube con una hoja de ruta clara, respaldada por una evaluación de negocio, una metodología de migración, consideraciones de cumplimiento y la selección de la plataforma en la nube.</v>
      </c>
    </row>
    <row r="30">
      <c r="A30" s="10" t="s">
        <v>639</v>
      </c>
      <c r="B30" s="12" t="str">
        <f>IFERROR(__xludf.DUMMYFUNCTION("IF(ISBLANK(A30),"""",GOOGLETRANSLATE(A30,""en"",""es""))"),"Estrategia de nube híbrida")</f>
        <v>Estrategia de nube híbrida</v>
      </c>
    </row>
    <row r="31">
      <c r="A31" s="10" t="s">
        <v>640</v>
      </c>
      <c r="B31" s="12" t="str">
        <f>IFERROR(__xludf.DUMMYFUNCTION("IF(ISBLANK(A31),"""",GOOGLETRANSLATE(A31,""en"",""es""))"),"Con una estrategia de nube híbrida, aproveche los recursos locales junto con un servicio de nube pública. NETSOL diseña una estrategia de nube híbrida eficaz que utiliza software de políticas y procedimientos, ofrece una planificación meticulosa, una inte"&amp;"gración de API fluida y prácticas de seguridad y cumplimiento consistentes.")</f>
        <v>Con una estrategia de nube híbrida, aproveche los recursos locales junto con un servicio de nube pública. NETSOL diseña una estrategia de nube híbrida eficaz que utiliza software de políticas y procedimientos, ofrece una planificación meticulosa, una integración de API fluida y prácticas de seguridad y cumplimiento consistentes.</v>
      </c>
    </row>
    <row r="32">
      <c r="A32" s="10" t="s">
        <v>641</v>
      </c>
      <c r="B32" s="12" t="str">
        <f>IFERROR(__xludf.DUMMYFUNCTION("IF(ISBLANK(A32),"""",GOOGLETRANSLATE(A32,""en"",""es""))"),"Estrategia multi-nube")</f>
        <v>Estrategia multi-nube</v>
      </c>
    </row>
    <row r="33">
      <c r="A33" s="10" t="s">
        <v>642</v>
      </c>
      <c r="B33" s="12" t="str">
        <f>IFERROR(__xludf.DUMMYFUNCTION("IF(ISBLANK(A33),"""",GOOGLETRANSLATE(A33,""en"",""es""))"),"Con una estrategia multicloud, gestione e implemente sus aplicaciones en múltiples proveedores de nube pública. NETSOL ofrece un enfoque integral para diseñar y ejecutar una estrategia multicloud, incluyendo el desarrollo de la estrategia, la seguridad y "&amp;"la gestión del cumplimiento normativo.")</f>
        <v>Con una estrategia multicloud, gestione e implemente sus aplicaciones en múltiples proveedores de nube pública. NETSOL ofrece un enfoque integral para diseñar y ejecutar una estrategia multicloud, incluyendo el desarrollo de la estrategia, la seguridad y la gestión del cumplimiento normativo.</v>
      </c>
    </row>
    <row r="34">
      <c r="A34" s="10" t="s">
        <v>643</v>
      </c>
      <c r="B34" s="12" t="str">
        <f>IFERROR(__xludf.DUMMYFUNCTION("IF(ISBLANK(A34),"""",GOOGLETRANSLATE(A34,""en"",""es""))"),"¿Listo para comenzar?")</f>
        <v>¿Listo para comenzar?</v>
      </c>
    </row>
    <row r="35">
      <c r="A35" s="10" t="s">
        <v>644</v>
      </c>
      <c r="B35" s="12" t="str">
        <f>IFERROR(__xludf.DUMMYFUNCTION("IF(ISBLANK(A35),"""",GOOGLETRANSLATE(A35,""en"",""es""))"),"Descubre cómo NETSOL aprovecha la IA para lograr procesos de formulación de políticas y estrategias más inteligentes.")</f>
        <v>Descubre cómo NETSOL aprovecha la IA para lograr procesos de formulación de políticas y estrategias más inteligentes.</v>
      </c>
    </row>
    <row r="36">
      <c r="B36" s="12" t="str">
        <f>IFERROR(__xludf.DUMMYFUNCTION("IF(ISBLANK(A36),"""",GOOGLETRANSLATE(A36,""en"",""es""))"),"")</f>
        <v/>
      </c>
    </row>
    <row r="37">
      <c r="A37" s="10" t="s">
        <v>116</v>
      </c>
      <c r="B37" s="12" t="str">
        <f>IFERROR(__xludf.DUMMYFUNCTION("IF(ISBLANK(A37),"""",GOOGLETRANSLATE(A37,""en"",""es""))"),"Lecturas y reflexiones destacadas")</f>
        <v>Lecturas y reflexiones destacadas</v>
      </c>
    </row>
    <row r="38">
      <c r="A38" s="17" t="s">
        <v>117</v>
      </c>
      <c r="B38" s="12" t="str">
        <f>IFERROR(__xludf.DUMMYFUNCTION("IF(ISBLANK(A38),"""",GOOGLETRANSLATE(A38,""en"",""es""))"),"Manténgase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39">
      <c r="A39" s="10" t="s">
        <v>118</v>
      </c>
      <c r="B39" s="12" t="str">
        <f>IFERROR(__xludf.DUMMYFUNCTION("IF(ISBLANK(A39),"""",GOOGLETRANSLATE(A39,""en"",""es""))"),"Blog")</f>
        <v>Blog</v>
      </c>
    </row>
    <row r="40">
      <c r="A40" s="10" t="s">
        <v>119</v>
      </c>
      <c r="B40" s="12" t="str">
        <f>IFERROR(__xludf.DUMMYFUNCTION("IF(ISBLANK(A40),"""",GOOGLETRANSLATE(A40,""en"",""es""))"),"Más allá del DMS: Por qué el futuro de la venta minorista de automóviles se basa en las API")</f>
        <v>Más allá del DMS: Por qué el futuro de la venta minorista de automóviles se basa en las API</v>
      </c>
    </row>
    <row r="41">
      <c r="A41" s="10" t="s">
        <v>36</v>
      </c>
      <c r="B41" s="12" t="str">
        <f>IFERROR(__xludf.DUMMYFUNCTION("IF(ISBLANK(A41),"""",GOOGLETRANSLATE(A41,""en"",""es""))"),"Más información")</f>
        <v>Más información</v>
      </c>
    </row>
    <row r="42">
      <c r="B42" s="12" t="str">
        <f>IFERROR(__xludf.DUMMYFUNCTION("IF(ISBLANK(A42),"""",GOOGLETRANSLATE(A42,""en"",""es""))"),"")</f>
        <v/>
      </c>
    </row>
    <row r="43">
      <c r="A43" s="10" t="s">
        <v>120</v>
      </c>
      <c r="B43" s="12" t="str">
        <f>IFERROR(__xludf.DUMMYFUNCTION("IF(ISBLANK(A43),"""",GOOGLETRANSLATE(A43,""en"",""es""))"),"NETSOL estará presente en la Conferencia y Premios GlobalData Automotive Europe 2025.")</f>
        <v>NETSOL estará presente en la Conferencia y Premios GlobalData Automotive Europe 2025.</v>
      </c>
    </row>
    <row r="44">
      <c r="B44" s="12" t="str">
        <f>IFERROR(__xludf.DUMMYFUNCTION("IF(ISBLANK(A44),"""",GOOGLETRANSLATE(A44,""en"",""es""))"),"")</f>
        <v/>
      </c>
    </row>
    <row r="45">
      <c r="B45" s="12" t="str">
        <f>IFERROR(__xludf.DUMMYFUNCTION("IF(ISBLANK(A45),"""",GOOGLETRANSLATE(A45,""en"",""es""))"),"")</f>
        <v/>
      </c>
    </row>
    <row r="46">
      <c r="A46" s="10" t="s">
        <v>121</v>
      </c>
      <c r="B46" s="12" t="str">
        <f>IFERROR(__xludf.DUMMYFUNCTION("IF(ISBLANK(A46),"""",GOOGLETRANSLATE(A46,""en"",""es""))"),"NETSOL participa en la 25ª Cumbre Anual de Financiación Automotriz: Impulsando el futuro de la financiación automotriz")</f>
        <v>NETSOL participa en la 25ª Cumbre Anual de Financiación Automotriz: Impulsando el futuro de la financiación automotriz</v>
      </c>
    </row>
    <row r="47">
      <c r="B47" s="12" t="str">
        <f>IFERROR(__xludf.DUMMYFUNCTION("IF(ISBLANK(A47),"""",GOOGLETRANSLATE(A47,""en"",""es""))"),"")</f>
        <v/>
      </c>
    </row>
    <row r="48">
      <c r="B48" s="12" t="str">
        <f>IFERROR(__xludf.DUMMYFUNCTION("IF(ISBLANK(A48),"""",GOOGLETRANSLATE(A48,""en"",""es""))"),"")</f>
        <v/>
      </c>
    </row>
    <row r="49">
      <c r="A49" s="10" t="s">
        <v>122</v>
      </c>
      <c r="B49" s="12" t="str">
        <f>IFERROR(__xludf.DUMMYFUNCTION("IF(ISBLANK(A49),"""",GOOGLETRANSLATE(A49,""en"",""es""))"),"NETSOL está presente en Digital Dealer 2025: Impulsando el futuro de la venta minorista de automóviles.")</f>
        <v>NETSOL está presente en Digital Dealer 2025: Impulsando el futuro de la venta minorista de automóviles.</v>
      </c>
    </row>
    <row r="50">
      <c r="B50" s="12" t="str">
        <f>IFERROR(__xludf.DUMMYFUNCTION("IF(ISBLANK(A50),"""",GOOGLETRANSLATE(A50,""en"",""es""))"),"")</f>
        <v/>
      </c>
    </row>
    <row r="51">
      <c r="B51" s="12" t="str">
        <f>IFERROR(__xludf.DUMMYFUNCTION("IF(ISBLANK(A51),"""",GOOGLETRANSLATE(A51,""en"",""es""))"),"")</f>
        <v/>
      </c>
    </row>
    <row r="52">
      <c r="A52" s="13" t="s">
        <v>123</v>
      </c>
      <c r="B52" s="12" t="str">
        <f>IFERROR(__xludf.DUMMYFUNCTION("IF(ISBLANK(A52),"""",GOOGLETRANSLATE(A52,""en"",""es""))"),"La IA en el sector BFSI: revolucionando la gestión de riesgos")</f>
        <v>La IA en el sector BFSI: revolucionando la gestión de riesgos</v>
      </c>
    </row>
    <row r="53">
      <c r="B53" s="12" t="str">
        <f>IFERROR(__xludf.DUMMYFUNCTION("IF(ISBLANK(A53),"""",GOOGLETRANSLATE(A53,""en"",""es""))"),"")</f>
        <v/>
      </c>
    </row>
    <row r="54">
      <c r="B54" s="12" t="str">
        <f>IFERROR(__xludf.DUMMYFUNCTION("IF(ISBLANK(A54),"""",GOOGLETRANSLATE(A54,""en"",""es""))"),"")</f>
        <v/>
      </c>
    </row>
    <row r="55">
      <c r="A55" s="10" t="s">
        <v>124</v>
      </c>
      <c r="B55" s="12" t="str">
        <f>IFERROR(__xludf.DUMMYFUNCTION("IF(ISBLANK(A55),"""",GOOGLETRANSLATE(A55,""en"",""es""))"),"La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6">
      <c r="B56" s="12" t="str">
        <f>IFERROR(__xludf.DUMMYFUNCTION("IF(ISBLANK(A56),"""",GOOGLETRANSLATE(A56,""en"",""es""))"),"")</f>
        <v/>
      </c>
    </row>
    <row r="57">
      <c r="B57" s="12" t="str">
        <f>IFERROR(__xludf.DUMMYFUNCTION("IF(ISBLANK(A57),"""",GOOGLETRANSLATE(A57,""en"",""es""))"),"")</f>
        <v/>
      </c>
    </row>
    <row r="58">
      <c r="A58" s="10" t="s">
        <v>125</v>
      </c>
      <c r="B58" s="12" t="str">
        <f>IFERROR(__xludf.DUMMYFUNCTION("IF(ISBLANK(A58),"""",GOOGLETRANSLATE(A58,""en"",""es""))"),"El verdadero coste de los sistemas desconectados en la venta minorista de automóviles")</f>
        <v>El verdadero coste de los sistemas desconectados en la venta minorista de automóviles</v>
      </c>
    </row>
    <row r="59">
      <c r="B59" s="12" t="str">
        <f>IFERROR(__xludf.DUMMYFUNCTION("IF(ISBLANK(A59),"""",GOOGLETRANSLATE(A59,""en"",""es""))"),"")</f>
        <v/>
      </c>
    </row>
    <row r="60">
      <c r="B60" s="12" t="str">
        <f>IFERROR(__xludf.DUMMYFUNCTION("IF(ISBLANK(A60),"""",GOOGLETRANSLATE(A60,""en"",""es""))"),"")</f>
        <v/>
      </c>
    </row>
    <row r="61">
      <c r="A61" s="10" t="s">
        <v>126</v>
      </c>
      <c r="B61" s="12" t="str">
        <f>IFERROR(__xludf.DUMMYFUNCTION("IF(ISBLANK(A61),"""",GOOGLETRANSLATE(A61,""en"",""es""))"),"Las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2">
      <c r="B62" s="12" t="str">
        <f>IFERROR(__xludf.DUMMYFUNCTION("IF(ISBLANK(A62),"""",GOOGLETRANSLATE(A62,""en"",""es""))"),"")</f>
        <v/>
      </c>
    </row>
    <row r="63">
      <c r="B63" s="12" t="str">
        <f>IFERROR(__xludf.DUMMYFUNCTION("IF(ISBLANK(A63),"""",GOOGLETRANSLATE(A63,""en"",""es""))"),"")</f>
        <v/>
      </c>
    </row>
    <row r="64">
      <c r="A64" s="10" t="s">
        <v>127</v>
      </c>
      <c r="B64" s="12" t="str">
        <f>IFERROR(__xludf.DUMMYFUNCTION("IF(ISBLANK(A64),"""",GOOGLETRANSLATE(A64,""en"",""es""))"),"Lucha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5">
      <c r="B65" s="12" t="str">
        <f>IFERROR(__xludf.DUMMYFUNCTION("IF(ISBLANK(A65),"""",GOOGLETRANSLATE(A65,""en"",""es""))"),"")</f>
        <v/>
      </c>
    </row>
    <row r="66">
      <c r="A66" s="10" t="s">
        <v>130</v>
      </c>
      <c r="B66" s="12" t="str">
        <f>IFERROR(__xludf.DUMMYFUNCTION("IF(ISBLANK(A66),"""",GOOGLETRANSLATE(A66,""en"",""es""))"),"Suscríbase a nuestro boletín para recibir las últimas noticias en su correo electrónico.")</f>
        <v>Suscríbase a nuestro boletín para recibir las últimas noticias en su correo electrónico.</v>
      </c>
    </row>
    <row r="67">
      <c r="A67" s="10" t="s">
        <v>131</v>
      </c>
      <c r="B67" s="12" t="str">
        <f>IFERROR(__xludf.DUMMYFUNCTION("IF(ISBLANK(A67),"""",GOOGLETRANSLATE(A67,""en"",""es""))"),"abc@example.com")</f>
        <v>abc@example.com</v>
      </c>
    </row>
    <row r="68">
      <c r="A68" s="10" t="s">
        <v>132</v>
      </c>
      <c r="B68" s="12" t="str">
        <f>IFERROR(__xludf.DUMMYFUNCTION("IF(ISBLANK(A68),"""",GOOGLETRANSLATE(A68,""en"",""es""))"),"Suscríbete")</f>
        <v>Suscríbete</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63"/>
  </cols>
  <sheetData>
    <row r="1">
      <c r="A1" s="3" t="s">
        <v>0</v>
      </c>
      <c r="B1" s="3" t="s">
        <v>133</v>
      </c>
    </row>
    <row r="2">
      <c r="A2" s="10" t="s">
        <v>161</v>
      </c>
      <c r="B2" s="12" t="str">
        <f>IFERROR(__xludf.DUMMYFUNCTION("IF(ISBLANK(A2),"""",GOOGLETRANSLATE(A2,""en"",""es""))"),"Tecnologías emergentes")</f>
        <v>Tecnologías emergentes</v>
      </c>
    </row>
    <row r="3">
      <c r="A3" s="10" t="s">
        <v>645</v>
      </c>
      <c r="B3" s="12" t="str">
        <f>IFERROR(__xludf.DUMMYFUNCTION("IF(ISBLANK(A3),"""",GOOGLETRANSLATE(A3,""en"",""es""))"),"Experimenta la Web 3.0 y las tecnologías emergentes")</f>
        <v>Experimenta la Web 3.0 y las tecnologías emergentes</v>
      </c>
    </row>
    <row r="4">
      <c r="A4" s="10" t="s">
        <v>646</v>
      </c>
      <c r="B4" s="12" t="str">
        <f>IFERROR(__xludf.DUMMYFUNCTION("IF(ISBLANK(A4),"""",GOOGLETRANSLATE(A4,""en"",""es""))"),"Impulsando el futuro con servicios avanzados de la Web 3.0 y tecnologías emergentes.")</f>
        <v>Impulsando el futuro con servicios avanzados de la Web 3.0 y tecnologías emergentes.</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647</v>
      </c>
      <c r="B7" s="12" t="str">
        <f>IFERROR(__xludf.DUMMYFUNCTION("IF(ISBLANK(A7),"""",GOOGLETRANSLATE(A7,""en"",""es""))"),"Adéntrate en una nueva era con los servicios avanzados de la Web 3.0.")</f>
        <v>Adéntrate en una nueva era con los servicios avanzados de la Web 3.0.</v>
      </c>
    </row>
    <row r="8">
      <c r="A8" s="10" t="s">
        <v>648</v>
      </c>
      <c r="B8" s="12" t="str">
        <f>IFERROR(__xludf.DUMMYFUNCTION("IF(ISBLANK(A8),"""",GOOGLETRANSLATE(A8,""en"",""es""))"),"La Web 3.0, la web descentralizada del futuro, promete una experiencia más inmersiva, centrada en el usuario e inteligente. Al adoptar tecnologías innovadoras y emergentes, las empresas pueden impulsar su crecimiento con soluciones en constante evolución "&amp;"como la IA, blockchain, IoT y la Web 3.0, redefiniendo la seguridad, la privacidad, la innovación y la eficiencia. NETSOL, con un enfoque en el empoderamiento del usuario, ofrece desarrollar aplicaciones modernas que aprovechan la tecnología blockchain pa"&amp;"ra la gestión segura de datos e integran soluciones tecnológicas emergentes para ayudar a las empresas a transitar hacia un entorno más descentralizado.")</f>
        <v>La Web 3.0, la web descentralizada del futuro, promete una experiencia más inmersiva, centrada en el usuario e inteligente. Al adoptar tecnologías innovadoras y emergentes, las empresas pueden impulsar su crecimiento con soluciones en constante evolución como la IA, blockchain, IoT y la Web 3.0, redefiniendo la seguridad, la privacidad, la innovación y la eficiencia. NETSOL, con un enfoque en el empoderamiento del usuario, ofrece desarrollar aplicaciones modernas que aprovechan la tecnología blockchain para la gestión segura de datos e integran soluciones tecnológicas emergentes para ayudar a las empresas a transitar hacia un entorno más descentralizado.</v>
      </c>
    </row>
    <row r="9">
      <c r="A9" s="10" t="s">
        <v>649</v>
      </c>
      <c r="B9" s="12" t="str">
        <f>IFERROR(__xludf.DUMMYFUNCTION("IF(ISBLANK(A9),"""",GOOGLETRANSLATE(A9,""en"",""es""))"),"alcance de mercado de la Web 3.0")</f>
        <v>alcance de mercado de la Web 3.0</v>
      </c>
    </row>
    <row r="10">
      <c r="A10" s="10" t="s">
        <v>650</v>
      </c>
      <c r="B10" s="12" t="str">
        <f>IFERROR(__xludf.DUMMYFUNCTION("IF(ISBLANK(A10),"""",GOOGLETRANSLATE(A10,""en"",""es""))"),"Se prevé que el mercado de la Web 3.0 alcance los 5.500 millones de dólares en 2030, con una tasa de crecimiento anual compuesta (TCAC) del 44,9%.")</f>
        <v>Se prevé que el mercado de la Web 3.0 alcance los 5.500 millones de dólares en 2030, con una tasa de crecimiento anual compuesta (TCAC) del 44,9%.</v>
      </c>
    </row>
    <row r="11">
      <c r="A11" s="10" t="s">
        <v>651</v>
      </c>
      <c r="B11" s="12" t="str">
        <f>IFERROR(__xludf.DUMMYFUNCTION("IF(ISBLANK(A11),"""",GOOGLETRANSLATE(A11,""en"",""es""))"),"Aumento de la demanda")</f>
        <v>Aumento de la demanda</v>
      </c>
    </row>
    <row r="12">
      <c r="A12" s="10" t="s">
        <v>652</v>
      </c>
      <c r="B12" s="12" t="str">
        <f>IFERROR(__xludf.DUMMYFUNCTION("IF(ISBLANK(A12),"""",GOOGLETRANSLATE(A12,""en"",""es""))"),"La creciente demanda de la Web 3.0 aumenta la necesidad de transacciones digitales seguras y transparentes.")</f>
        <v>La creciente demanda de la Web 3.0 aumenta la necesidad de transacciones digitales seguras y transparentes.</v>
      </c>
    </row>
    <row r="13">
      <c r="A13" s="10" t="s">
        <v>653</v>
      </c>
      <c r="B13" s="12" t="str">
        <f>IFERROR(__xludf.DUMMYFUNCTION("IF(ISBLANK(A13),"""",GOOGLETRANSLATE(A13,""en"",""es""))"),"Mercado de la Web 3.0")</f>
        <v>Mercado de la Web 3.0</v>
      </c>
    </row>
    <row r="14">
      <c r="A14" s="10" t="s">
        <v>654</v>
      </c>
      <c r="B14" s="12" t="str">
        <f>IFERROR(__xludf.DUMMYFUNCTION("IF(ISBLANK(A14),"""",GOOGLETRANSLATE(A14,""en"",""es""))"),"Se estima que la capitalización de mercado de la Web 3.0 tiene un valor de 27.500 millones de dólares.")</f>
        <v>Se estima que la capitalización de mercado de la Web 3.0 tiene un valor de 27.500 millones de dólares.</v>
      </c>
    </row>
    <row r="15">
      <c r="A15" s="10" t="s">
        <v>655</v>
      </c>
      <c r="B15" s="12" t="str">
        <f>IFERROR(__xludf.DUMMYFUNCTION("IF(ISBLANK(A15),"""",GOOGLETRANSLATE(A15,""en"",""es""))"),"Adopción de jugadores")</f>
        <v>Adopción de jugadores</v>
      </c>
    </row>
    <row r="16">
      <c r="A16" s="10" t="s">
        <v>656</v>
      </c>
      <c r="B16" s="12" t="str">
        <f>IFERROR(__xludf.DUMMYFUNCTION("IF(ISBLANK(A16),"""",GOOGLETRANSLATE(A16,""en"",""es""))"),"Más de 73 millones de jugadores en todo el mundo juegan a juegos basados ​​en la tecnología Web 3.0.")</f>
        <v>Más de 73 millones de jugadores en todo el mundo juegan a juegos basados ​​en la tecnología Web 3.0.</v>
      </c>
    </row>
    <row r="17">
      <c r="A17" s="10" t="s">
        <v>657</v>
      </c>
      <c r="B17" s="12" t="str">
        <f>IFERROR(__xludf.DUMMYFUNCTION("IF(ISBLANK(A17),"""",GOOGLETRANSLATE(A17,""en"",""es""))"),"Impulsando la innovación mediante la integración de tecnologías emergentes con NETSOL")</f>
        <v>Impulsando la innovación mediante la integración de tecnologías emergentes con NETSOL</v>
      </c>
    </row>
    <row r="18">
      <c r="A18" s="10" t="s">
        <v>658</v>
      </c>
      <c r="B18" s="12" t="str">
        <f>IFERROR(__xludf.DUMMYFUNCTION("IF(ISBLANK(A18),"""",GOOGLETRANSLATE(A18,""en"",""es""))"),"Desarrollo de contratos inteligentes")</f>
        <v>Desarrollo de contratos inteligentes</v>
      </c>
    </row>
    <row r="19">
      <c r="A19" s="10" t="s">
        <v>659</v>
      </c>
      <c r="B19" s="12" t="str">
        <f>IFERROR(__xludf.DUMMYFUNCTION("IF(ISBLANK(A19),"""",GOOGLETRANSLATE(A19,""en"",""es""))"),"El auge de la Web 3.0 impulsa los contratos inteligentes como parte integral del mundo blockchain. Gracias a estos contratos, las empresas pueden mejorar su seguridad, automatizar el proceso transaccional y garantizar un contrato moderno y fiable, fomenta"&amp;"ndo acuerdos de ejecución automática.")</f>
        <v>El auge de la Web 3.0 impulsa los contratos inteligentes como parte integral del mundo blockchain. Gracias a estos contratos, las empresas pueden mejorar su seguridad, automatizar el proceso transaccional y garantizar un contrato moderno y fiable, fomentando acuerdos de ejecución automática.</v>
      </c>
    </row>
    <row r="20">
      <c r="A20" s="10" t="s">
        <v>660</v>
      </c>
      <c r="B20" s="12" t="str">
        <f>IFERROR(__xludf.DUMMYFUNCTION("IF(ISBLANK(A20),"""",GOOGLETRANSLATE(A20,""en"",""es""))"),"Aplicaciones descentralizadas (dApp)")</f>
        <v>Aplicaciones descentralizadas (dApp)</v>
      </c>
    </row>
    <row r="21">
      <c r="A21" s="10" t="s">
        <v>661</v>
      </c>
      <c r="B21" s="12" t="str">
        <f>IFERROR(__xludf.DUMMYFUNCTION("IF(ISBLANK(A21),"""",GOOGLETRANSLATE(A21,""en"",""es""))"),"El desarrollo de aplicaciones descentralizadas (dApps) en la Web 3.0 enfatiza el control y la propiedad del usuario, ejecutándose en una red blockchain. Las dApps están allanando el camino hacia un futuro descentralizado, permitiendo la financiación desce"&amp;"ntralizada y priorizando las dApps sociales y los mercados digitales.")</f>
        <v>El desarrollo de aplicaciones descentralizadas (dApps) en la Web 3.0 enfatiza el control y la propiedad del usuario, ejecutándose en una red blockchain. Las dApps están allanando el camino hacia un futuro descentralizado, permitiendo la financiación descentralizada y priorizando las dApps sociales y los mercados digitales.</v>
      </c>
    </row>
    <row r="22">
      <c r="A22" s="10" t="s">
        <v>662</v>
      </c>
      <c r="B22" s="12" t="str">
        <f>IFERROR(__xludf.DUMMYFUNCTION("IF(ISBLANK(A22),"""",GOOGLETRANSLATE(A22,""en"",""es""))"),"gemelo digital")</f>
        <v>gemelo digital</v>
      </c>
    </row>
    <row r="23">
      <c r="A23" s="10" t="s">
        <v>663</v>
      </c>
      <c r="B23" s="12" t="str">
        <f>IFERROR(__xludf.DUMMYFUNCTION("IF(ISBLANK(A23),"""",GOOGLETRANSLATE(A23,""en"",""es""))"),"Un gemelo digital es la representación virtual de un activo o sistema físico, que combina datos en tiempo real procedentes de sensores y dispositivos IoT. NETSOL con Web 3.0 inaugura una nueva era de optimización e innovación con un gemelo digital, promet"&amp;"iendo mejorar la eficiencia y reducir costes.")</f>
        <v>Un gemelo digital es la representación virtual de un activo o sistema físico, que combina datos en tiempo real procedentes de sensores y dispositivos IoT. NETSOL con Web 3.0 inaugura una nueva era de optimización e innovación con un gemelo digital, prometiendo mejorar la eficiencia y reducir costes.</v>
      </c>
    </row>
    <row r="24">
      <c r="A24" s="10" t="s">
        <v>664</v>
      </c>
      <c r="B24" s="12" t="str">
        <f>IFERROR(__xludf.DUMMYFUNCTION("IF(ISBLANK(A24),"""",GOOGLETRANSLATE(A24,""en"",""es""))"),"Metaverso")</f>
        <v>Metaverso</v>
      </c>
    </row>
    <row r="25">
      <c r="A25" s="10" t="s">
        <v>665</v>
      </c>
      <c r="B25" s="12" t="str">
        <f>IFERROR(__xludf.DUMMYFUNCTION("IF(ISBLANK(A25),"""",GOOGLETRANSLATE(A25,""en"",""es""))"),"El metaverso promete una forma revolucionaria de interactuar, socializar y hacer negocios. La Web 3.0 y el metaverso ofrecen una experiencia de usuario mejorada, propiedad descentralizada e interoperabilidad, fomentando el control de los activos digitales"&amp;" y, en última instancia, redefiniendo cómo nos conectamos.")</f>
        <v>El metaverso promete una forma revolucionaria de interactuar, socializar y hacer negocios. La Web 3.0 y el metaverso ofrecen una experiencia de usuario mejorada, propiedad descentralizada e interoperabilidad, fomentando el control de los activos digitales y, en última instancia, redefiniendo cómo nos conectamos.</v>
      </c>
    </row>
    <row r="26">
      <c r="A26" s="10" t="s">
        <v>666</v>
      </c>
      <c r="B26" s="12" t="str">
        <f>IFERROR(__xludf.DUMMYFUNCTION("IF(ISBLANK(A26),"""",GOOGLETRANSLATE(A26,""en"",""es""))"),"Consultoría y cumplimiento")</f>
        <v>Consultoría y cumplimiento</v>
      </c>
    </row>
    <row r="27">
      <c r="A27" s="10" t="s">
        <v>667</v>
      </c>
      <c r="B27" s="12" t="str">
        <f>IFERROR(__xludf.DUMMYFUNCTION("IF(ISBLANK(A27),"""",GOOGLETRANSLATE(A27,""en"",""es""))"),"La revolución de la Web 3.0 ayuda a las empresas a adaptarse a las normativas en constante evolución y a las nuevas amenazas. NETSOL ofrece a las empresas servicios expertos de consultoría y cumplimiento normativo en gestión de riesgos de seguridad, recla"&amp;"maciones regulatorias, selección de tecnología y gestión del cambio.")</f>
        <v>La revolución de la Web 3.0 ayuda a las empresas a adaptarse a las normativas en constante evolución y a las nuevas amenazas. NETSOL ofrece a las empresas servicios expertos de consultoría y cumplimiento normativo en gestión de riesgos de seguridad, reclamaciones regulatorias, selección de tecnología y gestión del cambio.</v>
      </c>
    </row>
    <row r="28">
      <c r="A28" s="10" t="s">
        <v>668</v>
      </c>
      <c r="B28" s="12" t="str">
        <f>IFERROR(__xludf.DUMMYFUNCTION("IF(ISBLANK(A28),"""",GOOGLETRANSLATE(A28,""en"",""es""))"),"Seguridad y educación")</f>
        <v>Seguridad y educación</v>
      </c>
    </row>
    <row r="29">
      <c r="A29" s="10" t="s">
        <v>669</v>
      </c>
      <c r="B29" s="12" t="str">
        <f>IFERROR(__xludf.DUMMYFUNCTION("IF(ISBLANK(A29),"""",GOOGLETRANSLATE(A29,""en"",""es""))"),"Sumérgete en una experiencia de aprendizaje personalizada con la revolucionaria Web 3.0, capaz de proteger los datos de los estudiantes, garantizar un acceso responsable al contenido y navegar por las complejidades de un entorno descentralizado en un ento"&amp;"rno blockchain y Metaverso.")</f>
        <v>Sumérgete en una experiencia de aprendizaje personalizada con la revolucionaria Web 3.0, capaz de proteger los datos de los estudiantes, garantizar un acceso responsable al contenido y navegar por las complejidades de un entorno descentralizado en un entorno blockchain y Metaverso.</v>
      </c>
    </row>
    <row r="30">
      <c r="A30" s="10" t="s">
        <v>128</v>
      </c>
      <c r="B30" s="12" t="str">
        <f>IFERROR(__xludf.DUMMYFUNCTION("IF(ISBLANK(A30),"""",GOOGLETRANSLATE(A30,""en"",""es""))"),"Hablemos de lo que sigue.")</f>
        <v>Hablemos de lo que sigue.</v>
      </c>
    </row>
    <row r="31">
      <c r="A31" s="10" t="s">
        <v>670</v>
      </c>
      <c r="B31" s="12" t="str">
        <f>IFERROR(__xludf.DUMMYFUNCTION("IF(ISBLANK(A31),"""",GOOGLETRANSLATE(A31,""en"",""es""))"),"Descubre cómo puedes crear soluciones Web 3.0 seguras y escalables con NETSOL.")</f>
        <v>Descubre cómo puedes crear soluciones Web 3.0 seguras y escalables con NETSOL.</v>
      </c>
    </row>
    <row r="32">
      <c r="B32" s="12" t="str">
        <f>IFERROR(__xludf.DUMMYFUNCTION("IF(ISBLANK(A32),"""",GOOGLETRANSLATE(A32,""en"",""es""))"),"")</f>
        <v/>
      </c>
    </row>
    <row r="33">
      <c r="A33" s="10" t="s">
        <v>116</v>
      </c>
      <c r="B33" s="12" t="str">
        <f>IFERROR(__xludf.DUMMYFUNCTION("IF(ISBLANK(A33),"""",GOOGLETRANSLATE(A33,""en"",""es""))"),"Lecturas y reflexiones destacadas")</f>
        <v>Lecturas y reflexiones destacadas</v>
      </c>
    </row>
    <row r="34">
      <c r="A34" s="17" t="s">
        <v>117</v>
      </c>
      <c r="B34" s="12" t="str">
        <f>IFERROR(__xludf.DUMMYFUNCTION("IF(ISBLANK(A34),"""",GOOGLETRANSLATE(A34,""en"",""es""))"),"Manténgase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35">
      <c r="A35" s="10" t="s">
        <v>118</v>
      </c>
      <c r="B35" s="12" t="str">
        <f>IFERROR(__xludf.DUMMYFUNCTION("IF(ISBLANK(A35),"""",GOOGLETRANSLATE(A35,""en"",""es""))"),"Blog")</f>
        <v>Blog</v>
      </c>
    </row>
    <row r="36">
      <c r="A36" s="10" t="s">
        <v>119</v>
      </c>
      <c r="B36" s="12" t="str">
        <f>IFERROR(__xludf.DUMMYFUNCTION("IF(ISBLANK(A36),"""",GOOGLETRANSLATE(A36,""en"",""es""))"),"Más allá del DMS: Por qué el futuro de la venta minorista de automóviles se basa en las API")</f>
        <v>Más allá del DMS: Por qué el futuro de la venta minorista de automóviles se basa en las API</v>
      </c>
    </row>
    <row r="37">
      <c r="A37" s="10" t="s">
        <v>36</v>
      </c>
      <c r="B37" s="12" t="str">
        <f>IFERROR(__xludf.DUMMYFUNCTION("IF(ISBLANK(A37),"""",GOOGLETRANSLATE(A37,""en"",""es""))"),"Más información")</f>
        <v>Más información</v>
      </c>
    </row>
    <row r="38">
      <c r="B38" s="12" t="str">
        <f>IFERROR(__xludf.DUMMYFUNCTION("IF(ISBLANK(A38),"""",GOOGLETRANSLATE(A38,""en"",""es""))"),"")</f>
        <v/>
      </c>
    </row>
    <row r="39">
      <c r="A39" s="10" t="s">
        <v>120</v>
      </c>
      <c r="B39" s="12" t="str">
        <f>IFERROR(__xludf.DUMMYFUNCTION("IF(ISBLANK(A39),"""",GOOGLETRANSLATE(A39,""en"",""es""))"),"NETSOL estará presente en la Conferencia y Premios GlobalData Automotive Europe 2025.")</f>
        <v>NETSOL estará presente en la Conferencia y Premios GlobalData Automotive Europe 2025.</v>
      </c>
    </row>
    <row r="40">
      <c r="B40" s="12" t="str">
        <f>IFERROR(__xludf.DUMMYFUNCTION("IF(ISBLANK(A40),"""",GOOGLETRANSLATE(A40,""en"",""es""))"),"")</f>
        <v/>
      </c>
    </row>
    <row r="41">
      <c r="B41" s="12" t="str">
        <f>IFERROR(__xludf.DUMMYFUNCTION("IF(ISBLANK(A41),"""",GOOGLETRANSLATE(A41,""en"",""es""))"),"")</f>
        <v/>
      </c>
    </row>
    <row r="42">
      <c r="A42" s="10" t="s">
        <v>121</v>
      </c>
      <c r="B42" s="12" t="str">
        <f>IFERROR(__xludf.DUMMYFUNCTION("IF(ISBLANK(A42),"""",GOOGLETRANSLATE(A42,""en"",""es""))"),"NETSOL participa en la 25ª Cumbre Anual de Financiación Automotriz: Impulsando el futuro de la financiación automotriz")</f>
        <v>NETSOL participa en la 25ª Cumbre Anual de Financiación Automotriz: Impulsando el futuro de la financiación automotriz</v>
      </c>
    </row>
    <row r="43">
      <c r="B43" s="12" t="str">
        <f>IFERROR(__xludf.DUMMYFUNCTION("IF(ISBLANK(A43),"""",GOOGLETRANSLATE(A43,""en"",""es""))"),"")</f>
        <v/>
      </c>
    </row>
    <row r="44">
      <c r="B44" s="12" t="str">
        <f>IFERROR(__xludf.DUMMYFUNCTION("IF(ISBLANK(A44),"""",GOOGLETRANSLATE(A44,""en"",""es""))"),"")</f>
        <v/>
      </c>
    </row>
    <row r="45">
      <c r="A45" s="10" t="s">
        <v>122</v>
      </c>
      <c r="B45" s="12" t="str">
        <f>IFERROR(__xludf.DUMMYFUNCTION("IF(ISBLANK(A45),"""",GOOGLETRANSLATE(A45,""en"",""es""))"),"NETSOL está presente en Digital Dealer 2025: Impulsando el futuro de la venta minorista de automóviles.")</f>
        <v>NETSOL está presente en Digital Dealer 2025: Impulsando el futuro de la venta minorista de automóviles.</v>
      </c>
    </row>
    <row r="46">
      <c r="B46" s="12" t="str">
        <f>IFERROR(__xludf.DUMMYFUNCTION("IF(ISBLANK(A46),"""",GOOGLETRANSLATE(A46,""en"",""es""))"),"")</f>
        <v/>
      </c>
    </row>
    <row r="47">
      <c r="B47" s="12" t="str">
        <f>IFERROR(__xludf.DUMMYFUNCTION("IF(ISBLANK(A47),"""",GOOGLETRANSLATE(A47,""en"",""es""))"),"")</f>
        <v/>
      </c>
    </row>
    <row r="48">
      <c r="A48" s="13" t="s">
        <v>123</v>
      </c>
      <c r="B48" s="12" t="str">
        <f>IFERROR(__xludf.DUMMYFUNCTION("IF(ISBLANK(A48),"""",GOOGLETRANSLATE(A48,""en"",""es""))"),"La IA en el sector BFSI: revolucionando la gestión de riesgos")</f>
        <v>La IA en el sector BFSI: revolucionando la gestión de riesgos</v>
      </c>
    </row>
    <row r="49">
      <c r="B49" s="12" t="str">
        <f>IFERROR(__xludf.DUMMYFUNCTION("IF(ISBLANK(A49),"""",GOOGLETRANSLATE(A49,""en"",""es""))"),"")</f>
        <v/>
      </c>
    </row>
    <row r="50">
      <c r="B50" s="12" t="str">
        <f>IFERROR(__xludf.DUMMYFUNCTION("IF(ISBLANK(A50),"""",GOOGLETRANSLATE(A50,""en"",""es""))"),"")</f>
        <v/>
      </c>
    </row>
    <row r="51">
      <c r="A51" s="10" t="s">
        <v>124</v>
      </c>
      <c r="B51" s="12" t="str">
        <f>IFERROR(__xludf.DUMMYFUNCTION("IF(ISBLANK(A51),"""",GOOGLETRANSLATE(A51,""en"",""es""))"),"La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2">
      <c r="B52" s="12" t="str">
        <f>IFERROR(__xludf.DUMMYFUNCTION("IF(ISBLANK(A52),"""",GOOGLETRANSLATE(A52,""en"",""es""))"),"")</f>
        <v/>
      </c>
    </row>
    <row r="53">
      <c r="B53" s="12" t="str">
        <f>IFERROR(__xludf.DUMMYFUNCTION("IF(ISBLANK(A53),"""",GOOGLETRANSLATE(A53,""en"",""es""))"),"")</f>
        <v/>
      </c>
    </row>
    <row r="54">
      <c r="A54" s="10" t="s">
        <v>125</v>
      </c>
      <c r="B54" s="12" t="str">
        <f>IFERROR(__xludf.DUMMYFUNCTION("IF(ISBLANK(A54),"""",GOOGLETRANSLATE(A54,""en"",""es""))"),"El verdadero coste de los sistemas desconectados en la venta minorista de automóviles")</f>
        <v>El verdadero coste de los sistemas desconectados en la venta minorista de automóviles</v>
      </c>
    </row>
    <row r="55">
      <c r="B55" s="12" t="str">
        <f>IFERROR(__xludf.DUMMYFUNCTION("IF(ISBLANK(A55),"""",GOOGLETRANSLATE(A55,""en"",""es""))"),"")</f>
        <v/>
      </c>
    </row>
    <row r="56">
      <c r="B56" s="12" t="str">
        <f>IFERROR(__xludf.DUMMYFUNCTION("IF(ISBLANK(A56),"""",GOOGLETRANSLATE(A56,""en"",""es""))"),"")</f>
        <v/>
      </c>
    </row>
    <row r="57">
      <c r="A57" s="10" t="s">
        <v>126</v>
      </c>
      <c r="B57" s="12" t="str">
        <f>IFERROR(__xludf.DUMMYFUNCTION("IF(ISBLANK(A57),"""",GOOGLETRANSLATE(A57,""en"",""es""))"),"Las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58">
      <c r="B58" s="12" t="str">
        <f>IFERROR(__xludf.DUMMYFUNCTION("IF(ISBLANK(A58),"""",GOOGLETRANSLATE(A58,""en"",""es""))"),"")</f>
        <v/>
      </c>
    </row>
    <row r="59">
      <c r="B59" s="12" t="str">
        <f>IFERROR(__xludf.DUMMYFUNCTION("IF(ISBLANK(A59),"""",GOOGLETRANSLATE(A59,""en"",""es""))"),"")</f>
        <v/>
      </c>
    </row>
    <row r="60">
      <c r="A60" s="10" t="s">
        <v>127</v>
      </c>
      <c r="B60" s="12" t="str">
        <f>IFERROR(__xludf.DUMMYFUNCTION("IF(ISBLANK(A60),"""",GOOGLETRANSLATE(A60,""en"",""es""))"),"Lucha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1">
      <c r="B61" s="12" t="str">
        <f>IFERROR(__xludf.DUMMYFUNCTION("IF(ISBLANK(A61),"""",GOOGLETRANSLATE(A61,""en"",""es""))"),"")</f>
        <v/>
      </c>
    </row>
    <row r="62">
      <c r="A62" s="10" t="s">
        <v>130</v>
      </c>
      <c r="B62" s="12" t="str">
        <f>IFERROR(__xludf.DUMMYFUNCTION("IF(ISBLANK(A62),"""",GOOGLETRANSLATE(A62,""en"",""es""))"),"Suscríbase a nuestro boletín para recibir las últimas noticias en su correo electrónico.")</f>
        <v>Suscríbase a nuestro boletín para recibir las últimas noticias en su correo electrónico.</v>
      </c>
    </row>
    <row r="63">
      <c r="A63" s="10" t="s">
        <v>131</v>
      </c>
      <c r="B63" s="12" t="str">
        <f>IFERROR(__xludf.DUMMYFUNCTION("IF(ISBLANK(A63),"""",GOOGLETRANSLATE(A63,""en"",""es""))"),"abc@example.com")</f>
        <v>abc@example.com</v>
      </c>
    </row>
    <row r="64">
      <c r="A64" s="10" t="s">
        <v>132</v>
      </c>
      <c r="B64" s="12" t="str">
        <f>IFERROR(__xludf.DUMMYFUNCTION("IF(ISBLANK(A64),"""",GOOGLETRANSLATE(A64,""en"",""es""))"),"Suscríbete")</f>
        <v>Suscríbete</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25"/>
  </cols>
  <sheetData>
    <row r="1">
      <c r="A1" s="3" t="s">
        <v>0</v>
      </c>
      <c r="B1" s="3" t="s">
        <v>133</v>
      </c>
    </row>
    <row r="2">
      <c r="A2" s="10" t="s">
        <v>79</v>
      </c>
      <c r="B2" s="12" t="str">
        <f>IFERROR(__xludf.DUMMYFUNCTION("IF(ISBLANK(A2),"""",GOOGLETRANSLATE(A2,""en"",""es""))"),"Servicios en la nube")</f>
        <v>Servicios en la nube</v>
      </c>
    </row>
    <row r="3">
      <c r="A3" s="10" t="s">
        <v>671</v>
      </c>
      <c r="B3" s="12" t="str">
        <f>IFERROR(__xludf.DUMMYFUNCTION("IF(ISBLANK(A3),"""",GOOGLETRANSLATE(A3,""en"",""es""))"),"Amplíe su negocio con soluciones ágiles en la nube")</f>
        <v>Amplíe su negocio con soluciones ágiles en la nube</v>
      </c>
    </row>
    <row r="4">
      <c r="A4" s="10" t="s">
        <v>672</v>
      </c>
      <c r="B4" s="12" t="str">
        <f>IFERROR(__xludf.DUMMYFUNCTION("IF(ISBLANK(A4),"""",GOOGLETRANSLATE(A4,""en"",""es""))"),"Reduzca sus costes y aumente la eficiencia con redes y seguridad multi-nube.")</f>
        <v>Reduzca sus costes y aumente la eficiencia con redes y seguridad multi-nube.</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185</v>
      </c>
      <c r="B7" s="12" t="str">
        <f>IFERROR(__xludf.DUMMYFUNCTION("IF(ISBLANK(A7),"""",GOOGLETRANSLATE(A7,""en"",""es""))"),"¿Por qué NET SOL?")</f>
        <v>¿Por qué NET SOL?</v>
      </c>
    </row>
    <row r="8">
      <c r="A8" s="10" t="s">
        <v>673</v>
      </c>
      <c r="B8" s="12" t="str">
        <f>IFERROR(__xludf.DUMMYFUNCTION("IF(ISBLANK(A8),"""",GOOGLETRANSLATE(A8,""en"",""es""))"),"Desata el poder de la posibilidad con servicios en la nube de eficacia probada.")</f>
        <v>Desata el poder de la posibilidad con servicios en la nube de eficacia probada.</v>
      </c>
    </row>
    <row r="9">
      <c r="A9" s="10" t="s">
        <v>674</v>
      </c>
      <c r="B9" s="12" t="str">
        <f>IFERROR(__xludf.DUMMYFUNCTION("IF(ISBLANK(A9),"""",GOOGLETRANSLATE(A9,""en"",""es""))"),"La agilidad y la escalabilidad ya no son lujos, sino necesidades para las empresas modernas. Los servicios en la nube de NETSOL ofrecen un enfoque revolucionario para la infraestructura de TI, impulsando el crecimiento empresarial y eliminando la necesida"&amp;"d de costosos equipos locales, con una escalabilidad, agilidad, seguridad, costos reducidos y confiabilidad inigualables. Con nuestro protocolo de recuperación ante desastres y copias de seguridad en la nube, abandone su infraestructura obsoleta, aprovech"&amp;"e el potencial de la nube y construya una base de TI preparada para el futuro.")</f>
        <v>La agilidad y la escalabilidad ya no son lujos, sino necesidades para las empresas modernas. Los servicios en la nube de NETSOL ofrecen un enfoque revolucionario para la infraestructura de TI, impulsando el crecimiento empresarial y eliminando la necesidad de costosos equipos locales, con una escalabilidad, agilidad, seguridad, costos reducidos y confiabilidad inigualables. Con nuestro protocolo de recuperación ante desastres y copias de seguridad en la nube, abandone su infraestructura obsoleta, aproveche el potencial de la nube y construya una base de TI preparada para el futuro.</v>
      </c>
    </row>
    <row r="10">
      <c r="A10" s="10" t="s">
        <v>675</v>
      </c>
      <c r="B10" s="12" t="str">
        <f>IFERROR(__xludf.DUMMYFUNCTION("IF(ISBLANK(A10),"""",GOOGLETRANSLATE(A10,""en"",""es""))"),"Expansión del mercado")</f>
        <v>Expansión del mercado</v>
      </c>
    </row>
    <row r="11">
      <c r="A11" s="10" t="s">
        <v>676</v>
      </c>
      <c r="B11" s="12" t="str">
        <f>IFERROR(__xludf.DUMMYFUNCTION("IF(ISBLANK(A11),"""",GOOGLETRANSLATE(A11,""en"",""es""))"),"El mercado global de computación en la nube creció de 24.630 millones de dólares en 2010 a 156.400 millones de dólares en 2020.")</f>
        <v>El mercado global de computación en la nube creció de 24.630 millones de dólares en 2010 a 156.400 millones de dólares en 2020.</v>
      </c>
    </row>
    <row r="12">
      <c r="A12" s="10" t="s">
        <v>677</v>
      </c>
      <c r="B12" s="12" t="str">
        <f>IFERROR(__xludf.DUMMYFUNCTION("IF(ISBLANK(A12),"""",GOOGLETRANSLATE(A12,""en"",""es""))"),"Desafío de la nube")</f>
        <v>Desafío de la nube</v>
      </c>
    </row>
    <row r="13">
      <c r="A13" s="10" t="s">
        <v>678</v>
      </c>
      <c r="B13" s="12" t="str">
        <f>IFERROR(__xludf.DUMMYFUNCTION("IF(ISBLANK(A13),"""",GOOGLETRANSLATE(A13,""en"",""es""))"),"El 42% de los CTO y CIO consideran que el desperdicio en la nube es el principal desafío durante y después de la migración.")</f>
        <v>El 42% de los CTO y CIO consideran que el desperdicio en la nube es el principal desafío durante y después de la migración.</v>
      </c>
    </row>
    <row r="14">
      <c r="A14" s="10" t="s">
        <v>679</v>
      </c>
      <c r="B14" s="12" t="str">
        <f>IFERROR(__xludf.DUMMYFUNCTION("IF(ISBLANK(A14),"""",GOOGLETRANSLATE(A14,""en"",""es""))"),"Gestión de costes")</f>
        <v>Gestión de costes</v>
      </c>
    </row>
    <row r="15">
      <c r="A15" s="10" t="s">
        <v>680</v>
      </c>
      <c r="B15" s="12" t="str">
        <f>IFERROR(__xludf.DUMMYFUNCTION("IF(ISBLANK(A15),"""",GOOGLETRANSLATE(A15,""en"",""es""))"),"Más del 58% de las empresas tienen dificultades para gestionar sus costes en la nube ante el aumento de su carga de trabajo.")</f>
        <v>Más del 58% de las empresas tienen dificultades para gestionar sus costes en la nube ante el aumento de su carga de trabajo.</v>
      </c>
    </row>
    <row r="16">
      <c r="A16" s="10" t="s">
        <v>681</v>
      </c>
      <c r="B16" s="12" t="str">
        <f>IFERROR(__xludf.DUMMYFUNCTION("IF(ISBLANK(A16),"""",GOOGLETRANSLATE(A16,""en"",""es""))"),"Inversión en la nube")</f>
        <v>Inversión en la nube</v>
      </c>
    </row>
    <row r="17">
      <c r="A17" s="10" t="s">
        <v>682</v>
      </c>
      <c r="B17" s="12" t="str">
        <f>IFERROR(__xludf.DUMMYFUNCTION("IF(ISBLANK(A17),"""",GOOGLETRANSLATE(A17,""en"",""es""))"),"Las principales empresas de TI invierten 8 de cada 10 dólares en servicios en la nube.")</f>
        <v>Las principales empresas de TI invierten 8 de cada 10 dólares en servicios en la nube.</v>
      </c>
    </row>
    <row r="18">
      <c r="A18" s="10" t="s">
        <v>683</v>
      </c>
      <c r="B18" s="12" t="str">
        <f>IFERROR(__xludf.DUMMYFUNCTION("IF(ISBLANK(A18),"""",GOOGLETRANSLATE(A18,""en"",""es""))"),"Información basada en IA sobre servicios en la nube")</f>
        <v>Información basada en IA sobre servicios en la nube</v>
      </c>
    </row>
    <row r="19">
      <c r="A19" s="10" t="s">
        <v>500</v>
      </c>
      <c r="B19" s="12" t="str">
        <f>IFERROR(__xludf.DUMMYFUNCTION("IF(ISBLANK(A19),"""",GOOGLETRANSLATE(A19,""en"",""es""))"),"NETSOL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20">
      <c r="B20" s="12" t="str">
        <f>IFERROR(__xludf.DUMMYFUNCTION("IF(ISBLANK(A20),"""",GOOGLETRANSLATE(A20,""en"",""es""))"),"")</f>
        <v/>
      </c>
    </row>
    <row r="21">
      <c r="A21" s="10" t="s">
        <v>684</v>
      </c>
      <c r="B21" s="12" t="str">
        <f>IFERROR(__xludf.DUMMYFUNCTION("IF(ISBLANK(A21),"""",GOOGLETRANSLATE(A21,""en"",""es""))"),"70% más capacidades")</f>
        <v>70% más capacidades</v>
      </c>
    </row>
    <row r="22">
      <c r="A22" s="10" t="s">
        <v>685</v>
      </c>
      <c r="B22" s="12" t="str">
        <f>IFERROR(__xludf.DUMMYFUNCTION("IF(ISBLANK(A22),"""",GOOGLETRANSLATE(A22,""en"",""es""))"),"Más del 70% de las empresas obtienen sus capacidades de IA de software basado en la nube, mientras que el 65% crean aplicaciones de IA con servicios en la nube.")</f>
        <v>Más del 70% de las empresas obtienen sus capacidades de IA de software basado en la nube, mientras que el 65% crean aplicaciones de IA con servicios en la nube.</v>
      </c>
    </row>
    <row r="23">
      <c r="A23" s="10" t="s">
        <v>686</v>
      </c>
      <c r="B23" s="12" t="str">
        <f>IFERROR(__xludf.DUMMYFUNCTION("IF(ISBLANK(A23),"""",GOOGLETRANSLATE(A23,""en"",""es""))"),"4,7 veces más márgenes operativos")</f>
        <v>4,7 veces más márgenes operativos</v>
      </c>
    </row>
    <row r="24">
      <c r="A24" s="10" t="s">
        <v>687</v>
      </c>
      <c r="B24" s="12" t="str">
        <f>IFERROR(__xludf.DUMMYFUNCTION("IF(ISBLANK(A24),"""",GOOGLETRANSLATE(A24,""en"",""es""))"),"Las empresas ecológicas disfrutan de márgenes operativos 4,7 veces mayores con IA en la nube, reduciendo las emisiones de carbono hasta en un 64%.")</f>
        <v>Las empresas ecológicas disfrutan de márgenes operativos 4,7 veces mayores con IA en la nube, reduciendo las emisiones de carbono hasta en un 64%.</v>
      </c>
    </row>
    <row r="25">
      <c r="A25" s="10" t="s">
        <v>688</v>
      </c>
      <c r="B25" s="12" t="str">
        <f>IFERROR(__xludf.DUMMYFUNCTION("IF(ISBLANK(A25),"""",GOOGLETRANSLATE(A25,""en"",""es""))"),"Migración del 50% de la carga de trabajo")</f>
        <v>Migración del 50% de la carga de trabajo</v>
      </c>
    </row>
    <row r="26">
      <c r="A26" s="10" t="s">
        <v>689</v>
      </c>
      <c r="B26" s="12" t="str">
        <f>IFERROR(__xludf.DUMMYFUNCTION("IF(ISBLANK(A26),"""",GOOGLETRANSLATE(A26,""en"",""es""))"),"Más del 54% de las empresas se trasladaron a la nube para la recuperación ante desastres y el 50% para la migración de la gestión de cargas de trabajo.")</f>
        <v>Más del 54% de las empresas se trasladaron a la nube para la recuperación ante desastres y el 50% para la migración de la gestión de cargas de trabajo.</v>
      </c>
    </row>
    <row r="27">
      <c r="A27" s="10" t="s">
        <v>690</v>
      </c>
      <c r="B27" s="12" t="str">
        <f>IFERROR(__xludf.DUMMYFUNCTION("IF(ISBLANK(A27),"""",GOOGLETRANSLATE(A27,""en"",""es""))"),"Servicios gestionados en la nube para empresas modernas")</f>
        <v>Servicios gestionados en la nube para empresas modernas</v>
      </c>
    </row>
    <row r="28">
      <c r="A28" s="10" t="s">
        <v>691</v>
      </c>
      <c r="B28" s="12" t="str">
        <f>IFERROR(__xludf.DUMMYFUNCTION("IF(ISBLANK(A28),"""",GOOGLETRANSLATE(A28,""en"",""es""))"),"Servicios gestionados")</f>
        <v>Servicios gestionados</v>
      </c>
    </row>
    <row r="29">
      <c r="A29" s="10" t="s">
        <v>692</v>
      </c>
      <c r="B29" s="12" t="str">
        <f>IFERROR(__xludf.DUMMYFUNCTION("IF(ISBLANK(A29),"""",GOOGLETRANSLATE(A29,""en"",""es""))"),"Gestionar un entorno en la nube es complejo, pero con servicios gestionados, las empresas pueden externalizar la gestión y el mantenimiento, logrando que sus servicios en la nube funcionen de forma fluida, segura y rentable. Optimice las operaciones en la"&amp;" nube, mejore la seguridad y escale sus soluciones con nosotros.")</f>
        <v>Gestionar un entorno en la nube es complejo, pero con servicios gestionados, las empresas pueden externalizar la gestión y el mantenimiento, logrando que sus servicios en la nube funcionen de forma fluida, segura y rentable. Optimice las operaciones en la nube, mejore la seguridad y escale sus soluciones con nosotros.</v>
      </c>
    </row>
    <row r="30">
      <c r="A30" s="10" t="s">
        <v>693</v>
      </c>
      <c r="B30" s="12" t="str">
        <f>IFERROR(__xludf.DUMMYFUNCTION("IF(ISBLANK(A30),"""",GOOGLETRANSLATE(A30,""en"",""es""))"),"servicios de infraestructura en la nube")</f>
        <v>servicios de infraestructura en la nube</v>
      </c>
    </row>
    <row r="31">
      <c r="A31" s="10" t="s">
        <v>694</v>
      </c>
      <c r="B31" s="12" t="str">
        <f>IFERROR(__xludf.DUMMYFUNCTION("IF(ISBLANK(A31),"""",GOOGLETRANSLATE(A31,""en"",""es""))"),"Necesitas una base sólida con una infraestructura de nube segura y los recursos esenciales para ejecutar tus aplicaciones sin problemas. Potenciamos tu infraestructura de nube mediante la implementación y migración seguras de tu nube y la optimización del"&amp;" aprovisionamiento de recursos.")</f>
        <v>Necesitas una base sólida con una infraestructura de nube segura y los recursos esenciales para ejecutar tus aplicaciones sin problemas. Potenciamos tu infraestructura de nube mediante la implementación y migración seguras de tu nube y la optimización del aprovisionamiento de recursos.</v>
      </c>
    </row>
    <row r="32">
      <c r="A32" s="10" t="s">
        <v>695</v>
      </c>
      <c r="B32" s="12" t="str">
        <f>IFERROR(__xludf.DUMMYFUNCTION("IF(ISBLANK(A32),"""",GOOGLETRANSLATE(A32,""en"",""es""))"),"Desarrollo e integraciones")</f>
        <v>Desarrollo e integraciones</v>
      </c>
    </row>
    <row r="33">
      <c r="A33" s="10" t="s">
        <v>696</v>
      </c>
      <c r="B33" s="12" t="str">
        <f>IFERROR(__xludf.DUMMYFUNCTION("IF(ISBLANK(A33),"""",GOOGLETRANSLATE(A33,""en"",""es""))"),"Navegar por las complejidades de crear e integrar aplicaciones nativas de la nube puede ser todo un reto. Con NETSOL, aproveche el poder de la IA para un desarrollo seguro en la nube, la integración de API, la contenerización, la experiencia en DevOps y l"&amp;"a arquitectura de microservicios.")</f>
        <v>Navegar por las complejidades de crear e integrar aplicaciones nativas de la nube puede ser todo un reto. Con NETSOL, aproveche el poder de la IA para un desarrollo seguro en la nube, la integración de API, la contenerización, la experiencia en DevOps y la arquitectura de microservicios.</v>
      </c>
    </row>
    <row r="34">
      <c r="A34" s="10" t="s">
        <v>697</v>
      </c>
      <c r="B34" s="12" t="str">
        <f>IFERROR(__xludf.DUMMYFUNCTION("IF(ISBLANK(A34),"""",GOOGLETRANSLATE(A34,""en"",""es""))"),"desarrollo de SaaS")</f>
        <v>desarrollo de SaaS</v>
      </c>
    </row>
    <row r="35">
      <c r="A35" s="10" t="s">
        <v>698</v>
      </c>
      <c r="B35" s="12" t="str">
        <f>IFERROR(__xludf.DUMMYFUNCTION("IF(ISBLANK(A35),"""",GOOGLETRANSLATE(A35,""en"",""es""))"),"Implementar aplicaciones SaaS ágiles, escalables y rentables requiere experiencia y soluciones innovadoras. NETSOL está listo para impulsar su transformación digital con una arquitectura nativa de la nube, respaldada por un enfoque de seguridad prioritari"&amp;"o, diseño de API y servicios de integración.")</f>
        <v>Implementar aplicaciones SaaS ágiles, escalables y rentables requiere experiencia y soluciones innovadoras. NETSOL está listo para impulsar su transformación digital con una arquitectura nativa de la nube, respaldada por un enfoque de seguridad prioritario, diseño de API y servicios de integración.</v>
      </c>
    </row>
    <row r="36">
      <c r="A36" s="10" t="s">
        <v>699</v>
      </c>
      <c r="B36" s="12" t="str">
        <f>IFERROR(__xludf.DUMMYFUNCTION("IF(ISBLANK(A36),"""",GOOGLETRANSLATE(A36,""en"",""es""))"),"DevOps")</f>
        <v>DevOps</v>
      </c>
    </row>
    <row r="37">
      <c r="A37" s="10" t="s">
        <v>700</v>
      </c>
      <c r="B37" s="12" t="str">
        <f>IFERROR(__xludf.DUMMYFUNCTION("IF(ISBLANK(A37),"""",GOOGLETRANSLATE(A37,""en"",""es""))"),"DevOps es fundamental para optimizar el desarrollo y la entrega de aplicaciones en la nube. NETSOL simplifica el complejo proceso de DevOps al integrar la automatización de pipelines CI/CD, IaC, monitorización y registro en la nube, e integración de segur"&amp;"idad.")</f>
        <v>DevOps es fundamental para optimizar el desarrollo y la entrega de aplicaciones en la nube. NETSOL simplifica el complejo proceso de DevOps al integrar la automatización de pipelines CI/CD, IaC, monitorización y registro en la nube, e integración de seguridad.</v>
      </c>
    </row>
    <row r="38">
      <c r="A38" s="10" t="s">
        <v>701</v>
      </c>
      <c r="B38" s="12" t="str">
        <f>IFERROR(__xludf.DUMMYFUNCTION("IF(ISBLANK(A38),"""",GOOGLETRANSLATE(A38,""en"",""es""))"),"MLOps y gestión de modelos")</f>
        <v>MLOps y gestión de modelos</v>
      </c>
    </row>
    <row r="39">
      <c r="A39" s="10" t="s">
        <v>702</v>
      </c>
      <c r="B39" s="12" t="str">
        <f>IFERROR(__xludf.DUMMYFUNCTION("IF(ISBLANK(A39),"""",GOOGLETRANSLATE(A39,""en"",""es""))"),"El proceso desde la creación de un modelo hasta su implementación en producción puede ser complejo. NETSOL, con su experiencia en MLOps, le ayuda a superar esta etapa crítica optimizando la experimentación, el control de versiones y la gobernanza del mode"&amp;"lo, así como su monitorización.")</f>
        <v>El proceso desde la creación de un modelo hasta su implementación en producción puede ser complejo. NETSOL, con su experiencia en MLOps, le ayuda a superar esta etapa crítica optimizando la experimentación, el control de versiones y la gobernanza del modelo, así como su monitorización.</v>
      </c>
    </row>
    <row r="40">
      <c r="A40" s="10" t="s">
        <v>703</v>
      </c>
      <c r="B40" s="12" t="str">
        <f>IFERROR(__xludf.DUMMYFUNCTION("IF(ISBLANK(A40),"""",GOOGLETRANSLATE(A40,""en"",""es""))"),"NETSOL + Amazon Web Services: ¡Donde la innovación se une al impacto!")</f>
        <v>NETSOL + Amazon Web Services: ¡Donde la innovación se une al impacto!</v>
      </c>
    </row>
    <row r="41">
      <c r="A41" s="10" t="s">
        <v>704</v>
      </c>
      <c r="B41" s="12" t="str">
        <f>IFERROR(__xludf.DUMMYFUNCTION("IF(ISBLANK(A41),"""",GOOGLETRANSLATE(A41,""en"",""es""))"),"Descubra cómo nuestra experiencia certificada puede impulsar su éxito con soluciones en la nube de vanguardia. Experimente la excelencia en innovación y escalabilidad con los servicios de NETSOL basados ​​en AWS.")</f>
        <v>Descubra cómo nuestra experiencia certificada puede impulsar su éxito con soluciones en la nube de vanguardia. Experimente la excelencia en innovación y escalabilidad con los servicios de NETSOL basados ​​en AWS.</v>
      </c>
    </row>
    <row r="42">
      <c r="B42" s="12" t="str">
        <f>IFERROR(__xludf.DUMMYFUNCTION("IF(ISBLANK(A42),"""",GOOGLETRANSLATE(A42,""en"",""es""))"),"")</f>
        <v/>
      </c>
    </row>
    <row r="43">
      <c r="A43" s="10" t="s">
        <v>643</v>
      </c>
      <c r="B43" s="12" t="str">
        <f>IFERROR(__xludf.DUMMYFUNCTION("IF(ISBLANK(A43),"""",GOOGLETRANSLATE(A43,""en"",""es""))"),"¿Listo para comenzar?")</f>
        <v>¿Listo para comenzar?</v>
      </c>
    </row>
    <row r="44">
      <c r="A44" s="10" t="s">
        <v>644</v>
      </c>
      <c r="B44" s="12" t="str">
        <f>IFERROR(__xludf.DUMMYFUNCTION("IF(ISBLANK(A44),"""",GOOGLETRANSLATE(A44,""en"",""es""))"),"Descubre cómo NETSOL aprovecha la IA para lograr procesos de formulación de políticas y estrategias más inteligentes.")</f>
        <v>Descubre cómo NETSOL aprovecha la IA para lograr procesos de formulación de políticas y estrategias más inteligentes.</v>
      </c>
    </row>
    <row r="45">
      <c r="B45" s="12" t="str">
        <f>IFERROR(__xludf.DUMMYFUNCTION("IF(ISBLANK(A45),"""",GOOGLETRANSLATE(A45,""en"",""es""))"),"")</f>
        <v/>
      </c>
    </row>
    <row r="46">
      <c r="A46" s="10" t="s">
        <v>116</v>
      </c>
      <c r="B46" s="12" t="str">
        <f>IFERROR(__xludf.DUMMYFUNCTION("IF(ISBLANK(A46),"""",GOOGLETRANSLATE(A46,""en"",""es""))"),"Lecturas y reflexiones destacadas")</f>
        <v>Lecturas y reflexiones destacadas</v>
      </c>
    </row>
    <row r="47">
      <c r="A47" s="17" t="s">
        <v>117</v>
      </c>
      <c r="B47" s="12" t="str">
        <f>IFERROR(__xludf.DUMMYFUNCTION("IF(ISBLANK(A47),"""",GOOGLETRANSLATE(A47,""en"",""es""))"),"Manténgase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8">
      <c r="A48" s="10" t="s">
        <v>118</v>
      </c>
      <c r="B48" s="12" t="str">
        <f>IFERROR(__xludf.DUMMYFUNCTION("IF(ISBLANK(A48),"""",GOOGLETRANSLATE(A48,""en"",""es""))"),"Blog")</f>
        <v>Blog</v>
      </c>
    </row>
    <row r="49">
      <c r="A49" s="10" t="s">
        <v>119</v>
      </c>
      <c r="B49" s="12" t="str">
        <f>IFERROR(__xludf.DUMMYFUNCTION("IF(ISBLANK(A49),"""",GOOGLETRANSLATE(A49,""en"",""es""))"),"Más allá del DMS: Por qué el futuro de la venta minorista de automóviles se basa en las API")</f>
        <v>Más allá del DMS: Por qué el futuro de la venta minorista de automóviles se basa en las API</v>
      </c>
    </row>
    <row r="50">
      <c r="A50" s="10" t="s">
        <v>36</v>
      </c>
      <c r="B50" s="12" t="str">
        <f>IFERROR(__xludf.DUMMYFUNCTION("IF(ISBLANK(A50),"""",GOOGLETRANSLATE(A50,""en"",""es""))"),"Más información")</f>
        <v>Más información</v>
      </c>
    </row>
    <row r="51">
      <c r="B51" s="12" t="str">
        <f>IFERROR(__xludf.DUMMYFUNCTION("IF(ISBLANK(A51),"""",GOOGLETRANSLATE(A51,""en"",""es""))"),"")</f>
        <v/>
      </c>
    </row>
    <row r="52">
      <c r="A52" s="10" t="s">
        <v>120</v>
      </c>
      <c r="B52" s="12" t="str">
        <f>IFERROR(__xludf.DUMMYFUNCTION("IF(ISBLANK(A52),"""",GOOGLETRANSLATE(A52,""en"",""es""))"),"NETSOL estará presente en la Conferencia y Premios GlobalData Automotive Europe 2025.")</f>
        <v>NETSOL estará presente en la Conferencia y Premios GlobalData Automotive Europe 2025.</v>
      </c>
    </row>
    <row r="53">
      <c r="B53" s="12" t="str">
        <f>IFERROR(__xludf.DUMMYFUNCTION("IF(ISBLANK(A53),"""",GOOGLETRANSLATE(A53,""en"",""es""))"),"")</f>
        <v/>
      </c>
    </row>
    <row r="54">
      <c r="B54" s="12" t="str">
        <f>IFERROR(__xludf.DUMMYFUNCTION("IF(ISBLANK(A54),"""",GOOGLETRANSLATE(A54,""en"",""es""))"),"")</f>
        <v/>
      </c>
    </row>
    <row r="55">
      <c r="A55" s="10" t="s">
        <v>121</v>
      </c>
      <c r="B55" s="12" t="str">
        <f>IFERROR(__xludf.DUMMYFUNCTION("IF(ISBLANK(A55),"""",GOOGLETRANSLATE(A55,""en"",""es""))"),"NETSOL participa en la 25ª Cumbre Anual de Financiación Automotriz: Impulsando el futuro de la financiación automotriz")</f>
        <v>NETSOL participa en la 25ª Cumbre Anual de Financiación Automotriz: Impulsando el futuro de la financiación automotriz</v>
      </c>
    </row>
    <row r="56">
      <c r="B56" s="12" t="str">
        <f>IFERROR(__xludf.DUMMYFUNCTION("IF(ISBLANK(A56),"""",GOOGLETRANSLATE(A56,""en"",""es""))"),"")</f>
        <v/>
      </c>
    </row>
    <row r="57">
      <c r="B57" s="12" t="str">
        <f>IFERROR(__xludf.DUMMYFUNCTION("IF(ISBLANK(A57),"""",GOOGLETRANSLATE(A57,""en"",""es""))"),"")</f>
        <v/>
      </c>
    </row>
    <row r="58">
      <c r="A58" s="10" t="s">
        <v>122</v>
      </c>
      <c r="B58" s="12" t="str">
        <f>IFERROR(__xludf.DUMMYFUNCTION("IF(ISBLANK(A58),"""",GOOGLETRANSLATE(A58,""en"",""es""))"),"NETSOL está presente en Digital Dealer 2025: Impulsando el futuro de la venta minorista de automóviles.")</f>
        <v>NETSOL está presente en Digital Dealer 2025: Impulsando el futuro de la venta minorista de automóviles.</v>
      </c>
    </row>
    <row r="59">
      <c r="B59" s="12" t="str">
        <f>IFERROR(__xludf.DUMMYFUNCTION("IF(ISBLANK(A59),"""",GOOGLETRANSLATE(A59,""en"",""es""))"),"")</f>
        <v/>
      </c>
    </row>
    <row r="60">
      <c r="B60" s="12" t="str">
        <f>IFERROR(__xludf.DUMMYFUNCTION("IF(ISBLANK(A60),"""",GOOGLETRANSLATE(A60,""en"",""es""))"),"")</f>
        <v/>
      </c>
    </row>
    <row r="61">
      <c r="A61" s="13" t="s">
        <v>123</v>
      </c>
      <c r="B61" s="12" t="str">
        <f>IFERROR(__xludf.DUMMYFUNCTION("IF(ISBLANK(A61),"""",GOOGLETRANSLATE(A61,""en"",""es""))"),"La IA en el sector BFSI: revolucionando la gestión de riesgos")</f>
        <v>La IA en el sector BFSI: revolucionando la gestión de riesgos</v>
      </c>
    </row>
    <row r="62">
      <c r="B62" s="12" t="str">
        <f>IFERROR(__xludf.DUMMYFUNCTION("IF(ISBLANK(A62),"""",GOOGLETRANSLATE(A62,""en"",""es""))"),"")</f>
        <v/>
      </c>
    </row>
    <row r="63">
      <c r="B63" s="12" t="str">
        <f>IFERROR(__xludf.DUMMYFUNCTION("IF(ISBLANK(A63),"""",GOOGLETRANSLATE(A63,""en"",""es""))"),"")</f>
        <v/>
      </c>
    </row>
    <row r="64">
      <c r="A64" s="10" t="s">
        <v>124</v>
      </c>
      <c r="B64" s="12" t="str">
        <f>IFERROR(__xludf.DUMMYFUNCTION("IF(ISBLANK(A64),"""",GOOGLETRANSLATE(A64,""en"",""es""))"),"La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5">
      <c r="B65" s="12" t="str">
        <f>IFERROR(__xludf.DUMMYFUNCTION("IF(ISBLANK(A65),"""",GOOGLETRANSLATE(A65,""en"",""es""))"),"")</f>
        <v/>
      </c>
    </row>
    <row r="66">
      <c r="B66" s="12" t="str">
        <f>IFERROR(__xludf.DUMMYFUNCTION("IF(ISBLANK(A66),"""",GOOGLETRANSLATE(A66,""en"",""es""))"),"")</f>
        <v/>
      </c>
    </row>
    <row r="67">
      <c r="A67" s="10" t="s">
        <v>125</v>
      </c>
      <c r="B67" s="12" t="str">
        <f>IFERROR(__xludf.DUMMYFUNCTION("IF(ISBLANK(A67),"""",GOOGLETRANSLATE(A67,""en"",""es""))"),"El verdadero coste de los sistemas desconectados en la venta minorista de automóviles")</f>
        <v>El verdadero coste de los sistemas desconectados en la venta minorista de automóviles</v>
      </c>
    </row>
    <row r="68">
      <c r="B68" s="12" t="str">
        <f>IFERROR(__xludf.DUMMYFUNCTION("IF(ISBLANK(A68),"""",GOOGLETRANSLATE(A68,""en"",""es""))"),"")</f>
        <v/>
      </c>
    </row>
    <row r="69">
      <c r="B69" s="12" t="str">
        <f>IFERROR(__xludf.DUMMYFUNCTION("IF(ISBLANK(A69),"""",GOOGLETRANSLATE(A69,""en"",""es""))"),"")</f>
        <v/>
      </c>
    </row>
    <row r="70">
      <c r="A70" s="10" t="s">
        <v>126</v>
      </c>
      <c r="B70" s="12" t="str">
        <f>IFERROR(__xludf.DUMMYFUNCTION("IF(ISBLANK(A70),"""",GOOGLETRANSLATE(A70,""en"",""es""))"),"Las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71">
      <c r="B71" s="12" t="str">
        <f>IFERROR(__xludf.DUMMYFUNCTION("IF(ISBLANK(A71),"""",GOOGLETRANSLATE(A71,""en"",""es""))"),"")</f>
        <v/>
      </c>
    </row>
    <row r="72">
      <c r="B72" s="12" t="str">
        <f>IFERROR(__xludf.DUMMYFUNCTION("IF(ISBLANK(A72),"""",GOOGLETRANSLATE(A72,""en"",""es""))"),"")</f>
        <v/>
      </c>
    </row>
    <row r="73">
      <c r="A73" s="10" t="s">
        <v>127</v>
      </c>
      <c r="B73" s="12" t="str">
        <f>IFERROR(__xludf.DUMMYFUNCTION("IF(ISBLANK(A73),"""",GOOGLETRANSLATE(A73,""en"",""es""))"),"Lucha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4">
      <c r="B74" s="12" t="str">
        <f>IFERROR(__xludf.DUMMYFUNCTION("IF(ISBLANK(A74),"""",GOOGLETRANSLATE(A74,""en"",""es""))"),"")</f>
        <v/>
      </c>
    </row>
    <row r="75">
      <c r="A75" s="10" t="s">
        <v>130</v>
      </c>
      <c r="B75" s="12" t="str">
        <f>IFERROR(__xludf.DUMMYFUNCTION("IF(ISBLANK(A75),"""",GOOGLETRANSLATE(A75,""en"",""es""))"),"Suscríbase a nuestro boletín para recibir las últimas noticias en su correo electrónico.")</f>
        <v>Suscríbase a nuestro boletín para recibir las últimas noticias en su correo electrónico.</v>
      </c>
    </row>
    <row r="76">
      <c r="A76" s="10" t="s">
        <v>131</v>
      </c>
      <c r="B76" s="12" t="str">
        <f>IFERROR(__xludf.DUMMYFUNCTION("IF(ISBLANK(A76),"""",GOOGLETRANSLATE(A76,""en"",""es""))"),"abc@example.com")</f>
        <v>abc@example.com</v>
      </c>
    </row>
    <row r="77">
      <c r="A77" s="10" t="s">
        <v>132</v>
      </c>
      <c r="B77" s="12" t="str">
        <f>IFERROR(__xludf.DUMMYFUNCTION("IF(ISBLANK(A77),"""",GOOGLETRANSLATE(A77,""en"",""es""))"),"Suscríbete")</f>
        <v>Suscríbete</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0"/>
  </cols>
  <sheetData>
    <row r="1">
      <c r="A1" s="3" t="s">
        <v>0</v>
      </c>
      <c r="B1" s="3" t="s">
        <v>133</v>
      </c>
    </row>
    <row r="2">
      <c r="A2" s="10" t="s">
        <v>164</v>
      </c>
      <c r="B2" s="12" t="str">
        <f>IFERROR(__xludf.DUMMYFUNCTION("IF(ISBLANK(A2),"""",GOOGLETRANSLATE(A2,""en"",""es""))"),"Ingeniería de datos")</f>
        <v>Ingeniería de datos</v>
      </c>
    </row>
    <row r="3">
      <c r="A3" s="10" t="s">
        <v>705</v>
      </c>
      <c r="B3" s="12" t="str">
        <f>IFERROR(__xludf.DUMMYFUNCTION("IF(ISBLANK(A3),"""",GOOGLETRANSLATE(A3,""en"",""es""))"),"Servicios y soluciones de ingeniería de datos robustos")</f>
        <v>Servicios y soluciones de ingeniería de datos robustos</v>
      </c>
    </row>
    <row r="4">
      <c r="A4" s="10" t="s">
        <v>706</v>
      </c>
      <c r="B4" s="12" t="str">
        <f>IFERROR(__xludf.DUMMYFUNCTION("IF(ISBLANK(A4),"""",GOOGLETRANSLATE(A4,""en"",""es""))"),"Con los servicios de AWS para ingeniería de datos, cree canalizaciones de datos escalables para el crecimiento de su negocio.")</f>
        <v>Con los servicios de AWS para ingeniería de datos, cree canalizaciones de datos escalables para el crecimiento de su negocio.</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707</v>
      </c>
      <c r="B7" s="12" t="str">
        <f>IFERROR(__xludf.DUMMYFUNCTION("IF(ISBLANK(A7),"""",GOOGLETRANSLATE(A7,""en"",""es""))"),"Generar información práctica a través de plataformas de datos consolidadas")</f>
        <v>Generar información práctica a través de plataformas de datos consolidadas</v>
      </c>
    </row>
    <row r="8">
      <c r="A8" s="10" t="s">
        <v>708</v>
      </c>
      <c r="B8" s="12" t="str">
        <f>IFERROR(__xludf.DUMMYFUNCTION("IF(ISBLANK(A8),"""",GOOGLETRANSLATE(A8,""en"",""es""))"),"Debido a problemas de confianza en los datos, plataformas de datos limitadas y conocimiento insuficiente, las empresas tienen dificultades para obtener información oportuna. Con los servicios de ingeniería y análisis de datos, las empresas pueden aprovech"&amp;"ar las ventajas operativas y de asesoramiento, centrándose en reducir los costes de propiedad y mejorar la sostenibilidad a largo plazo. NETSOL ofrece servicios de AWS para la ingeniería de datos, extrayendo datos de diversas plataformas mediante la catal"&amp;"ogación inteligente a través de pruebas de confianza e implementación, y acelerando sus esfuerzos de datos con la colaboración en IA y ML.")</f>
        <v>Debido a problemas de confianza en los datos, plataformas de datos limitadas y conocimiento insuficiente, las empresas tienen dificultades para obtener información oportuna. Con los servicios de ingeniería y análisis de datos, las empresas pueden aprovechar las ventajas operativas y de asesoramiento, centrándose en reducir los costes de propiedad y mejorar la sostenibilidad a largo plazo. NETSOL ofrece servicios de AWS para la ingeniería de datos, extrayendo datos de diversas plataformas mediante la catalogación inteligente a través de pruebas de confianza e implementación, y acelerando sus esfuerzos de datos con la colaboración en IA y ML.</v>
      </c>
    </row>
    <row r="9">
      <c r="A9" s="10" t="s">
        <v>709</v>
      </c>
      <c r="B9" s="12" t="str">
        <f>IFERROR(__xludf.DUMMYFUNCTION("IF(ISBLANK(A9),"""",GOOGLETRANSLATE(A9,""en"",""es""))"),"Pérdidas de datos")</f>
        <v>Pérdidas de datos</v>
      </c>
    </row>
    <row r="10">
      <c r="A10" s="10" t="s">
        <v>710</v>
      </c>
      <c r="B10" s="12" t="str">
        <f>IFERROR(__xludf.DUMMYFUNCTION("IF(ISBLANK(A10),"""",GOOGLETRANSLATE(A10,""en"",""es""))"),"A nivel mundial, las empresas pierden más de 15 millones de dólares anuales debido a la mala calidad y gestión de los datos.")</f>
        <v>A nivel mundial, las empresas pierden más de 15 millones de dólares anuales debido a la mala calidad y gestión de los datos.</v>
      </c>
    </row>
    <row r="11">
      <c r="A11" s="10" t="s">
        <v>711</v>
      </c>
      <c r="B11" s="12" t="str">
        <f>IFERROR(__xludf.DUMMYFUNCTION("IF(ISBLANK(A11),"""",GOOGLETRANSLATE(A11,""en"",""es""))"),"Aumento del mercado")</f>
        <v>Aumento del mercado</v>
      </c>
    </row>
    <row r="12">
      <c r="A12" s="10" t="s">
        <v>712</v>
      </c>
      <c r="B12" s="12" t="str">
        <f>IFERROR(__xludf.DUMMYFUNCTION("IF(ISBLANK(A12),"""",GOOGLETRANSLATE(A12,""en"",""es""))"),"Se prevé que el mercado mundial de datos alcance los 274.300 millones de dólares en 2026.")</f>
        <v>Se prevé que el mercado mundial de datos alcance los 274.300 millones de dólares en 2026.</v>
      </c>
    </row>
    <row r="13">
      <c r="A13" s="10" t="s">
        <v>713</v>
      </c>
      <c r="B13" s="12" t="str">
        <f>IFERROR(__xludf.DUMMYFUNCTION("IF(ISBLANK(A13),"""",GOOGLETRANSLATE(A13,""en"",""es""))"),"lagos de datos")</f>
        <v>lagos de datos</v>
      </c>
    </row>
    <row r="14">
      <c r="A14" s="10" t="s">
        <v>714</v>
      </c>
      <c r="B14" s="12" t="str">
        <f>IFERROR(__xludf.DUMMYFUNCTION("IF(ISBLANK(A14),"""",GOOGLETRANSLATE(A14,""en"",""es""))"),"Se prevé que el mercado de lagos de datos alcance un máximo de 20.040 millones de dólares en 2028.")</f>
        <v>Se prevé que el mercado de lagos de datos alcance un máximo de 20.040 millones de dólares en 2028.</v>
      </c>
    </row>
    <row r="15">
      <c r="A15" s="10" t="s">
        <v>715</v>
      </c>
      <c r="B15" s="12" t="str">
        <f>IFERROR(__xludf.DUMMYFUNCTION("IF(ISBLANK(A15),"""",GOOGLETRANSLATE(A15,""en"",""es""))"),"Crecimiento de la ingeniería")</f>
        <v>Crecimiento de la ingeniería</v>
      </c>
    </row>
    <row r="16">
      <c r="A16" s="10" t="s">
        <v>716</v>
      </c>
      <c r="B16" s="12" t="str">
        <f>IFERROR(__xludf.DUMMYFUNCTION("IF(ISBLANK(A16),"""",GOOGLETRANSLATE(A16,""en"",""es""))"),"El mercado de la ingeniería de datos se duplicará hasta alcanzar los 89.020 millones de dólares en 2027, frente a los 43.040 millones de dólares en 2022.")</f>
        <v>El mercado de la ingeniería de datos se duplicará hasta alcanzar los 89.020 millones de dólares en 2027, frente a los 43.040 millones de dólares en 2022.</v>
      </c>
    </row>
    <row r="17">
      <c r="A17" s="10" t="s">
        <v>717</v>
      </c>
      <c r="B17" s="12" t="str">
        <f>IFERROR(__xludf.DUMMYFUNCTION("IF(ISBLANK(A17),"""",GOOGLETRANSLATE(A17,""en"",""es""))"),"Información práctica con la estrategia de datos adecuada")</f>
        <v>Información práctica con la estrategia de datos adecuada</v>
      </c>
    </row>
    <row r="18">
      <c r="A18" s="10" t="s">
        <v>500</v>
      </c>
      <c r="B18" s="12" t="str">
        <f>IFERROR(__xludf.DUMMYFUNCTION("IF(ISBLANK(A18),"""",GOOGLETRANSLATE(A18,""en"",""es""))"),"NETSOL ofrece estrategias de seguridad basadas en el riesgo para proteger sus datos, garantizar el cumplimiento normativo y mejorar la agilidad operativa.")</f>
        <v>NETSOL ofrece estrategias de seguridad basadas en el riesgo para proteger sus datos, garantizar el cumplimiento normativo y mejorar la agilidad operativa.</v>
      </c>
    </row>
    <row r="19">
      <c r="B19" s="12" t="str">
        <f>IFERROR(__xludf.DUMMYFUNCTION("IF(ISBLANK(A19),"""",GOOGLETRANSLATE(A19,""en"",""es""))"),"")</f>
        <v/>
      </c>
    </row>
    <row r="20">
      <c r="A20" s="10" t="s">
        <v>718</v>
      </c>
      <c r="B20" s="12" t="str">
        <f>IFERROR(__xludf.DUMMYFUNCTION("IF(ISBLANK(A20),"""",GOOGLETRANSLATE(A20,""en"",""es""))"),"3,1 billones de dólares más en sostenibilidad")</f>
        <v>3,1 billones de dólares más en sostenibilidad</v>
      </c>
    </row>
    <row r="21">
      <c r="A21" s="10" t="s">
        <v>719</v>
      </c>
      <c r="B21" s="12" t="str">
        <f>IFERROR(__xludf.DUMMYFUNCTION("IF(ISBLANK(A21),"""",GOOGLETRANSLATE(A21,""en"",""es""))"),"El sector puede garantizar un ahorro anual de 3,1 billones de dólares con la monitorización ambiental basada en datos para 2030.")</f>
        <v>El sector puede garantizar un ahorro anual de 3,1 billones de dólares con la monitorización ambiental basada en datos para 2030.</v>
      </c>
    </row>
    <row r="22">
      <c r="A22" s="10" t="s">
        <v>720</v>
      </c>
      <c r="B22" s="12" t="str">
        <f>IFERROR(__xludf.DUMMYFUNCTION("IF(ISBLANK(A22),"""",GOOGLETRANSLATE(A22,""en"",""es""))"),"Aumento de blockchain de 67.400 millones de dólares")</f>
        <v>Aumento de blockchain de 67.400 millones de dólares</v>
      </c>
    </row>
    <row r="23">
      <c r="A23" s="10" t="s">
        <v>721</v>
      </c>
      <c r="B23" s="12" t="str">
        <f>IFERROR(__xludf.DUMMYFUNCTION("IF(ISBLANK(A23),"""",GOOGLETRANSLATE(A23,""en"",""es""))"),"Se prevé que el mercado global de blockchain alcance los 67.400 millones de dólares en 2026, incorporando seguridad y trazabilidad de datos en la ingeniería de datos.")</f>
        <v>Se prevé que el mercado global de blockchain alcance los 67.400 millones de dólares en 2026, incorporando seguridad y trazabilidad de datos en la ingeniería de datos.</v>
      </c>
    </row>
    <row r="24">
      <c r="A24" s="10" t="s">
        <v>722</v>
      </c>
      <c r="B24" s="12" t="str">
        <f>IFERROR(__xludf.DUMMYFUNCTION("IF(ISBLANK(A24),"""",GOOGLETRANSLATE(A24,""en"",""es""))"),"escalabilidad del 70%")</f>
        <v>escalabilidad del 70%</v>
      </c>
    </row>
    <row r="25">
      <c r="A25" s="10" t="s">
        <v>723</v>
      </c>
      <c r="B25" s="12" t="str">
        <f>IFERROR(__xludf.DUMMYFUNCTION("IF(ISBLANK(A25),"""",GOOGLETRANSLATE(A25,""en"",""es""))"),"Al integrar tecnologías de bajo código/sin código en la ingeniería de datos, las empresas pueden lograr una escalabilidad del 70% en su canalización de datos.")</f>
        <v>Al integrar tecnologías de bajo código/sin código en la ingeniería de datos, las empresas pueden lograr una escalabilidad del 70% en su canalización de datos.</v>
      </c>
    </row>
    <row r="26">
      <c r="A26" s="10" t="s">
        <v>724</v>
      </c>
      <c r="B26" s="12" t="str">
        <f>IFERROR(__xludf.DUMMYFUNCTION("IF(ISBLANK(A26),"""",GOOGLETRANSLATE(A26,""en"",""es""))"),"Inteligencia impulsada por IA construida sobre sólidos cimientos de ingeniería de datos")</f>
        <v>Inteligencia impulsada por IA construida sobre sólidos cimientos de ingeniería de datos</v>
      </c>
    </row>
    <row r="27">
      <c r="A27" s="10" t="s">
        <v>725</v>
      </c>
      <c r="B27" s="12" t="str">
        <f>IFERROR(__xludf.DUMMYFUNCTION("IF(ISBLANK(A27),"""",GOOGLETRANSLATE(A27,""en"",""es""))"),"Estrategia, desarrollo e implementación de la migración de datos")</f>
        <v>Estrategia, desarrollo e implementación de la migración de datos</v>
      </c>
    </row>
    <row r="28">
      <c r="A28" s="10" t="s">
        <v>726</v>
      </c>
      <c r="B28" s="12" t="str">
        <f>IFERROR(__xludf.DUMMYFUNCTION("IF(ISBLANK(A28),"""",GOOGLETRANSLATE(A28,""en"",""es""))"),"Con una estrategia de migración de datos adecuada, las empresas pueden evaluar sus datos, probarlos y validarlos, y transformarlos en información valiosa. Las herramientas de desarrollo e implementación facilitan la gestión del cambio, permitiendo la vali"&amp;"dación previa y posterior a la migración con soporte continuo.")</f>
        <v>Con una estrategia de migración de datos adecuada, las empresas pueden evaluar sus datos, probarlos y validarlos, y transformarlos en información valiosa. Las herramientas de desarrollo e implementación facilitan la gestión del cambio, permitiendo la validación previa y posterior a la migración con soporte continuo.</v>
      </c>
    </row>
    <row r="29">
      <c r="A29" s="10" t="s">
        <v>727</v>
      </c>
      <c r="B29" s="12" t="str">
        <f>IFERROR(__xludf.DUMMYFUNCTION("IF(ISBLANK(A29),"""",GOOGLETRANSLATE(A29,""en"",""es""))"),"Servicios de manipulación e integración de datos")</f>
        <v>Servicios de manipulación e integración de datos</v>
      </c>
    </row>
    <row r="30">
      <c r="A30" s="10" t="s">
        <v>728</v>
      </c>
      <c r="B30" s="12" t="str">
        <f>IFERROR(__xludf.DUMMYFUNCTION("IF(ISBLANK(A30),"""",GOOGLETRANSLATE(A30,""en"",""es""))"),"Los servicios de ingeniería de análisis de datos permiten abordar el desafío de la gestión de datos utilizando diversas fuentes y transformándolos en información empresarial valiosa. Combinamos esta funcionalidad extrayendo los datos de fuentes únicas, ar"&amp;"monizándolos y optimizando el flujo de trabajo.")</f>
        <v>Los servicios de ingeniería de análisis de datos permiten abordar el desafío de la gestión de datos utilizando diversas fuentes y transformándolos en información empresarial valiosa. Combinamos esta funcionalidad extrayendo los datos de fuentes únicas, armonizándolos y optimizando el flujo de trabajo.</v>
      </c>
    </row>
    <row r="31">
      <c r="A31" s="10" t="s">
        <v>729</v>
      </c>
      <c r="B31" s="12" t="str">
        <f>IFERROR(__xludf.DUMMYFUNCTION("IF(ISBLANK(A31),"""",GOOGLETRANSLATE(A31,""en"",""es""))"),"lagos de datos, almacenes de datos y data marts")</f>
        <v>lagos de datos, almacenes de datos y data marts</v>
      </c>
    </row>
    <row r="32">
      <c r="A32" s="10" t="s">
        <v>730</v>
      </c>
      <c r="B32" s="12" t="str">
        <f>IFERROR(__xludf.DUMMYFUNCTION("IF(ISBLANK(A32),"""",GOOGLETRANSLATE(A32,""en"",""es""))"),"El algoritmo de la ingeniería de datos se basa en soluciones de almacenamiento de datos robustas, donde los lagos de datos, los almacenes de datos y los data marts desempeñan un papel fundamental. Elija con nosotros la solución adecuada según sus necesida"&amp;"des de coste, accesibilidad y estructura de datos.")</f>
        <v>El algoritmo de la ingeniería de datos se basa en soluciones de almacenamiento de datos robustas, donde los lagos de datos, los almacenes de datos y los data marts desempeñan un papel fundamental. Elija con nosotros la solución adecuada según sus necesidades de coste, accesibilidad y estructura de datos.</v>
      </c>
    </row>
    <row r="33">
      <c r="A33" s="10" t="s">
        <v>731</v>
      </c>
      <c r="B33" s="12" t="str">
        <f>IFERROR(__xludf.DUMMYFUNCTION("IF(ISBLANK(A33),"""",GOOGLETRANSLATE(A33,""en"",""es""))"),"Análisis, informes y visualización de datos")</f>
        <v>Análisis, informes y visualización de datos</v>
      </c>
    </row>
    <row r="34">
      <c r="A34" s="10" t="s">
        <v>732</v>
      </c>
      <c r="B34" s="12" t="str">
        <f>IFERROR(__xludf.DUMMYFUNCTION("IF(ISBLANK(A34),"""",GOOGLETRANSLATE(A34,""en"",""es""))"),"Integre soluciones de análisis de datos en su negocio para extraer el verdadero significado de la información mediante herramientas analíticas avanzadas. Obtenga informes personalizados y automatizados con la función de informes de datos, donde podrá añad"&amp;"ir un panel interactivo para una visualización de datos mejorada.")</f>
        <v>Integre soluciones de análisis de datos en su negocio para extraer el verdadero significado de la información mediante herramientas analíticas avanzadas. Obtenga informes personalizados y automatizados con la función de informes de datos, donde podrá añadir un panel interactivo para una visualización de datos mejorada.</v>
      </c>
    </row>
    <row r="35">
      <c r="A35" s="10" t="s">
        <v>733</v>
      </c>
      <c r="B35" s="12" t="str">
        <f>IFERROR(__xludf.DUMMYFUNCTION("IF(ISBLANK(A35),"""",GOOGLETRANSLATE(A35,""en"",""es""))"),"ETL, ELT, canalización de datos, flujo de trabajo y orquestación")</f>
        <v>ETL, ELT, canalización de datos, flujo de trabajo y orquestación</v>
      </c>
    </row>
    <row r="36">
      <c r="A36" s="10" t="s">
        <v>734</v>
      </c>
      <c r="B36" s="12" t="str">
        <f>IFERROR(__xludf.DUMMYFUNCTION("IF(ISBLANK(A36),"""",GOOGLETRANSLATE(A36,""en"",""es""))"),"Los procesos de extracción, transformación y carga (ETL) y extracción, carga y transformación (ELT) son técnicas de movimiento de datos que ayudan a las empresas a transformar sus datos en información útil. Con los modernos flujos de datos, las empresas p"&amp;"ueden gestionar eficazmente el volumen y la complejidad de los datos.")</f>
        <v>Los procesos de extracción, transformación y carga (ETL) y extracción, carga y transformación (ELT) son técnicas de movimiento de datos que ayudan a las empresas a transformar sus datos en información útil. Con los modernos flujos de datos, las empresas pueden gestionar eficazmente el volumen y la complejidad de los datos.</v>
      </c>
    </row>
    <row r="37">
      <c r="A37" s="10" t="s">
        <v>735</v>
      </c>
      <c r="B37" s="12" t="str">
        <f>IFERROR(__xludf.DUMMYFUNCTION("IF(ISBLANK(A37),"""",GOOGLETRANSLATE(A37,""en"",""es""))"),"Modelado, optimización y arquitectura de datos")</f>
        <v>Modelado, optimización y arquitectura de datos</v>
      </c>
    </row>
    <row r="38">
      <c r="A38" s="10" t="s">
        <v>736</v>
      </c>
      <c r="B38" s="12" t="str">
        <f>IFERROR(__xludf.DUMMYFUNCTION("IF(ISBLANK(A38),"""",GOOGLETRANSLATE(A38,""en"",""es""))"),"La ingeniería de datos se fundamenta en el modelado, la optimización y la arquitectura de datos. Desde la definición de relaciones entre datos hasta la garantía del rendimiento y el diseño estratégico de datos, NETSOL le permite gestionar el proceso con e"&amp;"xcelencia.")</f>
        <v>La ingeniería de datos se fundamenta en el modelado, la optimización y la arquitectura de datos. Desde la definición de relaciones entre datos hasta la garantía del rendimiento y el diseño estratégico de datos, NETSOL le permite gestionar el proceso con excelencia.</v>
      </c>
    </row>
    <row r="39">
      <c r="A39" s="10" t="s">
        <v>643</v>
      </c>
      <c r="B39" s="12" t="str">
        <f>IFERROR(__xludf.DUMMYFUNCTION("IF(ISBLANK(A39),"""",GOOGLETRANSLATE(A39,""en"",""es""))"),"¿Listo para comenzar?")</f>
        <v>¿Listo para comenzar?</v>
      </c>
    </row>
    <row r="40">
      <c r="A40" s="10" t="s">
        <v>737</v>
      </c>
      <c r="B40" s="12" t="str">
        <f>IFERROR(__xludf.DUMMYFUNCTION("IF(ISBLANK(A40),"""",GOOGLETRANSLATE(A40,""en"",""es""))"),"Descubra cómo NETSOL desarrolla un diseño de arquitectura de datos integral, fortaleciendo su infraestructura de datos con servicios de ingeniería de datos.")</f>
        <v>Descubra cómo NETSOL desarrolla un diseño de arquitectura de datos integral, fortaleciendo su infraestructura de datos con servicios de ingeniería de datos.</v>
      </c>
    </row>
    <row r="41">
      <c r="B41" s="12" t="str">
        <f>IFERROR(__xludf.DUMMYFUNCTION("IF(ISBLANK(A41),"""",GOOGLETRANSLATE(A41,""en"",""es""))"),"")</f>
        <v/>
      </c>
    </row>
    <row r="42">
      <c r="A42" s="10" t="s">
        <v>116</v>
      </c>
      <c r="B42" s="12" t="str">
        <f>IFERROR(__xludf.DUMMYFUNCTION("IF(ISBLANK(A42),"""",GOOGLETRANSLATE(A42,""en"",""es""))"),"Lecturas y reflexiones destacadas")</f>
        <v>Lecturas y reflexiones destacadas</v>
      </c>
    </row>
    <row r="43">
      <c r="A43" s="17" t="s">
        <v>117</v>
      </c>
      <c r="B43" s="12" t="str">
        <f>IFERROR(__xludf.DUMMYFUNCTION("IF(ISBLANK(A43),"""",GOOGLETRANSLATE(A43,""en"",""es""))"),"Manténgase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4">
      <c r="A44" s="10" t="s">
        <v>118</v>
      </c>
      <c r="B44" s="12" t="str">
        <f>IFERROR(__xludf.DUMMYFUNCTION("IF(ISBLANK(A44),"""",GOOGLETRANSLATE(A44,""en"",""es""))"),"Blog")</f>
        <v>Blog</v>
      </c>
    </row>
    <row r="45">
      <c r="A45" s="10" t="s">
        <v>119</v>
      </c>
      <c r="B45" s="12" t="str">
        <f>IFERROR(__xludf.DUMMYFUNCTION("IF(ISBLANK(A45),"""",GOOGLETRANSLATE(A45,""en"",""es""))"),"Más allá del DMS: Por qué el futuro de la venta minorista de automóviles se basa en las API")</f>
        <v>Más allá del DMS: Por qué el futuro de la venta minorista de automóviles se basa en las API</v>
      </c>
    </row>
    <row r="46">
      <c r="A46" s="10" t="s">
        <v>36</v>
      </c>
      <c r="B46" s="12" t="str">
        <f>IFERROR(__xludf.DUMMYFUNCTION("IF(ISBLANK(A46),"""",GOOGLETRANSLATE(A46,""en"",""es""))"),"Más información")</f>
        <v>Más información</v>
      </c>
    </row>
    <row r="47">
      <c r="B47" s="12" t="str">
        <f>IFERROR(__xludf.DUMMYFUNCTION("IF(ISBLANK(A47),"""",GOOGLETRANSLATE(A47,""en"",""es""))"),"")</f>
        <v/>
      </c>
    </row>
    <row r="48">
      <c r="A48" s="10" t="s">
        <v>120</v>
      </c>
      <c r="B48" s="12" t="str">
        <f>IFERROR(__xludf.DUMMYFUNCTION("IF(ISBLANK(A48),"""",GOOGLETRANSLATE(A48,""en"",""es""))"),"NETSOL estará presente en la Conferencia y Premios GlobalData Automotive Europe 2025.")</f>
        <v>NETSOL estará presente en la Conferencia y Premios GlobalData Automotive Europe 2025.</v>
      </c>
    </row>
    <row r="49">
      <c r="B49" s="12" t="str">
        <f>IFERROR(__xludf.DUMMYFUNCTION("IF(ISBLANK(A49),"""",GOOGLETRANSLATE(A49,""en"",""es""))"),"")</f>
        <v/>
      </c>
    </row>
    <row r="50">
      <c r="B50" s="12" t="str">
        <f>IFERROR(__xludf.DUMMYFUNCTION("IF(ISBLANK(A50),"""",GOOGLETRANSLATE(A50,""en"",""es""))"),"")</f>
        <v/>
      </c>
    </row>
    <row r="51">
      <c r="A51" s="10" t="s">
        <v>121</v>
      </c>
      <c r="B51" s="12" t="str">
        <f>IFERROR(__xludf.DUMMYFUNCTION("IF(ISBLANK(A51),"""",GOOGLETRANSLATE(A51,""en"",""es""))"),"NETSOL participa en la 25ª Cumbre Anual de Financiación Automotriz: Impulsando el futuro de la financiación automotriz")</f>
        <v>NETSOL participa en la 25ª Cumbre Anual de Financiación Automotriz: Impulsando el futuro de la financiación automotriz</v>
      </c>
    </row>
    <row r="52">
      <c r="B52" s="12" t="str">
        <f>IFERROR(__xludf.DUMMYFUNCTION("IF(ISBLANK(A52),"""",GOOGLETRANSLATE(A52,""en"",""es""))"),"")</f>
        <v/>
      </c>
    </row>
    <row r="53">
      <c r="B53" s="12" t="str">
        <f>IFERROR(__xludf.DUMMYFUNCTION("IF(ISBLANK(A53),"""",GOOGLETRANSLATE(A53,""en"",""es""))"),"")</f>
        <v/>
      </c>
    </row>
    <row r="54">
      <c r="A54" s="10" t="s">
        <v>122</v>
      </c>
      <c r="B54" s="12" t="str">
        <f>IFERROR(__xludf.DUMMYFUNCTION("IF(ISBLANK(A54),"""",GOOGLETRANSLATE(A54,""en"",""es""))"),"NETSOL está presente en Digital Dealer 2025: Impulsando el futuro de la venta minorista de automóviles.")</f>
        <v>NETSOL está presente en Digital Dealer 2025: Impulsando el futuro de la venta minorista de automóviles.</v>
      </c>
    </row>
    <row r="55">
      <c r="B55" s="12" t="str">
        <f>IFERROR(__xludf.DUMMYFUNCTION("IF(ISBLANK(A55),"""",GOOGLETRANSLATE(A55,""en"",""es""))"),"")</f>
        <v/>
      </c>
    </row>
    <row r="56">
      <c r="B56" s="12" t="str">
        <f>IFERROR(__xludf.DUMMYFUNCTION("IF(ISBLANK(A56),"""",GOOGLETRANSLATE(A56,""en"",""es""))"),"")</f>
        <v/>
      </c>
    </row>
    <row r="57">
      <c r="A57" s="13" t="s">
        <v>123</v>
      </c>
      <c r="B57" s="12" t="str">
        <f>IFERROR(__xludf.DUMMYFUNCTION("IF(ISBLANK(A57),"""",GOOGLETRANSLATE(A57,""en"",""es""))"),"La IA en el sector BFSI: revolucionando la gestión de riesgos")</f>
        <v>La IA en el sector BFSI: revolucionando la gestión de riesgos</v>
      </c>
    </row>
    <row r="58">
      <c r="B58" s="12" t="str">
        <f>IFERROR(__xludf.DUMMYFUNCTION("IF(ISBLANK(A58),"""",GOOGLETRANSLATE(A58,""en"",""es""))"),"")</f>
        <v/>
      </c>
    </row>
    <row r="59">
      <c r="B59" s="12" t="str">
        <f>IFERROR(__xludf.DUMMYFUNCTION("IF(ISBLANK(A59),"""",GOOGLETRANSLATE(A59,""en"",""es""))"),"")</f>
        <v/>
      </c>
    </row>
    <row r="60">
      <c r="A60" s="10" t="s">
        <v>124</v>
      </c>
      <c r="B60" s="12" t="str">
        <f>IFERROR(__xludf.DUMMYFUNCTION("IF(ISBLANK(A60),"""",GOOGLETRANSLATE(A60,""en"",""es""))"),"La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1">
      <c r="B61" s="12" t="str">
        <f>IFERROR(__xludf.DUMMYFUNCTION("IF(ISBLANK(A61),"""",GOOGLETRANSLATE(A61,""en"",""es""))"),"")</f>
        <v/>
      </c>
    </row>
    <row r="62">
      <c r="B62" s="12" t="str">
        <f>IFERROR(__xludf.DUMMYFUNCTION("IF(ISBLANK(A62),"""",GOOGLETRANSLATE(A62,""en"",""es""))"),"")</f>
        <v/>
      </c>
    </row>
    <row r="63">
      <c r="A63" s="10" t="s">
        <v>125</v>
      </c>
      <c r="B63" s="12" t="str">
        <f>IFERROR(__xludf.DUMMYFUNCTION("IF(ISBLANK(A63),"""",GOOGLETRANSLATE(A63,""en"",""es""))"),"El verdadero coste de los sistemas desconectados en la venta minorista de automóviles")</f>
        <v>El verdadero coste de los sistemas desconectados en la venta minorista de automóviles</v>
      </c>
    </row>
    <row r="64">
      <c r="B64" s="12" t="str">
        <f>IFERROR(__xludf.DUMMYFUNCTION("IF(ISBLANK(A64),"""",GOOGLETRANSLATE(A64,""en"",""es""))"),"")</f>
        <v/>
      </c>
    </row>
    <row r="65">
      <c r="B65" s="12" t="str">
        <f>IFERROR(__xludf.DUMMYFUNCTION("IF(ISBLANK(A65),"""",GOOGLETRANSLATE(A65,""en"",""es""))"),"")</f>
        <v/>
      </c>
    </row>
    <row r="66">
      <c r="A66" s="10" t="s">
        <v>126</v>
      </c>
      <c r="B66" s="12" t="str">
        <f>IFERROR(__xludf.DUMMYFUNCTION("IF(ISBLANK(A66),"""",GOOGLETRANSLATE(A66,""en"",""es""))"),"Las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7">
      <c r="B67" s="12" t="str">
        <f>IFERROR(__xludf.DUMMYFUNCTION("IF(ISBLANK(A67),"""",GOOGLETRANSLATE(A67,""en"",""es""))"),"")</f>
        <v/>
      </c>
    </row>
    <row r="68">
      <c r="B68" s="12" t="str">
        <f>IFERROR(__xludf.DUMMYFUNCTION("IF(ISBLANK(A68),"""",GOOGLETRANSLATE(A68,""en"",""es""))"),"")</f>
        <v/>
      </c>
    </row>
    <row r="69">
      <c r="A69" s="10" t="s">
        <v>127</v>
      </c>
      <c r="B69" s="12" t="str">
        <f>IFERROR(__xludf.DUMMYFUNCTION("IF(ISBLANK(A69),"""",GOOGLETRANSLATE(A69,""en"",""es""))"),"Lucha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0">
      <c r="B70" s="12" t="str">
        <f>IFERROR(__xludf.DUMMYFUNCTION("IF(ISBLANK(A70),"""",GOOGLETRANSLATE(A70,""en"",""es""))"),"")</f>
        <v/>
      </c>
    </row>
    <row r="71">
      <c r="A71" s="10" t="s">
        <v>130</v>
      </c>
      <c r="B71" s="12" t="str">
        <f>IFERROR(__xludf.DUMMYFUNCTION("IF(ISBLANK(A71),"""",GOOGLETRANSLATE(A71,""en"",""es""))"),"Suscríbase a nuestro boletín para recibir las últimas noticias en su correo electrónico.")</f>
        <v>Suscríbase a nuestro boletín para recibir las últimas noticias en su correo electrónico.</v>
      </c>
    </row>
    <row r="72">
      <c r="A72" s="10" t="s">
        <v>131</v>
      </c>
      <c r="B72" s="12" t="str">
        <f>IFERROR(__xludf.DUMMYFUNCTION("IF(ISBLANK(A72),"""",GOOGLETRANSLATE(A72,""en"",""es""))"),"abc@example.com")</f>
        <v>abc@example.com</v>
      </c>
    </row>
    <row r="73">
      <c r="A73" s="10" t="s">
        <v>132</v>
      </c>
      <c r="B73" s="12" t="str">
        <f>IFERROR(__xludf.DUMMYFUNCTION("IF(ISBLANK(A73),"""",GOOGLETRANSLATE(A73,""en"",""es""))"),"Suscríbete")</f>
        <v>Suscríbete</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38"/>
  </cols>
  <sheetData>
    <row r="1">
      <c r="A1" s="3" t="s">
        <v>0</v>
      </c>
      <c r="B1" s="3" t="s">
        <v>133</v>
      </c>
    </row>
    <row r="2">
      <c r="A2" s="10" t="s">
        <v>168</v>
      </c>
      <c r="B2" s="12" t="str">
        <f>IFERROR(__xludf.DUMMYFUNCTION("IF(ISBLANK(A2),"""",GOOGLETRANSLATE(A2,""en"",""es""))"),"Financiación de automóviles")</f>
        <v>Financiación de automóviles</v>
      </c>
    </row>
    <row r="3">
      <c r="A3" s="10" t="s">
        <v>738</v>
      </c>
      <c r="B3" s="12" t="str">
        <f>IFERROR(__xludf.DUMMYFUNCTION("IF(ISBLANK(A3),"""",GOOGLETRANSLATE(A3,""en"",""es""))"),"Software de financiación automotriz impulsado por IA")</f>
        <v>Software de financiación automotriz impulsado por IA</v>
      </c>
    </row>
    <row r="4">
      <c r="A4" s="10" t="s">
        <v>739</v>
      </c>
      <c r="B4" s="12" t="str">
        <f>IFERROR(__xludf.DUMMYFUNCTION("IF(ISBLANK(A4),"""",GOOGLETRANSLATE(A4,""en"",""es""))"),"Ofrecemos soluciones tecnológicas superiores a las empresas más importantes de la industria automotriz mundial.")</f>
        <v>Ofrecemos soluciones tecnológicas superiores a las empresas más importantes de la industria automotriz mundial.</v>
      </c>
    </row>
    <row r="5">
      <c r="A5" s="10" t="s">
        <v>89</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B7" s="12" t="str">
        <f>IFERROR(__xludf.DUMMYFUNCTION("IF(ISBLANK(A7),"""",GOOGLETRANSLATE(A7,""en"",""es""))"),"")</f>
        <v/>
      </c>
    </row>
    <row r="8">
      <c r="A8" s="10" t="s">
        <v>740</v>
      </c>
      <c r="B8" s="12" t="str">
        <f>IFERROR(__xludf.DUMMYFUNCTION("IF(ISBLANK(A8),"""",GOOGLETRANSLATE(A8,""en"",""es""))"),"Impulsando el cambio en el sector automotriz a nivel mundial")</f>
        <v>Impulsando el cambio en el sector automotriz a nivel mundial</v>
      </c>
    </row>
    <row r="9">
      <c r="A9" s="10" t="s">
        <v>741</v>
      </c>
      <c r="B9" s="12" t="str">
        <f>IFERROR(__xludf.DUMMYFUNCTION("IF(ISBLANK(A9),"""",GOOGLETRANSLATE(A9,""en"",""es""))"),"Nuestras tecnologías de vanguardia ayudan a prosperar a los fabricantes de automóviles globales, a las compañías de fabricación de automóviles y a las empresas financieras, aprovechando más de 40 años de experiencia en originación de préstamos impulsada p"&amp;"or IA, gestión de contratos y soluciones de venta minorista digital adaptadas al sector automotriz.")</f>
        <v>Nuestras tecnologías de vanguardia ayudan a prosperar a los fabricantes de automóviles globales, a las compañías de fabricación de automóviles y a las empresas financieras, aprovechando más de 40 años de experiencia en originación de préstamos impulsada por IA, gestión de contratos y soluciones de venta minorista digital adaptadas al sector automotriz.</v>
      </c>
    </row>
    <row r="10">
      <c r="A10" s="10" t="s">
        <v>742</v>
      </c>
      <c r="B10" s="12" t="str">
        <f>IFERROR(__xludf.DUMMYFUNCTION("IF(ISBLANK(A10),"""",GOOGLETRANSLATE(A10,""en"",""es""))"),"líderes de la industria")</f>
        <v>líderes de la industria</v>
      </c>
    </row>
    <row r="11">
      <c r="A11" s="10" t="s">
        <v>743</v>
      </c>
      <c r="B11" s="12" t="str">
        <f>IFERROR(__xludf.DUMMYFUNCTION("IF(ISBLANK(A11),"""",GOOGLETRANSLATE(A11,""en"",""es""))"),"NETSOL ha realizado importantes inversiones para comprender las necesidades cambiantes de la industria automotriz global.")</f>
        <v>NETSOL ha realizado importantes inversiones para comprender las necesidades cambiantes de la industria automotriz global.</v>
      </c>
    </row>
    <row r="12">
      <c r="A12" s="10" t="s">
        <v>744</v>
      </c>
      <c r="B12" s="12" t="str">
        <f>IFERROR(__xludf.DUMMYFUNCTION("IF(ISBLANK(A12),"""",GOOGLETRANSLATE(A12,""en"",""es""))"),"Soluciones sin fisuras")</f>
        <v>Soluciones sin fisuras</v>
      </c>
    </row>
    <row r="13">
      <c r="A13" s="10" t="s">
        <v>745</v>
      </c>
      <c r="B13" s="12" t="str">
        <f>IFERROR(__xludf.DUMMYFUNCTION("IF(ISBLANK(A13),"""",GOOGLETRANSLATE(A13,""en"",""es""))"),"Capacitamos a prestamistas, concesionarios y prestatarios para que puedan desenvolverse sin problemas en el proceso de financiación y venta minorista digital.")</f>
        <v>Capacitamos a prestamistas, concesionarios y prestatarios para que puedan desenvolverse sin problemas en el proceso de financiación y venta minorista digital.</v>
      </c>
    </row>
    <row r="14">
      <c r="A14" s="10" t="s">
        <v>746</v>
      </c>
      <c r="B14" s="12" t="str">
        <f>IFERROR(__xludf.DUMMYFUNCTION("IF(ISBLANK(A14),"""",GOOGLETRANSLATE(A14,""en"",""es""))"),"operaciones impulsadas por IA")</f>
        <v>operaciones impulsadas por IA</v>
      </c>
    </row>
    <row r="15">
      <c r="A15" s="10" t="s">
        <v>747</v>
      </c>
      <c r="B15" s="12" t="str">
        <f>IFERROR(__xludf.DUMMYFUNCTION("IF(ISBLANK(A15),"""",GOOGLETRANSLATE(A15,""en"",""es""))"),"Nuestras soluciones basadas en IA impulsan la industria automotriz con análisis robustos, capacidades de integración perfectas y funciones de automatización avanzadas.")</f>
        <v>Nuestras soluciones basadas en IA impulsan la industria automotriz con análisis robustos, capacidades de integración perfectas y funciones de automatización avanzadas.</v>
      </c>
    </row>
    <row r="16">
      <c r="A16" s="10" t="s">
        <v>748</v>
      </c>
      <c r="B16" s="12" t="str">
        <f>IFERROR(__xludf.DUMMYFUNCTION("IF(ISBLANK(A16),"""",GOOGLETRANSLATE(A16,""en"",""es""))"),"Productos integrales")</f>
        <v>Productos integrales</v>
      </c>
    </row>
    <row r="17">
      <c r="A17" s="10" t="s">
        <v>749</v>
      </c>
      <c r="B17" s="12" t="str">
        <f>IFERROR(__xludf.DUMMYFUNCTION("IF(ISBLANK(A17),"""",GOOGLETRANSLATE(A17,""en"",""es""))"),"Ofrecemos un potente software integral para la financiación de automóviles, así como soluciones API-first fáciles de integrar para la financiación de automóviles, junto con una venta minorista digital fluida.")</f>
        <v>Ofrecemos un potente software integral para la financiación de automóviles, así como soluciones API-first fáciles de integrar para la financiación de automóviles, junto con una venta minorista digital fluida.</v>
      </c>
    </row>
    <row r="18">
      <c r="A18" s="10" t="s">
        <v>97</v>
      </c>
      <c r="B18" s="12" t="str">
        <f>IFERROR(__xludf.DUMMYFUNCTION("IF(ISBLANK(A18),"""",GOOGLETRANSLATE(A18,""en"",""es""))"),"Más de 500 mil millones de dólares")</f>
        <v>Más de 500 mil millones de dólares</v>
      </c>
    </row>
    <row r="19">
      <c r="A19" s="10" t="s">
        <v>98</v>
      </c>
      <c r="B19" s="12" t="str">
        <f>IFERROR(__xludf.DUMMYFUNCTION("IF(ISBLANK(A19),"""",GOOGLETRANSLATE(A19,""en"",""es""))"),"Activos gestionados a nivel mundial")</f>
        <v>Activos gestionados a nivel mundial</v>
      </c>
    </row>
    <row r="20">
      <c r="A20" s="10" t="s">
        <v>293</v>
      </c>
      <c r="B20" s="12" t="str">
        <f>IFERROR(__xludf.DUMMYFUNCTION("IF(ISBLANK(A20),"""",GOOGLETRANSLATE(A20,""en"",""es""))"),"Más de 350")</f>
        <v>Más de 350</v>
      </c>
    </row>
    <row r="21">
      <c r="A21" s="10" t="s">
        <v>96</v>
      </c>
      <c r="B21" s="12" t="str">
        <f>IFERROR(__xludf.DUMMYFUNCTION("IF(ISBLANK(A21),"""",GOOGLETRANSLATE(A21,""en"",""es""))"),"Implementaciones exitosas")</f>
        <v>Implementaciones exitosas</v>
      </c>
    </row>
    <row r="22">
      <c r="A22" s="10" t="s">
        <v>93</v>
      </c>
      <c r="B22" s="12" t="str">
        <f>IFERROR(__xludf.DUMMYFUNCTION("IF(ISBLANK(A22),"""",GOOGLETRANSLATE(A22,""en"",""es""))"),"Más de 200")</f>
        <v>Más de 200</v>
      </c>
    </row>
    <row r="23">
      <c r="A23" s="10" t="s">
        <v>94</v>
      </c>
      <c r="B23" s="12" t="str">
        <f>IFERROR(__xludf.DUMMYFUNCTION("IF(ISBLANK(A23),"""",GOOGLETRANSLATE(A23,""en"",""es""))"),"Clientes en todo el mundo")</f>
        <v>Clientes en todo el mundo</v>
      </c>
    </row>
    <row r="24">
      <c r="A24" s="10" t="s">
        <v>294</v>
      </c>
      <c r="B24" s="12" t="str">
        <f>IFERROR(__xludf.DUMMYFUNCTION("IF(ISBLANK(A24),"""",GOOGLETRANSLATE(A24,""en"",""es""))"),"Más de 30 años")</f>
        <v>Más de 30 años</v>
      </c>
    </row>
    <row r="25">
      <c r="A25" s="10" t="s">
        <v>295</v>
      </c>
      <c r="B25" s="12" t="str">
        <f>IFERROR(__xludf.DUMMYFUNCTION("IF(ISBLANK(A25),"""",GOOGLETRANSLATE(A25,""en"",""es""))"),"Países atendidos")</f>
        <v>Países atendidos</v>
      </c>
    </row>
    <row r="26">
      <c r="A26" s="10" t="s">
        <v>296</v>
      </c>
      <c r="B26" s="12" t="str">
        <f>IFERROR(__xludf.DUMMYFUNCTION("IF(ISBLANK(A26),"""",GOOGLETRANSLATE(A26,""en"",""es""))"),"Control integral e inteligencia integrada")</f>
        <v>Control integral e inteligencia integrada</v>
      </c>
    </row>
    <row r="27">
      <c r="A27" s="10" t="s">
        <v>14</v>
      </c>
      <c r="B27" s="12" t="str">
        <f>IFERROR(__xludf.DUMMYFUNCTION("IF(ISBLANK(A27),"""",GOOGLETRANSLATE(A27,""en"",""es""))"),"fabricantes de equipos originales (OEM)")</f>
        <v>fabricantes de equipos originales (OEM)</v>
      </c>
    </row>
    <row r="28">
      <c r="A28" s="10" t="s">
        <v>750</v>
      </c>
      <c r="B28" s="12" t="str">
        <f>IFERROR(__xludf.DUMMYFUNCTION("IF(ISBLANK(A28),"""",GOOGLETRANSLATE(A28,""en"",""es""))"),"Nuestro innovador software de arrendamiento de equipos está diseñado para potenciar a los fabricantes de equipos originales (OEM) con procesos de financiación optimizados, experiencias de cliente mejoradas y una eficiencia sin precedentes. Desde la financ"&amp;"iación y el arrendamiento integrales hasta la venta minorista digital, nuestras soluciones están diseñadas para integrarse a la perfección en sus operaciones, abriendo nuevas vías de crecimiento y rentabilidad.")</f>
        <v>Nuestro innovador software de arrendamiento de equipos está diseñado para potenciar a los fabricantes de equipos originales (OEM) con procesos de financiación optimizados, experiencias de cliente mejoradas y una eficiencia sin precedentes. Desde la financiación y el arrendamiento integrales hasta la venta minorista digital, nuestras soluciones están diseñadas para integrarse a la perfección en sus operaciones, abriendo nuevas vías de crecimiento y rentabilidad.</v>
      </c>
    </row>
    <row r="29">
      <c r="B29" s="12" t="str">
        <f>IFERROR(__xludf.DUMMYFUNCTION("IF(ISBLANK(A29),"""",GOOGLETRANSLATE(A29,""en"",""es""))"),"")</f>
        <v/>
      </c>
    </row>
    <row r="30">
      <c r="A30" s="10" t="s">
        <v>751</v>
      </c>
      <c r="B30" s="12" t="str">
        <f>IFERROR(__xludf.DUMMYFUNCTION("IF(ISBLANK(A30),"""",GOOGLETRANSLATE(A30,""en"",""es""))"),"Finanzas de alto valor")</f>
        <v>Finanzas de alto valor</v>
      </c>
    </row>
    <row r="31">
      <c r="A31" s="10" t="s">
        <v>369</v>
      </c>
      <c r="B31" s="12" t="str">
        <f>IFERROR(__xludf.DUMMYFUNCTION("IF(ISBLANK(A31),"""",GOOGLETRANSLATE(A31,""en"",""es""))"),"Ofrezca a los concesionarios la flexibilidad de solicitar un límite de crédito para diferentes categorías de activos, así como de supervisar las variaciones y revisiones de los límites de crédito definidos. Permita aumentos temporales en los límites de cr"&amp;"édito basados ​​en campañas impulsadas por los concesionarios; los límites normales se reanudarán automáticamente al finalizar los períodos temporales.")</f>
        <v>Ofrezca a los concesionarios la flexibilidad de solicitar un límite de crédito para diferentes categorías de activos, así como de supervisar las variaciones y revisiones de los límites de crédito definidos. Permita aumentos temporales en los límites de crédito basados ​​en campañas impulsadas por los concesionarios; los límites normales se reanudarán automáticamente al finalizar los períodos temporales.</v>
      </c>
    </row>
    <row r="32">
      <c r="B32" s="12" t="str">
        <f>IFERROR(__xludf.DUMMYFUNCTION("IF(ISBLANK(A32),"""",GOOGLETRANSLATE(A32,""en"",""es""))"),"")</f>
        <v/>
      </c>
    </row>
    <row r="33">
      <c r="A33" s="10" t="s">
        <v>752</v>
      </c>
      <c r="B33" s="12" t="str">
        <f>IFERROR(__xludf.DUMMYFUNCTION("IF(ISBLANK(A33),"""",GOOGLETRANSLATE(A33,""en"",""es""))"),"Préstamos comerciales y al consumo")</f>
        <v>Préstamos comerciales y al consumo</v>
      </c>
    </row>
    <row r="34">
      <c r="A34" s="10" t="s">
        <v>750</v>
      </c>
      <c r="B34" s="12" t="str">
        <f>IFERROR(__xludf.DUMMYFUNCTION("IF(ISBLANK(A34),"""",GOOGLETRANSLATE(A34,""en"",""es""))"),"Nuestro innovador software de arrendamiento de equipos está diseñado para potenciar a los fabricantes de equipos originales (OEM) con procesos de financiación optimizados, experiencias de cliente mejoradas y una eficiencia sin precedentes. Desde la financ"&amp;"iación y el arrendamiento integrales hasta la venta minorista digital, nuestras soluciones están diseñadas para integrarse a la perfección en sus operaciones, abriendo nuevas vías de crecimiento y rentabilidad.")</f>
        <v>Nuestro innovador software de arrendamiento de equipos está diseñado para potenciar a los fabricantes de equipos originales (OEM) con procesos de financiación optimizados, experiencias de cliente mejoradas y una eficiencia sin precedentes. Desde la financiación y el arrendamiento integrales hasta la venta minorista digital, nuestras soluciones están diseñadas para integrarse a la perfección en sus operaciones, abriendo nuevas vías de crecimiento y rentabilidad.</v>
      </c>
    </row>
    <row r="35">
      <c r="B35" s="12" t="str">
        <f>IFERROR(__xludf.DUMMYFUNCTION("IF(ISBLANK(A35),"""",GOOGLETRANSLATE(A35,""en"",""es""))"),"")</f>
        <v/>
      </c>
    </row>
    <row r="36">
      <c r="A36" s="10" t="s">
        <v>753</v>
      </c>
      <c r="B36" s="12" t="str">
        <f>IFERROR(__xludf.DUMMYFUNCTION("IF(ISBLANK(A36),"""",GOOGLETRANSLATE(A36,""en"",""es""))"),"SCI Lease Corp mejora sus procesos de gestión de arrendamientos con NETSOL.")</f>
        <v>SCI Lease Corp mejora sus procesos de gestión de arrendamientos con NETSOL.</v>
      </c>
    </row>
    <row r="37">
      <c r="A37" s="10" t="s">
        <v>754</v>
      </c>
      <c r="B37" s="12" t="str">
        <f>IFERROR(__xludf.DUMMYFUNCTION("IF(ISBLANK(A37),"""",GOOGLETRANSLATE(A37,""en"",""es""))"),"""SCI Lease Corp reconoce el éxito que NETSOL ha tenido en otros mercados y creemos que sus plataformas se alinean con el compromiso de SCI Lease Corp de aportar tecnología y servicios transformadores al mercado del arrendamiento. Trabajar con NETSOL en e"&amp;"l futuro mejorará nuestros procesos de gestión de arrendamientos, lo que nos permitirá satisfacer mejor las expectativas de nuestros clientes y proporcionar mayor capacidad para expandir nuestro negocio con fabricantes de equipos originales (OEM) del sect"&amp;"or automotriz.""")</f>
        <v>"SCI Lease Corp reconoce el éxito que NETSOL ha tenido en otros mercados y creemos que sus plataformas se alinean con el compromiso de SCI Lease Corp de aportar tecnología y servicios transformadores al mercado del arrendamiento. Trabajar con NETSOL en el futuro mejorará nuestros procesos de gestión de arrendamientos, lo que nos permitirá satisfacer mejor las expectativas de nuestros clientes y proporcionar mayor capacidad para expandir nuestro negocio con fabricantes de equipos originales (OEM) del sector automotriz."</v>
      </c>
    </row>
    <row r="38">
      <c r="A38" s="10" t="s">
        <v>755</v>
      </c>
      <c r="B38" s="12" t="str">
        <f>IFERROR(__xludf.DUMMYFUNCTION("IF(ISBLANK(A38),"""",GOOGLETRANSLATE(A38,""en"",""es""))"),"Presidente y Director Ejecutivo de SCI Lease Corp.")</f>
        <v>Presidente y Director Ejecutivo de SCI Lease Corp.</v>
      </c>
    </row>
    <row r="39">
      <c r="A39" s="10" t="s">
        <v>756</v>
      </c>
      <c r="B39" s="12" t="str">
        <f>IFERROR(__xludf.DUMMYFUNCTION("IF(ISBLANK(A39),"""",GOOGLETRANSLATE(A39,""en"",""es""))"),"Experimente una innovación acelerada para sus operaciones automotrices.")</f>
        <v>Experimente una innovación acelerada para sus operaciones automotrices.</v>
      </c>
    </row>
    <row r="40">
      <c r="A40" s="10" t="s">
        <v>757</v>
      </c>
      <c r="B40" s="12" t="str">
        <f>IFERROR(__xludf.DUMMYFUNCTION("IF(ISBLANK(A40),"""",GOOGLETRANSLATE(A40,""en"",""es""))"),"Descubra cómo nuestro software de financiación y arrendamiento de automóviles permite a la industria global de financiación y arrendamiento de automóviles reducir los gastos operativos, mejorar la evaluación de riesgos, agilizar los tiempos de procesamien"&amp;"to y respuesta, y llegar a una gama más amplia de clientes.")</f>
        <v>Descubra cómo nuestro software de financiación y arrendamiento de automóviles permite a la industria global de financiación y arrendamiento de automóviles reducir los gastos operativos, mejorar la evaluación de riesgos, agilizar los tiempos de procesamiento y respuesta, y llegar a una gama más amplia de clientes.</v>
      </c>
    </row>
    <row r="41">
      <c r="B41" s="12" t="str">
        <f>IFERROR(__xludf.DUMMYFUNCTION("IF(ISBLANK(A41),"""",GOOGLETRANSLATE(A41,""en"",""es""))"),"")</f>
        <v/>
      </c>
    </row>
    <row r="42">
      <c r="A42" s="10" t="s">
        <v>116</v>
      </c>
      <c r="B42" s="12" t="str">
        <f>IFERROR(__xludf.DUMMYFUNCTION("IF(ISBLANK(A42),"""",GOOGLETRANSLATE(A42,""en"",""es""))"),"Lecturas y reflexiones destacadas")</f>
        <v>Lecturas y reflexiones destacadas</v>
      </c>
    </row>
    <row r="43">
      <c r="A43" s="17" t="s">
        <v>117</v>
      </c>
      <c r="B43" s="12" t="str">
        <f>IFERROR(__xludf.DUMMYFUNCTION("IF(ISBLANK(A43),"""",GOOGLETRANSLATE(A43,""en"",""es""))"),"Manténgase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4">
      <c r="A44" s="10" t="s">
        <v>118</v>
      </c>
      <c r="B44" s="12" t="str">
        <f>IFERROR(__xludf.DUMMYFUNCTION("IF(ISBLANK(A44),"""",GOOGLETRANSLATE(A44,""en"",""es""))"),"Blog")</f>
        <v>Blog</v>
      </c>
    </row>
    <row r="45">
      <c r="A45" s="10" t="s">
        <v>119</v>
      </c>
      <c r="B45" s="12" t="str">
        <f>IFERROR(__xludf.DUMMYFUNCTION("IF(ISBLANK(A45),"""",GOOGLETRANSLATE(A45,""en"",""es""))"),"Más allá del DMS: Por qué el futuro de la venta minorista de automóviles se basa en las API")</f>
        <v>Más allá del DMS: Por qué el futuro de la venta minorista de automóviles se basa en las API</v>
      </c>
    </row>
    <row r="46">
      <c r="A46" s="10" t="s">
        <v>36</v>
      </c>
      <c r="B46" s="12" t="str">
        <f>IFERROR(__xludf.DUMMYFUNCTION("IF(ISBLANK(A46),"""",GOOGLETRANSLATE(A46,""en"",""es""))"),"Más información")</f>
        <v>Más información</v>
      </c>
    </row>
    <row r="47">
      <c r="B47" s="12" t="str">
        <f>IFERROR(__xludf.DUMMYFUNCTION("IF(ISBLANK(A47),"""",GOOGLETRANSLATE(A47,""en"",""es""))"),"")</f>
        <v/>
      </c>
    </row>
    <row r="48">
      <c r="A48" s="10" t="s">
        <v>120</v>
      </c>
      <c r="B48" s="12" t="str">
        <f>IFERROR(__xludf.DUMMYFUNCTION("IF(ISBLANK(A48),"""",GOOGLETRANSLATE(A48,""en"",""es""))"),"NETSOL estará presente en la Conferencia y Premios GlobalData Automotive Europe 2025.")</f>
        <v>NETSOL estará presente en la Conferencia y Premios GlobalData Automotive Europe 2025.</v>
      </c>
    </row>
    <row r="49">
      <c r="B49" s="12" t="str">
        <f>IFERROR(__xludf.DUMMYFUNCTION("IF(ISBLANK(A49),"""",GOOGLETRANSLATE(A49,""en"",""es""))"),"")</f>
        <v/>
      </c>
    </row>
    <row r="50">
      <c r="B50" s="12" t="str">
        <f>IFERROR(__xludf.DUMMYFUNCTION("IF(ISBLANK(A50),"""",GOOGLETRANSLATE(A50,""en"",""es""))"),"")</f>
        <v/>
      </c>
    </row>
    <row r="51">
      <c r="A51" s="10" t="s">
        <v>121</v>
      </c>
      <c r="B51" s="12" t="str">
        <f>IFERROR(__xludf.DUMMYFUNCTION("IF(ISBLANK(A51),"""",GOOGLETRANSLATE(A51,""en"",""es""))"),"NETSOL participa en la 25ª Cumbre Anual de Financiación Automotriz: Impulsando el futuro de la financiación automotriz")</f>
        <v>NETSOL participa en la 25ª Cumbre Anual de Financiación Automotriz: Impulsando el futuro de la financiación automotriz</v>
      </c>
    </row>
    <row r="52">
      <c r="B52" s="12" t="str">
        <f>IFERROR(__xludf.DUMMYFUNCTION("IF(ISBLANK(A52),"""",GOOGLETRANSLATE(A52,""en"",""es""))"),"")</f>
        <v/>
      </c>
    </row>
    <row r="53">
      <c r="B53" s="12" t="str">
        <f>IFERROR(__xludf.DUMMYFUNCTION("IF(ISBLANK(A53),"""",GOOGLETRANSLATE(A53,""en"",""es""))"),"")</f>
        <v/>
      </c>
    </row>
    <row r="54">
      <c r="A54" s="10" t="s">
        <v>122</v>
      </c>
      <c r="B54" s="12" t="str">
        <f>IFERROR(__xludf.DUMMYFUNCTION("IF(ISBLANK(A54),"""",GOOGLETRANSLATE(A54,""en"",""es""))"),"NETSOL está presente en Digital Dealer 2025: Impulsando el futuro de la venta minorista de automóviles.")</f>
        <v>NETSOL está presente en Digital Dealer 2025: Impulsando el futuro de la venta minorista de automóviles.</v>
      </c>
    </row>
    <row r="55">
      <c r="B55" s="12" t="str">
        <f>IFERROR(__xludf.DUMMYFUNCTION("IF(ISBLANK(A55),"""",GOOGLETRANSLATE(A55,""en"",""es""))"),"")</f>
        <v/>
      </c>
    </row>
    <row r="56">
      <c r="B56" s="12" t="str">
        <f>IFERROR(__xludf.DUMMYFUNCTION("IF(ISBLANK(A56),"""",GOOGLETRANSLATE(A56,""en"",""es""))"),"")</f>
        <v/>
      </c>
    </row>
    <row r="57">
      <c r="A57" s="13" t="s">
        <v>123</v>
      </c>
      <c r="B57" s="12" t="str">
        <f>IFERROR(__xludf.DUMMYFUNCTION("IF(ISBLANK(A57),"""",GOOGLETRANSLATE(A57,""en"",""es""))"),"La IA en el sector BFSI: revolucionando la gestión de riesgos")</f>
        <v>La IA en el sector BFSI: revolucionando la gestión de riesgos</v>
      </c>
    </row>
    <row r="58">
      <c r="B58" s="12" t="str">
        <f>IFERROR(__xludf.DUMMYFUNCTION("IF(ISBLANK(A58),"""",GOOGLETRANSLATE(A58,""en"",""es""))"),"")</f>
        <v/>
      </c>
    </row>
    <row r="59">
      <c r="B59" s="12" t="str">
        <f>IFERROR(__xludf.DUMMYFUNCTION("IF(ISBLANK(A59),"""",GOOGLETRANSLATE(A59,""en"",""es""))"),"")</f>
        <v/>
      </c>
    </row>
    <row r="60">
      <c r="A60" s="10" t="s">
        <v>124</v>
      </c>
      <c r="B60" s="12" t="str">
        <f>IFERROR(__xludf.DUMMYFUNCTION("IF(ISBLANK(A60),"""",GOOGLETRANSLATE(A60,""en"",""es""))"),"La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1">
      <c r="B61" s="12" t="str">
        <f>IFERROR(__xludf.DUMMYFUNCTION("IF(ISBLANK(A61),"""",GOOGLETRANSLATE(A61,""en"",""es""))"),"")</f>
        <v/>
      </c>
    </row>
    <row r="62">
      <c r="B62" s="12" t="str">
        <f>IFERROR(__xludf.DUMMYFUNCTION("IF(ISBLANK(A62),"""",GOOGLETRANSLATE(A62,""en"",""es""))"),"")</f>
        <v/>
      </c>
    </row>
    <row r="63">
      <c r="A63" s="10" t="s">
        <v>125</v>
      </c>
      <c r="B63" s="12" t="str">
        <f>IFERROR(__xludf.DUMMYFUNCTION("IF(ISBLANK(A63),"""",GOOGLETRANSLATE(A63,""en"",""es""))"),"El verdadero coste de los sistemas desconectados en la venta minorista de automóviles")</f>
        <v>El verdadero coste de los sistemas desconectados en la venta minorista de automóviles</v>
      </c>
    </row>
    <row r="64">
      <c r="B64" s="12" t="str">
        <f>IFERROR(__xludf.DUMMYFUNCTION("IF(ISBLANK(A64),"""",GOOGLETRANSLATE(A64,""en"",""es""))"),"")</f>
        <v/>
      </c>
    </row>
    <row r="65">
      <c r="B65" s="12" t="str">
        <f>IFERROR(__xludf.DUMMYFUNCTION("IF(ISBLANK(A65),"""",GOOGLETRANSLATE(A65,""en"",""es""))"),"")</f>
        <v/>
      </c>
    </row>
    <row r="66">
      <c r="A66" s="10" t="s">
        <v>126</v>
      </c>
      <c r="B66" s="12" t="str">
        <f>IFERROR(__xludf.DUMMYFUNCTION("IF(ISBLANK(A66),"""",GOOGLETRANSLATE(A66,""en"",""es""))"),"Las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7">
      <c r="B67" s="12" t="str">
        <f>IFERROR(__xludf.DUMMYFUNCTION("IF(ISBLANK(A67),"""",GOOGLETRANSLATE(A67,""en"",""es""))"),"")</f>
        <v/>
      </c>
    </row>
    <row r="68">
      <c r="B68" s="12" t="str">
        <f>IFERROR(__xludf.DUMMYFUNCTION("IF(ISBLANK(A68),"""",GOOGLETRANSLATE(A68,""en"",""es""))"),"")</f>
        <v/>
      </c>
    </row>
    <row r="69">
      <c r="A69" s="10" t="s">
        <v>127</v>
      </c>
      <c r="B69" s="12" t="str">
        <f>IFERROR(__xludf.DUMMYFUNCTION("IF(ISBLANK(A69),"""",GOOGLETRANSLATE(A69,""en"",""es""))"),"Lucha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0">
      <c r="B70" s="12" t="str">
        <f>IFERROR(__xludf.DUMMYFUNCTION("IF(ISBLANK(A70),"""",GOOGLETRANSLATE(A70,""en"",""es""))"),"")</f>
        <v/>
      </c>
    </row>
    <row r="71">
      <c r="A71" s="10" t="s">
        <v>130</v>
      </c>
      <c r="B71" s="12" t="str">
        <f>IFERROR(__xludf.DUMMYFUNCTION("IF(ISBLANK(A71),"""",GOOGLETRANSLATE(A71,""en"",""es""))"),"Suscríbase a nuestro boletín para recibir las últimas noticias en su correo electrónico.")</f>
        <v>Suscríbase a nuestro boletín para recibir las últimas noticias en su correo electrónico.</v>
      </c>
    </row>
    <row r="72">
      <c r="A72" s="10" t="s">
        <v>131</v>
      </c>
      <c r="B72" s="12" t="str">
        <f>IFERROR(__xludf.DUMMYFUNCTION("IF(ISBLANK(A72),"""",GOOGLETRANSLATE(A72,""en"",""es""))"),"abc@example.com")</f>
        <v>abc@example.com</v>
      </c>
    </row>
    <row r="73">
      <c r="A73" s="10" t="s">
        <v>132</v>
      </c>
      <c r="B73" s="12" t="str">
        <f>IFERROR(__xludf.DUMMYFUNCTION("IF(ISBLANK(A73),"""",GOOGLETRANSLATE(A73,""en"",""es""))"),"Suscríbete")</f>
        <v>Suscríbete</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13"/>
  </cols>
  <sheetData>
    <row r="1">
      <c r="A1" s="3" t="s">
        <v>0</v>
      </c>
      <c r="B1" s="3" t="s">
        <v>133</v>
      </c>
    </row>
    <row r="2">
      <c r="A2" s="10" t="s">
        <v>52</v>
      </c>
      <c r="B2" s="12" t="str">
        <f>IFERROR(__xludf.DUMMYFUNCTION("IF(ISBLANK(A2),"""",GOOGLETRANSLATE(A2,""en"",""es""))"),"Financiación de equipos")</f>
        <v>Financiación de equipos</v>
      </c>
    </row>
    <row r="3">
      <c r="A3" s="10" t="s">
        <v>758</v>
      </c>
      <c r="B3" s="12" t="str">
        <f>IFERROR(__xludf.DUMMYFUNCTION("IF(ISBLANK(A3),"""",GOOGLETRANSLATE(A3,""en"",""es""))"),"Software de financiación de equipos impulsado por IA")</f>
        <v>Software de financiación de equipos impulsado por IA</v>
      </c>
    </row>
    <row r="4">
      <c r="A4" s="10" t="s">
        <v>759</v>
      </c>
      <c r="B4" s="12" t="str">
        <f>IFERROR(__xludf.DUMMYFUNCTION("IF(ISBLANK(A4),"""",GOOGLETRANSLATE(A4,""en"",""es""))"),"Ofrecemos soluciones de financiación de equipos a empresas con necesidades empresariales en constante crecimiento en todo el mundo.")</f>
        <v>Ofrecemos soluciones de financiación de equipos a empresas con necesidades empresariales en constante crecimiento en todo el mundo.</v>
      </c>
    </row>
    <row r="5">
      <c r="A5" s="10" t="s">
        <v>760</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B7" s="12" t="str">
        <f>IFERROR(__xludf.DUMMYFUNCTION("IF(ISBLANK(A7),"""",GOOGLETRANSLATE(A7,""en"",""es""))"),"")</f>
        <v/>
      </c>
    </row>
    <row r="8">
      <c r="A8" s="10" t="s">
        <v>761</v>
      </c>
      <c r="B8" s="12" t="str">
        <f>IFERROR(__xludf.DUMMYFUNCTION("IF(ISBLANK(A8),"""",GOOGLETRANSLATE(A8,""en"",""es""))"),"Aproveche el poder de la tecnología de financiación de equipos sin igual")</f>
        <v>Aproveche el poder de la tecnología de financiación de equipos sin igual</v>
      </c>
    </row>
    <row r="9">
      <c r="A9" s="10" t="s">
        <v>762</v>
      </c>
      <c r="B9" s="12" t="str">
        <f>IFERROR(__xludf.DUMMYFUNCTION("IF(ISBLANK(A9),"""",GOOGLETRANSLATE(A9,""en"",""es""))"),"Mientras usted facilita a las organizaciones la adquisición del equipo necesario para satisfacer las crecientes demandas de su negocio, nosotros le proporcionamos la tecnología que cubre sin esfuerzo todo el ciclo de financiación de equipos. Ya se trate d"&amp;"e maquinaria pesada, agrícola, industrial o cualquier otro tipo de equipo que financie, optimizamos los procesos e impulsamos el crecimiento.")</f>
        <v>Mientras usted facilita a las organizaciones la adquisición del equipo necesario para satisfacer las crecientes demandas de su negocio, nosotros le proporcionamos la tecnología que cubre sin esfuerzo todo el ciclo de financiación de equipos. Ya se trate de maquinaria pesada, agrícola, industrial o cualquier otro tipo de equipo que financie, optimizamos los procesos e impulsamos el crecimiento.</v>
      </c>
    </row>
    <row r="10">
      <c r="A10" s="10" t="s">
        <v>763</v>
      </c>
      <c r="B10" s="12" t="str">
        <f>IFERROR(__xludf.DUMMYFUNCTION("IF(ISBLANK(A10),"""",GOOGLETRANSLATE(A10,""en"",""es""))"),"Tecnología probada")</f>
        <v>Tecnología probada</v>
      </c>
    </row>
    <row r="11">
      <c r="A11" s="10" t="s">
        <v>764</v>
      </c>
      <c r="B11" s="12" t="str">
        <f>IFERROR(__xludf.DUMMYFUNCTION("IF(ISBLANK(A11),"""",GOOGLETRANSLATE(A11,""en"",""es""))"),"Con una trayectoria comprobada, el software de gestión de arrendamientos de NETSOL para fabricantes de equipos originales y el sector de financiación de equipos da soporte a entornos empresariales altamente complejos.")</f>
        <v>Con una trayectoria comprobada, el software de gestión de arrendamientos de NETSOL para fabricantes de equipos originales y el sector de financiación de equipos da soporte a entornos empresariales altamente complejos.</v>
      </c>
    </row>
    <row r="12">
      <c r="A12" s="10" t="s">
        <v>765</v>
      </c>
      <c r="B12" s="12" t="str">
        <f>IFERROR(__xludf.DUMMYFUNCTION("IF(ISBLANK(A12),"""",GOOGLETRANSLATE(A12,""en"",""es""))"),"Soluciones integrales")</f>
        <v>Soluciones integrales</v>
      </c>
    </row>
    <row r="13">
      <c r="A13" s="10" t="s">
        <v>766</v>
      </c>
      <c r="B13" s="12" t="str">
        <f>IFERROR(__xludf.DUMMYFUNCTION("IF(ISBLANK(A13),"""",GOOGLETRANSLATE(A13,""en"",""es""))"),"Para los fabricantes de equipos originales (OEM) y las empresas de financiación y arrendamiento de equipos, NETSOL ofrece soluciones para originación, mantenimiento, venta al por mayor, así como venta minorista digital y más.")</f>
        <v>Para los fabricantes de equipos originales (OEM) y las empresas de financiación y arrendamiento de equipos, NETSOL ofrece soluciones para originación, mantenimiento, venta al por mayor, así como venta minorista digital y más.</v>
      </c>
    </row>
    <row r="14">
      <c r="A14" s="10" t="s">
        <v>291</v>
      </c>
      <c r="B14" s="12" t="str">
        <f>IFERROR(__xludf.DUMMYFUNCTION("IF(ISBLANK(A14),"""",GOOGLETRANSLATE(A14,""en"",""es""))"),"Enfoque centrado en el cliente")</f>
        <v>Enfoque centrado en el cliente</v>
      </c>
    </row>
    <row r="15">
      <c r="A15" s="10" t="s">
        <v>767</v>
      </c>
      <c r="B15" s="12" t="str">
        <f>IFERROR(__xludf.DUMMYFUNCTION("IF(ISBLANK(A15),"""",GOOGLETRANSLATE(A15,""en"",""es""))"),"Con un experimentado equipo global que ofrece soluciones superiores, NETSOL sigue un enfoque de desarrollo de productos centrado en el cliente para la industria.")</f>
        <v>Con un experimentado equipo global que ofrece soluciones superiores, NETSOL sigue un enfoque de desarrollo de productos centrado en el cliente para la industria.</v>
      </c>
    </row>
    <row r="16">
      <c r="A16" s="10" t="s">
        <v>768</v>
      </c>
      <c r="B16" s="12" t="str">
        <f>IFERROR(__xludf.DUMMYFUNCTION("IF(ISBLANK(A16),"""",GOOGLETRANSLATE(A16,""en"",""es""))"),"Cumplimiento total")</f>
        <v>Cumplimiento total</v>
      </c>
    </row>
    <row r="17">
      <c r="A17" s="10" t="s">
        <v>769</v>
      </c>
      <c r="B17" s="12" t="str">
        <f>IFERROR(__xludf.DUMMYFUNCTION("IF(ISBLANK(A17),"""",GOOGLETRANSLATE(A17,""en"",""es""))"),"Para garantizar el cumplimiento de diversas normas internacionales de calidad, nos adherimos meticulosamente a todos los requisitos legales y reglamentarios a nivel mundial.")</f>
        <v>Para garantizar el cumplimiento de diversas normas internacionales de calidad, nos adherimos meticulosamente a todos los requisitos legales y reglamentarios a nivel mundial.</v>
      </c>
    </row>
    <row r="18">
      <c r="A18" s="10" t="s">
        <v>97</v>
      </c>
      <c r="B18" s="12" t="str">
        <f>IFERROR(__xludf.DUMMYFUNCTION("IF(ISBLANK(A18),"""",GOOGLETRANSLATE(A18,""en"",""es""))"),"Más de 500 mil millones de dólares")</f>
        <v>Más de 500 mil millones de dólares</v>
      </c>
    </row>
    <row r="19">
      <c r="A19" s="10" t="s">
        <v>98</v>
      </c>
      <c r="B19" s="12" t="str">
        <f>IFERROR(__xludf.DUMMYFUNCTION("IF(ISBLANK(A19),"""",GOOGLETRANSLATE(A19,""en"",""es""))"),"Activos gestionados a nivel mundial")</f>
        <v>Activos gestionados a nivel mundial</v>
      </c>
    </row>
    <row r="20">
      <c r="A20" s="10" t="s">
        <v>293</v>
      </c>
      <c r="B20" s="12" t="str">
        <f>IFERROR(__xludf.DUMMYFUNCTION("IF(ISBLANK(A20),"""",GOOGLETRANSLATE(A20,""en"",""es""))"),"Más de 350")</f>
        <v>Más de 350</v>
      </c>
    </row>
    <row r="21">
      <c r="A21" s="10" t="s">
        <v>96</v>
      </c>
      <c r="B21" s="12" t="str">
        <f>IFERROR(__xludf.DUMMYFUNCTION("IF(ISBLANK(A21),"""",GOOGLETRANSLATE(A21,""en"",""es""))"),"Implementaciones exitosas")</f>
        <v>Implementaciones exitosas</v>
      </c>
    </row>
    <row r="22">
      <c r="A22" s="10" t="s">
        <v>93</v>
      </c>
      <c r="B22" s="12" t="str">
        <f>IFERROR(__xludf.DUMMYFUNCTION("IF(ISBLANK(A22),"""",GOOGLETRANSLATE(A22,""en"",""es""))"),"Más de 200")</f>
        <v>Más de 200</v>
      </c>
    </row>
    <row r="23">
      <c r="A23" s="10" t="s">
        <v>94</v>
      </c>
      <c r="B23" s="12" t="str">
        <f>IFERROR(__xludf.DUMMYFUNCTION("IF(ISBLANK(A23),"""",GOOGLETRANSLATE(A23,""en"",""es""))"),"Clientes en todo el mundo")</f>
        <v>Clientes en todo el mundo</v>
      </c>
    </row>
    <row r="24">
      <c r="A24" s="10" t="s">
        <v>294</v>
      </c>
      <c r="B24" s="12" t="str">
        <f>IFERROR(__xludf.DUMMYFUNCTION("IF(ISBLANK(A24),"""",GOOGLETRANSLATE(A24,""en"",""es""))"),"Más de 30 años")</f>
        <v>Más de 30 años</v>
      </c>
    </row>
    <row r="25">
      <c r="A25" s="10" t="s">
        <v>295</v>
      </c>
      <c r="B25" s="12" t="str">
        <f>IFERROR(__xludf.DUMMYFUNCTION("IF(ISBLANK(A25),"""",GOOGLETRANSLATE(A25,""en"",""es""))"),"Países atendidos")</f>
        <v>Países atendidos</v>
      </c>
    </row>
    <row r="26">
      <c r="A26" s="10" t="s">
        <v>296</v>
      </c>
      <c r="B26" s="12" t="str">
        <f>IFERROR(__xludf.DUMMYFUNCTION("IF(ISBLANK(A26),"""",GOOGLETRANSLATE(A26,""en"",""es""))"),"Control integral e inteligencia integrada")</f>
        <v>Control integral e inteligencia integrada</v>
      </c>
    </row>
    <row r="27">
      <c r="A27" s="10" t="s">
        <v>14</v>
      </c>
      <c r="B27" s="12" t="str">
        <f>IFERROR(__xludf.DUMMYFUNCTION("IF(ISBLANK(A27),"""",GOOGLETRANSLATE(A27,""en"",""es""))"),"fabricantes de equipos originales (OEM)")</f>
        <v>fabricantes de equipos originales (OEM)</v>
      </c>
    </row>
    <row r="28">
      <c r="A28" s="10" t="s">
        <v>750</v>
      </c>
      <c r="B28" s="12" t="str">
        <f>IFERROR(__xludf.DUMMYFUNCTION("IF(ISBLANK(A28),"""",GOOGLETRANSLATE(A28,""en"",""es""))"),"Nuestro innovador software de arrendamiento de equipos está diseñado para potenciar a los fabricantes de equipos originales (OEM) con procesos de financiación optimizados, experiencias de cliente mejoradas y una eficiencia sin precedentes. Desde la financ"&amp;"iación y el arrendamiento integrales hasta la venta minorista digital, nuestras soluciones están diseñadas para integrarse a la perfección en sus operaciones, abriendo nuevas vías de crecimiento y rentabilidad.")</f>
        <v>Nuestro innovador software de arrendamiento de equipos está diseñado para potenciar a los fabricantes de equipos originales (OEM) con procesos de financiación optimizados, experiencias de cliente mejoradas y una eficiencia sin precedentes. Desde la financiación y el arrendamiento integrales hasta la venta minorista digital, nuestras soluciones están diseñadas para integrarse a la perfección en sus operaciones, abriendo nuevas vías de crecimiento y rentabilidad.</v>
      </c>
    </row>
    <row r="29">
      <c r="B29" s="12" t="str">
        <f>IFERROR(__xludf.DUMMYFUNCTION("IF(ISBLANK(A29),"""",GOOGLETRANSLATE(A29,""en"",""es""))"),"")</f>
        <v/>
      </c>
    </row>
    <row r="30">
      <c r="A30" s="10" t="s">
        <v>751</v>
      </c>
      <c r="B30" s="12" t="str">
        <f>IFERROR(__xludf.DUMMYFUNCTION("IF(ISBLANK(A30),"""",GOOGLETRANSLATE(A30,""en"",""es""))"),"Finanzas de alto valor")</f>
        <v>Finanzas de alto valor</v>
      </c>
    </row>
    <row r="31">
      <c r="A31" s="10" t="s">
        <v>369</v>
      </c>
      <c r="B31" s="12" t="str">
        <f>IFERROR(__xludf.DUMMYFUNCTION("IF(ISBLANK(A31),"""",GOOGLETRANSLATE(A31,""en"",""es""))"),"Ofrezca a los concesionarios la flexibilidad de solicitar un límite de crédito para diferentes categorías de activos, así como de supervisar las variaciones y revisiones de los límites de crédito definidos. Permita aumentos temporales en los límites de cr"&amp;"édito basados ​​en campañas impulsadas por los concesionarios; los límites normales se reanudarán automáticamente al finalizar los períodos temporales.")</f>
        <v>Ofrezca a los concesionarios la flexibilidad de solicitar un límite de crédito para diferentes categorías de activos, así como de supervisar las variaciones y revisiones de los límites de crédito definidos. Permita aumentos temporales en los límites de crédito basados ​​en campañas impulsadas por los concesionarios; los límites normales se reanudarán automáticamente al finalizar los períodos temporales.</v>
      </c>
    </row>
    <row r="32">
      <c r="B32" s="12" t="str">
        <f>IFERROR(__xludf.DUMMYFUNCTION("IF(ISBLANK(A32),"""",GOOGLETRANSLATE(A32,""en"",""es""))"),"")</f>
        <v/>
      </c>
    </row>
    <row r="33">
      <c r="A33" s="10" t="s">
        <v>752</v>
      </c>
      <c r="B33" s="12" t="str">
        <f>IFERROR(__xludf.DUMMYFUNCTION("IF(ISBLANK(A33),"""",GOOGLETRANSLATE(A33,""en"",""es""))"),"Préstamos comerciales y al consumo")</f>
        <v>Préstamos comerciales y al consumo</v>
      </c>
    </row>
    <row r="34">
      <c r="A34" s="10" t="s">
        <v>750</v>
      </c>
      <c r="B34" s="12" t="str">
        <f>IFERROR(__xludf.DUMMYFUNCTION("IF(ISBLANK(A34),"""",GOOGLETRANSLATE(A34,""en"",""es""))"),"Nuestro innovador software de arrendamiento de equipos está diseñado para potenciar a los fabricantes de equipos originales (OEM) con procesos de financiación optimizados, experiencias de cliente mejoradas y una eficiencia sin precedentes. Desde la financ"&amp;"iación y el arrendamiento integrales hasta la venta minorista digital, nuestras soluciones están diseñadas para integrarse a la perfección en sus operaciones, abriendo nuevas vías de crecimiento y rentabilidad.")</f>
        <v>Nuestro innovador software de arrendamiento de equipos está diseñado para potenciar a los fabricantes de equipos originales (OEM) con procesos de financiación optimizados, experiencias de cliente mejoradas y una eficiencia sin precedentes. Desde la financiación y el arrendamiento integrales hasta la venta minorista digital, nuestras soluciones están diseñadas para integrarse a la perfección en sus operaciones, abriendo nuevas vías de crecimiento y rentabilidad.</v>
      </c>
    </row>
    <row r="35">
      <c r="B35" s="12" t="str">
        <f>IFERROR(__xludf.DUMMYFUNCTION("IF(ISBLANK(A35),"""",GOOGLETRANSLATE(A35,""en"",""es""))"),"")</f>
        <v/>
      </c>
    </row>
    <row r="36">
      <c r="A36" s="10" t="s">
        <v>110</v>
      </c>
      <c r="B36" s="12" t="str">
        <f>IFERROR(__xludf.DUMMYFUNCTION("IF(ISBLANK(A36),"""",GOOGLETRANSLATE(A36,""en"",""es""))"),"Nos complace colaborar con NETSOL como nuestro socio estratégico de plataforma. Las soluciones tecnológicas inteligentes de NETSOL gozan de gran reconocimiento en el sector financiero y de arrendamiento, y la implementación de Transcend Finance (anteriorm"&amp;"ente conocida como Ascent) nos permite mantener una ventaja competitiva en el dinámico mercado actual. Gracias a sus potentes motores de configuración, Ascent optimizará nuestros procesos, facilitando la incorporación de nuevos socios y acelerando el lanz"&amp;"amiento de nuevos productos en todos los mercados.")</f>
        <v>Nos complace colaborar con NETSOL como nuestro socio estratégico de plataforma. Las soluciones tecnológicas inteligentes de NETSOL gozan de gran reconocimiento en el sector financiero y de arrendamiento, y la implementación de Transcend Finance (anteriormente conocida como Ascent) nos permite mantener una ventaja competitiva en el dinámico mercado actual. Gracias a sus potentes motores de configuración, Ascent optimizará nuestros procesos, facilitando la incorporación de nuevos socios y acelerando el lanzamiento de nuevos productos en todos los mercados.</v>
      </c>
    </row>
    <row r="37">
      <c r="A37" s="10" t="s">
        <v>770</v>
      </c>
      <c r="B37" s="12" t="str">
        <f>IFERROR(__xludf.DUMMYFUNCTION("IF(ISBLANK(A37),"""",GOOGLETRANSLATE(A37,""en"",""es""))"),"Henrik Staulund")</f>
        <v>Henrik Staulund</v>
      </c>
    </row>
    <row r="38">
      <c r="A38" s="10" t="s">
        <v>771</v>
      </c>
      <c r="B38" s="12" t="str">
        <f>IFERROR(__xludf.DUMMYFUNCTION("IF(ISBLANK(A38),"""",GOOGLETRANSLATE(A38,""en"",""es""))"),"Director Comercial de Ikano Bank")</f>
        <v>Director Comercial de Ikano Bank</v>
      </c>
    </row>
    <row r="39">
      <c r="A39" s="10" t="s">
        <v>772</v>
      </c>
      <c r="B39" s="12" t="str">
        <f>IFERROR(__xludf.DUMMYFUNCTION("IF(ISBLANK(A39),"""",GOOGLETRANSLATE(A39,""en"",""es""))"),"¿Listo para llevar la financiación de tus equipos al siguiente nivel?")</f>
        <v>¿Listo para llevar la financiación de tus equipos al siguiente nivel?</v>
      </c>
    </row>
    <row r="40">
      <c r="A40" s="10" t="s">
        <v>773</v>
      </c>
      <c r="B40" s="12" t="str">
        <f>IFERROR(__xludf.DUMMYFUNCTION("IF(ISBLANK(A40),"""",GOOGLETRANSLATE(A40,""en"",""es""))"),"Manténgase a la vanguardia y descubra nuevas oportunidades de crecimiento y éxito en la financiación de equipos con nuestras soluciones líderes en la industria de financiación y arrendamiento de equipos.")</f>
        <v>Manténgase a la vanguardia y descubra nuevas oportunidades de crecimiento y éxito en la financiación de equipos con nuestras soluciones líderes en la industria de financiación y arrendamiento de equipos.</v>
      </c>
    </row>
    <row r="41">
      <c r="B41" s="12" t="str">
        <f>IFERROR(__xludf.DUMMYFUNCTION("IF(ISBLANK(A41),"""",GOOGLETRANSLATE(A41,""en"",""es""))"),"")</f>
        <v/>
      </c>
    </row>
    <row r="42">
      <c r="A42" s="10" t="s">
        <v>116</v>
      </c>
      <c r="B42" s="12" t="str">
        <f>IFERROR(__xludf.DUMMYFUNCTION("IF(ISBLANK(A42),"""",GOOGLETRANSLATE(A42,""en"",""es""))"),"Lecturas y reflexiones destacadas")</f>
        <v>Lecturas y reflexiones destacadas</v>
      </c>
    </row>
    <row r="43">
      <c r="A43" s="17" t="s">
        <v>117</v>
      </c>
      <c r="B43" s="12" t="str">
        <f>IFERROR(__xludf.DUMMYFUNCTION("IF(ISBLANK(A43),"""",GOOGLETRANSLATE(A43,""en"",""es""))"),"Manténgase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44">
      <c r="A44" s="10" t="s">
        <v>118</v>
      </c>
      <c r="B44" s="12" t="str">
        <f>IFERROR(__xludf.DUMMYFUNCTION("IF(ISBLANK(A44),"""",GOOGLETRANSLATE(A44,""en"",""es""))"),"Blog")</f>
        <v>Blog</v>
      </c>
    </row>
    <row r="45">
      <c r="A45" s="10" t="s">
        <v>119</v>
      </c>
      <c r="B45" s="12" t="str">
        <f>IFERROR(__xludf.DUMMYFUNCTION("IF(ISBLANK(A45),"""",GOOGLETRANSLATE(A45,""en"",""es""))"),"Más allá del DMS: Por qué el futuro de la venta minorista de automóviles se basa en las API")</f>
        <v>Más allá del DMS: Por qué el futuro de la venta minorista de automóviles se basa en las API</v>
      </c>
    </row>
    <row r="46">
      <c r="A46" s="10" t="s">
        <v>36</v>
      </c>
      <c r="B46" s="12" t="str">
        <f>IFERROR(__xludf.DUMMYFUNCTION("IF(ISBLANK(A46),"""",GOOGLETRANSLATE(A46,""en"",""es""))"),"Más información")</f>
        <v>Más información</v>
      </c>
    </row>
    <row r="47">
      <c r="B47" s="12" t="str">
        <f>IFERROR(__xludf.DUMMYFUNCTION("IF(ISBLANK(A47),"""",GOOGLETRANSLATE(A47,""en"",""es""))"),"")</f>
        <v/>
      </c>
    </row>
    <row r="48">
      <c r="A48" s="10" t="s">
        <v>120</v>
      </c>
      <c r="B48" s="12" t="str">
        <f>IFERROR(__xludf.DUMMYFUNCTION("IF(ISBLANK(A48),"""",GOOGLETRANSLATE(A48,""en"",""es""))"),"NETSOL estará presente en la Conferencia y Premios GlobalData Automotive Europe 2025.")</f>
        <v>NETSOL estará presente en la Conferencia y Premios GlobalData Automotive Europe 2025.</v>
      </c>
    </row>
    <row r="49">
      <c r="B49" s="12" t="str">
        <f>IFERROR(__xludf.DUMMYFUNCTION("IF(ISBLANK(A49),"""",GOOGLETRANSLATE(A49,""en"",""es""))"),"")</f>
        <v/>
      </c>
    </row>
    <row r="50">
      <c r="B50" s="12" t="str">
        <f>IFERROR(__xludf.DUMMYFUNCTION("IF(ISBLANK(A50),"""",GOOGLETRANSLATE(A50,""en"",""es""))"),"")</f>
        <v/>
      </c>
    </row>
    <row r="51">
      <c r="A51" s="10" t="s">
        <v>121</v>
      </c>
      <c r="B51" s="12" t="str">
        <f>IFERROR(__xludf.DUMMYFUNCTION("IF(ISBLANK(A51),"""",GOOGLETRANSLATE(A51,""en"",""es""))"),"NETSOL participa en la 25ª Cumbre Anual de Financiación Automotriz: Impulsando el futuro de la financiación automotriz")</f>
        <v>NETSOL participa en la 25ª Cumbre Anual de Financiación Automotriz: Impulsando el futuro de la financiación automotriz</v>
      </c>
    </row>
    <row r="52">
      <c r="B52" s="12" t="str">
        <f>IFERROR(__xludf.DUMMYFUNCTION("IF(ISBLANK(A52),"""",GOOGLETRANSLATE(A52,""en"",""es""))"),"")</f>
        <v/>
      </c>
    </row>
    <row r="53">
      <c r="B53" s="12" t="str">
        <f>IFERROR(__xludf.DUMMYFUNCTION("IF(ISBLANK(A53),"""",GOOGLETRANSLATE(A53,""en"",""es""))"),"")</f>
        <v/>
      </c>
    </row>
    <row r="54">
      <c r="A54" s="10" t="s">
        <v>122</v>
      </c>
      <c r="B54" s="12" t="str">
        <f>IFERROR(__xludf.DUMMYFUNCTION("IF(ISBLANK(A54),"""",GOOGLETRANSLATE(A54,""en"",""es""))"),"NETSOL está presente en Digital Dealer 2025: Impulsando el futuro de la venta minorista de automóviles.")</f>
        <v>NETSOL está presente en Digital Dealer 2025: Impulsando el futuro de la venta minorista de automóviles.</v>
      </c>
    </row>
    <row r="55">
      <c r="B55" s="12" t="str">
        <f>IFERROR(__xludf.DUMMYFUNCTION("IF(ISBLANK(A55),"""",GOOGLETRANSLATE(A55,""en"",""es""))"),"")</f>
        <v/>
      </c>
    </row>
    <row r="56">
      <c r="B56" s="12" t="str">
        <f>IFERROR(__xludf.DUMMYFUNCTION("IF(ISBLANK(A56),"""",GOOGLETRANSLATE(A56,""en"",""es""))"),"")</f>
        <v/>
      </c>
    </row>
    <row r="57">
      <c r="A57" s="13" t="s">
        <v>123</v>
      </c>
      <c r="B57" s="12" t="str">
        <f>IFERROR(__xludf.DUMMYFUNCTION("IF(ISBLANK(A57),"""",GOOGLETRANSLATE(A57,""en"",""es""))"),"La IA en el sector BFSI: revolucionando la gestión de riesgos")</f>
        <v>La IA en el sector BFSI: revolucionando la gestión de riesgos</v>
      </c>
    </row>
    <row r="58">
      <c r="B58" s="12" t="str">
        <f>IFERROR(__xludf.DUMMYFUNCTION("IF(ISBLANK(A58),"""",GOOGLETRANSLATE(A58,""en"",""es""))"),"")</f>
        <v/>
      </c>
    </row>
    <row r="59">
      <c r="B59" s="12" t="str">
        <f>IFERROR(__xludf.DUMMYFUNCTION("IF(ISBLANK(A59),"""",GOOGLETRANSLATE(A59,""en"",""es""))"),"")</f>
        <v/>
      </c>
    </row>
    <row r="60">
      <c r="A60" s="10" t="s">
        <v>124</v>
      </c>
      <c r="B60" s="12" t="str">
        <f>IFERROR(__xludf.DUMMYFUNCTION("IF(ISBLANK(A60),"""",GOOGLETRANSLATE(A60,""en"",""es""))"),"La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61">
      <c r="B61" s="12" t="str">
        <f>IFERROR(__xludf.DUMMYFUNCTION("IF(ISBLANK(A61),"""",GOOGLETRANSLATE(A61,""en"",""es""))"),"")</f>
        <v/>
      </c>
    </row>
    <row r="62">
      <c r="B62" s="12" t="str">
        <f>IFERROR(__xludf.DUMMYFUNCTION("IF(ISBLANK(A62),"""",GOOGLETRANSLATE(A62,""en"",""es""))"),"")</f>
        <v/>
      </c>
    </row>
    <row r="63">
      <c r="A63" s="10" t="s">
        <v>125</v>
      </c>
      <c r="B63" s="12" t="str">
        <f>IFERROR(__xludf.DUMMYFUNCTION("IF(ISBLANK(A63),"""",GOOGLETRANSLATE(A63,""en"",""es""))"),"El verdadero coste de los sistemas desconectados en la venta minorista de automóviles")</f>
        <v>El verdadero coste de los sistemas desconectados en la venta minorista de automóviles</v>
      </c>
    </row>
    <row r="64">
      <c r="B64" s="12" t="str">
        <f>IFERROR(__xludf.DUMMYFUNCTION("IF(ISBLANK(A64),"""",GOOGLETRANSLATE(A64,""en"",""es""))"),"")</f>
        <v/>
      </c>
    </row>
    <row r="65">
      <c r="B65" s="12" t="str">
        <f>IFERROR(__xludf.DUMMYFUNCTION("IF(ISBLANK(A65),"""",GOOGLETRANSLATE(A65,""en"",""es""))"),"")</f>
        <v/>
      </c>
    </row>
    <row r="66">
      <c r="A66" s="10" t="s">
        <v>126</v>
      </c>
      <c r="B66" s="12" t="str">
        <f>IFERROR(__xludf.DUMMYFUNCTION("IF(ISBLANK(A66),"""",GOOGLETRANSLATE(A66,""en"",""es""))"),"Las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7">
      <c r="B67" s="12" t="str">
        <f>IFERROR(__xludf.DUMMYFUNCTION("IF(ISBLANK(A67),"""",GOOGLETRANSLATE(A67,""en"",""es""))"),"")</f>
        <v/>
      </c>
    </row>
    <row r="68">
      <c r="B68" s="12" t="str">
        <f>IFERROR(__xludf.DUMMYFUNCTION("IF(ISBLANK(A68),"""",GOOGLETRANSLATE(A68,""en"",""es""))"),"")</f>
        <v/>
      </c>
    </row>
    <row r="69">
      <c r="A69" s="10" t="s">
        <v>127</v>
      </c>
      <c r="B69" s="12" t="str">
        <f>IFERROR(__xludf.DUMMYFUNCTION("IF(ISBLANK(A69),"""",GOOGLETRANSLATE(A69,""en"",""es""))"),"Lucha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70">
      <c r="B70" s="12" t="str">
        <f>IFERROR(__xludf.DUMMYFUNCTION("IF(ISBLANK(A70),"""",GOOGLETRANSLATE(A70,""en"",""es""))"),"")</f>
        <v/>
      </c>
    </row>
    <row r="71">
      <c r="A71" s="10" t="s">
        <v>130</v>
      </c>
      <c r="B71" s="12" t="str">
        <f>IFERROR(__xludf.DUMMYFUNCTION("IF(ISBLANK(A71),"""",GOOGLETRANSLATE(A71,""en"",""es""))"),"Suscríbase a nuestro boletín para recibir las últimas noticias en su correo electrónico.")</f>
        <v>Suscríbase a nuestro boletín para recibir las últimas noticias en su correo electrónico.</v>
      </c>
    </row>
    <row r="72">
      <c r="A72" s="10" t="s">
        <v>131</v>
      </c>
      <c r="B72" s="12" t="str">
        <f>IFERROR(__xludf.DUMMYFUNCTION("IF(ISBLANK(A72),"""",GOOGLETRANSLATE(A72,""en"",""es""))"),"abc@example.com")</f>
        <v>abc@example.com</v>
      </c>
    </row>
    <row r="73">
      <c r="A73" s="10" t="s">
        <v>132</v>
      </c>
      <c r="B73" s="12" t="str">
        <f>IFERROR(__xludf.DUMMYFUNCTION("IF(ISBLANK(A73),"""",GOOGLETRANSLATE(A73,""en"",""es""))"),"Suscríbete")</f>
        <v>Suscríbete</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88"/>
  </cols>
  <sheetData>
    <row r="1">
      <c r="A1" s="3" t="s">
        <v>0</v>
      </c>
      <c r="B1" s="3" t="s">
        <v>133</v>
      </c>
    </row>
    <row r="2">
      <c r="A2" s="10" t="s">
        <v>171</v>
      </c>
      <c r="B2" s="12" t="str">
        <f>IFERROR(__xludf.DUMMYFUNCTION("IF(ISBLANK(A2),"""",GOOGLETRANSLATE(A2,""en"",""es""))"),"Perspectivas")</f>
        <v>Perspectivas</v>
      </c>
    </row>
    <row r="3">
      <c r="A3" s="10" t="s">
        <v>774</v>
      </c>
      <c r="B3" s="12" t="str">
        <f>IFERROR(__xludf.DUMMYFUNCTION("IF(ISBLANK(A3),"""",GOOGLETRANSLATE(A3,""en"",""es""))"),"Centro de recursos")</f>
        <v>Centro de recursos</v>
      </c>
    </row>
    <row r="4">
      <c r="A4" s="10" t="s">
        <v>775</v>
      </c>
      <c r="B4" s="12" t="str">
        <f>IFERROR(__xludf.DUMMYFUNCTION("IF(ISBLANK(A4),"""",GOOGLETRANSLATE(A4,""en"",""es""))"),"Explore información experta y recursos sobre la industria de financiación de activos y las últimas tecnologías en nuestro completo centro de contenido")</f>
        <v>Explore información experta y recursos sobre la industria de financiación de activos y las últimas tecnologías en nuestro completo centro de contenido</v>
      </c>
    </row>
    <row r="5">
      <c r="A5" s="10" t="s">
        <v>12</v>
      </c>
      <c r="B5" s="12" t="str">
        <f>IFERROR(__xludf.DUMMYFUNCTION("IF(ISBLANK(A5),"""",GOOGLETRANSLATE(A5,""en"",""es""))"),"Ponte en contacto")</f>
        <v>Ponte en contacto</v>
      </c>
    </row>
    <row r="6">
      <c r="A6" s="10" t="s">
        <v>776</v>
      </c>
      <c r="B6" s="12" t="str">
        <f>IFERROR(__xludf.DUMMYFUNCTION("IF(ISBLANK(A6),"""",GOOGLETRANSLATE(A6,""en"",""es""))"),"Últimas lecturas")</f>
        <v>Últimas lecturas</v>
      </c>
    </row>
    <row r="7">
      <c r="A7" s="10" t="s">
        <v>777</v>
      </c>
      <c r="B7" s="12" t="str">
        <f>IFERROR(__xludf.DUMMYFUNCTION("IF(ISBLANK(A7),"""",GOOGLETRANSLATE(A7,""en"",""es""))"),"Búsqueda por palabras clave")</f>
        <v>Búsqueda por palabras clave</v>
      </c>
    </row>
    <row r="8">
      <c r="A8" s="10" t="s">
        <v>778</v>
      </c>
      <c r="B8" s="12" t="str">
        <f>IFERROR(__xludf.DUMMYFUNCTION("IF(ISBLANK(A8),"""",GOOGLETRANSLATE(A8,""en"",""es""))"),"Buscar aquí...")</f>
        <v>Buscar aquí...</v>
      </c>
    </row>
    <row r="9">
      <c r="A9" s="10" t="s">
        <v>779</v>
      </c>
      <c r="B9" s="12" t="str">
        <f>IFERROR(__xludf.DUMMYFUNCTION("IF(ISBLANK(A9),"""",GOOGLETRANSLATE(A9,""en"",""es""))"),"Buscar")</f>
        <v>Buscar</v>
      </c>
    </row>
    <row r="10">
      <c r="A10" s="10" t="s">
        <v>780</v>
      </c>
      <c r="B10" s="12" t="str">
        <f>IFERROR(__xludf.DUMMYFUNCTION("IF(ISBLANK(A10),"""",GOOGLETRANSLATE(A10,""en"",""es""))"),"Búsqueda por tipo")</f>
        <v>Búsqueda por tipo</v>
      </c>
    </row>
    <row r="11">
      <c r="A11" s="10" t="s">
        <v>781</v>
      </c>
      <c r="B11" s="12" t="str">
        <f>IFERROR(__xludf.DUMMYFUNCTION("IF(ISBLANK(A11),"""",GOOGLETRANSLATE(A11,""en"",""es""))"),"Todo")</f>
        <v>Todo</v>
      </c>
    </row>
    <row r="12">
      <c r="A12" s="10" t="s">
        <v>197</v>
      </c>
      <c r="B12" s="12" t="str">
        <f>IFERROR(__xludf.DUMMYFUNCTION("IF(ISBLANK(A12),"""",GOOGLETRANSLATE(A12,""en"",""es""))"),"Estudios de caso")</f>
        <v>Estudios de caso</v>
      </c>
    </row>
    <row r="13">
      <c r="A13" s="10" t="s">
        <v>782</v>
      </c>
      <c r="B13" s="12" t="str">
        <f>IFERROR(__xludf.DUMMYFUNCTION("IF(ISBLANK(A13),"""",GOOGLETRANSLATE(A13,""en"",""es""))"),"Documentos técnicos")</f>
        <v>Documentos técnicos</v>
      </c>
    </row>
    <row r="14">
      <c r="A14" s="10" t="s">
        <v>783</v>
      </c>
      <c r="B14" s="12" t="str">
        <f>IFERROR(__xludf.DUMMYFUNCTION("IF(ISBLANK(A14),"""",GOOGLETRANSLATE(A14,""en"",""es""))"),"Podcasts")</f>
        <v>Podcasts</v>
      </c>
    </row>
    <row r="15">
      <c r="A15" s="10" t="s">
        <v>199</v>
      </c>
      <c r="B15" s="12" t="str">
        <f>IFERROR(__xludf.DUMMYFUNCTION("IF(ISBLANK(A15),"""",GOOGLETRANSLATE(A15,""en"",""es""))"),"Blogs")</f>
        <v>Blogs</v>
      </c>
    </row>
    <row r="16">
      <c r="A16" s="10" t="s">
        <v>200</v>
      </c>
      <c r="B16" s="12" t="str">
        <f>IFERROR(__xludf.DUMMYFUNCTION("IF(ISBLANK(A16),"""",GOOGLETRANSLATE(A16,""en"",""es""))"),"Eventos")</f>
        <v>Eventos</v>
      </c>
    </row>
    <row r="17">
      <c r="A17" s="10" t="s">
        <v>784</v>
      </c>
      <c r="B17" s="12" t="str">
        <f>IFERROR(__xludf.DUMMYFUNCTION("IF(ISBLANK(A17),"""",GOOGLETRANSLATE(A17,""en"",""es""))"),"Seminarios web")</f>
        <v>Seminarios web</v>
      </c>
    </row>
    <row r="18">
      <c r="A18" s="10" t="s">
        <v>785</v>
      </c>
      <c r="B18" s="12" t="str">
        <f>IFERROR(__xludf.DUMMYFUNCTION("IF(ISBLANK(A18),"""",GOOGLETRANSLATE(A18,""en"",""es""))"),"Buscar por etiquetas")</f>
        <v>Buscar por etiquetas</v>
      </c>
    </row>
    <row r="19">
      <c r="A19" s="10" t="s">
        <v>786</v>
      </c>
      <c r="B19" s="12" t="str">
        <f>IFERROR(__xludf.DUMMYFUNCTION("IF(ISBLANK(A19),"""",GOOGLETRANSLATE(A19,""en"",""es""))"),"Financiación de automóviles")</f>
        <v>Financiación de automóviles</v>
      </c>
    </row>
    <row r="20">
      <c r="A20" s="10" t="s">
        <v>52</v>
      </c>
      <c r="B20" s="12" t="str">
        <f>IFERROR(__xludf.DUMMYFUNCTION("IF(ISBLANK(A20),"""",GOOGLETRANSLATE(A20,""en"",""es""))"),"Financiación de equipos")</f>
        <v>Financiación de equipos</v>
      </c>
    </row>
    <row r="21">
      <c r="A21" s="10" t="s">
        <v>77</v>
      </c>
      <c r="B21" s="12" t="str">
        <f>IFERROR(__xludf.DUMMYFUNCTION("IF(ISBLANK(A21),"""",GOOGLETRANSLATE(A21,""en"",""es""))"),"Seguridad de la información")</f>
        <v>Seguridad de la información</v>
      </c>
    </row>
    <row r="22">
      <c r="A22" s="10" t="s">
        <v>154</v>
      </c>
      <c r="B22" s="12" t="str">
        <f>IFERROR(__xludf.DUMMYFUNCTION("IF(ISBLANK(A22),"""",GOOGLETRANSLATE(A22,""en"",""es""))"),"Soluciones digitales")</f>
        <v>Soluciones digitales</v>
      </c>
    </row>
    <row r="23">
      <c r="A23" s="10" t="s">
        <v>787</v>
      </c>
      <c r="B23" s="12" t="str">
        <f>IFERROR(__xludf.DUMMYFUNCTION("IF(ISBLANK(A23),"""",GOOGLETRANSLATE(A23,""en"",""es""))"),"IA y aprendizaje automático")</f>
        <v>IA y aprendizaje automático</v>
      </c>
    </row>
    <row r="24">
      <c r="A24" s="10" t="s">
        <v>788</v>
      </c>
      <c r="B24" s="12" t="str">
        <f>IFERROR(__xludf.DUMMYFUNCTION("IF(ISBLANK(A24),"""",GOOGLETRANSLATE(A24,""en"",""es""))"),"Estrategia digital")</f>
        <v>Estrategia digital</v>
      </c>
    </row>
    <row r="25">
      <c r="A25" s="10" t="s">
        <v>161</v>
      </c>
      <c r="B25" s="12" t="str">
        <f>IFERROR(__xludf.DUMMYFUNCTION("IF(ISBLANK(A25),"""",GOOGLETRANSLATE(A25,""en"",""es""))"),"Tecnologías emergentes")</f>
        <v>Tecnologías emergentes</v>
      </c>
    </row>
    <row r="26">
      <c r="A26" s="10" t="s">
        <v>79</v>
      </c>
      <c r="B26" s="12" t="str">
        <f>IFERROR(__xludf.DUMMYFUNCTION("IF(ISBLANK(A26),"""",GOOGLETRANSLATE(A26,""en"",""es""))"),"Servicios en la nube")</f>
        <v>Servicios en la nube</v>
      </c>
    </row>
    <row r="27">
      <c r="A27" s="10" t="s">
        <v>164</v>
      </c>
      <c r="B27" s="12" t="str">
        <f>IFERROR(__xludf.DUMMYFUNCTION("IF(ISBLANK(A27),"""",GOOGLETRANSLATE(A27,""en"",""es""))"),"Ingeniería de datos")</f>
        <v>Ingeniería de datos</v>
      </c>
    </row>
    <row r="28">
      <c r="A28" s="10" t="s">
        <v>138</v>
      </c>
      <c r="B28" s="12" t="str">
        <f>IFERROR(__xludf.DUMMYFUNCTION("IF(ISBLANK(A28),"""",GOOGLETRANSLATE(A28,""en"",""es""))"),"Comercio minorista digital")</f>
        <v>Comercio minorista digital</v>
      </c>
    </row>
    <row r="29">
      <c r="A29" s="10" t="s">
        <v>142</v>
      </c>
      <c r="B29" s="12" t="str">
        <f>IFERROR(__xludf.DUMMYFUNCTION("IF(ISBLANK(A29),"""",GOOGLETRANSLATE(A29,""en"",""es""))"),"Orígenes")</f>
        <v>Orígenes</v>
      </c>
    </row>
    <row r="30">
      <c r="A30" s="10" t="s">
        <v>140</v>
      </c>
      <c r="B30" s="12" t="str">
        <f>IFERROR(__xludf.DUMMYFUNCTION("IF(ISBLANK(A30),"""",GOOGLETRANSLATE(A30,""en"",""es""))"),"Portales intermediarios")</f>
        <v>Portales intermediarios</v>
      </c>
    </row>
    <row r="31">
      <c r="A31" s="10" t="s">
        <v>144</v>
      </c>
      <c r="B31" s="12" t="str">
        <f>IFERROR(__xludf.DUMMYFUNCTION("IF(ISBLANK(A31),"""",GOOGLETRANSLATE(A31,""en"",""es""))"),"Servicio")</f>
        <v>Servicio</v>
      </c>
    </row>
    <row r="32">
      <c r="A32" s="10" t="s">
        <v>789</v>
      </c>
      <c r="B32" s="12" t="str">
        <f>IFERROR(__xludf.DUMMYFUNCTION("IF(ISBLANK(A32),"""",GOOGLETRANSLATE(A32,""en"",""es""))"),"Finanzas integrales")</f>
        <v>Finanzas integrales</v>
      </c>
    </row>
    <row r="33">
      <c r="A33" s="10" t="s">
        <v>790</v>
      </c>
      <c r="B33" s="12" t="str">
        <f>IFERROR(__xludf.DUMMYFUNCTION("IF(ISBLANK(A33),"""",GOOGLETRANSLATE(A33,""en"",""es""))"),"Movilidad")</f>
        <v>Movilidad</v>
      </c>
    </row>
    <row r="34">
      <c r="A34" s="10" t="s">
        <v>118</v>
      </c>
      <c r="B34" s="12" t="str">
        <f>IFERROR(__xludf.DUMMYFUNCTION("IF(ISBLANK(A34),"""",GOOGLETRANSLATE(A34,""en"",""es""))"),"Blog")</f>
        <v>Blog</v>
      </c>
    </row>
    <row r="35">
      <c r="A35" s="10" t="s">
        <v>791</v>
      </c>
      <c r="B35" s="12" t="str">
        <f>IFERROR(__xludf.DUMMYFUNCTION("IF(ISBLANK(A35),"""",GOOGLETRANSLATE(A35,""en"",""es""))"),"Más allá del DMS: Por qué el futuro de la venta minorista de automóviles se basa en las API")</f>
        <v>Más allá del DMS: Por qué el futuro de la venta minorista de automóviles se basa en las API</v>
      </c>
    </row>
    <row r="36">
      <c r="A36" s="10" t="s">
        <v>792</v>
      </c>
      <c r="B36" s="12" t="str">
        <f>IFERROR(__xludf.DUMMYFUNCTION("IF(ISBLANK(A36),"""",GOOGLETRANSLATE(A36,""en"",""es""))"),"Leer más")</f>
        <v>Leer más</v>
      </c>
    </row>
    <row r="37">
      <c r="A37" s="10" t="s">
        <v>793</v>
      </c>
      <c r="B37" s="12" t="str">
        <f>IFERROR(__xludf.DUMMYFUNCTION("IF(ISBLANK(A37),"""",GOOGLETRANSLATE(A37,""en"",""es""))"),"NETSOL estará presente en la Conferencia y Premios GlobalData Automotive Europe 2025.")</f>
        <v>NETSOL estará presente en la Conferencia y Premios GlobalData Automotive Europe 2025.</v>
      </c>
    </row>
    <row r="38">
      <c r="B38" s="12" t="str">
        <f>IFERROR(__xludf.DUMMYFUNCTION("IF(ISBLANK(A38),"""",GOOGLETRANSLATE(A38,""en"",""es""))"),"")</f>
        <v/>
      </c>
    </row>
    <row r="39">
      <c r="B39" s="12" t="str">
        <f>IFERROR(__xludf.DUMMYFUNCTION("IF(ISBLANK(A39),"""",GOOGLETRANSLATE(A39,""en"",""es""))"),"")</f>
        <v/>
      </c>
    </row>
    <row r="40">
      <c r="B40" s="12" t="str">
        <f>IFERROR(__xludf.DUMMYFUNCTION("IF(ISBLANK(A40),"""",GOOGLETRANSLATE(A40,""en"",""es""))"),"")</f>
        <v/>
      </c>
    </row>
    <row r="41">
      <c r="A41" s="10" t="s">
        <v>794</v>
      </c>
      <c r="B41" s="12" t="str">
        <f>IFERROR(__xludf.DUMMYFUNCTION("IF(ISBLANK(A41),"""",GOOGLETRANSLATE(A41,""en"",""es""))"),"NETSOL participa en la 25ª Cumbre Anual de Financiación Automotriz: Impulsando el futuro de la financiación automotriz")</f>
        <v>NETSOL participa en la 25ª Cumbre Anual de Financiación Automotriz: Impulsando el futuro de la financiación automotriz</v>
      </c>
    </row>
    <row r="42">
      <c r="B42" s="12" t="str">
        <f>IFERROR(__xludf.DUMMYFUNCTION("IF(ISBLANK(A42),"""",GOOGLETRANSLATE(A42,""en"",""es""))"),"")</f>
        <v/>
      </c>
    </row>
    <row r="43">
      <c r="B43" s="12" t="str">
        <f>IFERROR(__xludf.DUMMYFUNCTION("IF(ISBLANK(A43),"""",GOOGLETRANSLATE(A43,""en"",""es""))"),"")</f>
        <v/>
      </c>
    </row>
    <row r="44">
      <c r="B44" s="12" t="str">
        <f>IFERROR(__xludf.DUMMYFUNCTION("IF(ISBLANK(A44),"""",GOOGLETRANSLATE(A44,""en"",""es""))"),"")</f>
        <v/>
      </c>
    </row>
    <row r="45">
      <c r="A45" s="10" t="s">
        <v>118</v>
      </c>
      <c r="B45" s="12" t="str">
        <f>IFERROR(__xludf.DUMMYFUNCTION("IF(ISBLANK(A45),"""",GOOGLETRANSLATE(A45,""en"",""es""))"),"Blog")</f>
        <v>Blog</v>
      </c>
    </row>
    <row r="46">
      <c r="A46" s="10" t="s">
        <v>795</v>
      </c>
      <c r="B46" s="12" t="str">
        <f>IFERROR(__xludf.DUMMYFUNCTION("IF(ISBLANK(A46),"""",GOOGLETRANSLATE(A46,""en"",""es""))"),"NETSOL está presente en Digital Dealer 2025: Impulsando el futuro de la venta minorista de automóviles.")</f>
        <v>NETSOL está presente en Digital Dealer 2025: Impulsando el futuro de la venta minorista de automóviles.</v>
      </c>
    </row>
    <row r="47">
      <c r="B47" s="12" t="str">
        <f>IFERROR(__xludf.DUMMYFUNCTION("IF(ISBLANK(A47),"""",GOOGLETRANSLATE(A47,""en"",""es""))"),"")</f>
        <v/>
      </c>
    </row>
    <row r="48">
      <c r="A48" s="10" t="s">
        <v>123</v>
      </c>
      <c r="B48" s="12" t="str">
        <f>IFERROR(__xludf.DUMMYFUNCTION("IF(ISBLANK(A48),"""",GOOGLETRANSLATE(A48,""en"",""es""))"),"La IA en el sector BFSI: revolucionando la gestión de riesgos")</f>
        <v>La IA en el sector BFSI: revolucionando la gestión de riesgos</v>
      </c>
    </row>
    <row r="49">
      <c r="B49" s="12" t="str">
        <f>IFERROR(__xludf.DUMMYFUNCTION("IF(ISBLANK(A49),"""",GOOGLETRANSLATE(A49,""en"",""es""))"),"")</f>
        <v/>
      </c>
    </row>
    <row r="50">
      <c r="B50" s="12" t="str">
        <f>IFERROR(__xludf.DUMMYFUNCTION("IF(ISBLANK(A50),"""",GOOGLETRANSLATE(A50,""en"",""es""))"),"")</f>
        <v/>
      </c>
    </row>
    <row r="51">
      <c r="B51" s="12" t="str">
        <f>IFERROR(__xludf.DUMMYFUNCTION("IF(ISBLANK(A51),"""",GOOGLETRANSLATE(A51,""en"",""es""))"),"")</f>
        <v/>
      </c>
    </row>
    <row r="52">
      <c r="A52" s="10" t="s">
        <v>124</v>
      </c>
      <c r="B52" s="12" t="str">
        <f>IFERROR(__xludf.DUMMYFUNCTION("IF(ISBLANK(A52),"""",GOOGLETRANSLATE(A52,""en"",""es""))"),"La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53">
      <c r="B53" s="12" t="str">
        <f>IFERROR(__xludf.DUMMYFUNCTION("IF(ISBLANK(A53),"""",GOOGLETRANSLATE(A53,""en"",""es""))"),"")</f>
        <v/>
      </c>
    </row>
    <row r="54">
      <c r="B54" s="12" t="str">
        <f>IFERROR(__xludf.DUMMYFUNCTION("IF(ISBLANK(A54),"""",GOOGLETRANSLATE(A54,""en"",""es""))"),"")</f>
        <v/>
      </c>
    </row>
    <row r="55">
      <c r="B55" s="12" t="str">
        <f>IFERROR(__xludf.DUMMYFUNCTION("IF(ISBLANK(A55),"""",GOOGLETRANSLATE(A55,""en"",""es""))"),"")</f>
        <v/>
      </c>
    </row>
    <row r="56">
      <c r="A56" s="10" t="s">
        <v>125</v>
      </c>
      <c r="B56" s="12" t="str">
        <f>IFERROR(__xludf.DUMMYFUNCTION("IF(ISBLANK(A56),"""",GOOGLETRANSLATE(A56,""en"",""es""))"),"El verdadero coste de los sistemas desconectados en la venta minorista de automóviles")</f>
        <v>El verdadero coste de los sistemas desconectados en la venta minorista de automóviles</v>
      </c>
    </row>
    <row r="57">
      <c r="B57" s="12" t="str">
        <f>IFERROR(__xludf.DUMMYFUNCTION("IF(ISBLANK(A57),"""",GOOGLETRANSLATE(A57,""en"",""es""))"),"")</f>
        <v/>
      </c>
    </row>
    <row r="58">
      <c r="B58" s="12" t="str">
        <f>IFERROR(__xludf.DUMMYFUNCTION("IF(ISBLANK(A58),"""",GOOGLETRANSLATE(A58,""en"",""es""))"),"")</f>
        <v/>
      </c>
    </row>
    <row r="59">
      <c r="B59" s="12" t="str">
        <f>IFERROR(__xludf.DUMMYFUNCTION("IF(ISBLANK(A59),"""",GOOGLETRANSLATE(A59,""en"",""es""))"),"")</f>
        <v/>
      </c>
    </row>
    <row r="60">
      <c r="A60" s="10" t="s">
        <v>126</v>
      </c>
      <c r="B60" s="12" t="str">
        <f>IFERROR(__xludf.DUMMYFUNCTION("IF(ISBLANK(A60),"""",GOOGLETRANSLATE(A60,""en"",""es""))"),"Las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61">
      <c r="B61" s="12" t="str">
        <f>IFERROR(__xludf.DUMMYFUNCTION("IF(ISBLANK(A61),"""",GOOGLETRANSLATE(A61,""en"",""es""))"),"")</f>
        <v/>
      </c>
    </row>
    <row r="62">
      <c r="B62" s="12" t="str">
        <f>IFERROR(__xludf.DUMMYFUNCTION("IF(ISBLANK(A62),"""",GOOGLETRANSLATE(A62,""en"",""es""))"),"")</f>
        <v/>
      </c>
    </row>
    <row r="63">
      <c r="B63" s="12" t="str">
        <f>IFERROR(__xludf.DUMMYFUNCTION("IF(ISBLANK(A63),"""",GOOGLETRANSLATE(A63,""en"",""es""))"),"")</f>
        <v/>
      </c>
    </row>
    <row r="64">
      <c r="A64" s="10" t="s">
        <v>127</v>
      </c>
      <c r="B64" s="12" t="str">
        <f>IFERROR(__xludf.DUMMYFUNCTION("IF(ISBLANK(A64),"""",GOOGLETRANSLATE(A64,""en"",""es""))"),"Lucha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65">
      <c r="B65" s="12" t="str">
        <f>IFERROR(__xludf.DUMMYFUNCTION("IF(ISBLANK(A65),"""",GOOGLETRANSLATE(A65,""en"",""es""))"),"")</f>
        <v/>
      </c>
    </row>
    <row r="66">
      <c r="B66" s="12" t="str">
        <f>IFERROR(__xludf.DUMMYFUNCTION("IF(ISBLANK(A66),"""",GOOGLETRANSLATE(A66,""en"",""es""))"),"")</f>
        <v/>
      </c>
    </row>
    <row r="67">
      <c r="B67" s="12" t="str">
        <f>IFERROR(__xludf.DUMMYFUNCTION("IF(ISBLANK(A67),"""",GOOGLETRANSLATE(A67,""en"",""es""))"),"")</f>
        <v/>
      </c>
    </row>
    <row r="68">
      <c r="A68" s="10" t="s">
        <v>796</v>
      </c>
      <c r="B68" s="12" t="str">
        <f>IFERROR(__xludf.DUMMYFUNCTION("IF(ISBLANK(A68),"""",GOOGLETRANSLATE(A68,""en"",""es""))"),"Ver más")</f>
        <v>Ver más</v>
      </c>
    </row>
    <row r="69">
      <c r="A69" s="10" t="s">
        <v>113</v>
      </c>
      <c r="B69" s="12" t="str">
        <f>IFERROR(__xludf.DUMMYFUNCTION("IF(ISBLANK(A69),"""",GOOGLETRANSLATE(A69,""en"",""es""))"),"Haydock Financial encuentra el éxito con el mercado de NETSOL.")</f>
        <v>Haydock Financial encuentra el éxito con el mercado de NETSOL.</v>
      </c>
    </row>
    <row r="70">
      <c r="A70" s="10" t="s">
        <v>303</v>
      </c>
      <c r="B70" s="12" t="str">
        <f>IFERROR(__xludf.DUMMYFUNCTION("IF(ISBLANK(A70),"""",GOOGLETRANSLATE(A70,""en"",""es""))"),"""Recomendaría sin duda tanto Appex Now como NETSOL. Los productos son excelentes. Funcionan de maravilla. Y NETSOL ha respondido a nuestras necesidades con rapidez. Realizaron cualquier cambio que les solicitamos con celeridad.""")</f>
        <v>"Recomendaría sin duda tanto Appex Now como NETSOL. Los productos son excelentes. Funcionan de maravilla. Y NETSOL ha respondido a nuestras necesidades con rapidez. Realizaron cualquier cambio que les solicitamos con celeridad."</v>
      </c>
    </row>
    <row r="71">
      <c r="A71" s="10" t="s">
        <v>797</v>
      </c>
      <c r="B71" s="12" t="str">
        <f>IFERROR(__xludf.DUMMYFUNCTION("IF(ISBLANK(A71),"""",GOOGLETRANSLATE(A71,""en"",""es""))"),"Mike Boyes")</f>
        <v>Mike Boyes</v>
      </c>
    </row>
    <row r="72">
      <c r="A72" s="10" t="s">
        <v>798</v>
      </c>
      <c r="B72" s="12" t="str">
        <f>IFERROR(__xludf.DUMMYFUNCTION("IF(ISBLANK(A72),"""",GOOGLETRANSLATE(A72,""en"",""es""))"),"Responsable de proveedores, Haydock Finance")</f>
        <v>Responsable de proveedores, Haydock Finance</v>
      </c>
    </row>
    <row r="73">
      <c r="A73" s="10" t="s">
        <v>130</v>
      </c>
      <c r="B73" s="12" t="str">
        <f>IFERROR(__xludf.DUMMYFUNCTION("IF(ISBLANK(A73),"""",GOOGLETRANSLATE(A73,""en"",""es""))"),"Suscríbase a nuestro boletín para recibir las últimas noticias en su correo electrónico.")</f>
        <v>Suscríbase a nuestro boletín para recibir las últimas noticias en su correo electrónico.</v>
      </c>
    </row>
    <row r="74">
      <c r="A74" s="10" t="s">
        <v>131</v>
      </c>
      <c r="B74" s="12" t="str">
        <f>IFERROR(__xludf.DUMMYFUNCTION("IF(ISBLANK(A74),"""",GOOGLETRANSLATE(A74,""en"",""es""))"),"abc@example.com")</f>
        <v>abc@example.com</v>
      </c>
    </row>
    <row r="75">
      <c r="A75" s="10" t="s">
        <v>132</v>
      </c>
      <c r="B75" s="12" t="str">
        <f>IFERROR(__xludf.DUMMYFUNCTION("IF(ISBLANK(A75),"""",GOOGLETRANSLATE(A75,""en"",""es""))"),"Suscríbete")</f>
        <v>Suscríbete</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0"/>
  </cols>
  <sheetData>
    <row r="1">
      <c r="A1" s="3" t="s">
        <v>0</v>
      </c>
      <c r="B1" s="3" t="s">
        <v>133</v>
      </c>
    </row>
    <row r="2">
      <c r="A2" s="10" t="s">
        <v>799</v>
      </c>
      <c r="B2" s="12" t="str">
        <f>IFERROR(__xludf.DUMMYFUNCTION("IF(ISBLANK(A2),"""",GOOGLETRANSLATE(A2,""en"",""es""))"),"Junta Directiva")</f>
        <v>Junta Directiva</v>
      </c>
    </row>
    <row r="3">
      <c r="B3" s="12" t="str">
        <f>IFERROR(__xludf.DUMMYFUNCTION("IF(ISBLANK(A3),"""",GOOGLETRANSLATE(A3,""en"",""es""))"),"")</f>
        <v/>
      </c>
    </row>
    <row r="4">
      <c r="A4" s="10" t="s">
        <v>800</v>
      </c>
      <c r="B4" s="12" t="str">
        <f>IFERROR(__xludf.DUMMYFUNCTION("IF(ISBLANK(A4),"""",GOOGLETRANSLATE(A4,""en"",""es""))"),"Gobernanza visionaria basada en la experiencia del mundo real")</f>
        <v>Gobernanza visionaria basada en la experiencia del mundo real</v>
      </c>
    </row>
    <row r="5">
      <c r="A5" s="10" t="s">
        <v>801</v>
      </c>
      <c r="B5" s="12" t="str">
        <f>IFERROR(__xludf.DUMMYFUNCTION("IF(ISBLANK(A5),"""",GOOGLETRANSLATE(A5,""en"",""es""))"),"Najeeb Ghauri")</f>
        <v>Najeeb Ghauri</v>
      </c>
    </row>
    <row r="6">
      <c r="A6" s="10" t="s">
        <v>802</v>
      </c>
      <c r="B6" s="12" t="str">
        <f>IFERROR(__xludf.DUMMYFUNCTION("IF(ISBLANK(A6),"""",GOOGLETRANSLATE(A6,""en"",""es""))"),"Director, Consejero Delegado y Presidente del Consejo de Administración de NetSol Technologies, Inc.")</f>
        <v>Director, Consejero Delegado y Presidente del Consejo de Administración de NetSol Technologies, Inc.</v>
      </c>
    </row>
    <row r="7">
      <c r="A7" s="10" t="s">
        <v>803</v>
      </c>
      <c r="B7" s="12" t="str">
        <f>IFERROR(__xludf.DUMMYFUNCTION("IF(ISBLANK(A7),"""",GOOGLETRANSLATE(A7,""en"",""es""))"),"Ver perfil")</f>
        <v>Ver perfil</v>
      </c>
    </row>
    <row r="8">
      <c r="A8" s="10" t="s">
        <v>804</v>
      </c>
      <c r="B8" s="12" t="str">
        <f>IFERROR(__xludf.DUMMYFUNCTION("IF(ISBLANK(A8),"""",GOOGLETRANSLATE(A8,""en"",""es""))"),"Syed Kausar Kazmi")</f>
        <v>Syed Kausar Kazmi</v>
      </c>
    </row>
    <row r="9">
      <c r="A9" s="10" t="s">
        <v>805</v>
      </c>
      <c r="B9" s="12" t="str">
        <f>IFERROR(__xludf.DUMMYFUNCTION("IF(ISBLANK(A9),"""",GOOGLETRANSLATE(A9,""en"",""es""))"),"Director de Banca Comercial y Desarrollo de Negocios, Habib Bank Zurich PLC, Reino Unido")</f>
        <v>Director de Banca Comercial y Desarrollo de Negocios, Habib Bank Zurich PLC, Reino Unido</v>
      </c>
    </row>
    <row r="10">
      <c r="B10" s="12" t="str">
        <f>IFERROR(__xludf.DUMMYFUNCTION("IF(ISBLANK(A10),"""",GOOGLETRANSLATE(A10,""en"",""es""))"),"")</f>
        <v/>
      </c>
    </row>
    <row r="11">
      <c r="A11" s="10" t="s">
        <v>806</v>
      </c>
      <c r="B11" s="12" t="str">
        <f>IFERROR(__xludf.DUMMYFUNCTION("IF(ISBLANK(A11),"""",GOOGLETRANSLATE(A11,""en"",""es""))"),"Mark Caton")</f>
        <v>Mark Caton</v>
      </c>
    </row>
    <row r="12">
      <c r="A12" s="10" t="s">
        <v>807</v>
      </c>
      <c r="B12" s="12" t="str">
        <f>IFERROR(__xludf.DUMMYFUNCTION("IF(ISBLANK(A12),"""",GOOGLETRANSLATE(A12,""en"",""es""))"),"Director y presidente de Centela Capital, Inc.")</f>
        <v>Director y presidente de Centela Capital, Inc.</v>
      </c>
    </row>
    <row r="13">
      <c r="B13" s="12" t="str">
        <f>IFERROR(__xludf.DUMMYFUNCTION("IF(ISBLANK(A13),"""",GOOGLETRANSLATE(A13,""en"",""es""))"),"")</f>
        <v/>
      </c>
    </row>
    <row r="14">
      <c r="A14" s="10" t="s">
        <v>808</v>
      </c>
      <c r="B14" s="12" t="str">
        <f>IFERROR(__xludf.DUMMYFUNCTION("IF(ISBLANK(A14),"""",GOOGLETRANSLATE(A14,""en"",""es""))"),"Ian Smith")</f>
        <v>Ian Smith</v>
      </c>
    </row>
    <row r="15">
      <c r="A15" s="10" t="s">
        <v>809</v>
      </c>
      <c r="B15" s="12" t="str">
        <f>IFERROR(__xludf.DUMMYFUNCTION("IF(ISBLANK(A15),"""",GOOGLETRANSLATE(A15,""en"",""es""))"),"Presidente, MIP, Inc.")</f>
        <v>Presidente, MIP, Inc.</v>
      </c>
    </row>
    <row r="16">
      <c r="B16" s="12" t="str">
        <f>IFERROR(__xludf.DUMMYFUNCTION("IF(ISBLANK(A16),"""",GOOGLETRANSLATE(A16,""en"",""es""))"),"")</f>
        <v/>
      </c>
    </row>
    <row r="17">
      <c r="A17" s="10" t="s">
        <v>810</v>
      </c>
      <c r="B17" s="12" t="str">
        <f>IFERROR(__xludf.DUMMYFUNCTION("IF(ISBLANK(A17),"""",GOOGLETRANSLATE(A17,""en"",""es""))"),"Malea Farsai")</f>
        <v>Malea Farsai</v>
      </c>
    </row>
    <row r="18">
      <c r="A18" s="10" t="s">
        <v>811</v>
      </c>
      <c r="B18" s="12" t="str">
        <f>IFERROR(__xludf.DUMMYFUNCTION("IF(ISBLANK(A18),"""",GOOGLETRANSLATE(A18,""en"",""es""))"),"Asesoría Jurídica Corporativa, NetSol Technologies, Inc.")</f>
        <v>Asesoría Jurídica Corporativa, NetSol Technologies, Inc.</v>
      </c>
    </row>
    <row r="19">
      <c r="B19" s="12" t="str">
        <f>IFERROR(__xludf.DUMMYFUNCTION("IF(ISBLANK(A19),"""",GOOGLETRANSLATE(A19,""en"",""es""))"),"")</f>
        <v/>
      </c>
    </row>
    <row r="20">
      <c r="A20" s="10" t="s">
        <v>130</v>
      </c>
      <c r="B20" s="12" t="str">
        <f>IFERROR(__xludf.DUMMYFUNCTION("IF(ISBLANK(A20),"""",GOOGLETRANSLATE(A20,""en"",""es""))"),"Suscríbase a nuestro boletín para recibir las últimas noticias en su correo electrónico.")</f>
        <v>Suscríbase a nuestro boletín para recibir las últimas noticias en su correo electrónico.</v>
      </c>
    </row>
    <row r="21">
      <c r="A21" s="10" t="s">
        <v>131</v>
      </c>
      <c r="B21" s="12" t="str">
        <f>IFERROR(__xludf.DUMMYFUNCTION("IF(ISBLANK(A21),"""",GOOGLETRANSLATE(A21,""en"",""es""))"),"abc@example.com")</f>
        <v>abc@example.com</v>
      </c>
    </row>
    <row r="22">
      <c r="A22" s="10" t="s">
        <v>132</v>
      </c>
      <c r="B22" s="12" t="str">
        <f>IFERROR(__xludf.DUMMYFUNCTION("IF(ISBLANK(A22),"""",GOOGLETRANSLATE(A22,""en"",""es""))"),"Suscríbete")</f>
        <v>Suscríbete</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25"/>
  </cols>
  <sheetData>
    <row r="1">
      <c r="A1" s="3" t="s">
        <v>0</v>
      </c>
      <c r="B1" s="3" t="s">
        <v>133</v>
      </c>
    </row>
    <row r="2">
      <c r="A2" s="10" t="s">
        <v>176</v>
      </c>
      <c r="B2" s="12" t="str">
        <f>IFERROR(__xludf.DUMMYFUNCTION("IF(ISBLANK(A2),"""",GOOGLETRANSLATE(A2,""en"",""es""))"),"Equipo directivo")</f>
        <v>Equipo directivo</v>
      </c>
    </row>
    <row r="3">
      <c r="B3" s="12" t="str">
        <f>IFERROR(__xludf.DUMMYFUNCTION("IF(ISBLANK(A3),"""",GOOGLETRANSLATE(A3,""en"",""es""))"),"")</f>
        <v/>
      </c>
    </row>
    <row r="4">
      <c r="A4" s="10" t="s">
        <v>812</v>
      </c>
      <c r="B4" s="12" t="str">
        <f>IFERROR(__xludf.DUMMYFUNCTION("IF(ISBLANK(A4),"""",GOOGLETRANSLATE(A4,""en"",""es""))"),"Combinando décadas de experiencia global en tecnología, finanzas y operaciones para impulsar el crecimiento y la innovación.")</f>
        <v>Combinando décadas de experiencia global en tecnología, finanzas y operaciones para impulsar el crecimiento y la innovación.</v>
      </c>
    </row>
    <row r="5">
      <c r="A5" s="10" t="s">
        <v>801</v>
      </c>
      <c r="B5" s="12" t="str">
        <f>IFERROR(__xludf.DUMMYFUNCTION("IF(ISBLANK(A5),"""",GOOGLETRANSLATE(A5,""en"",""es""))"),"Najeeb Ghauri")</f>
        <v>Najeeb Ghauri</v>
      </c>
    </row>
    <row r="6">
      <c r="A6" s="10" t="s">
        <v>813</v>
      </c>
      <c r="B6" s="12" t="str">
        <f>IFERROR(__xludf.DUMMYFUNCTION("IF(ISBLANK(A6),"""",GOOGLETRANSLATE(A6,""en"",""es""))"),"Fundador, Presidente y")</f>
        <v>Fundador, Presidente y</v>
      </c>
    </row>
    <row r="7">
      <c r="A7" s="10" t="s">
        <v>814</v>
      </c>
      <c r="B7" s="12" t="str">
        <f>IFERROR(__xludf.DUMMYFUNCTION("IF(ISBLANK(A7),"""",GOOGLETRANSLATE(A7,""en"",""es""))"),"Director ejecutivo,")</f>
        <v>Director ejecutivo,</v>
      </c>
    </row>
    <row r="8">
      <c r="A8" s="10" t="s">
        <v>815</v>
      </c>
      <c r="B8" s="12" t="str">
        <f>IFERROR(__xludf.DUMMYFUNCTION("IF(ISBLANK(A8),"""",GOOGLETRANSLATE(A8,""en"",""es""))"),"Tecnologías NETSOL, Inc.")</f>
        <v>Tecnologías NETSOL, Inc.</v>
      </c>
    </row>
    <row r="9">
      <c r="A9" s="10" t="s">
        <v>803</v>
      </c>
      <c r="B9" s="12" t="str">
        <f>IFERROR(__xludf.DUMMYFUNCTION("IF(ISBLANK(A9),"""",GOOGLETRANSLATE(A9,""en"",""es""))"),"Ver perfil")</f>
        <v>Ver perfil</v>
      </c>
    </row>
    <row r="10">
      <c r="A10" s="10" t="s">
        <v>816</v>
      </c>
      <c r="B10" s="12" t="str">
        <f>IFERROR(__xludf.DUMMYFUNCTION("IF(ISBLANK(A10),"""",GOOGLETRANSLATE(A10,""en"",""es""))"),"Naeem Ghauri")</f>
        <v>Naeem Ghauri</v>
      </c>
    </row>
    <row r="11">
      <c r="A11" s="10" t="s">
        <v>817</v>
      </c>
      <c r="B11" s="12" t="str">
        <f>IFERROR(__xludf.DUMMYFUNCTION("IF(ISBLANK(A11),"""",GOOGLETRANSLATE(A11,""en"",""es""))"),"Fundador y Presidente de")</f>
        <v>Fundador y Presidente de</v>
      </c>
    </row>
    <row r="12">
      <c r="A12" s="10" t="s">
        <v>815</v>
      </c>
      <c r="B12" s="12" t="str">
        <f>IFERROR(__xludf.DUMMYFUNCTION("IF(ISBLANK(A12),"""",GOOGLETRANSLATE(A12,""en"",""es""))"),"Tecnologías NETSOL, Inc.")</f>
        <v>Tecnologías NETSOL, Inc.</v>
      </c>
    </row>
    <row r="13">
      <c r="B13" s="12" t="str">
        <f>IFERROR(__xludf.DUMMYFUNCTION("IF(ISBLANK(A13),"""",GOOGLETRANSLATE(A13,""en"",""es""))"),"")</f>
        <v/>
      </c>
    </row>
    <row r="14">
      <c r="A14" s="10" t="s">
        <v>818</v>
      </c>
      <c r="B14" s="12" t="str">
        <f>IFERROR(__xludf.DUMMYFUNCTION("IF(ISBLANK(A14),"""",GOOGLETRANSLATE(A14,""en"",""es""))"),"Salim Ghauri")</f>
        <v>Salim Ghauri</v>
      </c>
    </row>
    <row r="15">
      <c r="A15" s="10" t="s">
        <v>819</v>
      </c>
      <c r="B15" s="12" t="str">
        <f>IFERROR(__xludf.DUMMYFUNCTION("IF(ISBLANK(A15),"""",GOOGLETRANSLATE(A15,""en"",""es""))"),"Fundador y Director Ejecutivo de NETSOL Technologies, LLC (Pakistán)")</f>
        <v>Fundador y Director Ejecutivo de NETSOL Technologies, LLC (Pakistán)</v>
      </c>
    </row>
    <row r="16">
      <c r="B16" s="12" t="str">
        <f>IFERROR(__xludf.DUMMYFUNCTION("IF(ISBLANK(A16),"""",GOOGLETRANSLATE(A16,""en"",""es""))"),"")</f>
        <v/>
      </c>
    </row>
    <row r="17">
      <c r="A17" s="10" t="s">
        <v>820</v>
      </c>
      <c r="B17" s="12" t="str">
        <f>IFERROR(__xludf.DUMMYFUNCTION("IF(ISBLANK(A17),"""",GOOGLETRANSLATE(A17,""en"",""es""))"),"Peter Minshall")</f>
        <v>Peter Minshall</v>
      </c>
    </row>
    <row r="18">
      <c r="A18" s="10" t="s">
        <v>821</v>
      </c>
      <c r="B18" s="12" t="str">
        <f>IFERROR(__xludf.DUMMYFUNCTION("IF(ISBLANK(A18),"""",GOOGLETRANSLATE(A18,""en"",""es""))"),"Vicepresidente ejecutivo")</f>
        <v>Vicepresidente ejecutivo</v>
      </c>
    </row>
    <row r="19">
      <c r="A19" s="10" t="s">
        <v>822</v>
      </c>
      <c r="B19" s="12" t="str">
        <f>IFERROR(__xludf.DUMMYFUNCTION("IF(ISBLANK(A19),"""",GOOGLETRANSLATE(A19,""en"",""es""))"),"Tecnologías NETSOL,")</f>
        <v>Tecnologías NETSOL,</v>
      </c>
    </row>
    <row r="20">
      <c r="A20" s="10" t="s">
        <v>823</v>
      </c>
      <c r="B20" s="12" t="str">
        <f>IFERROR(__xludf.DUMMYFUNCTION("IF(ISBLANK(A20),"""",GOOGLETRANSLATE(A20,""en"",""es""))"),"América del norte")</f>
        <v>América del norte</v>
      </c>
    </row>
    <row r="21">
      <c r="B21" s="12" t="str">
        <f>IFERROR(__xludf.DUMMYFUNCTION("IF(ISBLANK(A21),"""",GOOGLETRANSLATE(A21,""en"",""es""))"),"")</f>
        <v/>
      </c>
    </row>
    <row r="22">
      <c r="A22" s="10" t="s">
        <v>824</v>
      </c>
      <c r="B22" s="12" t="str">
        <f>IFERROR(__xludf.DUMMYFUNCTION("IF(ISBLANK(A22),"""",GOOGLETRANSLATE(A22,""en"",""es""))"),"Patti McGlasson")</f>
        <v>Patti McGlasson</v>
      </c>
    </row>
    <row r="23">
      <c r="A23" s="10" t="s">
        <v>825</v>
      </c>
      <c r="B23" s="12" t="str">
        <f>IFERROR(__xludf.DUMMYFUNCTION("IF(ISBLANK(A23),"""",GOOGLETRANSLATE(A23,""en"",""es""))"),"Vicepresidente sénior de Asuntos Legales y Corporativos, Asesor Jurídico General y Secretario Corporativo, NETSOL Technologies Inc.")</f>
        <v>Vicepresidente sénior de Asuntos Legales y Corporativos, Asesor Jurídico General y Secretario Corporativo, NETSOL Technologies Inc.</v>
      </c>
    </row>
    <row r="24">
      <c r="B24" s="12" t="str">
        <f>IFERROR(__xludf.DUMMYFUNCTION("IF(ISBLANK(A24),"""",GOOGLETRANSLATE(A24,""en"",""es""))"),"")</f>
        <v/>
      </c>
    </row>
    <row r="25">
      <c r="A25" s="10" t="s">
        <v>826</v>
      </c>
      <c r="B25" s="12" t="str">
        <f>IFERROR(__xludf.DUMMYFUNCTION("IF(ISBLANK(A25),"""",GOOGLETRANSLATE(A25,""en"",""es""))"),"Roger Almond")</f>
        <v>Roger Almond</v>
      </c>
    </row>
    <row r="26">
      <c r="A26" s="10" t="s">
        <v>827</v>
      </c>
      <c r="B26" s="12" t="str">
        <f>IFERROR(__xludf.DUMMYFUNCTION("IF(ISBLANK(A26),"""",GOOGLETRANSLATE(A26,""en"",""es""))"),"Director financiero, NETSOL Technologies, Inc.")</f>
        <v>Director financiero, NETSOL Technologies, Inc.</v>
      </c>
    </row>
    <row r="27">
      <c r="B27" s="12" t="str">
        <f>IFERROR(__xludf.DUMMYFUNCTION("IF(ISBLANK(A27),"""",GOOGLETRANSLATE(A27,""en"",""es""))"),"")</f>
        <v/>
      </c>
    </row>
    <row r="28">
      <c r="A28" s="10" t="s">
        <v>828</v>
      </c>
      <c r="B28" s="12" t="str">
        <f>IFERROR(__xludf.DUMMYFUNCTION("IF(ISBLANK(A28),"""",GOOGLETRANSLATE(A28,""en"",""es""))"),"Erik Wagner")</f>
        <v>Erik Wagner</v>
      </c>
    </row>
    <row r="29">
      <c r="A29" s="10" t="s">
        <v>829</v>
      </c>
      <c r="B29" s="12" t="str">
        <f>IFERROR(__xludf.DUMMYFUNCTION("IF(ISBLANK(A29),"""",GOOGLETRANSLATE(A29,""en"",""es""))"),"Director de Marketing, NETSOL Technologies, Inc.")</f>
        <v>Director de Marketing, NETSOL Technologies, Inc.</v>
      </c>
    </row>
    <row r="30">
      <c r="B30" s="12" t="str">
        <f>IFERROR(__xludf.DUMMYFUNCTION("IF(ISBLANK(A30),"""",GOOGLETRANSLATE(A30,""en"",""es""))"),"")</f>
        <v/>
      </c>
    </row>
    <row r="31">
      <c r="A31" s="10" t="s">
        <v>830</v>
      </c>
      <c r="B31" s="12" t="str">
        <f>IFERROR(__xludf.DUMMYFUNCTION("IF(ISBLANK(A31),"""",GOOGLETRANSLATE(A31,""en"",""es""))"),"Farooq Ghauri")</f>
        <v>Farooq Ghauri</v>
      </c>
    </row>
    <row r="32">
      <c r="A32" s="10" t="s">
        <v>831</v>
      </c>
      <c r="B32" s="12" t="str">
        <f>IFERROR(__xludf.DUMMYFUNCTION("IF(ISBLANK(A32),"""",GOOGLETRANSLATE(A32,""en"",""es""))"),"Director de NETSOL Technologies para Asia-Pacífico, APAC")</f>
        <v>Director de NETSOL Technologies para Asia-Pacífico, APAC</v>
      </c>
    </row>
    <row r="33">
      <c r="B33" s="12" t="str">
        <f>IFERROR(__xludf.DUMMYFUNCTION("IF(ISBLANK(A33),"""",GOOGLETRANSLATE(A33,""en"",""es""))"),"")</f>
        <v/>
      </c>
    </row>
    <row r="34">
      <c r="A34" s="10" t="s">
        <v>832</v>
      </c>
      <c r="B34" s="12" t="str">
        <f>IFERROR(__xludf.DUMMYFUNCTION("IF(ISBLANK(A34),"""",GOOGLETRANSLATE(A34,""en"",""es""))"),"Asad Ghauri")</f>
        <v>Asad Ghauri</v>
      </c>
    </row>
    <row r="35">
      <c r="A35" s="10" t="s">
        <v>833</v>
      </c>
      <c r="B35" s="12" t="str">
        <f>IFERROR(__xludf.DUMMYFUNCTION("IF(ISBLANK(A35),"""",GOOGLETRANSLATE(A35,""en"",""es""))"),"Director Global de Ventas y Director General, NETSOL Technologies, Inc.")</f>
        <v>Director Global de Ventas y Director General, NETSOL Technologies, Inc.</v>
      </c>
    </row>
    <row r="36">
      <c r="B36" s="12" t="str">
        <f>IFERROR(__xludf.DUMMYFUNCTION("IF(ISBLANK(A36),"""",GOOGLETRANSLATE(A36,""en"",""es""))"),"")</f>
        <v/>
      </c>
    </row>
    <row r="37">
      <c r="A37" s="10" t="s">
        <v>834</v>
      </c>
      <c r="B37" s="12" t="str">
        <f>IFERROR(__xludf.DUMMYFUNCTION("IF(ISBLANK(A37),"""",GOOGLETRANSLATE(A37,""en"",""es""))"),"Umar Qadri")</f>
        <v>Umar Qadri</v>
      </c>
    </row>
    <row r="38">
      <c r="A38" s="10" t="s">
        <v>835</v>
      </c>
      <c r="B38" s="12" t="str">
        <f>IFERROR(__xludf.DUMMYFUNCTION("IF(ISBLANK(A38),"""",GOOGLETRANSLATE(A38,""en"",""es""))"),"Subdirector global de ventas, NETSOL Technologies Inc.")</f>
        <v>Subdirector global de ventas, NETSOL Technologies Inc.</v>
      </c>
    </row>
    <row r="39">
      <c r="B39" s="12" t="str">
        <f>IFERROR(__xludf.DUMMYFUNCTION("IF(ISBLANK(A39),"""",GOOGLETRANSLATE(A39,""en"",""es""))"),"")</f>
        <v/>
      </c>
    </row>
    <row r="40">
      <c r="A40" s="10" t="s">
        <v>836</v>
      </c>
      <c r="B40" s="12" t="str">
        <f>IFERROR(__xludf.DUMMYFUNCTION("IF(ISBLANK(A40),"""",GOOGLETRANSLATE(A40,""en"",""es""))"),"Faizaan Ghauri")</f>
        <v>Faizaan Ghauri</v>
      </c>
    </row>
    <row r="41">
      <c r="A41" s="10" t="s">
        <v>837</v>
      </c>
      <c r="B41" s="12" t="str">
        <f>IFERROR(__xludf.DUMMYFUNCTION("IF(ISBLANK(A41),"""",GOOGLETRANSLATE(A41,""en"",""es""))"),"Director de Estrategia, NETSOL Technologies, Inc.")</f>
        <v>Director de Estrategia, NETSOL Technologies, Inc.</v>
      </c>
    </row>
    <row r="42">
      <c r="B42" s="12" t="str">
        <f>IFERROR(__xludf.DUMMYFUNCTION("IF(ISBLANK(A42),"""",GOOGLETRANSLATE(A42,""en"",""es""))"),"")</f>
        <v/>
      </c>
    </row>
    <row r="43">
      <c r="A43" s="10" t="s">
        <v>838</v>
      </c>
      <c r="B43" s="12" t="str">
        <f>IFERROR(__xludf.DUMMYFUNCTION("IF(ISBLANK(A43),"""",GOOGLETRANSLATE(A43,""en"",""es""))"),"Amanda Li Linjie")</f>
        <v>Amanda Li Linjie</v>
      </c>
    </row>
    <row r="44">
      <c r="A44" s="10" t="s">
        <v>839</v>
      </c>
      <c r="B44" s="12" t="str">
        <f>IFERROR(__xludf.DUMMYFUNCTION("IF(ISBLANK(A44),"""",GOOGLETRANSLATE(A44,""en"",""es""))"),"Presidente de NETSOL Technologies, China.")</f>
        <v>Presidente de NETSOL Technologies, China.</v>
      </c>
    </row>
    <row r="45">
      <c r="B45" s="12" t="str">
        <f>IFERROR(__xludf.DUMMYFUNCTION("IF(ISBLANK(A45),"""",GOOGLETRANSLATE(A45,""en"",""es""))"),"")</f>
        <v/>
      </c>
    </row>
    <row r="46">
      <c r="A46" s="10" t="s">
        <v>840</v>
      </c>
      <c r="B46" s="12" t="str">
        <f>IFERROR(__xludf.DUMMYFUNCTION("IF(ISBLANK(A46),"""",GOOGLETRANSLATE(A46,""en"",""es""))"),"Khurram S. Rana")</f>
        <v>Khurram S. Rana</v>
      </c>
    </row>
    <row r="47">
      <c r="A47" s="10" t="s">
        <v>841</v>
      </c>
      <c r="B47" s="12" t="str">
        <f>IFERROR(__xludf.DUMMYFUNCTION("IF(ISBLANK(A47),"""",GOOGLETRANSLATE(A47,""en"",""es""))"),"Director Global de Recursos Humanos - NETSOL Technologies Inc.")</f>
        <v>Director Global de Recursos Humanos - NETSOL Technologies Inc.</v>
      </c>
    </row>
    <row r="48">
      <c r="B48" s="12" t="str">
        <f>IFERROR(__xludf.DUMMYFUNCTION("IF(ISBLANK(A48),"""",GOOGLETRANSLATE(A48,""en"",""es""))"),"")</f>
        <v/>
      </c>
    </row>
    <row r="49">
      <c r="A49" s="10" t="s">
        <v>842</v>
      </c>
      <c r="B49" s="12" t="str">
        <f>IFERROR(__xludf.DUMMYFUNCTION("IF(ISBLANK(A49),"""",GOOGLETRANSLATE(A49,""en"",""es""))"),"Kamran Khalid")</f>
        <v>Kamran Khalid</v>
      </c>
    </row>
    <row r="50">
      <c r="A50" s="10" t="s">
        <v>843</v>
      </c>
      <c r="B50" s="12" t="str">
        <f>IFERROR(__xludf.DUMMYFUNCTION("IF(ISBLANK(A50),"""",GOOGLETRANSLATE(A50,""en"",""es""))"),"Director de Producto y Entrega, NETSOL Technology, Inc.")</f>
        <v>Director de Producto y Entrega, NETSOL Technology, Inc.</v>
      </c>
    </row>
    <row r="51">
      <c r="B51" s="12" t="str">
        <f>IFERROR(__xludf.DUMMYFUNCTION("IF(ISBLANK(A51),"""",GOOGLETRANSLATE(A51,""en"",""es""))"),"")</f>
        <v/>
      </c>
    </row>
    <row r="52">
      <c r="A52" s="10" t="s">
        <v>844</v>
      </c>
      <c r="B52" s="12" t="str">
        <f>IFERROR(__xludf.DUMMYFUNCTION("IF(ISBLANK(A52),"""",GOOGLETRANSLATE(A52,""en"",""es""))"),"Omar Ghauri")</f>
        <v>Omar Ghauri</v>
      </c>
    </row>
    <row r="53">
      <c r="A53" s="10" t="s">
        <v>845</v>
      </c>
      <c r="B53" s="12" t="str">
        <f>IFERROR(__xludf.DUMMYFUNCTION("IF(ISBLANK(A53),"""",GOOGLETRANSLATE(A53,""en"",""es""))"),"Director, Director de Operaciones, NETSOL Technologies Ltd. Pakistán")</f>
        <v>Director, Director de Operaciones, NETSOL Technologies Ltd. Pakistán</v>
      </c>
    </row>
    <row r="54">
      <c r="B54" s="12" t="str">
        <f>IFERROR(__xludf.DUMMYFUNCTION("IF(ISBLANK(A54),"""",GOOGLETRANSLATE(A54,""en"",""es""))"),"")</f>
        <v/>
      </c>
    </row>
    <row r="55">
      <c r="A55" s="10" t="s">
        <v>130</v>
      </c>
      <c r="B55" s="12" t="str">
        <f>IFERROR(__xludf.DUMMYFUNCTION("IF(ISBLANK(A55),"""",GOOGLETRANSLATE(A55,""en"",""es""))"),"Suscríbase a nuestro boletín para recibir las últimas noticias en su correo electrónico.")</f>
        <v>Suscríbase a nuestro boletín para recibir las últimas noticias en su correo electrónico.</v>
      </c>
    </row>
    <row r="56">
      <c r="A56" s="10" t="s">
        <v>131</v>
      </c>
      <c r="B56" s="12" t="str">
        <f>IFERROR(__xludf.DUMMYFUNCTION("IF(ISBLANK(A56),"""",GOOGLETRANSLATE(A56,""en"",""es""))"),"abc@example.com")</f>
        <v>abc@example.com</v>
      </c>
    </row>
    <row r="57">
      <c r="A57" s="10" t="s">
        <v>132</v>
      </c>
      <c r="B57" s="12" t="str">
        <f>IFERROR(__xludf.DUMMYFUNCTION("IF(ISBLANK(A57),"""",GOOGLETRANSLATE(A57,""en"",""es""))"),"Suscríbete")</f>
        <v>Suscríbete</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0"/>
  </cols>
  <sheetData>
    <row r="1">
      <c r="A1" s="3" t="s">
        <v>0</v>
      </c>
      <c r="B1" s="3" t="s">
        <v>133</v>
      </c>
    </row>
    <row r="2">
      <c r="A2" s="10" t="s">
        <v>846</v>
      </c>
      <c r="B2" s="12" t="str">
        <f>IFERROR(__xludf.DUMMYFUNCTION("IF(ISBLANK(A2),"""",GOOGLETRANSLATE(A2,""en"",""es""))"),"Contacte con el departamento de ventas")</f>
        <v>Contacte con el departamento de ventas</v>
      </c>
    </row>
    <row r="3">
      <c r="A3" s="10" t="s">
        <v>760</v>
      </c>
      <c r="B3" s="12" t="str">
        <f>IFERROR(__xludf.DUMMYFUNCTION("IF(ISBLANK(A3),"""",GOOGLETRANSLATE(A3,""en"",""es""))"),"Conéctate con nosotros")</f>
        <v>Conéctate con nosotros</v>
      </c>
    </row>
    <row r="4">
      <c r="A4" s="10" t="s">
        <v>847</v>
      </c>
      <c r="B4" s="12" t="str">
        <f>IFERROR(__xludf.DUMMYFUNCTION("IF(ISBLANK(A4),"""",GOOGLETRANSLATE(A4,""en"",""es""))"),"Complete el formulario para programar una demostración o para hacer preguntas sobre cómo podemos apoyar sus objetivos comerciales.")</f>
        <v>Complete el formulario para programar una demostración o para hacer preguntas sobre cómo podemos apoyar sus objetivos comerciales.</v>
      </c>
    </row>
    <row r="5">
      <c r="A5" s="10" t="s">
        <v>848</v>
      </c>
      <c r="B5" s="12" t="str">
        <f>IFERROR(__xludf.DUMMYFUNCTION("IF(ISBLANK(A5),"""",GOOGLETRANSLATE(A5,""en"",""es""))"),"¿Te interesa conocer las oportunidades laborales en NETSOL?")</f>
        <v>¿Te interesa conocer las oportunidades laborales en NETSOL?</v>
      </c>
    </row>
    <row r="6">
      <c r="A6" s="10" t="s">
        <v>849</v>
      </c>
      <c r="B6" s="12" t="str">
        <f>IFERROR(__xludf.DUMMYFUNCTION("IF(ISBLANK(A6),"""",GOOGLETRANSLATE(A6,""en"",""es""))"),"No aceptamos solicitudes a través de este formulario. Para solicitar puestos, consulte nuestro portal aquí.")</f>
        <v>No aceptamos solicitudes a través de este formulario. Para solicitar puestos, consulte nuestro portal aquí.</v>
      </c>
    </row>
    <row r="7">
      <c r="A7" s="10" t="s">
        <v>850</v>
      </c>
      <c r="B7" s="12" t="str">
        <f>IFERROR(__xludf.DUMMYFUNCTION("IF(ISBLANK(A7),"""",GOOGLETRANSLATE(A7,""en"",""es""))"),"¡Solicita ahora!")</f>
        <v>¡Solicita ahora!</v>
      </c>
    </row>
    <row r="8">
      <c r="A8" s="10" t="s">
        <v>846</v>
      </c>
      <c r="B8" s="12" t="str">
        <f>IFERROR(__xludf.DUMMYFUNCTION("IF(ISBLANK(A8),"""",GOOGLETRANSLATE(A8,""en"",""es""))"),"Contacte con el departamento de ventas")</f>
        <v>Contacte con el departamento de ventas</v>
      </c>
    </row>
    <row r="9">
      <c r="A9" s="10" t="s">
        <v>851</v>
      </c>
      <c r="B9" s="12" t="str">
        <f>IFERROR(__xludf.DUMMYFUNCTION("IF(ISBLANK(A9),"""",GOOGLETRANSLATE(A9,""en"",""es""))"),"Nombre de pila*")</f>
        <v>Nombre de pila*</v>
      </c>
    </row>
    <row r="10">
      <c r="A10" s="10" t="s">
        <v>852</v>
      </c>
      <c r="B10" s="12" t="str">
        <f>IFERROR(__xludf.DUMMYFUNCTION("IF(ISBLANK(A10),"""",GOOGLETRANSLATE(A10,""en"",""es""))"),"Introduce tu nombre")</f>
        <v>Introduce tu nombre</v>
      </c>
    </row>
    <row r="11">
      <c r="A11" s="10" t="s">
        <v>853</v>
      </c>
      <c r="B11" s="12" t="str">
        <f>IFERROR(__xludf.DUMMYFUNCTION("IF(ISBLANK(A11),"""",GOOGLETRANSLATE(A11,""en"",""es""))"),"Apellido*")</f>
        <v>Apellido*</v>
      </c>
    </row>
    <row r="12">
      <c r="A12" s="10" t="s">
        <v>854</v>
      </c>
      <c r="B12" s="12" t="str">
        <f>IFERROR(__xludf.DUMMYFUNCTION("IF(ISBLANK(A12),"""",GOOGLETRANSLATE(A12,""en"",""es""))"),"Introduce tu apellido")</f>
        <v>Introduce tu apellido</v>
      </c>
    </row>
    <row r="13">
      <c r="A13" s="10" t="s">
        <v>855</v>
      </c>
      <c r="B13" s="12" t="str">
        <f>IFERROR(__xludf.DUMMYFUNCTION("IF(ISBLANK(A13),"""",GOOGLETRANSLATE(A13,""en"",""es""))"),"Dirección de correo electrónico del trabajo*")</f>
        <v>Dirección de correo electrónico del trabajo*</v>
      </c>
    </row>
    <row r="14">
      <c r="A14" s="10" t="s">
        <v>856</v>
      </c>
      <c r="B14" s="12" t="str">
        <f>IFERROR(__xludf.DUMMYFUNCTION("IF(ISBLANK(A14),"""",GOOGLETRANSLATE(A14,""en"",""es""))"),"Introduce tu dirección de correo electrónico del trabajo")</f>
        <v>Introduce tu dirección de correo electrónico del trabajo</v>
      </c>
    </row>
    <row r="15">
      <c r="A15" s="10" t="s">
        <v>857</v>
      </c>
      <c r="B15" s="12" t="str">
        <f>IFERROR(__xludf.DUMMYFUNCTION("IF(ISBLANK(A15),"""",GOOGLETRANSLATE(A15,""en"",""es""))"),"Nombre de empresa*")</f>
        <v>Nombre de empresa*</v>
      </c>
    </row>
    <row r="16">
      <c r="A16" s="10" t="s">
        <v>858</v>
      </c>
      <c r="B16" s="12" t="str">
        <f>IFERROR(__xludf.DUMMYFUNCTION("IF(ISBLANK(A16),"""",GOOGLETRANSLATE(A16,""en"",""es""))"),"Introduzca el nombre de su empresa")</f>
        <v>Introduzca el nombre de su empresa</v>
      </c>
    </row>
    <row r="17">
      <c r="A17" s="10" t="s">
        <v>859</v>
      </c>
      <c r="B17" s="12" t="str">
        <f>IFERROR(__xludf.DUMMYFUNCTION("IF(ISBLANK(A17),"""",GOOGLETRANSLATE(A17,""en"",""es""))"),"País*")</f>
        <v>País*</v>
      </c>
    </row>
    <row r="18">
      <c r="A18" s="10" t="s">
        <v>860</v>
      </c>
      <c r="B18" s="12" t="str">
        <f>IFERROR(__xludf.DUMMYFUNCTION("IF(ISBLANK(A18),"""",GOOGLETRANSLATE(A18,""en"",""es""))"),"Seleccione un país")</f>
        <v>Seleccione un país</v>
      </c>
    </row>
    <row r="19">
      <c r="A19" s="10" t="s">
        <v>861</v>
      </c>
      <c r="B19" s="12" t="str">
        <f>IFERROR(__xludf.DUMMYFUNCTION("IF(ISBLANK(A19),"""",GOOGLETRANSLATE(A19,""en"",""es""))"),"¿Cómo podemos ayudarle?*")</f>
        <v>¿Cómo podemos ayudarle?*</v>
      </c>
    </row>
    <row r="20">
      <c r="A20" s="10" t="s">
        <v>862</v>
      </c>
      <c r="B20" s="12" t="str">
        <f>IFERROR(__xludf.DUMMYFUNCTION("IF(ISBLANK(A20),"""",GOOGLETRANSLATE(A20,""en"",""es""))"),"¿Cuáles son sus requisitos?")</f>
        <v>¿Cuáles son sus requisitos?</v>
      </c>
    </row>
    <row r="21">
      <c r="A21" s="10" t="s">
        <v>863</v>
      </c>
      <c r="B21" s="12" t="str">
        <f>IFERROR(__xludf.DUMMYFUNCTION("IF(ISBLANK(A21),"""",GOOGLETRANSLATE(A21,""en"",""es""))"),"Interés en el producto/servicio*")</f>
        <v>Interés en el producto/servicio*</v>
      </c>
    </row>
    <row r="22">
      <c r="A22" s="10" t="s">
        <v>864</v>
      </c>
      <c r="B22" s="12" t="str">
        <f>IFERROR(__xludf.DUMMYFUNCTION("IF(ISBLANK(A22),"""",GOOGLETRANSLATE(A22,""en"",""es""))"),"Por favor, seleccione")</f>
        <v>Por favor, seleccione</v>
      </c>
    </row>
    <row r="23">
      <c r="A23" s="10" t="s">
        <v>865</v>
      </c>
      <c r="B23" s="12" t="str">
        <f>IFERROR(__xludf.DUMMYFUNCTION("IF(ISBLANK(A23),"""",GOOGLETRANSLATE(A23,""en"",""es""))"),"¿Cómo se enteró de nosotros?*")</f>
        <v>¿Cómo se enteró de nosotros?*</v>
      </c>
    </row>
    <row r="24">
      <c r="A24" s="10" t="s">
        <v>864</v>
      </c>
      <c r="B24" s="12" t="str">
        <f>IFERROR(__xludf.DUMMYFUNCTION("IF(ISBLANK(A24),"""",GOOGLETRANSLATE(A24,""en"",""es""))"),"Por favor, seleccione")</f>
        <v>Por favor, seleccione</v>
      </c>
    </row>
    <row r="25">
      <c r="A25" s="10" t="s">
        <v>866</v>
      </c>
      <c r="B25" s="12" t="str">
        <f>IFERROR(__xludf.DUMMYFUNCTION("IF(ISBLANK(A25),"""",GOOGLETRANSLATE(A25,""en"",""es""))"),"Al marcar esta casilla, usted autoriza a NETSOL a contactarle para informarle sobre productos, servicios y ofertas que puedan ser de su interés. Política de privacidad.")</f>
        <v>Al marcar esta casilla, usted autoriza a NETSOL a contactarle para informarle sobre productos, servicios y ofertas que puedan ser de su interés. Política de privacidad.</v>
      </c>
    </row>
    <row r="26">
      <c r="A26" s="10" t="s">
        <v>867</v>
      </c>
      <c r="B26" s="12" t="str">
        <f>IFERROR(__xludf.DUMMYFUNCTION("IF(ISBLANK(A26),"""",GOOGLETRANSLATE(A26,""en"",""es""))"),"Entregar")</f>
        <v>Entregar</v>
      </c>
    </row>
    <row r="27">
      <c r="A27" s="10" t="s">
        <v>868</v>
      </c>
      <c r="B27" s="12" t="str">
        <f>IFERROR(__xludf.DUMMYFUNCTION("IF(ISBLANK(A27),"""",GOOGLETRANSLATE(A27,""en"",""es""))"),"Ubicaciones de oficinas")</f>
        <v>Ubicaciones de oficinas</v>
      </c>
    </row>
    <row r="28">
      <c r="A28" s="10" t="s">
        <v>869</v>
      </c>
      <c r="B28" s="12" t="str">
        <f>IFERROR(__xludf.DUMMYFUNCTION("IF(ISBLANK(A28),"""",GOOGLETRANSLATE(A28,""en"",""es""))"),"Encino, EE. UU.")</f>
        <v>Encino, EE. UU.</v>
      </c>
    </row>
    <row r="29">
      <c r="A29" s="10" t="s">
        <v>870</v>
      </c>
      <c r="B29" s="12" t="str">
        <f>IFERROR(__xludf.DUMMYFUNCTION("IF(ISBLANK(A29),"""",GOOGLETRANSLATE(A29,""en"",""es""))"),"NETSOL Technologies Inc. (Sede central)")</f>
        <v>NETSOL Technologies Inc. (Sede central)</v>
      </c>
    </row>
    <row r="30">
      <c r="A30" s="10" t="s">
        <v>871</v>
      </c>
      <c r="B30" s="12" t="str">
        <f>IFERROR(__xludf.DUMMYFUNCTION("IF(ISBLANK(A30),"""",GOOGLETRANSLATE(A30,""en"",""es""))"),"16000 Ventura Blvd., Suite 770 Encino, CA 91436")</f>
        <v>16000 Ventura Blvd., Suite 770 Encino, CA 91436</v>
      </c>
    </row>
    <row r="31">
      <c r="A31" s="10" t="s">
        <v>872</v>
      </c>
      <c r="B31" s="12" t="str">
        <f>IFERROR(__xludf.DUMMYFUNCTION("IF(ISBLANK(A31),"""",GOOGLETRANSLATE(A31,""en"",""es""))"),"O: +1 818 222 9195")</f>
        <v>O: +1 818 222 9195</v>
      </c>
    </row>
    <row r="32">
      <c r="A32" s="10" t="s">
        <v>873</v>
      </c>
      <c r="B32" s="12" t="str">
        <f>IFERROR(__xludf.DUMMYFUNCTION("IF(ISBLANK(A32),"""",GOOGLETRANSLATE(A32,""en"",""es""))"),"Austin, EE. UU.")</f>
        <v>Austin, EE. UU.</v>
      </c>
    </row>
    <row r="33">
      <c r="A33" s="10" t="s">
        <v>874</v>
      </c>
      <c r="B33" s="12" t="str">
        <f>IFERROR(__xludf.DUMMYFUNCTION("IF(ISBLANK(A33),"""",GOOGLETRANSLATE(A33,""en"",""es""))"),"Tecnologías NETSOL Inc.")</f>
        <v>Tecnologías NETSOL Inc.</v>
      </c>
    </row>
    <row r="34">
      <c r="A34" s="10" t="s">
        <v>875</v>
      </c>
      <c r="B34" s="12" t="str">
        <f>IFERROR(__xludf.DUMMYFUNCTION("IF(ISBLANK(A34),"""",GOOGLETRANSLATE(A34,""en"",""es""))"),"816 Congress Ave. #1270, Austin, TX 78701")</f>
        <v>816 Congress Ave. #1270, Austin, TX 78701</v>
      </c>
    </row>
    <row r="35">
      <c r="A35" s="10" t="s">
        <v>872</v>
      </c>
      <c r="B35" s="12" t="str">
        <f>IFERROR(__xludf.DUMMYFUNCTION("IF(ISBLANK(A35),"""",GOOGLETRANSLATE(A35,""en"",""es""))"),"O: +1 818 222 9195")</f>
        <v>O: +1 818 222 9195</v>
      </c>
    </row>
    <row r="36">
      <c r="A36" s="10" t="s">
        <v>876</v>
      </c>
      <c r="B36" s="12" t="str">
        <f>IFERROR(__xludf.DUMMYFUNCTION("IF(ISBLANK(A36),"""",GOOGLETRANSLATE(A36,""en"",""es""))"),"Londres, Reino Unido")</f>
        <v>Londres, Reino Unido</v>
      </c>
    </row>
    <row r="37">
      <c r="A37" s="10" t="s">
        <v>877</v>
      </c>
      <c r="B37" s="12" t="str">
        <f>IFERROR(__xludf.DUMMYFUNCTION("IF(ISBLANK(A37),"""",GOOGLETRANSLATE(A37,""en"",""es""))"),"NETSOL Technologies Europe Ltd.")</f>
        <v>NETSOL Technologies Europe Ltd.</v>
      </c>
    </row>
    <row r="38">
      <c r="A38" s="10" t="s">
        <v>878</v>
      </c>
      <c r="B38" s="12" t="str">
        <f>IFERROR(__xludf.DUMMYFUNCTION("IF(ISBLANK(A38),"""",GOOGLETRANSLATE(A38,""en"",""es""))"),"25 Wilton Road, Pimlico, Londres SW1V 1LW")</f>
        <v>25 Wilton Road, Pimlico, Londres SW1V 1LW</v>
      </c>
    </row>
    <row r="39">
      <c r="A39" s="10" t="s">
        <v>879</v>
      </c>
      <c r="B39" s="12" t="str">
        <f>IFERROR(__xludf.DUMMYFUNCTION("IF(ISBLANK(A39),"""",GOOGLETRANSLATE(A39,""en"",""es""))"),"O: +44 (0) 1403 282 300")</f>
        <v>O: +44 (0) 1403 282 300</v>
      </c>
    </row>
    <row r="40">
      <c r="A40" s="10" t="s">
        <v>796</v>
      </c>
      <c r="B40" s="12" t="str">
        <f>IFERROR(__xludf.DUMMYFUNCTION("IF(ISBLANK(A40),"""",GOOGLETRANSLATE(A40,""en"",""es""))"),"Ver más")</f>
        <v>Ver más</v>
      </c>
    </row>
    <row r="41">
      <c r="A41" s="10" t="s">
        <v>130</v>
      </c>
      <c r="B41" s="12" t="str">
        <f>IFERROR(__xludf.DUMMYFUNCTION("IF(ISBLANK(A41),"""",GOOGLETRANSLATE(A41,""en"",""es""))"),"Suscríbase a nuestro boletín para recibir las últimas noticias en su correo electrónico.")</f>
        <v>Suscríbase a nuestro boletín para recibir las últimas noticias en su correo electrónico.</v>
      </c>
    </row>
    <row r="42">
      <c r="A42" s="10" t="s">
        <v>131</v>
      </c>
      <c r="B42" s="12" t="str">
        <f>IFERROR(__xludf.DUMMYFUNCTION("IF(ISBLANK(A42),"""",GOOGLETRANSLATE(A42,""en"",""es""))"),"abc@example.com")</f>
        <v>abc@example.com</v>
      </c>
    </row>
    <row r="43">
      <c r="A43" s="10" t="s">
        <v>132</v>
      </c>
      <c r="B43" s="12" t="str">
        <f>IFERROR(__xludf.DUMMYFUNCTION("IF(ISBLANK(A43),"""",GOOGLETRANSLATE(A43,""en"",""es""))"),"Suscríbete")</f>
        <v>Suscríbete</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38"/>
  </cols>
  <sheetData>
    <row r="1">
      <c r="A1" s="3" t="s">
        <v>0</v>
      </c>
      <c r="B1" s="3" t="s">
        <v>133</v>
      </c>
    </row>
    <row r="2">
      <c r="A2" s="10" t="s">
        <v>20</v>
      </c>
      <c r="B2" s="12" t="str">
        <f>IFERROR(__xludf.DUMMYFUNCTION("IF(ISBLANK(A2),"""",GOOGLETRANSLATE(A2,""en"",""es""))"),"Plataforma Transcend")</f>
        <v>Plataforma Transcend</v>
      </c>
    </row>
    <row r="3">
      <c r="A3" s="10" t="s">
        <v>880</v>
      </c>
      <c r="B3" s="12" t="str">
        <f>IFERROR(__xludf.DUMMYFUNCTION("IF(ISBLANK(A3),"""",GOOGLETRANSLATE(A3,""en"",""es""))"),"Trascender los límites de la tecnología")</f>
        <v>Trascender los límites de la tecnología</v>
      </c>
    </row>
    <row r="4">
      <c r="A4" s="10" t="s">
        <v>881</v>
      </c>
      <c r="B4" s="12" t="str">
        <f>IFERROR(__xludf.DUMMYFUNCTION("IF(ISBLANK(A4),"""",GOOGLETRANSLATE(A4,""en"",""es""))"),"Desde soluciones financieras impulsadas por IA hasta un comercio minorista digital impecable.")</f>
        <v>Desde soluciones financieras impulsadas por IA hasta un comercio minorista digital impecable.</v>
      </c>
    </row>
    <row r="5">
      <c r="A5" s="10" t="s">
        <v>760</v>
      </c>
      <c r="B5" s="12" t="str">
        <f>IFERROR(__xludf.DUMMYFUNCTION("IF(ISBLANK(A5),"""",GOOGLETRANSLATE(A5,""en"",""es""))"),"Conéctate con nosotros")</f>
        <v>Conéctate con nosotros</v>
      </c>
    </row>
    <row r="6">
      <c r="A6" s="10" t="s">
        <v>19</v>
      </c>
      <c r="B6" s="12" t="str">
        <f>IFERROR(__xludf.DUMMYFUNCTION("IF(ISBLANK(A6),"""",GOOGLETRANSLATE(A6,""en"",""es""))"),"Las marcas líderes del mundo utilizan la tecnología de NETSOL.")</f>
        <v>Las marcas líderes del mundo utilizan la tecnología de NETSOL.</v>
      </c>
    </row>
    <row r="7">
      <c r="A7" s="10" t="s">
        <v>20</v>
      </c>
      <c r="B7" s="12" t="str">
        <f>IFERROR(__xludf.DUMMYFUNCTION("IF(ISBLANK(A7),"""",GOOGLETRANSLATE(A7,""en"",""es""))"),"Plataforma Transcend")</f>
        <v>Plataforma Transcend</v>
      </c>
    </row>
    <row r="8">
      <c r="A8" s="10" t="s">
        <v>882</v>
      </c>
      <c r="B8" s="12" t="str">
        <f>IFERROR(__xludf.DUMMYFUNCTION("IF(ISBLANK(A8),"""",GOOGLETRANSLATE(A8,""en"",""es""))"),"Impulsando el futuro de las finanzas, el comercio minorista y más allá")</f>
        <v>Impulsando el futuro de las finanzas, el comercio minorista y más allá</v>
      </c>
    </row>
    <row r="9">
      <c r="A9" s="10" t="s">
        <v>883</v>
      </c>
      <c r="B9" s="12" t="str">
        <f>IFERROR(__xludf.DUMMYFUNCTION("IF(ISBLANK(A9),"""",GOOGLETRANSLATE(A9,""en"",""es""))"),"La plataforma Transcend de NETSOL es un ecosistema unificado impulsado por IA, diseñado para simplificar y optimizar cada etapa del ciclo de vida de los activos, el comercio minorista y la gestión de inversiones. Desde la originación hasta el servicio, la"&amp;" cobranza y la interacción con el cliente, Transcend permite a prestamistas, fabricantes de equipos originales (OEM), distribuidores y empresas de transporte escalar con confianza, integrarse sin problemas con los sistemas de sus socios y ofrecer experien"&amp;"cias conectadas en todos los mercados, productos y puntos de contacto. Basada en una IA responsable y un diseño modular, transforma la complejidad en claridad, ayudando a las empresas a lograr resultados medibles y garantizando la confianza, la transparen"&amp;"cia y la colaboración en cada paso.")</f>
        <v>La plataforma Transcend de NETSOL es un ecosistema unificado impulsado por IA, diseñado para simplificar y optimizar cada etapa del ciclo de vida de los activos, el comercio minorista y la gestión de inversiones. Desde la originación hasta el servicio, la cobranza y la interacción con el cliente, Transcend permite a prestamistas, fabricantes de equipos originales (OEM), distribuidores y empresas de transporte escalar con confianza, integrarse sin problemas con los sistemas de sus socios y ofrecer experiencias conectadas en todos los mercados, productos y puntos de contacto. Basada en una IA responsable y un diseño modular, transforma la complejidad en claridad, ayudando a las empresas a lograr resultados medibles y garantizando la confianza, la transparencia y la colaboración en cada paso.</v>
      </c>
    </row>
    <row r="10">
      <c r="A10" s="10" t="s">
        <v>884</v>
      </c>
      <c r="B10" s="12" t="str">
        <f>IFERROR(__xludf.DUMMYFUNCTION("IF(ISBLANK(A10),"""",GOOGLETRANSLATE(A10,""en"",""es""))"),"La IA en el núcleo")</f>
        <v>La IA en el núcleo</v>
      </c>
    </row>
    <row r="11">
      <c r="A11" s="10" t="s">
        <v>885</v>
      </c>
      <c r="B11" s="12" t="str">
        <f>IFERROR(__xludf.DUMMYFUNCTION("IF(ISBLANK(A11),"""",GOOGLETRANSLATE(A11,""en"",""es""))"),"Aproveche la inteligencia artificial y el aprendizaje automático para potenciar la información predictiva, los flujos de trabajo automatizados y la gestión de riesgos en todo el ecosistema financiero.")</f>
        <v>Aproveche la inteligencia artificial y el aprendizaje automático para potenciar la información predictiva, los flujos de trabajo automatizados y la gestión de riesgos en todo el ecosistema financiero.</v>
      </c>
    </row>
    <row r="12">
      <c r="A12" s="10" t="s">
        <v>886</v>
      </c>
      <c r="B12" s="12" t="str">
        <f>IFERROR(__xludf.DUMMYFUNCTION("IF(ISBLANK(A12),"""",GOOGLETRANSLATE(A12,""en"",""es""))"),"Una plataforma adaptativa")</f>
        <v>Una plataforma adaptativa</v>
      </c>
    </row>
    <row r="13">
      <c r="A13" s="10" t="s">
        <v>887</v>
      </c>
      <c r="B13" s="12" t="str">
        <f>IFERROR(__xludf.DUMMYFUNCTION("IF(ISBLANK(A13),"""",GOOGLETRANSLATE(A13,""en"",""es""))"),"Con marcos de trabajo integrados y una potente gestión de datos, Transcend proporciona una base segura para que siempre estés preparado para lo que venga.")</f>
        <v>Con marcos de trabajo integrados y una potente gestión de datos, Transcend proporciona una base segura para que siempre estés preparado para lo que venga.</v>
      </c>
    </row>
    <row r="14">
      <c r="A14" s="10" t="s">
        <v>888</v>
      </c>
      <c r="B14" s="12" t="str">
        <f>IFERROR(__xludf.DUMMYFUNCTION("IF(ISBLANK(A14),"""",GOOGLETRANSLATE(A14,""en"",""es""))"),"Infraestructura preparada para el futuro")</f>
        <v>Infraestructura preparada para el futuro</v>
      </c>
    </row>
    <row r="15">
      <c r="A15" s="10" t="s">
        <v>889</v>
      </c>
      <c r="B15" s="12" t="str">
        <f>IFERROR(__xludf.DUMMYFUNCTION("IF(ISBLANK(A15),"""",GOOGLETRANSLATE(A15,""en"",""es""))"),"Crea tu plataforma con componentes modulares API-first, que ofrecen capacidades multiplataforma y soluciones personalizables que escalan a medida que crece tu negocio.")</f>
        <v>Crea tu plataforma con componentes modulares API-first, que ofrecen capacidades multiplataforma y soluciones personalizables que escalan a medida que crece tu negocio.</v>
      </c>
    </row>
    <row r="16">
      <c r="A16" s="10" t="s">
        <v>890</v>
      </c>
      <c r="B16" s="12" t="str">
        <f>IFERROR(__xludf.DUMMYFUNCTION("IF(ISBLANK(A16),"""",GOOGLETRANSLATE(A16,""en"",""es""))"),"seguridad de nivel empresarial")</f>
        <v>seguridad de nivel empresarial</v>
      </c>
    </row>
    <row r="17">
      <c r="A17" s="10" t="s">
        <v>891</v>
      </c>
      <c r="B17" s="12" t="str">
        <f>IFERROR(__xludf.DUMMYFUNCTION("IF(ISBLANK(A17),"""",GOOGLETRANSLATE(A17,""en"",""es""))"),"Con la seguridad en la nube de nivel empresarial de Transcend, sus transacciones financieras y datos confidenciales están protegidos con las últimas medidas de seguridad para que usted tenga total tranquilidad.")</f>
        <v>Con la seguridad en la nube de nivel empresarial de Transcend, sus transacciones financieras y datos confidenciales están protegidos con las últimas medidas de seguridad para que usted tenga total tranquilidad.</v>
      </c>
    </row>
    <row r="18">
      <c r="A18" s="10" t="s">
        <v>892</v>
      </c>
      <c r="B18" s="12" t="str">
        <f>IFERROR(__xludf.DUMMYFUNCTION("IF(ISBLANK(A18),"""",GOOGLETRANSLATE(A18,""en"",""es""))"),"Soluciones a medida para cada etapa de su negocio")</f>
        <v>Soluciones a medida para cada etapa de su negocio</v>
      </c>
    </row>
    <row r="19">
      <c r="A19" s="10" t="s">
        <v>26</v>
      </c>
      <c r="B19" s="12" t="str">
        <f>IFERROR(__xludf.DUMMYFUNCTION("IF(ISBLANK(A19),"""",GOOGLETRANSLATE(A19,""en"",""es""))"),"Minorista")</f>
        <v>Minorista</v>
      </c>
    </row>
    <row r="20">
      <c r="A20" s="10" t="s">
        <v>28</v>
      </c>
      <c r="B20" s="12" t="str">
        <f>IFERROR(__xludf.DUMMYFUNCTION("IF(ISBLANK(A20),"""",GOOGLETRANSLATE(A20,""en"",""es""))"),"Orquestación integral para fabricantes de equipos originales (OEM) y")</f>
        <v>Orquestación integral para fabricantes de equipos originales (OEM) y</v>
      </c>
    </row>
    <row r="21">
      <c r="A21" s="10" t="s">
        <v>30</v>
      </c>
      <c r="B21" s="12" t="str">
        <f>IFERROR(__xludf.DUMMYFUNCTION("IF(ISBLANK(A21),"""",GOOGLETRANSLATE(A21,""en"",""es""))"),"distribuidores. Modular y escalable para unificar")</f>
        <v>distribuidores. Modular y escalable para unificar</v>
      </c>
    </row>
    <row r="22">
      <c r="A22" s="10" t="s">
        <v>32</v>
      </c>
      <c r="B22" s="12" t="str">
        <f>IFERROR(__xludf.DUMMYFUNCTION("IF(ISBLANK(A22),"""",GOOGLETRANSLATE(A22,""en"",""es""))"),"recorridos por la sala de exposición y en línea en uno")</f>
        <v>recorridos por la sala de exposición y en línea en uno</v>
      </c>
    </row>
    <row r="23">
      <c r="A23" s="10" t="s">
        <v>34</v>
      </c>
      <c r="B23" s="12" t="str">
        <f>IFERROR(__xludf.DUMMYFUNCTION("IF(ISBLANK(A23),"""",GOOGLETRANSLATE(A23,""en"",""es""))"),"Una experiencia de compra impecable.")</f>
        <v>Una experiencia de compra impecable.</v>
      </c>
    </row>
    <row r="24">
      <c r="A24" s="10" t="s">
        <v>36</v>
      </c>
      <c r="B24" s="12" t="str">
        <f>IFERROR(__xludf.DUMMYFUNCTION("IF(ISBLANK(A24),"""",GOOGLETRANSLATE(A24,""en"",""es""))"),"Más información")</f>
        <v>Más información</v>
      </c>
    </row>
    <row r="25">
      <c r="A25" s="10" t="s">
        <v>37</v>
      </c>
      <c r="B25" s="12" t="str">
        <f>IFERROR(__xludf.DUMMYFUNCTION("IF(ISBLANK(A25),"""",GOOGLETRANSLATE(A25,""en"",""es""))"),"Venta minorista de automóviles reinventada. Rutas personalizadas.")</f>
        <v>Venta minorista de automóviles reinventada. Rutas personalizadas.</v>
      </c>
    </row>
    <row r="26">
      <c r="A26" s="10" t="s">
        <v>38</v>
      </c>
      <c r="B26" s="12" t="str">
        <f>IFERROR(__xludf.DUMMYFUNCTION("IF(ISBLANK(A26),"""",GOOGLETRANSLATE(A26,""en"",""es""))"),"Puntos de contacto conectados y precisión impulsada por IA.")</f>
        <v>Puntos de contacto conectados y precisión impulsada por IA.</v>
      </c>
    </row>
    <row r="27">
      <c r="A27" s="10" t="s">
        <v>14</v>
      </c>
      <c r="B27" s="12" t="str">
        <f>IFERROR(__xludf.DUMMYFUNCTION("IF(ISBLANK(A27),"""",GOOGLETRANSLATE(A27,""en"",""es""))"),"fabricantes de equipos originales (OEM)")</f>
        <v>fabricantes de equipos originales (OEM)</v>
      </c>
    </row>
    <row r="28">
      <c r="A28" s="10" t="s">
        <v>39</v>
      </c>
      <c r="B28" s="12" t="str">
        <f>IFERROR(__xludf.DUMMYFUNCTION("IF(ISBLANK(A28),"""",GOOGLETRANSLATE(A28,""en"",""es""))"),"distribuidores independientes")</f>
        <v>distribuidores independientes</v>
      </c>
    </row>
    <row r="29">
      <c r="A29" s="10" t="s">
        <v>40</v>
      </c>
      <c r="B29" s="12" t="str">
        <f>IFERROR(__xludf.DUMMYFUNCTION("IF(ISBLANK(A29),"""",GOOGLETRANSLATE(A29,""en"",""es""))"),"Grupos de distribuidores")</f>
        <v>Grupos de distribuidores</v>
      </c>
    </row>
    <row r="30">
      <c r="A30" s="10" t="s">
        <v>41</v>
      </c>
      <c r="B30" s="12" t="str">
        <f>IFERROR(__xludf.DUMMYFUNCTION("IF(ISBLANK(A30),"""",GOOGLETRANSLATE(A30,""en"",""es""))"),"Finanzas")</f>
        <v>Finanzas</v>
      </c>
    </row>
    <row r="31">
      <c r="A31" s="10" t="s">
        <v>23</v>
      </c>
      <c r="B31" s="12" t="str">
        <f>IFERROR(__xludf.DUMMYFUNCTION("IF(ISBLANK(A31),"""",GOOGLETRANSLATE(A31,""en"",""es""))"),"Trascender")</f>
        <v>Trascender</v>
      </c>
    </row>
    <row r="32">
      <c r="A32" s="10" t="s">
        <v>41</v>
      </c>
      <c r="B32" s="12" t="str">
        <f>IFERROR(__xludf.DUMMYFUNCTION("IF(ISBLANK(A32),"""",GOOGLETRANSLATE(A32,""en"",""es""))"),"Finanzas")</f>
        <v>Finanzas</v>
      </c>
    </row>
    <row r="33">
      <c r="A33" s="10" t="s">
        <v>42</v>
      </c>
      <c r="B33" s="12" t="str">
        <f>IFERROR(__xludf.DUMMYFUNCTION("IF(ISBLANK(A33),"""",GOOGLETRANSLATE(A33,""en"",""es""))"),"Inteligencia basada en IA para todo el contrato")</f>
        <v>Inteligencia basada en IA para todo el contrato</v>
      </c>
    </row>
    <row r="34">
      <c r="A34" s="10" t="s">
        <v>44</v>
      </c>
      <c r="B34" s="12" t="str">
        <f>IFERROR(__xludf.DUMMYFUNCTION("IF(ISBLANK(A34),"""",GOOGLETRANSLATE(A34,""en"",""es""))"),"ciclo de vida: mejora de las decisiones, la incorporación y")</f>
        <v>ciclo de vida: mejora de las decisiones, la incorporación y</v>
      </c>
    </row>
    <row r="35">
      <c r="A35" s="10" t="s">
        <v>46</v>
      </c>
      <c r="B35" s="12" t="str">
        <f>IFERROR(__xludf.DUMMYFUNCTION("IF(ISBLANK(A35),"""",GOOGLETRANSLATE(A35,""en"",""es""))"),"Operaciones en los sectores de financiación de automóviles, equipos y comercio.")</f>
        <v>Operaciones en los sectores de financiación de automóviles, equipos y comercio.</v>
      </c>
    </row>
    <row r="36">
      <c r="A36" s="10" t="s">
        <v>12</v>
      </c>
      <c r="B36" s="12" t="str">
        <f>IFERROR(__xludf.DUMMYFUNCTION("IF(ISBLANK(A36),"""",GOOGLETRANSLATE(A36,""en"",""es""))"),"Ponte en contacto")</f>
        <v>Ponte en contacto</v>
      </c>
    </row>
    <row r="37">
      <c r="A37" s="10" t="s">
        <v>47</v>
      </c>
      <c r="B37" s="12" t="str">
        <f>IFERROR(__xludf.DUMMYFUNCTION("IF(ISBLANK(A37),"""",GOOGLETRANSLATE(A37,""en"",""es""))"),"Los préstamos más inteligentes comienzan aquí. Velocidad impulsada por IA.")</f>
        <v>Los préstamos más inteligentes comienzan aquí. Velocidad impulsada por IA.</v>
      </c>
    </row>
    <row r="38">
      <c r="A38" s="10" t="s">
        <v>49</v>
      </c>
      <c r="B38" s="12" t="str">
        <f>IFERROR(__xludf.DUMMYFUNCTION("IF(ISBLANK(A38),"""",GOOGLETRANSLATE(A38,""en"",""es""))"),"flexibilidad y precisión.")</f>
        <v>flexibilidad y precisión.</v>
      </c>
    </row>
    <row r="39">
      <c r="A39" s="10" t="s">
        <v>51</v>
      </c>
      <c r="B39" s="12" t="str">
        <f>IFERROR(__xludf.DUMMYFUNCTION("IF(ISBLANK(A39),"""",GOOGLETRANSLATE(A39,""en"",""es""))"),"Financiación de automóviles")</f>
        <v>Financiación de automóviles</v>
      </c>
    </row>
    <row r="40">
      <c r="A40" s="10" t="s">
        <v>52</v>
      </c>
      <c r="B40" s="12" t="str">
        <f>IFERROR(__xludf.DUMMYFUNCTION("IF(ISBLANK(A40),"""",GOOGLETRANSLATE(A40,""en"",""es""))"),"Financiación de equipos")</f>
        <v>Financiación de equipos</v>
      </c>
    </row>
    <row r="41">
      <c r="A41" s="10" t="s">
        <v>53</v>
      </c>
      <c r="B41" s="12" t="str">
        <f>IFERROR(__xludf.DUMMYFUNCTION("IF(ISBLANK(A41),"""",GOOGLETRANSLATE(A41,""en"",""es""))"),"Financiación de flotas")</f>
        <v>Financiación de flotas</v>
      </c>
    </row>
    <row r="42">
      <c r="A42" s="10" t="s">
        <v>18</v>
      </c>
      <c r="B42" s="12" t="str">
        <f>IFERROR(__xludf.DUMMYFUNCTION("IF(ISBLANK(A42),"""",GOOGLETRANSLATE(A42,""en"",""es""))"),"Prestamistas comerciales")</f>
        <v>Prestamistas comerciales</v>
      </c>
    </row>
    <row r="43">
      <c r="A43" s="10" t="s">
        <v>54</v>
      </c>
      <c r="B43" s="12" t="str">
        <f>IFERROR(__xludf.DUMMYFUNCTION("IF(ISBLANK(A43),"""",GOOGLETRANSLATE(A43,""en"",""es""))"),"Prestamistas especializados")</f>
        <v>Prestamistas especializados</v>
      </c>
    </row>
    <row r="44">
      <c r="A44" s="10" t="s">
        <v>55</v>
      </c>
      <c r="B44" s="12" t="str">
        <f>IFERROR(__xludf.DUMMYFUNCTION("IF(ISBLANK(A44),"""",GOOGLETRANSLATE(A44,""en"",""es""))"),"Laboratorios de IA")</f>
        <v>Laboratorios de IA</v>
      </c>
    </row>
    <row r="45">
      <c r="A45" s="10" t="s">
        <v>56</v>
      </c>
      <c r="B45" s="12" t="str">
        <f>IFERROR(__xludf.DUMMYFUNCTION("IF(ISBLANK(A45),"""",GOOGLETRANSLATE(A45,""en"",""es""))"),"Trascender la IA")</f>
        <v>Trascender la IA</v>
      </c>
    </row>
    <row r="46">
      <c r="A46" s="10" t="s">
        <v>57</v>
      </c>
      <c r="B46" s="12" t="str">
        <f>IFERROR(__xludf.DUMMYFUNCTION("IF(ISBLANK(A46),"""",GOOGLETRANSLATE(A46,""en"",""es""))"),"Laboratorios")</f>
        <v>Laboratorios</v>
      </c>
    </row>
    <row r="47">
      <c r="A47" s="20" t="s">
        <v>58</v>
      </c>
      <c r="B47" s="12" t="str">
        <f>IFERROR(__xludf.DUMMYFUNCTION("IF(ISBLANK(A47),"""",GOOGLETRANSLATE(A47,""en"",""es""))"),"Innovación en IA para préstamos, arrendamientos y comercio minorista. Herramientas diseñadas específicamente para...")</f>
        <v>Innovación en IA para préstamos, arrendamientos y comercio minorista. Herramientas diseñadas específicamente para...</v>
      </c>
    </row>
    <row r="48">
      <c r="A48" s="10" t="s">
        <v>59</v>
      </c>
      <c r="B48" s="12" t="str">
        <f>IFERROR(__xludf.DUMMYFUNCTION("IF(ISBLANK(A48),"""",GOOGLETRANSLATE(A48,""en"",""es""))"),"Acelerar la transformación y generar un impacto real en todos los flujos de trabajo.")</f>
        <v>Acelerar la transformación y generar un impacto real en todos los flujos de trabajo.</v>
      </c>
    </row>
    <row r="49">
      <c r="A49" s="10" t="s">
        <v>36</v>
      </c>
      <c r="B49" s="12" t="str">
        <f>IFERROR(__xludf.DUMMYFUNCTION("IF(ISBLANK(A49),"""",GOOGLETRANSLATE(A49,""en"",""es""))"),"Más información")</f>
        <v>Más información</v>
      </c>
    </row>
    <row r="50">
      <c r="A50" s="10" t="s">
        <v>60</v>
      </c>
      <c r="B50" s="12" t="str">
        <f>IFERROR(__xludf.DUMMYFUNCTION("IF(ISBLANK(A50),"""",GOOGLETRANSLATE(A50,""en"",""es""))"),"Transformando el sector financiero, las finanzas y el arrendamiento.")</f>
        <v>Transformando el sector financiero, las finanzas y el arrendamiento.</v>
      </c>
    </row>
    <row r="51">
      <c r="A51" s="10" t="s">
        <v>61</v>
      </c>
      <c r="B51" s="12" t="str">
        <f>IFERROR(__xludf.DUMMYFUNCTION("IF(ISBLANK(A51),"""",GOOGLETRANSLATE(A51,""en"",""es""))"),"con inteligencia artificial inteligente y específica para cada sector.")</f>
        <v>con inteligencia artificial inteligente y específica para cada sector.</v>
      </c>
    </row>
    <row r="52">
      <c r="A52" s="10" t="s">
        <v>63</v>
      </c>
      <c r="B52" s="12" t="str">
        <f>IFERROR(__xludf.DUMMYFUNCTION("IF(ISBLANK(A52),"""",GOOGLETRANSLATE(A52,""en"",""es""))"),"Aplicaciones de IA")</f>
        <v>Aplicaciones de IA</v>
      </c>
    </row>
    <row r="53">
      <c r="A53" s="10" t="s">
        <v>64</v>
      </c>
      <c r="B53" s="12" t="str">
        <f>IFERROR(__xludf.DUMMYFUNCTION("IF(ISBLANK(A53),"""",GOOGLETRANSLATE(A53,""en"",""es""))"),"Servicios de IA")</f>
        <v>Servicios de IA</v>
      </c>
    </row>
    <row r="54">
      <c r="A54" s="10" t="s">
        <v>65</v>
      </c>
      <c r="B54" s="12" t="str">
        <f>IFERROR(__xludf.DUMMYFUNCTION("IF(ISBLANK(A54),"""",GOOGLETRANSLATE(A54,""en"",""es""))"),"Innovación de laboratorio")</f>
        <v>Innovación de laboratorio</v>
      </c>
    </row>
    <row r="55">
      <c r="A55" s="10" t="s">
        <v>66</v>
      </c>
      <c r="B55" s="12" t="str">
        <f>IFERROR(__xludf.DUMMYFUNCTION("IF(ISBLANK(A55),"""",GOOGLETRANSLATE(A55,""en"",""es""))"),"Mercado")</f>
        <v>Mercado</v>
      </c>
    </row>
    <row r="56">
      <c r="A56" s="10" t="s">
        <v>23</v>
      </c>
      <c r="B56" s="12" t="str">
        <f>IFERROR(__xludf.DUMMYFUNCTION("IF(ISBLANK(A56),"""",GOOGLETRANSLATE(A56,""en"",""es""))"),"Trascender")</f>
        <v>Trascender</v>
      </c>
    </row>
    <row r="57">
      <c r="A57" s="10" t="s">
        <v>66</v>
      </c>
      <c r="B57" s="12" t="str">
        <f>IFERROR(__xludf.DUMMYFUNCTION("IF(ISBLANK(A57),"""",GOOGLETRANSLATE(A57,""en"",""es""))"),"Mercado")</f>
        <v>Mercado</v>
      </c>
    </row>
    <row r="58">
      <c r="A58" s="10" t="s">
        <v>67</v>
      </c>
      <c r="B58" s="12" t="str">
        <f>IFERROR(__xludf.DUMMYFUNCTION("IF(ISBLANK(A58),"""",GOOGLETRANSLATE(A58,""en"",""es""))"),"Un mercado unificado de soluciones modulares basadas en API para préstamos, arrendamientos y comercio minorista. Diseñado para simplificar y acelerar cada flujo de trabajo.")</f>
        <v>Un mercado unificado de soluciones modulares basadas en API para préstamos, arrendamientos y comercio minorista. Diseñado para simplificar y acelerar cada flujo de trabajo.</v>
      </c>
    </row>
    <row r="59">
      <c r="A59" s="10" t="s">
        <v>36</v>
      </c>
      <c r="B59" s="12" t="str">
        <f>IFERROR(__xludf.DUMMYFUNCTION("IF(ISBLANK(A59),"""",GOOGLETRANSLATE(A59,""en"",""es""))"),"Más información")</f>
        <v>Más información</v>
      </c>
    </row>
    <row r="60">
      <c r="A60" s="10" t="s">
        <v>68</v>
      </c>
      <c r="B60" s="12" t="str">
        <f>IFERROR(__xludf.DUMMYFUNCTION("IF(ISBLANK(A60),"""",GOOGLETRANSLATE(A60,""en"",""es""))"),"Más inteligente. Más rápido. Conectado.")</f>
        <v>Más inteligente. Más rápido. Conectado.</v>
      </c>
    </row>
    <row r="61">
      <c r="A61" s="10" t="s">
        <v>69</v>
      </c>
      <c r="B61" s="12" t="str">
        <f>IFERROR(__xludf.DUMMYFUNCTION("IF(ISBLANK(A61),"""",GOOGLETRANSLATE(A61,""en"",""es""))"),"Tu plataforma modular para financiación y leasing.")</f>
        <v>Tu plataforma modular para financiación y leasing.</v>
      </c>
    </row>
    <row r="62">
      <c r="A62" s="10" t="s">
        <v>70</v>
      </c>
      <c r="B62" s="12" t="str">
        <f>IFERROR(__xludf.DUMMYFUNCTION("IF(ISBLANK(A62),"""",GOOGLETRANSLATE(A62,""en"",""es""))"),"Suscripción")</f>
        <v>Suscripción</v>
      </c>
    </row>
    <row r="63">
      <c r="A63" s="10" t="s">
        <v>71</v>
      </c>
      <c r="B63" s="12" t="str">
        <f>IFERROR(__xludf.DUMMYFUNCTION("IF(ISBLANK(A63),"""",GOOGLETRANSLATE(A63,""en"",""es""))"),"API primero")</f>
        <v>API primero</v>
      </c>
    </row>
    <row r="64">
      <c r="A64" s="10" t="s">
        <v>72</v>
      </c>
      <c r="B64" s="12" t="str">
        <f>IFERROR(__xludf.DUMMYFUNCTION("IF(ISBLANK(A64),"""",GOOGLETRANSLATE(A64,""en"",""es""))"),"Basado en componentes")</f>
        <v>Basado en componentes</v>
      </c>
    </row>
    <row r="65">
      <c r="A65" s="10" t="s">
        <v>73</v>
      </c>
      <c r="B65" s="12" t="str">
        <f>IFERROR(__xludf.DUMMYFUNCTION("IF(ISBLANK(A65),"""",GOOGLETRANSLATE(A65,""en"",""es""))"),"Consultoría")</f>
        <v>Consultoría</v>
      </c>
    </row>
    <row r="66">
      <c r="A66" s="10" t="s">
        <v>23</v>
      </c>
      <c r="B66" s="12" t="str">
        <f>IFERROR(__xludf.DUMMYFUNCTION("IF(ISBLANK(A66),"""",GOOGLETRANSLATE(A66,""en"",""es""))"),"Trascender")</f>
        <v>Trascender</v>
      </c>
    </row>
    <row r="67">
      <c r="A67" s="10" t="s">
        <v>73</v>
      </c>
      <c r="B67" s="12" t="str">
        <f>IFERROR(__xludf.DUMMYFUNCTION("IF(ISBLANK(A67),"""",GOOGLETRANSLATE(A67,""en"",""es""))"),"Consultoría")</f>
        <v>Consultoría</v>
      </c>
    </row>
    <row r="68">
      <c r="A68" s="21" t="s">
        <v>74</v>
      </c>
      <c r="B68" s="12" t="str">
        <f>IFERROR(__xludf.DUMMYFUNCTION("IF(ISBLANK(A68),"""",GOOGLETRANSLATE(A68,""en"",""es""))"),"Experiencia en IA, datos, nube y seguridad: ayudamos a las entidades financieras y de crédito a modernizarse, escalar con confianza y construir operaciones resilientes y preparadas para el futuro.")</f>
        <v>Experiencia en IA, datos, nube y seguridad: ayudamos a las entidades financieras y de crédito a modernizarse, escalar con confianza y construir operaciones resilientes y preparadas para el futuro.</v>
      </c>
    </row>
    <row r="69">
      <c r="A69" s="10" t="s">
        <v>36</v>
      </c>
      <c r="B69" s="12" t="str">
        <f>IFERROR(__xludf.DUMMYFUNCTION("IF(ISBLANK(A69),"""",GOOGLETRANSLATE(A69,""en"",""es""))"),"Más información")</f>
        <v>Más información</v>
      </c>
    </row>
    <row r="70">
      <c r="A70" s="10" t="s">
        <v>75</v>
      </c>
      <c r="B70" s="12" t="str">
        <f>IFERROR(__xludf.DUMMYFUNCTION("IF(ISBLANK(A70),"""",GOOGLETRANSLATE(A70,""en"",""es""))"),"Convertir desafíos complejos en oportunidades transformadoras.")</f>
        <v>Convertir desafíos complejos en oportunidades transformadoras.</v>
      </c>
    </row>
    <row r="71">
      <c r="A71" s="10" t="s">
        <v>77</v>
      </c>
      <c r="B71" s="12" t="str">
        <f>IFERROR(__xludf.DUMMYFUNCTION("IF(ISBLANK(A71),"""",GOOGLETRANSLATE(A71,""en"",""es""))"),"Seguridad de la información")</f>
        <v>Seguridad de la información</v>
      </c>
    </row>
    <row r="72">
      <c r="A72" s="10" t="s">
        <v>78</v>
      </c>
      <c r="B72" s="12" t="str">
        <f>IFERROR(__xludf.DUMMYFUNCTION("IF(ISBLANK(A72),"""",GOOGLETRANSLATE(A72,""en"",""es""))"),"Servicios de datos e IA")</f>
        <v>Servicios de datos e IA</v>
      </c>
    </row>
    <row r="73">
      <c r="A73" s="10" t="s">
        <v>79</v>
      </c>
      <c r="B73" s="12" t="str">
        <f>IFERROR(__xludf.DUMMYFUNCTION("IF(ISBLANK(A73),"""",GOOGLETRANSLATE(A73,""en"",""es""))"),"Servicios en la nube")</f>
        <v>Servicios en la nube</v>
      </c>
    </row>
    <row r="74">
      <c r="A74" s="10" t="s">
        <v>80</v>
      </c>
      <c r="B74" s="12" t="str">
        <f>IFERROR(__xludf.DUMMYFUNCTION("IF(ISBLANK(A74),"""",GOOGLETRANSLATE(A74,""en"",""es""))"),"Desarrollo a medida")</f>
        <v>Desarrollo a medida</v>
      </c>
    </row>
    <row r="75">
      <c r="A75" s="10" t="s">
        <v>97</v>
      </c>
      <c r="B75" s="12" t="str">
        <f>IFERROR(__xludf.DUMMYFUNCTION("IF(ISBLANK(A75),"""",GOOGLETRANSLATE(A75,""en"",""es""))"),"Más de 500 mil millones de dólares")</f>
        <v>Más de 500 mil millones de dólares</v>
      </c>
    </row>
    <row r="76">
      <c r="A76" s="10" t="s">
        <v>98</v>
      </c>
      <c r="B76" s="12" t="str">
        <f>IFERROR(__xludf.DUMMYFUNCTION("IF(ISBLANK(A76),"""",GOOGLETRANSLATE(A76,""en"",""es""))"),"Activos gestionados a nivel mundial")</f>
        <v>Activos gestionados a nivel mundial</v>
      </c>
    </row>
    <row r="77">
      <c r="A77" s="10" t="s">
        <v>293</v>
      </c>
      <c r="B77" s="12" t="str">
        <f>IFERROR(__xludf.DUMMYFUNCTION("IF(ISBLANK(A77),"""",GOOGLETRANSLATE(A77,""en"",""es""))"),"Más de 350")</f>
        <v>Más de 350</v>
      </c>
    </row>
    <row r="78">
      <c r="A78" s="10" t="s">
        <v>96</v>
      </c>
      <c r="B78" s="12" t="str">
        <f>IFERROR(__xludf.DUMMYFUNCTION("IF(ISBLANK(A78),"""",GOOGLETRANSLATE(A78,""en"",""es""))"),"Implementaciones exitosas")</f>
        <v>Implementaciones exitosas</v>
      </c>
    </row>
    <row r="79">
      <c r="A79" s="10" t="s">
        <v>93</v>
      </c>
      <c r="B79" s="12" t="str">
        <f>IFERROR(__xludf.DUMMYFUNCTION("IF(ISBLANK(A79),"""",GOOGLETRANSLATE(A79,""en"",""es""))"),"Más de 200")</f>
        <v>Más de 200</v>
      </c>
    </row>
    <row r="80">
      <c r="A80" s="10" t="s">
        <v>94</v>
      </c>
      <c r="B80" s="12" t="str">
        <f>IFERROR(__xludf.DUMMYFUNCTION("IF(ISBLANK(A80),"""",GOOGLETRANSLATE(A80,""en"",""es""))"),"Clientes en todo el mundo")</f>
        <v>Clientes en todo el mundo</v>
      </c>
    </row>
    <row r="81">
      <c r="A81" s="10" t="s">
        <v>294</v>
      </c>
      <c r="B81" s="12" t="str">
        <f>IFERROR(__xludf.DUMMYFUNCTION("IF(ISBLANK(A81),"""",GOOGLETRANSLATE(A81,""en"",""es""))"),"Más de 30 años")</f>
        <v>Más de 30 años</v>
      </c>
    </row>
    <row r="82">
      <c r="A82" s="10" t="s">
        <v>295</v>
      </c>
      <c r="B82" s="12" t="str">
        <f>IFERROR(__xludf.DUMMYFUNCTION("IF(ISBLANK(A82),"""",GOOGLETRANSLATE(A82,""en"",""es""))"),"Países atendidos")</f>
        <v>Países atendidos</v>
      </c>
    </row>
    <row r="83">
      <c r="A83" s="10" t="s">
        <v>296</v>
      </c>
      <c r="B83" s="12" t="str">
        <f>IFERROR(__xludf.DUMMYFUNCTION("IF(ISBLANK(A83),"""",GOOGLETRANSLATE(A83,""en"",""es""))"),"Control integral e inteligencia integrada")</f>
        <v>Control integral e inteligencia integrada</v>
      </c>
    </row>
    <row r="84">
      <c r="A84" s="10" t="s">
        <v>893</v>
      </c>
      <c r="B84" s="12" t="str">
        <f>IFERROR(__xludf.DUMMYFUNCTION("IF(ISBLANK(A84),"""",GOOGLETRANSLATE(A84,""en"",""es""))"),"Una plataforma. Todos los interesados.")</f>
        <v>Una plataforma. Todos los interesados.</v>
      </c>
    </row>
    <row r="85">
      <c r="A85" s="10" t="s">
        <v>894</v>
      </c>
      <c r="B85" s="12" t="str">
        <f>IFERROR(__xludf.DUMMYFUNCTION("IF(ISBLANK(A85),"""",GOOGLETRANSLATE(A85,""en"",""es""))"),"Conectar a prestamistas, intermediarios, agentes de campo y clientes en un único ecosistema que impulse la colaboración y la transparencia a lo largo de todo el ciclo de vida de las finanzas y el arrendamiento.")</f>
        <v>Conectar a prestamistas, intermediarios, agentes de campo y clientes en un único ecosistema que impulse la colaboración y la transparencia a lo largo de todo el ciclo de vida de las finanzas y el arrendamiento.</v>
      </c>
    </row>
    <row r="86">
      <c r="A86" s="10" t="s">
        <v>895</v>
      </c>
      <c r="B86" s="12" t="str">
        <f>IFERROR(__xludf.DUMMYFUNCTION("IF(ISBLANK(A86),"""",GOOGLETRANSLATE(A86,""en"",""es""))"),"Recorridos omnicanal")</f>
        <v>Recorridos omnicanal</v>
      </c>
    </row>
    <row r="87">
      <c r="A87" s="10" t="s">
        <v>896</v>
      </c>
      <c r="B87" s="12" t="str">
        <f>IFERROR(__xludf.DUMMYFUNCTION("IF(ISBLANK(A87),"""",GOOGLETRANSLATE(A87,""en"",""es""))"),"Herramientas móviles para equipos de campo")</f>
        <v>Herramientas móviles para equipos de campo</v>
      </c>
    </row>
    <row r="88">
      <c r="A88" s="10" t="s">
        <v>897</v>
      </c>
      <c r="B88" s="12" t="str">
        <f>IFERROR(__xludf.DUMMYFUNCTION("IF(ISBLANK(A88),"""",GOOGLETRANSLATE(A88,""en"",""es""))"),"Sincronización de flujo de trabajo en tiempo real")</f>
        <v>Sincronización de flujo de trabajo en tiempo real</v>
      </c>
    </row>
    <row r="89">
      <c r="A89" s="10" t="s">
        <v>898</v>
      </c>
      <c r="B89" s="12" t="str">
        <f>IFERROR(__xludf.DUMMYFUNCTION("IF(ISBLANK(A89),"""",GOOGLETRANSLATE(A89,""en"",""es""))"),"portales de autoservicio")</f>
        <v>portales de autoservicio</v>
      </c>
    </row>
    <row r="90">
      <c r="A90" s="10" t="s">
        <v>899</v>
      </c>
      <c r="B90" s="12" t="str">
        <f>IFERROR(__xludf.DUMMYFUNCTION("IF(ISBLANK(A90),"""",GOOGLETRANSLATE(A90,""en"",""es""))"),"Impulsado por IA. Conectado mediante API. Nativo de la nube.")</f>
        <v>Impulsado por IA. Conectado mediante API. Nativo de la nube.</v>
      </c>
    </row>
    <row r="91">
      <c r="A91" s="10" t="s">
        <v>900</v>
      </c>
      <c r="B91" s="12" t="str">
        <f>IFERROR(__xludf.DUMMYFUNCTION("IF(ISBLANK(A91),"""",GOOGLETRANSLATE(A91,""en"",""es""))"),"Transcend está diseñado para la escalabilidad y la velocidad, con una arquitectura que se adapta a su negocio y se integra con sus sistemas.")</f>
        <v>Transcend está diseñado para la escalabilidad y la velocidad, con una arquitectura que se adapta a su negocio y se integra con sus sistemas.</v>
      </c>
    </row>
    <row r="92">
      <c r="A92" s="10" t="s">
        <v>901</v>
      </c>
      <c r="B92" s="12" t="str">
        <f>IFERROR(__xludf.DUMMYFUNCTION("IF(ISBLANK(A92),"""",GOOGLETRANSLATE(A92,""en"",""es""))"),"Toma de decisiones basada en IA")</f>
        <v>Toma de decisiones basada en IA</v>
      </c>
    </row>
    <row r="93">
      <c r="A93" s="10" t="s">
        <v>902</v>
      </c>
      <c r="B93" s="12" t="str">
        <f>IFERROR(__xludf.DUMMYFUNCTION("IF(ISBLANK(A93),"""",GOOGLETRANSLATE(A93,""en"",""es""))"),"Arquitectura basada en microservicios")</f>
        <v>Arquitectura basada en microservicios</v>
      </c>
    </row>
    <row r="94">
      <c r="A94" s="10" t="s">
        <v>902</v>
      </c>
      <c r="B94" s="12" t="str">
        <f>IFERROR(__xludf.DUMMYFUNCTION("IF(ISBLANK(A94),"""",GOOGLETRANSLATE(A94,""en"",""es""))"),"Arquitectura basada en microservicios")</f>
        <v>Arquitectura basada en microservicios</v>
      </c>
    </row>
    <row r="95">
      <c r="A95" s="10" t="s">
        <v>903</v>
      </c>
      <c r="B95" s="12" t="str">
        <f>IFERROR(__xludf.DUMMYFUNCTION("IF(ISBLANK(A95),"""",GOOGLETRANSLATE(A95,""en"",""es""))"),"Orientación en cada paso.")</f>
        <v>Orientación en cada paso.</v>
      </c>
    </row>
    <row r="96">
      <c r="A96" s="10" t="s">
        <v>904</v>
      </c>
      <c r="B96" s="12" t="str">
        <f>IFERROR(__xludf.DUMMYFUNCTION("IF(ISBLANK(A96),"""",GOOGLETRANSLATE(A96,""en"",""es""))"),"Desde la implementación hasta la optimización, nuestros especialistas le ayudan a sacar el máximo provecho de Transcend con despliegues más rápidos y un mayor retorno de la inversión.")</f>
        <v>Desde la implementación hasta la optimización, nuestros especialistas le ayudan a sacar el máximo provecho de Transcend con despliegues más rápidos y un mayor retorno de la inversión.</v>
      </c>
    </row>
    <row r="97">
      <c r="A97" s="10" t="s">
        <v>905</v>
      </c>
      <c r="B97" s="12" t="str">
        <f>IFERROR(__xludf.DUMMYFUNCTION("IF(ISBLANK(A97),"""",GOOGLETRANSLATE(A97,""en"",""es""))"),"Despliegue guiado")</f>
        <v>Despliegue guiado</v>
      </c>
    </row>
    <row r="98">
      <c r="A98" s="10" t="s">
        <v>906</v>
      </c>
      <c r="B98" s="12" t="str">
        <f>IFERROR(__xludf.DUMMYFUNCTION("IF(ISBLANK(A98),"""",GOOGLETRANSLATE(A98,""en"",""es""))"),"Formación y capacitación")</f>
        <v>Formación y capacitación</v>
      </c>
    </row>
    <row r="99">
      <c r="A99" s="10" t="s">
        <v>907</v>
      </c>
      <c r="B99" s="12" t="str">
        <f>IFERROR(__xludf.DUMMYFUNCTION("IF(ISBLANK(A99),"""",GOOGLETRANSLATE(A99,""en"",""es""))"),"Apoyo continuo")</f>
        <v>Apoyo continuo</v>
      </c>
    </row>
    <row r="100">
      <c r="A100" s="10" t="s">
        <v>908</v>
      </c>
      <c r="B100" s="12" t="str">
        <f>IFERROR(__xludf.DUMMYFUNCTION("IF(ISBLANK(A100),"""",GOOGLETRANSLATE(A100,""en"",""es""))"),"Seguridad por diseño")</f>
        <v>Seguridad por diseño</v>
      </c>
    </row>
    <row r="101">
      <c r="A101" s="10" t="s">
        <v>909</v>
      </c>
      <c r="B101" s="12" t="str">
        <f>IFERROR(__xludf.DUMMYFUNCTION("IF(ISBLANK(A101),"""",GOOGLETRANSLATE(A101,""en"",""es""))"),"Transcend ofrece capacidades de seguridad y cumplimiento de nivel empresarial, lo que garantiza que los datos confidenciales permanezcan protegidos y que su negocio esté preparado para las auditorías.")</f>
        <v>Transcend ofrece capacidades de seguridad y cumplimiento de nivel empresarial, lo que garantiza que los datos confidenciales permanezcan protegidos y que su negocio esté preparado para las auditorías.</v>
      </c>
    </row>
    <row r="102">
      <c r="A102" s="10" t="s">
        <v>910</v>
      </c>
      <c r="B102" s="12" t="str">
        <f>IFERROR(__xludf.DUMMYFUNCTION("IF(ISBLANK(A102),"""",GOOGLETRANSLATE(A102,""en"",""es""))"),"Certificación ISO 27001")</f>
        <v>Certificación ISO 27001</v>
      </c>
    </row>
    <row r="103">
      <c r="A103" s="10" t="s">
        <v>911</v>
      </c>
      <c r="B103" s="12" t="str">
        <f>IFERROR(__xludf.DUMMYFUNCTION("IF(ISBLANK(A103),"""",GOOGLETRANSLATE(A103,""en"",""es""))"),"Cifrado y gobernanza de datos")</f>
        <v>Cifrado y gobernanza de datos</v>
      </c>
    </row>
    <row r="104">
      <c r="A104" s="10" t="s">
        <v>912</v>
      </c>
      <c r="B104" s="12" t="str">
        <f>IFERROR(__xludf.DUMMYFUNCTION("IF(ISBLANK(A104),"""",GOOGLETRANSLATE(A104,""en"",""es""))"),"SOC gestionado")</f>
        <v>SOC gestionado</v>
      </c>
    </row>
    <row r="105">
      <c r="A105" s="10" t="s">
        <v>913</v>
      </c>
      <c r="B105" s="12" t="str">
        <f>IFERROR(__xludf.DUMMYFUNCTION("IF(ISBLANK(A105),"""",GOOGLETRANSLATE(A105,""en"",""es""))"),"Configurar. Lanzar. Escalar.")</f>
        <v>Configurar. Lanzar. Escalar.</v>
      </c>
    </row>
    <row r="106">
      <c r="A106" s="10" t="s">
        <v>914</v>
      </c>
      <c r="B106" s="12" t="str">
        <f>IFERROR(__xludf.DUMMYFUNCTION("IF(ISBLANK(A106),"""",GOOGLETRANSLATE(A106,""en"",""es""))"),"Sin cuellos de botella de TI. Capacite a los equipos comerciales para diseñar flujos de trabajo, crear interfaces e implementar cambios rápidamente.")</f>
        <v>Sin cuellos de botella de TI. Capacite a los equipos comerciales para diseñar flujos de trabajo, crear interfaces e implementar cambios rápidamente.</v>
      </c>
    </row>
    <row r="107">
      <c r="A107" s="10" t="s">
        <v>915</v>
      </c>
      <c r="B107" s="12" t="str">
        <f>IFERROR(__xludf.DUMMYFUNCTION("IF(ISBLANK(A107),"""",GOOGLETRANSLATE(A107,""en"",""es""))"),"Herramientas de bajo código/sin código")</f>
        <v>Herramientas de bajo código/sin código</v>
      </c>
    </row>
    <row r="108">
      <c r="A108" s="10" t="s">
        <v>916</v>
      </c>
      <c r="B108" s="12" t="str">
        <f>IFERROR(__xludf.DUMMYFUNCTION("IF(ISBLANK(A108),"""",GOOGLETRANSLATE(A108,""en"",""es""))"),"Más de 1000 API predefinidas")</f>
        <v>Más de 1000 API predefinidas</v>
      </c>
    </row>
    <row r="109">
      <c r="A109" s="10" t="s">
        <v>917</v>
      </c>
      <c r="B109" s="12" t="str">
        <f>IFERROR(__xludf.DUMMYFUNCTION("IF(ISBLANK(A109),"""",GOOGLETRANSLATE(A109,""en"",""es""))"),"Mayor rapidez para llegar al mercado")</f>
        <v>Mayor rapidez para llegar al mercado</v>
      </c>
    </row>
    <row r="110">
      <c r="A110" s="10" t="s">
        <v>918</v>
      </c>
      <c r="B110" s="12" t="str">
        <f>IFERROR(__xludf.DUMMYFUNCTION("IF(ISBLANK(A110),"""",GOOGLETRANSLATE(A110,""en"",""es""))"),"Actualizaciones periódicas de productos")</f>
        <v>Actualizaciones periódicas de productos</v>
      </c>
    </row>
    <row r="111">
      <c r="A111" s="10" t="s">
        <v>919</v>
      </c>
      <c r="B111" s="12" t="str">
        <f>IFERROR(__xludf.DUMMYFUNCTION("IF(ISBLANK(A111),"""",GOOGLETRANSLATE(A111,""en"",""es""))"),"99,99% de tiempo de actividad")</f>
        <v>99,99% de tiempo de actividad</v>
      </c>
    </row>
    <row r="112">
      <c r="A112" s="10" t="s">
        <v>920</v>
      </c>
      <c r="B112" s="12" t="str">
        <f>IFERROR(__xludf.DUMMYFUNCTION("IF(ISBLANK(A112),"""",GOOGLETRANSLATE(A112,""en"",""es""))"),"Flexibilidad de producto y mercado")</f>
        <v>Flexibilidad de producto y mercado</v>
      </c>
    </row>
    <row r="113">
      <c r="A113" s="10" t="s">
        <v>921</v>
      </c>
      <c r="B113" s="12" t="str">
        <f>IFERROR(__xludf.DUMMYFUNCTION("IF(ISBLANK(A113),"""",GOOGLETRANSLATE(A113,""en"",""es""))"),"Transcend ofrece soporte para productos financieros complejos y se adapta a las necesidades regulatorias en todos los sectores y regiones geográficas.")</f>
        <v>Transcend ofrece soporte para productos financieros complejos y se adapta a las necesidades regulatorias en todos los sectores y regiones geográficas.</v>
      </c>
    </row>
    <row r="114">
      <c r="A114" s="10" t="s">
        <v>922</v>
      </c>
      <c r="B114" s="12" t="str">
        <f>IFERROR(__xludf.DUMMYFUNCTION("IF(ISBLANK(A114),"""",GOOGLETRANSLATE(A114,""en"",""es""))"),"Automoción, equipos, flotas y más")</f>
        <v>Automoción, equipos, flotas y más</v>
      </c>
    </row>
    <row r="115">
      <c r="A115" s="10" t="s">
        <v>923</v>
      </c>
      <c r="B115" s="12" t="str">
        <f>IFERROR(__xludf.DUMMYFUNCTION("IF(ISBLANK(A115),"""",GOOGLETRANSLATE(A115,""en"",""es""))"),"Varios países, moneda, idioma")</f>
        <v>Varios países, moneda, idioma</v>
      </c>
    </row>
    <row r="116">
      <c r="A116" s="10" t="s">
        <v>924</v>
      </c>
      <c r="B116" s="12" t="str">
        <f>IFERROR(__xludf.DUMMYFUNCTION("IF(ISBLANK(A116),"""",GOOGLETRANSLATE(A116,""en"",""es""))"),"Cumplimiento local en más de 30 mercados")</f>
        <v>Cumplimiento local en más de 30 mercados</v>
      </c>
    </row>
    <row r="117">
      <c r="A117" s="10" t="s">
        <v>925</v>
      </c>
      <c r="B117" s="12" t="str">
        <f>IFERROR(__xludf.DUMMYFUNCTION("IF(ISBLANK(A117),"""",GOOGLETRANSLATE(A117,""en"",""es""))"),"MINI se asocia con NETSOL para impulsar su nueva era de experiencia en la venta minorista de automóviles.")</f>
        <v>MINI se asocia con NETSOL para impulsar su nueva era de experiencia en la venta minorista de automóviles.</v>
      </c>
    </row>
    <row r="118">
      <c r="A118" s="10" t="s">
        <v>926</v>
      </c>
      <c r="B118" s="12" t="str">
        <f>IFERROR(__xludf.DUMMYFUNCTION("IF(ISBLANK(A118),"""",GOOGLETRANSLATE(A118,""en"",""es""))"),"En MINI, decidimos que era hora de crear una experiencia integral de compra y financiación para el consumidor, y era importante crear algo más que un simple generador de clientes potenciales para facilitar la transacción completa a cualquier cliente de MI"&amp;"NI, en cualquier lugar y en cualquier momento. Nuestra colaboración con NETSOL nos ha permitido no solo alcanzar a los líderes del sector, sino también establecer nuevos estándares en la venta digital de automóviles, algo que los actores habituales del se"&amp;"ctor no podían ofrecer.")</f>
        <v>En MINI, decidimos que era hora de crear una experiencia integral de compra y financiación para el consumidor, y era importante crear algo más que un simple generador de clientes potenciales para facilitar la transacción completa a cualquier cliente de MINI, en cualquier lugar y en cualquier momento. Nuestra colaboración con NETSOL nos ha permitido no solo alcanzar a los líderes del sector, sino también establecer nuevos estándares en la venta digital de automóviles, algo que los actores habituales del sector no podían ofrecer.</v>
      </c>
    </row>
    <row r="119">
      <c r="A119" s="10" t="s">
        <v>400</v>
      </c>
      <c r="B119" s="12" t="str">
        <f>IFERROR(__xludf.DUMMYFUNCTION("IF(ISBLANK(A119),"""",GOOGLETRANSLATE(A119,""en"",""es""))"),"¿Listo para trascender?")</f>
        <v>¿Listo para trascender?</v>
      </c>
    </row>
    <row r="120">
      <c r="A120" s="10" t="s">
        <v>352</v>
      </c>
      <c r="B120" s="12" t="str">
        <f>IFERROR(__xludf.DUMMYFUNCTION("IF(ISBLANK(A120),"""",GOOGLETRANSLATE(A120,""en"",""es""))"),"Explore nuestra plataforma completa o sus soluciones individuales para preparar su negocio para el futuro y obtener una clara ventaja competitiva en el panorama actual en constante evolución.")</f>
        <v>Explore nuestra plataforma completa o sus soluciones individuales para preparar su negocio para el futuro y obtener una clara ventaja competitiva en el panorama actual en constante evolución.</v>
      </c>
    </row>
    <row r="121">
      <c r="A121" s="10" t="s">
        <v>760</v>
      </c>
      <c r="B121" s="12" t="str">
        <f>IFERROR(__xludf.DUMMYFUNCTION("IF(ISBLANK(A121),"""",GOOGLETRANSLATE(A121,""en"",""es""))"),"Conéctate con nosotros")</f>
        <v>Conéctate con nosotros</v>
      </c>
    </row>
    <row r="122">
      <c r="A122" s="10" t="s">
        <v>116</v>
      </c>
      <c r="B122" s="12" t="str">
        <f>IFERROR(__xludf.DUMMYFUNCTION("IF(ISBLANK(A122),"""",GOOGLETRANSLATE(A122,""en"",""es""))"),"Lecturas y reflexiones destacadas")</f>
        <v>Lecturas y reflexiones destacadas</v>
      </c>
    </row>
    <row r="123">
      <c r="A123" s="17" t="s">
        <v>117</v>
      </c>
      <c r="B123" s="12" t="str">
        <f>IFERROR(__xludf.DUMMYFUNCTION("IF(ISBLANK(A123),"""",GOOGLETRANSLATE(A123,""en"",""es""))"),"Manténgase informado con las últimas novedades de NETSOL. Liderazgo de opinión, actualizaciones de productos, perspectivas de la industria y noticias de la empresa, todo en un solo lugar.")</f>
        <v>Manténgase informado con las últimas novedades de NETSOL. Liderazgo de opinión, actualizaciones de productos, perspectivas de la industria y noticias de la empresa, todo en un solo lugar.</v>
      </c>
    </row>
    <row r="124">
      <c r="A124" s="10" t="s">
        <v>118</v>
      </c>
      <c r="B124" s="12" t="str">
        <f>IFERROR(__xludf.DUMMYFUNCTION("IF(ISBLANK(A124),"""",GOOGLETRANSLATE(A124,""en"",""es""))"),"Blog")</f>
        <v>Blog</v>
      </c>
    </row>
    <row r="125">
      <c r="A125" s="10" t="s">
        <v>119</v>
      </c>
      <c r="B125" s="12" t="str">
        <f>IFERROR(__xludf.DUMMYFUNCTION("IF(ISBLANK(A125),"""",GOOGLETRANSLATE(A125,""en"",""es""))"),"Más allá del DMS: Por qué el futuro de la venta minorista de automóviles se basa en las API")</f>
        <v>Más allá del DMS: Por qué el futuro de la venta minorista de automóviles se basa en las API</v>
      </c>
    </row>
    <row r="126">
      <c r="A126" s="10" t="s">
        <v>36</v>
      </c>
      <c r="B126" s="12" t="str">
        <f>IFERROR(__xludf.DUMMYFUNCTION("IF(ISBLANK(A126),"""",GOOGLETRANSLATE(A126,""en"",""es""))"),"Más información")</f>
        <v>Más información</v>
      </c>
    </row>
    <row r="127">
      <c r="A127" s="10" t="s">
        <v>118</v>
      </c>
      <c r="B127" s="12" t="str">
        <f>IFERROR(__xludf.DUMMYFUNCTION("IF(ISBLANK(A127),"""",GOOGLETRANSLATE(A127,""en"",""es""))"),"Blog")</f>
        <v>Blog</v>
      </c>
    </row>
    <row r="128">
      <c r="A128" s="10" t="s">
        <v>120</v>
      </c>
      <c r="B128" s="12" t="str">
        <f>IFERROR(__xludf.DUMMYFUNCTION("IF(ISBLANK(A128),"""",GOOGLETRANSLATE(A128,""en"",""es""))"),"NETSOL estará presente en la Conferencia y Premios GlobalData Automotive Europe 2025.")</f>
        <v>NETSOL estará presente en la Conferencia y Premios GlobalData Automotive Europe 2025.</v>
      </c>
    </row>
    <row r="129">
      <c r="A129" s="10" t="s">
        <v>36</v>
      </c>
      <c r="B129" s="12" t="str">
        <f>IFERROR(__xludf.DUMMYFUNCTION("IF(ISBLANK(A129),"""",GOOGLETRANSLATE(A129,""en"",""es""))"),"Más información")</f>
        <v>Más información</v>
      </c>
    </row>
    <row r="130">
      <c r="A130" s="10" t="s">
        <v>118</v>
      </c>
      <c r="B130" s="12" t="str">
        <f>IFERROR(__xludf.DUMMYFUNCTION("IF(ISBLANK(A130),"""",GOOGLETRANSLATE(A130,""en"",""es""))"),"Blog")</f>
        <v>Blog</v>
      </c>
    </row>
    <row r="131">
      <c r="A131" s="10" t="s">
        <v>121</v>
      </c>
      <c r="B131" s="12" t="str">
        <f>IFERROR(__xludf.DUMMYFUNCTION("IF(ISBLANK(A131),"""",GOOGLETRANSLATE(A131,""en"",""es""))"),"NETSOL participa en la 25ª Cumbre Anual de Financiación Automotriz: Impulsando el futuro de la financiación automotriz")</f>
        <v>NETSOL participa en la 25ª Cumbre Anual de Financiación Automotriz: Impulsando el futuro de la financiación automotriz</v>
      </c>
    </row>
    <row r="132">
      <c r="A132" s="10" t="s">
        <v>36</v>
      </c>
      <c r="B132" s="12" t="str">
        <f>IFERROR(__xludf.DUMMYFUNCTION("IF(ISBLANK(A132),"""",GOOGLETRANSLATE(A132,""en"",""es""))"),"Más información")</f>
        <v>Más información</v>
      </c>
    </row>
    <row r="133">
      <c r="A133" s="10" t="s">
        <v>118</v>
      </c>
      <c r="B133" s="12" t="str">
        <f>IFERROR(__xludf.DUMMYFUNCTION("IF(ISBLANK(A133),"""",GOOGLETRANSLATE(A133,""en"",""es""))"),"Blog")</f>
        <v>Blog</v>
      </c>
    </row>
    <row r="134">
      <c r="A134" s="10" t="s">
        <v>122</v>
      </c>
      <c r="B134" s="12" t="str">
        <f>IFERROR(__xludf.DUMMYFUNCTION("IF(ISBLANK(A134),"""",GOOGLETRANSLATE(A134,""en"",""es""))"),"NETSOL está presente en Digital Dealer 2025: Impulsando el futuro de la venta minorista de automóviles.")</f>
        <v>NETSOL está presente en Digital Dealer 2025: Impulsando el futuro de la venta minorista de automóviles.</v>
      </c>
    </row>
    <row r="135">
      <c r="A135" s="10" t="s">
        <v>36</v>
      </c>
      <c r="B135" s="12" t="str">
        <f>IFERROR(__xludf.DUMMYFUNCTION("IF(ISBLANK(A135),"""",GOOGLETRANSLATE(A135,""en"",""es""))"),"Más información")</f>
        <v>Más información</v>
      </c>
    </row>
    <row r="136">
      <c r="A136" s="10" t="s">
        <v>118</v>
      </c>
      <c r="B136" s="12" t="str">
        <f>IFERROR(__xludf.DUMMYFUNCTION("IF(ISBLANK(A136),"""",GOOGLETRANSLATE(A136,""en"",""es""))"),"Blog")</f>
        <v>Blog</v>
      </c>
    </row>
    <row r="137">
      <c r="A137" s="13" t="s">
        <v>123</v>
      </c>
      <c r="B137" s="12" t="str">
        <f>IFERROR(__xludf.DUMMYFUNCTION("IF(ISBLANK(A137),"""",GOOGLETRANSLATE(A137,""en"",""es""))"),"La IA en el sector BFSI: revolucionando la gestión de riesgos")</f>
        <v>La IA en el sector BFSI: revolucionando la gestión de riesgos</v>
      </c>
    </row>
    <row r="138">
      <c r="A138" s="10" t="s">
        <v>36</v>
      </c>
      <c r="B138" s="12" t="str">
        <f>IFERROR(__xludf.DUMMYFUNCTION("IF(ISBLANK(A138),"""",GOOGLETRANSLATE(A138,""en"",""es""))"),"Más información")</f>
        <v>Más información</v>
      </c>
    </row>
    <row r="139">
      <c r="A139" s="10" t="s">
        <v>118</v>
      </c>
      <c r="B139" s="12" t="str">
        <f>IFERROR(__xludf.DUMMYFUNCTION("IF(ISBLANK(A139),"""",GOOGLETRANSLATE(A139,""en"",""es""))"),"Blog")</f>
        <v>Blog</v>
      </c>
    </row>
    <row r="140">
      <c r="A140" s="10" t="s">
        <v>124</v>
      </c>
      <c r="B140" s="12" t="str">
        <f>IFERROR(__xludf.DUMMYFUNCTION("IF(ISBLANK(A140),"""",GOOGLETRANSLATE(A140,""en"",""es""))"),"La importancia de la personalización en el servicio al cliente: Adaptación de la gestión de pagos y disputas a las necesidades de cada cliente.")</f>
        <v>La importancia de la personalización en el servicio al cliente: Adaptación de la gestión de pagos y disputas a las necesidades de cada cliente.</v>
      </c>
    </row>
    <row r="141">
      <c r="A141" s="10" t="s">
        <v>36</v>
      </c>
      <c r="B141" s="12" t="str">
        <f>IFERROR(__xludf.DUMMYFUNCTION("IF(ISBLANK(A141),"""",GOOGLETRANSLATE(A141,""en"",""es""))"),"Más información")</f>
        <v>Más información</v>
      </c>
    </row>
    <row r="142">
      <c r="A142" s="10" t="s">
        <v>118</v>
      </c>
      <c r="B142" s="12" t="str">
        <f>IFERROR(__xludf.DUMMYFUNCTION("IF(ISBLANK(A142),"""",GOOGLETRANSLATE(A142,""en"",""es""))"),"Blog")</f>
        <v>Blog</v>
      </c>
    </row>
    <row r="143">
      <c r="A143" s="10" t="s">
        <v>125</v>
      </c>
      <c r="B143" s="12" t="str">
        <f>IFERROR(__xludf.DUMMYFUNCTION("IF(ISBLANK(A143),"""",GOOGLETRANSLATE(A143,""en"",""es""))"),"El verdadero coste de los sistemas desconectados en la venta minorista de automóviles")</f>
        <v>El verdadero coste de los sistemas desconectados en la venta minorista de automóviles</v>
      </c>
    </row>
    <row r="144">
      <c r="A144" s="10" t="s">
        <v>36</v>
      </c>
      <c r="B144" s="12" t="str">
        <f>IFERROR(__xludf.DUMMYFUNCTION("IF(ISBLANK(A144),"""",GOOGLETRANSLATE(A144,""en"",""es""))"),"Más información")</f>
        <v>Más información</v>
      </c>
    </row>
    <row r="145">
      <c r="A145" s="10" t="s">
        <v>118</v>
      </c>
      <c r="B145" s="12" t="str">
        <f>IFERROR(__xludf.DUMMYFUNCTION("IF(ISBLANK(A145),"""",GOOGLETRANSLATE(A145,""en"",""es""))"),"Blog")</f>
        <v>Blog</v>
      </c>
    </row>
    <row r="146">
      <c r="A146" s="10" t="s">
        <v>126</v>
      </c>
      <c r="B146" s="12" t="str">
        <f>IFERROR(__xludf.DUMMYFUNCTION("IF(ISBLANK(A146),"""",GOOGLETRANSLATE(A146,""en"",""es""))"),"Las entidades financieras cautivas del futuro: Cómo la tecnología está redefiniendo las operaciones financieras cautivas - Ideas clave del seminario web de AFSA")</f>
        <v>Las entidades financieras cautivas del futuro: Cómo la tecnología está redefiniendo las operaciones financieras cautivas - Ideas clave del seminario web de AFSA</v>
      </c>
    </row>
    <row r="147">
      <c r="A147" s="10" t="s">
        <v>36</v>
      </c>
      <c r="B147" s="12" t="str">
        <f>IFERROR(__xludf.DUMMYFUNCTION("IF(ISBLANK(A147),"""",GOOGLETRANSLATE(A147,""en"",""es""))"),"Más información")</f>
        <v>Más información</v>
      </c>
    </row>
    <row r="148">
      <c r="A148" s="10" t="s">
        <v>118</v>
      </c>
      <c r="B148" s="12" t="str">
        <f>IFERROR(__xludf.DUMMYFUNCTION("IF(ISBLANK(A148),"""",GOOGLETRANSLATE(A148,""en"",""es""))"),"Blog")</f>
        <v>Blog</v>
      </c>
    </row>
    <row r="149">
      <c r="A149" s="10" t="s">
        <v>127</v>
      </c>
      <c r="B149" s="12" t="str">
        <f>IFERROR(__xludf.DUMMYFUNCTION("IF(ISBLANK(A149),"""",GOOGLETRANSLATE(A149,""en"",""es""))"),"Lucha contra el fraude en las finanzas mayoristas: Aprovechamiento de la tecnología para la detección temprana y la mitigación de riesgos")</f>
        <v>Lucha contra el fraude en las finanzas mayoristas: Aprovechamiento de la tecnología para la detección temprana y la mitigación de riesgos</v>
      </c>
    </row>
    <row r="150">
      <c r="A150" s="10" t="s">
        <v>36</v>
      </c>
      <c r="B150" s="12" t="str">
        <f>IFERROR(__xludf.DUMMYFUNCTION("IF(ISBLANK(A150),"""",GOOGLETRANSLATE(A150,""en"",""es""))"),"Más información")</f>
        <v>Más información</v>
      </c>
    </row>
    <row r="151">
      <c r="A151" s="10" t="s">
        <v>130</v>
      </c>
      <c r="B151" s="12" t="str">
        <f>IFERROR(__xludf.DUMMYFUNCTION("IF(ISBLANK(A151),"""",GOOGLETRANSLATE(A151,""en"",""es""))"),"Suscríbase a nuestro boletín para recibir las últimas noticias en su correo electrónico.")</f>
        <v>Suscríbase a nuestro boletín para recibir las últimas noticias en su correo electrónico.</v>
      </c>
    </row>
    <row r="152">
      <c r="A152" s="10" t="s">
        <v>131</v>
      </c>
      <c r="B152" s="12" t="str">
        <f>IFERROR(__xludf.DUMMYFUNCTION("IF(ISBLANK(A152),"""",GOOGLETRANSLATE(A152,""en"",""es""))"),"abc@example.com")</f>
        <v>abc@example.com</v>
      </c>
    </row>
    <row r="153">
      <c r="A153" s="10" t="s">
        <v>132</v>
      </c>
      <c r="B153" s="12" t="str">
        <f>IFERROR(__xludf.DUMMYFUNCTION("IF(ISBLANK(A153),"""",GOOGLETRANSLATE(A153,""en"",""es""))"),"Suscríbete")</f>
        <v>Suscríbete</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88"/>
  </cols>
  <sheetData>
    <row r="1">
      <c r="A1" s="3" t="s">
        <v>0</v>
      </c>
      <c r="B1" s="3" t="s">
        <v>133</v>
      </c>
    </row>
    <row r="2">
      <c r="A2" s="10" t="s">
        <v>927</v>
      </c>
      <c r="B2" s="12" t="str">
        <f>IFERROR(__xludf.DUMMYFUNCTION("IF(ISBLANK(A2),"""",GOOGLETRANSLATE(A2,""en"",""es""))"),"Condiciones de uso del sitio web")</f>
        <v>Condiciones de uso del sitio web</v>
      </c>
    </row>
    <row r="3">
      <c r="A3" s="10" t="s">
        <v>928</v>
      </c>
      <c r="B3" s="12" t="str">
        <f>IFERROR(__xludf.DUMMYFUNCTION("IF(ISBLANK(A3),"""",GOOGLETRANSLATE(A3,""en"",""es""))"),"Bienvenido al sitio web de NetSol Technologies, Inc. («Netsol») («Sitio Web»). NetSol ofrece y pone a su disposición este Sitio Web sujeto a los siguientes términos de uso («Términos»). Estos Términos establecen un acuerdo contractual entre usted («usuari"&amp;"o», «usted», «su») y NetSol con respecto al uso de este Sitio Web. Le recomendamos imprimir una copia de estos Términos para sus archivos. Tenga en cuenta que NetSol podrá actualizar y modificar estos Términos periódicamente, según lo considere necesario "&amp;"a su entera discreción.")</f>
        <v>Bienvenido al sitio web de NetSol Technologies, Inc. («Netsol») («Sitio Web»). NetSol ofrece y pone a su disposición este Sitio Web sujeto a los siguientes términos de uso («Términos»). Estos Términos establecen un acuerdo contractual entre usted («usuario», «usted», «su») y NetSol con respecto al uso de este Sitio Web. Le recomendamos imprimir una copia de estos Términos para sus archivos. Tenga en cuenta que NetSol podrá actualizar y modificar estos Términos periódicamente, según lo considere necesario a su entera discreción.</v>
      </c>
    </row>
    <row r="4">
      <c r="A4" s="10" t="s">
        <v>929</v>
      </c>
      <c r="B4" s="12" t="str">
        <f>IFERROR(__xludf.DUMMYFUNCTION("IF(ISBLANK(A4),"""",GOOGLETRANSLATE(A4,""en"",""es""))"),"1. LO QUE DEBES SABER Y CÓMO SE PUEDEN REALIZAR CAMBIOS")</f>
        <v>1. LO QUE DEBES SABER Y CÓMO SE PUEDEN REALIZAR CAMBIOS</v>
      </c>
    </row>
    <row r="5">
      <c r="A5" s="10" t="s">
        <v>930</v>
      </c>
      <c r="B5" s="12" t="str">
        <f>IFERROR(__xludf.DUMMYFUNCTION("IF(ISBLANK(A5),"""",GOOGLETRANSLATE(A5,""en"",""es""))"),"El objetivo principal de este sitio web es brindarle acceso a información sobre las empresas, instalaciones, servicios, productos y enlaces relacionados de NetSol para satisfacer sus necesidades con respecto a estas empresas, instalaciones, servicios y pr"&amp;"oductos (el «Contenido»). Estos Términos están diseñados para proteger a todos los visitantes y usuarios de este sitio web, y su acceso y uso del mismo implica su aceptación de estos Términos. NO UTILICE ESTE SITIO WEB SI NO ESTÁ DE ACUERDO CON ESTOS TÉRM"&amp;"INOS. NetSol se reserva el derecho, a su entera discreción, de modificar, alterar o actualizar estos Términos, o de cambiar o eliminar cualquier función de este sitio web, en cualquier momento. Dichas modificaciones, alteraciones y actualizaciones de los "&amp;"Términos entrarán en vigor inmediatamente después de su publicación. Usted acepta quedar vinculado por dichos Términos modificados, alterados y actualizados si accede o utiliza este sitio web después de que NetSol haya publicado un aviso de dichas modific"&amp;"aciones, alteraciones o actualizaciones. SI NO ESTÁ DE ACUERDO CON ALGUNO DE LOS TÉRMINOS MODIFICADOS, ALTERADOS O ACTUALIZADOS, NO DEBE UTILIZAR ESTE SITIO WEB DESPUÉS DE QUE DICHAS MODIFICACIONES, ALTERACIONES O ACTUALIZACIONES SE HAYAN PUBLICADO.")</f>
        <v>El objetivo principal de este sitio web es brindarle acceso a información sobre las empresas, instalaciones, servicios, productos y enlaces relacionados de NetSol para satisfacer sus necesidades con respecto a estas empresas, instalaciones, servicios y productos (el «Contenido»). Estos Términos están diseñados para proteger a todos los visitantes y usuarios de este sitio web, y su acceso y uso del mismo implica su aceptación de estos Términos. NO UTILICE ESTE SITIO WEB SI NO ESTÁ DE ACUERDO CON ESTOS TÉRMINOS. NetSol se reserva el derecho, a su entera discreción, de modificar, alterar o actualizar estos Términos, o de cambiar o eliminar cualquier función de este sitio web, en cualquier momento. Dichas modificaciones, alteraciones y actualizaciones de los Términos entrarán en vigor inmediatamente después de su publicación. Usted acepta quedar vinculado por dichos Términos modificados, alterados y actualizados si accede o utiliza este sitio web después de que NetSol haya publicado un aviso de dichas modificaciones, alteraciones o actualizaciones. SI NO ESTÁ DE ACUERDO CON ALGUNO DE LOS TÉRMINOS MODIFICADOS, ALTERADOS O ACTUALIZADOS, NO DEBE UTILIZAR ESTE SITIO WEB DESPUÉS DE QUE DICHAS MODIFICACIONES, ALTERACIONES O ACTUALIZACIONES SE HAYAN PUBLICADO.</v>
      </c>
    </row>
    <row r="6">
      <c r="A6" s="10" t="s">
        <v>931</v>
      </c>
      <c r="B6" s="12" t="str">
        <f>IFERROR(__xludf.DUMMYFUNCTION("IF(ISBLANK(A6),"""",GOOGLETRANSLATE(A6,""en"",""es""))"),"Este sitio web le permite acceder a otros sitios web, tanto afiliados como no afiliados a este sitio web y/o a NetSol. Estos sitios web enlazados, incluidos los de las empresas afiliadas a NetSol, así como los de sus proveedores de contenido, comerciantes"&amp;", socios comerciales, patrocinadores y licenciantes (en adelante, los «Proveedores»), pueden tener condiciones de uso diferentes a las presentes Condiciones. El acceso y uso que usted haga de dichos sitios web enlazados a través de los enlaces proporciona"&amp;"dos en este sitio web no se rige por estas Condiciones, sino por las condiciones de uso y las políticas de dichos sitios web. NetSol se exime de toda responsabilidad por su acceso y uso de dichos sitios web enlazados.")</f>
        <v>Este sitio web le permite acceder a otros sitios web, tanto afiliados como no afiliados a este sitio web y/o a NetSol. Estos sitios web enlazados, incluidos los de las empresas afiliadas a NetSol, así como los de sus proveedores de contenido, comerciantes, socios comerciales, patrocinadores y licenciantes (en adelante, los «Proveedores»), pueden tener condiciones de uso diferentes a las presentes Condiciones. El acceso y uso que usted haga de dichos sitios web enlazados a través de los enlaces proporcionados en este sitio web no se rige por estas Condiciones, sino por las condiciones de uso y las políticas de dichos sitios web. NetSol se exime de toda responsabilidad por su acceso y uso de dichos sitios web enlazados.</v>
      </c>
    </row>
    <row r="7">
      <c r="A7" s="10" t="s">
        <v>932</v>
      </c>
      <c r="B7" s="12" t="str">
        <f>IFERROR(__xludf.DUMMYFUNCTION("IF(ISBLANK(A7),"""",GOOGLETRANSLATE(A7,""en"",""es""))"),"Debe tener en cuenta que estas Condiciones contienen cláusulas adicionales de exención de responsabilidad y limitaciones a la responsabilidad de NetSol, que se encuentran en las secciones 9 y 10 a continuación. Léalas atentamente y asegúrese de comprender"&amp;"las antes de continuar utilizando este sitio web.")</f>
        <v>Debe tener en cuenta que estas Condiciones contienen cláusulas adicionales de exención de responsabilidad y limitaciones a la responsabilidad de NetSol, que se encuentran en las secciones 9 y 10 a continuación. Léalas atentamente y asegúrese de comprenderlas antes de continuar utilizando este sitio web.</v>
      </c>
    </row>
    <row r="8">
      <c r="A8" s="10" t="s">
        <v>933</v>
      </c>
      <c r="B8" s="12" t="str">
        <f>IFERROR(__xludf.DUMMYFUNCTION("IF(ISBLANK(A8),"""",GOOGLETRANSLATE(A8,""en"",""es""))"),"2. PRIVACIDAD")</f>
        <v>2. PRIVACIDAD</v>
      </c>
    </row>
    <row r="9">
      <c r="A9" s="10" t="s">
        <v>934</v>
      </c>
      <c r="B9" s="12" t="str">
        <f>IFERROR(__xludf.DUMMYFUNCTION("IF(ISBLANK(A9),"""",GOOGLETRANSLATE(A9,""en"",""es""))"),"Los datos de registro y otra información personal que usted proporcione a NetSol a través de este sitio web están sujetos a la Política de Privacidad de NetSol. Para obtener más información sobre el uso y la protección de su información por parte de NetSo"&amp;"l, consulte su Política de Privacidad en Internet.")</f>
        <v>Los datos de registro y otra información personal que usted proporcione a NetSol a través de este sitio web están sujetos a la Política de Privacidad de NetSol. Para obtener más información sobre el uso y la protección de su información por parte de NetSol, consulte su Política de Privacidad en Internet.</v>
      </c>
    </row>
    <row r="10">
      <c r="A10" s="10" t="s">
        <v>935</v>
      </c>
      <c r="B10" s="12" t="str">
        <f>IFERROR(__xludf.DUMMYFUNCTION("IF(ISBLANK(A10),"""",GOOGLETRANSLATE(A10,""en"",""es""))"),"3. USO DE ESTE SITIO WEB Y DERECHOS DE PROPIEDAD INTELECTUAL")</f>
        <v>3. USO DE ESTE SITIO WEB Y DERECHOS DE PROPIEDAD INTELECTUAL</v>
      </c>
    </row>
    <row r="11">
      <c r="A11" s="10" t="s">
        <v>936</v>
      </c>
      <c r="B11" s="12" t="str">
        <f>IFERROR(__xludf.DUMMYFUNCTION("IF(ISBLANK(A11),"""",GOOGLETRANSLATE(A11,""en"",""es""))"),"NetSol controla y opera este sitio web (ya sea directamente o a través de sus proveedores de alojamiento). Todo el contenido de este sitio web, incluyendo, entre otros, texto, imágenes, ilustraciones, gráficos, logotipos, descargas digitales, datos, softw"&amp;"are, encabezados, iconos, scripts, clips de audio y clips de vídeo, es propiedad de NetSol o de sus proveedores y está protegido por derechos de autor, marcas registradas, marcas de servicio y otros derechos de propiedad intelectual (que se rigen por las "&amp;"leyes y tratados internacionales y de derechos de autor de Estados Unidos, las leyes de privacidad y publicidad, y las normas y leyes de comunicaciones). El contenido es propiedad de NetSol, sus entidades afiliadas o relacionadas, o los proveedores que ha"&amp;"n otorgado a NetSol la licencia o el derecho a comercializar sus productos o servicios, y está controlado por ellos. El contenido de este sitio web o de cualquier otro sitio web propiedad de, operado por, licenciado a o controlado por los Proveedores es e"&amp;"xclusivamente para su uso personal y no comercial, y no podrá utilizarse de ninguna manera que pueda causar confusión entre los clientes de NetSol, otros usuarios de este sitio web o el público en general. Usted acepta cumplir con todos los avisos, inform"&amp;"ación o restricciones adicionales sobre derechos de autor que se incluyan en el contenido.")</f>
        <v>NetSol controla y opera este sitio web (ya sea directamente o a través de sus proveedores de alojamiento). Todo el contenido de este sitio web, incluyendo, entre otros, texto, imágenes, ilustraciones, gráficos, logotipos, descargas digitales, datos, software, encabezados, iconos, scripts, clips de audio y clips de vídeo, es propiedad de NetSol o de sus proveedores y está protegido por derechos de autor, marcas registradas, marcas de servicio y otros derechos de propiedad intelectual (que se rigen por las leyes y tratados internacionales y de derechos de autor de Estados Unidos, las leyes de privacidad y publicidad, y las normas y leyes de comunicaciones). El contenido es propiedad de NetSol, sus entidades afiliadas o relacionadas, o los proveedores que han otorgado a NetSol la licencia o el derecho a comercializar sus productos o servicios, y está controlado por ellos. El contenido de este sitio web o de cualquier otro sitio web propiedad de, operado por, licenciado a o controlado por los Proveedores es exclusivamente para su uso personal y no comercial, y no podrá utilizarse de ninguna manera que pueda causar confusión entre los clientes de NetSol, otros usuarios de este sitio web o el público en general. Usted acepta cumplir con todos los avisos, información o restricciones adicionales sobre derechos de autor que se incluyan en el contenido.</v>
      </c>
    </row>
    <row r="12">
      <c r="A12" s="10" t="s">
        <v>937</v>
      </c>
      <c r="B12" s="12" t="str">
        <f>IFERROR(__xludf.DUMMYFUNCTION("IF(ISBLANK(A12),"""",GOOGLETRANSLATE(A12,""en"",""es""))"),"Usted puede descargar o realizar una sola copia de cualquier Contenido de este Sitio Web exclusivamente para su uso personal y no comercial, de conformidad con estos Términos, siempre que conserve todos los avisos de derechos de autor y demás avisos inclu"&amp;"idos en dicho Contenido. Salvo que se especifique lo contrario anteriormente, no podrá copiar, reproducir, duplicar, republicar, cargar, publicar, transmitir, distribuir, vender ni explotar el Contenido de ninguna manera (incluido el correo electrónico u "&amp;"otros medios electrónicos) para uso comercial sin el consentimiento previo por escrito de NetSol o los Proveedores. Puede solicitar dicho consentimiento enviando una solicitud por fax al Departamento Legal de NetSol al 818.222.9197. La modificación del Co"&amp;"ntenido, su uso en cualquier otro sitio web vinculado o entorno informático en red, o su uso para cualquier fin distinto al uso personal y no comercial, sin el consentimiento previo por escrito de NetSol o los Proveedores, infringe los derechos de propied"&amp;"ad intelectual y los derechos de propiedad de los titulares del Contenido y está estrictamente prohibido.")</f>
        <v>Usted puede descargar o realizar una sola copia de cualquier Contenido de este Sitio Web exclusivamente para su uso personal y no comercial, de conformidad con estos Términos, siempre que conserve todos los avisos de derechos de autor y demás avisos incluidos en dicho Contenido. Salvo que se especifique lo contrario anteriormente, no podrá copiar, reproducir, duplicar, republicar, cargar, publicar, transmitir, distribuir, vender ni explotar el Contenido de ninguna manera (incluido el correo electrónico u otros medios electrónicos) para uso comercial sin el consentimiento previo por escrito de NetSol o los Proveedores. Puede solicitar dicho consentimiento enviando una solicitud por fax al Departamento Legal de NetSol al 818.222.9197. La modificación del Contenido, su uso en cualquier otro sitio web vinculado o entorno informático en red, o su uso para cualquier fin distinto al uso personal y no comercial, sin el consentimiento previo por escrito de NetSol o los Proveedores, infringe los derechos de propiedad intelectual y los derechos de propiedad de los titulares del Contenido y está estrictamente prohibido.</v>
      </c>
    </row>
    <row r="13">
      <c r="A13" s="10" t="s">
        <v>938</v>
      </c>
      <c r="B13" s="12" t="str">
        <f>IFERROR(__xludf.DUMMYFUNCTION("IF(ISBLANK(A13),"""",GOOGLETRANSLATE(A13,""en"",""es""))"),"No podrá utilizar ninguna marca registrada o no registrada, marca de servicio, material protegido por derechos de autor ni otra información de propiedad exclusiva o propiedad intelectual que aparezca en este sitio web, incluyendo, entre otros, logotipos, "&amp;"imágenes o personajes, así como metaetiquetas, código similar, texto oculto o elementos que contengan dicha información o propiedad, sin el consentimiento expreso por escrito del propietario de la marca o los derechos de autor. No podrá enmarcar ninguna m"&amp;"arca registrada, marca de servicio, derecho de autor, logotipo, imagen, texto ni otra información de propiedad exclusiva o propiedad intelectual de NetSol, ni incorporar de ninguna otra forma en otro sitio web ningún contenido ni otro material de este sit"&amp;"io web, sin el consentimiento previo y expreso por escrito de NetSol. No podrá crear enlaces directos a ninguna página o sección de este sitio web sin el consentimiento previo por escrito de NetSol. Sin embargo, podrá crear o proporcionar un enlace de hip"&amp;"ertexto o hipervínculo a la página de inicio de este sitio web, siempre que no realice ni atribuya a NetSol, sus entidades afiliadas o relacionadas o proveedores ninguna declaración falsa, engañosa, difamatoria, calumniosa, despectiva u ofensiva. Dicho en"&amp;"lace no podrá incluir logotipos, gráficos ni marcas comerciales de NetSol, sus entidades afiliadas o relacionadas ni sus proveedores sin el consentimiento previo y expreso por escrito de NetSol.")</f>
        <v>No podrá utilizar ninguna marca registrada o no registrada, marca de servicio, material protegido por derechos de autor ni otra información de propiedad exclusiva o propiedad intelectual que aparezca en este sitio web, incluyendo, entre otros, logotipos, imágenes o personajes, así como metaetiquetas, código similar, texto oculto o elementos que contengan dicha información o propiedad, sin el consentimiento expreso por escrito del propietario de la marca o los derechos de autor. No podrá enmarcar ninguna marca registrada, marca de servicio, derecho de autor, logotipo, imagen, texto ni otra información de propiedad exclusiva o propiedad intelectual de NetSol, ni incorporar de ninguna otra forma en otro sitio web ningún contenido ni otro material de este sitio web, sin el consentimiento previo y expreso por escrito de NetSol. No podrá crear enlaces directos a ninguna página o sección de este sitio web sin el consentimiento previo por escrito de NetSol. Sin embargo, podrá crear o proporcionar un enlace de hipertexto o hipervínculo a la página de inicio de este sitio web, siempre que no realice ni atribuya a NetSol, sus entidades afiliadas o relacionadas o proveedores ninguna declaración falsa, engañosa, difamatoria, calumniosa, despectiva u ofensiva. Dicho enlace no podrá incluir logotipos, gráficos ni marcas comerciales de NetSol, sus entidades afiliadas o relacionadas ni sus proveedores sin el consentimiento previo y expreso por escrito de NetSol.</v>
      </c>
    </row>
    <row r="14">
      <c r="A14" s="10" t="s">
        <v>939</v>
      </c>
      <c r="B14" s="12" t="str">
        <f>IFERROR(__xludf.DUMMYFUNCTION("IF(ISBLANK(A14),"""",GOOGLETRANSLATE(A14,""en"",""es""))"),"La violación de las leyes de marcas registradas y derechos de autor («Infracción») puede acarrear importantes responsabilidades civiles o sanciones penales conforme a las leyes estadounidenses e internacionales de derechos de autor y marcas registradas. U"&amp;"sted reconoce que cualquier reproducción o uso del Contenido, derechos de autor, marcas registradas, marcas de servicio u otra propiedad intelectual de este Sitio Web, salvo autorización expresa en estos Términos, se considera Infracción dolosa.")</f>
        <v>La violación de las leyes de marcas registradas y derechos de autor («Infracción») puede acarrear importantes responsabilidades civiles o sanciones penales conforme a las leyes estadounidenses e internacionales de derechos de autor y marcas registradas. Usted reconoce que cualquier reproducción o uso del Contenido, derechos de autor, marcas registradas, marcas de servicio u otra propiedad intelectual de este Sitio Web, salvo autorización expresa en estos Términos, se considera Infracción dolosa.</v>
      </c>
    </row>
    <row r="15">
      <c r="A15" s="10" t="s">
        <v>940</v>
      </c>
      <c r="B15" s="12" t="str">
        <f>IFERROR(__xludf.DUMMYFUNCTION("IF(ISBLANK(A15),"""",GOOGLETRANSLATE(A15,""en"",""es""))"),"4. RESPONSABILIDADES DEL USUARIO")</f>
        <v>4. RESPONSABILIDADES DEL USUARIO</v>
      </c>
    </row>
    <row r="16">
      <c r="A16" s="10" t="s">
        <v>941</v>
      </c>
      <c r="B16" s="12" t="str">
        <f>IFERROR(__xludf.DUMMYFUNCTION("IF(ISBLANK(A16),"""",GOOGLETRANSLATE(A16,""en"",""es""))"),"Usted garantiza y declara a NetSol que no utilizará este sitio web para ningún propósito ilícito, ilegal o prohibido por estos Términos, incluyendo, sin limitación, el envío, publicación, transmisión, exhibición, distribución o recepción a sabiendas de cu"&amp;"alquier material, contenido o imágenes amenazantes, acosadores, calumniosos, difamatorios, obscenos, escandalosos, incendiarios, de contenido sexual, pornográficos o profanos, ni otras imágenes, contenido o mensajes que puedan considerarse lascivos, libid"&amp;"inosos, excesivamente violentos u ofensivos. Si usted infringe alguno de estos Términos, su permiso para usar este sitio web se rescindirá inmediatamente sin necesidad de aviso previo. NetSol, a su entera discreción, se reserva el derecho de denegar el ac"&amp;"ceso a este sitio web a cualquier persona por cualquier motivo, incluyendo la infracción de estos Términos. Algunos de estos tipos de infracciones se describen con mayor detalle en la Sección 5.")</f>
        <v>Usted garantiza y declara a NetSol que no utilizará este sitio web para ningún propósito ilícito, ilegal o prohibido por estos Términos, incluyendo, sin limitación, el envío, publicación, transmisión, exhibición, distribución o recepción a sabiendas de cualquier material, contenido o imágenes amenazantes, acosadores, calumniosos, difamatorios, obscenos, escandalosos, incendiarios, de contenido sexual, pornográficos o profanos, ni otras imágenes, contenido o mensajes que puedan considerarse lascivos, libidinosos, excesivamente violentos u ofensivos. Si usted infringe alguno de estos Términos, su permiso para usar este sitio web se rescindirá inmediatamente sin necesidad de aviso previo. NetSol, a su entera discreción, se reserva el derecho de denegar el acceso a este sitio web a cualquier persona por cualquier motivo, incluyendo la infracción de estos Términos. Algunos de estos tipos de infracciones se describen con mayor detalle en la Sección 5.</v>
      </c>
    </row>
    <row r="17">
      <c r="A17" s="10" t="s">
        <v>942</v>
      </c>
      <c r="B17" s="12" t="str">
        <f>IFERROR(__xludf.DUMMYFUNCTION("IF(ISBLANK(A17),"""",GOOGLETRANSLATE(A17,""en"",""es""))"),"Usted es el único responsable del contenido, la exactitud y el uso que haga de su Información, y NetSol actúa simplemente como un canal pasivo para la distribución y publicación en línea de dicha Información. En estos Términos, «Información» se refiere a "&amp;"cualquier información o dato que usted envíe a través de este Sitio Web, así como a cualquier información o dato que este Sitio Web genere como resultado de su uso o acceso al mismo. Ciertas reglas y restricciones especiales pueden aplicarse a su Informac"&amp;"ión Personal Identificable. Para obtener más información sobre estas reglas y restricciones especiales, consulte la Política de Privacidad en Internet de NetSol.")</f>
        <v>Usted es el único responsable del contenido, la exactitud y el uso que haga de su Información, y NetSol actúa simplemente como un canal pasivo para la distribución y publicación en línea de dicha Información. En estos Términos, «Información» se refiere a cualquier información o dato que usted envíe a través de este Sitio Web, así como a cualquier información o dato que este Sitio Web genere como resultado de su uso o acceso al mismo. Ciertas reglas y restricciones especiales pueden aplicarse a su Información Personal Identificable. Para obtener más información sobre estas reglas y restricciones especiales, consulte la Política de Privacidad en Internet de NetSol.</v>
      </c>
    </row>
    <row r="18">
      <c r="A18" s="10" t="s">
        <v>943</v>
      </c>
      <c r="B18" s="12" t="str">
        <f>IFERROR(__xludf.DUMMYFUNCTION("IF(ISBLANK(A18),"""",GOOGLETRANSLATE(A18,""en"",""es""))"),"Usted acepta que toda la información que proporcione será veraz, precisa, actual y completa. Si proporciona información falsa, inexacta, desactualizada o incompleta (o si NetSol tiene motivos razonables para sospechar que dicha información es falsa, inexa"&amp;"cta, desactualizada o incompleta), NetSol tendrá derecho a suspender o cancelar su acceso y actividad relacionados con este sitio web, así como a denegarle cualquier uso presente o futuro del mismo.")</f>
        <v>Usted acepta que toda la información que proporcione será veraz, precisa, actual y completa. Si proporciona información falsa, inexacta, desactualizada o incompleta (o si NetSol tiene motivos razonables para sospechar que dicha información es falsa, inexacta, desactualizada o incompleta), NetSol tendrá derecho a suspender o cancelar su acceso y actividad relacionados con este sitio web, así como a denegarle cualquier uso presente o futuro del mismo.</v>
      </c>
    </row>
    <row r="19">
      <c r="A19" s="10" t="s">
        <v>944</v>
      </c>
      <c r="B19" s="12" t="str">
        <f>IFERROR(__xludf.DUMMYFUNCTION("IF(ISBLANK(A19),"""",GOOGLETRANSLATE(A19,""en"",""es""))"),"5. ACTIVIDADES PROHIBIDAS")</f>
        <v>5. ACTIVIDADES PROHIBIDAS</v>
      </c>
    </row>
    <row r="20">
      <c r="A20" s="10" t="s">
        <v>945</v>
      </c>
      <c r="B20" s="12" t="str">
        <f>IFERROR(__xludf.DUMMYFUNCTION("IF(ISBLANK(A20),"""",GOOGLETRANSLATE(A20,""en"",""es""))"),"Queda expresamente prohibido cualquier uso de este sitio web, y usted acepta no utilizarlo ni permitir que otros lo utilicen, para ninguno de los siguientes fines:")</f>
        <v>Queda expresamente prohibido cualquier uso de este sitio web, y usted acepta no utilizarlo ni permitir que otros lo utilicen, para ninguno de los siguientes fines:</v>
      </c>
    </row>
    <row r="21">
      <c r="A21" s="10" t="s">
        <v>946</v>
      </c>
      <c r="B21" s="12" t="str">
        <f>IFERROR(__xludf.DUMMYFUNCTION("IF(ISBLANK(A21),"""",GOOGLETRANSLATE(A21,""en"",""es""))"),"(a) realizar cualquier acción que imponga una carga irrazonable o desproporcionadamente grande sobre la infraestructura o los recursos del sitio web, o que desperdicie un tiempo valioso para ellos, incluyendo, pero no limitándose a, enviar o promover la d"&amp;"istribución de “spam”, “correo basura”, cadenas de mensajes u otras técnicas de envío masivo de correo electrónico no solicitadas o ilegales;")</f>
        <v>(a) realizar cualquier acción que imponga una carga irrazonable o desproporcionadamente grande sobre la infraestructura o los recursos del sitio web, o que desperdicie un tiempo valioso para ellos, incluyendo, pero no limitándose a, enviar o promover la distribución de “spam”, “correo basura”, cadenas de mensajes u otras técnicas de envío masivo de correo electrónico no solicitadas o ilegales;</v>
      </c>
    </row>
    <row r="22">
      <c r="A22" s="10" t="s">
        <v>947</v>
      </c>
      <c r="B22" s="12" t="str">
        <f>IFERROR(__xludf.DUMMYFUNCTION("IF(ISBLANK(A22),"""",GOOGLETRANSLATE(A22,""en"",""es""))"),"(b) revelar o compartir con terceros no autorizados las identificaciones, los números de confirmación asignados y/o las contraseñas, o utilizar las identificaciones, los números de confirmación asignados y/o las contraseñas para cualquier propósito no aut"&amp;"orizado, o permitir o facilitar de otro modo que otros obtengan acceso a los sistemas, entornos, redes, archivos, datos o cuentas de tecnología de la información de NetSol a través del uso de las identificaciones, los números de confirmación asignados y/o"&amp;" las contraseñas;")</f>
        <v>(b) revelar o compartir con terceros no autorizados las identificaciones, los números de confirmación asignados y/o las contraseñas, o utilizar las identificaciones, los números de confirmación asignados y/o las contraseñas para cualquier propósito no autorizado, o permitir o facilitar de otro modo que otros obtengan acceso a los sistemas, entornos, redes, archivos, datos o cuentas de tecnología de la información de NetSol a través del uso de las identificaciones, los números de confirmación asignados y/o las contraseñas;</v>
      </c>
    </row>
    <row r="23">
      <c r="A23" s="10" t="s">
        <v>948</v>
      </c>
      <c r="B23" s="12" t="str">
        <f>IFERROR(__xludf.DUMMYFUNCTION("IF(ISBLANK(A23),"""",GOOGLETRANSLATE(A23,""en"",""es""))"),"(c) acceder o intentar acceder a los sistemas, entornos, redes, archivos, datos o cuentas de tecnología de la información de NetSol para los que no se haya obtenido autorización expresa (incluido el acceso a datos no destinados a usted), o iniciar sesión "&amp;"en un servidor o cuenta a la que no esté autorizado a acceder;")</f>
        <v>(c) acceder o intentar acceder a los sistemas, entornos, redes, archivos, datos o cuentas de tecnología de la información de NetSol para los que no se haya obtenido autorización expresa (incluido el acceso a datos no destinados a usted), o iniciar sesión en un servidor o cuenta a la que no esté autorizado a acceder;</v>
      </c>
    </row>
    <row r="24">
      <c r="A24" s="10" t="s">
        <v>949</v>
      </c>
      <c r="B24" s="12" t="str">
        <f>IFERROR(__xludf.DUMMYFUNCTION("IF(ISBLANK(A24),"""",GOOGLETRANSLATE(A24,""en"",""es""))"),"(d) intentar descifrar, descompilar, desensamblar, modificar, eliminar o realizar ingeniería inversa de cualquier software o código HTML que comprenda o forme parte de este sitio web;")</f>
        <v>(d) intentar descifrar, descompilar, desensamblar, modificar, eliminar o realizar ingeniería inversa de cualquier software o código HTML que comprenda o forme parte de este sitio web;</v>
      </c>
    </row>
    <row r="25">
      <c r="A25" s="10" t="s">
        <v>950</v>
      </c>
      <c r="B25" s="12" t="str">
        <f>IFERROR(__xludf.DUMMYFUNCTION("IF(ISBLANK(A25),"""",GOOGLETRANSLATE(A25,""en"",""es""))"),"(e) Interferir, interrumpir, deshabilitar o dañar (o intentar interferir, interrumpir, deshabilitar o dañar), de manera no autorizada, el uso u operación de este Sitio Web o de los sistemas, equipos o aplicaciones de NetSol, sus entidades afiliadas o rela"&amp;"cionadas, o de los Proveedores, o el servicio a cualquier usuario, servidor o red, incluso mediante el uso de programas, scripts, comandos, virus, gusanos, balizas web, código malicioso, troyanos, otros contaminantes o cualquier otro método. Esto incluye "&amp;"ataques de denegación de servicio, inundación de redes, intentos deliberados de sobrecargar un servicio o de sobrecargar excesivamente sus recursos, intentos de bloquear un servidor y/o modificar o redirigir cualquier Contenido o servicio proporcionado en"&amp;" este Sitio Web;")</f>
        <v>(e) Interferir, interrumpir, deshabilitar o dañar (o intentar interferir, interrumpir, deshabilitar o dañar), de manera no autorizada, el uso u operación de este Sitio Web o de los sistemas, equipos o aplicaciones de NetSol, sus entidades afiliadas o relacionadas, o de los Proveedores, o el servicio a cualquier usuario, servidor o red, incluso mediante el uso de programas, scripts, comandos, virus, gusanos, balizas web, código malicioso, troyanos, otros contaminantes o cualquier otro método. Esto incluye ataques de denegación de servicio, inundación de redes, intentos deliberados de sobrecargar un servicio o de sobrecargar excesivamente sus recursos, intentos de bloquear un servidor y/o modificar o redirigir cualquier Contenido o servicio proporcionado en este Sitio Web;</v>
      </c>
    </row>
    <row r="26">
      <c r="A26" s="10" t="s">
        <v>951</v>
      </c>
      <c r="B26" s="12" t="str">
        <f>IFERROR(__xludf.DUMMYFUNCTION("IF(ISBLANK(A26),"""",GOOGLETRANSLATE(A26,""en"",""es""))"),"(f) intentar eludir o subvertir los mecanismos de seguridad del sistema o de la red (es decir, la autenticación), o sondear la seguridad de cualquier sistema, red o cuenta, asociada o utilizada en conjunto con este sitio web;")</f>
        <v>(f) intentar eludir o subvertir los mecanismos de seguridad del sistema o de la red (es decir, la autenticación), o sondear la seguridad de cualquier sistema, red o cuenta, asociada o utilizada en conjunto con este sitio web;</v>
      </c>
    </row>
    <row r="27">
      <c r="A27" s="10" t="s">
        <v>952</v>
      </c>
      <c r="B27" s="12" t="str">
        <f>IFERROR(__xludf.DUMMYFUNCTION("IF(ISBLANK(A27),"""",GOOGLETRANSLATE(A27,""en"",""es""))"),"(g) cargar, publicar, enviar por correo electrónico o transmitir de cualquier otra forma información, contenido o derechos de propiedad que no tenga derecho a transmitir en virtud de las Condiciones, cualquier ley u otras relaciones contractuales o fiduci"&amp;"arias; y/o")</f>
        <v>(g) cargar, publicar, enviar por correo electrónico o transmitir de cualquier otra forma información, contenido o derechos de propiedad que no tenga derecho a transmitir en virtud de las Condiciones, cualquier ley u otras relaciones contractuales o fiduciarias; y/o</v>
      </c>
    </row>
    <row r="28">
      <c r="A28" s="10" t="s">
        <v>953</v>
      </c>
      <c r="B28" s="12" t="str">
        <f>IFERROR(__xludf.DUMMYFUNCTION("IF(ISBLANK(A28),"""",GOOGLETRANSLATE(A28,""en"",""es""))"),"(h) utilizar cualquier robot, araña, agente inteligente, metabuscador, otro dispositivo automático o proceso manual para buscar, monitorear o copiar las páginas del sitio web de NetSol o el Contenido en violación de los Términos o sin el permiso previo po"&amp;"r escrito de NetSol, siempre que se puedan utilizar navegadores web de terceros generalmente disponibles como Netscape Navigator® y Microsoft Internet Explorer® sin dicho permiso.")</f>
        <v>(h) utilizar cualquier robot, araña, agente inteligente, metabuscador, otro dispositivo automático o proceso manual para buscar, monitorear o copiar las páginas del sitio web de NetSol o el Contenido en violación de los Términos o sin el permiso previo por escrito de NetSol, siempre que se puedan utilizar navegadores web de terceros generalmente disponibles como Netscape Navigator® y Microsoft Internet Explorer® sin dicho permiso.</v>
      </c>
    </row>
    <row r="29">
      <c r="A29" s="10" t="s">
        <v>954</v>
      </c>
      <c r="B29" s="12" t="str">
        <f>IFERROR(__xludf.DUMMYFUNCTION("IF(ISBLANK(A29),"""",GOOGLETRANSLATE(A29,""en"",""es""))"),"6. INFORMACIÓN PUBLICADA EN EL SITIO WEB")</f>
        <v>6. INFORMACIÓN PUBLICADA EN EL SITIO WEB</v>
      </c>
    </row>
    <row r="30">
      <c r="A30" s="10" t="s">
        <v>955</v>
      </c>
      <c r="B30" s="12" t="str">
        <f>IFERROR(__xludf.DUMMYFUNCTION("IF(ISBLANK(A30),"""",GOOGLETRANSLATE(A30,""en"",""es""))"),"Con respecto a toda la información que usted decida publicar en áreas de acceso público del sitio web, usted acepta que NetSol tiene el derecho de usar, reproducir, copiar, modificar, publicar, distribuir, ejecutar y mostrar dicha información (en su total"&amp;"idad o en parte) a nivel mundial; siempre que dicho uso se ajuste a los términos de la Política de Privacidad de Internet de NetSol.")</f>
        <v>Con respecto a toda la información que usted decida publicar en áreas de acceso público del sitio web, usted acepta que NetSol tiene el derecho de usar, reproducir, copiar, modificar, publicar, distribuir, ejecutar y mostrar dicha información (en su totalidad o en parte) a nivel mundial; siempre que dicho uso se ajuste a los términos de la Política de Privacidad de Internet de NetSol.</v>
      </c>
    </row>
    <row r="31">
      <c r="A31" s="10" t="s">
        <v>956</v>
      </c>
      <c r="B31" s="12" t="str">
        <f>IFERROR(__xludf.DUMMYFUNCTION("IF(ISBLANK(A31),"""",GOOGLETRANSLATE(A31,""en"",""es""))"),"Usted reconoce y acepta que NetSol podrá conservar la Información y también podrá divulgarla si así lo exige la ley o si cree de buena fe que dicha conservación o divulgación es razonablemente necesaria para: (a) cumplir con un proceso legal; (b) hacer cu"&amp;"mplir los Términos; (c) responder a reclamaciones de que alguna Información infringe los derechos de terceros; o (d) proteger los derechos, la propiedad o la seguridad personal de la empresa, los empleados, los proveedores, las entidades afiliadas o relac"&amp;"ionadas, los usuarios y/o el público de NetSol. 7. ENLACES A SITIOS WEB DE TERCEROS")</f>
        <v>Usted reconoce y acepta que NetSol podrá conservar la Información y también podrá divulgarla si así lo exige la ley o si cree de buena fe que dicha conservación o divulgación es razonablemente necesaria para: (a) cumplir con un proceso legal; (b) hacer cumplir los Términos; (c) responder a reclamaciones de que alguna Información infringe los derechos de terceros; o (d) proteger los derechos, la propiedad o la seguridad personal de la empresa, los empleados, los proveedores, las entidades afiliadas o relacionadas, los usuarios y/o el público de NetSol. 7. ENLACES A SITIOS WEB DE TERCEROS</v>
      </c>
    </row>
    <row r="32">
      <c r="A32" s="10" t="s">
        <v>957</v>
      </c>
      <c r="B32" s="12" t="str">
        <f>IFERROR(__xludf.DUMMYFUNCTION("IF(ISBLANK(A32),"""",GOOGLETRANSLATE(A32,""en"",""es""))"),"Este sitio web puede contener enlaces a sitios web de terceros o proveedores que no están bajo el control ni la gestión de NetSol (los «Sitios Enlazados»). Estos enlaces le permitirán abandonar este sitio web y acceder a los Sitios Enlazados, cuyo acceso "&amp;"corre bajo su propia responsabilidad. Usted reconoce que NetSol proporciona los Sitios Enlazados únicamente para su comodidad e información. NetSol no respalda ni se responsabiliza del contenido, la información ni otros materiales, productos o servicios r"&amp;"elacionados que se encuentren en dichos Sitios Enlazados ni de los enlaces que estos contengan, independientemente de que NetSol esté o no afiliado con los propietarios de dichos Sitios Enlazados. Salvo que se especifique lo contrario en estas Condiciones"&amp;" o con el consentimiento expreso por escrito de NetSol, usted no podrá establecer un hipervínculo a este sitio web desde su sitio web o los Sitios Enlazados, ni proporcionar enlaces que indiquen o impliquen patrocinio o respaldo alguno de su sitio web o l"&amp;"os Sitios Enlazados por parte de NetSol o los Proveedores.")</f>
        <v>Este sitio web puede contener enlaces a sitios web de terceros o proveedores que no están bajo el control ni la gestión de NetSol (los «Sitios Enlazados»). Estos enlaces le permitirán abandonar este sitio web y acceder a los Sitios Enlazados, cuyo acceso corre bajo su propia responsabilidad. Usted reconoce que NetSol proporciona los Sitios Enlazados únicamente para su comodidad e información. NetSol no respalda ni se responsabiliza del contenido, la información ni otros materiales, productos o servicios relacionados que se encuentren en dichos Sitios Enlazados ni de los enlaces que estos contengan, independientemente de que NetSol esté o no afiliado con los propietarios de dichos Sitios Enlazados. Salvo que se especifique lo contrario en estas Condiciones o con el consentimiento expreso por escrito de NetSol, usted no podrá establecer un hipervínculo a este sitio web desde su sitio web o los Sitios Enlazados, ni proporcionar enlaces que indiquen o impliquen patrocinio o respaldo alguno de su sitio web o los Sitios Enlazados por parte de NetSol o los Proveedores.</v>
      </c>
    </row>
    <row r="33">
      <c r="A33" s="10" t="s">
        <v>958</v>
      </c>
      <c r="B33" s="12" t="str">
        <f>IFERROR(__xludf.DUMMYFUNCTION("IF(ISBLANK(A33),"""",GOOGLETRANSLATE(A33,""en"",""es""))"),"8. RELACIONES CON LOS ANUNCIANTES")</f>
        <v>8. RELACIONES CON LOS ANUNCIANTES</v>
      </c>
    </row>
    <row r="34">
      <c r="A34" s="10" t="s">
        <v>959</v>
      </c>
      <c r="B34" s="12" t="str">
        <f>IFERROR(__xludf.DUMMYFUNCTION("IF(ISBLANK(A34),"""",GOOGLETRANSLATE(A34,""en"",""es""))"),"Su correspondencia, transacciones comerciales o participación en promociones de anunciantes que encuentre en este sitio web o en cualquier sitio web vinculado, incluyendo el pago y la entrega de bienes o servicios relacionados, así como cualquier otro tér"&amp;"mino, condición, garantía o declaración asociada a dichas transacciones, son exclusivamente entre usted y dichos anunciantes. Usted acepta que NetSol (y sus entidades afiliadas o relacionadas y los Proveedores) no serán responsables de ninguna pérdida o d"&amp;"año que usted sufra como resultado de dichas transacciones o de la presencia de dichos anunciantes en este sitio web o en los sitios web vinculados.")</f>
        <v>Su correspondencia, transacciones comerciales o participación en promociones de anunciantes que encuentre en este sitio web o en cualquier sitio web vinculado, incluyendo el pago y la entrega de bienes o servicios relacionados, así como cualquier otro término, condición, garantía o declaración asociada a dichas transacciones, son exclusivamente entre usted y dichos anunciantes. Usted acepta que NetSol (y sus entidades afiliadas o relacionadas y los Proveedores) no serán responsables de ninguna pérdida o daño que usted sufra como resultado de dichas transacciones o de la presencia de dichos anunciantes en este sitio web o en los sitios web vinculados.</v>
      </c>
    </row>
    <row r="35">
      <c r="A35" s="10" t="s">
        <v>960</v>
      </c>
      <c r="B35" s="12" t="str">
        <f>IFERROR(__xludf.DUMMYFUNCTION("IF(ISBLANK(A35),"""",GOOGLETRANSLATE(A35,""en"",""es""))"),"9. SIN GARANTÍAS")</f>
        <v>9. SIN GARANTÍAS</v>
      </c>
    </row>
    <row r="36">
      <c r="A36" s="10" t="s">
        <v>961</v>
      </c>
      <c r="B36" s="12" t="str">
        <f>IFERROR(__xludf.DUMMYFUNCTION("IF(ISBLANK(A36),"""",GOOGLETRANSLATE(A36,""en"",""es""))"),"Todo el contenido, productos y servicios de este sitio web se proporcionan «tal cual» y sin garantías de ningún tipo, ya sean expresas o implícitas. Salvo aquellas garantías que, según la legislación estadounidense aplicable a estos términos, estén implíc"&amp;"itas por ley y no puedan ser excluidas, restringidas ni modificadas, Netsol renuncia a todas las garantías, expresas o implícitas, incluidas, entre otras, las garantías implícitas de comerciabilidad e idoneidad para un propósito particular.")</f>
        <v>Todo el contenido, productos y servicios de este sitio web se proporcionan «tal cual» y sin garantías de ningún tipo, ya sean expresas o implícitas. Salvo aquellas garantías que, según la legislación estadounidense aplicable a estos términos, estén implícitas por ley y no puedan ser excluidas, restringidas ni modificadas, Netsol renuncia a todas las garantías, expresas o implícitas, incluidas, entre otras, las garantías implícitas de comerciabilidad e idoneidad para un propósito particular.</v>
      </c>
    </row>
    <row r="37">
      <c r="A37" s="10" t="s">
        <v>962</v>
      </c>
      <c r="B37" s="12" t="str">
        <f>IFERROR(__xludf.DUMMYFUNCTION("IF(ISBLANK(A37),"""",GOOGLETRANSLATE(A37,""en"",""es""))"),"Ni Netsol, ni sus entidades afiliadas o relacionadas, ni los proveedores, ni ninguna persona involucrada en la creación, producción, alojamiento y/o distribución de este sitio web, garantizan que las funciones, características o servicios contenidos en es"&amp;"te sitio web funcionen sin interrupciones ni errores, que los defectos se corrijan, ni que el servidor que aloja el contenido esté libre de virus u otros componentes dañinos. El contenido al que usted accede en este sitio web se proporciona únicamente par"&amp;"a su conveniencia e información. Netsol no garantiza ni se responsabiliza de los resultados que puedan obtenerse del uso de este sitio web, ni de la fiabilidad, exactitud o actualidad de ningún contenido, servicio y/o producto proporcionado o adquirido a "&amp;"través de este sitio web.")</f>
        <v>Ni Netsol, ni sus entidades afiliadas o relacionadas, ni los proveedores, ni ninguna persona involucrada en la creación, producción, alojamiento y/o distribución de este sitio web, garantizan que las funciones, características o servicios contenidos en este sitio web funcionen sin interrupciones ni errores, que los defectos se corrijan, ni que el servidor que aloja el contenido esté libre de virus u otros componentes dañinos. El contenido al que usted accede en este sitio web se proporciona únicamente para su conveniencia e información. Netsol no garantiza ni se responsabiliza de los resultados que puedan obtenerse del uso de este sitio web, ni de la fiabilidad, exactitud o actualidad de ningún contenido, servicio y/o producto proporcionado o adquirido a través de este sitio web.</v>
      </c>
    </row>
    <row r="38">
      <c r="A38" s="10" t="s">
        <v>963</v>
      </c>
      <c r="B38" s="12" t="str">
        <f>IFERROR(__xludf.DUMMYFUNCTION("IF(ISBLANK(A38),"""",GOOGLETRANSLATE(A38,""en"",""es""))"),"Netsol es distribuidor, no editor, de la información y el contenido de este sitio web. Netsol no ejerce mayor control editorial sobre dicha información y contenido que una biblioteca pública o un quiosco de periódicos. Las opiniones, consejos, declaracion"&amp;"es, servicios, ofertas u otra información expresada o puesta a disposición por terceros o proveedores (incluidos los sitios enlazados) son responsabilidad de sus respectivos autores o distribuidores.")</f>
        <v>Netsol es distribuidor, no editor, de la información y el contenido de este sitio web. Netsol no ejerce mayor control editorial sobre dicha información y contenido que una biblioteca pública o un quiosco de periódicos. Las opiniones, consejos, declaraciones, servicios, ofertas u otra información expresada o puesta a disposición por terceros o proveedores (incluidos los sitios enlazados) son responsabilidad de sus respectivos autores o distribuidores.</v>
      </c>
    </row>
    <row r="39">
      <c r="A39" s="10" t="s">
        <v>964</v>
      </c>
      <c r="B39" s="12" t="str">
        <f>IFERROR(__xludf.DUMMYFUNCTION("IF(ISBLANK(A39),"""",GOOGLETRANSLATE(A39,""en"",""es""))"),"El uso de este sitio web es bajo su propia responsabilidad. Usted (y no Netsol) asume el costo total de todo el mantenimiento necesario (incluyendo, entre otros, su conexión a Internet) y la reparación o corrección de su computadora, red y/o sistema.")</f>
        <v>El uso de este sitio web es bajo su propia responsabilidad. Usted (y no Netsol) asume el costo total de todo el mantenimiento necesario (incluyendo, entre otros, su conexión a Internet) y la reparación o corrección de su computadora, red y/o sistema.</v>
      </c>
    </row>
    <row r="40">
      <c r="A40" s="10" t="s">
        <v>965</v>
      </c>
      <c r="B40" s="12" t="str">
        <f>IFERROR(__xludf.DUMMYFUNCTION("IF(ISBLANK(A40),"""",GOOGLETRANSLATE(A40,""en"",""es""))"),"10. LIMITACIÓN DE RESPONSABILIDAD")</f>
        <v>10. LIMITACIÓN DE RESPONSABILIDAD</v>
      </c>
    </row>
    <row r="41">
      <c r="A41" s="10" t="s">
        <v>966</v>
      </c>
      <c r="B41" s="12" t="str">
        <f>IFERROR(__xludf.DUMMYFUNCTION("IF(ISBLANK(A41),"""",GOOGLETRANSLATE(A41,""en"",""es""))"),"En ningún caso netsol, sus entidades afiliadas o relacionadas o proveedores, ni ninguno de sus respectivos funcionarios, directores, empleados o agentes, ni ninguna persona o entidad involucrada en la creación, producción, distribución y alojamiento de es"&amp;"te sitio web, serán responsables por daños indirectos, consecuenciales, incidentales, especiales, punitivos o ejemplares, ya sea que surjan bajo contrato, garantía o agravio (incluida la negligencia) o cualquier otra teoría de responsabilidad, independien"&amp;"temente de si netsol (o sus entidades afiliadas o relacionadas o proveedores) sabían o debían haber sabido de la posibilidad de tales daños, incluidos, entre otros, los derivados del uso o intento de uso de este sitio web o cualquier otro sitio vinculado.")</f>
        <v>En ningún caso netsol, sus entidades afiliadas o relacionadas o proveedores, ni ninguno de sus respectivos funcionarios, directores, empleados o agentes, ni ninguna persona o entidad involucrada en la creación, producción, distribución y alojamiento de este sitio web, serán responsables por daños indirectos, consecuenciales, incidentales, especiales, punitivos o ejemplares, ya sea que surjan bajo contrato, garantía o agravio (incluida la negligencia) o cualquier otra teoría de responsabilidad, independientemente de si netsol (o sus entidades afiliadas o relacionadas o proveedores) sabían o debían haber sabido de la posibilidad de tales daños, incluidos, entre otros, los derivados del uso o intento de uso de este sitio web o cualquier otro sitio vinculado.</v>
      </c>
    </row>
    <row r="42">
      <c r="A42" s="10" t="s">
        <v>967</v>
      </c>
      <c r="B42" s="12" t="str">
        <f>IFERROR(__xludf.DUMMYFUNCTION("IF(ISBLANK(A42),"""",GOOGLETRANSLATE(A42,""en"",""es""))"),"La responsabilidad de NETSOL, así como la de sus entidades afiliadas o relacionadas y/o proveedores, frente a usted o cualquier tercero, en cualquier circunstancia, se limita al menor de los siguientes importes: (a) el monto de las tarifas, si las hubiere"&amp;", que usted haya pagado a NETSOL durante los 12 meses anteriores al hecho que dio origen a la responsabilidad, o (b) $500. Es posible que algunos estados no permitan la limitación de responsabilidad descrita anteriormente, por lo que dicha limitación podr"&amp;"ía no aplicarse en su caso.")</f>
        <v>La responsabilidad de NETSOL, así como la de sus entidades afiliadas o relacionadas y/o proveedores, frente a usted o cualquier tercero, en cualquier circunstancia, se limita al menor de los siguientes importes: (a) el monto de las tarifas, si las hubiere, que usted haya pagado a NETSOL durante los 12 meses anteriores al hecho que dio origen a la responsabilidad, o (b) $500. Es posible que algunos estados no permitan la limitación de responsabilidad descrita anteriormente, por lo que dicha limitación podría no aplicarse en su caso.</v>
      </c>
    </row>
    <row r="43">
      <c r="A43" s="10" t="s">
        <v>968</v>
      </c>
      <c r="B43" s="12" t="str">
        <f>IFERROR(__xludf.DUMMYFUNCTION("IF(ISBLANK(A43),"""",GOOGLETRANSLATE(A43,""en"",""es""))"),"A modo de ejemplo únicamente, Netsol y sus personas y entidades relacionadas no serán responsables de ninguna reclamación ni daño derivado de fallos de funcionamiento, errores, omisiones, interrupciones, eliminaciones, defectos, retrasos en el funcionamie"&amp;"nto, virus informáticos, robos, destrucción, acceso no autorizado o alteración de registros personales, ni de la confianza depositada en el contenido, la información, las opiniones u otros materiales que aparecen en este sitio web, ni del uso que se haga "&amp;"de ellos. Asimismo, usted reconoce y acepta expresamente que Netsol no es responsable de ninguna conducta difamatoria, ofensiva o ilegal de otros usuarios o terceros.")</f>
        <v>A modo de ejemplo únicamente, Netsol y sus personas y entidades relacionadas no serán responsables de ninguna reclamación ni daño derivado de fallos de funcionamiento, errores, omisiones, interrupciones, eliminaciones, defectos, retrasos en el funcionamiento, virus informáticos, robos, destrucción, acceso no autorizado o alteración de registros personales, ni de la confianza depositada en el contenido, la información, las opiniones u otros materiales que aparecen en este sitio web, ni del uso que se haga de ellos. Asimismo, usted reconoce y acepta expresamente que Netsol no es responsable de ninguna conducta difamatoria, ofensiva o ilegal de otros usuarios o terceros.</v>
      </c>
    </row>
    <row r="44">
      <c r="A44" s="10" t="s">
        <v>969</v>
      </c>
      <c r="B44" s="12" t="str">
        <f>IFERROR(__xludf.DUMMYFUNCTION("IF(ISBLANK(A44),"""",GOOGLETRANSLATE(A44,""en"",""es""))"),"La limitación de responsabilidad refleja la distribución del riesgo entre las partes. Las limitaciones especificadas en esta sección 10 seguirán vigentes y aplicables incluso si se determina que algún recurso limitado especificado en estos términos no ha "&amp;"cumplido su propósito esencial. Las limitaciones de responsabilidad previstas en estos términos benefician a Netsol y a los proveedores, así como a todos sus respectivos funcionarios, directores, empleados, representantes, abogados y agentes.")</f>
        <v>La limitación de responsabilidad refleja la distribución del riesgo entre las partes. Las limitaciones especificadas en esta sección 10 seguirán vigentes y aplicables incluso si se determina que algún recurso limitado especificado en estos términos no ha cumplido su propósito esencial. Las limitaciones de responsabilidad previstas en estos términos benefician a Netsol y a los proveedores, así como a todos sus respectivos funcionarios, directores, empleados, representantes, abogados y agentes.</v>
      </c>
    </row>
    <row r="45">
      <c r="A45" s="10" t="s">
        <v>970</v>
      </c>
      <c r="B45" s="12" t="str">
        <f>IFERROR(__xludf.DUMMYFUNCTION("IF(ISBLANK(A45),"""",GOOGLETRANSLATE(A45,""en"",""es""))"),"11. LEY APLICABLE Y JURISDICCIÓN")</f>
        <v>11. LEY APLICABLE Y JURISDICCIÓN</v>
      </c>
    </row>
    <row r="46">
      <c r="A46" s="10" t="s">
        <v>971</v>
      </c>
      <c r="B46" s="12" t="str">
        <f>IFERROR(__xludf.DUMMYFUNCTION("IF(ISBLANK(A46),"""",GOOGLETRANSLATE(A46,""en"",""es""))"),"NetSol opera este sitio web (excluyendo los sitios enlazados, sobre los cuales no tiene autoridad ni control) desde sus oficinas en el estado de California (ubicación que puede estar sujeta a cambios a discreción exclusiva de NetSol). Se puede acceder al "&amp;"sitio web desde los 50 estados de EE. UU., así como desde otros países del mundo. Dado que las leyes de cada uno de estos lugares pueden diferir de las de California, al acceder a este sitio web, usted acepta que estos Términos y su uso del sitio web se r"&amp;"egirán en todos los aspectos por las leyes sustantivas internas del estado de California, sin tener en cuenta las normas sobre conflictos de leyes, y no se regirán por la Convención de las Naciones Unidas sobre los Contratos de Compraventa Internacional d"&amp;"e Mercaderías. Asimismo, acepta someterse a la jurisdicción exclusiva de los tribunales estatales y federales ubicados en el estado de Nueva Jersey para todas las disputas, casos y controversias relacionadas con este sitio web, su uso del mismo y su relac"&amp;"ión con NetSol. NetSol no garantiza que el material de este sitio web sea apropiado o esté disponible para su uso en otras ubicaciones, y queda prohibido el acceso desde territorios donde su contenido sea ilegal. Quienes accedan a este sitio web desde otr"&amp;"as ubicaciones lo hacen bajo su propia responsabilidad y deben cumplir con las leyes locales, incluidas las relativas a la transmisión de datos técnicos exportados desde Estados Unidos o el país de su residencia.")</f>
        <v>NetSol opera este sitio web (excluyendo los sitios enlazados, sobre los cuales no tiene autoridad ni control) desde sus oficinas en el estado de California (ubicación que puede estar sujeta a cambios a discreción exclusiva de NetSol). Se puede acceder al sitio web desde los 50 estados de EE. UU., así como desde otros países del mundo. Dado que las leyes de cada uno de estos lugares pueden diferir de las de California, al acceder a este sitio web, usted acepta que estos Términos y su uso del sitio web se regirán en todos los aspectos por las leyes sustantivas internas del estado de California, sin tener en cuenta las normas sobre conflictos de leyes, y no se regirán por la Convención de las Naciones Unidas sobre los Contratos de Compraventa Internacional de Mercaderías. Asimismo, acepta someterse a la jurisdicción exclusiva de los tribunales estatales y federales ubicados en el estado de Nueva Jersey para todas las disputas, casos y controversias relacionadas con este sitio web, su uso del mismo y su relación con NetSol. NetSol no garantiza que el material de este sitio web sea apropiado o esté disponible para su uso en otras ubicaciones, y queda prohibido el acceso desde territorios donde su contenido sea ilegal. Quienes accedan a este sitio web desde otras ubicaciones lo hacen bajo su propia responsabilidad y deben cumplir con las leyes locales, incluidas las relativas a la transmisión de datos técnicos exportados desde Estados Unidos o el país de su residencia.</v>
      </c>
    </row>
    <row r="47">
      <c r="A47" s="10" t="s">
        <v>972</v>
      </c>
      <c r="B47" s="12" t="str">
        <f>IFERROR(__xludf.DUMMYFUNCTION("IF(ISBLANK(A47),"""",GOOGLETRANSLATE(A47,""en"",""es""))"),"12. INDEMNIZACIÓN")</f>
        <v>12. INDEMNIZACIÓN</v>
      </c>
    </row>
    <row r="48">
      <c r="A48" s="10" t="s">
        <v>973</v>
      </c>
      <c r="B48" s="12" t="str">
        <f>IFERROR(__xludf.DUMMYFUNCTION("IF(ISBLANK(A48),"""",GOOGLETRANSLATE(A48,""en"",""es""))"),"NetSol se reserva el derecho de denunciar cualquier irregularidad, en cuanto tenga conocimiento de ella, ante las autoridades gubernamentales o policiales competentes. Usted se compromete a indemnizar, defender y eximir de responsabilidad a NetSol y a los"&amp;" Proveedores, así como a sus respectivos directivos, empleados, entidades afiliadas o relacionadas, agentes, licenciantes y proveedores, frente a cualquier reclamación, demanda, acción legal, coste, responsabilidad, pérdida o daño de cualquier índole (inc"&amp;"luidos los honorarios de abogados) que resulten del uso que usted haga de este Sitio Web, del incumplimiento por su parte de cualquiera de las disposiciones de estos Términos y/o de cualquier acto negligente, omisión o mala conducta intencionada por su pa"&amp;"rte. Dicha indemnización estará condicionada a que NetSol: (a) le notifique por escrito cualquier reclamación, demanda, acción legal, coste, responsabilidad, pérdida o amenaza de cualquiera de ellos; (b) coopere con usted en la defensa o la resolución de "&amp;"la misma; y (c) le permita controlar dicha defensa o resolución. NetSol tendrá derecho a participar en dicha defensa a su propio coste.")</f>
        <v>NetSol se reserva el derecho de denunciar cualquier irregularidad, en cuanto tenga conocimiento de ella, ante las autoridades gubernamentales o policiales competentes. Usted se compromete a indemnizar, defender y eximir de responsabilidad a NetSol y a los Proveedores, así como a sus respectivos directivos, empleados, entidades afiliadas o relacionadas, agentes, licenciantes y proveedores, frente a cualquier reclamación, demanda, acción legal, coste, responsabilidad, pérdida o daño de cualquier índole (incluidos los honorarios de abogados) que resulten del uso que usted haga de este Sitio Web, del incumplimiento por su parte de cualquiera de las disposiciones de estos Términos y/o de cualquier acto negligente, omisión o mala conducta intencionada por su parte. Dicha indemnización estará condicionada a que NetSol: (a) le notifique por escrito cualquier reclamación, demanda, acción legal, coste, responsabilidad, pérdida o amenaza de cualquiera de ellos; (b) coopere con usted en la defensa o la resolución de la misma; y (c) le permita controlar dicha defensa o resolución. NetSol tendrá derecho a participar en dicha defensa a su propio coste.</v>
      </c>
    </row>
    <row r="49">
      <c r="A49" s="10" t="s">
        <v>974</v>
      </c>
      <c r="B49" s="12" t="str">
        <f>IFERROR(__xludf.DUMMYFUNCTION("IF(ISBLANK(A49),"""",GOOGLETRANSLATE(A49,""en"",""es""))"),"13. FOROS DE MENSAJES")</f>
        <v>13. FOROS DE MENSAJES</v>
      </c>
    </row>
    <row r="50">
      <c r="A50" s="10" t="s">
        <v>975</v>
      </c>
      <c r="B50" s="12" t="str">
        <f>IFERROR(__xludf.DUMMYFUNCTION("IF(ISBLANK(A50),"""",GOOGLETRANSLATE(A50,""en"",""es""))"),"En caso de que NetSol proporcione tablones de mensajes, blogs o foros de discusión en este sitio web (los «Foros»), usted acepta utilizarlos únicamente para fines personales y no comerciales. Sin la aprobación expresa de NetSol, usted no podrá distribuir "&amp;"ni publicar ningún material que contenga solicitudes de fondos, publicidad o solicitudes escritas de bienes y servicios. Usted acepta que cualquier material subido podrá ser republicado sin compensación alguna para usted ni para ninguna otra persona o ent"&amp;"idad. Asimismo, usted garantiza que se han renunciado a todos los derechos morales sobre dicho material. Si bien NetSol no revisa ni puede revisar todos los mensajes publicados por usted u otros usuarios en los Foros, y aunque NetSol no es responsable de "&amp;"estos mensajes, se reserva el derecho (pero no la obligación) de eliminar, mover o editar los mensajes que, a su exclusivo criterio, considere abusivos, difamatorios, obscenos, que infrinjan las leyes de derechos de autor o marcas registradas, que infrinj"&amp;"an estos términos o que sean inaceptables por cualquier otro motivo. NetSol no respalda ninguna información que pueda publicarse en este sitio web a través de los foros.")</f>
        <v>En caso de que NetSol proporcione tablones de mensajes, blogs o foros de discusión en este sitio web (los «Foros»), usted acepta utilizarlos únicamente para fines personales y no comerciales. Sin la aprobación expresa de NetSol, usted no podrá distribuir ni publicar ningún material que contenga solicitudes de fondos, publicidad o solicitudes escritas de bienes y servicios. Usted acepta que cualquier material subido podrá ser republicado sin compensación alguna para usted ni para ninguna otra persona o entidad. Asimismo, usted garantiza que se han renunciado a todos los derechos morales sobre dicho material. Si bien NetSol no revisa ni puede revisar todos los mensajes publicados por usted u otros usuarios en los Foros, y aunque NetSol no es responsable de estos mensajes, se reserva el derecho (pero no la obligación) de eliminar, mover o editar los mensajes que, a su exclusivo criterio, considere abusivos, difamatorios, obscenos, que infrinjan las leyes de derechos de autor o marcas registradas, que infrinjan estos términos o que sean inaceptables por cualquier otro motivo. NetSol no respalda ninguna información que pueda publicarse en este sitio web a través de los foros.</v>
      </c>
    </row>
    <row r="51">
      <c r="A51" s="10" t="s">
        <v>976</v>
      </c>
      <c r="B51" s="12" t="str">
        <f>IFERROR(__xludf.DUMMYFUNCTION("IF(ISBLANK(A51),"""",GOOGLETRANSLATE(A51,""en"",""es""))"),"14. OTRAS DISPOSICIONES GENERALES. Estos Términos benefician a NetSol y a los Proveedores, así como a sus respectivos directivos, empleados, entidades afiliadas o relacionadas, agentes, licenciantes y proveedores. Cada una de estas personas o entidades te"&amp;"ndrá derecho a hacer valer y exigir el cumplimiento de estos Términos directamente contra usted en su propio nombre. El hecho de que NetSol no actúe ante un incumplimiento por su parte o por parte de terceros no implica la renuncia de NetSol a su derecho "&amp;"a actuar ante incumplimientos posteriores o similares.")</f>
        <v>14. OTRAS DISPOSICIONES GENERALES. Estos Términos benefician a NetSol y a los Proveedores, así como a sus respectivos directivos, empleados, entidades afiliadas o relacionadas, agentes, licenciantes y proveedores. Cada una de estas personas o entidades tendrá derecho a hacer valer y exigir el cumplimiento de estos Términos directamente contra usted en su propio nombre. El hecho de que NetSol no actúe ante un incumplimiento por su parte o por parte de terceros no implica la renuncia de NetSol a su derecho a actuar ante incumplimientos posteriores o similares.</v>
      </c>
    </row>
    <row r="52">
      <c r="A52" s="10" t="s">
        <v>977</v>
      </c>
      <c r="B52" s="12" t="str">
        <f>IFERROR(__xludf.DUMMYFUNCTION("IF(ISBLANK(A52),"""",GOOGLETRANSLATE(A52,""en"",""es""))"),"Si alguna disposición de estos Términos se considera inválida o inaplicable, dicha disposición se eliminará y las demás disposiciones seguirán vigentes. Los encabezados se incluyen únicamente a modo de referencia.")</f>
        <v>Si alguna disposición de estos Términos se considera inválida o inaplicable, dicha disposición se eliminará y las demás disposiciones seguirán vigentes. Los encabezados se incluyen únicamente a modo de referencia.</v>
      </c>
    </row>
    <row r="53">
      <c r="A53" s="10" t="s">
        <v>978</v>
      </c>
      <c r="B53" s="12" t="str">
        <f>IFERROR(__xludf.DUMMYFUNCTION("IF(ISBLANK(A53),"""",GOOGLETRANSLATE(A53,""en"",""es""))"),"Usted y NetSol negocian de forma independiente, estableciendo una relación comercial. NetSol no es su agente ni su fiduciario. Muchos de los negocios e instalaciones de NetSol pueden ser propiedad de franquiciados y licenciatarios independientes, quienes "&amp;"los operan. En tales casos, estos franquiciados y licenciatarios gestionan y operan las instalaciones, y son los empleadores de todos los empleados y contratistas que trabajan en ellas. Estos franquiciados son contratistas independientes, y estos Términos"&amp;" no pretenden ni crean ninguna relación de agencia, sociedad, empresa conjunta, laboral ni de franquiciador-franquiciado.")</f>
        <v>Usted y NetSol negocian de forma independiente, estableciendo una relación comercial. NetSol no es su agente ni su fiduciario. Muchos de los negocios e instalaciones de NetSol pueden ser propiedad de franquiciados y licenciatarios independientes, quienes los operan. En tales casos, estos franquiciados y licenciatarios gestionan y operan las instalaciones, y son los empleadores de todos los empleados y contratistas que trabajan en ellas. Estos franquiciados son contratistas independientes, y estos Términos no pretenden ni crean ninguna relación de agencia, sociedad, empresa conjunta, laboral ni de franquiciador-franquiciado.</v>
      </c>
    </row>
    <row r="54">
      <c r="A54" s="10" t="s">
        <v>979</v>
      </c>
      <c r="B54" s="12" t="str">
        <f>IFERROR(__xludf.DUMMYFUNCTION("IF(ISBLANK(A54),"""",GOOGLETRANSLATE(A54,""en"",""es""))"),"Las disposiciones y condiciones de estos Términos, así como cada obligación aquí mencionada, constituyen el Acuerdo completo entre NetSol (incluidos los Proveedores), sus entidades afiliadas o relacionadas y Usted, y reemplazan cualquier acuerdo o entendi"&amp;"miento previo no incorporado al presente. En caso de existir alguna inconsistencia entre estos Términos y cualquier término de uso o entendimiento publicado posteriormente, prevalecerán los últimos Términos publicados.")</f>
        <v>Las disposiciones y condiciones de estos Términos, así como cada obligación aquí mencionada, constituyen el Acuerdo completo entre NetSol (incluidos los Proveedores), sus entidades afiliadas o relacionadas y Usted, y reemplazan cualquier acuerdo o entendimiento previo no incorporado al presente. En caso de existir alguna inconsistencia entre estos Términos y cualquier término de uso o entendimiento publicado posteriormente, prevalecerán los últimos Términos publicados.</v>
      </c>
    </row>
    <row r="55">
      <c r="A55" s="10" t="s">
        <v>980</v>
      </c>
      <c r="B55" s="12" t="str">
        <f>IFERROR(__xludf.DUMMYFUNCTION("IF(ISBLANK(A55),"""",GOOGLETRANSLATE(A55,""en"",""es""))"),"NETSOL SE RESERVA TODOS LOS DERECHOS NO EXPRESAMENTE CONCEDIDOS O ESTABLECIDOS EN ESTOS TÉRMINOS.")</f>
        <v>NETSOL SE RESERVA TODOS LOS DERECHOS NO EXPRESAMENTE CONCEDIDOS O ESTABLECIDOS EN ESTOS TÉRMINOS.</v>
      </c>
    </row>
    <row r="56">
      <c r="A56" s="10" t="s">
        <v>981</v>
      </c>
      <c r="B56" s="12" t="str">
        <f>IFERROR(__xludf.DUMMYFUNCTION("IF(ISBLANK(A56),"""",GOOGLETRANSLATE(A56,""en"",""es""))"),"Datos de la empresa registrada")</f>
        <v>Datos de la empresa registrada</v>
      </c>
    </row>
    <row r="57">
      <c r="A57" s="10" t="s">
        <v>982</v>
      </c>
      <c r="B57" s="12" t="str">
        <f>IFERROR(__xludf.DUMMYFUNCTION("IF(ISBLANK(A57),"""",GOOGLETRANSLATE(A57,""en"",""es""))"),"NetSol Technologies Europe Ltd (nombre comercial: NetSol Technologies). Domicilio social: Planet House, North Heath Lane, Horsham RH12 5QE, West Sussex, Inglaterra. Inscrita en Inglaterra con el número 1998080. NIF-IVA: 826611533")</f>
        <v>NetSol Technologies Europe Ltd (nombre comercial: NetSol Technologies). Domicilio social: Planet House, North Heath Lane, Horsham RH12 5QE, West Sussex, Inglaterra. Inscrita en Inglaterra con el número 1998080. NIF-IVA: 826611533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0"/>
  </cols>
  <sheetData>
    <row r="1">
      <c r="A1" s="3" t="s">
        <v>0</v>
      </c>
      <c r="B1" s="3" t="s">
        <v>133</v>
      </c>
    </row>
    <row r="2">
      <c r="A2" s="10" t="s">
        <v>208</v>
      </c>
      <c r="B2" s="12" t="str">
        <f>IFERROR(__xludf.DUMMYFUNCTION("IF(ISBLANK(A2),"""",GOOGLETRANSLATE(A2,""en"",""es""))"),"política de privacidad")</f>
        <v>política de privacidad</v>
      </c>
    </row>
    <row r="3">
      <c r="A3" s="10" t="s">
        <v>983</v>
      </c>
      <c r="B3" s="12" t="str">
        <f>IFERROR(__xludf.DUMMYFUNCTION("IF(ISBLANK(A3),"""",GOOGLETRANSLATE(A3,""en"",""es""))"),"Principios generales:")</f>
        <v>Principios generales:</v>
      </c>
    </row>
    <row r="4">
      <c r="A4" s="10" t="s">
        <v>984</v>
      </c>
      <c r="B4" s="12" t="str">
        <f>IFERROR(__xludf.DUMMYFUNCTION("IF(ISBLANK(A4),"""",GOOGLETRANSLATE(A4,""en"",""es""))"),"NETSOL Technologies Ltd (“NETSOL”) comprende la importancia de su privacidad y su preocupación por cómo se utilizan y comparten sus datos personales en línea. Respetamos y valoramos la privacidad de todos los visitantes de este sitio web, https://netsolte"&amp;"ch.com (“Nuestro Sitio”), y solo recopilaremos y utilizaremos datos personales de las maneras descritas aquí, de conformidad con nuestras obligaciones y sus derechos legales.")</f>
        <v>NETSOL Technologies Ltd (“NETSOL”) comprende la importancia de su privacidad y su preocupación por cómo se utilizan y comparten sus datos personales en línea. Respetamos y valoramos la privacidad de todos los visitantes de este sitio web, https://netsoltech.com (“Nuestro Sitio”), y solo recopilaremos y utilizaremos datos personales de las maneras descritas aquí, de conformidad con nuestras obligaciones y sus derechos legales.</v>
      </c>
    </row>
    <row r="5">
      <c r="A5" s="10" t="s">
        <v>985</v>
      </c>
      <c r="B5" s="12" t="str">
        <f>IFERROR(__xludf.DUMMYFUNCTION("IF(ISBLANK(A5),"""",GOOGLETRANSLATE(A5,""en"",""es""))"),"Lea atentamente esta Política de Privacidad y nuestra Política de Cookies, que forman parte de este acuerdo, y asegúrese de comprenderlas. Su aceptación de nuestra Política de Privacidad se considera efectiva al usar nuestro sitio web por primera vez. Si "&amp;"no acepta esta Política de Privacidad, debe dejar de usar nuestro sitio web inmediatamente.")</f>
        <v>Lea atentamente esta Política de Privacidad y nuestra Política de Cookies, que forman parte de este acuerdo, y asegúrese de comprenderlas. Su aceptación de nuestra Política de Privacidad se considera efectiva al usar nuestro sitio web por primera vez. Si no acepta esta Política de Privacidad, debe dejar de usar nuestro sitio web inmediatamente.</v>
      </c>
    </row>
    <row r="6">
      <c r="A6" s="10" t="s">
        <v>986</v>
      </c>
      <c r="B6" s="12" t="str">
        <f>IFERROR(__xludf.DUMMYFUNCTION("IF(ISBLANK(A6),"""",GOOGLETRANSLATE(A6,""en"",""es""))"),"¿Qué cubre esta póliza?")</f>
        <v>¿Qué cubre esta póliza?</v>
      </c>
    </row>
    <row r="7">
      <c r="A7" s="10" t="s">
        <v>987</v>
      </c>
      <c r="B7" s="12" t="str">
        <f>IFERROR(__xludf.DUMMYFUNCTION("IF(ISBLANK(A7),"""",GOOGLETRANSLATE(A7,""en"",""es""))"),"Esta Política de Privacidad se aplica únicamente al uso que usted haga de nuestro sitio web. Nuestro sitio puede contener enlaces a otros sitios web. Tenga en cuenta que no tenemos control alguno sobre cómo otros sitios web recopilan, almacenan o utilizan"&amp;" sus datos, por lo que le recomendamos que consulte las políticas de privacidad de dichos sitios web antes de proporcionarles cualquier dato.")</f>
        <v>Esta Política de Privacidad se aplica únicamente al uso que usted haga de nuestro sitio web. Nuestro sitio puede contener enlaces a otros sitios web. Tenga en cuenta que no tenemos control alguno sobre cómo otros sitios web recopilan, almacenan o utilizan sus datos, por lo que le recomendamos que consulte las políticas de privacidad de dichos sitios web antes de proporcionarles cualquier dato.</v>
      </c>
    </row>
    <row r="8">
      <c r="A8" s="10" t="s">
        <v>988</v>
      </c>
      <c r="B8" s="12" t="str">
        <f>IFERROR(__xludf.DUMMYFUNCTION("IF(ISBLANK(A8),"""",GOOGLETRANSLATE(A8,""en"",""es""))"),"¿Qué datos se están recopilando?")</f>
        <v>¿Qué datos se están recopilando?</v>
      </c>
    </row>
    <row r="9">
      <c r="A9" s="10" t="s">
        <v>989</v>
      </c>
      <c r="B9" s="12" t="str">
        <f>IFERROR(__xludf.DUMMYFUNCTION("IF(ISBLANK(A9),"""",GOOGLETRANSLATE(A9,""en"",""es""))"),"Nuestros sitios web:")</f>
        <v>Nuestros sitios web:</v>
      </c>
    </row>
    <row r="10">
      <c r="A10" s="10" t="s">
        <v>990</v>
      </c>
      <c r="B10" s="12" t="str">
        <f>IFERROR(__xludf.DUMMYFUNCTION("IF(ISBLANK(A10),"""",GOOGLETRANSLATE(A10,""en"",""es""))"),"netsoltech.com, ascent.netsoltech.com, mobility.netsoltech.com")</f>
        <v>netsoltech.com, ascent.netsoltech.com, mobility.netsoltech.com</v>
      </c>
    </row>
    <row r="11">
      <c r="A11" s="10" t="s">
        <v>991</v>
      </c>
      <c r="B11" s="12" t="str">
        <f>IFERROR(__xludf.DUMMYFUNCTION("IF(ISBLANK(A11),"""",GOOGLETRANSLATE(A11,""en"",""es""))"),"Los datos que recopilamos a través de nuestros sitios web incluyen su nombre, cargo, nombre de la empresa, correo electrónico y número de teléfono. Estos datos son los que usted proporciona al contactarnos mediante nuestros formularios de contacto o solic"&amp;"itud de demostración. Nuestro sitio también puede colocar y acceder a ciertas cookies propias en su ordenador o dispositivo. Estas cookies se detallan en nuestra Política de Cookies. Dicha política se incorpora a la presente Política de Privacidad mediant"&amp;"e esta referencia.")</f>
        <v>Los datos que recopilamos a través de nuestros sitios web incluyen su nombre, cargo, nombre de la empresa, correo electrónico y número de teléfono. Estos datos son los que usted proporciona al contactarnos mediante nuestros formularios de contacto o solicitud de demostración. Nuestro sitio también puede colocar y acceder a ciertas cookies propias en su ordenador o dispositivo. Estas cookies se detallan en nuestra Política de Cookies. Dicha política se incorpora a la presente Política de Privacidad mediante esta referencia.</v>
      </c>
    </row>
    <row r="12">
      <c r="A12" s="10" t="s">
        <v>992</v>
      </c>
      <c r="B12" s="12" t="str">
        <f>IFERROR(__xludf.DUMMYFUNCTION("IF(ISBLANK(A12),"""",GOOGLETRANSLATE(A12,""en"",""es""))"),"Solicitantes de empleo:")</f>
        <v>Solicitantes de empleo:</v>
      </c>
    </row>
    <row r="13">
      <c r="A13" s="10" t="s">
        <v>993</v>
      </c>
      <c r="B13" s="12" t="str">
        <f>IFERROR(__xludf.DUMMYFUNCTION("IF(ISBLANK(A13),"""",GOOGLETRANSLATE(A13,""en"",""es""))"),"Como parte de cualquier proceso de selección, NETSOL recopila y procesa datos personales de los candidatos. Recopilaremos su historial laboral, datos de contacto y cualquier otra información que figure en su currículum. Siempre le informaremos claramente "&amp;"sobre qué información solicitamos y por qué, y siempre le pediremos su consentimiento para proporcionarle la información necesaria para cumplir con la legislación laboral local.")</f>
        <v>Como parte de cualquier proceso de selección, NETSOL recopila y procesa datos personales de los candidatos. Recopilaremos su historial laboral, datos de contacto y cualquier otra información que figure en su currículum. Siempre le informaremos claramente sobre qué información solicitamos y por qué, y siempre le pediremos su consentimiento para proporcionarle la información necesaria para cumplir con la legislación laboral local.</v>
      </c>
    </row>
    <row r="14">
      <c r="A14" s="10" t="s">
        <v>994</v>
      </c>
      <c r="B14" s="12" t="str">
        <f>IFERROR(__xludf.DUMMYFUNCTION("IF(ISBLANK(A14),"""",GOOGLETRANSLATE(A14,""en"",""es""))"),"¿Cómo utilizamos sus datos?")</f>
        <v>¿Cómo utilizamos sus datos?</v>
      </c>
    </row>
    <row r="15">
      <c r="A15" s="10" t="s">
        <v>995</v>
      </c>
      <c r="B15" s="12" t="str">
        <f>IFERROR(__xludf.DUMMYFUNCTION("IF(ISBLANK(A15),"""",GOOGLETRANSLATE(A15,""en"",""es""))"),"Todos los datos personales se procesan y almacenan de forma segura, durante el tiempo estrictamente necesario para la finalidad para la que fueron recabados. Cumpliremos en todo momento con nuestras obligaciones y garantizaremos sus derechos conforme al R"&amp;"GPD.")</f>
        <v>Todos los datos personales se procesan y almacenan de forma segura, durante el tiempo estrictamente necesario para la finalidad para la que fueron recabados. Cumpliremos en todo momento con nuestras obligaciones y garantizaremos sus derechos conforme al RGPD.</v>
      </c>
    </row>
    <row r="16">
      <c r="A16" s="10" t="s">
        <v>996</v>
      </c>
      <c r="B16" s="12" t="str">
        <f>IFERROR(__xludf.DUMMYFUNCTION("IF(ISBLANK(A16),"""",GOOGLETRANSLATE(A16,""en"",""es""))"),"El uso que hacemos de sus datos personales siempre tendrá una base legal, ya sea porque es necesario para la ejecución de un contrato con usted, porque usted ha dado su consentimiento para el uso de sus datos personales (por ejemplo, al suscribirse a nues"&amp;"tros correos electrónicos) o porque responde a nuestros intereses legítimos. En concreto, podemos utilizar sus datos para los siguientes fines:")</f>
        <v>El uso que hacemos de sus datos personales siempre tendrá una base legal, ya sea porque es necesario para la ejecución de un contrato con usted, porque usted ha dado su consentimiento para el uso de sus datos personales (por ejemplo, al suscribirse a nuestros correos electrónicos) o porque responde a nuestros intereses legítimos. En concreto, podemos utilizar sus datos para los siguientes fines:</v>
      </c>
    </row>
    <row r="17">
      <c r="A17" s="10" t="s">
        <v>997</v>
      </c>
      <c r="B17" s="12" t="str">
        <f>IFERROR(__xludf.DUMMYFUNCTION("IF(ISBLANK(A17),"""",GOOGLETRANSLATE(A17,""en"",""es""))"),"Proporcionar y administrar su cuenta.")</f>
        <v>Proporcionar y administrar su cuenta.</v>
      </c>
    </row>
    <row r="18">
      <c r="A18" s="10" t="s">
        <v>998</v>
      </c>
      <c r="B18" s="12" t="str">
        <f>IFERROR(__xludf.DUMMYFUNCTION("IF(ISBLANK(A18),"""",GOOGLETRANSLATE(A18,""en"",""es""))"),"Proporcionar y gestionar su acceso a nuestro Sitio.")</f>
        <v>Proporcionar y gestionar su acceso a nuestro Sitio.</v>
      </c>
    </row>
    <row r="19">
      <c r="A19" s="10" t="s">
        <v>999</v>
      </c>
      <c r="B19" s="12" t="str">
        <f>IFERROR(__xludf.DUMMYFUNCTION("IF(ISBLANK(A19),"""",GOOGLETRANSLATE(A19,""en"",""es""))"),"Suministrarle nuestros productos y servicios (tenga en cuenta que necesitamos sus datos personales para formalizar un contrato con usted).")</f>
        <v>Suministrarle nuestros productos y servicios (tenga en cuenta que necesitamos sus datos personales para formalizar un contrato con usted).</v>
      </c>
    </row>
    <row r="20">
      <c r="A20" s="10" t="s">
        <v>1000</v>
      </c>
      <c r="B20" s="12" t="str">
        <f>IFERROR(__xludf.DUMMYFUNCTION("IF(ISBLANK(A20),"""",GOOGLETRANSLATE(A20,""en"",""es""))"),"Personalizamos y adaptamos nuestros productos y servicios a sus necesidades.")</f>
        <v>Personalizamos y adaptamos nuestros productos y servicios a sus necesidades.</v>
      </c>
    </row>
    <row r="21">
      <c r="A21" s="10" t="s">
        <v>1001</v>
      </c>
      <c r="B21" s="12" t="str">
        <f>IFERROR(__xludf.DUMMYFUNCTION("IF(ISBLANK(A21),"""",GOOGLETRANSLATE(A21,""en"",""es""))"),"Respondiendo a tus correos electrónicos.")</f>
        <v>Respondiendo a tus correos electrónicos.</v>
      </c>
    </row>
    <row r="22">
      <c r="A22" s="10" t="s">
        <v>1002</v>
      </c>
      <c r="B22" s="12" t="str">
        <f>IFERROR(__xludf.DUMMYFUNCTION("IF(ISBLANK(A22),"""",GOOGLETRANSLATE(A22,""en"",""es""))"),"Te enviaremos correos electrónicos a los que te hayas suscrito (puedes darte de baja en cualquier momento haciendo clic en ""cancelar suscripción"").")</f>
        <v>Te enviaremos correos electrónicos a los que te hayas suscrito (puedes darte de baja en cualquier momento haciendo clic en "cancelar suscripción").</v>
      </c>
    </row>
    <row r="23">
      <c r="A23" s="10" t="s">
        <v>1003</v>
      </c>
      <c r="B23" s="12" t="str">
        <f>IFERROR(__xludf.DUMMYFUNCTION("IF(ISBLANK(A23),"""",GOOGLETRANSLATE(A23,""en"",""es""))"),"Analizamos el uso que usted hace de nuestro sitio web y recopilamos sus comentarios para poder mejorar continuamente nuestro sitio y su experiencia de usuario.")</f>
        <v>Analizamos el uso que usted hace de nuestro sitio web y recopilamos sus comentarios para poder mejorar continuamente nuestro sitio y su experiencia de usuario.</v>
      </c>
    </row>
    <row r="24">
      <c r="A24" s="10" t="s">
        <v>1004</v>
      </c>
      <c r="B24" s="12" t="str">
        <f>IFERROR(__xludf.DUMMYFUNCTION("IF(ISBLANK(A24),"""",GOOGLETRANSLATE(A24,""en"",""es""))"),"Con su permiso y/o cuando la ley lo permita, también podremos usar sus datos con fines de marketing, lo que puede incluir contactarle por correo electrónico y/o teléfono para informarle sobre nuestros productos y servicios, así como para ofrecerle novedad"&amp;"es y ofertas. No obstante, no le enviaremos publicidad no solicitada ni correo basura y adoptaremos todas las medidas necesarias para garantizar la plena protección de sus derechos y el cumplimiento de nuestras obligaciones conforme al RGPD y al Reglament"&amp;"o de Privacidad y Comunicaciones Electrónicas (Directiva CE) de 2003.")</f>
        <v>Con su permiso y/o cuando la ley lo permita, también podremos usar sus datos con fines de marketing, lo que puede incluir contactarle por correo electrónico y/o teléfono para informarle sobre nuestros productos y servicios, así como para ofrecerle novedades y ofertas. No obstante, no le enviaremos publicidad no solicitada ni correo basura y adoptaremos todas las medidas necesarias para garantizar la plena protección de sus derechos y el cumplimiento de nuestras obligaciones conforme al RGPD y al Reglamento de Privacidad y Comunicaciones Electrónicas (Directiva CE) de 2003.</v>
      </c>
    </row>
    <row r="25">
      <c r="A25" s="10" t="s">
        <v>1005</v>
      </c>
      <c r="B25" s="12" t="str">
        <f>IFERROR(__xludf.DUMMYFUNCTION("IF(ISBLANK(A25),"""",GOOGLETRANSLATE(A25,""en"",""es""))"),"Tienes derecho a retirar tu consentimiento para que usemos tus datos personales en cualquier momento y a solicitar que los eliminemos. Puedes hacerlo utilizando los datos de contacto que se proporcionan en esta Política de Privacidad.")</f>
        <v>Tienes derecho a retirar tu consentimiento para que usemos tus datos personales en cualquier momento y a solicitar que los eliminemos. Puedes hacerlo utilizando los datos de contacto que se proporcionan en esta Política de Privacidad.</v>
      </c>
    </row>
    <row r="26">
      <c r="A26" s="10" t="s">
        <v>1006</v>
      </c>
      <c r="B26" s="12" t="str">
        <f>IFERROR(__xludf.DUMMYFUNCTION("IF(ISBLANK(A26),"""",GOOGLETRANSLATE(A26,""en"",""es""))"),"¿Cuánto tiempo conservamos sus datos?")</f>
        <v>¿Cuánto tiempo conservamos sus datos?</v>
      </c>
    </row>
    <row r="27">
      <c r="A27" s="10" t="s">
        <v>1007</v>
      </c>
      <c r="B27" s="12" t="str">
        <f>IFERROR(__xludf.DUMMYFUNCTION("IF(ISBLANK(A27),"""",GOOGLETRANSLATE(A27,""en"",""es""))"),"No conservamos sus datos personales durante más tiempo del necesario según el propósito para el que fueron recabados inicialmente. Por lo tanto, los datos se conservarán durante 2 años después de su último uso.")</f>
        <v>No conservamos sus datos personales durante más tiempo del necesario según el propósito para el que fueron recabados inicialmente. Por lo tanto, los datos se conservarán durante 2 años después de su último uso.</v>
      </c>
    </row>
    <row r="28">
      <c r="A28" s="10" t="s">
        <v>1008</v>
      </c>
      <c r="B28" s="12" t="str">
        <f>IFERROR(__xludf.DUMMYFUNCTION("IF(ISBLANK(A28),"""",GOOGLETRANSLATE(A28,""en"",""es""))"),"Si has solicitado un puesto de trabajo con nosotros:")</f>
        <v>Si has solicitado un puesto de trabajo con nosotros:</v>
      </c>
    </row>
    <row r="29">
      <c r="A29" s="10" t="s">
        <v>1009</v>
      </c>
      <c r="B29" s="12" t="str">
        <f>IFERROR(__xludf.DUMMYFUNCTION("IF(ISBLANK(A29),"""",GOOGLETRANSLATE(A29,""en"",""es""))"),"Si su solicitud no fue seleccionada, conservaremos sus datos durante 8 meses a partir de la fecha de la decisión y podríamos contactarle para informarle sobre puestos relevantes durante ese período. Transcurrido este plazo, eliminaremos su información.")</f>
        <v>Si su solicitud no fue seleccionada, conservaremos sus datos durante 8 meses a partir de la fecha de la decisión y podríamos contactarle para informarle sobre puestos relevantes durante ese período. Transcurrido este plazo, eliminaremos su información.</v>
      </c>
    </row>
    <row r="30">
      <c r="A30" s="10" t="s">
        <v>1010</v>
      </c>
      <c r="B30" s="12" t="str">
        <f>IFERROR(__xludf.DUMMYFUNCTION("IF(ISBLANK(A30),"""",GOOGLETRANSLATE(A30,""en"",""es""))"),"Si te conviertes en empleado de NETSOL, los datos que recopilemos sobre ti pasarán a formar parte de tu expediente laboral. Durante tu relación laboral, te informaremos sobre los plazos de conservación de tus datos tras tu baja.")</f>
        <v>Si te conviertes en empleado de NETSOL, los datos que recopilemos sobre ti pasarán a formar parte de tu expediente laboral. Durante tu relación laboral, te informaremos sobre los plazos de conservación de tus datos tras tu baja.</v>
      </c>
    </row>
    <row r="31">
      <c r="A31" s="10" t="s">
        <v>1011</v>
      </c>
      <c r="B31" s="12" t="str">
        <f>IFERROR(__xludf.DUMMYFUNCTION("IF(ISBLANK(A31),"""",GOOGLETRANSLATE(A31,""en"",""es""))"),"¿Cómo y dónde almacenamos sus datos?")</f>
        <v>¿Cómo y dónde almacenamos sus datos?</v>
      </c>
    </row>
    <row r="32">
      <c r="A32" s="10" t="s">
        <v>1012</v>
      </c>
      <c r="B32" s="12" t="str">
        <f>IFERROR(__xludf.DUMMYFUNCTION("IF(ISBLANK(A32),"""",GOOGLETRANSLATE(A32,""en"",""es""))"),"Solo conservamos sus datos personales durante el tiempo que sea necesario para utilizarlos según lo descrito anteriormente y/o durante el tiempo que tengamos su permiso para conservarlos.")</f>
        <v>Solo conservamos sus datos personales durante el tiempo que sea necesario para utilizarlos según lo descrito anteriormente y/o durante el tiempo que tengamos su permiso para conservarlos.</v>
      </c>
    </row>
    <row r="33">
      <c r="A33" s="10" t="s">
        <v>1013</v>
      </c>
      <c r="B33" s="12" t="str">
        <f>IFERROR(__xludf.DUMMYFUNCTION("IF(ISBLANK(A33),"""",GOOGLETRANSLATE(A33,""en"",""es""))"),"Es posible que algunos o todos sus datos se almacenen fuera del Espacio Económico Europeo (EEE) (el EEE comprende todos los Estados miembros de la UE, además de Noruega, Islandia y Liechtenstein). Al utilizar nuestro sitio web y enviarnos información, ust"&amp;"ed acepta esta condición. Si almacenamos datos fuera del EEE, adoptaremos todas las medidas razonables para garantizar que sus datos se traten con la misma seguridad que dentro del Reino Unido y de conformidad con el RGPD, incluyendo el uso de proveedores"&amp;" que cumplen con el RGPD para el procesamiento y almacenamiento de datos personales.")</f>
        <v>Es posible que algunos o todos sus datos se almacenen fuera del Espacio Económico Europeo (EEE) (el EEE comprende todos los Estados miembros de la UE, además de Noruega, Islandia y Liechtenstein). Al utilizar nuestro sitio web y enviarnos información, usted acepta esta condición. Si almacenamos datos fuera del EEE, adoptaremos todas las medidas razonables para garantizar que sus datos se traten con la misma seguridad que dentro del Reino Unido y de conformidad con el RGPD, incluyendo el uso de proveedores que cumplen con el RGPD para el procesamiento y almacenamiento de datos personales.</v>
      </c>
    </row>
    <row r="34">
      <c r="A34" s="10" t="s">
        <v>1014</v>
      </c>
      <c r="B34" s="12" t="str">
        <f>IFERROR(__xludf.DUMMYFUNCTION("IF(ISBLANK(A34),"""",GOOGLETRANSLATE(A34,""en"",""es""))"),"¿Compartimos tus datos?")</f>
        <v>¿Compartimos tus datos?</v>
      </c>
    </row>
    <row r="35">
      <c r="A35" s="10" t="s">
        <v>1015</v>
      </c>
      <c r="B35" s="12" t="str">
        <f>IFERROR(__xludf.DUMMYFUNCTION("IF(ISBLANK(A35),"""",GOOGLETRANSLATE(A35,""en"",""es""))"),"En NETSOL nos tomamos muy en serio su privacidad y la información que conservamos sobre usted es confidencial. Podemos compartir su información con otras empresas de nuestro grupo para proporcionarle nuestros productos y servicios, mantener su cuenta y su"&amp;"pervisar el uso de nuestros productos y servicios. Esto incluye a nuestras empresas matrices y sus filiales.")</f>
        <v>En NETSOL nos tomamos muy en serio su privacidad y la información que conservamos sobre usted es confidencial. Podemos compartir su información con otras empresas de nuestro grupo para proporcionarle nuestros productos y servicios, mantener su cuenta y supervisar el uso de nuestros productos y servicios. Esto incluye a nuestras empresas matrices y sus filiales.</v>
      </c>
    </row>
    <row r="36">
      <c r="A36" s="10" t="s">
        <v>1016</v>
      </c>
      <c r="B36" s="12" t="str">
        <f>IFERROR(__xludf.DUMMYFUNCTION("IF(ISBLANK(A36),"""",GOOGLETRANSLATE(A36,""en"",""es""))"),"En ocasiones, podemos contratar a terceros para que le proporcionen productos y servicios en nuestro nombre. Estos servicios pueden incluir el procesamiento de pagos, la entrega de mercancías, servicios de motores de búsqueda, publicidad y marketing. En a"&amp;"lgunos casos, estos terceros pueden necesitar acceder a algunos o todos sus datos. Cuando se requiera alguno de sus datos para tal fin, tomaremos todas las medidas razonables para garantizar que se manejen de forma segura y de conformidad con sus derechos"&amp;", nuestras obligaciones y las obligaciones del tercero según la ley.")</f>
        <v>En ocasiones, podemos contratar a terceros para que le proporcionen productos y servicios en nuestro nombre. Estos servicios pueden incluir el procesamiento de pagos, la entrega de mercancías, servicios de motores de búsqueda, publicidad y marketing. En algunos casos, estos terceros pueden necesitar acceder a algunos o todos sus datos. Cuando se requiera alguno de sus datos para tal fin, tomaremos todas las medidas razonables para garantizar que se manejen de forma segura y de conformidad con sus derechos, nuestras obligaciones y las obligaciones del tercero según la ley.</v>
      </c>
    </row>
    <row r="37">
      <c r="A37" s="10" t="s">
        <v>1017</v>
      </c>
      <c r="B37" s="12" t="str">
        <f>IFERROR(__xludf.DUMMYFUNCTION("IF(ISBLANK(A37),"""",GOOGLETRANSLATE(A37,""en"",""es""))"),"Podemos recopilar estadísticas sobre el uso de nuestro sitio web, incluyendo datos de tráfico, patrones de uso, número de usuarios, ventas y otra información. Todos estos datos serán anonimizados y no incluirán información personal identificable, ni datos"&amp;" anonimizados que puedan combinarse con otros datos para identificarle. Es posible que, ocasionalmente, compartamos estos datos con terceros, como posibles inversores, afiliados, socios y anunciantes. Los datos solo se compartirán y utilizarán dentro del "&amp;"marco legal.")</f>
        <v>Podemos recopilar estadísticas sobre el uso de nuestro sitio web, incluyendo datos de tráfico, patrones de uso, número de usuarios, ventas y otra información. Todos estos datos serán anonimizados y no incluirán información personal identificable, ni datos anonimizados que puedan combinarse con otros datos para identificarle. Es posible que, ocasionalmente, compartamos estos datos con terceros, como posibles inversores, afiliados, socios y anunciantes. Los datos solo se compartirán y utilizarán dentro del marco legal.</v>
      </c>
    </row>
    <row r="38">
      <c r="A38" s="10" t="s">
        <v>1018</v>
      </c>
      <c r="B38" s="12" t="str">
        <f>IFERROR(__xludf.DUMMYFUNCTION("IF(ISBLANK(A38),"""",GOOGLETRANSLATE(A38,""en"",""es""))"),"En ocasiones, podemos utilizar procesadores de datos externos ubicados fuera del Espacio Económico Europeo («EEE») (el EEE comprende todos los Estados miembros de la UE, además de Noruega, Islandia y Liechtenstein). Cuando transfiramos datos personales fu"&amp;"era del EEE, adoptaremos todas las medidas razonables para garantizar que sus datos se traten con la misma seguridad que dentro del Reino Unido y de conformidad con el RGPD.")</f>
        <v>En ocasiones, podemos utilizar procesadores de datos externos ubicados fuera del Espacio Económico Europeo («EEE») (el EEE comprende todos los Estados miembros de la UE, además de Noruega, Islandia y Liechtenstein). Cuando transfiramos datos personales fuera del EEE, adoptaremos todas las medidas razonables para garantizar que sus datos se traten con la misma seguridad que dentro del Reino Unido y de conformidad con el RGPD.</v>
      </c>
    </row>
    <row r="39">
      <c r="A39" s="10" t="s">
        <v>1019</v>
      </c>
      <c r="B39" s="12" t="str">
        <f>IFERROR(__xludf.DUMMYFUNCTION("IF(ISBLANK(A39),"""",GOOGLETRANSLATE(A39,""en"",""es""))"),"En determinadas circunstancias, es posible que estemos legalmente obligados a compartir ciertos datos que obran en nuestro poder, que pueden incluir sus datos personales, por ejemplo, cuando estemos involucrados en procedimientos legales, cuando estemos c"&amp;"umpliendo con requisitos legales, una orden judicial o una solicitud de una autoridad gubernamental.")</f>
        <v>En determinadas circunstancias, es posible que estemos legalmente obligados a compartir ciertos datos que obran en nuestro poder, que pueden incluir sus datos personales, por ejemplo, cuando estemos involucrados en procedimientos legales, cuando estemos cumpliendo con requisitos legales, una orden judicial o una solicitud de una autoridad gubernamental.</v>
      </c>
    </row>
    <row r="40">
      <c r="A40" s="10" t="s">
        <v>1020</v>
      </c>
      <c r="B40" s="12" t="str">
        <f>IFERROR(__xludf.DUMMYFUNCTION("IF(ISBLANK(A40),"""",GOOGLETRANSLATE(A40,""en"",""es""))"),"Enlaces a otros sitios web")</f>
        <v>Enlaces a otros sitios web</v>
      </c>
    </row>
    <row r="41">
      <c r="A41" s="10" t="s">
        <v>1021</v>
      </c>
      <c r="B41" s="12" t="str">
        <f>IFERROR(__xludf.DUMMYFUNCTION("IF(ISBLANK(A41),"""",GOOGLETRANSLATE(A41,""en"",""es""))"),"Tenga en cuenta que esta Política de Privacidad de Datos solo se aplica a NETSOL Technologies Ltd. Si accede a otro sitio web a través de un enlace desde este, no nos hacemos responsables de la seguridad de la información que proporcione allí. Es su respo"&amp;"nsabilidad revisar y cumplir con las políticas de privacidad de estos sitios web de terceros para garantizar que cumplan con la normativa de protección de datos.")</f>
        <v>Tenga en cuenta que esta Política de Privacidad de Datos solo se aplica a NETSOL Technologies Ltd. Si accede a otro sitio web a través de un enlace desde este, no nos hacemos responsables de la seguridad de la información que proporcione allí. Es su responsabilidad revisar y cumplir con las políticas de privacidad de estos sitios web de terceros para garantizar que cumplan con la normativa de protección de datos.</v>
      </c>
    </row>
    <row r="42">
      <c r="A42" s="10" t="s">
        <v>1022</v>
      </c>
      <c r="B42" s="12" t="str">
        <f>IFERROR(__xludf.DUMMYFUNCTION("IF(ISBLANK(A42),"""",GOOGLETRANSLATE(A42,""en"",""es""))"),"¿Qué sucede si nuestra empresa cambia de manos?")</f>
        <v>¿Qué sucede si nuestra empresa cambia de manos?</v>
      </c>
    </row>
    <row r="43">
      <c r="A43" s="10" t="s">
        <v>1023</v>
      </c>
      <c r="B43" s="12" t="str">
        <f>IFERROR(__xludf.DUMMYFUNCTION("IF(ISBLANK(A43),"""",GOOGLETRANSLATE(A43,""en"",""es""))"),"Es posible que, ocasionalmente, ampliemos o reduzcamos nuestra actividad comercial, lo que podría implicar la venta o la cesión del control de la totalidad o parte de nuestro negocio. Los datos personales que nos haya facilitado, en la medida en que sean "&amp;"relevantes para la parte de nuestro negocio que se transfiera, se transferirán junto con dicha parte. El nuevo propietario o la nueva entidad controladora, de conformidad con esta Política de Privacidad, solo podrá utilizar dichos datos para los mismos fi"&amp;"nes para los que fueron recabados originalmente por nosotros.")</f>
        <v>Es posible que, ocasionalmente, ampliemos o reduzcamos nuestra actividad comercial, lo que podría implicar la venta o la cesión del control de la totalidad o parte de nuestro negocio. Los datos personales que nos haya facilitado, en la medida en que sean relevantes para la parte de nuestro negocio que se transfiera, se transferirán junto con dicha parte. El nuevo propietario o la nueva entidad controladora, de conformidad con esta Política de Privacidad, solo podrá utilizar dichos datos para los mismos fines para los que fueron recabados originalmente por nosotros.</v>
      </c>
    </row>
    <row r="44">
      <c r="A44" s="10" t="s">
        <v>1024</v>
      </c>
      <c r="B44" s="12" t="str">
        <f>IFERROR(__xludf.DUMMYFUNCTION("IF(ISBLANK(A44),"""",GOOGLETRANSLATE(A44,""en"",""es""))"),"En caso de que alguno de sus datos vaya a ser transferido de esta manera, no se le contactará con antelación.")</f>
        <v>En caso de que alguno de sus datos vaya a ser transferido de esta manera, no se le contactará con antelación.</v>
      </c>
    </row>
    <row r="45">
      <c r="A45" s="10" t="s">
        <v>1025</v>
      </c>
      <c r="B45" s="12" t="str">
        <f>IFERROR(__xludf.DUMMYFUNCTION("IF(ISBLANK(A45),"""",GOOGLETRANSLATE(A45,""en"",""es""))"),"Sus derechos y cómo contactarnos:")</f>
        <v>Sus derechos y cómo contactarnos:</v>
      </c>
    </row>
    <row r="46">
      <c r="A46" s="10" t="s">
        <v>1026</v>
      </c>
      <c r="B46" s="12" t="str">
        <f>IFERROR(__xludf.DUMMYFUNCTION("IF(ISBLANK(A46),"""",GOOGLETRANSLATE(A46,""en"",""es""))"),"Como titular de los datos dentro de la UE, usted tiene los siguientes derechos en virtud del RGPD, que esta Política y nuestro uso de datos personales han sido diseñados para garantizar:")</f>
        <v>Como titular de los datos dentro de la UE, usted tiene los siguientes derechos en virtud del RGPD, que esta Política y nuestro uso de datos personales han sido diseñados para garantizar:</v>
      </c>
    </row>
    <row r="47">
      <c r="A47" s="10" t="s">
        <v>1027</v>
      </c>
      <c r="B47" s="12" t="str">
        <f>IFERROR(__xludf.DUMMYFUNCTION("IF(ISBLANK(A47),"""",GOOGLETRANSLATE(A47,""en"",""es""))"),"El derecho a ser informado sobre nuestra recopilación y uso de datos personales")</f>
        <v>El derecho a ser informado sobre nuestra recopilación y uso de datos personales</v>
      </c>
    </row>
    <row r="48">
      <c r="A48" s="10" t="s">
        <v>1028</v>
      </c>
      <c r="B48" s="12" t="str">
        <f>IFERROR(__xludf.DUMMYFUNCTION("IF(ISBLANK(A48),"""",GOOGLETRANSLATE(A48,""en"",""es""))"),"El derecho de acceso a los datos personales que conservamos sobre usted.")</f>
        <v>El derecho de acceso a los datos personales que conservamos sobre usted.</v>
      </c>
    </row>
    <row r="49">
      <c r="A49" s="10" t="s">
        <v>1029</v>
      </c>
      <c r="B49" s="12" t="str">
        <f>IFERROR(__xludf.DUMMYFUNCTION("IF(ISBLANK(A49),"""",GOOGLETRANSLATE(A49,""en"",""es""))"),"Tiene derecho a la rectificación si alguno de los datos personales que conservamos sobre usted es inexacto o incompleto.")</f>
        <v>Tiene derecho a la rectificación si alguno de los datos personales que conservamos sobre usted es inexacto o incompleto.</v>
      </c>
    </row>
    <row r="50">
      <c r="A50" s="10" t="s">
        <v>1030</v>
      </c>
      <c r="B50" s="12" t="str">
        <f>IFERROR(__xludf.DUMMYFUNCTION("IF(ISBLANK(A50),"""",GOOGLETRANSLATE(A50,""en"",""es""))"),"El derecho al olvido, es decir, el derecho a solicitarnos que eliminemos cualquier dato personal que tengamos sobre usted (solo conservamos sus datos personales durante un tiempo limitado, como se explica en esta política, pero si desea que los eliminemos"&amp;" antes, póngase en contacto con nosotros).")</f>
        <v>El derecho al olvido, es decir, el derecho a solicitarnos que eliminemos cualquier dato personal que tengamos sobre usted (solo conservamos sus datos personales durante un tiempo limitado, como se explica en esta política, pero si desea que los eliminemos antes, póngase en contacto con nosotros).</v>
      </c>
    </row>
    <row r="51">
      <c r="A51" s="10" t="s">
        <v>1031</v>
      </c>
      <c r="B51" s="12" t="str">
        <f>IFERROR(__xludf.DUMMYFUNCTION("IF(ISBLANK(A51),"""",GOOGLETRANSLATE(A51,""en"",""es""))"),"El derecho a restringir (es decir, impedir) el tratamiento de sus datos personales.")</f>
        <v>El derecho a restringir (es decir, impedir) el tratamiento de sus datos personales.</v>
      </c>
    </row>
    <row r="52">
      <c r="A52" s="10" t="s">
        <v>1032</v>
      </c>
      <c r="B52" s="12" t="str">
        <f>IFERROR(__xludf.DUMMYFUNCTION("IF(ISBLANK(A52),"""",GOOGLETRANSLATE(A52,""en"",""es""))"),"El derecho a la portabilidad de datos (obtener una copia de sus datos personales para reutilizarlos con otro servicio u organización).")</f>
        <v>El derecho a la portabilidad de datos (obtener una copia de sus datos personales para reutilizarlos con otro servicio u organización).</v>
      </c>
    </row>
    <row r="53">
      <c r="A53" s="10" t="s">
        <v>1033</v>
      </c>
      <c r="B53" s="12" t="str">
        <f>IFERROR(__xludf.DUMMYFUNCTION("IF(ISBLANK(A53),"""",GOOGLETRANSLATE(A53,""en"",""es""))"),"El derecho a oponerse a que utilicemos sus datos personales para fines específicos y los derechos con respecto a la toma de decisiones automatizada y la elaboración de perfiles.")</f>
        <v>El derecho a oponerse a que utilicemos sus datos personales para fines específicos y los derechos con respecto a la toma de decisiones automatizada y la elaboración de perfiles.</v>
      </c>
    </row>
    <row r="54">
      <c r="A54" s="10" t="s">
        <v>1034</v>
      </c>
      <c r="B54" s="12" t="str">
        <f>IFERROR(__xludf.DUMMYFUNCTION("IF(ISBLANK(A54),"""",GOOGLETRANSLATE(A54,""en"",""es""))"),"Puede ejercer cualquiera de estos derechos poniéndose en contacto con nuestra representante de RGPD de la UE, Joanne Hope:")</f>
        <v>Puede ejercer cualquiera de estos derechos poniéndose en contacto con nuestra representante de RGPD de la UE, Joanne Hope:</v>
      </c>
    </row>
    <row r="55">
      <c r="A55" s="10" t="s">
        <v>1035</v>
      </c>
      <c r="B55" s="12" t="str">
        <f>IFERROR(__xludf.DUMMYFUNCTION("IF(ISBLANK(A55),"""",GOOGLETRANSLATE(A55,""en"",""es""))"),"Teléfono: 01403 282300 Correo electrónico: nte.dpo@netsoltech.com Dirección postal: Planet House, North Heath Lane, Hosham, RH125QE")</f>
        <v>Teléfono: 01403 282300 Correo electrónico: nte.dpo@netsoltech.com Dirección postal: Planet House, North Heath Lane, Hosham, RH125QE</v>
      </c>
    </row>
    <row r="56">
      <c r="A56" s="10" t="s">
        <v>1036</v>
      </c>
      <c r="B56" s="12" t="str">
        <f>IFERROR(__xludf.DUMMYFUNCTION("IF(ISBLANK(A56),"""",GOOGLETRANSLATE(A56,""en"",""es""))"),"Responderemos a su solicitud sin demora y, como máximo, en el plazo de un mes desde su recepción.")</f>
        <v>Responderemos a su solicitud sin demora y, como máximo, en el plazo de un mes desde su recepción.</v>
      </c>
    </row>
    <row r="57">
      <c r="A57" s="10" t="s">
        <v>1037</v>
      </c>
      <c r="B57" s="12" t="str">
        <f>IFERROR(__xludf.DUMMYFUNCTION("IF(ISBLANK(A57),"""",GOOGLETRANSLATE(A57,""en"",""es""))"),"Puede utilizar los mismos datos de contacto si tiene algún motivo de queja sobre el uso que hacemos de sus datos personales. Haremos todo lo posible por resolver el problema. Si no podemos ayudarle, también tiene derecho a presentar una reclamación ante l"&amp;"a autoridad de control del Reino Unido, la Oficina del Comisionado de Información (Information Commissioner’s Office, https://ico.org.uk). Para obtener más información sobre sus derechos, póngase en contacto con la Oficina del Comisionado de Información o"&amp;" con su oficina local de asesoramiento al ciudadano (Citizens Advice Bureau).")</f>
        <v>Puede utilizar los mismos datos de contacto si tiene algún motivo de queja sobre el uso que hacemos de sus datos personales. Haremos todo lo posible por resolver el problema. Si no podemos ayudarle, también tiene derecho a presentar una reclamación ante la autoridad de control del Reino Unido, la Oficina del Comisionado de Información (Information Commissioner’s Office, https://ico.org.uk). Para obtener más información sobre sus derechos, póngase en contacto con la Oficina del Comisionado de Información o con su oficina local de asesoramiento al ciudadano (Citizens Advice Bureau).</v>
      </c>
    </row>
    <row r="58">
      <c r="A58" s="10" t="s">
        <v>1038</v>
      </c>
      <c r="B58" s="12" t="str">
        <f>IFERROR(__xludf.DUMMYFUNCTION("IF(ISBLANK(A58),"""",GOOGLETRANSLATE(A58,""en"",""es""))"),"¿Cómo puedes controlar tus datos?")</f>
        <v>¿Cómo puedes controlar tus datos?</v>
      </c>
    </row>
    <row r="59">
      <c r="A59" s="10" t="s">
        <v>1039</v>
      </c>
      <c r="B59" s="12" t="str">
        <f>IFERROR(__xludf.DUMMYFUNCTION("IF(ISBLANK(A59),"""",GOOGLETRANSLATE(A59,""en"",""es""))"),"Al enviar datos personales a través de nuestro sitio web, podrá restringir el uso que hacemos de ellos. En particular, nuestro objetivo es brindarle un control estricto sobre el uso de sus datos para fines de marketing directo (incluida la posibilidad de "&amp;"optar por no recibir nuestros correos electrónicos, lo cual puede hacer cancelando su suscripción mediante los enlaces que proporcionamos en nuestros correos electrónicos y al momento de facilitar sus datos).")</f>
        <v>Al enviar datos personales a través de nuestro sitio web, podrá restringir el uso que hacemos de ellos. En particular, nuestro objetivo es brindarle un control estricto sobre el uso de sus datos para fines de marketing directo (incluida la posibilidad de optar por no recibir nuestros correos electrónicos, lo cual puede hacer cancelando su suscripción mediante los enlaces que proporcionamos en nuestros correos electrónicos y al momento de facilitar sus datos).</v>
      </c>
    </row>
    <row r="60">
      <c r="A60" s="10" t="s">
        <v>1040</v>
      </c>
      <c r="B60" s="12" t="str">
        <f>IFERROR(__xludf.DUMMYFUNCTION("IF(ISBLANK(A60),"""",GOOGLETRANSLATE(A60,""en"",""es""))"),"También puede registrarse en uno o más de los servicios de preferencias que operan en el Reino Unido: el Servicio de Preferencias Telefónicas (TPS), el Servicio de Preferencias Telefónicas Corporativas (CTPS) y el Servicio de Preferencias de Correo (MPS)."&amp;" Estos servicios pueden ayudarle a evitar recibir publicidad no solicitada. Tenga en cuenta, sin embargo, que estos servicios no le impedirán recibir comunicaciones comerciales para las que haya dado su consentimiento.")</f>
        <v>También puede registrarse en uno o más de los servicios de preferencias que operan en el Reino Unido: el Servicio de Preferencias Telefónicas (TPS), el Servicio de Preferencias Telefónicas Corporativas (CTPS) y el Servicio de Preferencias de Correo (MPS). Estos servicios pueden ayudarle a evitar recibir publicidad no solicitada. Tenga en cuenta, sin embargo, que estos servicios no le impedirán recibir comunicaciones comerciales para las que haya dado su consentimiento.</v>
      </c>
    </row>
    <row r="61">
      <c r="A61" s="10" t="s">
        <v>1041</v>
      </c>
      <c r="B61" s="12" t="str">
        <f>IFERROR(__xludf.DUMMYFUNCTION("IF(ISBLANK(A61),"""",GOOGLETRANSLATE(A61,""en"",""es""))"),"¿Cómo puedes acceder a tus datos?")</f>
        <v>¿Cómo puedes acceder a tus datos?</v>
      </c>
    </row>
    <row r="62">
      <c r="A62" s="10" t="s">
        <v>1042</v>
      </c>
      <c r="B62" s="12" t="str">
        <f>IFERROR(__xludf.DUMMYFUNCTION("IF(ISBLANK(A62),"""",GOOGLETRANSLATE(A62,""en"",""es""))"),"Tiene derecho a solicitar una copia de sus datos personales que obran en nuestro poder (siempre que los tengamos). De conformidad con el RGPD, no se le cobrará ninguna tarifa y le facilitaremos toda la información solicitada de forma gratuita. Póngase en "&amp;"contacto con nosotros utilizando los datos de contacto que figuran en esta política de privacidad.")</f>
        <v>Tiene derecho a solicitar una copia de sus datos personales que obran en nuestro poder (siempre que los tengamos). De conformidad con el RGPD, no se le cobrará ninguna tarifa y le facilitaremos toda la información solicitada de forma gratuita. Póngase en contacto con nosotros utilizando los datos de contacto que figuran en esta política de privacidad.</v>
      </c>
    </row>
    <row r="63">
      <c r="A63" s="10" t="s">
        <v>1043</v>
      </c>
      <c r="B63" s="12" t="str">
        <f>IFERROR(__xludf.DUMMYFUNCTION("IF(ISBLANK(A63),"""",GOOGLETRANSLATE(A63,""en"",""es""))"),"Su derecho a retener información")</f>
        <v>Su derecho a retener información</v>
      </c>
    </row>
    <row r="64">
      <c r="A64" s="10" t="s">
        <v>1044</v>
      </c>
      <c r="B64" s="12" t="str">
        <f>IFERROR(__xludf.DUMMYFUNCTION("IF(ISBLANK(A64),"""",GOOGLETRANSLATE(A64,""en"",""es""))"),"Puedes acceder a nuestro sitio web sin proporcionar ningún dato. Sin embargo, para utilizar todas las funciones disponibles, es posible que debas enviar o permitir la recopilación de ciertos datos.")</f>
        <v>Puedes acceder a nuestro sitio web sin proporcionar ningún dato. Sin embargo, para utilizar todas las funciones disponibles, es posible que debas enviar o permitir la recopilación de ciertos datos.</v>
      </c>
    </row>
    <row r="65">
      <c r="A65" s="10" t="s">
        <v>1045</v>
      </c>
      <c r="B65" s="12" t="str">
        <f>IFERROR(__xludf.DUMMYFUNCTION("IF(ISBLANK(A65),"""",GOOGLETRANSLATE(A65,""en"",""es""))"),"Puedes restringir el uso que hacemos de las cookies. Para más información, consulta nuestra Política de cookies.")</f>
        <v>Puedes restringir el uso que hacemos de las cookies. Para más información, consulta nuestra Política de cookies.</v>
      </c>
    </row>
    <row r="66">
      <c r="A66" s="10" t="s">
        <v>1046</v>
      </c>
      <c r="B66" s="12" t="str">
        <f>IFERROR(__xludf.DUMMYFUNCTION("IF(ISBLANK(A66),"""",GOOGLETRANSLATE(A66,""en"",""es""))"),"Cambios en nuestra política de privacidad")</f>
        <v>Cambios en nuestra política de privacidad</v>
      </c>
    </row>
    <row r="67">
      <c r="A67" s="10" t="s">
        <v>1047</v>
      </c>
      <c r="B67" s="12" t="str">
        <f>IFERROR(__xludf.DUMMYFUNCTION("IF(ISBLANK(A67),"""",GOOGLETRANSLATE(A67,""en"",""es""))"),"Podemos modificar esta Política de Privacidad periódicamente (por ejemplo, si cambia la ley). Cualquier cambio se publicará inmediatamente en nuestro sitio web y se considerará que usted ha aceptado los términos de la Política de Privacidad al usar nuestr"&amp;"o sitio por primera vez después de las modificaciones. Le recomendamos que consulte esta página con regularidad para mantenerse al día.")</f>
        <v>Podemos modificar esta Política de Privacidad periódicamente (por ejemplo, si cambia la ley). Cualquier cambio se publicará inmediatamente en nuestro sitio web y se considerará que usted ha aceptado los términos de la Política de Privacidad al usar nuestro sitio por primera vez después de las modificaciones. Le recomendamos que consulte esta página con regularidad para mantenerse al día.</v>
      </c>
    </row>
    <row r="68">
      <c r="A68" s="10" t="s">
        <v>1048</v>
      </c>
      <c r="B68" s="12" t="str">
        <f>IFERROR(__xludf.DUMMYFUNCTION("IF(ISBLANK(A68),"""",GOOGLETRANSLATE(A68,""en"",""es""))"),"Aviso de privacidad para residentes de California")</f>
        <v>Aviso de privacidad para residentes de California</v>
      </c>
    </row>
    <row r="69">
      <c r="A69" s="10" t="s">
        <v>1049</v>
      </c>
      <c r="B69" s="12" t="str">
        <f>IFERROR(__xludf.DUMMYFUNCTION("IF(ISBLANK(A69),"""",GOOGLETRANSLATE(A69,""en"",""es""))"),"Consulte el aviso de privacidad de Netsol Technologies para residentes de California en Privacy-policy-CR.")</f>
        <v>Consulte el aviso de privacidad de Netsol Technologies para residentes de California en Privacy-policy-CR.</v>
      </c>
    </row>
    <row r="70">
      <c r="A70" s="10" t="s">
        <v>1050</v>
      </c>
      <c r="B70" s="12" t="str">
        <f>IFERROR(__xludf.DUMMYFUNCTION("IF(ISBLANK(A70),"""",GOOGLETRANSLATE(A70,""en"",""es""))"),"Cuando visita o inicia sesión en nuestro sitio web, nuestros socios o proveedores de datos en línea pueden usar cookies y tecnologías similares para asociar estas actividades con otra información personal que ellos u otros tengan sobre usted, incluyendo s"&amp;"u correo electrónico o dirección postal. Nosotros (o proveedores de servicios en nuestro nombre) podemos enviarle comunicaciones y publicidad a estas direcciones de correo electrónico o postales. Puede optar por no recibir esta publicidad visitando https:"&amp;"//app.retention.com/optout")</f>
        <v>Cuando visita o inicia sesión en nuestro sitio web, nuestros socios o proveedores de datos en línea pueden usar cookies y tecnologías similares para asociar estas actividades con otra información personal que ellos u otros tengan sobre usted, incluyendo su correo electrónico o dirección postal. Nosotros (o proveedores de servicios en nuestro nombre) podemos enviarle comunicaciones y publicidad a estas direcciones de correo electrónico o postales. Puede optar por no recibir esta publicidad visitando https://app.retention.com/optout</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75"/>
  </cols>
  <sheetData>
    <row r="1">
      <c r="A1" s="3" t="s">
        <v>0</v>
      </c>
      <c r="B1" s="3" t="s">
        <v>133</v>
      </c>
    </row>
    <row r="2">
      <c r="A2" s="10" t="s">
        <v>209</v>
      </c>
      <c r="B2" s="12" t="str">
        <f>IFERROR(__xludf.DUMMYFUNCTION("IF(ISBLANK(A2),"""",GOOGLETRANSLATE(A2,""en"",""es""))"),"Política de Derechos Humanos")</f>
        <v>Política de Derechos Humanos</v>
      </c>
    </row>
    <row r="3">
      <c r="A3" s="10" t="s">
        <v>1051</v>
      </c>
      <c r="B3" s="12" t="str">
        <f>IFERROR(__xludf.DUMMYFUNCTION("IF(ISBLANK(A3),"""",GOOGLETRANSLATE(A3,""en"",""es""))"),"La política de Derechos Humanos de NETSOL se aplica a todos los empleados de Netsol y se basa en los siguientes principios clave:")</f>
        <v>La política de Derechos Humanos de NETSOL se aplica a todos los empleados de Netsol y se basa en los siguientes principios clave:</v>
      </c>
    </row>
    <row r="4">
      <c r="A4" s="10" t="s">
        <v>1052</v>
      </c>
      <c r="B4" s="12" t="str">
        <f>IFERROR(__xludf.DUMMYFUNCTION("IF(ISBLANK(A4),"""",GOOGLETRANSLATE(A4,""en"",""es""))"),"Realizamos todas nuestras actividades comerciales de forma legal en todas las comunidades a las que servimos y de una manera que respete y promueva los derechos humanos y la igualdad para todos los empleados, personal de agencias y proveedores, independie"&amp;"ntemente de su ubicación.")</f>
        <v>Realizamos todas nuestras actividades comerciales de forma legal en todas las comunidades a las que servimos y de una manera que respete y promueva los derechos humanos y la igualdad para todos los empleados, personal de agencias y proveedores, independientemente de su ubicación.</v>
      </c>
    </row>
    <row r="5">
      <c r="A5" s="10" t="s">
        <v>1053</v>
      </c>
      <c r="B5" s="12" t="str">
        <f>IFERROR(__xludf.DUMMYFUNCTION("IF(ISBLANK(A5),"""",GOOGLETRANSLATE(A5,""en"",""es""))"),"El reconocimiento y respeto del derecho humano fundamental a que los empleados/las personas lleven una vida digna e independiente, libres de abusos, violaciones y cualquier forma de discriminación.")</f>
        <v>El reconocimiento y respeto del derecho humano fundamental a que los empleados/las personas lleven una vida digna e independiente, libres de abusos, violaciones y cualquier forma de discriminación.</v>
      </c>
    </row>
    <row r="6">
      <c r="A6" s="10" t="s">
        <v>1054</v>
      </c>
      <c r="B6" s="12" t="str">
        <f>IFERROR(__xludf.DUMMYFUNCTION("IF(ISBLANK(A6),"""",GOOGLETRANSLATE(A6,""en"",""es""))"),"El reconocimiento de que los derechos humanos de las personas pueden verse afectados directa e indirectamente por las operaciones, productos y servicios de la empresa, y la adopción de medidas para identificar y reducir, en la medida de lo posible, el imp"&amp;"acto negativo de la empresa en las comunidades y el medio ambiente.")</f>
        <v>El reconocimiento de que los derechos humanos de las personas pueden verse afectados directa e indirectamente por las operaciones, productos y servicios de la empresa, y la adopción de medidas para identificar y reducir, en la medida de lo posible, el impacto negativo de la empresa en las comunidades y el medio ambiente.</v>
      </c>
    </row>
    <row r="7">
      <c r="A7" s="10" t="s">
        <v>1055</v>
      </c>
      <c r="B7" s="12" t="str">
        <f>IFERROR(__xludf.DUMMYFUNCTION("IF(ISBLANK(A7),"""",GOOGLETRANSLATE(A7,""en"",""es""))"),"El deseo de actuar como una organización responsable para lograr un conjunto común de normas aplicables a todos los pueblos y naciones, en el compromiso con la mejora social y económica continua.")</f>
        <v>El deseo de actuar como una organización responsable para lograr un conjunto común de normas aplicables a todos los pueblos y naciones, en el compromiso con la mejora social y económica continua.</v>
      </c>
    </row>
    <row r="8">
      <c r="A8" s="10" t="s">
        <v>1056</v>
      </c>
      <c r="B8" s="12" t="str">
        <f>IFERROR(__xludf.DUMMYFUNCTION("IF(ISBLANK(A8),"""",GOOGLETRANSLATE(A8,""en"",""es""))"),"Nos oponemos y prohibimos el uso de la trata de personas, el trabajo infantil, la esclavitud y el trabajo forzoso, y exigimos lo mismo a todos nuestros socios comerciales y proveedores. Como empresa global, la Compañía está comprometida con el cumplimient"&amp;"o de la Carta Internacional de Derechos Humanos y tanto de la legislación laboral aplicable como de las leyes específicas de derechos humanos, como la Ley contra la Esclavitud Moderna del Reino Unido.")</f>
        <v>Nos oponemos y prohibimos el uso de la trata de personas, el trabajo infantil, la esclavitud y el trabajo forzoso, y exigimos lo mismo a todos nuestros socios comerciales y proveedores. Como empresa global, la Compañía está comprometida con el cumplimiento de la Carta Internacional de Derechos Humanos y tanto de la legislación laboral aplicable como de las leyes específicas de derechos humanos, como la Ley contra la Esclavitud Moderna del Reino Unido.</v>
      </c>
    </row>
    <row r="9">
      <c r="A9" s="10" t="s">
        <v>1057</v>
      </c>
      <c r="B9" s="12" t="str">
        <f>IFERROR(__xludf.DUMMYFUNCTION("IF(ISBLANK(A9),"""",GOOGLETRANSLATE(A9,""en"",""es""))"),"El compromiso de procurar entablar relaciones contractuales únicamente con terceros que demuestren el deseo de aplicar principios similares a los anteriores a través de sus propios marcos e iniciativas.")</f>
        <v>El compromiso de procurar entablar relaciones contractuales únicamente con terceros que demuestren el deseo de aplicar principios similares a los anteriores a través de sus propios marcos e iniciativas.</v>
      </c>
    </row>
    <row r="10">
      <c r="A10" s="10" t="s">
        <v>1058</v>
      </c>
      <c r="B10" s="12" t="str">
        <f>IFERROR(__xludf.DUMMYFUNCTION("IF(ISBLANK(A10),"""",GOOGLETRANSLATE(A10,""en"",""es""))"),"Cadena de suministro")</f>
        <v>Cadena de suministro</v>
      </c>
    </row>
    <row r="11">
      <c r="A11" s="10" t="s">
        <v>1059</v>
      </c>
      <c r="B11" s="12" t="str">
        <f>IFERROR(__xludf.DUMMYFUNCTION("IF(ISBLANK(A11),"""",GOOGLETRANSLATE(A11,""en"",""es""))"),"NETSOL reconoce que la implementación exitosa de nuestra Política de Derechos Humanos está fuertemente influenciada por la cooperación y el apoyo de nuestras cadenas de suministro.")</f>
        <v>NETSOL reconoce que la implementación exitosa de nuestra Política de Derechos Humanos está fuertemente influenciada por la cooperación y el apoyo de nuestras cadenas de suministro.</v>
      </c>
    </row>
    <row r="12">
      <c r="A12" s="10" t="s">
        <v>1060</v>
      </c>
      <c r="B12" s="12" t="str">
        <f>IFERROR(__xludf.DUMMYFUNCTION("IF(ISBLANK(A12),"""",GOOGLETRANSLATE(A12,""en"",""es""))"),"Si los proveedores o contratistas actúan de manera incompatible con nuestra Política de Derechos Humanos y/o son cómplices de cualquier abuso contra los derechos humanos, NETSOL buscará rescindir sus contratos y poner fin a todas las relaciones comerciale"&amp;"s con ellos.")</f>
        <v>Si los proveedores o contratistas actúan de manera incompatible con nuestra Política de Derechos Humanos y/o son cómplices de cualquier abuso contra los derechos humanos, NETSOL buscará rescindir sus contratos y poner fin a todas las relaciones comerciales con ellos.</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63"/>
  </cols>
  <sheetData>
    <row r="1">
      <c r="A1" s="3" t="s">
        <v>0</v>
      </c>
      <c r="B1" s="3" t="s">
        <v>133</v>
      </c>
    </row>
    <row r="2">
      <c r="A2" s="10" t="s">
        <v>1061</v>
      </c>
      <c r="B2" s="12" t="str">
        <f>IFERROR(__xludf.DUMMYFUNCTION("IF(ISBLANK(A2),"""",GOOGLETRANSLATE(A2,""en"",""es""))"),"Declaración de transparencia de la Ley sobre la esclavitud moderna")</f>
        <v>Declaración de transparencia de la Ley sobre la esclavitud moderna</v>
      </c>
    </row>
    <row r="3">
      <c r="A3" s="10" t="s">
        <v>1062</v>
      </c>
      <c r="B3" s="12" t="str">
        <f>IFERROR(__xludf.DUMMYFUNCTION("IF(ISBLANK(A3),"""",GOOGLETRANSLATE(A3,""en"",""es""))"),"Nuestra organización:")</f>
        <v>Nuestra organización:</v>
      </c>
    </row>
    <row r="4">
      <c r="A4" s="10" t="s">
        <v>1063</v>
      </c>
      <c r="B4" s="12" t="str">
        <f>IFERROR(__xludf.DUMMYFUNCTION("IF(ISBLANK(A4),"""",GOOGLETRANSLATE(A4,""en"",""es""))"),"NetSol Technologies, Inc. («Netsol») reconoce los derechos humanos proclamados internacionalmente y está plenamente comprometida con la lucha contra la esclavitud y la trata de personas. Diseñamos, desarrollamos, comercializamos y exportamos software prop"&amp;"io a clientes de los sectores de financiación y arrendamiento de automóviles, banca y servicios financieros en todo el mundo. Asimismo, ofrecemos servicios de integración de sistemas, consultoría y productos y servicios de TI a cambio de honorarios.")</f>
        <v>NetSol Technologies, Inc. («Netsol») reconoce los derechos humanos proclamados internacionalmente y está plenamente comprometida con la lucha contra la esclavitud y la trata de personas. Diseñamos, desarrollamos, comercializamos y exportamos software propio a clientes de los sectores de financiación y arrendamiento de automóviles, banca y servicios financieros en todo el mundo. Asimismo, ofrecemos servicios de integración de sistemas, consultoría y productos y servicios de TI a cambio de honorarios.</v>
      </c>
    </row>
    <row r="5">
      <c r="A5" s="10" t="s">
        <v>1064</v>
      </c>
      <c r="B5" s="12" t="str">
        <f>IFERROR(__xludf.DUMMYFUNCTION("IF(ISBLANK(A5),"""",GOOGLETRANSLATE(A5,""en"",""es""))"),"Contamos con diez filiales de nuestra propiedad al 100% y seis filiales participadas mayoritariamente en todo el mundo, incluyendo el Reino Unido, y nuestra empresa matriz está constituida en Estados Unidos. NETSOL tiene más de 1400 empleados fijos en tod"&amp;"o el mundo.")</f>
        <v>Contamos con diez filiales de nuestra propiedad al 100% y seis filiales participadas mayoritariamente en todo el mundo, incluyendo el Reino Unido, y nuestra empresa matriz está constituida en Estados Unidos. NETSOL tiene más de 1400 empleados fijos en todo el mundo.</v>
      </c>
    </row>
    <row r="6">
      <c r="A6" s="10" t="s">
        <v>1065</v>
      </c>
      <c r="B6" s="12" t="str">
        <f>IFERROR(__xludf.DUMMYFUNCTION("IF(ISBLANK(A6),"""",GOOGLETRANSLATE(A6,""en"",""es""))"),"La Política de Derechos Humanos de NetSol reconoce los derechos humanos internacionales consagrados en la Carta de Derechos Humanos. Nuestra política refleja nuestras responsabilidades en materia de esclavitud y trata de personas.")</f>
        <v>La Política de Derechos Humanos de NetSol reconoce los derechos humanos internacionales consagrados en la Carta de Derechos Humanos. Nuestra política refleja nuestras responsabilidades en materia de esclavitud y trata de personas.</v>
      </c>
    </row>
    <row r="7">
      <c r="A7" s="10" t="s">
        <v>1066</v>
      </c>
      <c r="B7" s="12" t="str">
        <f>IFERROR(__xludf.DUMMYFUNCTION("IF(ISBLANK(A7),"""",GOOGLETRANSLATE(A7,""en"",""es""))"),"Nuestras políticas y diligencia debida en materia de esclavitud y trata de personas:")</f>
        <v>Nuestras políticas y diligencia debida en materia de esclavitud y trata de personas:</v>
      </c>
    </row>
    <row r="8">
      <c r="A8" s="10" t="s">
        <v>1067</v>
      </c>
      <c r="B8" s="12" t="str">
        <f>IFERROR(__xludf.DUMMYFUNCTION("IF(ISBLANK(A8),"""",GOOGLETRANSLATE(A8,""en"",""es""))"),"Nos comprometemos a garantizar que no exista esclavitud moderna ni trata de personas en nuestras cadenas de suministro ni en ninguna parte de nuestra actividad. Como empresa de software y servicios, no contamos con una base de fabricación ni una cadena de"&amp;" suministro de bienes tangibles. Por consiguiente, creemos que la probabilidad de que exista esclavitud o trata de personas en nuestra cadena de suministro es muy baja. Sin embargo, nuestra empresa se compromete a promover y proteger los derechos humanos "&amp;"en todos los lugares donde operamos. Esperamos que nuestros proveedores y demás socios comerciales se comprometan con una conducta ética, cumplan con todas las leyes y normativas aplicables y tomen medidas para promover la erradicación de la trata de pers"&amp;"onas y la esclavitud. Seguiremos colaborando con nuestros proveedores y perfeccionando nuestros propios requisitos y procesos para reforzar nuestro compromiso con los derechos humanos y una cultura de conducta ética, integridad y respeto.")</f>
        <v>Nos comprometemos a garantizar que no exista esclavitud moderna ni trata de personas en nuestras cadenas de suministro ni en ninguna parte de nuestra actividad. Como empresa de software y servicios, no contamos con una base de fabricación ni una cadena de suministro de bienes tangibles. Por consiguiente, creemos que la probabilidad de que exista esclavitud o trata de personas en nuestra cadena de suministro es muy baja. Sin embargo, nuestra empresa se compromete a promover y proteger los derechos humanos en todos los lugares donde operamos. Esperamos que nuestros proveedores y demás socios comerciales se comprometan con una conducta ética, cumplan con todas las leyes y normativas aplicables y tomen medidas para promover la erradicación de la trata de personas y la esclavitud. Seguiremos colaborando con nuestros proveedores y perfeccionando nuestros propios requisitos y procesos para reforzar nuestro compromiso con los derechos humanos y una cultura de conducta ética, integridad y respeto.</v>
      </c>
    </row>
    <row r="9">
      <c r="A9" s="10" t="s">
        <v>1068</v>
      </c>
      <c r="B9" s="12" t="str">
        <f>IFERROR(__xludf.DUMMYFUNCTION("IF(ISBLANK(A9),"""",GOOGLETRANSLATE(A9,""en"",""es""))"),"Esta declaración se realiza de conformidad con la sección 54(1) de la Ley de Esclavitud Moderna de 2015 y constituye la declaración de nuestra Compañía sobre esclavitud y trata de personas para el ejercicio económico que finaliza el 30 de junio de 2024.")</f>
        <v>Esta declaración se realiza de conformidad con la sección 54(1) de la Ley de Esclavitud Moderna de 2015 y constituye la declaración de nuestra Compañía sobre esclavitud y trata de personas para el ejercicio económico que finaliza el 30 de junio de 2024.</v>
      </c>
    </row>
    <row r="10">
      <c r="A10" s="10" t="s">
        <v>801</v>
      </c>
      <c r="B10" s="12" t="str">
        <f>IFERROR(__xludf.DUMMYFUNCTION("IF(ISBLANK(A10),"""",GOOGLETRANSLATE(A10,""en"",""es""))"),"Najeeb Ghauri")</f>
        <v>Najeeb Ghauri</v>
      </c>
    </row>
    <row r="11">
      <c r="A11" s="10" t="s">
        <v>1069</v>
      </c>
      <c r="B11" s="12" t="str">
        <f>IFERROR(__xludf.DUMMYFUNCTION("IF(ISBLANK(A11),"""",GOOGLETRANSLATE(A11,""en"",""es""))"),"director ejecutivo,")</f>
        <v>director ejecutivo,</v>
      </c>
    </row>
    <row r="12">
      <c r="A12" s="10" t="s">
        <v>815</v>
      </c>
      <c r="B12" s="12" t="str">
        <f>IFERROR(__xludf.DUMMYFUNCTION("IF(ISBLANK(A12),"""",GOOGLETRANSLATE(A12,""en"",""es""))"),"Tecnologías NETSOL, Inc.")</f>
        <v>Tecnologías NETSOL, Inc.</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13"/>
  </cols>
  <sheetData>
    <row r="1">
      <c r="A1" s="3" t="s">
        <v>0</v>
      </c>
      <c r="B1" s="3" t="s">
        <v>133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