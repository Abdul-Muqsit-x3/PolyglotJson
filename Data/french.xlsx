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6C362B70-99D5-4A39-A9CF-50B63A4484A7}" xr6:coauthVersionLast="47" xr6:coauthVersionMax="47" xr10:uidLastSave="{00000000-0000-0000-0000-000000000000}"/>
  <bookViews>
    <workbookView xWindow="-108" yWindow="-108" windowWidth="23256" windowHeight="13896" tabRatio="872" firstSheet="21" activeTab="30" xr2:uid="{00000000-000D-0000-FFFF-FFFF00000000}"/>
  </bookViews>
  <sheets>
    <sheet name="Main Page" sheetId="1" r:id="rId1"/>
    <sheet name="Menu" sheetId="2" r:id="rId2"/>
    <sheet name="Footer" sheetId="3" r:id="rId3"/>
    <sheet name="Digital Retail" sheetId="4" r:id="rId4"/>
    <sheet name="Portals" sheetId="5" r:id="rId5"/>
    <sheet name="Loan Origination" sheetId="6" r:id="rId6"/>
    <sheet name="Lease Servicing" sheetId="7" r:id="rId7"/>
    <sheet name="Wholesale Finance" sheetId="8" r:id="rId8"/>
    <sheet name="Mobility Solutions" sheetId="9" r:id="rId9"/>
    <sheet name="Transcend Ai Labs" sheetId="10" r:id="rId10"/>
    <sheet name="Marketplace" sheetId="11" r:id="rId11"/>
    <sheet name="Information Security" sheetId="12" r:id="rId12"/>
    <sheet name="Digital Solutions" sheetId="13" r:id="rId13"/>
    <sheet name="Ai Ml Services" sheetId="14" r:id="rId14"/>
    <sheet name="Generative Ai" sheetId="15" r:id="rId15"/>
    <sheet name="Policy Strategy Consulting" sheetId="16" r:id="rId16"/>
    <sheet name="Emerging Technologies" sheetId="17" r:id="rId17"/>
    <sheet name="Data Engineering" sheetId="19" r:id="rId18"/>
    <sheet name="Cloud Services" sheetId="18" r:id="rId19"/>
    <sheet name="Automotive Finance" sheetId="20" r:id="rId20"/>
    <sheet name="Equipment Finance" sheetId="21" r:id="rId21"/>
    <sheet name="Insights" sheetId="22" r:id="rId22"/>
    <sheet name="Board of Directors" sheetId="23" r:id="rId23"/>
    <sheet name="Management Team" sheetId="24" r:id="rId24"/>
    <sheet name="Contact Us" sheetId="25" r:id="rId25"/>
    <sheet name="Transcend" sheetId="26" r:id="rId26"/>
    <sheet name="Terms of Use" sheetId="27" r:id="rId27"/>
    <sheet name="Privacy Policy" sheetId="28" r:id="rId28"/>
    <sheet name="Human Rights Policy" sheetId="29" r:id="rId29"/>
    <sheet name="Modern Slavery Act" sheetId="30" r:id="rId30"/>
    <sheet name="Cookies" sheetId="31" r:id="rId31"/>
    <sheet name="Privacy Policy Ccpa" sheetId="32" r:id="rId3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5" i="17" l="1"/>
  <c r="B66" i="17"/>
  <c r="B67" i="17"/>
  <c r="B68" i="17"/>
  <c r="B69" i="17"/>
  <c r="B70" i="17"/>
  <c r="B71" i="17"/>
  <c r="B72" i="17"/>
  <c r="B73" i="17"/>
  <c r="B74" i="17"/>
  <c r="B75" i="17"/>
  <c r="B76" i="17"/>
  <c r="B77" i="17"/>
  <c r="B78" i="17"/>
  <c r="B79" i="17"/>
  <c r="B80" i="17"/>
  <c r="B81" i="17"/>
  <c r="B82" i="17"/>
  <c r="B32" i="15"/>
  <c r="B33" i="15"/>
  <c r="B34" i="15"/>
  <c r="B35" i="15"/>
  <c r="B36" i="15"/>
  <c r="B37" i="15"/>
  <c r="B38" i="15"/>
  <c r="B39" i="15"/>
  <c r="B40" i="15"/>
  <c r="B19" i="15"/>
  <c r="B38" i="13"/>
  <c r="B39" i="13"/>
  <c r="B40" i="13"/>
  <c r="B41" i="13"/>
  <c r="B42" i="13"/>
  <c r="B33" i="5"/>
  <c r="B64" i="1"/>
  <c r="B5" i="1"/>
  <c r="B2" i="1"/>
  <c r="B6" i="1"/>
  <c r="B7" i="1"/>
  <c r="B9" i="1"/>
  <c r="B16" i="1"/>
  <c r="B17" i="1"/>
  <c r="B19" i="1"/>
  <c r="B20" i="1"/>
  <c r="B22" i="1"/>
  <c r="B28" i="1"/>
  <c r="B31" i="1"/>
  <c r="B32" i="1"/>
  <c r="B33" i="1"/>
  <c r="B35" i="1"/>
  <c r="B39" i="1"/>
  <c r="B40" i="1"/>
  <c r="B41" i="1"/>
  <c r="B42" i="1"/>
  <c r="B43" i="1"/>
  <c r="B44" i="1"/>
  <c r="B45" i="1"/>
  <c r="B46" i="1"/>
  <c r="B47" i="1"/>
  <c r="B52" i="1"/>
  <c r="B55" i="1"/>
  <c r="B56" i="1"/>
  <c r="B57" i="1"/>
  <c r="B58" i="1"/>
  <c r="B59" i="1"/>
  <c r="B60" i="1"/>
  <c r="B61" i="1"/>
  <c r="B62" i="1"/>
  <c r="B63" i="1"/>
  <c r="B65" i="1"/>
  <c r="B66" i="1"/>
  <c r="B67" i="1"/>
  <c r="B68" i="1"/>
  <c r="B69" i="1"/>
  <c r="B70" i="1"/>
  <c r="B71" i="1"/>
  <c r="B72" i="1"/>
  <c r="B73" i="1"/>
  <c r="B74" i="1"/>
  <c r="B75" i="1"/>
  <c r="B76" i="1"/>
  <c r="B77" i="1"/>
  <c r="B78" i="1"/>
  <c r="B79" i="1"/>
  <c r="B80" i="1"/>
  <c r="B81" i="1"/>
  <c r="B82" i="1"/>
  <c r="B83" i="1"/>
  <c r="B84" i="1"/>
  <c r="B85" i="1"/>
  <c r="B86" i="1"/>
  <c r="B87" i="1"/>
  <c r="B90" i="1"/>
  <c r="B91" i="1"/>
  <c r="B92" i="1"/>
  <c r="B93" i="1"/>
  <c r="B94" i="1"/>
  <c r="B95" i="1"/>
  <c r="B96" i="1"/>
  <c r="B97" i="1"/>
  <c r="B100"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000" i="32"/>
  <c r="B999" i="32"/>
  <c r="B998" i="32"/>
  <c r="B997" i="32"/>
  <c r="B996" i="32"/>
  <c r="B995" i="32"/>
  <c r="B994" i="32"/>
  <c r="B993" i="32"/>
  <c r="B992" i="32"/>
  <c r="B991" i="32"/>
  <c r="B990" i="32"/>
  <c r="B989" i="32"/>
  <c r="B988" i="32"/>
  <c r="B987" i="32"/>
  <c r="B986" i="32"/>
  <c r="B985" i="32"/>
  <c r="B984" i="32"/>
  <c r="B983" i="32"/>
  <c r="B982" i="32"/>
  <c r="B981" i="32"/>
  <c r="B980" i="32"/>
  <c r="B979" i="32"/>
  <c r="B978" i="32"/>
  <c r="B977" i="32"/>
  <c r="B976" i="32"/>
  <c r="B975" i="32"/>
  <c r="B974" i="32"/>
  <c r="B973" i="32"/>
  <c r="B972" i="32"/>
  <c r="B971" i="32"/>
  <c r="B970" i="32"/>
  <c r="B969" i="32"/>
  <c r="B968" i="32"/>
  <c r="B967" i="32"/>
  <c r="B966" i="32"/>
  <c r="B965" i="32"/>
  <c r="B964" i="32"/>
  <c r="B963" i="32"/>
  <c r="B962" i="32"/>
  <c r="B961" i="32"/>
  <c r="B960" i="32"/>
  <c r="B959" i="32"/>
  <c r="B958" i="32"/>
  <c r="B957" i="32"/>
  <c r="B956" i="32"/>
  <c r="B955" i="32"/>
  <c r="B954" i="32"/>
  <c r="B953" i="32"/>
  <c r="B952" i="32"/>
  <c r="B951" i="32"/>
  <c r="B950" i="32"/>
  <c r="B949" i="32"/>
  <c r="B948" i="32"/>
  <c r="B947" i="32"/>
  <c r="B946" i="32"/>
  <c r="B945" i="32"/>
  <c r="B944" i="32"/>
  <c r="B943" i="32"/>
  <c r="B942" i="32"/>
  <c r="B941" i="32"/>
  <c r="B940" i="32"/>
  <c r="B939" i="32"/>
  <c r="B938" i="32"/>
  <c r="B937" i="32"/>
  <c r="B936" i="32"/>
  <c r="B935" i="32"/>
  <c r="B934" i="32"/>
  <c r="B933" i="32"/>
  <c r="B932" i="32"/>
  <c r="B931" i="32"/>
  <c r="B930" i="32"/>
  <c r="B929" i="32"/>
  <c r="B928" i="32"/>
  <c r="B927" i="32"/>
  <c r="B926" i="32"/>
  <c r="B925" i="32"/>
  <c r="B924" i="32"/>
  <c r="B923" i="32"/>
  <c r="B922" i="32"/>
  <c r="B921" i="32"/>
  <c r="B920" i="32"/>
  <c r="B919" i="32"/>
  <c r="B918" i="32"/>
  <c r="B917" i="32"/>
  <c r="B916" i="32"/>
  <c r="B915" i="32"/>
  <c r="B914" i="32"/>
  <c r="B913" i="32"/>
  <c r="B912" i="32"/>
  <c r="B911" i="32"/>
  <c r="B910" i="32"/>
  <c r="B909" i="32"/>
  <c r="B908" i="32"/>
  <c r="B907" i="32"/>
  <c r="B906" i="32"/>
  <c r="B905" i="32"/>
  <c r="B904" i="32"/>
  <c r="B903" i="32"/>
  <c r="B902" i="32"/>
  <c r="B901" i="32"/>
  <c r="B900" i="32"/>
  <c r="B899" i="32"/>
  <c r="B898" i="32"/>
  <c r="B897" i="32"/>
  <c r="B896" i="32"/>
  <c r="B895" i="32"/>
  <c r="B894" i="32"/>
  <c r="B893" i="32"/>
  <c r="B892" i="32"/>
  <c r="B891" i="32"/>
  <c r="B890" i="32"/>
  <c r="B889" i="32"/>
  <c r="B888" i="32"/>
  <c r="B887" i="32"/>
  <c r="B886" i="32"/>
  <c r="B885" i="32"/>
  <c r="B884" i="32"/>
  <c r="B883" i="32"/>
  <c r="B882" i="32"/>
  <c r="B881" i="32"/>
  <c r="B880" i="32"/>
  <c r="B879" i="32"/>
  <c r="B878" i="32"/>
  <c r="B877" i="32"/>
  <c r="B876" i="32"/>
  <c r="B875" i="32"/>
  <c r="B874" i="32"/>
  <c r="B873" i="32"/>
  <c r="B872" i="32"/>
  <c r="B871" i="32"/>
  <c r="B870" i="32"/>
  <c r="B869" i="32"/>
  <c r="B868" i="32"/>
  <c r="B867" i="32"/>
  <c r="B866" i="32"/>
  <c r="B865" i="32"/>
  <c r="B864" i="32"/>
  <c r="B863" i="32"/>
  <c r="B862" i="32"/>
  <c r="B861" i="32"/>
  <c r="B860" i="32"/>
  <c r="B859" i="32"/>
  <c r="B858" i="32"/>
  <c r="B857" i="32"/>
  <c r="B856" i="32"/>
  <c r="B855" i="32"/>
  <c r="B854" i="32"/>
  <c r="B853" i="32"/>
  <c r="B852" i="32"/>
  <c r="B851" i="32"/>
  <c r="B850" i="32"/>
  <c r="B849" i="32"/>
  <c r="B848" i="32"/>
  <c r="B847" i="32"/>
  <c r="B846" i="32"/>
  <c r="B845" i="32"/>
  <c r="B844" i="32"/>
  <c r="B843" i="32"/>
  <c r="B842" i="32"/>
  <c r="B841" i="32"/>
  <c r="B840" i="32"/>
  <c r="B839" i="32"/>
  <c r="B838" i="32"/>
  <c r="B837" i="32"/>
  <c r="B836" i="32"/>
  <c r="B835" i="32"/>
  <c r="B834" i="32"/>
  <c r="B833" i="32"/>
  <c r="B832" i="32"/>
  <c r="B831" i="32"/>
  <c r="B830" i="32"/>
  <c r="B829" i="32"/>
  <c r="B828" i="32"/>
  <c r="B827" i="32"/>
  <c r="B826" i="32"/>
  <c r="B825" i="32"/>
  <c r="B824" i="32"/>
  <c r="B823" i="32"/>
  <c r="B822" i="32"/>
  <c r="B821" i="32"/>
  <c r="B820" i="32"/>
  <c r="B819" i="32"/>
  <c r="B818" i="32"/>
  <c r="B817" i="32"/>
  <c r="B816" i="32"/>
  <c r="B815" i="32"/>
  <c r="B814" i="32"/>
  <c r="B813" i="32"/>
  <c r="B812" i="32"/>
  <c r="B811" i="32"/>
  <c r="B810" i="32"/>
  <c r="B809" i="32"/>
  <c r="B808" i="32"/>
  <c r="B807" i="32"/>
  <c r="B806" i="32"/>
  <c r="B805" i="32"/>
  <c r="B804" i="32"/>
  <c r="B803" i="32"/>
  <c r="B802" i="32"/>
  <c r="B801" i="32"/>
  <c r="B800" i="32"/>
  <c r="B799" i="32"/>
  <c r="B798" i="32"/>
  <c r="B797" i="32"/>
  <c r="B796" i="32"/>
  <c r="B795" i="32"/>
  <c r="B794" i="32"/>
  <c r="B793" i="32"/>
  <c r="B792" i="32"/>
  <c r="B791" i="32"/>
  <c r="B790" i="32"/>
  <c r="B789" i="32"/>
  <c r="B788" i="32"/>
  <c r="B787" i="32"/>
  <c r="B786" i="32"/>
  <c r="B785" i="32"/>
  <c r="B784" i="32"/>
  <c r="B783" i="32"/>
  <c r="B782" i="32"/>
  <c r="B781" i="32"/>
  <c r="B780" i="32"/>
  <c r="B779" i="32"/>
  <c r="B778" i="32"/>
  <c r="B777" i="32"/>
  <c r="B776" i="32"/>
  <c r="B775" i="32"/>
  <c r="B774" i="32"/>
  <c r="B773" i="32"/>
  <c r="B772" i="32"/>
  <c r="B771" i="32"/>
  <c r="B770" i="32"/>
  <c r="B769" i="32"/>
  <c r="B768" i="32"/>
  <c r="B767" i="32"/>
  <c r="B766" i="32"/>
  <c r="B765" i="32"/>
  <c r="B764" i="32"/>
  <c r="B763" i="32"/>
  <c r="B762" i="32"/>
  <c r="B761" i="32"/>
  <c r="B760" i="32"/>
  <c r="B759" i="32"/>
  <c r="B758" i="32"/>
  <c r="B757" i="32"/>
  <c r="B756" i="32"/>
  <c r="B755" i="32"/>
  <c r="B754" i="32"/>
  <c r="B753" i="32"/>
  <c r="B752" i="32"/>
  <c r="B751" i="32"/>
  <c r="B750" i="32"/>
  <c r="B749" i="32"/>
  <c r="B748" i="32"/>
  <c r="B747" i="32"/>
  <c r="B746" i="32"/>
  <c r="B745" i="32"/>
  <c r="B744" i="32"/>
  <c r="B743" i="32"/>
  <c r="B742" i="32"/>
  <c r="B741" i="32"/>
  <c r="B740" i="32"/>
  <c r="B739" i="32"/>
  <c r="B738" i="32"/>
  <c r="B737" i="32"/>
  <c r="B736" i="32"/>
  <c r="B735" i="32"/>
  <c r="B734" i="32"/>
  <c r="B733" i="32"/>
  <c r="B732" i="32"/>
  <c r="B731" i="32"/>
  <c r="B730" i="32"/>
  <c r="B729" i="32"/>
  <c r="B728" i="32"/>
  <c r="B727" i="32"/>
  <c r="B726" i="32"/>
  <c r="B725" i="32"/>
  <c r="B724" i="32"/>
  <c r="B723" i="32"/>
  <c r="B722" i="32"/>
  <c r="B721" i="32"/>
  <c r="B720" i="32"/>
  <c r="B719" i="32"/>
  <c r="B718" i="32"/>
  <c r="B717" i="32"/>
  <c r="B716" i="32"/>
  <c r="B715" i="32"/>
  <c r="B714" i="32"/>
  <c r="B713" i="32"/>
  <c r="B712" i="32"/>
  <c r="B711" i="32"/>
  <c r="B710" i="32"/>
  <c r="B709" i="32"/>
  <c r="B708" i="32"/>
  <c r="B707" i="32"/>
  <c r="B706" i="32"/>
  <c r="B705" i="32"/>
  <c r="B704" i="32"/>
  <c r="B703" i="32"/>
  <c r="B702" i="32"/>
  <c r="B701" i="32"/>
  <c r="B700" i="32"/>
  <c r="B699" i="32"/>
  <c r="B698" i="32"/>
  <c r="B697" i="32"/>
  <c r="B696" i="32"/>
  <c r="B695" i="32"/>
  <c r="B694" i="32"/>
  <c r="B693" i="32"/>
  <c r="B692" i="32"/>
  <c r="B691" i="32"/>
  <c r="B690" i="32"/>
  <c r="B689" i="32"/>
  <c r="B688" i="32"/>
  <c r="B687" i="32"/>
  <c r="B686" i="32"/>
  <c r="B685" i="32"/>
  <c r="B684" i="32"/>
  <c r="B683" i="32"/>
  <c r="B682" i="32"/>
  <c r="B681" i="32"/>
  <c r="B680" i="32"/>
  <c r="B679" i="32"/>
  <c r="B678" i="32"/>
  <c r="B677" i="32"/>
  <c r="B676" i="32"/>
  <c r="B675" i="32"/>
  <c r="B674" i="32"/>
  <c r="B673" i="32"/>
  <c r="B672" i="32"/>
  <c r="B671" i="32"/>
  <c r="B670" i="32"/>
  <c r="B669" i="32"/>
  <c r="B668" i="32"/>
  <c r="B667" i="32"/>
  <c r="B666" i="32"/>
  <c r="B665" i="32"/>
  <c r="B664" i="32"/>
  <c r="B663" i="32"/>
  <c r="B662" i="32"/>
  <c r="B661" i="32"/>
  <c r="B660" i="32"/>
  <c r="B659" i="32"/>
  <c r="B658" i="32"/>
  <c r="B657" i="32"/>
  <c r="B656" i="32"/>
  <c r="B655" i="32"/>
  <c r="B654" i="32"/>
  <c r="B653" i="32"/>
  <c r="B652" i="32"/>
  <c r="B651" i="32"/>
  <c r="B650" i="32"/>
  <c r="B649" i="32"/>
  <c r="B648" i="32"/>
  <c r="B647" i="32"/>
  <c r="B646" i="32"/>
  <c r="B645" i="32"/>
  <c r="B644" i="32"/>
  <c r="B643" i="32"/>
  <c r="B642" i="32"/>
  <c r="B641" i="32"/>
  <c r="B640" i="32"/>
  <c r="B639" i="32"/>
  <c r="B638" i="32"/>
  <c r="B637" i="32"/>
  <c r="B636" i="32"/>
  <c r="B635" i="32"/>
  <c r="B634" i="32"/>
  <c r="B633" i="32"/>
  <c r="B632" i="32"/>
  <c r="B631" i="32"/>
  <c r="B630" i="32"/>
  <c r="B629" i="32"/>
  <c r="B628" i="32"/>
  <c r="B627" i="32"/>
  <c r="B626" i="32"/>
  <c r="B625" i="32"/>
  <c r="B624" i="32"/>
  <c r="B623" i="32"/>
  <c r="B622" i="32"/>
  <c r="B621" i="32"/>
  <c r="B620" i="32"/>
  <c r="B619" i="32"/>
  <c r="B618" i="32"/>
  <c r="B617" i="32"/>
  <c r="B616" i="32"/>
  <c r="B615" i="32"/>
  <c r="B614" i="32"/>
  <c r="B613" i="32"/>
  <c r="B612" i="32"/>
  <c r="B611" i="32"/>
  <c r="B610" i="32"/>
  <c r="B609" i="32"/>
  <c r="B608" i="32"/>
  <c r="B607" i="32"/>
  <c r="B606" i="32"/>
  <c r="B605" i="32"/>
  <c r="B604" i="32"/>
  <c r="B603" i="32"/>
  <c r="B602" i="32"/>
  <c r="B601" i="32"/>
  <c r="B600" i="32"/>
  <c r="B599" i="32"/>
  <c r="B598" i="32"/>
  <c r="B597" i="32"/>
  <c r="B596" i="32"/>
  <c r="B595" i="32"/>
  <c r="B594" i="32"/>
  <c r="B593" i="32"/>
  <c r="B592" i="32"/>
  <c r="B591" i="32"/>
  <c r="B590" i="32"/>
  <c r="B589" i="32"/>
  <c r="B588" i="32"/>
  <c r="B587" i="32"/>
  <c r="B586" i="32"/>
  <c r="B585" i="32"/>
  <c r="B584" i="32"/>
  <c r="B583" i="32"/>
  <c r="B582" i="32"/>
  <c r="B581" i="32"/>
  <c r="B580" i="32"/>
  <c r="B579" i="32"/>
  <c r="B578" i="32"/>
  <c r="B577" i="32"/>
  <c r="B576" i="32"/>
  <c r="B575" i="32"/>
  <c r="B574" i="32"/>
  <c r="B573" i="32"/>
  <c r="B572" i="32"/>
  <c r="B571" i="32"/>
  <c r="B570" i="32"/>
  <c r="B569" i="32"/>
  <c r="B568" i="32"/>
  <c r="B567" i="32"/>
  <c r="B566" i="32"/>
  <c r="B565" i="32"/>
  <c r="B564" i="32"/>
  <c r="B563" i="32"/>
  <c r="B562" i="32"/>
  <c r="B561" i="32"/>
  <c r="B560" i="32"/>
  <c r="B559" i="32"/>
  <c r="B558" i="32"/>
  <c r="B557" i="32"/>
  <c r="B556" i="32"/>
  <c r="B555" i="32"/>
  <c r="B554" i="32"/>
  <c r="B553" i="32"/>
  <c r="B552" i="32"/>
  <c r="B551" i="32"/>
  <c r="B550" i="32"/>
  <c r="B549" i="32"/>
  <c r="B548" i="32"/>
  <c r="B547" i="32"/>
  <c r="B546" i="32"/>
  <c r="B545" i="32"/>
  <c r="B544" i="32"/>
  <c r="B543" i="32"/>
  <c r="B542" i="32"/>
  <c r="B541" i="32"/>
  <c r="B540" i="32"/>
  <c r="B539" i="32"/>
  <c r="B538" i="32"/>
  <c r="B537" i="32"/>
  <c r="B536" i="32"/>
  <c r="B535" i="32"/>
  <c r="B534" i="32"/>
  <c r="B533" i="32"/>
  <c r="B532" i="32"/>
  <c r="B531" i="32"/>
  <c r="B530" i="32"/>
  <c r="B529" i="32"/>
  <c r="B528" i="32"/>
  <c r="B527" i="32"/>
  <c r="B526" i="32"/>
  <c r="B525" i="32"/>
  <c r="B524" i="32"/>
  <c r="B523" i="32"/>
  <c r="B522" i="32"/>
  <c r="B521" i="32"/>
  <c r="B520" i="32"/>
  <c r="B519" i="32"/>
  <c r="B518" i="32"/>
  <c r="B517" i="32"/>
  <c r="B516" i="32"/>
  <c r="B515" i="32"/>
  <c r="B514" i="32"/>
  <c r="B513" i="32"/>
  <c r="B512" i="32"/>
  <c r="B511" i="32"/>
  <c r="B510" i="32"/>
  <c r="B509" i="32"/>
  <c r="B508" i="32"/>
  <c r="B507" i="32"/>
  <c r="B506" i="32"/>
  <c r="B505" i="32"/>
  <c r="B504" i="32"/>
  <c r="B503" i="32"/>
  <c r="B502" i="32"/>
  <c r="B501" i="32"/>
  <c r="B500" i="32"/>
  <c r="B499" i="32"/>
  <c r="B498" i="32"/>
  <c r="B497" i="32"/>
  <c r="B496" i="32"/>
  <c r="B495" i="32"/>
  <c r="B494" i="32"/>
  <c r="B493" i="32"/>
  <c r="B492" i="32"/>
  <c r="B491" i="32"/>
  <c r="B490" i="32"/>
  <c r="B489" i="32"/>
  <c r="B488" i="32"/>
  <c r="B487" i="32"/>
  <c r="B486" i="32"/>
  <c r="B485" i="32"/>
  <c r="B484" i="32"/>
  <c r="B483" i="32"/>
  <c r="B482" i="32"/>
  <c r="B481" i="32"/>
  <c r="B480" i="32"/>
  <c r="B479" i="32"/>
  <c r="B478" i="32"/>
  <c r="B477" i="32"/>
  <c r="B476" i="32"/>
  <c r="B475" i="32"/>
  <c r="B474" i="32"/>
  <c r="B473" i="32"/>
  <c r="B472" i="32"/>
  <c r="B471" i="32"/>
  <c r="B470" i="32"/>
  <c r="B469" i="32"/>
  <c r="B468" i="32"/>
  <c r="B467" i="32"/>
  <c r="B466" i="32"/>
  <c r="B465" i="32"/>
  <c r="B464" i="32"/>
  <c r="B463" i="32"/>
  <c r="B462" i="32"/>
  <c r="B461" i="32"/>
  <c r="B460" i="32"/>
  <c r="B459" i="32"/>
  <c r="B458" i="32"/>
  <c r="B457" i="32"/>
  <c r="B456" i="32"/>
  <c r="B455" i="32"/>
  <c r="B454" i="32"/>
  <c r="B453" i="32"/>
  <c r="B452" i="32"/>
  <c r="B451" i="32"/>
  <c r="B450" i="32"/>
  <c r="B449" i="32"/>
  <c r="B448" i="32"/>
  <c r="B447" i="32"/>
  <c r="B446" i="32"/>
  <c r="B445" i="32"/>
  <c r="B444" i="32"/>
  <c r="B443" i="32"/>
  <c r="B442" i="32"/>
  <c r="B441" i="32"/>
  <c r="B440" i="32"/>
  <c r="B439" i="32"/>
  <c r="B438" i="32"/>
  <c r="B437" i="32"/>
  <c r="B436" i="32"/>
  <c r="B435" i="32"/>
  <c r="B434" i="32"/>
  <c r="B433" i="32"/>
  <c r="B432" i="32"/>
  <c r="B431" i="32"/>
  <c r="B430" i="32"/>
  <c r="B429" i="32"/>
  <c r="B428" i="32"/>
  <c r="B427" i="32"/>
  <c r="B426" i="32"/>
  <c r="B425" i="32"/>
  <c r="B424" i="32"/>
  <c r="B423" i="32"/>
  <c r="B422" i="32"/>
  <c r="B421" i="32"/>
  <c r="B420" i="32"/>
  <c r="B419" i="32"/>
  <c r="B418" i="32"/>
  <c r="B417" i="32"/>
  <c r="B416" i="32"/>
  <c r="B415" i="32"/>
  <c r="B414" i="32"/>
  <c r="B413" i="32"/>
  <c r="B412" i="32"/>
  <c r="B411" i="32"/>
  <c r="B410" i="32"/>
  <c r="B409" i="32"/>
  <c r="B408" i="32"/>
  <c r="B407" i="32"/>
  <c r="B406" i="32"/>
  <c r="B405" i="32"/>
  <c r="B404" i="32"/>
  <c r="B403" i="32"/>
  <c r="B402" i="32"/>
  <c r="B401" i="32"/>
  <c r="B400" i="32"/>
  <c r="B399" i="32"/>
  <c r="B398" i="32"/>
  <c r="B397" i="32"/>
  <c r="B396" i="32"/>
  <c r="B395" i="32"/>
  <c r="B394" i="32"/>
  <c r="B393" i="32"/>
  <c r="B392" i="32"/>
  <c r="B391" i="32"/>
  <c r="B390" i="32"/>
  <c r="B389" i="32"/>
  <c r="B388" i="32"/>
  <c r="B387" i="32"/>
  <c r="B386" i="32"/>
  <c r="B385" i="32"/>
  <c r="B384" i="32"/>
  <c r="B383" i="32"/>
  <c r="B382" i="32"/>
  <c r="B381" i="32"/>
  <c r="B380" i="32"/>
  <c r="B379" i="32"/>
  <c r="B378" i="32"/>
  <c r="B377" i="32"/>
  <c r="B376" i="32"/>
  <c r="B375" i="32"/>
  <c r="B374" i="32"/>
  <c r="B373" i="32"/>
  <c r="B372" i="32"/>
  <c r="B371" i="32"/>
  <c r="B370" i="32"/>
  <c r="B369" i="32"/>
  <c r="B368" i="32"/>
  <c r="B367" i="32"/>
  <c r="B366" i="32"/>
  <c r="B365" i="32"/>
  <c r="B364" i="32"/>
  <c r="B363" i="32"/>
  <c r="B362" i="32"/>
  <c r="B361" i="32"/>
  <c r="B360" i="32"/>
  <c r="B359" i="32"/>
  <c r="B358" i="32"/>
  <c r="B357" i="32"/>
  <c r="B356" i="32"/>
  <c r="B355" i="32"/>
  <c r="B354" i="32"/>
  <c r="B353" i="32"/>
  <c r="B352" i="32"/>
  <c r="B351" i="32"/>
  <c r="B350" i="32"/>
  <c r="B349" i="32"/>
  <c r="B348" i="32"/>
  <c r="B347" i="32"/>
  <c r="B346" i="32"/>
  <c r="B345" i="32"/>
  <c r="B344" i="32"/>
  <c r="B343" i="32"/>
  <c r="B342" i="32"/>
  <c r="B341" i="32"/>
  <c r="B340" i="32"/>
  <c r="B339" i="32"/>
  <c r="B338" i="32"/>
  <c r="B337" i="32"/>
  <c r="B336" i="32"/>
  <c r="B335" i="32"/>
  <c r="B334" i="32"/>
  <c r="B333" i="32"/>
  <c r="B332" i="32"/>
  <c r="B331" i="32"/>
  <c r="B330" i="32"/>
  <c r="B329" i="32"/>
  <c r="B328" i="32"/>
  <c r="B327" i="32"/>
  <c r="B326" i="32"/>
  <c r="B325" i="32"/>
  <c r="B324" i="32"/>
  <c r="B323" i="32"/>
  <c r="B322" i="32"/>
  <c r="B321" i="32"/>
  <c r="B320" i="32"/>
  <c r="B319" i="32"/>
  <c r="B318" i="32"/>
  <c r="B317" i="32"/>
  <c r="B316" i="32"/>
  <c r="B315" i="32"/>
  <c r="B314" i="32"/>
  <c r="B313" i="32"/>
  <c r="B312" i="32"/>
  <c r="B311" i="32"/>
  <c r="B310" i="32"/>
  <c r="B309" i="32"/>
  <c r="B308" i="32"/>
  <c r="B307" i="32"/>
  <c r="B306" i="32"/>
  <c r="B305" i="32"/>
  <c r="B304" i="32"/>
  <c r="B303" i="32"/>
  <c r="B302" i="32"/>
  <c r="B301" i="32"/>
  <c r="B300" i="32"/>
  <c r="B299" i="32"/>
  <c r="B298" i="32"/>
  <c r="B297" i="32"/>
  <c r="B296" i="32"/>
  <c r="B295" i="32"/>
  <c r="B294" i="32"/>
  <c r="B293" i="32"/>
  <c r="B292" i="32"/>
  <c r="B291" i="32"/>
  <c r="B290" i="32"/>
  <c r="B289" i="32"/>
  <c r="B288" i="32"/>
  <c r="B287" i="32"/>
  <c r="B286" i="32"/>
  <c r="B285" i="32"/>
  <c r="B284" i="32"/>
  <c r="B283" i="32"/>
  <c r="B282" i="32"/>
  <c r="B281" i="32"/>
  <c r="B280" i="32"/>
  <c r="B279" i="32"/>
  <c r="B278" i="32"/>
  <c r="B277" i="32"/>
  <c r="B276" i="32"/>
  <c r="B275" i="32"/>
  <c r="B274" i="32"/>
  <c r="B273" i="32"/>
  <c r="B272" i="32"/>
  <c r="B271" i="32"/>
  <c r="B270" i="32"/>
  <c r="B269" i="32"/>
  <c r="B268" i="32"/>
  <c r="B267" i="32"/>
  <c r="B266" i="32"/>
  <c r="B265" i="32"/>
  <c r="B264" i="32"/>
  <c r="B263" i="32"/>
  <c r="B262" i="32"/>
  <c r="B261" i="32"/>
  <c r="B260" i="32"/>
  <c r="B259" i="32"/>
  <c r="B258" i="32"/>
  <c r="B257" i="32"/>
  <c r="B256" i="32"/>
  <c r="B255" i="32"/>
  <c r="B254" i="32"/>
  <c r="B253" i="32"/>
  <c r="B252" i="32"/>
  <c r="B251" i="32"/>
  <c r="B250" i="32"/>
  <c r="B249" i="32"/>
  <c r="B248" i="32"/>
  <c r="B247" i="32"/>
  <c r="B246" i="32"/>
  <c r="B245" i="32"/>
  <c r="B244" i="32"/>
  <c r="B243" i="32"/>
  <c r="B242" i="32"/>
  <c r="B241" i="32"/>
  <c r="B240" i="32"/>
  <c r="B239" i="32"/>
  <c r="B238" i="32"/>
  <c r="B237" i="32"/>
  <c r="B236" i="32"/>
  <c r="B235" i="32"/>
  <c r="B234" i="32"/>
  <c r="B233" i="32"/>
  <c r="B232" i="32"/>
  <c r="B231" i="32"/>
  <c r="B230" i="32"/>
  <c r="B229" i="32"/>
  <c r="B228" i="32"/>
  <c r="B227" i="32"/>
  <c r="B226" i="32"/>
  <c r="B225" i="32"/>
  <c r="B224" i="32"/>
  <c r="B223" i="32"/>
  <c r="B222" i="32"/>
  <c r="B221" i="32"/>
  <c r="B220" i="32"/>
  <c r="B219" i="32"/>
  <c r="B218" i="32"/>
  <c r="B217" i="32"/>
  <c r="B216" i="32"/>
  <c r="B215" i="32"/>
  <c r="B214" i="32"/>
  <c r="B213" i="32"/>
  <c r="B212" i="32"/>
  <c r="B211" i="32"/>
  <c r="B210" i="32"/>
  <c r="B209" i="32"/>
  <c r="B208" i="32"/>
  <c r="B207" i="32"/>
  <c r="B206" i="32"/>
  <c r="B205" i="32"/>
  <c r="B204" i="32"/>
  <c r="B203" i="32"/>
  <c r="B202" i="32"/>
  <c r="B201" i="32"/>
  <c r="B200" i="32"/>
  <c r="B199" i="32"/>
  <c r="B198" i="32"/>
  <c r="B197" i="32"/>
  <c r="B196" i="32"/>
  <c r="B195" i="32"/>
  <c r="B194" i="32"/>
  <c r="B193" i="32"/>
  <c r="B192" i="32"/>
  <c r="B191" i="32"/>
  <c r="B190" i="32"/>
  <c r="B189" i="32"/>
  <c r="B188" i="32"/>
  <c r="B187" i="32"/>
  <c r="B186" i="32"/>
  <c r="B185" i="32"/>
  <c r="B184" i="32"/>
  <c r="B183" i="32"/>
  <c r="B182" i="32"/>
  <c r="B181" i="32"/>
  <c r="B180" i="32"/>
  <c r="B179" i="32"/>
  <c r="B178" i="32"/>
  <c r="B177" i="32"/>
  <c r="B176" i="32"/>
  <c r="B175" i="32"/>
  <c r="B174" i="32"/>
  <c r="B173" i="32"/>
  <c r="B172" i="32"/>
  <c r="B171" i="32"/>
  <c r="B170" i="32"/>
  <c r="B169" i="32"/>
  <c r="B168" i="32"/>
  <c r="B167" i="32"/>
  <c r="B166" i="32"/>
  <c r="B165" i="32"/>
  <c r="B164" i="32"/>
  <c r="B163" i="32"/>
  <c r="B162" i="32"/>
  <c r="B161" i="32"/>
  <c r="B160" i="32"/>
  <c r="B159" i="32"/>
  <c r="B158" i="32"/>
  <c r="B157" i="32"/>
  <c r="B156" i="32"/>
  <c r="B155" i="32"/>
  <c r="B154" i="32"/>
  <c r="B153" i="32"/>
  <c r="B152" i="32"/>
  <c r="B151" i="32"/>
  <c r="B150" i="32"/>
  <c r="B149" i="32"/>
  <c r="B148" i="32"/>
  <c r="B147" i="32"/>
  <c r="B146" i="32"/>
  <c r="B145" i="32"/>
  <c r="B144" i="32"/>
  <c r="B143" i="32"/>
  <c r="B142" i="32"/>
  <c r="B141" i="32"/>
  <c r="B140" i="32"/>
  <c r="B139" i="32"/>
  <c r="B138" i="32"/>
  <c r="B137" i="32"/>
  <c r="B136" i="32"/>
  <c r="B135" i="32"/>
  <c r="B134" i="32"/>
  <c r="B133" i="32"/>
  <c r="B132" i="32"/>
  <c r="B131" i="32"/>
  <c r="B130" i="32"/>
  <c r="B129" i="32"/>
  <c r="B128" i="32"/>
  <c r="B127" i="32"/>
  <c r="B126" i="32"/>
  <c r="B125" i="32"/>
  <c r="B124" i="32"/>
  <c r="B123" i="32"/>
  <c r="B122" i="32"/>
  <c r="B121" i="32"/>
  <c r="B120" i="32"/>
  <c r="B119" i="32"/>
  <c r="B118" i="32"/>
  <c r="B117" i="32"/>
  <c r="B116" i="32"/>
  <c r="B115" i="32"/>
  <c r="B114" i="32"/>
  <c r="B113" i="32"/>
  <c r="B112" i="32"/>
  <c r="B111" i="32"/>
  <c r="B110" i="32"/>
  <c r="B109" i="32"/>
  <c r="B108" i="32"/>
  <c r="B107" i="32"/>
  <c r="B106" i="32"/>
  <c r="B105" i="32"/>
  <c r="B104" i="32"/>
  <c r="B103" i="32"/>
  <c r="B102" i="32"/>
  <c r="B101" i="32"/>
  <c r="B100" i="32"/>
  <c r="B99" i="32"/>
  <c r="B98" i="32"/>
  <c r="B97" i="32"/>
  <c r="B96" i="32"/>
  <c r="B95" i="32"/>
  <c r="B94" i="32"/>
  <c r="B93" i="32"/>
  <c r="B92" i="32"/>
  <c r="B91" i="32"/>
  <c r="B90" i="32"/>
  <c r="B89" i="32"/>
  <c r="B88" i="32"/>
  <c r="B87" i="32"/>
  <c r="B86" i="32"/>
  <c r="B85" i="32"/>
  <c r="B84" i="32"/>
  <c r="B83" i="32"/>
  <c r="B82" i="32"/>
  <c r="B81" i="32"/>
  <c r="B80" i="32"/>
  <c r="B79" i="32"/>
  <c r="B78" i="32"/>
  <c r="B77" i="32"/>
  <c r="B76" i="32"/>
  <c r="B75" i="32"/>
  <c r="B74" i="32"/>
  <c r="B73" i="32"/>
  <c r="B72" i="32"/>
  <c r="B71" i="32"/>
  <c r="B70" i="32"/>
  <c r="B69" i="32"/>
  <c r="B68" i="32"/>
  <c r="B67" i="32"/>
  <c r="B66" i="32"/>
  <c r="B65" i="32"/>
  <c r="B64" i="32"/>
  <c r="B63" i="32"/>
  <c r="B62" i="32"/>
  <c r="B61" i="32"/>
  <c r="B60" i="32"/>
  <c r="B59" i="32"/>
  <c r="B58" i="32"/>
  <c r="B57" i="32"/>
  <c r="B56" i="32"/>
  <c r="B55" i="32"/>
  <c r="B54" i="32"/>
  <c r="B53" i="32"/>
  <c r="B52" i="32"/>
  <c r="B51" i="32"/>
  <c r="B50" i="32"/>
  <c r="B49" i="32"/>
  <c r="B48" i="32"/>
  <c r="B47" i="32"/>
  <c r="B46" i="32"/>
  <c r="B45" i="32"/>
  <c r="B44" i="32"/>
  <c r="B43" i="32"/>
  <c r="B42" i="32"/>
  <c r="B41" i="32"/>
  <c r="B40" i="32"/>
  <c r="B39" i="32"/>
  <c r="B38" i="32"/>
  <c r="B37" i="32"/>
  <c r="B36" i="32"/>
  <c r="B35" i="32"/>
  <c r="B34" i="32"/>
  <c r="B33" i="32"/>
  <c r="B32" i="32"/>
  <c r="B31" i="32"/>
  <c r="B30" i="32"/>
  <c r="B29" i="32"/>
  <c r="B28" i="32"/>
  <c r="B27" i="32"/>
  <c r="B26" i="32"/>
  <c r="B25" i="32"/>
  <c r="B24" i="32"/>
  <c r="B23" i="32"/>
  <c r="B22" i="32"/>
  <c r="B21" i="32"/>
  <c r="B20" i="32"/>
  <c r="B19" i="32"/>
  <c r="B18" i="32"/>
  <c r="B17" i="32"/>
  <c r="B16" i="32"/>
  <c r="B15" i="32"/>
  <c r="B14" i="32"/>
  <c r="B13" i="32"/>
  <c r="B12" i="32"/>
  <c r="B11" i="32"/>
  <c r="B10" i="32"/>
  <c r="B9" i="32"/>
  <c r="B8" i="32"/>
  <c r="B7" i="32"/>
  <c r="B6" i="32"/>
  <c r="B5" i="32"/>
  <c r="B4" i="32"/>
  <c r="B3" i="32"/>
  <c r="B2" i="32"/>
  <c r="B1000" i="31"/>
  <c r="B999" i="31"/>
  <c r="B998" i="31"/>
  <c r="B997" i="31"/>
  <c r="B996" i="31"/>
  <c r="B995" i="31"/>
  <c r="B994" i="31"/>
  <c r="B993" i="31"/>
  <c r="B992" i="31"/>
  <c r="B991" i="31"/>
  <c r="B990" i="31"/>
  <c r="B989" i="31"/>
  <c r="B988" i="31"/>
  <c r="B987" i="31"/>
  <c r="B986" i="31"/>
  <c r="B985" i="31"/>
  <c r="B984" i="31"/>
  <c r="B983" i="31"/>
  <c r="B982" i="31"/>
  <c r="B981" i="31"/>
  <c r="B980" i="31"/>
  <c r="B979" i="31"/>
  <c r="B978" i="31"/>
  <c r="B977" i="31"/>
  <c r="B976" i="31"/>
  <c r="B975" i="31"/>
  <c r="B974" i="31"/>
  <c r="B973" i="31"/>
  <c r="B972" i="31"/>
  <c r="B971" i="31"/>
  <c r="B970" i="31"/>
  <c r="B969" i="31"/>
  <c r="B968" i="31"/>
  <c r="B967" i="31"/>
  <c r="B966" i="31"/>
  <c r="B965" i="31"/>
  <c r="B964" i="31"/>
  <c r="B963" i="31"/>
  <c r="B962" i="31"/>
  <c r="B961" i="31"/>
  <c r="B960" i="31"/>
  <c r="B959" i="31"/>
  <c r="B958" i="31"/>
  <c r="B957" i="31"/>
  <c r="B956" i="31"/>
  <c r="B955" i="31"/>
  <c r="B954" i="31"/>
  <c r="B953" i="31"/>
  <c r="B952" i="31"/>
  <c r="B951" i="31"/>
  <c r="B950" i="31"/>
  <c r="B949" i="31"/>
  <c r="B948" i="31"/>
  <c r="B947" i="31"/>
  <c r="B946" i="31"/>
  <c r="B945" i="31"/>
  <c r="B944" i="31"/>
  <c r="B943" i="31"/>
  <c r="B942" i="31"/>
  <c r="B941" i="31"/>
  <c r="B940" i="31"/>
  <c r="B939" i="31"/>
  <c r="B938" i="31"/>
  <c r="B937" i="31"/>
  <c r="B936" i="31"/>
  <c r="B935" i="31"/>
  <c r="B934" i="31"/>
  <c r="B933" i="31"/>
  <c r="B932" i="31"/>
  <c r="B931" i="31"/>
  <c r="B930" i="31"/>
  <c r="B929" i="31"/>
  <c r="B928" i="31"/>
  <c r="B927" i="31"/>
  <c r="B926" i="31"/>
  <c r="B925" i="31"/>
  <c r="B924" i="31"/>
  <c r="B923" i="31"/>
  <c r="B922" i="31"/>
  <c r="B921" i="31"/>
  <c r="B920" i="31"/>
  <c r="B919" i="31"/>
  <c r="B918" i="31"/>
  <c r="B917" i="31"/>
  <c r="B916" i="31"/>
  <c r="B915" i="31"/>
  <c r="B914" i="31"/>
  <c r="B913" i="31"/>
  <c r="B912" i="31"/>
  <c r="B911" i="31"/>
  <c r="B910" i="31"/>
  <c r="B909" i="31"/>
  <c r="B908" i="31"/>
  <c r="B907" i="31"/>
  <c r="B906" i="31"/>
  <c r="B905" i="31"/>
  <c r="B904" i="31"/>
  <c r="B903" i="31"/>
  <c r="B902" i="31"/>
  <c r="B901" i="31"/>
  <c r="B900" i="31"/>
  <c r="B899" i="31"/>
  <c r="B898" i="31"/>
  <c r="B897" i="31"/>
  <c r="B896" i="31"/>
  <c r="B895" i="31"/>
  <c r="B894" i="31"/>
  <c r="B893" i="31"/>
  <c r="B892" i="31"/>
  <c r="B891" i="31"/>
  <c r="B890" i="31"/>
  <c r="B889" i="31"/>
  <c r="B888" i="31"/>
  <c r="B887" i="31"/>
  <c r="B886" i="31"/>
  <c r="B885" i="31"/>
  <c r="B884" i="31"/>
  <c r="B883" i="31"/>
  <c r="B882" i="31"/>
  <c r="B881" i="31"/>
  <c r="B880" i="31"/>
  <c r="B879" i="31"/>
  <c r="B878" i="31"/>
  <c r="B877" i="31"/>
  <c r="B876" i="31"/>
  <c r="B875" i="31"/>
  <c r="B874" i="31"/>
  <c r="B873" i="31"/>
  <c r="B872" i="31"/>
  <c r="B871" i="31"/>
  <c r="B870" i="31"/>
  <c r="B869" i="31"/>
  <c r="B868" i="31"/>
  <c r="B867" i="31"/>
  <c r="B866" i="31"/>
  <c r="B865" i="31"/>
  <c r="B864" i="31"/>
  <c r="B863" i="31"/>
  <c r="B862" i="31"/>
  <c r="B861" i="31"/>
  <c r="B860" i="31"/>
  <c r="B859" i="31"/>
  <c r="B858" i="31"/>
  <c r="B857" i="31"/>
  <c r="B856" i="31"/>
  <c r="B855" i="31"/>
  <c r="B854" i="31"/>
  <c r="B853" i="31"/>
  <c r="B852" i="31"/>
  <c r="B851" i="31"/>
  <c r="B850" i="31"/>
  <c r="B849" i="31"/>
  <c r="B848" i="31"/>
  <c r="B847" i="31"/>
  <c r="B846" i="31"/>
  <c r="B845" i="31"/>
  <c r="B844" i="31"/>
  <c r="B843" i="31"/>
  <c r="B842" i="31"/>
  <c r="B841" i="31"/>
  <c r="B840" i="31"/>
  <c r="B839" i="31"/>
  <c r="B838" i="31"/>
  <c r="B837" i="31"/>
  <c r="B836" i="31"/>
  <c r="B835" i="31"/>
  <c r="B834" i="31"/>
  <c r="B833" i="31"/>
  <c r="B832" i="31"/>
  <c r="B831" i="31"/>
  <c r="B830" i="31"/>
  <c r="B829" i="31"/>
  <c r="B828" i="31"/>
  <c r="B827" i="31"/>
  <c r="B826" i="31"/>
  <c r="B825" i="31"/>
  <c r="B824" i="31"/>
  <c r="B823" i="31"/>
  <c r="B822" i="31"/>
  <c r="B821" i="31"/>
  <c r="B820" i="31"/>
  <c r="B819" i="31"/>
  <c r="B818" i="31"/>
  <c r="B817" i="31"/>
  <c r="B816" i="31"/>
  <c r="B815" i="31"/>
  <c r="B814" i="31"/>
  <c r="B813" i="31"/>
  <c r="B812" i="31"/>
  <c r="B811" i="31"/>
  <c r="B810" i="31"/>
  <c r="B809" i="31"/>
  <c r="B808" i="31"/>
  <c r="B807" i="31"/>
  <c r="B806" i="31"/>
  <c r="B805" i="31"/>
  <c r="B804" i="31"/>
  <c r="B803" i="31"/>
  <c r="B802" i="31"/>
  <c r="B801" i="31"/>
  <c r="B800" i="31"/>
  <c r="B799" i="31"/>
  <c r="B798" i="31"/>
  <c r="B797" i="31"/>
  <c r="B796" i="31"/>
  <c r="B795" i="31"/>
  <c r="B794" i="31"/>
  <c r="B793" i="31"/>
  <c r="B792" i="31"/>
  <c r="B791" i="31"/>
  <c r="B790" i="31"/>
  <c r="B789" i="31"/>
  <c r="B788" i="31"/>
  <c r="B787" i="31"/>
  <c r="B786" i="31"/>
  <c r="B785" i="31"/>
  <c r="B784" i="31"/>
  <c r="B783" i="31"/>
  <c r="B782" i="31"/>
  <c r="B781" i="31"/>
  <c r="B780" i="31"/>
  <c r="B779" i="31"/>
  <c r="B778" i="31"/>
  <c r="B777" i="31"/>
  <c r="B776" i="31"/>
  <c r="B775" i="31"/>
  <c r="B774" i="31"/>
  <c r="B773" i="31"/>
  <c r="B772" i="31"/>
  <c r="B771" i="31"/>
  <c r="B770" i="31"/>
  <c r="B769" i="31"/>
  <c r="B768" i="31"/>
  <c r="B767" i="31"/>
  <c r="B766" i="31"/>
  <c r="B765" i="31"/>
  <c r="B764" i="31"/>
  <c r="B763" i="31"/>
  <c r="B762" i="31"/>
  <c r="B761" i="31"/>
  <c r="B760" i="31"/>
  <c r="B759" i="31"/>
  <c r="B758" i="31"/>
  <c r="B757" i="31"/>
  <c r="B756" i="31"/>
  <c r="B755" i="31"/>
  <c r="B754" i="31"/>
  <c r="B753" i="31"/>
  <c r="B752" i="31"/>
  <c r="B751" i="31"/>
  <c r="B750" i="31"/>
  <c r="B749" i="31"/>
  <c r="B748" i="31"/>
  <c r="B747" i="31"/>
  <c r="B746" i="31"/>
  <c r="B745" i="31"/>
  <c r="B744" i="31"/>
  <c r="B743" i="31"/>
  <c r="B742" i="31"/>
  <c r="B741" i="31"/>
  <c r="B740" i="31"/>
  <c r="B739" i="31"/>
  <c r="B738" i="31"/>
  <c r="B737" i="31"/>
  <c r="B736" i="31"/>
  <c r="B735" i="31"/>
  <c r="B734" i="31"/>
  <c r="B733" i="31"/>
  <c r="B732" i="31"/>
  <c r="B731" i="31"/>
  <c r="B730" i="31"/>
  <c r="B729" i="31"/>
  <c r="B728" i="31"/>
  <c r="B727" i="31"/>
  <c r="B726" i="31"/>
  <c r="B725" i="31"/>
  <c r="B724" i="31"/>
  <c r="B723" i="31"/>
  <c r="B722" i="31"/>
  <c r="B721" i="31"/>
  <c r="B720" i="31"/>
  <c r="B719" i="31"/>
  <c r="B718" i="31"/>
  <c r="B717" i="31"/>
  <c r="B716" i="31"/>
  <c r="B715" i="31"/>
  <c r="B714" i="31"/>
  <c r="B713" i="31"/>
  <c r="B712" i="31"/>
  <c r="B711" i="31"/>
  <c r="B710" i="31"/>
  <c r="B709" i="31"/>
  <c r="B708" i="31"/>
  <c r="B707" i="31"/>
  <c r="B706" i="31"/>
  <c r="B705" i="31"/>
  <c r="B704" i="31"/>
  <c r="B703" i="31"/>
  <c r="B702" i="31"/>
  <c r="B701" i="31"/>
  <c r="B700" i="31"/>
  <c r="B699" i="31"/>
  <c r="B698" i="31"/>
  <c r="B697" i="31"/>
  <c r="B696" i="31"/>
  <c r="B695" i="31"/>
  <c r="B694" i="31"/>
  <c r="B693" i="31"/>
  <c r="B692" i="31"/>
  <c r="B691" i="31"/>
  <c r="B690" i="31"/>
  <c r="B689" i="31"/>
  <c r="B688" i="31"/>
  <c r="B687" i="31"/>
  <c r="B686" i="31"/>
  <c r="B685" i="31"/>
  <c r="B684" i="31"/>
  <c r="B683" i="31"/>
  <c r="B682" i="31"/>
  <c r="B681" i="31"/>
  <c r="B680" i="31"/>
  <c r="B679" i="31"/>
  <c r="B678" i="31"/>
  <c r="B677" i="31"/>
  <c r="B676" i="31"/>
  <c r="B675" i="31"/>
  <c r="B674" i="31"/>
  <c r="B673" i="31"/>
  <c r="B672" i="31"/>
  <c r="B671" i="31"/>
  <c r="B670" i="31"/>
  <c r="B669" i="31"/>
  <c r="B668" i="31"/>
  <c r="B667" i="31"/>
  <c r="B666" i="31"/>
  <c r="B665" i="31"/>
  <c r="B664" i="31"/>
  <c r="B663" i="31"/>
  <c r="B662" i="31"/>
  <c r="B661" i="31"/>
  <c r="B660" i="31"/>
  <c r="B659" i="31"/>
  <c r="B658" i="31"/>
  <c r="B657" i="31"/>
  <c r="B656" i="31"/>
  <c r="B655" i="31"/>
  <c r="B654" i="31"/>
  <c r="B653" i="31"/>
  <c r="B652" i="31"/>
  <c r="B651" i="31"/>
  <c r="B650" i="31"/>
  <c r="B649" i="31"/>
  <c r="B648" i="31"/>
  <c r="B647" i="31"/>
  <c r="B646" i="31"/>
  <c r="B645" i="31"/>
  <c r="B644" i="31"/>
  <c r="B643" i="31"/>
  <c r="B642" i="31"/>
  <c r="B641" i="31"/>
  <c r="B640" i="31"/>
  <c r="B639" i="31"/>
  <c r="B638" i="31"/>
  <c r="B637" i="31"/>
  <c r="B636" i="31"/>
  <c r="B635" i="31"/>
  <c r="B634" i="31"/>
  <c r="B633" i="31"/>
  <c r="B632" i="31"/>
  <c r="B631" i="31"/>
  <c r="B630" i="31"/>
  <c r="B629" i="31"/>
  <c r="B628" i="31"/>
  <c r="B627" i="31"/>
  <c r="B626" i="31"/>
  <c r="B625" i="31"/>
  <c r="B624" i="31"/>
  <c r="B623" i="31"/>
  <c r="B622" i="31"/>
  <c r="B621" i="31"/>
  <c r="B620" i="31"/>
  <c r="B619" i="31"/>
  <c r="B618" i="31"/>
  <c r="B617" i="31"/>
  <c r="B616" i="31"/>
  <c r="B615" i="31"/>
  <c r="B614" i="31"/>
  <c r="B613" i="31"/>
  <c r="B612" i="31"/>
  <c r="B611" i="31"/>
  <c r="B610" i="31"/>
  <c r="B609" i="31"/>
  <c r="B608" i="31"/>
  <c r="B607" i="31"/>
  <c r="B606" i="31"/>
  <c r="B605" i="31"/>
  <c r="B604" i="31"/>
  <c r="B603" i="31"/>
  <c r="B602" i="31"/>
  <c r="B601" i="31"/>
  <c r="B600" i="31"/>
  <c r="B599" i="31"/>
  <c r="B598" i="31"/>
  <c r="B597" i="31"/>
  <c r="B596" i="31"/>
  <c r="B595" i="31"/>
  <c r="B594" i="31"/>
  <c r="B593" i="31"/>
  <c r="B592" i="31"/>
  <c r="B591" i="31"/>
  <c r="B590" i="31"/>
  <c r="B589" i="31"/>
  <c r="B588" i="31"/>
  <c r="B587" i="31"/>
  <c r="B586" i="31"/>
  <c r="B585" i="31"/>
  <c r="B584" i="31"/>
  <c r="B583" i="31"/>
  <c r="B582" i="31"/>
  <c r="B581" i="31"/>
  <c r="B580" i="31"/>
  <c r="B579" i="31"/>
  <c r="B578" i="31"/>
  <c r="B577" i="31"/>
  <c r="B576" i="31"/>
  <c r="B575" i="31"/>
  <c r="B574" i="31"/>
  <c r="B573" i="31"/>
  <c r="B572" i="31"/>
  <c r="B571" i="31"/>
  <c r="B570" i="31"/>
  <c r="B569" i="31"/>
  <c r="B568" i="31"/>
  <c r="B567" i="31"/>
  <c r="B566" i="31"/>
  <c r="B565" i="31"/>
  <c r="B564" i="31"/>
  <c r="B563" i="31"/>
  <c r="B562" i="31"/>
  <c r="B561" i="31"/>
  <c r="B560" i="31"/>
  <c r="B559" i="31"/>
  <c r="B558" i="31"/>
  <c r="B557" i="31"/>
  <c r="B556" i="31"/>
  <c r="B555" i="31"/>
  <c r="B554" i="31"/>
  <c r="B553" i="31"/>
  <c r="B552" i="31"/>
  <c r="B551" i="31"/>
  <c r="B550" i="31"/>
  <c r="B549" i="31"/>
  <c r="B548" i="31"/>
  <c r="B547" i="31"/>
  <c r="B546" i="31"/>
  <c r="B545" i="31"/>
  <c r="B544" i="31"/>
  <c r="B543" i="31"/>
  <c r="B542" i="31"/>
  <c r="B541" i="31"/>
  <c r="B540" i="31"/>
  <c r="B539" i="31"/>
  <c r="B538" i="31"/>
  <c r="B537" i="31"/>
  <c r="B536" i="31"/>
  <c r="B535" i="31"/>
  <c r="B534" i="31"/>
  <c r="B533" i="31"/>
  <c r="B532" i="31"/>
  <c r="B531" i="31"/>
  <c r="B530" i="31"/>
  <c r="B529" i="31"/>
  <c r="B528" i="31"/>
  <c r="B527" i="31"/>
  <c r="B526" i="31"/>
  <c r="B525" i="31"/>
  <c r="B524" i="31"/>
  <c r="B523" i="31"/>
  <c r="B522" i="31"/>
  <c r="B521" i="31"/>
  <c r="B520" i="31"/>
  <c r="B519" i="31"/>
  <c r="B518" i="31"/>
  <c r="B517" i="31"/>
  <c r="B516" i="31"/>
  <c r="B515" i="31"/>
  <c r="B514" i="31"/>
  <c r="B513" i="31"/>
  <c r="B512" i="31"/>
  <c r="B511" i="31"/>
  <c r="B510" i="31"/>
  <c r="B509" i="31"/>
  <c r="B508" i="31"/>
  <c r="B507" i="31"/>
  <c r="B506" i="31"/>
  <c r="B505" i="31"/>
  <c r="B504" i="31"/>
  <c r="B503" i="31"/>
  <c r="B502" i="31"/>
  <c r="B501" i="31"/>
  <c r="B500" i="31"/>
  <c r="B499" i="31"/>
  <c r="B498" i="31"/>
  <c r="B497" i="31"/>
  <c r="B496" i="31"/>
  <c r="B495" i="31"/>
  <c r="B494" i="31"/>
  <c r="B493" i="31"/>
  <c r="B492" i="31"/>
  <c r="B491" i="31"/>
  <c r="B490" i="31"/>
  <c r="B489" i="31"/>
  <c r="B488" i="31"/>
  <c r="B487" i="31"/>
  <c r="B486" i="31"/>
  <c r="B485" i="31"/>
  <c r="B484" i="31"/>
  <c r="B483" i="31"/>
  <c r="B482" i="31"/>
  <c r="B481" i="31"/>
  <c r="B480" i="31"/>
  <c r="B479" i="31"/>
  <c r="B478" i="31"/>
  <c r="B477" i="31"/>
  <c r="B476" i="31"/>
  <c r="B475" i="31"/>
  <c r="B474" i="31"/>
  <c r="B473" i="31"/>
  <c r="B472" i="31"/>
  <c r="B471" i="31"/>
  <c r="B470" i="31"/>
  <c r="B469" i="31"/>
  <c r="B468" i="31"/>
  <c r="B467" i="31"/>
  <c r="B466" i="31"/>
  <c r="B465" i="31"/>
  <c r="B464" i="31"/>
  <c r="B463" i="31"/>
  <c r="B462" i="31"/>
  <c r="B461" i="31"/>
  <c r="B460" i="31"/>
  <c r="B459" i="31"/>
  <c r="B458" i="31"/>
  <c r="B457" i="31"/>
  <c r="B456" i="31"/>
  <c r="B455" i="31"/>
  <c r="B454" i="31"/>
  <c r="B453" i="31"/>
  <c r="B452" i="31"/>
  <c r="B451" i="31"/>
  <c r="B450" i="31"/>
  <c r="B449" i="31"/>
  <c r="B448" i="31"/>
  <c r="B447" i="31"/>
  <c r="B446" i="31"/>
  <c r="B445" i="31"/>
  <c r="B444" i="31"/>
  <c r="B443" i="31"/>
  <c r="B442" i="31"/>
  <c r="B441" i="31"/>
  <c r="B440" i="31"/>
  <c r="B439" i="31"/>
  <c r="B438" i="31"/>
  <c r="B437" i="31"/>
  <c r="B436" i="31"/>
  <c r="B435" i="31"/>
  <c r="B434" i="31"/>
  <c r="B433" i="31"/>
  <c r="B432" i="31"/>
  <c r="B431" i="31"/>
  <c r="B430" i="31"/>
  <c r="B429" i="31"/>
  <c r="B428" i="31"/>
  <c r="B427" i="31"/>
  <c r="B426" i="31"/>
  <c r="B425" i="31"/>
  <c r="B424" i="31"/>
  <c r="B423" i="31"/>
  <c r="B422" i="31"/>
  <c r="B421" i="31"/>
  <c r="B420" i="31"/>
  <c r="B419" i="31"/>
  <c r="B418" i="31"/>
  <c r="B417" i="31"/>
  <c r="B416" i="31"/>
  <c r="B415" i="31"/>
  <c r="B414" i="31"/>
  <c r="B413" i="31"/>
  <c r="B412" i="31"/>
  <c r="B411" i="31"/>
  <c r="B410" i="31"/>
  <c r="B409" i="31"/>
  <c r="B408" i="31"/>
  <c r="B407" i="31"/>
  <c r="B406" i="31"/>
  <c r="B405" i="31"/>
  <c r="B404" i="31"/>
  <c r="B403" i="31"/>
  <c r="B402" i="31"/>
  <c r="B401" i="31"/>
  <c r="B400" i="31"/>
  <c r="B399" i="31"/>
  <c r="B398" i="31"/>
  <c r="B397" i="31"/>
  <c r="B396" i="31"/>
  <c r="B395" i="31"/>
  <c r="B394" i="31"/>
  <c r="B393" i="31"/>
  <c r="B392" i="31"/>
  <c r="B391" i="31"/>
  <c r="B390" i="31"/>
  <c r="B389" i="31"/>
  <c r="B388" i="31"/>
  <c r="B387" i="31"/>
  <c r="B386" i="31"/>
  <c r="B385" i="31"/>
  <c r="B384" i="31"/>
  <c r="B383" i="31"/>
  <c r="B382" i="31"/>
  <c r="B381" i="31"/>
  <c r="B380" i="31"/>
  <c r="B379" i="31"/>
  <c r="B378" i="31"/>
  <c r="B377" i="31"/>
  <c r="B376" i="31"/>
  <c r="B375" i="31"/>
  <c r="B374" i="31"/>
  <c r="B373" i="31"/>
  <c r="B372" i="31"/>
  <c r="B371" i="31"/>
  <c r="B370" i="31"/>
  <c r="B369" i="31"/>
  <c r="B368" i="31"/>
  <c r="B367" i="31"/>
  <c r="B366" i="31"/>
  <c r="B365" i="31"/>
  <c r="B364" i="31"/>
  <c r="B363" i="31"/>
  <c r="B362" i="31"/>
  <c r="B361" i="31"/>
  <c r="B360" i="31"/>
  <c r="B359" i="31"/>
  <c r="B358" i="31"/>
  <c r="B357" i="31"/>
  <c r="B356" i="31"/>
  <c r="B355" i="31"/>
  <c r="B354" i="31"/>
  <c r="B353" i="31"/>
  <c r="B352" i="31"/>
  <c r="B351" i="31"/>
  <c r="B350" i="31"/>
  <c r="B349" i="31"/>
  <c r="B348" i="31"/>
  <c r="B347" i="31"/>
  <c r="B346" i="31"/>
  <c r="B345" i="31"/>
  <c r="B344" i="31"/>
  <c r="B343" i="31"/>
  <c r="B342" i="31"/>
  <c r="B341" i="31"/>
  <c r="B340" i="31"/>
  <c r="B339" i="31"/>
  <c r="B338" i="31"/>
  <c r="B337" i="31"/>
  <c r="B336" i="31"/>
  <c r="B335" i="31"/>
  <c r="B334" i="31"/>
  <c r="B333" i="31"/>
  <c r="B332" i="31"/>
  <c r="B331" i="31"/>
  <c r="B330" i="31"/>
  <c r="B329" i="31"/>
  <c r="B328" i="31"/>
  <c r="B327" i="31"/>
  <c r="B326" i="31"/>
  <c r="B325" i="31"/>
  <c r="B324" i="31"/>
  <c r="B323" i="31"/>
  <c r="B322" i="31"/>
  <c r="B321" i="31"/>
  <c r="B320" i="31"/>
  <c r="B319" i="31"/>
  <c r="B318" i="31"/>
  <c r="B317" i="31"/>
  <c r="B316" i="31"/>
  <c r="B315" i="31"/>
  <c r="B314" i="31"/>
  <c r="B313" i="31"/>
  <c r="B312" i="31"/>
  <c r="B311" i="31"/>
  <c r="B310" i="31"/>
  <c r="B309" i="31"/>
  <c r="B308" i="31"/>
  <c r="B307" i="31"/>
  <c r="B306" i="31"/>
  <c r="B305" i="31"/>
  <c r="B304" i="31"/>
  <c r="B303" i="31"/>
  <c r="B302" i="31"/>
  <c r="B301" i="31"/>
  <c r="B300" i="31"/>
  <c r="B299" i="31"/>
  <c r="B298" i="31"/>
  <c r="B297" i="31"/>
  <c r="B296" i="31"/>
  <c r="B295" i="31"/>
  <c r="B294" i="31"/>
  <c r="B293" i="31"/>
  <c r="B292" i="31"/>
  <c r="B291" i="31"/>
  <c r="B290" i="31"/>
  <c r="B289" i="31"/>
  <c r="B288" i="31"/>
  <c r="B287" i="31"/>
  <c r="B286" i="31"/>
  <c r="B285" i="31"/>
  <c r="B284" i="31"/>
  <c r="B283" i="31"/>
  <c r="B282" i="31"/>
  <c r="B281" i="31"/>
  <c r="B280" i="31"/>
  <c r="B279" i="31"/>
  <c r="B278" i="31"/>
  <c r="B277" i="31"/>
  <c r="B276" i="31"/>
  <c r="B275" i="31"/>
  <c r="B274" i="31"/>
  <c r="B273" i="31"/>
  <c r="B272" i="31"/>
  <c r="B271" i="31"/>
  <c r="B270" i="31"/>
  <c r="B269" i="31"/>
  <c r="B268" i="31"/>
  <c r="B267" i="31"/>
  <c r="B266" i="31"/>
  <c r="B265" i="31"/>
  <c r="B264" i="31"/>
  <c r="B263" i="31"/>
  <c r="B262" i="31"/>
  <c r="B261" i="31"/>
  <c r="B260" i="31"/>
  <c r="B259" i="31"/>
  <c r="B258" i="31"/>
  <c r="B257" i="31"/>
  <c r="B256" i="31"/>
  <c r="B255" i="31"/>
  <c r="B254" i="31"/>
  <c r="B253" i="31"/>
  <c r="B252" i="31"/>
  <c r="B251" i="31"/>
  <c r="B250" i="31"/>
  <c r="B249" i="31"/>
  <c r="B248" i="31"/>
  <c r="B247" i="31"/>
  <c r="B246" i="31"/>
  <c r="B245" i="31"/>
  <c r="B244" i="31"/>
  <c r="B243" i="31"/>
  <c r="B242" i="31"/>
  <c r="B241" i="31"/>
  <c r="B240" i="31"/>
  <c r="B239" i="31"/>
  <c r="B238" i="31"/>
  <c r="B237" i="31"/>
  <c r="B236" i="31"/>
  <c r="B235" i="31"/>
  <c r="B234" i="31"/>
  <c r="B233" i="31"/>
  <c r="B232" i="31"/>
  <c r="B231" i="31"/>
  <c r="B230" i="31"/>
  <c r="B229" i="31"/>
  <c r="B228" i="31"/>
  <c r="B227" i="31"/>
  <c r="B226" i="31"/>
  <c r="B225" i="31"/>
  <c r="B224" i="31"/>
  <c r="B223" i="31"/>
  <c r="B222" i="31"/>
  <c r="B221" i="31"/>
  <c r="B220" i="31"/>
  <c r="B219" i="31"/>
  <c r="B218" i="31"/>
  <c r="B217" i="31"/>
  <c r="B216" i="31"/>
  <c r="B215" i="31"/>
  <c r="B214" i="31"/>
  <c r="B213" i="31"/>
  <c r="B212" i="31"/>
  <c r="B211" i="31"/>
  <c r="B210" i="31"/>
  <c r="B209" i="31"/>
  <c r="B208" i="31"/>
  <c r="B207" i="31"/>
  <c r="B206" i="31"/>
  <c r="B205" i="31"/>
  <c r="B204" i="31"/>
  <c r="B203" i="31"/>
  <c r="B202" i="31"/>
  <c r="B201" i="31"/>
  <c r="B200" i="31"/>
  <c r="B199" i="31"/>
  <c r="B198" i="31"/>
  <c r="B197" i="31"/>
  <c r="B196" i="31"/>
  <c r="B195" i="31"/>
  <c r="B194" i="31"/>
  <c r="B193" i="31"/>
  <c r="B192" i="31"/>
  <c r="B191" i="31"/>
  <c r="B190" i="31"/>
  <c r="B189" i="31"/>
  <c r="B188" i="31"/>
  <c r="B187" i="31"/>
  <c r="B186" i="31"/>
  <c r="B185" i="31"/>
  <c r="B184" i="31"/>
  <c r="B183" i="31"/>
  <c r="B182" i="31"/>
  <c r="B181" i="31"/>
  <c r="B180" i="31"/>
  <c r="B179" i="31"/>
  <c r="B178" i="31"/>
  <c r="B177" i="31"/>
  <c r="B176" i="31"/>
  <c r="B175" i="31"/>
  <c r="B174" i="31"/>
  <c r="B173" i="31"/>
  <c r="B172" i="31"/>
  <c r="B171" i="31"/>
  <c r="B170" i="31"/>
  <c r="B169" i="31"/>
  <c r="B168" i="31"/>
  <c r="B167" i="31"/>
  <c r="B166" i="31"/>
  <c r="B165" i="31"/>
  <c r="B164" i="31"/>
  <c r="B163" i="31"/>
  <c r="B162" i="31"/>
  <c r="B161" i="31"/>
  <c r="B160" i="31"/>
  <c r="B159" i="31"/>
  <c r="B158" i="31"/>
  <c r="B157" i="31"/>
  <c r="B156" i="31"/>
  <c r="B155" i="31"/>
  <c r="B154" i="31"/>
  <c r="B153" i="31"/>
  <c r="B152" i="31"/>
  <c r="B151" i="31"/>
  <c r="B150" i="31"/>
  <c r="B149" i="31"/>
  <c r="B148" i="31"/>
  <c r="B147" i="31"/>
  <c r="B146" i="31"/>
  <c r="B145" i="31"/>
  <c r="B144" i="31"/>
  <c r="B143" i="31"/>
  <c r="B142" i="31"/>
  <c r="B141" i="31"/>
  <c r="B140" i="31"/>
  <c r="B139" i="31"/>
  <c r="B138" i="31"/>
  <c r="B137" i="31"/>
  <c r="B136" i="31"/>
  <c r="B135" i="31"/>
  <c r="B134" i="31"/>
  <c r="B133" i="31"/>
  <c r="B132" i="31"/>
  <c r="B131" i="31"/>
  <c r="B130" i="31"/>
  <c r="B129" i="31"/>
  <c r="B128" i="31"/>
  <c r="B127" i="31"/>
  <c r="B126" i="31"/>
  <c r="B125" i="31"/>
  <c r="B124" i="31"/>
  <c r="B123" i="31"/>
  <c r="B122" i="31"/>
  <c r="B121" i="31"/>
  <c r="B120" i="31"/>
  <c r="B119" i="31"/>
  <c r="B118" i="31"/>
  <c r="B117" i="31"/>
  <c r="B116" i="31"/>
  <c r="B115" i="31"/>
  <c r="B114" i="31"/>
  <c r="B113" i="31"/>
  <c r="B112" i="31"/>
  <c r="B111" i="31"/>
  <c r="B110" i="31"/>
  <c r="B109" i="31"/>
  <c r="B108" i="31"/>
  <c r="B107" i="31"/>
  <c r="B106" i="31"/>
  <c r="B105" i="31"/>
  <c r="B104" i="31"/>
  <c r="B103" i="31"/>
  <c r="B102" i="31"/>
  <c r="B101" i="31"/>
  <c r="B100" i="31"/>
  <c r="B99" i="31"/>
  <c r="B98" i="31"/>
  <c r="B97" i="31"/>
  <c r="B96" i="31"/>
  <c r="B95" i="31"/>
  <c r="B94" i="31"/>
  <c r="B93" i="31"/>
  <c r="B92" i="31"/>
  <c r="B91" i="31"/>
  <c r="B90" i="31"/>
  <c r="B89" i="31"/>
  <c r="B88" i="31"/>
  <c r="B87" i="31"/>
  <c r="B86" i="31"/>
  <c r="B85" i="31"/>
  <c r="B84" i="31"/>
  <c r="B83" i="31"/>
  <c r="B82" i="31"/>
  <c r="B81" i="31"/>
  <c r="B80" i="31"/>
  <c r="B79" i="31"/>
  <c r="B78" i="31"/>
  <c r="B77" i="31"/>
  <c r="B76" i="31"/>
  <c r="B75" i="31"/>
  <c r="B74" i="31"/>
  <c r="B73" i="31"/>
  <c r="B72" i="31"/>
  <c r="B71" i="31"/>
  <c r="B70" i="31"/>
  <c r="B69" i="31"/>
  <c r="B68" i="31"/>
  <c r="B67" i="31"/>
  <c r="B66" i="31"/>
  <c r="B65" i="31"/>
  <c r="B64" i="31"/>
  <c r="B63" i="31"/>
  <c r="B62" i="31"/>
  <c r="B61" i="31"/>
  <c r="B60" i="31"/>
  <c r="B59" i="31"/>
  <c r="B58" i="31"/>
  <c r="B57" i="31"/>
  <c r="B56" i="31"/>
  <c r="B55" i="31"/>
  <c r="B54" i="31"/>
  <c r="B53" i="31"/>
  <c r="B52" i="31"/>
  <c r="B51" i="31"/>
  <c r="B50" i="31"/>
  <c r="B49" i="31"/>
  <c r="B48" i="31"/>
  <c r="B47" i="31"/>
  <c r="B46" i="31"/>
  <c r="B45" i="31"/>
  <c r="B44" i="31"/>
  <c r="B43" i="31"/>
  <c r="B42" i="31"/>
  <c r="B41" i="31"/>
  <c r="B40" i="31"/>
  <c r="B39" i="31"/>
  <c r="B38" i="31"/>
  <c r="B37" i="31"/>
  <c r="B36" i="31"/>
  <c r="B35" i="31"/>
  <c r="B34" i="31"/>
  <c r="B33" i="31"/>
  <c r="B32" i="31"/>
  <c r="B31" i="31"/>
  <c r="B30" i="31"/>
  <c r="B29" i="31"/>
  <c r="B28" i="31"/>
  <c r="B27" i="31"/>
  <c r="B26" i="31"/>
  <c r="B25" i="31"/>
  <c r="B24" i="31"/>
  <c r="B23" i="31"/>
  <c r="B22" i="31"/>
  <c r="B21" i="31"/>
  <c r="B20" i="31"/>
  <c r="B19" i="31"/>
  <c r="B18" i="31"/>
  <c r="B17" i="31"/>
  <c r="B16" i="31"/>
  <c r="B15" i="31"/>
  <c r="B14" i="31"/>
  <c r="B13" i="31"/>
  <c r="B12" i="31"/>
  <c r="B11" i="31"/>
  <c r="B10" i="31"/>
  <c r="B9" i="31"/>
  <c r="B8" i="31"/>
  <c r="B7" i="31"/>
  <c r="B6" i="31"/>
  <c r="B5" i="31"/>
  <c r="B4" i="31"/>
  <c r="B3" i="31"/>
  <c r="B2" i="31"/>
  <c r="B1000" i="30"/>
  <c r="B999" i="30"/>
  <c r="B998" i="30"/>
  <c r="B997" i="30"/>
  <c r="B996" i="30"/>
  <c r="B995" i="30"/>
  <c r="B994" i="30"/>
  <c r="B993" i="30"/>
  <c r="B992" i="30"/>
  <c r="B991" i="30"/>
  <c r="B990" i="30"/>
  <c r="B989" i="30"/>
  <c r="B988" i="30"/>
  <c r="B987" i="30"/>
  <c r="B986" i="30"/>
  <c r="B985" i="30"/>
  <c r="B984" i="30"/>
  <c r="B983" i="30"/>
  <c r="B982" i="30"/>
  <c r="B981" i="30"/>
  <c r="B980" i="30"/>
  <c r="B979" i="30"/>
  <c r="B978" i="30"/>
  <c r="B977" i="30"/>
  <c r="B976" i="30"/>
  <c r="B975" i="30"/>
  <c r="B974" i="30"/>
  <c r="B973" i="30"/>
  <c r="B972" i="30"/>
  <c r="B971" i="30"/>
  <c r="B970" i="30"/>
  <c r="B969" i="30"/>
  <c r="B968" i="30"/>
  <c r="B967" i="30"/>
  <c r="B966" i="30"/>
  <c r="B965" i="30"/>
  <c r="B964" i="30"/>
  <c r="B963" i="30"/>
  <c r="B962" i="30"/>
  <c r="B961" i="30"/>
  <c r="B960" i="30"/>
  <c r="B959" i="30"/>
  <c r="B958" i="30"/>
  <c r="B957" i="30"/>
  <c r="B956" i="30"/>
  <c r="B955" i="30"/>
  <c r="B954" i="30"/>
  <c r="B953" i="30"/>
  <c r="B952" i="30"/>
  <c r="B951" i="30"/>
  <c r="B950" i="30"/>
  <c r="B949" i="30"/>
  <c r="B948" i="30"/>
  <c r="B947" i="30"/>
  <c r="B946" i="30"/>
  <c r="B945" i="30"/>
  <c r="B944" i="30"/>
  <c r="B943" i="30"/>
  <c r="B942" i="30"/>
  <c r="B941" i="30"/>
  <c r="B940" i="30"/>
  <c r="B939" i="30"/>
  <c r="B938" i="30"/>
  <c r="B937" i="30"/>
  <c r="B936" i="30"/>
  <c r="B935" i="30"/>
  <c r="B934" i="30"/>
  <c r="B933" i="30"/>
  <c r="B932" i="30"/>
  <c r="B931" i="30"/>
  <c r="B930" i="30"/>
  <c r="B929" i="30"/>
  <c r="B928" i="30"/>
  <c r="B927" i="30"/>
  <c r="B926" i="30"/>
  <c r="B925" i="30"/>
  <c r="B924" i="30"/>
  <c r="B923" i="30"/>
  <c r="B922" i="30"/>
  <c r="B921" i="30"/>
  <c r="B920" i="30"/>
  <c r="B919" i="30"/>
  <c r="B918" i="30"/>
  <c r="B917" i="30"/>
  <c r="B916" i="30"/>
  <c r="B915" i="30"/>
  <c r="B914" i="30"/>
  <c r="B913" i="30"/>
  <c r="B912" i="30"/>
  <c r="B911" i="30"/>
  <c r="B910" i="30"/>
  <c r="B909" i="30"/>
  <c r="B908" i="30"/>
  <c r="B907" i="30"/>
  <c r="B906" i="30"/>
  <c r="B905" i="30"/>
  <c r="B904" i="30"/>
  <c r="B903" i="30"/>
  <c r="B902" i="30"/>
  <c r="B901" i="30"/>
  <c r="B900" i="30"/>
  <c r="B899" i="30"/>
  <c r="B898" i="30"/>
  <c r="B897" i="30"/>
  <c r="B896" i="30"/>
  <c r="B895" i="30"/>
  <c r="B894" i="30"/>
  <c r="B893" i="30"/>
  <c r="B892" i="30"/>
  <c r="B891" i="30"/>
  <c r="B890" i="30"/>
  <c r="B889" i="30"/>
  <c r="B888" i="30"/>
  <c r="B887" i="30"/>
  <c r="B886" i="30"/>
  <c r="B885" i="30"/>
  <c r="B884" i="30"/>
  <c r="B883" i="30"/>
  <c r="B882" i="30"/>
  <c r="B881" i="30"/>
  <c r="B880" i="30"/>
  <c r="B879" i="30"/>
  <c r="B878" i="30"/>
  <c r="B877" i="30"/>
  <c r="B876" i="30"/>
  <c r="B875" i="30"/>
  <c r="B874" i="30"/>
  <c r="B873" i="30"/>
  <c r="B872" i="30"/>
  <c r="B871" i="30"/>
  <c r="B870" i="30"/>
  <c r="B869" i="30"/>
  <c r="B868" i="30"/>
  <c r="B867" i="30"/>
  <c r="B866" i="30"/>
  <c r="B865" i="30"/>
  <c r="B864" i="30"/>
  <c r="B863" i="30"/>
  <c r="B862" i="30"/>
  <c r="B861" i="30"/>
  <c r="B860" i="30"/>
  <c r="B859" i="30"/>
  <c r="B858" i="30"/>
  <c r="B857" i="30"/>
  <c r="B856" i="30"/>
  <c r="B855" i="30"/>
  <c r="B854" i="30"/>
  <c r="B853" i="30"/>
  <c r="B852" i="30"/>
  <c r="B851" i="30"/>
  <c r="B850" i="30"/>
  <c r="B849" i="30"/>
  <c r="B848" i="30"/>
  <c r="B847" i="30"/>
  <c r="B846" i="30"/>
  <c r="B845" i="30"/>
  <c r="B844" i="30"/>
  <c r="B843" i="30"/>
  <c r="B842" i="30"/>
  <c r="B841" i="30"/>
  <c r="B840" i="30"/>
  <c r="B839" i="30"/>
  <c r="B838" i="30"/>
  <c r="B837" i="30"/>
  <c r="B836" i="30"/>
  <c r="B835" i="30"/>
  <c r="B834" i="30"/>
  <c r="B833" i="30"/>
  <c r="B832" i="30"/>
  <c r="B831" i="30"/>
  <c r="B830" i="30"/>
  <c r="B829" i="30"/>
  <c r="B828" i="30"/>
  <c r="B827" i="30"/>
  <c r="B826" i="30"/>
  <c r="B825" i="30"/>
  <c r="B824" i="30"/>
  <c r="B823" i="30"/>
  <c r="B822" i="30"/>
  <c r="B821" i="30"/>
  <c r="B820" i="30"/>
  <c r="B819" i="30"/>
  <c r="B818" i="30"/>
  <c r="B817" i="30"/>
  <c r="B816" i="30"/>
  <c r="B815" i="30"/>
  <c r="B814" i="30"/>
  <c r="B813" i="30"/>
  <c r="B812" i="30"/>
  <c r="B811" i="30"/>
  <c r="B810" i="30"/>
  <c r="B809" i="30"/>
  <c r="B808" i="30"/>
  <c r="B807" i="30"/>
  <c r="B806" i="30"/>
  <c r="B805" i="30"/>
  <c r="B804" i="30"/>
  <c r="B803" i="30"/>
  <c r="B802" i="30"/>
  <c r="B801" i="30"/>
  <c r="B800" i="30"/>
  <c r="B799" i="30"/>
  <c r="B798" i="30"/>
  <c r="B797" i="30"/>
  <c r="B796" i="30"/>
  <c r="B795" i="30"/>
  <c r="B794" i="30"/>
  <c r="B793" i="30"/>
  <c r="B792" i="30"/>
  <c r="B791" i="30"/>
  <c r="B790" i="30"/>
  <c r="B789" i="30"/>
  <c r="B788" i="30"/>
  <c r="B787" i="30"/>
  <c r="B786" i="30"/>
  <c r="B785" i="30"/>
  <c r="B784" i="30"/>
  <c r="B783" i="30"/>
  <c r="B782" i="30"/>
  <c r="B781" i="30"/>
  <c r="B780" i="30"/>
  <c r="B779" i="30"/>
  <c r="B778" i="30"/>
  <c r="B777" i="30"/>
  <c r="B776" i="30"/>
  <c r="B775" i="30"/>
  <c r="B774" i="30"/>
  <c r="B773" i="30"/>
  <c r="B772" i="30"/>
  <c r="B771" i="30"/>
  <c r="B770" i="30"/>
  <c r="B769" i="30"/>
  <c r="B768" i="30"/>
  <c r="B767" i="30"/>
  <c r="B766" i="30"/>
  <c r="B765" i="30"/>
  <c r="B764" i="30"/>
  <c r="B763" i="30"/>
  <c r="B762" i="30"/>
  <c r="B761" i="30"/>
  <c r="B760" i="30"/>
  <c r="B759" i="30"/>
  <c r="B758" i="30"/>
  <c r="B757" i="30"/>
  <c r="B756" i="30"/>
  <c r="B755" i="30"/>
  <c r="B754" i="30"/>
  <c r="B753" i="30"/>
  <c r="B752" i="30"/>
  <c r="B751" i="30"/>
  <c r="B750" i="30"/>
  <c r="B749" i="30"/>
  <c r="B748" i="30"/>
  <c r="B747" i="30"/>
  <c r="B746" i="30"/>
  <c r="B745" i="30"/>
  <c r="B744" i="30"/>
  <c r="B743" i="30"/>
  <c r="B742" i="30"/>
  <c r="B741" i="30"/>
  <c r="B740" i="30"/>
  <c r="B739" i="30"/>
  <c r="B738" i="30"/>
  <c r="B737" i="30"/>
  <c r="B736" i="30"/>
  <c r="B735" i="30"/>
  <c r="B734" i="30"/>
  <c r="B733" i="30"/>
  <c r="B732" i="30"/>
  <c r="B731" i="30"/>
  <c r="B730" i="30"/>
  <c r="B729" i="30"/>
  <c r="B728" i="30"/>
  <c r="B727" i="30"/>
  <c r="B726" i="30"/>
  <c r="B725" i="30"/>
  <c r="B724" i="30"/>
  <c r="B723" i="30"/>
  <c r="B722" i="30"/>
  <c r="B721" i="30"/>
  <c r="B720" i="30"/>
  <c r="B719" i="30"/>
  <c r="B718" i="30"/>
  <c r="B717" i="30"/>
  <c r="B716" i="30"/>
  <c r="B715" i="30"/>
  <c r="B714" i="30"/>
  <c r="B713" i="30"/>
  <c r="B712" i="30"/>
  <c r="B711" i="30"/>
  <c r="B710" i="30"/>
  <c r="B709" i="30"/>
  <c r="B708" i="30"/>
  <c r="B707" i="30"/>
  <c r="B706" i="30"/>
  <c r="B705" i="30"/>
  <c r="B704" i="30"/>
  <c r="B703" i="30"/>
  <c r="B702" i="30"/>
  <c r="B701" i="30"/>
  <c r="B700" i="30"/>
  <c r="B699" i="30"/>
  <c r="B698" i="30"/>
  <c r="B697" i="30"/>
  <c r="B696" i="30"/>
  <c r="B695" i="30"/>
  <c r="B694" i="30"/>
  <c r="B693" i="30"/>
  <c r="B692" i="30"/>
  <c r="B691" i="30"/>
  <c r="B690" i="30"/>
  <c r="B689" i="30"/>
  <c r="B688" i="30"/>
  <c r="B687" i="30"/>
  <c r="B686" i="30"/>
  <c r="B685" i="30"/>
  <c r="B684" i="30"/>
  <c r="B683" i="30"/>
  <c r="B682" i="30"/>
  <c r="B681" i="30"/>
  <c r="B680" i="30"/>
  <c r="B679" i="30"/>
  <c r="B678" i="30"/>
  <c r="B677" i="30"/>
  <c r="B676" i="30"/>
  <c r="B675" i="30"/>
  <c r="B674" i="30"/>
  <c r="B673" i="30"/>
  <c r="B672" i="30"/>
  <c r="B671" i="30"/>
  <c r="B670" i="30"/>
  <c r="B669" i="30"/>
  <c r="B668" i="30"/>
  <c r="B667" i="30"/>
  <c r="B666" i="30"/>
  <c r="B665" i="30"/>
  <c r="B664" i="30"/>
  <c r="B663" i="30"/>
  <c r="B662" i="30"/>
  <c r="B661" i="30"/>
  <c r="B660" i="30"/>
  <c r="B659" i="30"/>
  <c r="B658" i="30"/>
  <c r="B657" i="30"/>
  <c r="B656" i="30"/>
  <c r="B655" i="30"/>
  <c r="B654" i="30"/>
  <c r="B653" i="30"/>
  <c r="B652" i="30"/>
  <c r="B651" i="30"/>
  <c r="B650" i="30"/>
  <c r="B649" i="30"/>
  <c r="B648" i="30"/>
  <c r="B647" i="30"/>
  <c r="B646" i="30"/>
  <c r="B645" i="30"/>
  <c r="B644" i="30"/>
  <c r="B643" i="30"/>
  <c r="B642" i="30"/>
  <c r="B641" i="30"/>
  <c r="B640" i="30"/>
  <c r="B639" i="30"/>
  <c r="B638" i="30"/>
  <c r="B637" i="30"/>
  <c r="B636" i="30"/>
  <c r="B635" i="30"/>
  <c r="B634" i="30"/>
  <c r="B633" i="30"/>
  <c r="B632" i="30"/>
  <c r="B631" i="30"/>
  <c r="B630" i="30"/>
  <c r="B629" i="30"/>
  <c r="B628" i="30"/>
  <c r="B627" i="30"/>
  <c r="B626" i="30"/>
  <c r="B625" i="30"/>
  <c r="B624" i="30"/>
  <c r="B623" i="30"/>
  <c r="B622" i="30"/>
  <c r="B621" i="30"/>
  <c r="B620" i="30"/>
  <c r="B619" i="30"/>
  <c r="B618" i="30"/>
  <c r="B617" i="30"/>
  <c r="B616" i="30"/>
  <c r="B615" i="30"/>
  <c r="B614" i="30"/>
  <c r="B613" i="30"/>
  <c r="B612" i="30"/>
  <c r="B611" i="30"/>
  <c r="B610" i="30"/>
  <c r="B609" i="30"/>
  <c r="B608" i="30"/>
  <c r="B607" i="30"/>
  <c r="B606" i="30"/>
  <c r="B605" i="30"/>
  <c r="B604" i="30"/>
  <c r="B603" i="30"/>
  <c r="B602" i="30"/>
  <c r="B601" i="30"/>
  <c r="B600" i="30"/>
  <c r="B599" i="30"/>
  <c r="B598" i="30"/>
  <c r="B597" i="30"/>
  <c r="B596" i="30"/>
  <c r="B595" i="30"/>
  <c r="B594" i="30"/>
  <c r="B593" i="30"/>
  <c r="B592" i="30"/>
  <c r="B591" i="30"/>
  <c r="B590" i="30"/>
  <c r="B589" i="30"/>
  <c r="B588" i="30"/>
  <c r="B587" i="30"/>
  <c r="B586" i="30"/>
  <c r="B585" i="30"/>
  <c r="B584" i="30"/>
  <c r="B583" i="30"/>
  <c r="B582" i="30"/>
  <c r="B581" i="30"/>
  <c r="B580" i="30"/>
  <c r="B579" i="30"/>
  <c r="B578" i="30"/>
  <c r="B577" i="30"/>
  <c r="B576" i="30"/>
  <c r="B575" i="30"/>
  <c r="B574" i="30"/>
  <c r="B573" i="30"/>
  <c r="B572" i="30"/>
  <c r="B571" i="30"/>
  <c r="B570" i="30"/>
  <c r="B569" i="30"/>
  <c r="B568" i="30"/>
  <c r="B567" i="30"/>
  <c r="B566" i="30"/>
  <c r="B565" i="30"/>
  <c r="B564" i="30"/>
  <c r="B563" i="30"/>
  <c r="B562" i="30"/>
  <c r="B561" i="30"/>
  <c r="B560" i="30"/>
  <c r="B559" i="30"/>
  <c r="B558" i="30"/>
  <c r="B557" i="30"/>
  <c r="B556" i="30"/>
  <c r="B555" i="30"/>
  <c r="B554" i="30"/>
  <c r="B553" i="30"/>
  <c r="B552" i="30"/>
  <c r="B551" i="30"/>
  <c r="B550" i="30"/>
  <c r="B549" i="30"/>
  <c r="B548" i="30"/>
  <c r="B547" i="30"/>
  <c r="B546" i="30"/>
  <c r="B545" i="30"/>
  <c r="B544" i="30"/>
  <c r="B543" i="30"/>
  <c r="B542" i="30"/>
  <c r="B541" i="30"/>
  <c r="B540" i="30"/>
  <c r="B539" i="30"/>
  <c r="B538" i="30"/>
  <c r="B537" i="30"/>
  <c r="B536" i="30"/>
  <c r="B535" i="30"/>
  <c r="B534" i="30"/>
  <c r="B533" i="30"/>
  <c r="B532" i="30"/>
  <c r="B531" i="30"/>
  <c r="B530" i="30"/>
  <c r="B529" i="30"/>
  <c r="B528" i="30"/>
  <c r="B527" i="30"/>
  <c r="B526" i="30"/>
  <c r="B525" i="30"/>
  <c r="B524" i="30"/>
  <c r="B523" i="30"/>
  <c r="B522" i="30"/>
  <c r="B521" i="30"/>
  <c r="B520" i="30"/>
  <c r="B519" i="30"/>
  <c r="B518" i="30"/>
  <c r="B517" i="30"/>
  <c r="B516" i="30"/>
  <c r="B515" i="30"/>
  <c r="B514" i="30"/>
  <c r="B513" i="30"/>
  <c r="B512" i="30"/>
  <c r="B511" i="30"/>
  <c r="B510" i="30"/>
  <c r="B509" i="30"/>
  <c r="B508" i="30"/>
  <c r="B507" i="30"/>
  <c r="B506" i="30"/>
  <c r="B505" i="30"/>
  <c r="B504" i="30"/>
  <c r="B503" i="30"/>
  <c r="B502" i="30"/>
  <c r="B501" i="30"/>
  <c r="B500" i="30"/>
  <c r="B499" i="30"/>
  <c r="B498" i="30"/>
  <c r="B497" i="30"/>
  <c r="B496" i="30"/>
  <c r="B495" i="30"/>
  <c r="B494" i="30"/>
  <c r="B493" i="30"/>
  <c r="B492" i="30"/>
  <c r="B491" i="30"/>
  <c r="B490" i="30"/>
  <c r="B489" i="30"/>
  <c r="B488" i="30"/>
  <c r="B487" i="30"/>
  <c r="B486" i="30"/>
  <c r="B485" i="30"/>
  <c r="B484" i="30"/>
  <c r="B483" i="30"/>
  <c r="B482" i="30"/>
  <c r="B481" i="30"/>
  <c r="B480" i="30"/>
  <c r="B479" i="30"/>
  <c r="B478" i="30"/>
  <c r="B477" i="30"/>
  <c r="B476" i="30"/>
  <c r="B475" i="30"/>
  <c r="B474" i="30"/>
  <c r="B473" i="30"/>
  <c r="B472" i="30"/>
  <c r="B471" i="30"/>
  <c r="B470" i="30"/>
  <c r="B469" i="30"/>
  <c r="B468" i="30"/>
  <c r="B467" i="30"/>
  <c r="B466" i="30"/>
  <c r="B465" i="30"/>
  <c r="B464" i="30"/>
  <c r="B463" i="30"/>
  <c r="B462" i="30"/>
  <c r="B461" i="30"/>
  <c r="B460" i="30"/>
  <c r="B459" i="30"/>
  <c r="B458" i="30"/>
  <c r="B457" i="30"/>
  <c r="B456" i="30"/>
  <c r="B455" i="30"/>
  <c r="B454" i="30"/>
  <c r="B453" i="30"/>
  <c r="B452" i="30"/>
  <c r="B451" i="30"/>
  <c r="B450" i="30"/>
  <c r="B449" i="30"/>
  <c r="B448" i="30"/>
  <c r="B447" i="30"/>
  <c r="B446" i="30"/>
  <c r="B445" i="30"/>
  <c r="B444" i="30"/>
  <c r="B443" i="30"/>
  <c r="B442" i="30"/>
  <c r="B441" i="30"/>
  <c r="B440" i="30"/>
  <c r="B439" i="30"/>
  <c r="B438" i="30"/>
  <c r="B437" i="30"/>
  <c r="B436" i="30"/>
  <c r="B435" i="30"/>
  <c r="B434" i="30"/>
  <c r="B433" i="30"/>
  <c r="B432" i="30"/>
  <c r="B431" i="30"/>
  <c r="B430" i="30"/>
  <c r="B429" i="30"/>
  <c r="B428" i="30"/>
  <c r="B427" i="30"/>
  <c r="B426" i="30"/>
  <c r="B425" i="30"/>
  <c r="B424" i="30"/>
  <c r="B423" i="30"/>
  <c r="B422" i="30"/>
  <c r="B421" i="30"/>
  <c r="B420" i="30"/>
  <c r="B419" i="30"/>
  <c r="B418" i="30"/>
  <c r="B417" i="30"/>
  <c r="B416" i="30"/>
  <c r="B415" i="30"/>
  <c r="B414" i="30"/>
  <c r="B413" i="30"/>
  <c r="B412" i="30"/>
  <c r="B411" i="30"/>
  <c r="B410" i="30"/>
  <c r="B409" i="30"/>
  <c r="B408" i="30"/>
  <c r="B407" i="30"/>
  <c r="B406" i="30"/>
  <c r="B405" i="30"/>
  <c r="B404" i="30"/>
  <c r="B403" i="30"/>
  <c r="B402" i="30"/>
  <c r="B401" i="30"/>
  <c r="B400" i="30"/>
  <c r="B399" i="30"/>
  <c r="B398" i="30"/>
  <c r="B397" i="30"/>
  <c r="B396" i="30"/>
  <c r="B395" i="30"/>
  <c r="B394" i="30"/>
  <c r="B393" i="30"/>
  <c r="B392" i="30"/>
  <c r="B391" i="30"/>
  <c r="B390" i="30"/>
  <c r="B389" i="30"/>
  <c r="B388" i="30"/>
  <c r="B387" i="30"/>
  <c r="B386" i="30"/>
  <c r="B385" i="30"/>
  <c r="B384" i="30"/>
  <c r="B383" i="30"/>
  <c r="B382" i="30"/>
  <c r="B381" i="30"/>
  <c r="B380" i="30"/>
  <c r="B379" i="30"/>
  <c r="B378" i="30"/>
  <c r="B377" i="30"/>
  <c r="B376" i="30"/>
  <c r="B375" i="30"/>
  <c r="B374" i="30"/>
  <c r="B373" i="30"/>
  <c r="B372" i="30"/>
  <c r="B371" i="30"/>
  <c r="B370" i="30"/>
  <c r="B369" i="30"/>
  <c r="B368" i="30"/>
  <c r="B367" i="30"/>
  <c r="B366" i="30"/>
  <c r="B365" i="30"/>
  <c r="B364" i="30"/>
  <c r="B363" i="30"/>
  <c r="B362" i="30"/>
  <c r="B361" i="30"/>
  <c r="B360" i="30"/>
  <c r="B359" i="30"/>
  <c r="B358" i="30"/>
  <c r="B357" i="30"/>
  <c r="B356" i="30"/>
  <c r="B355" i="30"/>
  <c r="B354" i="30"/>
  <c r="B353" i="30"/>
  <c r="B352" i="30"/>
  <c r="B351" i="30"/>
  <c r="B350" i="30"/>
  <c r="B349" i="30"/>
  <c r="B348" i="30"/>
  <c r="B347" i="30"/>
  <c r="B346" i="30"/>
  <c r="B345" i="30"/>
  <c r="B344" i="30"/>
  <c r="B343" i="30"/>
  <c r="B342" i="30"/>
  <c r="B341" i="30"/>
  <c r="B340" i="30"/>
  <c r="B339" i="30"/>
  <c r="B338" i="30"/>
  <c r="B337" i="30"/>
  <c r="B336" i="30"/>
  <c r="B335" i="30"/>
  <c r="B334" i="30"/>
  <c r="B333" i="30"/>
  <c r="B332" i="30"/>
  <c r="B331" i="30"/>
  <c r="B330" i="30"/>
  <c r="B329" i="30"/>
  <c r="B328" i="30"/>
  <c r="B327" i="30"/>
  <c r="B326" i="30"/>
  <c r="B325" i="30"/>
  <c r="B324" i="30"/>
  <c r="B323" i="30"/>
  <c r="B322" i="30"/>
  <c r="B321" i="30"/>
  <c r="B320" i="30"/>
  <c r="B319" i="30"/>
  <c r="B318" i="30"/>
  <c r="B317" i="30"/>
  <c r="B316" i="30"/>
  <c r="B315" i="30"/>
  <c r="B314" i="30"/>
  <c r="B313" i="30"/>
  <c r="B312" i="30"/>
  <c r="B311" i="30"/>
  <c r="B310" i="30"/>
  <c r="B309" i="30"/>
  <c r="B308" i="30"/>
  <c r="B307" i="30"/>
  <c r="B306" i="30"/>
  <c r="B305" i="30"/>
  <c r="B304" i="30"/>
  <c r="B303" i="30"/>
  <c r="B302" i="30"/>
  <c r="B301" i="30"/>
  <c r="B300" i="30"/>
  <c r="B299" i="30"/>
  <c r="B298" i="30"/>
  <c r="B297" i="30"/>
  <c r="B296" i="30"/>
  <c r="B295" i="30"/>
  <c r="B294" i="30"/>
  <c r="B293" i="30"/>
  <c r="B292" i="30"/>
  <c r="B291" i="30"/>
  <c r="B290" i="30"/>
  <c r="B289" i="30"/>
  <c r="B288" i="30"/>
  <c r="B287" i="30"/>
  <c r="B286" i="30"/>
  <c r="B285" i="30"/>
  <c r="B284" i="30"/>
  <c r="B283" i="30"/>
  <c r="B282" i="30"/>
  <c r="B281" i="30"/>
  <c r="B280" i="30"/>
  <c r="B279" i="30"/>
  <c r="B278" i="30"/>
  <c r="B277" i="30"/>
  <c r="B276" i="30"/>
  <c r="B275" i="30"/>
  <c r="B274" i="30"/>
  <c r="B273" i="30"/>
  <c r="B272" i="30"/>
  <c r="B271" i="30"/>
  <c r="B270" i="30"/>
  <c r="B269" i="30"/>
  <c r="B268" i="30"/>
  <c r="B267" i="30"/>
  <c r="B266" i="30"/>
  <c r="B265" i="30"/>
  <c r="B264" i="30"/>
  <c r="B263" i="30"/>
  <c r="B262" i="30"/>
  <c r="B261" i="30"/>
  <c r="B260" i="30"/>
  <c r="B259" i="30"/>
  <c r="B258" i="30"/>
  <c r="B257" i="30"/>
  <c r="B256" i="30"/>
  <c r="B255" i="30"/>
  <c r="B254" i="30"/>
  <c r="B253" i="30"/>
  <c r="B252" i="30"/>
  <c r="B251" i="30"/>
  <c r="B250" i="30"/>
  <c r="B249" i="30"/>
  <c r="B248" i="30"/>
  <c r="B247" i="30"/>
  <c r="B246" i="30"/>
  <c r="B245" i="30"/>
  <c r="B244" i="30"/>
  <c r="B243" i="30"/>
  <c r="B242" i="30"/>
  <c r="B241" i="30"/>
  <c r="B240" i="30"/>
  <c r="B239" i="30"/>
  <c r="B238" i="30"/>
  <c r="B237" i="30"/>
  <c r="B236" i="30"/>
  <c r="B235" i="30"/>
  <c r="B234" i="30"/>
  <c r="B233" i="30"/>
  <c r="B232" i="30"/>
  <c r="B231" i="30"/>
  <c r="B230" i="30"/>
  <c r="B229" i="30"/>
  <c r="B228" i="30"/>
  <c r="B227" i="30"/>
  <c r="B226" i="30"/>
  <c r="B225" i="30"/>
  <c r="B224" i="30"/>
  <c r="B223" i="30"/>
  <c r="B222" i="30"/>
  <c r="B221" i="30"/>
  <c r="B220" i="30"/>
  <c r="B219" i="30"/>
  <c r="B218" i="30"/>
  <c r="B217" i="30"/>
  <c r="B216" i="30"/>
  <c r="B215" i="30"/>
  <c r="B214" i="30"/>
  <c r="B213" i="30"/>
  <c r="B212" i="30"/>
  <c r="B211" i="30"/>
  <c r="B210" i="30"/>
  <c r="B209" i="30"/>
  <c r="B208" i="30"/>
  <c r="B207" i="30"/>
  <c r="B206" i="30"/>
  <c r="B205" i="30"/>
  <c r="B204" i="30"/>
  <c r="B203" i="30"/>
  <c r="B202" i="30"/>
  <c r="B201" i="30"/>
  <c r="B200" i="30"/>
  <c r="B199" i="30"/>
  <c r="B198" i="30"/>
  <c r="B197" i="30"/>
  <c r="B196" i="30"/>
  <c r="B195" i="30"/>
  <c r="B194" i="30"/>
  <c r="B193" i="30"/>
  <c r="B192" i="30"/>
  <c r="B191" i="30"/>
  <c r="B190" i="30"/>
  <c r="B189" i="30"/>
  <c r="B188" i="30"/>
  <c r="B187" i="30"/>
  <c r="B186" i="30"/>
  <c r="B185" i="30"/>
  <c r="B184" i="30"/>
  <c r="B183" i="30"/>
  <c r="B182" i="30"/>
  <c r="B181" i="30"/>
  <c r="B180" i="30"/>
  <c r="B179" i="30"/>
  <c r="B178" i="30"/>
  <c r="B177" i="30"/>
  <c r="B176" i="30"/>
  <c r="B175" i="30"/>
  <c r="B174" i="30"/>
  <c r="B173" i="30"/>
  <c r="B172" i="30"/>
  <c r="B171" i="30"/>
  <c r="B170" i="30"/>
  <c r="B169" i="30"/>
  <c r="B168" i="30"/>
  <c r="B167" i="30"/>
  <c r="B166" i="30"/>
  <c r="B165" i="30"/>
  <c r="B164" i="30"/>
  <c r="B163" i="30"/>
  <c r="B162" i="30"/>
  <c r="B161" i="30"/>
  <c r="B160" i="30"/>
  <c r="B159" i="30"/>
  <c r="B158" i="30"/>
  <c r="B157" i="30"/>
  <c r="B156" i="30"/>
  <c r="B155" i="30"/>
  <c r="B154" i="30"/>
  <c r="B153" i="30"/>
  <c r="B152" i="30"/>
  <c r="B151" i="30"/>
  <c r="B150" i="30"/>
  <c r="B149" i="30"/>
  <c r="B148" i="30"/>
  <c r="B147" i="30"/>
  <c r="B146" i="30"/>
  <c r="B145" i="30"/>
  <c r="B144" i="30"/>
  <c r="B143" i="30"/>
  <c r="B142" i="30"/>
  <c r="B141" i="30"/>
  <c r="B140" i="30"/>
  <c r="B139" i="30"/>
  <c r="B138" i="30"/>
  <c r="B137" i="30"/>
  <c r="B136" i="30"/>
  <c r="B135" i="30"/>
  <c r="B134" i="30"/>
  <c r="B133" i="30"/>
  <c r="B132" i="30"/>
  <c r="B131" i="30"/>
  <c r="B130" i="30"/>
  <c r="B129" i="30"/>
  <c r="B128" i="30"/>
  <c r="B127" i="30"/>
  <c r="B126" i="30"/>
  <c r="B125" i="30"/>
  <c r="B124" i="30"/>
  <c r="B123" i="30"/>
  <c r="B122" i="30"/>
  <c r="B121" i="30"/>
  <c r="B120" i="30"/>
  <c r="B119" i="30"/>
  <c r="B118" i="30"/>
  <c r="B117" i="30"/>
  <c r="B116" i="30"/>
  <c r="B115" i="30"/>
  <c r="B114" i="30"/>
  <c r="B113" i="30"/>
  <c r="B112" i="30"/>
  <c r="B111" i="30"/>
  <c r="B110" i="30"/>
  <c r="B109" i="30"/>
  <c r="B108" i="30"/>
  <c r="B107" i="30"/>
  <c r="B106" i="30"/>
  <c r="B105" i="30"/>
  <c r="B104" i="30"/>
  <c r="B103" i="30"/>
  <c r="B102" i="30"/>
  <c r="B101" i="30"/>
  <c r="B100" i="30"/>
  <c r="B99" i="30"/>
  <c r="B98" i="30"/>
  <c r="B97" i="30"/>
  <c r="B96" i="30"/>
  <c r="B95" i="30"/>
  <c r="B94" i="30"/>
  <c r="B93" i="30"/>
  <c r="B92" i="30"/>
  <c r="B91" i="30"/>
  <c r="B90" i="30"/>
  <c r="B89" i="30"/>
  <c r="B88" i="30"/>
  <c r="B87" i="30"/>
  <c r="B86" i="30"/>
  <c r="B85" i="30"/>
  <c r="B84" i="30"/>
  <c r="B83" i="30"/>
  <c r="B82" i="30"/>
  <c r="B81" i="30"/>
  <c r="B80" i="30"/>
  <c r="B79" i="30"/>
  <c r="B78" i="30"/>
  <c r="B77" i="30"/>
  <c r="B76" i="30"/>
  <c r="B75" i="30"/>
  <c r="B74" i="30"/>
  <c r="B73" i="30"/>
  <c r="B72" i="30"/>
  <c r="B71" i="30"/>
  <c r="B70" i="30"/>
  <c r="B69" i="30"/>
  <c r="B68" i="30"/>
  <c r="B67" i="30"/>
  <c r="B66" i="30"/>
  <c r="B65" i="30"/>
  <c r="B64" i="30"/>
  <c r="B63" i="30"/>
  <c r="B62" i="30"/>
  <c r="B61" i="30"/>
  <c r="B60" i="30"/>
  <c r="B59" i="30"/>
  <c r="B58" i="30"/>
  <c r="B57" i="30"/>
  <c r="B56" i="30"/>
  <c r="B55" i="30"/>
  <c r="B54" i="30"/>
  <c r="B53" i="30"/>
  <c r="B52" i="30"/>
  <c r="B51" i="30"/>
  <c r="B50" i="30"/>
  <c r="B49" i="30"/>
  <c r="B48" i="30"/>
  <c r="B47" i="30"/>
  <c r="B46" i="30"/>
  <c r="B45" i="30"/>
  <c r="B44" i="30"/>
  <c r="B43" i="30"/>
  <c r="B42" i="30"/>
  <c r="B41" i="30"/>
  <c r="B40" i="30"/>
  <c r="B39" i="30"/>
  <c r="B38" i="30"/>
  <c r="B37" i="30"/>
  <c r="B36" i="30"/>
  <c r="B35" i="30"/>
  <c r="B34" i="30"/>
  <c r="B33" i="30"/>
  <c r="B32" i="30"/>
  <c r="B31" i="30"/>
  <c r="B30" i="30"/>
  <c r="B29" i="30"/>
  <c r="B28" i="30"/>
  <c r="B27" i="30"/>
  <c r="B26" i="30"/>
  <c r="B25" i="30"/>
  <c r="B24" i="30"/>
  <c r="B23" i="30"/>
  <c r="B22" i="30"/>
  <c r="B21" i="30"/>
  <c r="B20" i="30"/>
  <c r="B19" i="30"/>
  <c r="B18" i="30"/>
  <c r="B17" i="30"/>
  <c r="B16" i="30"/>
  <c r="B15" i="30"/>
  <c r="B14" i="30"/>
  <c r="B13" i="30"/>
  <c r="B12" i="30"/>
  <c r="B11" i="30"/>
  <c r="B10" i="30"/>
  <c r="B9" i="30"/>
  <c r="B8" i="30"/>
  <c r="B7" i="30"/>
  <c r="B6" i="30"/>
  <c r="B5" i="30"/>
  <c r="B4" i="30"/>
  <c r="B3" i="30"/>
  <c r="B2" i="30"/>
  <c r="B1000" i="29"/>
  <c r="B999" i="29"/>
  <c r="B998" i="29"/>
  <c r="B997" i="29"/>
  <c r="B996" i="29"/>
  <c r="B995" i="29"/>
  <c r="B994" i="29"/>
  <c r="B993" i="29"/>
  <c r="B992" i="29"/>
  <c r="B991" i="29"/>
  <c r="B990" i="29"/>
  <c r="B989" i="29"/>
  <c r="B988" i="29"/>
  <c r="B987" i="29"/>
  <c r="B986" i="29"/>
  <c r="B985" i="29"/>
  <c r="B984" i="29"/>
  <c r="B983" i="29"/>
  <c r="B982" i="29"/>
  <c r="B981" i="29"/>
  <c r="B980" i="29"/>
  <c r="B979" i="29"/>
  <c r="B978" i="29"/>
  <c r="B977" i="29"/>
  <c r="B976" i="29"/>
  <c r="B975" i="29"/>
  <c r="B974" i="29"/>
  <c r="B973" i="29"/>
  <c r="B972" i="29"/>
  <c r="B971" i="29"/>
  <c r="B970" i="29"/>
  <c r="B969" i="29"/>
  <c r="B968" i="29"/>
  <c r="B967" i="29"/>
  <c r="B966" i="29"/>
  <c r="B965" i="29"/>
  <c r="B964" i="29"/>
  <c r="B963" i="29"/>
  <c r="B962" i="29"/>
  <c r="B961" i="29"/>
  <c r="B960" i="29"/>
  <c r="B959" i="29"/>
  <c r="B958" i="29"/>
  <c r="B957" i="29"/>
  <c r="B956" i="29"/>
  <c r="B955" i="29"/>
  <c r="B954" i="29"/>
  <c r="B953" i="29"/>
  <c r="B952" i="29"/>
  <c r="B951" i="29"/>
  <c r="B950" i="29"/>
  <c r="B949" i="29"/>
  <c r="B948" i="29"/>
  <c r="B947" i="29"/>
  <c r="B946" i="29"/>
  <c r="B945" i="29"/>
  <c r="B944" i="29"/>
  <c r="B943" i="29"/>
  <c r="B942" i="29"/>
  <c r="B941" i="29"/>
  <c r="B940" i="29"/>
  <c r="B939" i="29"/>
  <c r="B938" i="29"/>
  <c r="B937" i="29"/>
  <c r="B936" i="29"/>
  <c r="B935" i="29"/>
  <c r="B934" i="29"/>
  <c r="B933" i="29"/>
  <c r="B932" i="29"/>
  <c r="B931" i="29"/>
  <c r="B930" i="29"/>
  <c r="B929" i="29"/>
  <c r="B928" i="29"/>
  <c r="B927" i="29"/>
  <c r="B926" i="29"/>
  <c r="B925" i="29"/>
  <c r="B924" i="29"/>
  <c r="B923" i="29"/>
  <c r="B922" i="29"/>
  <c r="B921" i="29"/>
  <c r="B920" i="29"/>
  <c r="B919" i="29"/>
  <c r="B918" i="29"/>
  <c r="B917" i="29"/>
  <c r="B916" i="29"/>
  <c r="B915" i="29"/>
  <c r="B914" i="29"/>
  <c r="B913" i="29"/>
  <c r="B912" i="29"/>
  <c r="B911" i="29"/>
  <c r="B910" i="29"/>
  <c r="B909" i="29"/>
  <c r="B908" i="29"/>
  <c r="B907" i="29"/>
  <c r="B906" i="29"/>
  <c r="B905" i="29"/>
  <c r="B904" i="29"/>
  <c r="B903" i="29"/>
  <c r="B902" i="29"/>
  <c r="B901" i="29"/>
  <c r="B900" i="29"/>
  <c r="B899" i="29"/>
  <c r="B898" i="29"/>
  <c r="B897" i="29"/>
  <c r="B896" i="29"/>
  <c r="B895" i="29"/>
  <c r="B894" i="29"/>
  <c r="B893" i="29"/>
  <c r="B892" i="29"/>
  <c r="B891" i="29"/>
  <c r="B890" i="29"/>
  <c r="B889" i="29"/>
  <c r="B888" i="29"/>
  <c r="B887" i="29"/>
  <c r="B886" i="29"/>
  <c r="B885" i="29"/>
  <c r="B884" i="29"/>
  <c r="B883" i="29"/>
  <c r="B882" i="29"/>
  <c r="B881" i="29"/>
  <c r="B880" i="29"/>
  <c r="B879" i="29"/>
  <c r="B878" i="29"/>
  <c r="B877" i="29"/>
  <c r="B876" i="29"/>
  <c r="B875" i="29"/>
  <c r="B874" i="29"/>
  <c r="B873" i="29"/>
  <c r="B872" i="29"/>
  <c r="B871" i="29"/>
  <c r="B870" i="29"/>
  <c r="B869" i="29"/>
  <c r="B868" i="29"/>
  <c r="B867" i="29"/>
  <c r="B866" i="29"/>
  <c r="B865" i="29"/>
  <c r="B864" i="29"/>
  <c r="B863" i="29"/>
  <c r="B862" i="29"/>
  <c r="B861" i="29"/>
  <c r="B860" i="29"/>
  <c r="B859" i="29"/>
  <c r="B858" i="29"/>
  <c r="B857" i="29"/>
  <c r="B856" i="29"/>
  <c r="B855" i="29"/>
  <c r="B854" i="29"/>
  <c r="B853" i="29"/>
  <c r="B852" i="29"/>
  <c r="B851" i="29"/>
  <c r="B850" i="29"/>
  <c r="B849" i="29"/>
  <c r="B848" i="29"/>
  <c r="B847" i="29"/>
  <c r="B846" i="29"/>
  <c r="B845" i="29"/>
  <c r="B844" i="29"/>
  <c r="B843" i="29"/>
  <c r="B842" i="29"/>
  <c r="B841" i="29"/>
  <c r="B840" i="29"/>
  <c r="B839" i="29"/>
  <c r="B838" i="29"/>
  <c r="B837" i="29"/>
  <c r="B836" i="29"/>
  <c r="B835" i="29"/>
  <c r="B834" i="29"/>
  <c r="B833" i="29"/>
  <c r="B832" i="29"/>
  <c r="B831" i="29"/>
  <c r="B830" i="29"/>
  <c r="B829" i="29"/>
  <c r="B828" i="29"/>
  <c r="B827" i="29"/>
  <c r="B826" i="29"/>
  <c r="B825" i="29"/>
  <c r="B824" i="29"/>
  <c r="B823" i="29"/>
  <c r="B822" i="29"/>
  <c r="B821" i="29"/>
  <c r="B820" i="29"/>
  <c r="B819" i="29"/>
  <c r="B818" i="29"/>
  <c r="B817" i="29"/>
  <c r="B816" i="29"/>
  <c r="B815" i="29"/>
  <c r="B814" i="29"/>
  <c r="B813" i="29"/>
  <c r="B812" i="29"/>
  <c r="B811" i="29"/>
  <c r="B810" i="29"/>
  <c r="B809" i="29"/>
  <c r="B808" i="29"/>
  <c r="B807" i="29"/>
  <c r="B806" i="29"/>
  <c r="B805" i="29"/>
  <c r="B804" i="29"/>
  <c r="B803" i="29"/>
  <c r="B802" i="29"/>
  <c r="B801" i="29"/>
  <c r="B800" i="29"/>
  <c r="B799" i="29"/>
  <c r="B798" i="29"/>
  <c r="B797" i="29"/>
  <c r="B796" i="29"/>
  <c r="B795" i="29"/>
  <c r="B794" i="29"/>
  <c r="B793" i="29"/>
  <c r="B792" i="29"/>
  <c r="B791" i="29"/>
  <c r="B790" i="29"/>
  <c r="B789" i="29"/>
  <c r="B788" i="29"/>
  <c r="B787" i="29"/>
  <c r="B786" i="29"/>
  <c r="B785" i="29"/>
  <c r="B784" i="29"/>
  <c r="B783" i="29"/>
  <c r="B782" i="29"/>
  <c r="B781" i="29"/>
  <c r="B780" i="29"/>
  <c r="B779" i="29"/>
  <c r="B778" i="29"/>
  <c r="B777" i="29"/>
  <c r="B776" i="29"/>
  <c r="B775" i="29"/>
  <c r="B774" i="29"/>
  <c r="B773" i="29"/>
  <c r="B772" i="29"/>
  <c r="B771" i="29"/>
  <c r="B770" i="29"/>
  <c r="B769" i="29"/>
  <c r="B768" i="29"/>
  <c r="B767" i="29"/>
  <c r="B766" i="29"/>
  <c r="B765" i="29"/>
  <c r="B764" i="29"/>
  <c r="B763" i="29"/>
  <c r="B762" i="29"/>
  <c r="B761" i="29"/>
  <c r="B760" i="29"/>
  <c r="B759" i="29"/>
  <c r="B758" i="29"/>
  <c r="B757" i="29"/>
  <c r="B756" i="29"/>
  <c r="B755" i="29"/>
  <c r="B754" i="29"/>
  <c r="B753" i="29"/>
  <c r="B752" i="29"/>
  <c r="B751" i="29"/>
  <c r="B750" i="29"/>
  <c r="B749" i="29"/>
  <c r="B748" i="29"/>
  <c r="B747" i="29"/>
  <c r="B746" i="29"/>
  <c r="B745" i="29"/>
  <c r="B744" i="29"/>
  <c r="B743" i="29"/>
  <c r="B742" i="29"/>
  <c r="B741" i="29"/>
  <c r="B740" i="29"/>
  <c r="B739" i="29"/>
  <c r="B738" i="29"/>
  <c r="B737" i="29"/>
  <c r="B736" i="29"/>
  <c r="B735" i="29"/>
  <c r="B734" i="29"/>
  <c r="B733" i="29"/>
  <c r="B732" i="29"/>
  <c r="B731" i="29"/>
  <c r="B730" i="29"/>
  <c r="B729" i="29"/>
  <c r="B728" i="29"/>
  <c r="B727" i="29"/>
  <c r="B726" i="29"/>
  <c r="B725" i="29"/>
  <c r="B724" i="29"/>
  <c r="B723" i="29"/>
  <c r="B722" i="29"/>
  <c r="B721" i="29"/>
  <c r="B720" i="29"/>
  <c r="B719" i="29"/>
  <c r="B718" i="29"/>
  <c r="B717" i="29"/>
  <c r="B716" i="29"/>
  <c r="B715" i="29"/>
  <c r="B714" i="29"/>
  <c r="B713" i="29"/>
  <c r="B712" i="29"/>
  <c r="B711" i="29"/>
  <c r="B710" i="29"/>
  <c r="B709" i="29"/>
  <c r="B708" i="29"/>
  <c r="B707" i="29"/>
  <c r="B706" i="29"/>
  <c r="B705" i="29"/>
  <c r="B704" i="29"/>
  <c r="B703" i="29"/>
  <c r="B702" i="29"/>
  <c r="B701" i="29"/>
  <c r="B700" i="29"/>
  <c r="B699" i="29"/>
  <c r="B698" i="29"/>
  <c r="B697" i="29"/>
  <c r="B696" i="29"/>
  <c r="B695" i="29"/>
  <c r="B694" i="29"/>
  <c r="B693" i="29"/>
  <c r="B692" i="29"/>
  <c r="B691" i="29"/>
  <c r="B690" i="29"/>
  <c r="B689" i="29"/>
  <c r="B688" i="29"/>
  <c r="B687" i="29"/>
  <c r="B686" i="29"/>
  <c r="B685" i="29"/>
  <c r="B684" i="29"/>
  <c r="B683" i="29"/>
  <c r="B682" i="29"/>
  <c r="B681" i="29"/>
  <c r="B680" i="29"/>
  <c r="B679" i="29"/>
  <c r="B678" i="29"/>
  <c r="B677" i="29"/>
  <c r="B676" i="29"/>
  <c r="B675" i="29"/>
  <c r="B674" i="29"/>
  <c r="B673" i="29"/>
  <c r="B672" i="29"/>
  <c r="B671" i="29"/>
  <c r="B670" i="29"/>
  <c r="B669" i="29"/>
  <c r="B668" i="29"/>
  <c r="B667" i="29"/>
  <c r="B666" i="29"/>
  <c r="B665" i="29"/>
  <c r="B664" i="29"/>
  <c r="B663" i="29"/>
  <c r="B662" i="29"/>
  <c r="B661" i="29"/>
  <c r="B660" i="29"/>
  <c r="B659" i="29"/>
  <c r="B658" i="29"/>
  <c r="B657" i="29"/>
  <c r="B656" i="29"/>
  <c r="B655" i="29"/>
  <c r="B654" i="29"/>
  <c r="B653" i="29"/>
  <c r="B652" i="29"/>
  <c r="B651" i="29"/>
  <c r="B650" i="29"/>
  <c r="B649" i="29"/>
  <c r="B648" i="29"/>
  <c r="B647" i="29"/>
  <c r="B646" i="29"/>
  <c r="B645" i="29"/>
  <c r="B644" i="29"/>
  <c r="B643" i="29"/>
  <c r="B642" i="29"/>
  <c r="B641" i="29"/>
  <c r="B640" i="29"/>
  <c r="B639" i="29"/>
  <c r="B638" i="29"/>
  <c r="B637" i="29"/>
  <c r="B636" i="29"/>
  <c r="B635" i="29"/>
  <c r="B634" i="29"/>
  <c r="B633" i="29"/>
  <c r="B632" i="29"/>
  <c r="B631" i="29"/>
  <c r="B630" i="29"/>
  <c r="B629" i="29"/>
  <c r="B628" i="29"/>
  <c r="B627" i="29"/>
  <c r="B626" i="29"/>
  <c r="B625" i="29"/>
  <c r="B624" i="29"/>
  <c r="B623" i="29"/>
  <c r="B622" i="29"/>
  <c r="B621" i="29"/>
  <c r="B620" i="29"/>
  <c r="B619" i="29"/>
  <c r="B618" i="29"/>
  <c r="B617" i="29"/>
  <c r="B616" i="29"/>
  <c r="B615" i="29"/>
  <c r="B614" i="29"/>
  <c r="B613" i="29"/>
  <c r="B612" i="29"/>
  <c r="B611" i="29"/>
  <c r="B610" i="29"/>
  <c r="B609" i="29"/>
  <c r="B608" i="29"/>
  <c r="B607" i="29"/>
  <c r="B606" i="29"/>
  <c r="B605" i="29"/>
  <c r="B604" i="29"/>
  <c r="B603" i="29"/>
  <c r="B602" i="29"/>
  <c r="B601" i="29"/>
  <c r="B600" i="29"/>
  <c r="B599" i="29"/>
  <c r="B598" i="29"/>
  <c r="B597" i="29"/>
  <c r="B596" i="29"/>
  <c r="B595" i="29"/>
  <c r="B594" i="29"/>
  <c r="B593" i="29"/>
  <c r="B592" i="29"/>
  <c r="B591" i="29"/>
  <c r="B590" i="29"/>
  <c r="B589" i="29"/>
  <c r="B588" i="29"/>
  <c r="B587" i="29"/>
  <c r="B586" i="29"/>
  <c r="B585" i="29"/>
  <c r="B584" i="29"/>
  <c r="B583" i="29"/>
  <c r="B582" i="29"/>
  <c r="B581" i="29"/>
  <c r="B580" i="29"/>
  <c r="B579" i="29"/>
  <c r="B578" i="29"/>
  <c r="B577" i="29"/>
  <c r="B576" i="29"/>
  <c r="B575" i="29"/>
  <c r="B574" i="29"/>
  <c r="B573" i="29"/>
  <c r="B572" i="29"/>
  <c r="B571" i="29"/>
  <c r="B570" i="29"/>
  <c r="B569" i="29"/>
  <c r="B568" i="29"/>
  <c r="B567" i="29"/>
  <c r="B566" i="29"/>
  <c r="B565" i="29"/>
  <c r="B564" i="29"/>
  <c r="B563" i="29"/>
  <c r="B562" i="29"/>
  <c r="B561" i="29"/>
  <c r="B560" i="29"/>
  <c r="B559" i="29"/>
  <c r="B558" i="29"/>
  <c r="B557" i="29"/>
  <c r="B556" i="29"/>
  <c r="B555" i="29"/>
  <c r="B554" i="29"/>
  <c r="B553" i="29"/>
  <c r="B552" i="29"/>
  <c r="B551" i="29"/>
  <c r="B550" i="29"/>
  <c r="B549" i="29"/>
  <c r="B548" i="29"/>
  <c r="B547" i="29"/>
  <c r="B546" i="29"/>
  <c r="B545" i="29"/>
  <c r="B544" i="29"/>
  <c r="B543" i="29"/>
  <c r="B542" i="29"/>
  <c r="B541" i="29"/>
  <c r="B540" i="29"/>
  <c r="B539" i="29"/>
  <c r="B538" i="29"/>
  <c r="B537" i="29"/>
  <c r="B536" i="29"/>
  <c r="B535" i="29"/>
  <c r="B534" i="29"/>
  <c r="B533" i="29"/>
  <c r="B532" i="29"/>
  <c r="B531" i="29"/>
  <c r="B530" i="29"/>
  <c r="B529" i="29"/>
  <c r="B528" i="29"/>
  <c r="B527" i="29"/>
  <c r="B526" i="29"/>
  <c r="B525" i="29"/>
  <c r="B524" i="29"/>
  <c r="B523" i="29"/>
  <c r="B522" i="29"/>
  <c r="B521" i="29"/>
  <c r="B520" i="29"/>
  <c r="B519" i="29"/>
  <c r="B518" i="29"/>
  <c r="B517" i="29"/>
  <c r="B516" i="29"/>
  <c r="B515" i="29"/>
  <c r="B514" i="29"/>
  <c r="B513" i="29"/>
  <c r="B512" i="29"/>
  <c r="B511" i="29"/>
  <c r="B510" i="29"/>
  <c r="B509" i="29"/>
  <c r="B508" i="29"/>
  <c r="B507" i="29"/>
  <c r="B506" i="29"/>
  <c r="B505" i="29"/>
  <c r="B504" i="29"/>
  <c r="B503" i="29"/>
  <c r="B502" i="29"/>
  <c r="B501" i="29"/>
  <c r="B500" i="29"/>
  <c r="B499" i="29"/>
  <c r="B498" i="29"/>
  <c r="B497" i="29"/>
  <c r="B496" i="29"/>
  <c r="B495" i="29"/>
  <c r="B494" i="29"/>
  <c r="B493" i="29"/>
  <c r="B492" i="29"/>
  <c r="B491" i="29"/>
  <c r="B490" i="29"/>
  <c r="B489" i="29"/>
  <c r="B488" i="29"/>
  <c r="B487" i="29"/>
  <c r="B486" i="29"/>
  <c r="B485" i="29"/>
  <c r="B484" i="29"/>
  <c r="B483" i="29"/>
  <c r="B482" i="29"/>
  <c r="B481" i="29"/>
  <c r="B480" i="29"/>
  <c r="B479" i="29"/>
  <c r="B478" i="29"/>
  <c r="B477" i="29"/>
  <c r="B476" i="29"/>
  <c r="B475" i="29"/>
  <c r="B474" i="29"/>
  <c r="B473" i="29"/>
  <c r="B472" i="29"/>
  <c r="B471" i="29"/>
  <c r="B470" i="29"/>
  <c r="B469" i="29"/>
  <c r="B468" i="29"/>
  <c r="B467" i="29"/>
  <c r="B466" i="29"/>
  <c r="B465" i="29"/>
  <c r="B464" i="29"/>
  <c r="B463" i="29"/>
  <c r="B462" i="29"/>
  <c r="B461" i="29"/>
  <c r="B460" i="29"/>
  <c r="B459" i="29"/>
  <c r="B458" i="29"/>
  <c r="B457" i="29"/>
  <c r="B456" i="29"/>
  <c r="B455" i="29"/>
  <c r="B454" i="29"/>
  <c r="B453" i="29"/>
  <c r="B452" i="29"/>
  <c r="B451" i="29"/>
  <c r="B450" i="29"/>
  <c r="B449" i="29"/>
  <c r="B448" i="29"/>
  <c r="B447" i="29"/>
  <c r="B446" i="29"/>
  <c r="B445" i="29"/>
  <c r="B444" i="29"/>
  <c r="B443" i="29"/>
  <c r="B442" i="29"/>
  <c r="B441" i="29"/>
  <c r="B440" i="29"/>
  <c r="B439" i="29"/>
  <c r="B438" i="29"/>
  <c r="B437" i="29"/>
  <c r="B436" i="29"/>
  <c r="B435" i="29"/>
  <c r="B434" i="29"/>
  <c r="B433" i="29"/>
  <c r="B432" i="29"/>
  <c r="B431" i="29"/>
  <c r="B430" i="29"/>
  <c r="B429" i="29"/>
  <c r="B428" i="29"/>
  <c r="B427" i="29"/>
  <c r="B426" i="29"/>
  <c r="B425" i="29"/>
  <c r="B424" i="29"/>
  <c r="B423" i="29"/>
  <c r="B422" i="29"/>
  <c r="B421" i="29"/>
  <c r="B420" i="29"/>
  <c r="B419" i="29"/>
  <c r="B418" i="29"/>
  <c r="B417" i="29"/>
  <c r="B416" i="29"/>
  <c r="B415" i="29"/>
  <c r="B414" i="29"/>
  <c r="B413" i="29"/>
  <c r="B412" i="29"/>
  <c r="B411" i="29"/>
  <c r="B410" i="29"/>
  <c r="B409" i="29"/>
  <c r="B408" i="29"/>
  <c r="B407" i="29"/>
  <c r="B406" i="29"/>
  <c r="B405" i="29"/>
  <c r="B404" i="29"/>
  <c r="B403" i="29"/>
  <c r="B402" i="29"/>
  <c r="B401" i="29"/>
  <c r="B400" i="29"/>
  <c r="B399" i="29"/>
  <c r="B398" i="29"/>
  <c r="B397" i="29"/>
  <c r="B396" i="29"/>
  <c r="B395" i="29"/>
  <c r="B394" i="29"/>
  <c r="B393" i="29"/>
  <c r="B392" i="29"/>
  <c r="B391" i="29"/>
  <c r="B390" i="29"/>
  <c r="B389" i="29"/>
  <c r="B388" i="29"/>
  <c r="B387" i="29"/>
  <c r="B386" i="29"/>
  <c r="B385" i="29"/>
  <c r="B384" i="29"/>
  <c r="B383" i="29"/>
  <c r="B382" i="29"/>
  <c r="B381" i="29"/>
  <c r="B380" i="29"/>
  <c r="B379" i="29"/>
  <c r="B378" i="29"/>
  <c r="B377" i="29"/>
  <c r="B376" i="29"/>
  <c r="B375" i="29"/>
  <c r="B374" i="29"/>
  <c r="B373" i="29"/>
  <c r="B372" i="29"/>
  <c r="B371" i="29"/>
  <c r="B370" i="29"/>
  <c r="B369" i="29"/>
  <c r="B368" i="29"/>
  <c r="B367" i="29"/>
  <c r="B366" i="29"/>
  <c r="B365" i="29"/>
  <c r="B364" i="29"/>
  <c r="B363" i="29"/>
  <c r="B362" i="29"/>
  <c r="B361" i="29"/>
  <c r="B360" i="29"/>
  <c r="B359" i="29"/>
  <c r="B358" i="29"/>
  <c r="B357" i="29"/>
  <c r="B356" i="29"/>
  <c r="B355" i="29"/>
  <c r="B354" i="29"/>
  <c r="B353" i="29"/>
  <c r="B352" i="29"/>
  <c r="B351" i="29"/>
  <c r="B350" i="29"/>
  <c r="B349" i="29"/>
  <c r="B348" i="29"/>
  <c r="B347" i="29"/>
  <c r="B346" i="29"/>
  <c r="B345" i="29"/>
  <c r="B344" i="29"/>
  <c r="B343" i="29"/>
  <c r="B342" i="29"/>
  <c r="B341" i="29"/>
  <c r="B340" i="29"/>
  <c r="B339" i="29"/>
  <c r="B338" i="29"/>
  <c r="B337" i="29"/>
  <c r="B336" i="29"/>
  <c r="B335" i="29"/>
  <c r="B334" i="29"/>
  <c r="B333" i="29"/>
  <c r="B332" i="29"/>
  <c r="B331" i="29"/>
  <c r="B330" i="29"/>
  <c r="B329" i="29"/>
  <c r="B328" i="29"/>
  <c r="B327" i="29"/>
  <c r="B326" i="29"/>
  <c r="B325" i="29"/>
  <c r="B324" i="29"/>
  <c r="B323" i="29"/>
  <c r="B322" i="29"/>
  <c r="B321" i="29"/>
  <c r="B320" i="29"/>
  <c r="B319" i="29"/>
  <c r="B318" i="29"/>
  <c r="B317" i="29"/>
  <c r="B316" i="29"/>
  <c r="B315" i="29"/>
  <c r="B314" i="29"/>
  <c r="B313" i="29"/>
  <c r="B312" i="29"/>
  <c r="B311" i="29"/>
  <c r="B310" i="29"/>
  <c r="B309" i="29"/>
  <c r="B308" i="29"/>
  <c r="B307" i="29"/>
  <c r="B306" i="29"/>
  <c r="B305" i="29"/>
  <c r="B304" i="29"/>
  <c r="B303" i="29"/>
  <c r="B302" i="29"/>
  <c r="B301" i="29"/>
  <c r="B300" i="29"/>
  <c r="B299" i="29"/>
  <c r="B298" i="29"/>
  <c r="B297" i="29"/>
  <c r="B296" i="29"/>
  <c r="B295" i="29"/>
  <c r="B294" i="29"/>
  <c r="B293" i="29"/>
  <c r="B292" i="29"/>
  <c r="B291" i="29"/>
  <c r="B290" i="29"/>
  <c r="B289" i="29"/>
  <c r="B288" i="29"/>
  <c r="B287" i="29"/>
  <c r="B286" i="29"/>
  <c r="B285" i="29"/>
  <c r="B284" i="29"/>
  <c r="B283" i="29"/>
  <c r="B282" i="29"/>
  <c r="B281" i="29"/>
  <c r="B280" i="29"/>
  <c r="B279" i="29"/>
  <c r="B278" i="29"/>
  <c r="B277" i="29"/>
  <c r="B276" i="29"/>
  <c r="B275" i="29"/>
  <c r="B274" i="29"/>
  <c r="B273" i="29"/>
  <c r="B272" i="29"/>
  <c r="B271" i="29"/>
  <c r="B270" i="29"/>
  <c r="B269" i="29"/>
  <c r="B268" i="29"/>
  <c r="B267" i="29"/>
  <c r="B266" i="29"/>
  <c r="B265" i="29"/>
  <c r="B264" i="29"/>
  <c r="B263" i="29"/>
  <c r="B262" i="29"/>
  <c r="B261" i="29"/>
  <c r="B260" i="29"/>
  <c r="B259" i="29"/>
  <c r="B258" i="29"/>
  <c r="B257" i="29"/>
  <c r="B256" i="29"/>
  <c r="B255" i="29"/>
  <c r="B254" i="29"/>
  <c r="B253" i="29"/>
  <c r="B252" i="29"/>
  <c r="B251" i="29"/>
  <c r="B250" i="29"/>
  <c r="B249" i="29"/>
  <c r="B248" i="29"/>
  <c r="B247" i="29"/>
  <c r="B246" i="29"/>
  <c r="B245" i="29"/>
  <c r="B244" i="29"/>
  <c r="B243" i="29"/>
  <c r="B242" i="29"/>
  <c r="B241" i="29"/>
  <c r="B240" i="29"/>
  <c r="B239" i="29"/>
  <c r="B238" i="29"/>
  <c r="B237" i="29"/>
  <c r="B236" i="29"/>
  <c r="B235" i="29"/>
  <c r="B234" i="29"/>
  <c r="B233" i="29"/>
  <c r="B232" i="29"/>
  <c r="B231" i="29"/>
  <c r="B230" i="29"/>
  <c r="B229" i="29"/>
  <c r="B228" i="29"/>
  <c r="B227" i="29"/>
  <c r="B226" i="29"/>
  <c r="B225" i="29"/>
  <c r="B224" i="29"/>
  <c r="B223" i="29"/>
  <c r="B222" i="29"/>
  <c r="B221" i="29"/>
  <c r="B220" i="29"/>
  <c r="B219" i="29"/>
  <c r="B218" i="29"/>
  <c r="B217" i="29"/>
  <c r="B216" i="29"/>
  <c r="B215" i="29"/>
  <c r="B214" i="29"/>
  <c r="B213" i="29"/>
  <c r="B212" i="29"/>
  <c r="B211" i="29"/>
  <c r="B210" i="29"/>
  <c r="B209" i="29"/>
  <c r="B208" i="29"/>
  <c r="B207" i="29"/>
  <c r="B206" i="29"/>
  <c r="B205" i="29"/>
  <c r="B204" i="29"/>
  <c r="B203" i="29"/>
  <c r="B202" i="29"/>
  <c r="B201" i="29"/>
  <c r="B200" i="29"/>
  <c r="B199" i="29"/>
  <c r="B198" i="29"/>
  <c r="B197" i="29"/>
  <c r="B196" i="29"/>
  <c r="B195" i="29"/>
  <c r="B194" i="29"/>
  <c r="B193" i="29"/>
  <c r="B192" i="29"/>
  <c r="B191" i="29"/>
  <c r="B190" i="29"/>
  <c r="B189" i="29"/>
  <c r="B188" i="29"/>
  <c r="B187" i="29"/>
  <c r="B186" i="29"/>
  <c r="B185" i="29"/>
  <c r="B184" i="29"/>
  <c r="B183" i="29"/>
  <c r="B182" i="29"/>
  <c r="B181" i="29"/>
  <c r="B180" i="29"/>
  <c r="B179" i="29"/>
  <c r="B178" i="29"/>
  <c r="B177" i="29"/>
  <c r="B176" i="29"/>
  <c r="B175" i="29"/>
  <c r="B174" i="29"/>
  <c r="B173" i="29"/>
  <c r="B172" i="29"/>
  <c r="B171" i="29"/>
  <c r="B170" i="29"/>
  <c r="B169" i="29"/>
  <c r="B168" i="29"/>
  <c r="B167" i="29"/>
  <c r="B166" i="29"/>
  <c r="B165" i="29"/>
  <c r="B164" i="29"/>
  <c r="B163" i="29"/>
  <c r="B162" i="29"/>
  <c r="B161" i="29"/>
  <c r="B160" i="29"/>
  <c r="B159" i="29"/>
  <c r="B158" i="29"/>
  <c r="B157" i="29"/>
  <c r="B156" i="29"/>
  <c r="B155" i="29"/>
  <c r="B154" i="29"/>
  <c r="B153" i="29"/>
  <c r="B152" i="29"/>
  <c r="B151" i="29"/>
  <c r="B150" i="29"/>
  <c r="B149" i="29"/>
  <c r="B148" i="29"/>
  <c r="B147" i="29"/>
  <c r="B146" i="29"/>
  <c r="B145" i="29"/>
  <c r="B144" i="29"/>
  <c r="B143" i="29"/>
  <c r="B142" i="29"/>
  <c r="B141" i="29"/>
  <c r="B140" i="29"/>
  <c r="B139" i="29"/>
  <c r="B138" i="29"/>
  <c r="B137" i="29"/>
  <c r="B136" i="29"/>
  <c r="B135" i="29"/>
  <c r="B134" i="29"/>
  <c r="B133" i="29"/>
  <c r="B132" i="29"/>
  <c r="B131" i="29"/>
  <c r="B130" i="29"/>
  <c r="B129" i="29"/>
  <c r="B128" i="29"/>
  <c r="B127" i="29"/>
  <c r="B126" i="29"/>
  <c r="B125" i="29"/>
  <c r="B124" i="29"/>
  <c r="B123" i="29"/>
  <c r="B122" i="29"/>
  <c r="B121" i="29"/>
  <c r="B120" i="29"/>
  <c r="B119" i="29"/>
  <c r="B118" i="29"/>
  <c r="B117" i="29"/>
  <c r="B116" i="29"/>
  <c r="B115" i="29"/>
  <c r="B114" i="29"/>
  <c r="B113" i="29"/>
  <c r="B112" i="29"/>
  <c r="B111" i="29"/>
  <c r="B110" i="29"/>
  <c r="B109" i="29"/>
  <c r="B108" i="29"/>
  <c r="B107" i="29"/>
  <c r="B106" i="29"/>
  <c r="B105" i="29"/>
  <c r="B104" i="29"/>
  <c r="B103" i="29"/>
  <c r="B102" i="29"/>
  <c r="B101" i="29"/>
  <c r="B100" i="29"/>
  <c r="B99" i="29"/>
  <c r="B98" i="29"/>
  <c r="B97" i="29"/>
  <c r="B96" i="29"/>
  <c r="B95" i="29"/>
  <c r="B94" i="29"/>
  <c r="B93" i="29"/>
  <c r="B92" i="29"/>
  <c r="B91" i="29"/>
  <c r="B90" i="29"/>
  <c r="B89" i="29"/>
  <c r="B88" i="29"/>
  <c r="B87" i="29"/>
  <c r="B86" i="29"/>
  <c r="B85" i="29"/>
  <c r="B84" i="29"/>
  <c r="B83" i="29"/>
  <c r="B82" i="29"/>
  <c r="B81" i="29"/>
  <c r="B80" i="29"/>
  <c r="B79" i="29"/>
  <c r="B78" i="29"/>
  <c r="B77" i="29"/>
  <c r="B76" i="29"/>
  <c r="B75" i="29"/>
  <c r="B74" i="29"/>
  <c r="B73" i="29"/>
  <c r="B72" i="29"/>
  <c r="B71" i="29"/>
  <c r="B70" i="29"/>
  <c r="B69" i="29"/>
  <c r="B68" i="29"/>
  <c r="B67" i="29"/>
  <c r="B66" i="29"/>
  <c r="B65" i="29"/>
  <c r="B64" i="29"/>
  <c r="B63" i="29"/>
  <c r="B62" i="29"/>
  <c r="B61" i="29"/>
  <c r="B60" i="29"/>
  <c r="B59" i="29"/>
  <c r="B58" i="29"/>
  <c r="B57" i="29"/>
  <c r="B56" i="29"/>
  <c r="B55" i="29"/>
  <c r="B54" i="29"/>
  <c r="B53" i="29"/>
  <c r="B52" i="29"/>
  <c r="B51" i="29"/>
  <c r="B50" i="29"/>
  <c r="B49" i="29"/>
  <c r="B48" i="29"/>
  <c r="B47" i="29"/>
  <c r="B46" i="29"/>
  <c r="B45" i="29"/>
  <c r="B44" i="29"/>
  <c r="B43" i="29"/>
  <c r="B42" i="29"/>
  <c r="B41" i="29"/>
  <c r="B40" i="29"/>
  <c r="B39" i="29"/>
  <c r="B38" i="29"/>
  <c r="B37" i="29"/>
  <c r="B36" i="29"/>
  <c r="B35" i="29"/>
  <c r="B34" i="29"/>
  <c r="B33" i="29"/>
  <c r="B32" i="29"/>
  <c r="B31" i="29"/>
  <c r="B30" i="29"/>
  <c r="B29" i="29"/>
  <c r="B28" i="29"/>
  <c r="B27" i="29"/>
  <c r="B26" i="29"/>
  <c r="B25" i="29"/>
  <c r="B24" i="29"/>
  <c r="B23" i="29"/>
  <c r="B22" i="29"/>
  <c r="B21" i="29"/>
  <c r="B20" i="29"/>
  <c r="B19" i="29"/>
  <c r="B18" i="29"/>
  <c r="B17" i="29"/>
  <c r="B16" i="29"/>
  <c r="B15" i="29"/>
  <c r="B14" i="29"/>
  <c r="B13" i="29"/>
  <c r="B12" i="29"/>
  <c r="B11" i="29"/>
  <c r="B10" i="29"/>
  <c r="B9" i="29"/>
  <c r="B8" i="29"/>
  <c r="B7" i="29"/>
  <c r="B6" i="29"/>
  <c r="B5" i="29"/>
  <c r="B4" i="29"/>
  <c r="B3" i="29"/>
  <c r="B2" i="29"/>
  <c r="B1000" i="28"/>
  <c r="B999" i="28"/>
  <c r="B998" i="28"/>
  <c r="B997" i="28"/>
  <c r="B996" i="28"/>
  <c r="B995" i="28"/>
  <c r="B994" i="28"/>
  <c r="B993" i="28"/>
  <c r="B992" i="28"/>
  <c r="B991" i="28"/>
  <c r="B990" i="28"/>
  <c r="B989" i="28"/>
  <c r="B988" i="28"/>
  <c r="B987" i="28"/>
  <c r="B986" i="28"/>
  <c r="B985" i="28"/>
  <c r="B984" i="28"/>
  <c r="B983" i="28"/>
  <c r="B982" i="28"/>
  <c r="B981" i="28"/>
  <c r="B980" i="28"/>
  <c r="B979" i="28"/>
  <c r="B978" i="28"/>
  <c r="B977" i="28"/>
  <c r="B976" i="28"/>
  <c r="B975" i="28"/>
  <c r="B974" i="28"/>
  <c r="B973" i="28"/>
  <c r="B972" i="28"/>
  <c r="B971" i="28"/>
  <c r="B970" i="28"/>
  <c r="B969" i="28"/>
  <c r="B968" i="28"/>
  <c r="B967" i="28"/>
  <c r="B966" i="28"/>
  <c r="B965" i="28"/>
  <c r="B964" i="28"/>
  <c r="B963" i="28"/>
  <c r="B962" i="28"/>
  <c r="B961" i="28"/>
  <c r="B960" i="28"/>
  <c r="B959" i="28"/>
  <c r="B958" i="28"/>
  <c r="B957" i="28"/>
  <c r="B956" i="28"/>
  <c r="B955" i="28"/>
  <c r="B954" i="28"/>
  <c r="B953" i="28"/>
  <c r="B952" i="28"/>
  <c r="B951" i="28"/>
  <c r="B950" i="28"/>
  <c r="B949" i="28"/>
  <c r="B948" i="28"/>
  <c r="B947" i="28"/>
  <c r="B946" i="28"/>
  <c r="B945" i="28"/>
  <c r="B944" i="28"/>
  <c r="B943" i="28"/>
  <c r="B942" i="28"/>
  <c r="B941" i="28"/>
  <c r="B940" i="28"/>
  <c r="B939" i="28"/>
  <c r="B938" i="28"/>
  <c r="B937" i="28"/>
  <c r="B936" i="28"/>
  <c r="B935" i="28"/>
  <c r="B934" i="28"/>
  <c r="B933" i="28"/>
  <c r="B932" i="28"/>
  <c r="B931" i="28"/>
  <c r="B930" i="28"/>
  <c r="B929" i="28"/>
  <c r="B928" i="28"/>
  <c r="B927" i="28"/>
  <c r="B926" i="28"/>
  <c r="B925" i="28"/>
  <c r="B924" i="28"/>
  <c r="B923" i="28"/>
  <c r="B922" i="28"/>
  <c r="B921" i="28"/>
  <c r="B920" i="28"/>
  <c r="B919" i="28"/>
  <c r="B918" i="28"/>
  <c r="B917" i="28"/>
  <c r="B916" i="28"/>
  <c r="B915" i="28"/>
  <c r="B914" i="28"/>
  <c r="B913" i="28"/>
  <c r="B912" i="28"/>
  <c r="B911" i="28"/>
  <c r="B910" i="28"/>
  <c r="B909" i="28"/>
  <c r="B908" i="28"/>
  <c r="B907" i="28"/>
  <c r="B906" i="28"/>
  <c r="B905" i="28"/>
  <c r="B904" i="28"/>
  <c r="B903" i="28"/>
  <c r="B902" i="28"/>
  <c r="B901" i="28"/>
  <c r="B900" i="28"/>
  <c r="B899" i="28"/>
  <c r="B898" i="28"/>
  <c r="B897" i="28"/>
  <c r="B896" i="28"/>
  <c r="B895" i="28"/>
  <c r="B894" i="28"/>
  <c r="B893" i="28"/>
  <c r="B892" i="28"/>
  <c r="B891" i="28"/>
  <c r="B890" i="28"/>
  <c r="B889" i="28"/>
  <c r="B888" i="28"/>
  <c r="B887" i="28"/>
  <c r="B886" i="28"/>
  <c r="B885" i="28"/>
  <c r="B884" i="28"/>
  <c r="B883" i="28"/>
  <c r="B882" i="28"/>
  <c r="B881" i="28"/>
  <c r="B880" i="28"/>
  <c r="B879" i="28"/>
  <c r="B878" i="28"/>
  <c r="B877" i="28"/>
  <c r="B876" i="28"/>
  <c r="B875" i="28"/>
  <c r="B874" i="28"/>
  <c r="B873" i="28"/>
  <c r="B872" i="28"/>
  <c r="B871" i="28"/>
  <c r="B870" i="28"/>
  <c r="B869" i="28"/>
  <c r="B868" i="28"/>
  <c r="B867" i="28"/>
  <c r="B866" i="28"/>
  <c r="B865" i="28"/>
  <c r="B864" i="28"/>
  <c r="B863" i="28"/>
  <c r="B862" i="28"/>
  <c r="B861" i="28"/>
  <c r="B860" i="28"/>
  <c r="B859" i="28"/>
  <c r="B858" i="28"/>
  <c r="B857" i="28"/>
  <c r="B856" i="28"/>
  <c r="B855" i="28"/>
  <c r="B854" i="28"/>
  <c r="B853" i="28"/>
  <c r="B852" i="28"/>
  <c r="B851" i="28"/>
  <c r="B850" i="28"/>
  <c r="B849" i="28"/>
  <c r="B848" i="28"/>
  <c r="B847" i="28"/>
  <c r="B846" i="28"/>
  <c r="B845" i="28"/>
  <c r="B844" i="28"/>
  <c r="B843" i="28"/>
  <c r="B842" i="28"/>
  <c r="B841" i="28"/>
  <c r="B840" i="28"/>
  <c r="B839" i="28"/>
  <c r="B838" i="28"/>
  <c r="B837" i="28"/>
  <c r="B836" i="28"/>
  <c r="B835" i="28"/>
  <c r="B834" i="28"/>
  <c r="B833" i="28"/>
  <c r="B832" i="28"/>
  <c r="B831" i="28"/>
  <c r="B830" i="28"/>
  <c r="B829" i="28"/>
  <c r="B828" i="28"/>
  <c r="B827" i="28"/>
  <c r="B826" i="28"/>
  <c r="B825" i="28"/>
  <c r="B824" i="28"/>
  <c r="B823" i="28"/>
  <c r="B822" i="28"/>
  <c r="B821" i="28"/>
  <c r="B820" i="28"/>
  <c r="B819" i="28"/>
  <c r="B818" i="28"/>
  <c r="B817" i="28"/>
  <c r="B816" i="28"/>
  <c r="B815" i="28"/>
  <c r="B814" i="28"/>
  <c r="B813" i="28"/>
  <c r="B812" i="28"/>
  <c r="B811" i="28"/>
  <c r="B810" i="28"/>
  <c r="B809" i="28"/>
  <c r="B808" i="28"/>
  <c r="B807" i="28"/>
  <c r="B806" i="28"/>
  <c r="B805" i="28"/>
  <c r="B804" i="28"/>
  <c r="B803" i="28"/>
  <c r="B802" i="28"/>
  <c r="B801" i="28"/>
  <c r="B800" i="28"/>
  <c r="B799" i="28"/>
  <c r="B798" i="28"/>
  <c r="B797" i="28"/>
  <c r="B796" i="28"/>
  <c r="B795" i="28"/>
  <c r="B794" i="28"/>
  <c r="B793" i="28"/>
  <c r="B792" i="28"/>
  <c r="B791" i="28"/>
  <c r="B790" i="28"/>
  <c r="B789" i="28"/>
  <c r="B788" i="28"/>
  <c r="B787" i="28"/>
  <c r="B786" i="28"/>
  <c r="B785" i="28"/>
  <c r="B784" i="28"/>
  <c r="B783" i="28"/>
  <c r="B782" i="28"/>
  <c r="B781" i="28"/>
  <c r="B780" i="28"/>
  <c r="B779" i="28"/>
  <c r="B778" i="28"/>
  <c r="B777" i="28"/>
  <c r="B776" i="28"/>
  <c r="B775" i="28"/>
  <c r="B774" i="28"/>
  <c r="B773" i="28"/>
  <c r="B772" i="28"/>
  <c r="B771" i="28"/>
  <c r="B770" i="28"/>
  <c r="B769" i="28"/>
  <c r="B768" i="28"/>
  <c r="B767" i="28"/>
  <c r="B766" i="28"/>
  <c r="B765" i="28"/>
  <c r="B764" i="28"/>
  <c r="B763" i="28"/>
  <c r="B762" i="28"/>
  <c r="B761" i="28"/>
  <c r="B760" i="28"/>
  <c r="B759" i="28"/>
  <c r="B758" i="28"/>
  <c r="B757" i="28"/>
  <c r="B756" i="28"/>
  <c r="B755" i="28"/>
  <c r="B754" i="28"/>
  <c r="B753" i="28"/>
  <c r="B752" i="28"/>
  <c r="B751" i="28"/>
  <c r="B750" i="28"/>
  <c r="B749" i="28"/>
  <c r="B748" i="28"/>
  <c r="B747" i="28"/>
  <c r="B746" i="28"/>
  <c r="B745" i="28"/>
  <c r="B744" i="28"/>
  <c r="B743" i="28"/>
  <c r="B742" i="28"/>
  <c r="B741" i="28"/>
  <c r="B740" i="28"/>
  <c r="B739" i="28"/>
  <c r="B738" i="28"/>
  <c r="B737" i="28"/>
  <c r="B736" i="28"/>
  <c r="B735" i="28"/>
  <c r="B734" i="28"/>
  <c r="B733" i="28"/>
  <c r="B732" i="28"/>
  <c r="B731" i="28"/>
  <c r="B730" i="28"/>
  <c r="B729" i="28"/>
  <c r="B728" i="28"/>
  <c r="B727" i="28"/>
  <c r="B726" i="28"/>
  <c r="B725" i="28"/>
  <c r="B724" i="28"/>
  <c r="B723" i="28"/>
  <c r="B722" i="28"/>
  <c r="B721" i="28"/>
  <c r="B720" i="28"/>
  <c r="B719" i="28"/>
  <c r="B718" i="28"/>
  <c r="B717" i="28"/>
  <c r="B716" i="28"/>
  <c r="B715" i="28"/>
  <c r="B714" i="28"/>
  <c r="B713" i="28"/>
  <c r="B712" i="28"/>
  <c r="B711" i="28"/>
  <c r="B710" i="28"/>
  <c r="B709" i="28"/>
  <c r="B708" i="28"/>
  <c r="B707" i="28"/>
  <c r="B706" i="28"/>
  <c r="B705" i="28"/>
  <c r="B704" i="28"/>
  <c r="B703" i="28"/>
  <c r="B702" i="28"/>
  <c r="B701" i="28"/>
  <c r="B700" i="28"/>
  <c r="B699" i="28"/>
  <c r="B698" i="28"/>
  <c r="B697" i="28"/>
  <c r="B696" i="28"/>
  <c r="B695" i="28"/>
  <c r="B694" i="28"/>
  <c r="B693" i="28"/>
  <c r="B692" i="28"/>
  <c r="B691" i="28"/>
  <c r="B690" i="28"/>
  <c r="B689" i="28"/>
  <c r="B688" i="28"/>
  <c r="B687" i="28"/>
  <c r="B686" i="28"/>
  <c r="B685" i="28"/>
  <c r="B684" i="28"/>
  <c r="B683" i="28"/>
  <c r="B682" i="28"/>
  <c r="B681" i="28"/>
  <c r="B680" i="28"/>
  <c r="B679" i="28"/>
  <c r="B678" i="28"/>
  <c r="B677" i="28"/>
  <c r="B676" i="28"/>
  <c r="B675" i="28"/>
  <c r="B674" i="28"/>
  <c r="B673" i="28"/>
  <c r="B672" i="28"/>
  <c r="B671" i="28"/>
  <c r="B670" i="28"/>
  <c r="B669" i="28"/>
  <c r="B668" i="28"/>
  <c r="B667" i="28"/>
  <c r="B666" i="28"/>
  <c r="B665" i="28"/>
  <c r="B664" i="28"/>
  <c r="B663" i="28"/>
  <c r="B662" i="28"/>
  <c r="B661" i="28"/>
  <c r="B660" i="28"/>
  <c r="B659" i="28"/>
  <c r="B658" i="28"/>
  <c r="B657" i="28"/>
  <c r="B656" i="28"/>
  <c r="B655" i="28"/>
  <c r="B654" i="28"/>
  <c r="B653" i="28"/>
  <c r="B652" i="28"/>
  <c r="B651" i="28"/>
  <c r="B650" i="28"/>
  <c r="B649" i="28"/>
  <c r="B648" i="28"/>
  <c r="B647" i="28"/>
  <c r="B646" i="28"/>
  <c r="B645" i="28"/>
  <c r="B644" i="28"/>
  <c r="B643" i="28"/>
  <c r="B642" i="28"/>
  <c r="B641" i="28"/>
  <c r="B640" i="28"/>
  <c r="B639" i="28"/>
  <c r="B638" i="28"/>
  <c r="B637" i="28"/>
  <c r="B636" i="28"/>
  <c r="B635" i="28"/>
  <c r="B634" i="28"/>
  <c r="B633" i="28"/>
  <c r="B632" i="28"/>
  <c r="B631" i="28"/>
  <c r="B630" i="28"/>
  <c r="B629" i="28"/>
  <c r="B628" i="28"/>
  <c r="B627" i="28"/>
  <c r="B626" i="28"/>
  <c r="B625" i="28"/>
  <c r="B624" i="28"/>
  <c r="B623" i="28"/>
  <c r="B622" i="28"/>
  <c r="B621" i="28"/>
  <c r="B620" i="28"/>
  <c r="B619" i="28"/>
  <c r="B618" i="28"/>
  <c r="B617" i="28"/>
  <c r="B616" i="28"/>
  <c r="B615" i="28"/>
  <c r="B614" i="28"/>
  <c r="B613" i="28"/>
  <c r="B612" i="28"/>
  <c r="B611" i="28"/>
  <c r="B610" i="28"/>
  <c r="B609" i="28"/>
  <c r="B608" i="28"/>
  <c r="B607" i="28"/>
  <c r="B606" i="28"/>
  <c r="B605" i="28"/>
  <c r="B604" i="28"/>
  <c r="B603" i="28"/>
  <c r="B602" i="28"/>
  <c r="B601" i="28"/>
  <c r="B600" i="28"/>
  <c r="B599" i="28"/>
  <c r="B598" i="28"/>
  <c r="B597" i="28"/>
  <c r="B596" i="28"/>
  <c r="B595" i="28"/>
  <c r="B594" i="28"/>
  <c r="B593" i="28"/>
  <c r="B592" i="28"/>
  <c r="B591" i="28"/>
  <c r="B590" i="28"/>
  <c r="B589" i="28"/>
  <c r="B588" i="28"/>
  <c r="B587" i="28"/>
  <c r="B586" i="28"/>
  <c r="B585" i="28"/>
  <c r="B584" i="28"/>
  <c r="B583" i="28"/>
  <c r="B582" i="28"/>
  <c r="B581" i="28"/>
  <c r="B580" i="28"/>
  <c r="B579" i="28"/>
  <c r="B578" i="28"/>
  <c r="B577" i="28"/>
  <c r="B576" i="28"/>
  <c r="B575" i="28"/>
  <c r="B574" i="28"/>
  <c r="B573" i="28"/>
  <c r="B572" i="28"/>
  <c r="B571" i="28"/>
  <c r="B570" i="28"/>
  <c r="B569" i="28"/>
  <c r="B568" i="28"/>
  <c r="B567" i="28"/>
  <c r="B566" i="28"/>
  <c r="B565" i="28"/>
  <c r="B564" i="28"/>
  <c r="B563" i="28"/>
  <c r="B562" i="28"/>
  <c r="B561" i="28"/>
  <c r="B560" i="28"/>
  <c r="B559" i="28"/>
  <c r="B558" i="28"/>
  <c r="B557" i="28"/>
  <c r="B556" i="28"/>
  <c r="B555" i="28"/>
  <c r="B554" i="28"/>
  <c r="B553" i="28"/>
  <c r="B552" i="28"/>
  <c r="B551" i="28"/>
  <c r="B550" i="28"/>
  <c r="B549" i="28"/>
  <c r="B548" i="28"/>
  <c r="B547" i="28"/>
  <c r="B546" i="28"/>
  <c r="B545" i="28"/>
  <c r="B544" i="28"/>
  <c r="B543" i="28"/>
  <c r="B542" i="28"/>
  <c r="B541" i="28"/>
  <c r="B540" i="28"/>
  <c r="B539" i="28"/>
  <c r="B538" i="28"/>
  <c r="B537" i="28"/>
  <c r="B536" i="28"/>
  <c r="B535" i="28"/>
  <c r="B534" i="28"/>
  <c r="B533" i="28"/>
  <c r="B532" i="28"/>
  <c r="B531" i="28"/>
  <c r="B530" i="28"/>
  <c r="B529" i="28"/>
  <c r="B528" i="28"/>
  <c r="B527" i="28"/>
  <c r="B526" i="28"/>
  <c r="B525" i="28"/>
  <c r="B524" i="28"/>
  <c r="B523" i="28"/>
  <c r="B522" i="28"/>
  <c r="B521" i="28"/>
  <c r="B520" i="28"/>
  <c r="B519" i="28"/>
  <c r="B518" i="28"/>
  <c r="B517" i="28"/>
  <c r="B516" i="28"/>
  <c r="B515" i="28"/>
  <c r="B514" i="28"/>
  <c r="B513" i="28"/>
  <c r="B512" i="28"/>
  <c r="B511" i="28"/>
  <c r="B510" i="28"/>
  <c r="B509" i="28"/>
  <c r="B508" i="28"/>
  <c r="B507" i="28"/>
  <c r="B506" i="28"/>
  <c r="B505" i="28"/>
  <c r="B504" i="28"/>
  <c r="B503" i="28"/>
  <c r="B502" i="28"/>
  <c r="B501" i="28"/>
  <c r="B500" i="28"/>
  <c r="B499" i="28"/>
  <c r="B498" i="28"/>
  <c r="B497" i="28"/>
  <c r="B496" i="28"/>
  <c r="B495" i="28"/>
  <c r="B494" i="28"/>
  <c r="B493" i="28"/>
  <c r="B492" i="28"/>
  <c r="B491" i="28"/>
  <c r="B490" i="28"/>
  <c r="B489" i="28"/>
  <c r="B488" i="28"/>
  <c r="B487" i="28"/>
  <c r="B486" i="28"/>
  <c r="B485" i="28"/>
  <c r="B484" i="28"/>
  <c r="B483" i="28"/>
  <c r="B482" i="28"/>
  <c r="B481" i="28"/>
  <c r="B480" i="28"/>
  <c r="B479" i="28"/>
  <c r="B478" i="28"/>
  <c r="B477" i="28"/>
  <c r="B476" i="28"/>
  <c r="B475" i="28"/>
  <c r="B474" i="28"/>
  <c r="B473" i="28"/>
  <c r="B472" i="28"/>
  <c r="B471" i="28"/>
  <c r="B470" i="28"/>
  <c r="B469" i="28"/>
  <c r="B468" i="28"/>
  <c r="B467" i="28"/>
  <c r="B466" i="28"/>
  <c r="B465" i="28"/>
  <c r="B464" i="28"/>
  <c r="B463" i="28"/>
  <c r="B462" i="28"/>
  <c r="B461" i="28"/>
  <c r="B460" i="28"/>
  <c r="B459" i="28"/>
  <c r="B458" i="28"/>
  <c r="B457" i="28"/>
  <c r="B456" i="28"/>
  <c r="B455" i="28"/>
  <c r="B454" i="28"/>
  <c r="B453" i="28"/>
  <c r="B452" i="28"/>
  <c r="B451" i="28"/>
  <c r="B450" i="28"/>
  <c r="B449" i="28"/>
  <c r="B448" i="28"/>
  <c r="B447" i="28"/>
  <c r="B446" i="28"/>
  <c r="B445" i="28"/>
  <c r="B444" i="28"/>
  <c r="B443" i="28"/>
  <c r="B442" i="28"/>
  <c r="B441" i="28"/>
  <c r="B440" i="28"/>
  <c r="B439" i="28"/>
  <c r="B438" i="28"/>
  <c r="B437" i="28"/>
  <c r="B436" i="28"/>
  <c r="B435" i="28"/>
  <c r="B434" i="28"/>
  <c r="B433" i="28"/>
  <c r="B432" i="28"/>
  <c r="B431" i="28"/>
  <c r="B430" i="28"/>
  <c r="B429" i="28"/>
  <c r="B428" i="28"/>
  <c r="B427" i="28"/>
  <c r="B426" i="28"/>
  <c r="B425" i="28"/>
  <c r="B424" i="28"/>
  <c r="B423" i="28"/>
  <c r="B422" i="28"/>
  <c r="B421" i="28"/>
  <c r="B420" i="28"/>
  <c r="B419" i="28"/>
  <c r="B418" i="28"/>
  <c r="B417" i="28"/>
  <c r="B416" i="28"/>
  <c r="B415" i="28"/>
  <c r="B414" i="28"/>
  <c r="B413" i="28"/>
  <c r="B412" i="28"/>
  <c r="B411" i="28"/>
  <c r="B410" i="28"/>
  <c r="B409" i="28"/>
  <c r="B408" i="28"/>
  <c r="B407" i="28"/>
  <c r="B406" i="28"/>
  <c r="B405" i="28"/>
  <c r="B404" i="28"/>
  <c r="B403" i="28"/>
  <c r="B402" i="28"/>
  <c r="B401" i="28"/>
  <c r="B400" i="28"/>
  <c r="B399" i="28"/>
  <c r="B398" i="28"/>
  <c r="B397" i="28"/>
  <c r="B396" i="28"/>
  <c r="B395" i="28"/>
  <c r="B394" i="28"/>
  <c r="B393" i="28"/>
  <c r="B392" i="28"/>
  <c r="B391" i="28"/>
  <c r="B390" i="28"/>
  <c r="B389" i="28"/>
  <c r="B388" i="28"/>
  <c r="B387" i="28"/>
  <c r="B386" i="28"/>
  <c r="B385" i="28"/>
  <c r="B384" i="28"/>
  <c r="B383" i="28"/>
  <c r="B382" i="28"/>
  <c r="B381" i="28"/>
  <c r="B380" i="28"/>
  <c r="B379" i="28"/>
  <c r="B378" i="28"/>
  <c r="B377" i="28"/>
  <c r="B376" i="28"/>
  <c r="B375" i="28"/>
  <c r="B374" i="28"/>
  <c r="B373" i="28"/>
  <c r="B372" i="28"/>
  <c r="B371" i="28"/>
  <c r="B370" i="28"/>
  <c r="B369" i="28"/>
  <c r="B368" i="28"/>
  <c r="B367" i="28"/>
  <c r="B366" i="28"/>
  <c r="B365" i="28"/>
  <c r="B364" i="28"/>
  <c r="B363" i="28"/>
  <c r="B362" i="28"/>
  <c r="B361" i="28"/>
  <c r="B360" i="28"/>
  <c r="B359" i="28"/>
  <c r="B358" i="28"/>
  <c r="B357" i="28"/>
  <c r="B356" i="28"/>
  <c r="B355" i="28"/>
  <c r="B354" i="28"/>
  <c r="B353" i="28"/>
  <c r="B352" i="28"/>
  <c r="B351" i="28"/>
  <c r="B350" i="28"/>
  <c r="B349" i="28"/>
  <c r="B348" i="28"/>
  <c r="B347" i="28"/>
  <c r="B346" i="28"/>
  <c r="B345" i="28"/>
  <c r="B344" i="28"/>
  <c r="B343" i="28"/>
  <c r="B342" i="28"/>
  <c r="B341" i="28"/>
  <c r="B340" i="28"/>
  <c r="B339" i="28"/>
  <c r="B338" i="28"/>
  <c r="B337" i="28"/>
  <c r="B336" i="28"/>
  <c r="B335" i="28"/>
  <c r="B334" i="28"/>
  <c r="B333" i="28"/>
  <c r="B332" i="28"/>
  <c r="B331" i="28"/>
  <c r="B330" i="28"/>
  <c r="B329" i="28"/>
  <c r="B328" i="28"/>
  <c r="B327" i="28"/>
  <c r="B326" i="28"/>
  <c r="B325" i="28"/>
  <c r="B324" i="28"/>
  <c r="B323" i="28"/>
  <c r="B322" i="28"/>
  <c r="B321" i="28"/>
  <c r="B320" i="28"/>
  <c r="B319" i="28"/>
  <c r="B318" i="28"/>
  <c r="B317" i="28"/>
  <c r="B316" i="28"/>
  <c r="B315" i="28"/>
  <c r="B314" i="28"/>
  <c r="B313" i="28"/>
  <c r="B312" i="28"/>
  <c r="B311" i="28"/>
  <c r="B310" i="28"/>
  <c r="B309" i="28"/>
  <c r="B308" i="28"/>
  <c r="B307" i="28"/>
  <c r="B306" i="28"/>
  <c r="B305" i="28"/>
  <c r="B304" i="28"/>
  <c r="B303" i="28"/>
  <c r="B302" i="28"/>
  <c r="B301" i="28"/>
  <c r="B300" i="28"/>
  <c r="B299" i="28"/>
  <c r="B298" i="28"/>
  <c r="B297" i="28"/>
  <c r="B296" i="28"/>
  <c r="B295" i="28"/>
  <c r="B294" i="28"/>
  <c r="B293" i="28"/>
  <c r="B292" i="28"/>
  <c r="B291" i="28"/>
  <c r="B290" i="28"/>
  <c r="B289" i="28"/>
  <c r="B288" i="28"/>
  <c r="B287" i="28"/>
  <c r="B286" i="28"/>
  <c r="B285" i="28"/>
  <c r="B284" i="28"/>
  <c r="B283" i="28"/>
  <c r="B282" i="28"/>
  <c r="B281" i="28"/>
  <c r="B280" i="28"/>
  <c r="B279" i="28"/>
  <c r="B278" i="28"/>
  <c r="B277" i="28"/>
  <c r="B276" i="28"/>
  <c r="B275" i="28"/>
  <c r="B274" i="28"/>
  <c r="B273" i="28"/>
  <c r="B272" i="28"/>
  <c r="B271" i="28"/>
  <c r="B270" i="28"/>
  <c r="B269" i="28"/>
  <c r="B268" i="28"/>
  <c r="B267" i="28"/>
  <c r="B266" i="28"/>
  <c r="B265" i="28"/>
  <c r="B264" i="28"/>
  <c r="B263" i="28"/>
  <c r="B262" i="28"/>
  <c r="B261" i="28"/>
  <c r="B260" i="28"/>
  <c r="B259" i="28"/>
  <c r="B258" i="28"/>
  <c r="B257" i="28"/>
  <c r="B256" i="28"/>
  <c r="B255" i="28"/>
  <c r="B254" i="28"/>
  <c r="B253" i="28"/>
  <c r="B252" i="28"/>
  <c r="B251" i="28"/>
  <c r="B250" i="28"/>
  <c r="B249" i="28"/>
  <c r="B248" i="28"/>
  <c r="B247" i="28"/>
  <c r="B246" i="28"/>
  <c r="B245" i="28"/>
  <c r="B244" i="28"/>
  <c r="B243" i="28"/>
  <c r="B242" i="28"/>
  <c r="B241" i="28"/>
  <c r="B240" i="28"/>
  <c r="B239" i="28"/>
  <c r="B238" i="28"/>
  <c r="B237" i="28"/>
  <c r="B236" i="28"/>
  <c r="B235" i="28"/>
  <c r="B234" i="28"/>
  <c r="B233" i="28"/>
  <c r="B232" i="28"/>
  <c r="B231" i="28"/>
  <c r="B230" i="28"/>
  <c r="B229" i="28"/>
  <c r="B228" i="28"/>
  <c r="B227" i="28"/>
  <c r="B226" i="28"/>
  <c r="B225" i="28"/>
  <c r="B224" i="28"/>
  <c r="B223" i="28"/>
  <c r="B222" i="28"/>
  <c r="B221" i="28"/>
  <c r="B220" i="28"/>
  <c r="B219" i="28"/>
  <c r="B218" i="28"/>
  <c r="B217" i="28"/>
  <c r="B216" i="28"/>
  <c r="B215" i="28"/>
  <c r="B214" i="28"/>
  <c r="B213" i="28"/>
  <c r="B212" i="28"/>
  <c r="B211" i="28"/>
  <c r="B210" i="28"/>
  <c r="B209" i="28"/>
  <c r="B208" i="28"/>
  <c r="B207"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B6" i="28"/>
  <c r="B5" i="28"/>
  <c r="B4" i="28"/>
  <c r="B3" i="28"/>
  <c r="B2" i="28"/>
  <c r="B1000" i="27"/>
  <c r="B999" i="27"/>
  <c r="B998" i="27"/>
  <c r="B997" i="27"/>
  <c r="B996" i="27"/>
  <c r="B995" i="27"/>
  <c r="B994" i="27"/>
  <c r="B993" i="27"/>
  <c r="B992" i="27"/>
  <c r="B991" i="27"/>
  <c r="B990" i="27"/>
  <c r="B989" i="27"/>
  <c r="B988" i="27"/>
  <c r="B987" i="27"/>
  <c r="B986" i="27"/>
  <c r="B985" i="27"/>
  <c r="B984" i="27"/>
  <c r="B983" i="27"/>
  <c r="B982" i="27"/>
  <c r="B981" i="27"/>
  <c r="B980" i="27"/>
  <c r="B979" i="27"/>
  <c r="B978" i="27"/>
  <c r="B977" i="27"/>
  <c r="B976" i="27"/>
  <c r="B975" i="27"/>
  <c r="B974" i="27"/>
  <c r="B973" i="27"/>
  <c r="B972" i="27"/>
  <c r="B971" i="27"/>
  <c r="B970" i="27"/>
  <c r="B969" i="27"/>
  <c r="B968" i="27"/>
  <c r="B967" i="27"/>
  <c r="B966" i="27"/>
  <c r="B965" i="27"/>
  <c r="B964" i="27"/>
  <c r="B963" i="27"/>
  <c r="B962" i="27"/>
  <c r="B961" i="27"/>
  <c r="B960" i="27"/>
  <c r="B959" i="27"/>
  <c r="B958" i="27"/>
  <c r="B957" i="27"/>
  <c r="B956" i="27"/>
  <c r="B955" i="27"/>
  <c r="B954" i="27"/>
  <c r="B953" i="27"/>
  <c r="B952" i="27"/>
  <c r="B951" i="27"/>
  <c r="B950" i="27"/>
  <c r="B949" i="27"/>
  <c r="B948" i="27"/>
  <c r="B947" i="27"/>
  <c r="B946" i="27"/>
  <c r="B945" i="27"/>
  <c r="B944" i="27"/>
  <c r="B943" i="27"/>
  <c r="B942" i="27"/>
  <c r="B941" i="27"/>
  <c r="B940" i="27"/>
  <c r="B939" i="27"/>
  <c r="B938" i="27"/>
  <c r="B937" i="27"/>
  <c r="B936" i="27"/>
  <c r="B935" i="27"/>
  <c r="B934" i="27"/>
  <c r="B933" i="27"/>
  <c r="B932" i="27"/>
  <c r="B931" i="27"/>
  <c r="B930" i="27"/>
  <c r="B929" i="27"/>
  <c r="B928" i="27"/>
  <c r="B927" i="27"/>
  <c r="B926" i="27"/>
  <c r="B925" i="27"/>
  <c r="B924" i="27"/>
  <c r="B923" i="27"/>
  <c r="B922" i="27"/>
  <c r="B921" i="27"/>
  <c r="B920" i="27"/>
  <c r="B919" i="27"/>
  <c r="B918" i="27"/>
  <c r="B917" i="27"/>
  <c r="B916" i="27"/>
  <c r="B915" i="27"/>
  <c r="B914" i="27"/>
  <c r="B913" i="27"/>
  <c r="B912" i="27"/>
  <c r="B911" i="27"/>
  <c r="B910" i="27"/>
  <c r="B909" i="27"/>
  <c r="B908" i="27"/>
  <c r="B907" i="27"/>
  <c r="B906" i="27"/>
  <c r="B905" i="27"/>
  <c r="B904" i="27"/>
  <c r="B903" i="27"/>
  <c r="B902" i="27"/>
  <c r="B901" i="27"/>
  <c r="B900" i="27"/>
  <c r="B899" i="27"/>
  <c r="B898" i="27"/>
  <c r="B897" i="27"/>
  <c r="B896" i="27"/>
  <c r="B895" i="27"/>
  <c r="B894" i="27"/>
  <c r="B893" i="27"/>
  <c r="B892" i="27"/>
  <c r="B891" i="27"/>
  <c r="B890" i="27"/>
  <c r="B889" i="27"/>
  <c r="B888" i="27"/>
  <c r="B887" i="27"/>
  <c r="B886" i="27"/>
  <c r="B885" i="27"/>
  <c r="B884" i="27"/>
  <c r="B883" i="27"/>
  <c r="B882" i="27"/>
  <c r="B881" i="27"/>
  <c r="B880" i="27"/>
  <c r="B879" i="27"/>
  <c r="B878" i="27"/>
  <c r="B877" i="27"/>
  <c r="B876" i="27"/>
  <c r="B875" i="27"/>
  <c r="B874" i="27"/>
  <c r="B873" i="27"/>
  <c r="B872" i="27"/>
  <c r="B871" i="27"/>
  <c r="B870" i="27"/>
  <c r="B869" i="27"/>
  <c r="B868" i="27"/>
  <c r="B867" i="27"/>
  <c r="B866" i="27"/>
  <c r="B865" i="27"/>
  <c r="B864" i="27"/>
  <c r="B863" i="27"/>
  <c r="B862" i="27"/>
  <c r="B861" i="27"/>
  <c r="B860" i="27"/>
  <c r="B859" i="27"/>
  <c r="B858" i="27"/>
  <c r="B857" i="27"/>
  <c r="B856" i="27"/>
  <c r="B855" i="27"/>
  <c r="B854" i="27"/>
  <c r="B853" i="27"/>
  <c r="B852" i="27"/>
  <c r="B851" i="27"/>
  <c r="B850" i="27"/>
  <c r="B849" i="27"/>
  <c r="B848" i="27"/>
  <c r="B847" i="27"/>
  <c r="B846" i="27"/>
  <c r="B845" i="27"/>
  <c r="B844" i="27"/>
  <c r="B843" i="27"/>
  <c r="B842" i="27"/>
  <c r="B841" i="27"/>
  <c r="B840" i="27"/>
  <c r="B839" i="27"/>
  <c r="B838" i="27"/>
  <c r="B837" i="27"/>
  <c r="B836" i="27"/>
  <c r="B835" i="27"/>
  <c r="B834" i="27"/>
  <c r="B833" i="27"/>
  <c r="B832" i="27"/>
  <c r="B831" i="27"/>
  <c r="B830" i="27"/>
  <c r="B829" i="27"/>
  <c r="B828" i="27"/>
  <c r="B827" i="27"/>
  <c r="B826" i="27"/>
  <c r="B825" i="27"/>
  <c r="B824" i="27"/>
  <c r="B823" i="27"/>
  <c r="B822" i="27"/>
  <c r="B821" i="27"/>
  <c r="B820" i="27"/>
  <c r="B819" i="27"/>
  <c r="B818" i="27"/>
  <c r="B817" i="27"/>
  <c r="B816" i="27"/>
  <c r="B815" i="27"/>
  <c r="B814" i="27"/>
  <c r="B813" i="27"/>
  <c r="B812" i="27"/>
  <c r="B811" i="27"/>
  <c r="B810" i="27"/>
  <c r="B809" i="27"/>
  <c r="B808" i="27"/>
  <c r="B807" i="27"/>
  <c r="B806" i="27"/>
  <c r="B805" i="27"/>
  <c r="B804" i="27"/>
  <c r="B803" i="27"/>
  <c r="B802" i="27"/>
  <c r="B801" i="27"/>
  <c r="B800" i="27"/>
  <c r="B799" i="27"/>
  <c r="B798" i="27"/>
  <c r="B797" i="27"/>
  <c r="B796" i="27"/>
  <c r="B795" i="27"/>
  <c r="B794" i="27"/>
  <c r="B793" i="27"/>
  <c r="B792" i="27"/>
  <c r="B791" i="27"/>
  <c r="B790" i="27"/>
  <c r="B789" i="27"/>
  <c r="B788" i="27"/>
  <c r="B787" i="27"/>
  <c r="B786" i="27"/>
  <c r="B785" i="27"/>
  <c r="B784" i="27"/>
  <c r="B783" i="27"/>
  <c r="B782" i="27"/>
  <c r="B781" i="27"/>
  <c r="B780" i="27"/>
  <c r="B779" i="27"/>
  <c r="B778" i="27"/>
  <c r="B777" i="27"/>
  <c r="B776" i="27"/>
  <c r="B775" i="27"/>
  <c r="B774" i="27"/>
  <c r="B773" i="27"/>
  <c r="B772" i="27"/>
  <c r="B771" i="27"/>
  <c r="B770" i="27"/>
  <c r="B769" i="27"/>
  <c r="B768" i="27"/>
  <c r="B767" i="27"/>
  <c r="B766" i="27"/>
  <c r="B765" i="27"/>
  <c r="B764" i="27"/>
  <c r="B763" i="27"/>
  <c r="B762" i="27"/>
  <c r="B761" i="27"/>
  <c r="B760" i="27"/>
  <c r="B759" i="27"/>
  <c r="B758" i="27"/>
  <c r="B757" i="27"/>
  <c r="B756" i="27"/>
  <c r="B755" i="27"/>
  <c r="B754" i="27"/>
  <c r="B753" i="27"/>
  <c r="B752" i="27"/>
  <c r="B751" i="27"/>
  <c r="B750" i="27"/>
  <c r="B749" i="27"/>
  <c r="B748" i="27"/>
  <c r="B747" i="27"/>
  <c r="B746" i="27"/>
  <c r="B745" i="27"/>
  <c r="B744" i="27"/>
  <c r="B743" i="27"/>
  <c r="B742" i="27"/>
  <c r="B741" i="27"/>
  <c r="B740" i="27"/>
  <c r="B739" i="27"/>
  <c r="B738" i="27"/>
  <c r="B737" i="27"/>
  <c r="B736" i="27"/>
  <c r="B735" i="27"/>
  <c r="B734" i="27"/>
  <c r="B733" i="27"/>
  <c r="B732" i="27"/>
  <c r="B731" i="27"/>
  <c r="B730" i="27"/>
  <c r="B729" i="27"/>
  <c r="B728" i="27"/>
  <c r="B727" i="27"/>
  <c r="B726" i="27"/>
  <c r="B725" i="27"/>
  <c r="B724" i="27"/>
  <c r="B723" i="27"/>
  <c r="B722" i="27"/>
  <c r="B721" i="27"/>
  <c r="B720" i="27"/>
  <c r="B719" i="27"/>
  <c r="B718" i="27"/>
  <c r="B717" i="27"/>
  <c r="B716" i="27"/>
  <c r="B715" i="27"/>
  <c r="B714" i="27"/>
  <c r="B713" i="27"/>
  <c r="B712" i="27"/>
  <c r="B711" i="27"/>
  <c r="B710" i="27"/>
  <c r="B709" i="27"/>
  <c r="B708" i="27"/>
  <c r="B707" i="27"/>
  <c r="B706" i="27"/>
  <c r="B705" i="27"/>
  <c r="B704" i="27"/>
  <c r="B703" i="27"/>
  <c r="B702" i="27"/>
  <c r="B701" i="27"/>
  <c r="B700" i="27"/>
  <c r="B699" i="27"/>
  <c r="B698" i="27"/>
  <c r="B697" i="27"/>
  <c r="B696" i="27"/>
  <c r="B695" i="27"/>
  <c r="B694" i="27"/>
  <c r="B693" i="27"/>
  <c r="B692" i="27"/>
  <c r="B691" i="27"/>
  <c r="B690" i="27"/>
  <c r="B689" i="27"/>
  <c r="B688" i="27"/>
  <c r="B687" i="27"/>
  <c r="B686" i="27"/>
  <c r="B685" i="27"/>
  <c r="B684" i="27"/>
  <c r="B683" i="27"/>
  <c r="B682" i="27"/>
  <c r="B681" i="27"/>
  <c r="B680" i="27"/>
  <c r="B679" i="27"/>
  <c r="B678" i="27"/>
  <c r="B677" i="27"/>
  <c r="B676" i="27"/>
  <c r="B675" i="27"/>
  <c r="B674" i="27"/>
  <c r="B673" i="27"/>
  <c r="B672" i="27"/>
  <c r="B671" i="27"/>
  <c r="B670" i="27"/>
  <c r="B669" i="27"/>
  <c r="B668" i="27"/>
  <c r="B667" i="27"/>
  <c r="B666" i="27"/>
  <c r="B665" i="27"/>
  <c r="B664" i="27"/>
  <c r="B663" i="27"/>
  <c r="B662" i="27"/>
  <c r="B661" i="27"/>
  <c r="B660" i="27"/>
  <c r="B659" i="27"/>
  <c r="B658" i="27"/>
  <c r="B657" i="27"/>
  <c r="B656" i="27"/>
  <c r="B655" i="27"/>
  <c r="B654" i="27"/>
  <c r="B653" i="27"/>
  <c r="B652" i="27"/>
  <c r="B651" i="27"/>
  <c r="B650" i="27"/>
  <c r="B649" i="27"/>
  <c r="B648" i="27"/>
  <c r="B647" i="27"/>
  <c r="B646" i="27"/>
  <c r="B645" i="27"/>
  <c r="B644" i="27"/>
  <c r="B643" i="27"/>
  <c r="B642" i="27"/>
  <c r="B641" i="27"/>
  <c r="B640" i="27"/>
  <c r="B639" i="27"/>
  <c r="B638" i="27"/>
  <c r="B637" i="27"/>
  <c r="B636" i="27"/>
  <c r="B635" i="27"/>
  <c r="B634" i="27"/>
  <c r="B633" i="27"/>
  <c r="B632" i="27"/>
  <c r="B631" i="27"/>
  <c r="B630" i="27"/>
  <c r="B629" i="27"/>
  <c r="B628" i="27"/>
  <c r="B627" i="27"/>
  <c r="B626" i="27"/>
  <c r="B625" i="27"/>
  <c r="B624" i="27"/>
  <c r="B623" i="27"/>
  <c r="B622" i="27"/>
  <c r="B621" i="27"/>
  <c r="B620" i="27"/>
  <c r="B619" i="27"/>
  <c r="B618" i="27"/>
  <c r="B617" i="27"/>
  <c r="B616" i="27"/>
  <c r="B615" i="27"/>
  <c r="B614" i="27"/>
  <c r="B613" i="27"/>
  <c r="B612" i="27"/>
  <c r="B611" i="27"/>
  <c r="B610" i="27"/>
  <c r="B609" i="27"/>
  <c r="B608" i="27"/>
  <c r="B607" i="27"/>
  <c r="B606" i="27"/>
  <c r="B605" i="27"/>
  <c r="B604" i="27"/>
  <c r="B603" i="27"/>
  <c r="B602" i="27"/>
  <c r="B601" i="27"/>
  <c r="B600" i="27"/>
  <c r="B599" i="27"/>
  <c r="B598" i="27"/>
  <c r="B597" i="27"/>
  <c r="B596" i="27"/>
  <c r="B595" i="27"/>
  <c r="B594" i="27"/>
  <c r="B593" i="27"/>
  <c r="B592" i="27"/>
  <c r="B591" i="27"/>
  <c r="B590" i="27"/>
  <c r="B589" i="27"/>
  <c r="B588" i="27"/>
  <c r="B587" i="27"/>
  <c r="B586" i="27"/>
  <c r="B585" i="27"/>
  <c r="B584" i="27"/>
  <c r="B583" i="27"/>
  <c r="B582" i="27"/>
  <c r="B581" i="27"/>
  <c r="B580" i="27"/>
  <c r="B579" i="27"/>
  <c r="B578" i="27"/>
  <c r="B577" i="27"/>
  <c r="B576" i="27"/>
  <c r="B575" i="27"/>
  <c r="B574" i="27"/>
  <c r="B573" i="27"/>
  <c r="B572" i="27"/>
  <c r="B571" i="27"/>
  <c r="B570" i="27"/>
  <c r="B569" i="27"/>
  <c r="B568" i="27"/>
  <c r="B567" i="27"/>
  <c r="B566" i="27"/>
  <c r="B565" i="27"/>
  <c r="B564" i="27"/>
  <c r="B563" i="27"/>
  <c r="B562" i="27"/>
  <c r="B561" i="27"/>
  <c r="B560" i="27"/>
  <c r="B559" i="27"/>
  <c r="B558" i="27"/>
  <c r="B557" i="27"/>
  <c r="B556" i="27"/>
  <c r="B555" i="27"/>
  <c r="B554" i="27"/>
  <c r="B553" i="27"/>
  <c r="B552" i="27"/>
  <c r="B551" i="27"/>
  <c r="B550" i="27"/>
  <c r="B549" i="27"/>
  <c r="B548" i="27"/>
  <c r="B547" i="27"/>
  <c r="B546" i="27"/>
  <c r="B545" i="27"/>
  <c r="B544" i="27"/>
  <c r="B543" i="27"/>
  <c r="B542" i="27"/>
  <c r="B541" i="27"/>
  <c r="B540" i="27"/>
  <c r="B539" i="27"/>
  <c r="B538" i="27"/>
  <c r="B537" i="27"/>
  <c r="B536" i="27"/>
  <c r="B535" i="27"/>
  <c r="B534" i="27"/>
  <c r="B533" i="27"/>
  <c r="B532" i="27"/>
  <c r="B531" i="27"/>
  <c r="B530" i="27"/>
  <c r="B529" i="27"/>
  <c r="B528" i="27"/>
  <c r="B527" i="27"/>
  <c r="B526" i="27"/>
  <c r="B525" i="27"/>
  <c r="B524" i="27"/>
  <c r="B523" i="27"/>
  <c r="B522" i="27"/>
  <c r="B521" i="27"/>
  <c r="B520" i="27"/>
  <c r="B519" i="27"/>
  <c r="B518" i="27"/>
  <c r="B517" i="27"/>
  <c r="B516" i="27"/>
  <c r="B515" i="27"/>
  <c r="B514" i="27"/>
  <c r="B513" i="27"/>
  <c r="B512" i="27"/>
  <c r="B511" i="27"/>
  <c r="B510" i="27"/>
  <c r="B509" i="27"/>
  <c r="B508" i="27"/>
  <c r="B507" i="27"/>
  <c r="B506" i="27"/>
  <c r="B505" i="27"/>
  <c r="B504" i="27"/>
  <c r="B503" i="27"/>
  <c r="B502" i="27"/>
  <c r="B501" i="27"/>
  <c r="B500" i="27"/>
  <c r="B499" i="27"/>
  <c r="B498" i="27"/>
  <c r="B497" i="27"/>
  <c r="B496" i="27"/>
  <c r="B495" i="27"/>
  <c r="B494" i="27"/>
  <c r="B493" i="27"/>
  <c r="B492" i="27"/>
  <c r="B491" i="27"/>
  <c r="B490" i="27"/>
  <c r="B489" i="27"/>
  <c r="B488" i="27"/>
  <c r="B487" i="27"/>
  <c r="B486" i="27"/>
  <c r="B485" i="27"/>
  <c r="B484" i="27"/>
  <c r="B483" i="27"/>
  <c r="B482" i="27"/>
  <c r="B481" i="27"/>
  <c r="B480" i="27"/>
  <c r="B479" i="27"/>
  <c r="B478" i="27"/>
  <c r="B477" i="27"/>
  <c r="B476" i="27"/>
  <c r="B475" i="27"/>
  <c r="B474" i="27"/>
  <c r="B473" i="27"/>
  <c r="B472" i="27"/>
  <c r="B471" i="27"/>
  <c r="B470" i="27"/>
  <c r="B469" i="27"/>
  <c r="B468" i="27"/>
  <c r="B467" i="27"/>
  <c r="B466" i="27"/>
  <c r="B465" i="27"/>
  <c r="B464" i="27"/>
  <c r="B463" i="27"/>
  <c r="B462" i="27"/>
  <c r="B461" i="27"/>
  <c r="B460" i="27"/>
  <c r="B459" i="27"/>
  <c r="B458" i="27"/>
  <c r="B457" i="27"/>
  <c r="B456" i="27"/>
  <c r="B455" i="27"/>
  <c r="B454" i="27"/>
  <c r="B453" i="27"/>
  <c r="B452" i="27"/>
  <c r="B451" i="27"/>
  <c r="B450" i="27"/>
  <c r="B449" i="27"/>
  <c r="B448" i="27"/>
  <c r="B447" i="27"/>
  <c r="B446" i="27"/>
  <c r="B445" i="27"/>
  <c r="B444" i="27"/>
  <c r="B443" i="27"/>
  <c r="B442" i="27"/>
  <c r="B441" i="27"/>
  <c r="B440" i="27"/>
  <c r="B439" i="27"/>
  <c r="B438" i="27"/>
  <c r="B437" i="27"/>
  <c r="B436" i="27"/>
  <c r="B435" i="27"/>
  <c r="B434" i="27"/>
  <c r="B433" i="27"/>
  <c r="B432" i="27"/>
  <c r="B431" i="27"/>
  <c r="B430" i="27"/>
  <c r="B429" i="27"/>
  <c r="B428" i="27"/>
  <c r="B427" i="27"/>
  <c r="B426" i="27"/>
  <c r="B425" i="27"/>
  <c r="B424" i="27"/>
  <c r="B423" i="27"/>
  <c r="B422" i="27"/>
  <c r="B421" i="27"/>
  <c r="B420" i="27"/>
  <c r="B419" i="27"/>
  <c r="B418" i="27"/>
  <c r="B417" i="27"/>
  <c r="B416" i="27"/>
  <c r="B415" i="27"/>
  <c r="B414" i="27"/>
  <c r="B413" i="27"/>
  <c r="B412" i="27"/>
  <c r="B411" i="27"/>
  <c r="B410" i="27"/>
  <c r="B409" i="27"/>
  <c r="B408" i="27"/>
  <c r="B407" i="27"/>
  <c r="B406" i="27"/>
  <c r="B405" i="27"/>
  <c r="B404" i="27"/>
  <c r="B403" i="27"/>
  <c r="B402" i="27"/>
  <c r="B401" i="27"/>
  <c r="B400" i="27"/>
  <c r="B399" i="27"/>
  <c r="B398" i="27"/>
  <c r="B397" i="27"/>
  <c r="B396" i="27"/>
  <c r="B395" i="27"/>
  <c r="B394" i="27"/>
  <c r="B393" i="27"/>
  <c r="B392" i="27"/>
  <c r="B391" i="27"/>
  <c r="B390" i="27"/>
  <c r="B389" i="27"/>
  <c r="B388" i="27"/>
  <c r="B387" i="27"/>
  <c r="B386" i="27"/>
  <c r="B385" i="27"/>
  <c r="B384" i="27"/>
  <c r="B383" i="27"/>
  <c r="B382" i="27"/>
  <c r="B381" i="27"/>
  <c r="B380" i="27"/>
  <c r="B379" i="27"/>
  <c r="B378" i="27"/>
  <c r="B377" i="27"/>
  <c r="B376" i="27"/>
  <c r="B375" i="27"/>
  <c r="B374" i="27"/>
  <c r="B373" i="27"/>
  <c r="B372" i="27"/>
  <c r="B371" i="27"/>
  <c r="B370" i="27"/>
  <c r="B369" i="27"/>
  <c r="B368" i="27"/>
  <c r="B367" i="27"/>
  <c r="B366" i="27"/>
  <c r="B365" i="27"/>
  <c r="B364" i="27"/>
  <c r="B363" i="27"/>
  <c r="B362" i="27"/>
  <c r="B361" i="27"/>
  <c r="B360" i="27"/>
  <c r="B359" i="27"/>
  <c r="B358" i="27"/>
  <c r="B357" i="27"/>
  <c r="B356" i="27"/>
  <c r="B355" i="27"/>
  <c r="B354" i="27"/>
  <c r="B353" i="27"/>
  <c r="B352" i="27"/>
  <c r="B351" i="27"/>
  <c r="B350" i="27"/>
  <c r="B349" i="27"/>
  <c r="B348" i="27"/>
  <c r="B347" i="27"/>
  <c r="B346" i="27"/>
  <c r="B345" i="27"/>
  <c r="B344" i="27"/>
  <c r="B343" i="27"/>
  <c r="B342" i="27"/>
  <c r="B341" i="27"/>
  <c r="B340" i="27"/>
  <c r="B339" i="27"/>
  <c r="B338" i="27"/>
  <c r="B337" i="27"/>
  <c r="B336" i="27"/>
  <c r="B335" i="27"/>
  <c r="B334" i="27"/>
  <c r="B333" i="27"/>
  <c r="B332" i="27"/>
  <c r="B331" i="27"/>
  <c r="B330" i="27"/>
  <c r="B329" i="27"/>
  <c r="B328" i="27"/>
  <c r="B327" i="27"/>
  <c r="B326" i="27"/>
  <c r="B325" i="27"/>
  <c r="B324" i="27"/>
  <c r="B323" i="27"/>
  <c r="B322" i="27"/>
  <c r="B321" i="27"/>
  <c r="B320" i="27"/>
  <c r="B319" i="27"/>
  <c r="B318" i="27"/>
  <c r="B317" i="27"/>
  <c r="B316" i="27"/>
  <c r="B315" i="27"/>
  <c r="B314" i="27"/>
  <c r="B313" i="27"/>
  <c r="B312" i="27"/>
  <c r="B311" i="27"/>
  <c r="B310" i="27"/>
  <c r="B309" i="27"/>
  <c r="B308" i="27"/>
  <c r="B307" i="27"/>
  <c r="B306" i="27"/>
  <c r="B305" i="27"/>
  <c r="B304" i="27"/>
  <c r="B303" i="27"/>
  <c r="B302" i="27"/>
  <c r="B301" i="27"/>
  <c r="B300" i="27"/>
  <c r="B299" i="27"/>
  <c r="B298" i="27"/>
  <c r="B297" i="27"/>
  <c r="B296" i="27"/>
  <c r="B295" i="27"/>
  <c r="B294" i="27"/>
  <c r="B293" i="27"/>
  <c r="B292" i="27"/>
  <c r="B291" i="27"/>
  <c r="B290" i="27"/>
  <c r="B289" i="27"/>
  <c r="B288" i="27"/>
  <c r="B287" i="27"/>
  <c r="B286" i="27"/>
  <c r="B285" i="27"/>
  <c r="B284" i="27"/>
  <c r="B283" i="27"/>
  <c r="B282" i="27"/>
  <c r="B281" i="27"/>
  <c r="B280" i="27"/>
  <c r="B279" i="27"/>
  <c r="B278" i="27"/>
  <c r="B277" i="27"/>
  <c r="B276" i="27"/>
  <c r="B275" i="27"/>
  <c r="B274" i="27"/>
  <c r="B273" i="27"/>
  <c r="B272" i="27"/>
  <c r="B271" i="27"/>
  <c r="B270" i="27"/>
  <c r="B269" i="27"/>
  <c r="B268" i="27"/>
  <c r="B267" i="27"/>
  <c r="B266" i="27"/>
  <c r="B265" i="27"/>
  <c r="B264" i="27"/>
  <c r="B263" i="27"/>
  <c r="B262" i="27"/>
  <c r="B261" i="27"/>
  <c r="B260" i="27"/>
  <c r="B259" i="27"/>
  <c r="B258" i="27"/>
  <c r="B257" i="27"/>
  <c r="B256" i="27"/>
  <c r="B255" i="27"/>
  <c r="B254" i="27"/>
  <c r="B253" i="27"/>
  <c r="B252" i="27"/>
  <c r="B251" i="27"/>
  <c r="B250" i="27"/>
  <c r="B249" i="27"/>
  <c r="B248" i="27"/>
  <c r="B247" i="27"/>
  <c r="B246" i="27"/>
  <c r="B245" i="27"/>
  <c r="B244" i="27"/>
  <c r="B243" i="27"/>
  <c r="B242" i="27"/>
  <c r="B241" i="27"/>
  <c r="B240" i="27"/>
  <c r="B239" i="27"/>
  <c r="B238" i="27"/>
  <c r="B237" i="27"/>
  <c r="B236" i="27"/>
  <c r="B235" i="27"/>
  <c r="B234" i="27"/>
  <c r="B233" i="27"/>
  <c r="B232" i="27"/>
  <c r="B231" i="27"/>
  <c r="B230" i="27"/>
  <c r="B229" i="27"/>
  <c r="B228" i="27"/>
  <c r="B227" i="27"/>
  <c r="B226" i="27"/>
  <c r="B225" i="27"/>
  <c r="B224" i="27"/>
  <c r="B223" i="27"/>
  <c r="B222" i="27"/>
  <c r="B221" i="27"/>
  <c r="B220" i="27"/>
  <c r="B219" i="27"/>
  <c r="B218" i="27"/>
  <c r="B217" i="27"/>
  <c r="B216" i="27"/>
  <c r="B215" i="27"/>
  <c r="B214" i="27"/>
  <c r="B213" i="27"/>
  <c r="B212" i="27"/>
  <c r="B211" i="27"/>
  <c r="B210" i="27"/>
  <c r="B209" i="27"/>
  <c r="B208" i="27"/>
  <c r="B207" i="27"/>
  <c r="B206" i="27"/>
  <c r="B205" i="27"/>
  <c r="B204" i="27"/>
  <c r="B203" i="27"/>
  <c r="B202" i="27"/>
  <c r="B201" i="27"/>
  <c r="B200" i="27"/>
  <c r="B199" i="27"/>
  <c r="B198" i="27"/>
  <c r="B197" i="27"/>
  <c r="B196" i="27"/>
  <c r="B195" i="27"/>
  <c r="B194" i="27"/>
  <c r="B193" i="27"/>
  <c r="B192" i="27"/>
  <c r="B191" i="27"/>
  <c r="B190" i="27"/>
  <c r="B189" i="27"/>
  <c r="B188" i="27"/>
  <c r="B187" i="27"/>
  <c r="B186" i="27"/>
  <c r="B185" i="27"/>
  <c r="B184" i="27"/>
  <c r="B183" i="27"/>
  <c r="B182" i="27"/>
  <c r="B181" i="27"/>
  <c r="B180" i="27"/>
  <c r="B179" i="27"/>
  <c r="B178" i="27"/>
  <c r="B177" i="27"/>
  <c r="B176" i="27"/>
  <c r="B175" i="27"/>
  <c r="B174" i="27"/>
  <c r="B173" i="27"/>
  <c r="B172" i="27"/>
  <c r="B171" i="27"/>
  <c r="B170" i="27"/>
  <c r="B169" i="27"/>
  <c r="B168" i="27"/>
  <c r="B167" i="27"/>
  <c r="B166" i="27"/>
  <c r="B165" i="27"/>
  <c r="B164" i="27"/>
  <c r="B163" i="27"/>
  <c r="B162" i="27"/>
  <c r="B161" i="27"/>
  <c r="B160" i="27"/>
  <c r="B159" i="27"/>
  <c r="B158" i="27"/>
  <c r="B157" i="27"/>
  <c r="B156" i="27"/>
  <c r="B155" i="27"/>
  <c r="B154" i="27"/>
  <c r="B153" i="27"/>
  <c r="B152" i="27"/>
  <c r="B151" i="27"/>
  <c r="B150" i="27"/>
  <c r="B149" i="27"/>
  <c r="B148" i="27"/>
  <c r="B147" i="27"/>
  <c r="B146" i="27"/>
  <c r="B145" i="27"/>
  <c r="B144" i="27"/>
  <c r="B143" i="27"/>
  <c r="B142" i="27"/>
  <c r="B141" i="27"/>
  <c r="B140" i="27"/>
  <c r="B139" i="27"/>
  <c r="B138" i="27"/>
  <c r="B137" i="27"/>
  <c r="B136" i="27"/>
  <c r="B135" i="27"/>
  <c r="B134" i="27"/>
  <c r="B133" i="27"/>
  <c r="B132" i="27"/>
  <c r="B131" i="27"/>
  <c r="B130" i="27"/>
  <c r="B129" i="27"/>
  <c r="B128" i="27"/>
  <c r="B127" i="27"/>
  <c r="B126" i="27"/>
  <c r="B125" i="27"/>
  <c r="B124" i="27"/>
  <c r="B123" i="27"/>
  <c r="B122" i="27"/>
  <c r="B121" i="27"/>
  <c r="B120" i="27"/>
  <c r="B119" i="27"/>
  <c r="B118" i="27"/>
  <c r="B117" i="27"/>
  <c r="B116" i="27"/>
  <c r="B115" i="27"/>
  <c r="B114" i="27"/>
  <c r="B113" i="27"/>
  <c r="B112" i="27"/>
  <c r="B111" i="27"/>
  <c r="B110" i="27"/>
  <c r="B109" i="27"/>
  <c r="B108" i="27"/>
  <c r="B107" i="27"/>
  <c r="B106" i="27"/>
  <c r="B105" i="27"/>
  <c r="B104" i="27"/>
  <c r="B103" i="27"/>
  <c r="B102" i="27"/>
  <c r="B101" i="27"/>
  <c r="B100" i="27"/>
  <c r="B99" i="27"/>
  <c r="B98" i="27"/>
  <c r="B97" i="27"/>
  <c r="B96" i="27"/>
  <c r="B95" i="27"/>
  <c r="B94" i="27"/>
  <c r="B93" i="27"/>
  <c r="B92" i="27"/>
  <c r="B91" i="27"/>
  <c r="B90" i="27"/>
  <c r="B89" i="27"/>
  <c r="B88" i="27"/>
  <c r="B87" i="27"/>
  <c r="B86" i="27"/>
  <c r="B85" i="27"/>
  <c r="B84" i="27"/>
  <c r="B83" i="27"/>
  <c r="B82" i="27"/>
  <c r="B81" i="27"/>
  <c r="B80" i="27"/>
  <c r="B79" i="27"/>
  <c r="B78" i="27"/>
  <c r="B77" i="27"/>
  <c r="B76" i="27"/>
  <c r="B75" i="27"/>
  <c r="B74" i="27"/>
  <c r="B73" i="27"/>
  <c r="B72" i="27"/>
  <c r="B71" i="27"/>
  <c r="B70" i="27"/>
  <c r="B69" i="27"/>
  <c r="B68" i="27"/>
  <c r="B67" i="27"/>
  <c r="B66" i="27"/>
  <c r="B65" i="27"/>
  <c r="B64" i="27"/>
  <c r="B63" i="27"/>
  <c r="B62" i="27"/>
  <c r="B61" i="27"/>
  <c r="B60" i="27"/>
  <c r="B59" i="27"/>
  <c r="B58" i="27"/>
  <c r="B57" i="27"/>
  <c r="B56" i="27"/>
  <c r="B55" i="27"/>
  <c r="B54" i="27"/>
  <c r="B53" i="27"/>
  <c r="B52" i="27"/>
  <c r="B51" i="27"/>
  <c r="B50" i="27"/>
  <c r="B49" i="27"/>
  <c r="B48" i="27"/>
  <c r="B47" i="27"/>
  <c r="B46" i="27"/>
  <c r="B45" i="27"/>
  <c r="B44" i="27"/>
  <c r="B43" i="27"/>
  <c r="B42" i="27"/>
  <c r="B41" i="27"/>
  <c r="B40" i="27"/>
  <c r="B39" i="27"/>
  <c r="B38" i="27"/>
  <c r="B37" i="27"/>
  <c r="B36" i="27"/>
  <c r="B35" i="27"/>
  <c r="B34" i="27"/>
  <c r="B33" i="27"/>
  <c r="B32" i="27"/>
  <c r="B31" i="27"/>
  <c r="B30" i="27"/>
  <c r="B29" i="27"/>
  <c r="B28" i="27"/>
  <c r="B27" i="27"/>
  <c r="B26" i="27"/>
  <c r="B25" i="27"/>
  <c r="B24" i="27"/>
  <c r="B23" i="27"/>
  <c r="B22" i="27"/>
  <c r="B21" i="27"/>
  <c r="B20" i="27"/>
  <c r="B19" i="27"/>
  <c r="B18" i="27"/>
  <c r="B17" i="27"/>
  <c r="B16" i="27"/>
  <c r="B15" i="27"/>
  <c r="B14" i="27"/>
  <c r="B13" i="27"/>
  <c r="B12" i="27"/>
  <c r="B11" i="27"/>
  <c r="B10" i="27"/>
  <c r="B9" i="27"/>
  <c r="B8" i="27"/>
  <c r="B7" i="27"/>
  <c r="B6" i="27"/>
  <c r="B5" i="27"/>
  <c r="B4" i="27"/>
  <c r="B3" i="27"/>
  <c r="B2" i="27"/>
  <c r="B1000" i="26"/>
  <c r="B999" i="26"/>
  <c r="B998" i="26"/>
  <c r="B997" i="26"/>
  <c r="B996" i="26"/>
  <c r="B995" i="26"/>
  <c r="B994" i="26"/>
  <c r="B993" i="26"/>
  <c r="B992" i="26"/>
  <c r="B991" i="26"/>
  <c r="B990" i="26"/>
  <c r="B989" i="26"/>
  <c r="B988" i="26"/>
  <c r="B987" i="26"/>
  <c r="B986" i="26"/>
  <c r="B985" i="26"/>
  <c r="B984" i="26"/>
  <c r="B983" i="26"/>
  <c r="B982" i="26"/>
  <c r="B981" i="26"/>
  <c r="B980" i="26"/>
  <c r="B979" i="26"/>
  <c r="B978" i="26"/>
  <c r="B977" i="26"/>
  <c r="B976" i="26"/>
  <c r="B975" i="26"/>
  <c r="B974" i="26"/>
  <c r="B973" i="26"/>
  <c r="B972" i="26"/>
  <c r="B971" i="26"/>
  <c r="B970" i="26"/>
  <c r="B969" i="26"/>
  <c r="B968" i="26"/>
  <c r="B967" i="26"/>
  <c r="B966" i="26"/>
  <c r="B965" i="26"/>
  <c r="B964" i="26"/>
  <c r="B963" i="26"/>
  <c r="B962" i="26"/>
  <c r="B961" i="26"/>
  <c r="B960" i="26"/>
  <c r="B959" i="26"/>
  <c r="B958" i="26"/>
  <c r="B957" i="26"/>
  <c r="B956" i="26"/>
  <c r="B955" i="26"/>
  <c r="B954" i="26"/>
  <c r="B953" i="26"/>
  <c r="B952" i="26"/>
  <c r="B951" i="26"/>
  <c r="B950" i="26"/>
  <c r="B949" i="26"/>
  <c r="B948" i="26"/>
  <c r="B947" i="26"/>
  <c r="B946" i="26"/>
  <c r="B945" i="26"/>
  <c r="B944" i="26"/>
  <c r="B943" i="26"/>
  <c r="B942" i="26"/>
  <c r="B941" i="26"/>
  <c r="B940" i="26"/>
  <c r="B939" i="26"/>
  <c r="B938" i="26"/>
  <c r="B937" i="26"/>
  <c r="B936" i="26"/>
  <c r="B935" i="26"/>
  <c r="B934" i="26"/>
  <c r="B933" i="26"/>
  <c r="B932" i="26"/>
  <c r="B931" i="26"/>
  <c r="B930" i="26"/>
  <c r="B929" i="26"/>
  <c r="B928" i="26"/>
  <c r="B927" i="26"/>
  <c r="B926" i="26"/>
  <c r="B925" i="26"/>
  <c r="B924" i="26"/>
  <c r="B923" i="26"/>
  <c r="B922" i="26"/>
  <c r="B921" i="26"/>
  <c r="B920" i="26"/>
  <c r="B919" i="26"/>
  <c r="B918" i="26"/>
  <c r="B917" i="26"/>
  <c r="B916" i="26"/>
  <c r="B915" i="26"/>
  <c r="B914" i="26"/>
  <c r="B913" i="26"/>
  <c r="B912" i="26"/>
  <c r="B911" i="26"/>
  <c r="B910" i="26"/>
  <c r="B909" i="26"/>
  <c r="B908" i="26"/>
  <c r="B907" i="26"/>
  <c r="B906" i="26"/>
  <c r="B905" i="26"/>
  <c r="B904" i="26"/>
  <c r="B903" i="26"/>
  <c r="B902" i="26"/>
  <c r="B901" i="26"/>
  <c r="B900" i="26"/>
  <c r="B899" i="26"/>
  <c r="B898" i="26"/>
  <c r="B897" i="26"/>
  <c r="B896" i="26"/>
  <c r="B895" i="26"/>
  <c r="B894" i="26"/>
  <c r="B893" i="26"/>
  <c r="B892" i="26"/>
  <c r="B891" i="26"/>
  <c r="B890" i="26"/>
  <c r="B889" i="26"/>
  <c r="B888" i="26"/>
  <c r="B887" i="26"/>
  <c r="B886" i="26"/>
  <c r="B885" i="26"/>
  <c r="B884" i="26"/>
  <c r="B883" i="26"/>
  <c r="B882" i="26"/>
  <c r="B881" i="26"/>
  <c r="B880" i="26"/>
  <c r="B879" i="26"/>
  <c r="B878" i="26"/>
  <c r="B877" i="26"/>
  <c r="B876" i="26"/>
  <c r="B875" i="26"/>
  <c r="B874" i="26"/>
  <c r="B873" i="26"/>
  <c r="B872" i="26"/>
  <c r="B871" i="26"/>
  <c r="B870" i="26"/>
  <c r="B869" i="26"/>
  <c r="B868" i="26"/>
  <c r="B867" i="26"/>
  <c r="B866" i="26"/>
  <c r="B865" i="26"/>
  <c r="B864" i="26"/>
  <c r="B863" i="26"/>
  <c r="B862" i="26"/>
  <c r="B861" i="26"/>
  <c r="B860" i="26"/>
  <c r="B859" i="26"/>
  <c r="B858" i="26"/>
  <c r="B857" i="26"/>
  <c r="B856" i="26"/>
  <c r="B855" i="26"/>
  <c r="B854" i="26"/>
  <c r="B853" i="26"/>
  <c r="B852" i="26"/>
  <c r="B851" i="26"/>
  <c r="B850" i="26"/>
  <c r="B849" i="26"/>
  <c r="B848" i="26"/>
  <c r="B847" i="26"/>
  <c r="B846" i="26"/>
  <c r="B845" i="26"/>
  <c r="B844" i="26"/>
  <c r="B843" i="26"/>
  <c r="B842" i="26"/>
  <c r="B841" i="26"/>
  <c r="B840" i="26"/>
  <c r="B839" i="26"/>
  <c r="B838" i="26"/>
  <c r="B837" i="26"/>
  <c r="B836" i="26"/>
  <c r="B835" i="26"/>
  <c r="B834" i="26"/>
  <c r="B833" i="26"/>
  <c r="B832" i="26"/>
  <c r="B831" i="26"/>
  <c r="B830" i="26"/>
  <c r="B829" i="26"/>
  <c r="B828" i="26"/>
  <c r="B827" i="26"/>
  <c r="B826" i="26"/>
  <c r="B825" i="26"/>
  <c r="B824" i="26"/>
  <c r="B823" i="26"/>
  <c r="B822" i="26"/>
  <c r="B821" i="26"/>
  <c r="B820" i="26"/>
  <c r="B819" i="26"/>
  <c r="B818" i="26"/>
  <c r="B817" i="26"/>
  <c r="B816" i="26"/>
  <c r="B815" i="26"/>
  <c r="B814" i="26"/>
  <c r="B813" i="26"/>
  <c r="B812" i="26"/>
  <c r="B811" i="26"/>
  <c r="B810" i="26"/>
  <c r="B809" i="26"/>
  <c r="B808" i="26"/>
  <c r="B807" i="26"/>
  <c r="B806" i="26"/>
  <c r="B805" i="26"/>
  <c r="B804" i="26"/>
  <c r="B803" i="26"/>
  <c r="B802" i="26"/>
  <c r="B801" i="26"/>
  <c r="B800" i="26"/>
  <c r="B799" i="26"/>
  <c r="B798" i="26"/>
  <c r="B797" i="26"/>
  <c r="B796" i="26"/>
  <c r="B795" i="26"/>
  <c r="B794" i="26"/>
  <c r="B793" i="26"/>
  <c r="B792" i="26"/>
  <c r="B791" i="26"/>
  <c r="B790" i="26"/>
  <c r="B789" i="26"/>
  <c r="B788" i="26"/>
  <c r="B787" i="26"/>
  <c r="B786" i="26"/>
  <c r="B785" i="26"/>
  <c r="B784" i="26"/>
  <c r="B783" i="26"/>
  <c r="B782" i="26"/>
  <c r="B781" i="26"/>
  <c r="B780" i="26"/>
  <c r="B779" i="26"/>
  <c r="B778" i="26"/>
  <c r="B777" i="26"/>
  <c r="B776" i="26"/>
  <c r="B775" i="26"/>
  <c r="B774" i="26"/>
  <c r="B773" i="26"/>
  <c r="B772" i="26"/>
  <c r="B771" i="26"/>
  <c r="B770" i="26"/>
  <c r="B769" i="26"/>
  <c r="B768" i="26"/>
  <c r="B767" i="26"/>
  <c r="B766" i="26"/>
  <c r="B765" i="26"/>
  <c r="B764" i="26"/>
  <c r="B763" i="26"/>
  <c r="B762" i="26"/>
  <c r="B761" i="26"/>
  <c r="B760" i="26"/>
  <c r="B759" i="26"/>
  <c r="B758" i="26"/>
  <c r="B757" i="26"/>
  <c r="B756" i="26"/>
  <c r="B755" i="26"/>
  <c r="B754" i="26"/>
  <c r="B753" i="26"/>
  <c r="B752" i="26"/>
  <c r="B751" i="26"/>
  <c r="B750" i="26"/>
  <c r="B749" i="26"/>
  <c r="B748" i="26"/>
  <c r="B747" i="26"/>
  <c r="B746" i="26"/>
  <c r="B745" i="26"/>
  <c r="B744" i="26"/>
  <c r="B743" i="26"/>
  <c r="B742" i="26"/>
  <c r="B741" i="26"/>
  <c r="B740" i="26"/>
  <c r="B739" i="26"/>
  <c r="B738" i="26"/>
  <c r="B737" i="26"/>
  <c r="B736" i="26"/>
  <c r="B735" i="26"/>
  <c r="B734" i="26"/>
  <c r="B733" i="26"/>
  <c r="B732" i="26"/>
  <c r="B731" i="26"/>
  <c r="B730" i="26"/>
  <c r="B729" i="26"/>
  <c r="B728" i="26"/>
  <c r="B727" i="26"/>
  <c r="B726" i="26"/>
  <c r="B725" i="26"/>
  <c r="B724" i="26"/>
  <c r="B723" i="26"/>
  <c r="B722" i="26"/>
  <c r="B721" i="26"/>
  <c r="B720" i="26"/>
  <c r="B719" i="26"/>
  <c r="B718" i="26"/>
  <c r="B717" i="26"/>
  <c r="B716" i="26"/>
  <c r="B715" i="26"/>
  <c r="B714" i="26"/>
  <c r="B713" i="26"/>
  <c r="B712" i="26"/>
  <c r="B711" i="26"/>
  <c r="B710" i="26"/>
  <c r="B709" i="26"/>
  <c r="B708" i="26"/>
  <c r="B707" i="26"/>
  <c r="B706" i="26"/>
  <c r="B705" i="26"/>
  <c r="B704" i="26"/>
  <c r="B703" i="26"/>
  <c r="B702" i="26"/>
  <c r="B701" i="26"/>
  <c r="B700" i="26"/>
  <c r="B699" i="26"/>
  <c r="B698" i="26"/>
  <c r="B697" i="26"/>
  <c r="B696" i="26"/>
  <c r="B695" i="26"/>
  <c r="B694" i="26"/>
  <c r="B693" i="26"/>
  <c r="B692" i="26"/>
  <c r="B691" i="26"/>
  <c r="B690" i="26"/>
  <c r="B689" i="26"/>
  <c r="B688" i="26"/>
  <c r="B687" i="26"/>
  <c r="B686" i="26"/>
  <c r="B685" i="26"/>
  <c r="B684" i="26"/>
  <c r="B683" i="26"/>
  <c r="B682" i="26"/>
  <c r="B681" i="26"/>
  <c r="B680" i="26"/>
  <c r="B679" i="26"/>
  <c r="B678" i="26"/>
  <c r="B677" i="26"/>
  <c r="B676" i="26"/>
  <c r="B675" i="26"/>
  <c r="B674" i="26"/>
  <c r="B673" i="26"/>
  <c r="B672" i="26"/>
  <c r="B671" i="26"/>
  <c r="B670" i="26"/>
  <c r="B669" i="26"/>
  <c r="B668" i="26"/>
  <c r="B667" i="26"/>
  <c r="B666" i="26"/>
  <c r="B665" i="26"/>
  <c r="B664" i="26"/>
  <c r="B663" i="26"/>
  <c r="B662" i="26"/>
  <c r="B661" i="26"/>
  <c r="B660" i="26"/>
  <c r="B659" i="26"/>
  <c r="B658" i="26"/>
  <c r="B657" i="26"/>
  <c r="B656" i="26"/>
  <c r="B655" i="26"/>
  <c r="B654" i="26"/>
  <c r="B653" i="26"/>
  <c r="B652" i="26"/>
  <c r="B651" i="26"/>
  <c r="B650" i="26"/>
  <c r="B649" i="26"/>
  <c r="B648" i="26"/>
  <c r="B647" i="26"/>
  <c r="B646" i="26"/>
  <c r="B645" i="26"/>
  <c r="B644" i="26"/>
  <c r="B643" i="26"/>
  <c r="B642" i="26"/>
  <c r="B641" i="26"/>
  <c r="B640" i="26"/>
  <c r="B639" i="26"/>
  <c r="B638" i="26"/>
  <c r="B637" i="26"/>
  <c r="B636" i="26"/>
  <c r="B635" i="26"/>
  <c r="B634" i="26"/>
  <c r="B633" i="26"/>
  <c r="B632" i="26"/>
  <c r="B631" i="26"/>
  <c r="B630" i="26"/>
  <c r="B629" i="26"/>
  <c r="B628" i="26"/>
  <c r="B627" i="26"/>
  <c r="B626" i="26"/>
  <c r="B625" i="26"/>
  <c r="B624" i="26"/>
  <c r="B623" i="26"/>
  <c r="B622" i="26"/>
  <c r="B621" i="26"/>
  <c r="B620" i="26"/>
  <c r="B619" i="26"/>
  <c r="B618" i="26"/>
  <c r="B617" i="26"/>
  <c r="B616" i="26"/>
  <c r="B615" i="26"/>
  <c r="B614" i="26"/>
  <c r="B613" i="26"/>
  <c r="B612" i="26"/>
  <c r="B611" i="26"/>
  <c r="B610" i="26"/>
  <c r="B609" i="26"/>
  <c r="B608" i="26"/>
  <c r="B607" i="26"/>
  <c r="B606" i="26"/>
  <c r="B605" i="26"/>
  <c r="B604" i="26"/>
  <c r="B603" i="26"/>
  <c r="B602" i="26"/>
  <c r="B601" i="26"/>
  <c r="B600" i="26"/>
  <c r="B599" i="26"/>
  <c r="B598" i="26"/>
  <c r="B597" i="26"/>
  <c r="B596" i="26"/>
  <c r="B595" i="26"/>
  <c r="B594" i="26"/>
  <c r="B593" i="26"/>
  <c r="B592" i="26"/>
  <c r="B591" i="26"/>
  <c r="B590" i="26"/>
  <c r="B589" i="26"/>
  <c r="B588" i="26"/>
  <c r="B587" i="26"/>
  <c r="B586" i="26"/>
  <c r="B585" i="26"/>
  <c r="B584" i="26"/>
  <c r="B583" i="26"/>
  <c r="B582" i="26"/>
  <c r="B581" i="26"/>
  <c r="B580" i="26"/>
  <c r="B579" i="26"/>
  <c r="B578" i="26"/>
  <c r="B577" i="26"/>
  <c r="B576" i="26"/>
  <c r="B575" i="26"/>
  <c r="B574" i="26"/>
  <c r="B573" i="26"/>
  <c r="B572" i="26"/>
  <c r="B571" i="26"/>
  <c r="B570" i="26"/>
  <c r="B569" i="26"/>
  <c r="B568" i="26"/>
  <c r="B567" i="26"/>
  <c r="B566" i="26"/>
  <c r="B565" i="26"/>
  <c r="B564" i="26"/>
  <c r="B563" i="26"/>
  <c r="B562" i="26"/>
  <c r="B561" i="26"/>
  <c r="B560" i="26"/>
  <c r="B559" i="26"/>
  <c r="B558" i="26"/>
  <c r="B557" i="26"/>
  <c r="B556" i="26"/>
  <c r="B555" i="26"/>
  <c r="B554" i="26"/>
  <c r="B553" i="26"/>
  <c r="B552" i="26"/>
  <c r="B551" i="26"/>
  <c r="B550" i="26"/>
  <c r="B549" i="26"/>
  <c r="B548" i="26"/>
  <c r="B547" i="26"/>
  <c r="B546" i="26"/>
  <c r="B545" i="26"/>
  <c r="B544" i="26"/>
  <c r="B543" i="26"/>
  <c r="B542" i="26"/>
  <c r="B541" i="26"/>
  <c r="B540" i="26"/>
  <c r="B539" i="26"/>
  <c r="B538" i="26"/>
  <c r="B537" i="26"/>
  <c r="B536" i="26"/>
  <c r="B535" i="26"/>
  <c r="B534" i="26"/>
  <c r="B533" i="26"/>
  <c r="B532" i="26"/>
  <c r="B531" i="26"/>
  <c r="B530" i="26"/>
  <c r="B529" i="26"/>
  <c r="B528" i="26"/>
  <c r="B527" i="26"/>
  <c r="B526" i="26"/>
  <c r="B525" i="26"/>
  <c r="B524" i="26"/>
  <c r="B523" i="26"/>
  <c r="B522" i="26"/>
  <c r="B521" i="26"/>
  <c r="B520" i="26"/>
  <c r="B519" i="26"/>
  <c r="B518" i="26"/>
  <c r="B517" i="26"/>
  <c r="B516" i="26"/>
  <c r="B515" i="26"/>
  <c r="B514" i="26"/>
  <c r="B513" i="26"/>
  <c r="B512" i="26"/>
  <c r="B511" i="26"/>
  <c r="B510" i="26"/>
  <c r="B509" i="26"/>
  <c r="B508" i="26"/>
  <c r="B507" i="26"/>
  <c r="B506" i="26"/>
  <c r="B505" i="26"/>
  <c r="B504" i="26"/>
  <c r="B503" i="26"/>
  <c r="B502" i="26"/>
  <c r="B501" i="26"/>
  <c r="B500" i="26"/>
  <c r="B499" i="26"/>
  <c r="B498" i="26"/>
  <c r="B497" i="26"/>
  <c r="B496" i="26"/>
  <c r="B495" i="26"/>
  <c r="B494" i="26"/>
  <c r="B493" i="26"/>
  <c r="B492" i="26"/>
  <c r="B491" i="26"/>
  <c r="B490" i="26"/>
  <c r="B489" i="26"/>
  <c r="B488" i="26"/>
  <c r="B487" i="26"/>
  <c r="B486" i="26"/>
  <c r="B485" i="26"/>
  <c r="B484" i="26"/>
  <c r="B483" i="26"/>
  <c r="B482" i="26"/>
  <c r="B481" i="26"/>
  <c r="B480" i="26"/>
  <c r="B479" i="26"/>
  <c r="B478" i="26"/>
  <c r="B477" i="26"/>
  <c r="B476" i="26"/>
  <c r="B475" i="26"/>
  <c r="B474" i="26"/>
  <c r="B473" i="26"/>
  <c r="B472" i="26"/>
  <c r="B471" i="26"/>
  <c r="B470" i="26"/>
  <c r="B469" i="26"/>
  <c r="B468" i="26"/>
  <c r="B467" i="26"/>
  <c r="B466" i="26"/>
  <c r="B465" i="26"/>
  <c r="B464" i="26"/>
  <c r="B463" i="26"/>
  <c r="B462" i="26"/>
  <c r="B461" i="26"/>
  <c r="B460" i="26"/>
  <c r="B459" i="26"/>
  <c r="B458" i="26"/>
  <c r="B457" i="26"/>
  <c r="B456" i="26"/>
  <c r="B455" i="26"/>
  <c r="B454" i="26"/>
  <c r="B453" i="26"/>
  <c r="B452" i="26"/>
  <c r="B451" i="26"/>
  <c r="B450" i="26"/>
  <c r="B449" i="26"/>
  <c r="B448" i="26"/>
  <c r="B447" i="26"/>
  <c r="B446" i="26"/>
  <c r="B445" i="26"/>
  <c r="B444" i="26"/>
  <c r="B443" i="26"/>
  <c r="B442" i="26"/>
  <c r="B441" i="26"/>
  <c r="B440" i="26"/>
  <c r="B439" i="26"/>
  <c r="B438" i="26"/>
  <c r="B437" i="26"/>
  <c r="B436" i="26"/>
  <c r="B435" i="26"/>
  <c r="B434" i="26"/>
  <c r="B433" i="26"/>
  <c r="B432" i="26"/>
  <c r="B431" i="26"/>
  <c r="B430" i="26"/>
  <c r="B429" i="26"/>
  <c r="B428" i="26"/>
  <c r="B427" i="26"/>
  <c r="B426" i="26"/>
  <c r="B425" i="26"/>
  <c r="B424" i="26"/>
  <c r="B423" i="26"/>
  <c r="B422" i="26"/>
  <c r="B421" i="26"/>
  <c r="B420" i="26"/>
  <c r="B419" i="26"/>
  <c r="B418" i="26"/>
  <c r="B417" i="26"/>
  <c r="B416" i="26"/>
  <c r="B415" i="26"/>
  <c r="B414" i="26"/>
  <c r="B413" i="26"/>
  <c r="B412" i="26"/>
  <c r="B411" i="26"/>
  <c r="B410" i="26"/>
  <c r="B409" i="26"/>
  <c r="B408" i="26"/>
  <c r="B407" i="26"/>
  <c r="B406" i="26"/>
  <c r="B405" i="26"/>
  <c r="B404" i="26"/>
  <c r="B403" i="26"/>
  <c r="B402" i="26"/>
  <c r="B401" i="26"/>
  <c r="B400" i="26"/>
  <c r="B399" i="26"/>
  <c r="B398" i="26"/>
  <c r="B397" i="26"/>
  <c r="B396" i="26"/>
  <c r="B395" i="26"/>
  <c r="B394" i="26"/>
  <c r="B393" i="26"/>
  <c r="B392" i="26"/>
  <c r="B391" i="26"/>
  <c r="B390" i="26"/>
  <c r="B389" i="26"/>
  <c r="B388" i="26"/>
  <c r="B387" i="26"/>
  <c r="B386" i="26"/>
  <c r="B385" i="26"/>
  <c r="B384" i="26"/>
  <c r="B383" i="26"/>
  <c r="B382" i="26"/>
  <c r="B381" i="26"/>
  <c r="B380" i="26"/>
  <c r="B379" i="26"/>
  <c r="B378" i="26"/>
  <c r="B377" i="26"/>
  <c r="B376" i="26"/>
  <c r="B375" i="26"/>
  <c r="B374" i="26"/>
  <c r="B373" i="26"/>
  <c r="B372" i="26"/>
  <c r="B371" i="26"/>
  <c r="B370" i="26"/>
  <c r="B369" i="26"/>
  <c r="B368" i="26"/>
  <c r="B367" i="26"/>
  <c r="B366" i="26"/>
  <c r="B365" i="26"/>
  <c r="B364" i="26"/>
  <c r="B363" i="26"/>
  <c r="B362" i="26"/>
  <c r="B361" i="26"/>
  <c r="B360" i="26"/>
  <c r="B359" i="26"/>
  <c r="B358" i="26"/>
  <c r="B357" i="26"/>
  <c r="B356" i="26"/>
  <c r="B355" i="26"/>
  <c r="B354" i="26"/>
  <c r="B353" i="26"/>
  <c r="B352" i="26"/>
  <c r="B351" i="26"/>
  <c r="B350" i="26"/>
  <c r="B349" i="26"/>
  <c r="B348" i="26"/>
  <c r="B347" i="26"/>
  <c r="B346" i="26"/>
  <c r="B345" i="26"/>
  <c r="B344" i="26"/>
  <c r="B343" i="26"/>
  <c r="B342" i="26"/>
  <c r="B341" i="26"/>
  <c r="B340" i="26"/>
  <c r="B339" i="26"/>
  <c r="B338" i="26"/>
  <c r="B337" i="26"/>
  <c r="B336" i="26"/>
  <c r="B335" i="26"/>
  <c r="B334" i="26"/>
  <c r="B333" i="26"/>
  <c r="B332" i="26"/>
  <c r="B331" i="26"/>
  <c r="B330" i="26"/>
  <c r="B329" i="26"/>
  <c r="B328" i="26"/>
  <c r="B327" i="26"/>
  <c r="B326" i="26"/>
  <c r="B325" i="26"/>
  <c r="B324" i="26"/>
  <c r="B323" i="26"/>
  <c r="B322" i="26"/>
  <c r="B321" i="26"/>
  <c r="B320" i="26"/>
  <c r="B319" i="26"/>
  <c r="B318" i="26"/>
  <c r="B317" i="26"/>
  <c r="B316" i="26"/>
  <c r="B315" i="26"/>
  <c r="B314" i="26"/>
  <c r="B313" i="26"/>
  <c r="B312" i="26"/>
  <c r="B311" i="26"/>
  <c r="B310" i="26"/>
  <c r="B309" i="26"/>
  <c r="B308" i="26"/>
  <c r="B307" i="26"/>
  <c r="B306" i="26"/>
  <c r="B305" i="26"/>
  <c r="B304" i="26"/>
  <c r="B303" i="26"/>
  <c r="B302" i="26"/>
  <c r="B301" i="26"/>
  <c r="B300" i="26"/>
  <c r="B299" i="26"/>
  <c r="B298" i="26"/>
  <c r="B297" i="26"/>
  <c r="B296" i="26"/>
  <c r="B295" i="26"/>
  <c r="B294" i="26"/>
  <c r="B293" i="26"/>
  <c r="B292" i="26"/>
  <c r="B291" i="26"/>
  <c r="B290" i="26"/>
  <c r="B289" i="26"/>
  <c r="B288" i="26"/>
  <c r="B287" i="26"/>
  <c r="B286" i="26"/>
  <c r="B285" i="26"/>
  <c r="B284" i="26"/>
  <c r="B283" i="26"/>
  <c r="B282" i="26"/>
  <c r="B281" i="26"/>
  <c r="B280" i="26"/>
  <c r="B279" i="26"/>
  <c r="B278" i="26"/>
  <c r="B277" i="26"/>
  <c r="B276" i="26"/>
  <c r="B275" i="26"/>
  <c r="B274" i="26"/>
  <c r="B273" i="26"/>
  <c r="B272" i="26"/>
  <c r="B271" i="26"/>
  <c r="B270" i="26"/>
  <c r="B269" i="26"/>
  <c r="B268" i="26"/>
  <c r="B267" i="26"/>
  <c r="B266" i="26"/>
  <c r="B265" i="26"/>
  <c r="B264" i="26"/>
  <c r="B263" i="26"/>
  <c r="B262" i="26"/>
  <c r="B261" i="26"/>
  <c r="B260" i="26"/>
  <c r="B259" i="26"/>
  <c r="B258" i="26"/>
  <c r="B257" i="26"/>
  <c r="B256" i="26"/>
  <c r="B255" i="26"/>
  <c r="B254" i="26"/>
  <c r="B253" i="26"/>
  <c r="B252" i="26"/>
  <c r="B251" i="26"/>
  <c r="B250" i="26"/>
  <c r="B249" i="26"/>
  <c r="B248" i="26"/>
  <c r="B247" i="26"/>
  <c r="B246" i="26"/>
  <c r="B245" i="26"/>
  <c r="B244" i="26"/>
  <c r="B243" i="26"/>
  <c r="B242" i="26"/>
  <c r="B241" i="26"/>
  <c r="B240" i="26"/>
  <c r="B239" i="26"/>
  <c r="B238" i="26"/>
  <c r="B237" i="26"/>
  <c r="B236" i="26"/>
  <c r="B235" i="26"/>
  <c r="B234" i="26"/>
  <c r="B233" i="26"/>
  <c r="B232" i="26"/>
  <c r="B231" i="26"/>
  <c r="B230" i="26"/>
  <c r="B229" i="26"/>
  <c r="B228" i="26"/>
  <c r="B227" i="26"/>
  <c r="B226" i="26"/>
  <c r="B225" i="26"/>
  <c r="B224" i="26"/>
  <c r="B223" i="26"/>
  <c r="B222" i="26"/>
  <c r="B221" i="26"/>
  <c r="B220" i="26"/>
  <c r="B219" i="26"/>
  <c r="B218" i="26"/>
  <c r="B217" i="26"/>
  <c r="B216" i="26"/>
  <c r="B215" i="26"/>
  <c r="B214" i="26"/>
  <c r="B213" i="26"/>
  <c r="B212" i="26"/>
  <c r="B211" i="26"/>
  <c r="B210" i="26"/>
  <c r="B209" i="26"/>
  <c r="B208" i="26"/>
  <c r="B207" i="26"/>
  <c r="B206" i="26"/>
  <c r="B205" i="26"/>
  <c r="B204" i="26"/>
  <c r="B203" i="26"/>
  <c r="B202" i="26"/>
  <c r="B201" i="26"/>
  <c r="B200" i="26"/>
  <c r="B199" i="26"/>
  <c r="B198" i="26"/>
  <c r="B197" i="26"/>
  <c r="B196" i="26"/>
  <c r="B195" i="26"/>
  <c r="B194" i="26"/>
  <c r="B193" i="26"/>
  <c r="B192" i="26"/>
  <c r="B191" i="26"/>
  <c r="B190" i="26"/>
  <c r="B189" i="26"/>
  <c r="B188" i="26"/>
  <c r="B187" i="26"/>
  <c r="B186" i="26"/>
  <c r="B185" i="26"/>
  <c r="B184" i="26"/>
  <c r="B183" i="26"/>
  <c r="B182" i="26"/>
  <c r="B181" i="26"/>
  <c r="B180" i="26"/>
  <c r="B179" i="26"/>
  <c r="B178" i="26"/>
  <c r="B177" i="26"/>
  <c r="B176" i="26"/>
  <c r="B175" i="26"/>
  <c r="B174" i="26"/>
  <c r="B173" i="26"/>
  <c r="B172" i="26"/>
  <c r="B171" i="26"/>
  <c r="B170" i="26"/>
  <c r="B169" i="26"/>
  <c r="B168" i="26"/>
  <c r="B167" i="26"/>
  <c r="B166" i="26"/>
  <c r="B165" i="26"/>
  <c r="B164" i="26"/>
  <c r="B163" i="26"/>
  <c r="B162" i="26"/>
  <c r="B161" i="26"/>
  <c r="B160" i="26"/>
  <c r="B159" i="26"/>
  <c r="B158" i="26"/>
  <c r="B157" i="26"/>
  <c r="B156" i="26"/>
  <c r="B155" i="26"/>
  <c r="B154" i="26"/>
  <c r="B153" i="26"/>
  <c r="B152" i="26"/>
  <c r="B151" i="26"/>
  <c r="B150" i="26"/>
  <c r="B149" i="26"/>
  <c r="B148" i="26"/>
  <c r="B147" i="26"/>
  <c r="B146" i="26"/>
  <c r="B145" i="26"/>
  <c r="B144" i="26"/>
  <c r="B143" i="26"/>
  <c r="B142" i="26"/>
  <c r="B141" i="26"/>
  <c r="B140" i="26"/>
  <c r="B139" i="26"/>
  <c r="B138" i="26"/>
  <c r="B137" i="26"/>
  <c r="B136" i="26"/>
  <c r="B135" i="26"/>
  <c r="B134" i="26"/>
  <c r="B133" i="26"/>
  <c r="B132" i="26"/>
  <c r="B131" i="26"/>
  <c r="B130" i="26"/>
  <c r="B129" i="26"/>
  <c r="B128" i="26"/>
  <c r="B127" i="26"/>
  <c r="B126" i="26"/>
  <c r="B125" i="26"/>
  <c r="B124" i="26"/>
  <c r="B123" i="26"/>
  <c r="B122" i="26"/>
  <c r="B121" i="26"/>
  <c r="B120" i="26"/>
  <c r="B119" i="26"/>
  <c r="B118" i="26"/>
  <c r="B117" i="26"/>
  <c r="B116" i="26"/>
  <c r="B115" i="26"/>
  <c r="B114" i="26"/>
  <c r="B113" i="26"/>
  <c r="B112" i="26"/>
  <c r="B111" i="26"/>
  <c r="B110" i="26"/>
  <c r="B109" i="26"/>
  <c r="B108" i="26"/>
  <c r="B107" i="26"/>
  <c r="B106" i="26"/>
  <c r="B105" i="26"/>
  <c r="B104" i="26"/>
  <c r="B103" i="26"/>
  <c r="B102" i="26"/>
  <c r="B101" i="26"/>
  <c r="B100" i="26"/>
  <c r="B99" i="26"/>
  <c r="B98" i="26"/>
  <c r="B97" i="26"/>
  <c r="B96" i="26"/>
  <c r="B95" i="26"/>
  <c r="B94" i="26"/>
  <c r="B93" i="26"/>
  <c r="B92" i="26"/>
  <c r="B91" i="26"/>
  <c r="B90" i="26"/>
  <c r="B89" i="26"/>
  <c r="B88" i="26"/>
  <c r="B87" i="26"/>
  <c r="B86" i="26"/>
  <c r="B85" i="26"/>
  <c r="B84" i="26"/>
  <c r="B83" i="26"/>
  <c r="B82" i="26"/>
  <c r="B81" i="26"/>
  <c r="B80" i="26"/>
  <c r="B79" i="26"/>
  <c r="B78" i="26"/>
  <c r="B77" i="26"/>
  <c r="B76" i="26"/>
  <c r="B75" i="26"/>
  <c r="B74" i="26"/>
  <c r="B73" i="26"/>
  <c r="B72" i="26"/>
  <c r="B71" i="26"/>
  <c r="B70" i="26"/>
  <c r="B69" i="26"/>
  <c r="B68" i="26"/>
  <c r="B67" i="26"/>
  <c r="B66" i="26"/>
  <c r="B65" i="26"/>
  <c r="B64" i="26"/>
  <c r="B63" i="26"/>
  <c r="B62" i="26"/>
  <c r="B61" i="26"/>
  <c r="B60" i="26"/>
  <c r="B59" i="26"/>
  <c r="B58" i="26"/>
  <c r="B57" i="26"/>
  <c r="B56" i="26"/>
  <c r="B55" i="26"/>
  <c r="B54" i="26"/>
  <c r="B53" i="26"/>
  <c r="B52" i="26"/>
  <c r="B51" i="26"/>
  <c r="B50" i="26"/>
  <c r="B49" i="26"/>
  <c r="B48" i="26"/>
  <c r="B47" i="26"/>
  <c r="B46" i="26"/>
  <c r="B45" i="26"/>
  <c r="B44" i="26"/>
  <c r="B43" i="26"/>
  <c r="B42" i="26"/>
  <c r="B41" i="26"/>
  <c r="B40" i="26"/>
  <c r="B39" i="26"/>
  <c r="B38" i="26"/>
  <c r="B37" i="26"/>
  <c r="B36" i="26"/>
  <c r="B35" i="26"/>
  <c r="B34" i="26"/>
  <c r="B33" i="26"/>
  <c r="B32" i="26"/>
  <c r="B31" i="26"/>
  <c r="B30" i="26"/>
  <c r="B29" i="26"/>
  <c r="B28" i="26"/>
  <c r="B27" i="26"/>
  <c r="B26" i="26"/>
  <c r="B25" i="26"/>
  <c r="B24" i="26"/>
  <c r="B23" i="26"/>
  <c r="B22" i="26"/>
  <c r="B21" i="26"/>
  <c r="B20" i="26"/>
  <c r="B19" i="26"/>
  <c r="B18" i="26"/>
  <c r="B17" i="26"/>
  <c r="B16" i="26"/>
  <c r="B15" i="26"/>
  <c r="B14" i="26"/>
  <c r="B13" i="26"/>
  <c r="B12" i="26"/>
  <c r="B11" i="26"/>
  <c r="B10" i="26"/>
  <c r="B9" i="26"/>
  <c r="B8" i="26"/>
  <c r="B7" i="26"/>
  <c r="B6" i="26"/>
  <c r="B5" i="26"/>
  <c r="B4" i="26"/>
  <c r="B3" i="26"/>
  <c r="B2" i="26"/>
  <c r="B1000" i="25"/>
  <c r="B999" i="25"/>
  <c r="B998" i="25"/>
  <c r="B997" i="25"/>
  <c r="B996" i="25"/>
  <c r="B995" i="25"/>
  <c r="B994" i="25"/>
  <c r="B993" i="25"/>
  <c r="B992" i="25"/>
  <c r="B991" i="25"/>
  <c r="B990" i="25"/>
  <c r="B989" i="25"/>
  <c r="B988" i="25"/>
  <c r="B987" i="25"/>
  <c r="B986" i="25"/>
  <c r="B985" i="25"/>
  <c r="B984" i="25"/>
  <c r="B983" i="25"/>
  <c r="B982" i="25"/>
  <c r="B981" i="25"/>
  <c r="B980" i="25"/>
  <c r="B979" i="25"/>
  <c r="B978" i="25"/>
  <c r="B977" i="25"/>
  <c r="B976" i="25"/>
  <c r="B975" i="25"/>
  <c r="B974" i="25"/>
  <c r="B973" i="25"/>
  <c r="B972" i="25"/>
  <c r="B971" i="25"/>
  <c r="B970" i="25"/>
  <c r="B969" i="25"/>
  <c r="B968" i="25"/>
  <c r="B967" i="25"/>
  <c r="B966" i="25"/>
  <c r="B965" i="25"/>
  <c r="B964" i="25"/>
  <c r="B963" i="25"/>
  <c r="B962" i="25"/>
  <c r="B961" i="25"/>
  <c r="B960" i="25"/>
  <c r="B959" i="25"/>
  <c r="B958" i="25"/>
  <c r="B957" i="25"/>
  <c r="B956" i="25"/>
  <c r="B955" i="25"/>
  <c r="B954" i="25"/>
  <c r="B953" i="25"/>
  <c r="B952" i="25"/>
  <c r="B951" i="25"/>
  <c r="B950" i="25"/>
  <c r="B949" i="25"/>
  <c r="B948" i="25"/>
  <c r="B947" i="25"/>
  <c r="B946" i="25"/>
  <c r="B945" i="25"/>
  <c r="B944" i="25"/>
  <c r="B943" i="25"/>
  <c r="B942" i="25"/>
  <c r="B941" i="25"/>
  <c r="B940" i="25"/>
  <c r="B939" i="25"/>
  <c r="B938" i="25"/>
  <c r="B937" i="25"/>
  <c r="B936" i="25"/>
  <c r="B935" i="25"/>
  <c r="B934" i="25"/>
  <c r="B933" i="25"/>
  <c r="B932" i="25"/>
  <c r="B931" i="25"/>
  <c r="B930" i="25"/>
  <c r="B929" i="25"/>
  <c r="B928" i="25"/>
  <c r="B927" i="25"/>
  <c r="B926" i="25"/>
  <c r="B925" i="25"/>
  <c r="B924" i="25"/>
  <c r="B923" i="25"/>
  <c r="B922" i="25"/>
  <c r="B921" i="25"/>
  <c r="B920" i="25"/>
  <c r="B919" i="25"/>
  <c r="B918" i="25"/>
  <c r="B917" i="25"/>
  <c r="B916" i="25"/>
  <c r="B915" i="25"/>
  <c r="B914" i="25"/>
  <c r="B913" i="25"/>
  <c r="B912" i="25"/>
  <c r="B911" i="25"/>
  <c r="B910" i="25"/>
  <c r="B909" i="25"/>
  <c r="B908" i="25"/>
  <c r="B907" i="25"/>
  <c r="B906" i="25"/>
  <c r="B905" i="25"/>
  <c r="B904" i="25"/>
  <c r="B903" i="25"/>
  <c r="B902" i="25"/>
  <c r="B901" i="25"/>
  <c r="B900" i="25"/>
  <c r="B899" i="25"/>
  <c r="B898" i="25"/>
  <c r="B897" i="25"/>
  <c r="B896" i="25"/>
  <c r="B895" i="25"/>
  <c r="B894" i="25"/>
  <c r="B893" i="25"/>
  <c r="B892" i="25"/>
  <c r="B891" i="25"/>
  <c r="B890" i="25"/>
  <c r="B889" i="25"/>
  <c r="B888" i="25"/>
  <c r="B887" i="25"/>
  <c r="B886" i="25"/>
  <c r="B885" i="25"/>
  <c r="B884" i="25"/>
  <c r="B883" i="25"/>
  <c r="B882" i="25"/>
  <c r="B881" i="25"/>
  <c r="B880" i="25"/>
  <c r="B879" i="25"/>
  <c r="B878" i="25"/>
  <c r="B877" i="25"/>
  <c r="B876" i="25"/>
  <c r="B875" i="25"/>
  <c r="B874" i="25"/>
  <c r="B873" i="25"/>
  <c r="B872" i="25"/>
  <c r="B871" i="25"/>
  <c r="B870" i="25"/>
  <c r="B869" i="25"/>
  <c r="B868" i="25"/>
  <c r="B867" i="25"/>
  <c r="B866" i="25"/>
  <c r="B865" i="25"/>
  <c r="B864" i="25"/>
  <c r="B863" i="25"/>
  <c r="B862" i="25"/>
  <c r="B861" i="25"/>
  <c r="B860" i="25"/>
  <c r="B859" i="25"/>
  <c r="B858" i="25"/>
  <c r="B857" i="25"/>
  <c r="B856" i="25"/>
  <c r="B855" i="25"/>
  <c r="B854" i="25"/>
  <c r="B853" i="25"/>
  <c r="B852" i="25"/>
  <c r="B851" i="25"/>
  <c r="B850" i="25"/>
  <c r="B849" i="25"/>
  <c r="B848" i="25"/>
  <c r="B847" i="25"/>
  <c r="B846" i="25"/>
  <c r="B845" i="25"/>
  <c r="B844" i="25"/>
  <c r="B843" i="25"/>
  <c r="B842" i="25"/>
  <c r="B841" i="25"/>
  <c r="B840" i="25"/>
  <c r="B839" i="25"/>
  <c r="B838" i="25"/>
  <c r="B837" i="25"/>
  <c r="B836" i="25"/>
  <c r="B835" i="25"/>
  <c r="B834" i="25"/>
  <c r="B833" i="25"/>
  <c r="B832" i="25"/>
  <c r="B831" i="25"/>
  <c r="B830" i="25"/>
  <c r="B829" i="25"/>
  <c r="B828" i="25"/>
  <c r="B827" i="25"/>
  <c r="B826" i="25"/>
  <c r="B825" i="25"/>
  <c r="B824" i="25"/>
  <c r="B823" i="25"/>
  <c r="B822" i="25"/>
  <c r="B821" i="25"/>
  <c r="B820" i="25"/>
  <c r="B819" i="25"/>
  <c r="B818" i="25"/>
  <c r="B817" i="25"/>
  <c r="B816" i="25"/>
  <c r="B815" i="25"/>
  <c r="B814" i="25"/>
  <c r="B813" i="25"/>
  <c r="B812" i="25"/>
  <c r="B811" i="25"/>
  <c r="B810" i="25"/>
  <c r="B809" i="25"/>
  <c r="B808" i="25"/>
  <c r="B807" i="25"/>
  <c r="B806" i="25"/>
  <c r="B805" i="25"/>
  <c r="B804" i="25"/>
  <c r="B803" i="25"/>
  <c r="B802" i="25"/>
  <c r="B801" i="25"/>
  <c r="B800" i="25"/>
  <c r="B799" i="25"/>
  <c r="B798" i="25"/>
  <c r="B797" i="25"/>
  <c r="B796" i="25"/>
  <c r="B795" i="25"/>
  <c r="B794" i="25"/>
  <c r="B793" i="25"/>
  <c r="B792" i="25"/>
  <c r="B791" i="25"/>
  <c r="B790" i="25"/>
  <c r="B789" i="25"/>
  <c r="B788" i="25"/>
  <c r="B787" i="25"/>
  <c r="B786" i="25"/>
  <c r="B785" i="25"/>
  <c r="B784" i="25"/>
  <c r="B783" i="25"/>
  <c r="B782" i="25"/>
  <c r="B781" i="25"/>
  <c r="B780" i="25"/>
  <c r="B779" i="25"/>
  <c r="B778" i="25"/>
  <c r="B777" i="25"/>
  <c r="B776" i="25"/>
  <c r="B775" i="25"/>
  <c r="B774" i="25"/>
  <c r="B773" i="25"/>
  <c r="B772" i="25"/>
  <c r="B771" i="25"/>
  <c r="B770" i="25"/>
  <c r="B769" i="25"/>
  <c r="B768" i="25"/>
  <c r="B767" i="25"/>
  <c r="B766" i="25"/>
  <c r="B765" i="25"/>
  <c r="B764" i="25"/>
  <c r="B763" i="25"/>
  <c r="B762" i="25"/>
  <c r="B761" i="25"/>
  <c r="B760" i="25"/>
  <c r="B759" i="25"/>
  <c r="B758" i="25"/>
  <c r="B757" i="25"/>
  <c r="B756" i="25"/>
  <c r="B755" i="25"/>
  <c r="B754" i="25"/>
  <c r="B753" i="25"/>
  <c r="B752" i="25"/>
  <c r="B751" i="25"/>
  <c r="B750" i="25"/>
  <c r="B749" i="25"/>
  <c r="B748" i="25"/>
  <c r="B747" i="25"/>
  <c r="B746" i="25"/>
  <c r="B745" i="25"/>
  <c r="B744" i="25"/>
  <c r="B743" i="25"/>
  <c r="B742" i="25"/>
  <c r="B741" i="25"/>
  <c r="B740" i="25"/>
  <c r="B739" i="25"/>
  <c r="B738" i="25"/>
  <c r="B737" i="25"/>
  <c r="B736" i="25"/>
  <c r="B735" i="25"/>
  <c r="B734" i="25"/>
  <c r="B733" i="25"/>
  <c r="B732" i="25"/>
  <c r="B731" i="25"/>
  <c r="B730" i="25"/>
  <c r="B729" i="25"/>
  <c r="B728" i="25"/>
  <c r="B727" i="25"/>
  <c r="B726" i="25"/>
  <c r="B725" i="25"/>
  <c r="B724" i="25"/>
  <c r="B723" i="25"/>
  <c r="B722" i="25"/>
  <c r="B721" i="25"/>
  <c r="B720" i="25"/>
  <c r="B719" i="25"/>
  <c r="B718" i="25"/>
  <c r="B717" i="25"/>
  <c r="B716" i="25"/>
  <c r="B715" i="25"/>
  <c r="B714" i="25"/>
  <c r="B713" i="25"/>
  <c r="B712" i="25"/>
  <c r="B711" i="25"/>
  <c r="B710" i="25"/>
  <c r="B709" i="25"/>
  <c r="B708" i="25"/>
  <c r="B707" i="25"/>
  <c r="B706" i="25"/>
  <c r="B705" i="25"/>
  <c r="B704" i="25"/>
  <c r="B703" i="25"/>
  <c r="B702" i="25"/>
  <c r="B701" i="25"/>
  <c r="B700" i="25"/>
  <c r="B699" i="25"/>
  <c r="B698" i="25"/>
  <c r="B697" i="25"/>
  <c r="B696" i="25"/>
  <c r="B695" i="25"/>
  <c r="B694" i="25"/>
  <c r="B693" i="25"/>
  <c r="B692" i="25"/>
  <c r="B691" i="25"/>
  <c r="B690" i="25"/>
  <c r="B689" i="25"/>
  <c r="B688" i="25"/>
  <c r="B687" i="25"/>
  <c r="B686" i="25"/>
  <c r="B685" i="25"/>
  <c r="B684" i="25"/>
  <c r="B683" i="25"/>
  <c r="B682" i="25"/>
  <c r="B681" i="25"/>
  <c r="B680" i="25"/>
  <c r="B679" i="25"/>
  <c r="B678" i="25"/>
  <c r="B677" i="25"/>
  <c r="B676" i="25"/>
  <c r="B675" i="25"/>
  <c r="B674" i="25"/>
  <c r="B673" i="25"/>
  <c r="B672" i="25"/>
  <c r="B671" i="25"/>
  <c r="B670" i="25"/>
  <c r="B669" i="25"/>
  <c r="B668" i="25"/>
  <c r="B667" i="25"/>
  <c r="B666" i="25"/>
  <c r="B665" i="25"/>
  <c r="B664" i="25"/>
  <c r="B663" i="25"/>
  <c r="B662" i="25"/>
  <c r="B661" i="25"/>
  <c r="B660" i="25"/>
  <c r="B659" i="25"/>
  <c r="B658" i="25"/>
  <c r="B657" i="25"/>
  <c r="B656" i="25"/>
  <c r="B655" i="25"/>
  <c r="B654" i="25"/>
  <c r="B653" i="25"/>
  <c r="B652" i="25"/>
  <c r="B651" i="25"/>
  <c r="B650" i="25"/>
  <c r="B649" i="25"/>
  <c r="B648" i="25"/>
  <c r="B647" i="25"/>
  <c r="B646" i="25"/>
  <c r="B645" i="25"/>
  <c r="B644" i="25"/>
  <c r="B643" i="25"/>
  <c r="B642" i="25"/>
  <c r="B641" i="25"/>
  <c r="B640" i="25"/>
  <c r="B639" i="25"/>
  <c r="B638" i="25"/>
  <c r="B637" i="25"/>
  <c r="B636" i="25"/>
  <c r="B635" i="25"/>
  <c r="B634" i="25"/>
  <c r="B633" i="25"/>
  <c r="B632" i="25"/>
  <c r="B631" i="25"/>
  <c r="B630" i="25"/>
  <c r="B629" i="25"/>
  <c r="B628" i="25"/>
  <c r="B627" i="25"/>
  <c r="B626" i="25"/>
  <c r="B625" i="25"/>
  <c r="B624" i="25"/>
  <c r="B623" i="25"/>
  <c r="B622" i="25"/>
  <c r="B621" i="25"/>
  <c r="B620" i="25"/>
  <c r="B619" i="25"/>
  <c r="B618" i="25"/>
  <c r="B617" i="25"/>
  <c r="B616" i="25"/>
  <c r="B615" i="25"/>
  <c r="B614" i="25"/>
  <c r="B613" i="25"/>
  <c r="B612" i="25"/>
  <c r="B611" i="25"/>
  <c r="B610" i="25"/>
  <c r="B609" i="25"/>
  <c r="B608" i="25"/>
  <c r="B607" i="25"/>
  <c r="B606" i="25"/>
  <c r="B605" i="25"/>
  <c r="B604" i="25"/>
  <c r="B603" i="25"/>
  <c r="B602" i="25"/>
  <c r="B601" i="25"/>
  <c r="B600" i="25"/>
  <c r="B599" i="25"/>
  <c r="B598" i="25"/>
  <c r="B597" i="25"/>
  <c r="B596" i="25"/>
  <c r="B595" i="25"/>
  <c r="B594" i="25"/>
  <c r="B593" i="25"/>
  <c r="B592" i="25"/>
  <c r="B591" i="25"/>
  <c r="B590" i="25"/>
  <c r="B589" i="25"/>
  <c r="B588" i="25"/>
  <c r="B587" i="25"/>
  <c r="B586" i="25"/>
  <c r="B585" i="25"/>
  <c r="B584" i="25"/>
  <c r="B583" i="25"/>
  <c r="B582" i="25"/>
  <c r="B581" i="25"/>
  <c r="B580" i="25"/>
  <c r="B579" i="25"/>
  <c r="B578" i="25"/>
  <c r="B577" i="25"/>
  <c r="B576" i="25"/>
  <c r="B575" i="25"/>
  <c r="B574" i="25"/>
  <c r="B573" i="25"/>
  <c r="B572" i="25"/>
  <c r="B571" i="25"/>
  <c r="B570" i="25"/>
  <c r="B569" i="25"/>
  <c r="B568" i="25"/>
  <c r="B567" i="25"/>
  <c r="B566" i="25"/>
  <c r="B565" i="25"/>
  <c r="B564" i="25"/>
  <c r="B563" i="25"/>
  <c r="B562" i="25"/>
  <c r="B561" i="25"/>
  <c r="B560" i="25"/>
  <c r="B559" i="25"/>
  <c r="B558" i="25"/>
  <c r="B557" i="25"/>
  <c r="B556" i="25"/>
  <c r="B555" i="25"/>
  <c r="B554" i="25"/>
  <c r="B553" i="25"/>
  <c r="B552" i="25"/>
  <c r="B551" i="25"/>
  <c r="B550" i="25"/>
  <c r="B549" i="25"/>
  <c r="B548" i="25"/>
  <c r="B547" i="25"/>
  <c r="B546" i="25"/>
  <c r="B545" i="25"/>
  <c r="B544" i="25"/>
  <c r="B543" i="25"/>
  <c r="B542" i="25"/>
  <c r="B541" i="25"/>
  <c r="B540" i="25"/>
  <c r="B539" i="25"/>
  <c r="B538" i="25"/>
  <c r="B537" i="25"/>
  <c r="B536" i="25"/>
  <c r="B535" i="25"/>
  <c r="B534" i="25"/>
  <c r="B533" i="25"/>
  <c r="B532" i="25"/>
  <c r="B531" i="25"/>
  <c r="B530" i="25"/>
  <c r="B529" i="25"/>
  <c r="B528" i="25"/>
  <c r="B527" i="25"/>
  <c r="B526" i="25"/>
  <c r="B525" i="25"/>
  <c r="B524" i="25"/>
  <c r="B523" i="25"/>
  <c r="B522" i="25"/>
  <c r="B521" i="25"/>
  <c r="B520" i="25"/>
  <c r="B519" i="25"/>
  <c r="B518" i="25"/>
  <c r="B517" i="25"/>
  <c r="B516" i="25"/>
  <c r="B515" i="25"/>
  <c r="B514" i="25"/>
  <c r="B513" i="25"/>
  <c r="B512" i="25"/>
  <c r="B511" i="25"/>
  <c r="B510" i="25"/>
  <c r="B509" i="25"/>
  <c r="B508" i="25"/>
  <c r="B507" i="25"/>
  <c r="B506" i="25"/>
  <c r="B505" i="25"/>
  <c r="B504" i="25"/>
  <c r="B503" i="25"/>
  <c r="B502" i="25"/>
  <c r="B501" i="25"/>
  <c r="B500" i="25"/>
  <c r="B499" i="25"/>
  <c r="B498" i="25"/>
  <c r="B497" i="25"/>
  <c r="B496" i="25"/>
  <c r="B495" i="25"/>
  <c r="B494" i="25"/>
  <c r="B493" i="25"/>
  <c r="B492" i="25"/>
  <c r="B491" i="25"/>
  <c r="B490" i="25"/>
  <c r="B489" i="25"/>
  <c r="B488" i="25"/>
  <c r="B487" i="25"/>
  <c r="B486" i="25"/>
  <c r="B485" i="25"/>
  <c r="B484" i="25"/>
  <c r="B483" i="25"/>
  <c r="B482" i="25"/>
  <c r="B481" i="25"/>
  <c r="B480" i="25"/>
  <c r="B479" i="25"/>
  <c r="B478" i="25"/>
  <c r="B477" i="25"/>
  <c r="B476" i="25"/>
  <c r="B475" i="25"/>
  <c r="B474" i="25"/>
  <c r="B473" i="25"/>
  <c r="B472" i="25"/>
  <c r="B471" i="25"/>
  <c r="B470" i="25"/>
  <c r="B469" i="25"/>
  <c r="B468" i="25"/>
  <c r="B467" i="25"/>
  <c r="B466" i="25"/>
  <c r="B465" i="25"/>
  <c r="B464" i="25"/>
  <c r="B463" i="25"/>
  <c r="B462" i="25"/>
  <c r="B461" i="25"/>
  <c r="B460" i="25"/>
  <c r="B459" i="25"/>
  <c r="B458" i="25"/>
  <c r="B457" i="25"/>
  <c r="B456" i="25"/>
  <c r="B455" i="25"/>
  <c r="B454" i="25"/>
  <c r="B453" i="25"/>
  <c r="B452" i="25"/>
  <c r="B451" i="25"/>
  <c r="B450" i="25"/>
  <c r="B449" i="25"/>
  <c r="B448" i="25"/>
  <c r="B447" i="25"/>
  <c r="B446" i="25"/>
  <c r="B445" i="25"/>
  <c r="B444" i="25"/>
  <c r="B443" i="25"/>
  <c r="B442" i="25"/>
  <c r="B441" i="25"/>
  <c r="B440" i="25"/>
  <c r="B439" i="25"/>
  <c r="B438" i="25"/>
  <c r="B437" i="25"/>
  <c r="B436" i="25"/>
  <c r="B435" i="25"/>
  <c r="B434" i="25"/>
  <c r="B433" i="25"/>
  <c r="B432" i="25"/>
  <c r="B431" i="25"/>
  <c r="B430" i="25"/>
  <c r="B429" i="25"/>
  <c r="B428" i="25"/>
  <c r="B427" i="25"/>
  <c r="B426" i="25"/>
  <c r="B425" i="25"/>
  <c r="B424" i="25"/>
  <c r="B423" i="25"/>
  <c r="B422" i="25"/>
  <c r="B421" i="25"/>
  <c r="B420" i="25"/>
  <c r="B419" i="25"/>
  <c r="B418" i="25"/>
  <c r="B417" i="25"/>
  <c r="B416" i="25"/>
  <c r="B415" i="25"/>
  <c r="B414" i="25"/>
  <c r="B413" i="25"/>
  <c r="B412" i="25"/>
  <c r="B411" i="25"/>
  <c r="B410" i="25"/>
  <c r="B409" i="25"/>
  <c r="B408" i="25"/>
  <c r="B407" i="25"/>
  <c r="B406" i="25"/>
  <c r="B405" i="25"/>
  <c r="B404" i="25"/>
  <c r="B403" i="25"/>
  <c r="B402" i="25"/>
  <c r="B401" i="25"/>
  <c r="B400" i="25"/>
  <c r="B399" i="25"/>
  <c r="B398" i="25"/>
  <c r="B397" i="25"/>
  <c r="B396" i="25"/>
  <c r="B395" i="25"/>
  <c r="B394" i="25"/>
  <c r="B393" i="25"/>
  <c r="B392" i="25"/>
  <c r="B391" i="25"/>
  <c r="B390" i="25"/>
  <c r="B389" i="25"/>
  <c r="B388" i="25"/>
  <c r="B387" i="25"/>
  <c r="B386" i="25"/>
  <c r="B385" i="25"/>
  <c r="B384" i="25"/>
  <c r="B383" i="25"/>
  <c r="B382" i="25"/>
  <c r="B381" i="25"/>
  <c r="B380" i="25"/>
  <c r="B379" i="25"/>
  <c r="B378" i="25"/>
  <c r="B377" i="25"/>
  <c r="B376" i="25"/>
  <c r="B375" i="25"/>
  <c r="B374" i="25"/>
  <c r="B373" i="25"/>
  <c r="B372" i="25"/>
  <c r="B371" i="25"/>
  <c r="B370" i="25"/>
  <c r="B369" i="25"/>
  <c r="B368" i="25"/>
  <c r="B367" i="25"/>
  <c r="B366" i="25"/>
  <c r="B365" i="25"/>
  <c r="B364" i="25"/>
  <c r="B363" i="25"/>
  <c r="B362" i="25"/>
  <c r="B361" i="25"/>
  <c r="B360" i="25"/>
  <c r="B359" i="25"/>
  <c r="B358" i="25"/>
  <c r="B357" i="25"/>
  <c r="B356" i="25"/>
  <c r="B355" i="25"/>
  <c r="B354" i="25"/>
  <c r="B353" i="25"/>
  <c r="B352" i="25"/>
  <c r="B351" i="25"/>
  <c r="B350" i="25"/>
  <c r="B349" i="25"/>
  <c r="B348" i="25"/>
  <c r="B347" i="25"/>
  <c r="B346" i="25"/>
  <c r="B345" i="25"/>
  <c r="B344" i="25"/>
  <c r="B343" i="25"/>
  <c r="B342" i="25"/>
  <c r="B341" i="25"/>
  <c r="B340" i="25"/>
  <c r="B339" i="25"/>
  <c r="B338" i="25"/>
  <c r="B337" i="25"/>
  <c r="B336" i="25"/>
  <c r="B335" i="25"/>
  <c r="B334" i="25"/>
  <c r="B333" i="25"/>
  <c r="B332" i="25"/>
  <c r="B331" i="25"/>
  <c r="B330" i="25"/>
  <c r="B329" i="25"/>
  <c r="B328" i="25"/>
  <c r="B327" i="25"/>
  <c r="B326" i="25"/>
  <c r="B325" i="25"/>
  <c r="B324" i="25"/>
  <c r="B323" i="25"/>
  <c r="B322" i="25"/>
  <c r="B321" i="25"/>
  <c r="B320" i="25"/>
  <c r="B319" i="25"/>
  <c r="B318" i="25"/>
  <c r="B317" i="25"/>
  <c r="B316" i="25"/>
  <c r="B315" i="25"/>
  <c r="B314" i="25"/>
  <c r="B313" i="25"/>
  <c r="B312" i="25"/>
  <c r="B311" i="25"/>
  <c r="B310" i="25"/>
  <c r="B309" i="25"/>
  <c r="B308" i="25"/>
  <c r="B307" i="25"/>
  <c r="B306" i="25"/>
  <c r="B305" i="25"/>
  <c r="B304" i="25"/>
  <c r="B303" i="25"/>
  <c r="B302" i="25"/>
  <c r="B301" i="25"/>
  <c r="B300" i="25"/>
  <c r="B299" i="25"/>
  <c r="B298" i="25"/>
  <c r="B297" i="25"/>
  <c r="B296" i="25"/>
  <c r="B295" i="25"/>
  <c r="B294" i="25"/>
  <c r="B293" i="25"/>
  <c r="B292" i="25"/>
  <c r="B291" i="25"/>
  <c r="B290" i="25"/>
  <c r="B289" i="25"/>
  <c r="B288" i="25"/>
  <c r="B287" i="25"/>
  <c r="B286" i="25"/>
  <c r="B285" i="25"/>
  <c r="B284" i="25"/>
  <c r="B283" i="25"/>
  <c r="B282" i="25"/>
  <c r="B281" i="25"/>
  <c r="B280" i="25"/>
  <c r="B279" i="25"/>
  <c r="B278" i="25"/>
  <c r="B277" i="25"/>
  <c r="B276" i="25"/>
  <c r="B275" i="25"/>
  <c r="B274" i="25"/>
  <c r="B273" i="25"/>
  <c r="B272" i="25"/>
  <c r="B271" i="25"/>
  <c r="B270" i="25"/>
  <c r="B269" i="25"/>
  <c r="B268" i="25"/>
  <c r="B267" i="25"/>
  <c r="B266" i="25"/>
  <c r="B265" i="25"/>
  <c r="B264" i="25"/>
  <c r="B263" i="25"/>
  <c r="B262" i="25"/>
  <c r="B261" i="25"/>
  <c r="B260" i="25"/>
  <c r="B259" i="25"/>
  <c r="B258" i="25"/>
  <c r="B257" i="25"/>
  <c r="B256" i="25"/>
  <c r="B255" i="25"/>
  <c r="B254" i="25"/>
  <c r="B253" i="25"/>
  <c r="B252" i="25"/>
  <c r="B251" i="25"/>
  <c r="B250" i="25"/>
  <c r="B249" i="25"/>
  <c r="B248" i="25"/>
  <c r="B247" i="25"/>
  <c r="B246" i="25"/>
  <c r="B245" i="25"/>
  <c r="B244" i="25"/>
  <c r="B243" i="25"/>
  <c r="B242" i="25"/>
  <c r="B241" i="25"/>
  <c r="B240" i="25"/>
  <c r="B239" i="25"/>
  <c r="B238" i="25"/>
  <c r="B237" i="25"/>
  <c r="B236" i="25"/>
  <c r="B235" i="25"/>
  <c r="B234" i="25"/>
  <c r="B233" i="25"/>
  <c r="B232" i="25"/>
  <c r="B231" i="25"/>
  <c r="B230" i="25"/>
  <c r="B229" i="25"/>
  <c r="B228" i="25"/>
  <c r="B227" i="25"/>
  <c r="B226" i="25"/>
  <c r="B225" i="25"/>
  <c r="B224" i="25"/>
  <c r="B223" i="25"/>
  <c r="B222" i="25"/>
  <c r="B221" i="25"/>
  <c r="B220" i="25"/>
  <c r="B219" i="25"/>
  <c r="B218" i="25"/>
  <c r="B217" i="25"/>
  <c r="B216" i="25"/>
  <c r="B215" i="25"/>
  <c r="B214" i="25"/>
  <c r="B213" i="25"/>
  <c r="B212" i="25"/>
  <c r="B211" i="25"/>
  <c r="B210" i="25"/>
  <c r="B209" i="25"/>
  <c r="B208" i="25"/>
  <c r="B207" i="25"/>
  <c r="B206" i="25"/>
  <c r="B205" i="25"/>
  <c r="B204" i="25"/>
  <c r="B203" i="25"/>
  <c r="B202" i="25"/>
  <c r="B201" i="25"/>
  <c r="B200" i="25"/>
  <c r="B199" i="25"/>
  <c r="B198" i="25"/>
  <c r="B197" i="25"/>
  <c r="B196" i="25"/>
  <c r="B195" i="25"/>
  <c r="B194" i="25"/>
  <c r="B193" i="25"/>
  <c r="B192" i="25"/>
  <c r="B191" i="25"/>
  <c r="B190" i="25"/>
  <c r="B189" i="25"/>
  <c r="B188" i="25"/>
  <c r="B187" i="25"/>
  <c r="B186" i="25"/>
  <c r="B185" i="25"/>
  <c r="B184" i="25"/>
  <c r="B183" i="25"/>
  <c r="B182" i="25"/>
  <c r="B181" i="25"/>
  <c r="B180" i="25"/>
  <c r="B179" i="25"/>
  <c r="B178" i="25"/>
  <c r="B177" i="25"/>
  <c r="B176" i="25"/>
  <c r="B175" i="25"/>
  <c r="B174" i="25"/>
  <c r="B173" i="25"/>
  <c r="B172" i="25"/>
  <c r="B171" i="25"/>
  <c r="B170" i="25"/>
  <c r="B169" i="25"/>
  <c r="B168" i="25"/>
  <c r="B167" i="25"/>
  <c r="B166" i="25"/>
  <c r="B165" i="25"/>
  <c r="B164" i="25"/>
  <c r="B163" i="25"/>
  <c r="B162" i="25"/>
  <c r="B161" i="25"/>
  <c r="B160" i="25"/>
  <c r="B159" i="25"/>
  <c r="B158" i="25"/>
  <c r="B157" i="25"/>
  <c r="B156" i="25"/>
  <c r="B155" i="25"/>
  <c r="B154" i="25"/>
  <c r="B153" i="25"/>
  <c r="B152" i="25"/>
  <c r="B151" i="25"/>
  <c r="B150" i="25"/>
  <c r="B149" i="25"/>
  <c r="B148" i="25"/>
  <c r="B147" i="25"/>
  <c r="B146" i="25"/>
  <c r="B145" i="25"/>
  <c r="B144" i="25"/>
  <c r="B143" i="25"/>
  <c r="B142" i="25"/>
  <c r="B141" i="25"/>
  <c r="B140" i="25"/>
  <c r="B139" i="25"/>
  <c r="B138" i="25"/>
  <c r="B137" i="25"/>
  <c r="B136" i="25"/>
  <c r="B135" i="25"/>
  <c r="B134" i="25"/>
  <c r="B133" i="25"/>
  <c r="B132" i="25"/>
  <c r="B131" i="25"/>
  <c r="B130" i="25"/>
  <c r="B129" i="25"/>
  <c r="B128" i="25"/>
  <c r="B127" i="25"/>
  <c r="B126" i="25"/>
  <c r="B125" i="25"/>
  <c r="B124" i="25"/>
  <c r="B123" i="25"/>
  <c r="B122" i="25"/>
  <c r="B121" i="25"/>
  <c r="B120" i="25"/>
  <c r="B119" i="25"/>
  <c r="B118" i="25"/>
  <c r="B117" i="25"/>
  <c r="B116" i="25"/>
  <c r="B115" i="25"/>
  <c r="B114" i="25"/>
  <c r="B113" i="25"/>
  <c r="B112" i="25"/>
  <c r="B111" i="25"/>
  <c r="B110" i="25"/>
  <c r="B109" i="25"/>
  <c r="B108" i="25"/>
  <c r="B107" i="25"/>
  <c r="B106" i="25"/>
  <c r="B105" i="25"/>
  <c r="B104" i="25"/>
  <c r="B103" i="25"/>
  <c r="B102" i="25"/>
  <c r="B101" i="25"/>
  <c r="B100" i="25"/>
  <c r="B99" i="25"/>
  <c r="B98" i="25"/>
  <c r="B97" i="25"/>
  <c r="B96" i="25"/>
  <c r="B95" i="25"/>
  <c r="B94" i="25"/>
  <c r="B93" i="25"/>
  <c r="B92" i="25"/>
  <c r="B91" i="25"/>
  <c r="B90" i="25"/>
  <c r="B89" i="25"/>
  <c r="B88" i="25"/>
  <c r="B87" i="25"/>
  <c r="B86" i="25"/>
  <c r="B85" i="25"/>
  <c r="B84" i="25"/>
  <c r="B83" i="25"/>
  <c r="B82" i="25"/>
  <c r="B81" i="25"/>
  <c r="B80" i="25"/>
  <c r="B79" i="25"/>
  <c r="B78" i="25"/>
  <c r="B77" i="25"/>
  <c r="B76" i="25"/>
  <c r="B75" i="25"/>
  <c r="B74" i="25"/>
  <c r="B73" i="25"/>
  <c r="B72" i="25"/>
  <c r="B71" i="25"/>
  <c r="B70" i="25"/>
  <c r="B69" i="25"/>
  <c r="B68" i="25"/>
  <c r="B67" i="25"/>
  <c r="B66" i="25"/>
  <c r="B65" i="25"/>
  <c r="B64" i="25"/>
  <c r="B63" i="25"/>
  <c r="B62" i="25"/>
  <c r="B61" i="25"/>
  <c r="B60" i="25"/>
  <c r="B59" i="25"/>
  <c r="B58" i="25"/>
  <c r="B57" i="25"/>
  <c r="B56" i="25"/>
  <c r="B55" i="25"/>
  <c r="B54" i="25"/>
  <c r="B53" i="25"/>
  <c r="B52" i="25"/>
  <c r="B51" i="25"/>
  <c r="B50" i="25"/>
  <c r="B49" i="25"/>
  <c r="B48" i="25"/>
  <c r="B47" i="25"/>
  <c r="B46" i="25"/>
  <c r="B45" i="25"/>
  <c r="B44" i="25"/>
  <c r="B43" i="25"/>
  <c r="B42" i="25"/>
  <c r="B41" i="25"/>
  <c r="B40" i="25"/>
  <c r="B39" i="25"/>
  <c r="B38" i="25"/>
  <c r="B37" i="25"/>
  <c r="B36" i="25"/>
  <c r="B35" i="25"/>
  <c r="B34" i="25"/>
  <c r="B33" i="25"/>
  <c r="B32" i="25"/>
  <c r="B31" i="25"/>
  <c r="B30" i="25"/>
  <c r="B29" i="25"/>
  <c r="B28" i="25"/>
  <c r="B27" i="25"/>
  <c r="B26" i="25"/>
  <c r="B25" i="25"/>
  <c r="B24" i="25"/>
  <c r="B23" i="25"/>
  <c r="B22" i="25"/>
  <c r="B21" i="25"/>
  <c r="B20" i="25"/>
  <c r="B19" i="25"/>
  <c r="B18" i="25"/>
  <c r="B17" i="25"/>
  <c r="B16" i="25"/>
  <c r="B15" i="25"/>
  <c r="B14" i="25"/>
  <c r="B13" i="25"/>
  <c r="B12" i="25"/>
  <c r="B11" i="25"/>
  <c r="B10" i="25"/>
  <c r="B9" i="25"/>
  <c r="B8" i="25"/>
  <c r="B7" i="25"/>
  <c r="B6" i="25"/>
  <c r="B5" i="25"/>
  <c r="B4" i="25"/>
  <c r="B3" i="25"/>
  <c r="B2" i="25"/>
  <c r="B1000" i="24"/>
  <c r="B999" i="24"/>
  <c r="B998" i="24"/>
  <c r="B997" i="24"/>
  <c r="B996" i="24"/>
  <c r="B995" i="24"/>
  <c r="B994" i="24"/>
  <c r="B993" i="24"/>
  <c r="B992" i="24"/>
  <c r="B991" i="24"/>
  <c r="B990" i="24"/>
  <c r="B989" i="24"/>
  <c r="B988" i="24"/>
  <c r="B987" i="24"/>
  <c r="B986" i="24"/>
  <c r="B985" i="24"/>
  <c r="B984" i="24"/>
  <c r="B983" i="24"/>
  <c r="B982" i="24"/>
  <c r="B981" i="24"/>
  <c r="B980" i="24"/>
  <c r="B979" i="24"/>
  <c r="B978" i="24"/>
  <c r="B977" i="24"/>
  <c r="B976" i="24"/>
  <c r="B975" i="24"/>
  <c r="B974" i="24"/>
  <c r="B973" i="24"/>
  <c r="B972" i="24"/>
  <c r="B971" i="24"/>
  <c r="B970" i="24"/>
  <c r="B969" i="24"/>
  <c r="B968" i="24"/>
  <c r="B967" i="24"/>
  <c r="B966" i="24"/>
  <c r="B965" i="24"/>
  <c r="B964" i="24"/>
  <c r="B963" i="24"/>
  <c r="B962" i="24"/>
  <c r="B961" i="24"/>
  <c r="B960" i="24"/>
  <c r="B959" i="24"/>
  <c r="B958" i="24"/>
  <c r="B957" i="24"/>
  <c r="B956" i="24"/>
  <c r="B955" i="24"/>
  <c r="B954" i="24"/>
  <c r="B953" i="24"/>
  <c r="B952" i="24"/>
  <c r="B951" i="24"/>
  <c r="B950" i="24"/>
  <c r="B949" i="24"/>
  <c r="B948" i="24"/>
  <c r="B947" i="24"/>
  <c r="B946" i="24"/>
  <c r="B945" i="24"/>
  <c r="B944" i="24"/>
  <c r="B943" i="24"/>
  <c r="B942" i="24"/>
  <c r="B941" i="24"/>
  <c r="B940" i="24"/>
  <c r="B939" i="24"/>
  <c r="B938" i="24"/>
  <c r="B937" i="24"/>
  <c r="B936" i="24"/>
  <c r="B935" i="24"/>
  <c r="B934" i="24"/>
  <c r="B933" i="24"/>
  <c r="B932" i="24"/>
  <c r="B931" i="24"/>
  <c r="B930" i="24"/>
  <c r="B929" i="24"/>
  <c r="B928" i="24"/>
  <c r="B927" i="24"/>
  <c r="B926" i="24"/>
  <c r="B925" i="24"/>
  <c r="B924" i="24"/>
  <c r="B923" i="24"/>
  <c r="B922" i="24"/>
  <c r="B921" i="24"/>
  <c r="B920" i="24"/>
  <c r="B919" i="24"/>
  <c r="B918" i="24"/>
  <c r="B917" i="24"/>
  <c r="B916" i="24"/>
  <c r="B915" i="24"/>
  <c r="B914" i="24"/>
  <c r="B913" i="24"/>
  <c r="B912" i="24"/>
  <c r="B911" i="24"/>
  <c r="B910" i="24"/>
  <c r="B909" i="24"/>
  <c r="B908" i="24"/>
  <c r="B907" i="24"/>
  <c r="B906" i="24"/>
  <c r="B905" i="24"/>
  <c r="B904" i="24"/>
  <c r="B903" i="24"/>
  <c r="B902" i="24"/>
  <c r="B901" i="24"/>
  <c r="B900" i="24"/>
  <c r="B899" i="24"/>
  <c r="B898" i="24"/>
  <c r="B897" i="24"/>
  <c r="B896" i="24"/>
  <c r="B895" i="24"/>
  <c r="B894" i="24"/>
  <c r="B893" i="24"/>
  <c r="B892" i="24"/>
  <c r="B891" i="24"/>
  <c r="B890" i="24"/>
  <c r="B889" i="24"/>
  <c r="B888" i="24"/>
  <c r="B887" i="24"/>
  <c r="B886" i="24"/>
  <c r="B885" i="24"/>
  <c r="B884" i="24"/>
  <c r="B883" i="24"/>
  <c r="B882" i="24"/>
  <c r="B881" i="24"/>
  <c r="B880" i="24"/>
  <c r="B879" i="24"/>
  <c r="B878" i="24"/>
  <c r="B877" i="24"/>
  <c r="B876" i="24"/>
  <c r="B875" i="24"/>
  <c r="B874" i="24"/>
  <c r="B873" i="24"/>
  <c r="B872" i="24"/>
  <c r="B871" i="24"/>
  <c r="B870" i="24"/>
  <c r="B869" i="24"/>
  <c r="B868" i="24"/>
  <c r="B867" i="24"/>
  <c r="B866" i="24"/>
  <c r="B865" i="24"/>
  <c r="B864" i="24"/>
  <c r="B863" i="24"/>
  <c r="B862" i="24"/>
  <c r="B861" i="24"/>
  <c r="B860" i="24"/>
  <c r="B859" i="24"/>
  <c r="B858" i="24"/>
  <c r="B857" i="24"/>
  <c r="B856" i="24"/>
  <c r="B855" i="24"/>
  <c r="B854" i="24"/>
  <c r="B853" i="24"/>
  <c r="B852" i="24"/>
  <c r="B851" i="24"/>
  <c r="B850" i="24"/>
  <c r="B849" i="24"/>
  <c r="B848" i="24"/>
  <c r="B847" i="24"/>
  <c r="B846" i="24"/>
  <c r="B845" i="24"/>
  <c r="B844" i="24"/>
  <c r="B843" i="24"/>
  <c r="B842" i="24"/>
  <c r="B841" i="24"/>
  <c r="B840" i="24"/>
  <c r="B839" i="24"/>
  <c r="B838" i="24"/>
  <c r="B837" i="24"/>
  <c r="B836" i="24"/>
  <c r="B835" i="24"/>
  <c r="B834" i="24"/>
  <c r="B833" i="24"/>
  <c r="B832" i="24"/>
  <c r="B831" i="24"/>
  <c r="B830" i="24"/>
  <c r="B829" i="24"/>
  <c r="B828" i="24"/>
  <c r="B827" i="24"/>
  <c r="B826" i="24"/>
  <c r="B825" i="24"/>
  <c r="B824" i="24"/>
  <c r="B823" i="24"/>
  <c r="B822" i="24"/>
  <c r="B821" i="24"/>
  <c r="B820" i="24"/>
  <c r="B819" i="24"/>
  <c r="B818" i="24"/>
  <c r="B817" i="24"/>
  <c r="B816" i="24"/>
  <c r="B815" i="24"/>
  <c r="B814" i="24"/>
  <c r="B813" i="24"/>
  <c r="B812" i="24"/>
  <c r="B811" i="24"/>
  <c r="B810" i="24"/>
  <c r="B809" i="24"/>
  <c r="B808" i="24"/>
  <c r="B807" i="24"/>
  <c r="B806" i="24"/>
  <c r="B805" i="24"/>
  <c r="B804" i="24"/>
  <c r="B803" i="24"/>
  <c r="B802" i="24"/>
  <c r="B801" i="24"/>
  <c r="B800" i="24"/>
  <c r="B799" i="24"/>
  <c r="B798" i="24"/>
  <c r="B797" i="24"/>
  <c r="B796" i="24"/>
  <c r="B795" i="24"/>
  <c r="B794" i="24"/>
  <c r="B793" i="24"/>
  <c r="B792" i="24"/>
  <c r="B791" i="24"/>
  <c r="B790" i="24"/>
  <c r="B789" i="24"/>
  <c r="B788" i="24"/>
  <c r="B787" i="24"/>
  <c r="B786" i="24"/>
  <c r="B785" i="24"/>
  <c r="B784" i="24"/>
  <c r="B783" i="24"/>
  <c r="B782" i="24"/>
  <c r="B781" i="24"/>
  <c r="B780" i="24"/>
  <c r="B779" i="24"/>
  <c r="B778" i="24"/>
  <c r="B777" i="24"/>
  <c r="B776" i="24"/>
  <c r="B775" i="24"/>
  <c r="B774" i="24"/>
  <c r="B773" i="24"/>
  <c r="B772" i="24"/>
  <c r="B771" i="24"/>
  <c r="B770" i="24"/>
  <c r="B769" i="24"/>
  <c r="B768" i="24"/>
  <c r="B767" i="24"/>
  <c r="B766" i="24"/>
  <c r="B765" i="24"/>
  <c r="B764" i="24"/>
  <c r="B763" i="24"/>
  <c r="B762" i="24"/>
  <c r="B761" i="24"/>
  <c r="B760" i="24"/>
  <c r="B759" i="24"/>
  <c r="B758" i="24"/>
  <c r="B757" i="24"/>
  <c r="B756" i="24"/>
  <c r="B755" i="24"/>
  <c r="B754" i="24"/>
  <c r="B753" i="24"/>
  <c r="B752" i="24"/>
  <c r="B751" i="24"/>
  <c r="B750" i="24"/>
  <c r="B749" i="24"/>
  <c r="B748" i="24"/>
  <c r="B747" i="24"/>
  <c r="B746" i="24"/>
  <c r="B745" i="24"/>
  <c r="B744" i="24"/>
  <c r="B743" i="24"/>
  <c r="B742" i="24"/>
  <c r="B741" i="24"/>
  <c r="B740" i="24"/>
  <c r="B739" i="24"/>
  <c r="B738" i="24"/>
  <c r="B737" i="24"/>
  <c r="B736" i="24"/>
  <c r="B735" i="24"/>
  <c r="B734" i="24"/>
  <c r="B733" i="24"/>
  <c r="B732" i="24"/>
  <c r="B731" i="24"/>
  <c r="B730" i="24"/>
  <c r="B729" i="24"/>
  <c r="B728" i="24"/>
  <c r="B727" i="24"/>
  <c r="B726" i="24"/>
  <c r="B725" i="24"/>
  <c r="B724" i="24"/>
  <c r="B723" i="24"/>
  <c r="B722" i="24"/>
  <c r="B721" i="24"/>
  <c r="B720" i="24"/>
  <c r="B719" i="24"/>
  <c r="B718" i="24"/>
  <c r="B717" i="24"/>
  <c r="B716" i="24"/>
  <c r="B715" i="24"/>
  <c r="B714" i="24"/>
  <c r="B713" i="24"/>
  <c r="B712" i="24"/>
  <c r="B711" i="24"/>
  <c r="B710" i="24"/>
  <c r="B709" i="24"/>
  <c r="B708" i="24"/>
  <c r="B707" i="24"/>
  <c r="B706" i="24"/>
  <c r="B705" i="24"/>
  <c r="B704" i="24"/>
  <c r="B703" i="24"/>
  <c r="B702" i="24"/>
  <c r="B701" i="24"/>
  <c r="B700" i="24"/>
  <c r="B699" i="24"/>
  <c r="B698" i="24"/>
  <c r="B697" i="24"/>
  <c r="B696" i="24"/>
  <c r="B695" i="24"/>
  <c r="B694" i="24"/>
  <c r="B693" i="24"/>
  <c r="B692" i="24"/>
  <c r="B691" i="24"/>
  <c r="B690" i="24"/>
  <c r="B689" i="24"/>
  <c r="B688" i="24"/>
  <c r="B687" i="24"/>
  <c r="B686" i="24"/>
  <c r="B685" i="24"/>
  <c r="B684" i="24"/>
  <c r="B683" i="24"/>
  <c r="B682" i="24"/>
  <c r="B681" i="24"/>
  <c r="B680" i="24"/>
  <c r="B679" i="24"/>
  <c r="B678" i="24"/>
  <c r="B677" i="24"/>
  <c r="B676" i="24"/>
  <c r="B675" i="24"/>
  <c r="B674" i="24"/>
  <c r="B673" i="24"/>
  <c r="B672" i="24"/>
  <c r="B671" i="24"/>
  <c r="B670" i="24"/>
  <c r="B669" i="24"/>
  <c r="B668" i="24"/>
  <c r="B667" i="24"/>
  <c r="B666" i="24"/>
  <c r="B665" i="24"/>
  <c r="B664" i="24"/>
  <c r="B663" i="24"/>
  <c r="B662" i="24"/>
  <c r="B661" i="24"/>
  <c r="B660" i="24"/>
  <c r="B659" i="24"/>
  <c r="B658" i="24"/>
  <c r="B657" i="24"/>
  <c r="B656" i="24"/>
  <c r="B655" i="24"/>
  <c r="B654" i="24"/>
  <c r="B653" i="24"/>
  <c r="B652" i="24"/>
  <c r="B651" i="24"/>
  <c r="B650" i="24"/>
  <c r="B649" i="24"/>
  <c r="B648" i="24"/>
  <c r="B647" i="24"/>
  <c r="B646" i="24"/>
  <c r="B645" i="24"/>
  <c r="B644" i="24"/>
  <c r="B643" i="24"/>
  <c r="B642" i="24"/>
  <c r="B641" i="24"/>
  <c r="B640" i="24"/>
  <c r="B639" i="24"/>
  <c r="B638" i="24"/>
  <c r="B637" i="24"/>
  <c r="B636" i="24"/>
  <c r="B635" i="24"/>
  <c r="B634" i="24"/>
  <c r="B633" i="24"/>
  <c r="B632" i="24"/>
  <c r="B631" i="24"/>
  <c r="B630" i="24"/>
  <c r="B629" i="24"/>
  <c r="B628" i="24"/>
  <c r="B627" i="24"/>
  <c r="B626" i="24"/>
  <c r="B625" i="24"/>
  <c r="B624" i="24"/>
  <c r="B623" i="24"/>
  <c r="B622" i="24"/>
  <c r="B621" i="24"/>
  <c r="B620" i="24"/>
  <c r="B619" i="24"/>
  <c r="B618" i="24"/>
  <c r="B617" i="24"/>
  <c r="B616" i="24"/>
  <c r="B615" i="24"/>
  <c r="B614" i="24"/>
  <c r="B613" i="24"/>
  <c r="B612" i="24"/>
  <c r="B611" i="24"/>
  <c r="B610" i="24"/>
  <c r="B609" i="24"/>
  <c r="B608" i="24"/>
  <c r="B607" i="24"/>
  <c r="B606" i="24"/>
  <c r="B605" i="24"/>
  <c r="B604" i="24"/>
  <c r="B603" i="24"/>
  <c r="B602" i="24"/>
  <c r="B601" i="24"/>
  <c r="B600" i="24"/>
  <c r="B599" i="24"/>
  <c r="B598" i="24"/>
  <c r="B597" i="24"/>
  <c r="B596" i="24"/>
  <c r="B595" i="24"/>
  <c r="B594" i="24"/>
  <c r="B593" i="24"/>
  <c r="B592" i="24"/>
  <c r="B591" i="24"/>
  <c r="B590" i="24"/>
  <c r="B589" i="24"/>
  <c r="B588" i="24"/>
  <c r="B587" i="24"/>
  <c r="B586" i="24"/>
  <c r="B585" i="24"/>
  <c r="B584" i="24"/>
  <c r="B583" i="24"/>
  <c r="B582" i="24"/>
  <c r="B581" i="24"/>
  <c r="B580" i="24"/>
  <c r="B579" i="24"/>
  <c r="B578" i="24"/>
  <c r="B577" i="24"/>
  <c r="B576" i="24"/>
  <c r="B575" i="24"/>
  <c r="B574" i="24"/>
  <c r="B573" i="24"/>
  <c r="B572" i="24"/>
  <c r="B571" i="24"/>
  <c r="B570" i="24"/>
  <c r="B569" i="24"/>
  <c r="B568" i="24"/>
  <c r="B567" i="24"/>
  <c r="B566" i="24"/>
  <c r="B565" i="24"/>
  <c r="B564" i="24"/>
  <c r="B563" i="24"/>
  <c r="B562" i="24"/>
  <c r="B561" i="24"/>
  <c r="B560" i="24"/>
  <c r="B559" i="24"/>
  <c r="B558" i="24"/>
  <c r="B557" i="24"/>
  <c r="B556" i="24"/>
  <c r="B555" i="24"/>
  <c r="B554" i="24"/>
  <c r="B553" i="24"/>
  <c r="B552" i="24"/>
  <c r="B551" i="24"/>
  <c r="B550" i="24"/>
  <c r="B549" i="24"/>
  <c r="B548" i="24"/>
  <c r="B547" i="24"/>
  <c r="B546" i="24"/>
  <c r="B545" i="24"/>
  <c r="B544" i="24"/>
  <c r="B543" i="24"/>
  <c r="B542" i="24"/>
  <c r="B541" i="24"/>
  <c r="B540" i="24"/>
  <c r="B539" i="24"/>
  <c r="B538" i="24"/>
  <c r="B537" i="24"/>
  <c r="B536" i="24"/>
  <c r="B535" i="24"/>
  <c r="B534" i="24"/>
  <c r="B533" i="24"/>
  <c r="B532" i="24"/>
  <c r="B531" i="24"/>
  <c r="B530" i="24"/>
  <c r="B529" i="24"/>
  <c r="B528" i="24"/>
  <c r="B527" i="24"/>
  <c r="B526" i="24"/>
  <c r="B525" i="24"/>
  <c r="B524" i="24"/>
  <c r="B523" i="24"/>
  <c r="B522" i="24"/>
  <c r="B521" i="24"/>
  <c r="B520" i="24"/>
  <c r="B519" i="24"/>
  <c r="B518" i="24"/>
  <c r="B517" i="24"/>
  <c r="B516" i="24"/>
  <c r="B515" i="24"/>
  <c r="B514" i="24"/>
  <c r="B513" i="24"/>
  <c r="B512" i="24"/>
  <c r="B511" i="24"/>
  <c r="B510" i="24"/>
  <c r="B509" i="24"/>
  <c r="B508" i="24"/>
  <c r="B507" i="24"/>
  <c r="B506" i="24"/>
  <c r="B505" i="24"/>
  <c r="B504" i="24"/>
  <c r="B503" i="24"/>
  <c r="B502" i="24"/>
  <c r="B501" i="24"/>
  <c r="B500" i="24"/>
  <c r="B499" i="24"/>
  <c r="B498" i="24"/>
  <c r="B497" i="24"/>
  <c r="B496" i="24"/>
  <c r="B495" i="24"/>
  <c r="B494" i="24"/>
  <c r="B493" i="24"/>
  <c r="B492" i="24"/>
  <c r="B491" i="24"/>
  <c r="B490" i="24"/>
  <c r="B489" i="24"/>
  <c r="B488" i="24"/>
  <c r="B487" i="24"/>
  <c r="B486" i="24"/>
  <c r="B485" i="24"/>
  <c r="B484" i="24"/>
  <c r="B483" i="24"/>
  <c r="B482" i="24"/>
  <c r="B481" i="24"/>
  <c r="B480" i="24"/>
  <c r="B479" i="24"/>
  <c r="B478" i="24"/>
  <c r="B477" i="24"/>
  <c r="B476" i="24"/>
  <c r="B475" i="24"/>
  <c r="B474" i="24"/>
  <c r="B473" i="24"/>
  <c r="B472" i="24"/>
  <c r="B471" i="24"/>
  <c r="B470" i="24"/>
  <c r="B469" i="24"/>
  <c r="B468" i="24"/>
  <c r="B467" i="24"/>
  <c r="B466" i="24"/>
  <c r="B465" i="24"/>
  <c r="B464" i="24"/>
  <c r="B463" i="24"/>
  <c r="B462" i="24"/>
  <c r="B461" i="24"/>
  <c r="B460" i="24"/>
  <c r="B459" i="24"/>
  <c r="B458" i="24"/>
  <c r="B457" i="24"/>
  <c r="B456" i="24"/>
  <c r="B455" i="24"/>
  <c r="B454" i="24"/>
  <c r="B453" i="24"/>
  <c r="B452" i="24"/>
  <c r="B451" i="24"/>
  <c r="B450" i="24"/>
  <c r="B449" i="24"/>
  <c r="B448" i="24"/>
  <c r="B447" i="24"/>
  <c r="B446" i="24"/>
  <c r="B445" i="24"/>
  <c r="B444" i="24"/>
  <c r="B443" i="24"/>
  <c r="B442" i="24"/>
  <c r="B441" i="24"/>
  <c r="B440" i="24"/>
  <c r="B439" i="24"/>
  <c r="B438" i="24"/>
  <c r="B437" i="24"/>
  <c r="B436" i="24"/>
  <c r="B435" i="24"/>
  <c r="B434" i="24"/>
  <c r="B433" i="24"/>
  <c r="B432" i="24"/>
  <c r="B431" i="24"/>
  <c r="B430" i="24"/>
  <c r="B429" i="24"/>
  <c r="B428" i="24"/>
  <c r="B427" i="24"/>
  <c r="B426" i="24"/>
  <c r="B425" i="24"/>
  <c r="B424" i="24"/>
  <c r="B423" i="24"/>
  <c r="B422" i="24"/>
  <c r="B421" i="24"/>
  <c r="B420" i="24"/>
  <c r="B419" i="24"/>
  <c r="B418" i="24"/>
  <c r="B417" i="24"/>
  <c r="B416" i="24"/>
  <c r="B415" i="24"/>
  <c r="B414" i="24"/>
  <c r="B413" i="24"/>
  <c r="B412" i="24"/>
  <c r="B411" i="24"/>
  <c r="B410" i="24"/>
  <c r="B409" i="24"/>
  <c r="B408" i="24"/>
  <c r="B407" i="24"/>
  <c r="B406" i="24"/>
  <c r="B405" i="24"/>
  <c r="B404" i="24"/>
  <c r="B403" i="24"/>
  <c r="B402" i="24"/>
  <c r="B401" i="24"/>
  <c r="B400" i="24"/>
  <c r="B399" i="24"/>
  <c r="B398" i="24"/>
  <c r="B397" i="24"/>
  <c r="B396" i="24"/>
  <c r="B395" i="24"/>
  <c r="B394" i="24"/>
  <c r="B393" i="24"/>
  <c r="B392" i="24"/>
  <c r="B391" i="24"/>
  <c r="B390" i="24"/>
  <c r="B389" i="24"/>
  <c r="B388" i="24"/>
  <c r="B387" i="24"/>
  <c r="B386" i="24"/>
  <c r="B385" i="24"/>
  <c r="B384" i="24"/>
  <c r="B383" i="24"/>
  <c r="B382" i="24"/>
  <c r="B381" i="24"/>
  <c r="B380" i="24"/>
  <c r="B379" i="24"/>
  <c r="B378" i="24"/>
  <c r="B377" i="24"/>
  <c r="B376" i="24"/>
  <c r="B375" i="24"/>
  <c r="B374" i="24"/>
  <c r="B373" i="24"/>
  <c r="B372" i="24"/>
  <c r="B371" i="24"/>
  <c r="B370" i="24"/>
  <c r="B369" i="24"/>
  <c r="B368" i="24"/>
  <c r="B367" i="24"/>
  <c r="B366" i="24"/>
  <c r="B365" i="24"/>
  <c r="B364" i="24"/>
  <c r="B363" i="24"/>
  <c r="B362" i="24"/>
  <c r="B361" i="24"/>
  <c r="B360" i="24"/>
  <c r="B359"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B3" i="24"/>
  <c r="B2" i="24"/>
  <c r="B1000" i="23"/>
  <c r="B999" i="23"/>
  <c r="B998" i="23"/>
  <c r="B997" i="23"/>
  <c r="B996" i="23"/>
  <c r="B995" i="23"/>
  <c r="B994" i="23"/>
  <c r="B993" i="23"/>
  <c r="B992" i="23"/>
  <c r="B991" i="23"/>
  <c r="B990" i="23"/>
  <c r="B989" i="23"/>
  <c r="B988" i="23"/>
  <c r="B987" i="23"/>
  <c r="B986" i="23"/>
  <c r="B985" i="23"/>
  <c r="B984" i="23"/>
  <c r="B983" i="23"/>
  <c r="B982" i="23"/>
  <c r="B981" i="23"/>
  <c r="B980" i="23"/>
  <c r="B979" i="23"/>
  <c r="B978" i="23"/>
  <c r="B977" i="23"/>
  <c r="B976" i="23"/>
  <c r="B975" i="23"/>
  <c r="B974" i="23"/>
  <c r="B973" i="23"/>
  <c r="B972" i="23"/>
  <c r="B971" i="23"/>
  <c r="B970" i="23"/>
  <c r="B969" i="23"/>
  <c r="B968" i="23"/>
  <c r="B967" i="23"/>
  <c r="B966" i="23"/>
  <c r="B965" i="23"/>
  <c r="B964" i="23"/>
  <c r="B963" i="23"/>
  <c r="B962" i="23"/>
  <c r="B961" i="23"/>
  <c r="B960" i="23"/>
  <c r="B959" i="23"/>
  <c r="B958" i="23"/>
  <c r="B957" i="23"/>
  <c r="B956" i="23"/>
  <c r="B955" i="23"/>
  <c r="B954" i="23"/>
  <c r="B953" i="23"/>
  <c r="B952" i="23"/>
  <c r="B951" i="23"/>
  <c r="B950" i="23"/>
  <c r="B949" i="23"/>
  <c r="B948" i="23"/>
  <c r="B947" i="23"/>
  <c r="B946" i="23"/>
  <c r="B945" i="23"/>
  <c r="B944" i="23"/>
  <c r="B943" i="23"/>
  <c r="B942" i="23"/>
  <c r="B941" i="23"/>
  <c r="B940" i="23"/>
  <c r="B939" i="23"/>
  <c r="B938" i="23"/>
  <c r="B937" i="23"/>
  <c r="B936" i="23"/>
  <c r="B935" i="23"/>
  <c r="B934" i="23"/>
  <c r="B933" i="23"/>
  <c r="B932" i="23"/>
  <c r="B931" i="23"/>
  <c r="B930" i="23"/>
  <c r="B929" i="23"/>
  <c r="B928" i="23"/>
  <c r="B927" i="23"/>
  <c r="B926" i="23"/>
  <c r="B925" i="23"/>
  <c r="B924" i="23"/>
  <c r="B923" i="23"/>
  <c r="B922" i="23"/>
  <c r="B921" i="23"/>
  <c r="B920" i="23"/>
  <c r="B919" i="23"/>
  <c r="B918" i="23"/>
  <c r="B917" i="23"/>
  <c r="B916" i="23"/>
  <c r="B915" i="23"/>
  <c r="B914" i="23"/>
  <c r="B913" i="23"/>
  <c r="B912" i="23"/>
  <c r="B911" i="23"/>
  <c r="B910" i="23"/>
  <c r="B909" i="23"/>
  <c r="B908" i="23"/>
  <c r="B907" i="23"/>
  <c r="B906" i="23"/>
  <c r="B905" i="23"/>
  <c r="B904" i="23"/>
  <c r="B903" i="23"/>
  <c r="B902" i="23"/>
  <c r="B901" i="23"/>
  <c r="B900" i="23"/>
  <c r="B899" i="23"/>
  <c r="B898" i="23"/>
  <c r="B897" i="23"/>
  <c r="B896" i="23"/>
  <c r="B895" i="23"/>
  <c r="B894" i="23"/>
  <c r="B893" i="23"/>
  <c r="B892" i="23"/>
  <c r="B891" i="23"/>
  <c r="B890" i="23"/>
  <c r="B889" i="23"/>
  <c r="B888" i="23"/>
  <c r="B887" i="23"/>
  <c r="B886" i="23"/>
  <c r="B885" i="23"/>
  <c r="B884" i="23"/>
  <c r="B883" i="23"/>
  <c r="B882" i="23"/>
  <c r="B881" i="23"/>
  <c r="B880" i="23"/>
  <c r="B879" i="23"/>
  <c r="B878" i="23"/>
  <c r="B877" i="23"/>
  <c r="B876" i="23"/>
  <c r="B875" i="23"/>
  <c r="B874" i="23"/>
  <c r="B873" i="23"/>
  <c r="B872" i="23"/>
  <c r="B871" i="23"/>
  <c r="B870" i="23"/>
  <c r="B869" i="23"/>
  <c r="B868" i="23"/>
  <c r="B867" i="23"/>
  <c r="B866" i="23"/>
  <c r="B865" i="23"/>
  <c r="B864" i="23"/>
  <c r="B863" i="23"/>
  <c r="B862" i="23"/>
  <c r="B861" i="23"/>
  <c r="B860" i="23"/>
  <c r="B859" i="23"/>
  <c r="B858" i="23"/>
  <c r="B857" i="23"/>
  <c r="B856" i="23"/>
  <c r="B855" i="23"/>
  <c r="B854" i="23"/>
  <c r="B853" i="23"/>
  <c r="B852" i="23"/>
  <c r="B851" i="23"/>
  <c r="B850" i="23"/>
  <c r="B849" i="23"/>
  <c r="B848" i="23"/>
  <c r="B847" i="23"/>
  <c r="B846" i="23"/>
  <c r="B845" i="23"/>
  <c r="B844" i="23"/>
  <c r="B843" i="23"/>
  <c r="B842" i="23"/>
  <c r="B841" i="23"/>
  <c r="B840" i="23"/>
  <c r="B839" i="23"/>
  <c r="B838" i="23"/>
  <c r="B837" i="23"/>
  <c r="B836" i="23"/>
  <c r="B835" i="23"/>
  <c r="B834" i="23"/>
  <c r="B833" i="23"/>
  <c r="B832" i="23"/>
  <c r="B831" i="23"/>
  <c r="B830" i="23"/>
  <c r="B829" i="23"/>
  <c r="B828" i="23"/>
  <c r="B827" i="23"/>
  <c r="B826" i="23"/>
  <c r="B825" i="23"/>
  <c r="B824" i="23"/>
  <c r="B823" i="23"/>
  <c r="B822" i="23"/>
  <c r="B821" i="23"/>
  <c r="B820" i="23"/>
  <c r="B819" i="23"/>
  <c r="B818" i="23"/>
  <c r="B817" i="23"/>
  <c r="B816" i="23"/>
  <c r="B815" i="23"/>
  <c r="B814" i="23"/>
  <c r="B813" i="23"/>
  <c r="B812" i="23"/>
  <c r="B811" i="23"/>
  <c r="B810" i="23"/>
  <c r="B809" i="23"/>
  <c r="B808" i="23"/>
  <c r="B807" i="23"/>
  <c r="B806" i="23"/>
  <c r="B805" i="23"/>
  <c r="B804" i="23"/>
  <c r="B803" i="23"/>
  <c r="B802" i="23"/>
  <c r="B801" i="23"/>
  <c r="B800" i="23"/>
  <c r="B799" i="23"/>
  <c r="B798" i="23"/>
  <c r="B797" i="23"/>
  <c r="B796" i="23"/>
  <c r="B795" i="23"/>
  <c r="B794" i="23"/>
  <c r="B793" i="23"/>
  <c r="B792" i="23"/>
  <c r="B791" i="23"/>
  <c r="B790" i="23"/>
  <c r="B789" i="23"/>
  <c r="B788" i="23"/>
  <c r="B787" i="23"/>
  <c r="B786" i="23"/>
  <c r="B785" i="23"/>
  <c r="B784" i="23"/>
  <c r="B783" i="23"/>
  <c r="B782" i="23"/>
  <c r="B781" i="23"/>
  <c r="B780" i="23"/>
  <c r="B779" i="23"/>
  <c r="B778" i="23"/>
  <c r="B777" i="23"/>
  <c r="B776" i="23"/>
  <c r="B775" i="23"/>
  <c r="B774" i="23"/>
  <c r="B773" i="23"/>
  <c r="B772" i="23"/>
  <c r="B771" i="23"/>
  <c r="B770" i="23"/>
  <c r="B769" i="23"/>
  <c r="B768" i="23"/>
  <c r="B767" i="23"/>
  <c r="B766" i="23"/>
  <c r="B765" i="23"/>
  <c r="B764" i="23"/>
  <c r="B763" i="23"/>
  <c r="B762" i="23"/>
  <c r="B761" i="23"/>
  <c r="B760" i="23"/>
  <c r="B759" i="23"/>
  <c r="B758" i="23"/>
  <c r="B757" i="23"/>
  <c r="B756" i="23"/>
  <c r="B755" i="23"/>
  <c r="B754" i="23"/>
  <c r="B753" i="23"/>
  <c r="B752" i="23"/>
  <c r="B751" i="23"/>
  <c r="B750" i="23"/>
  <c r="B749" i="23"/>
  <c r="B748" i="23"/>
  <c r="B747" i="23"/>
  <c r="B746" i="23"/>
  <c r="B745" i="23"/>
  <c r="B744" i="23"/>
  <c r="B743" i="23"/>
  <c r="B742" i="23"/>
  <c r="B741" i="23"/>
  <c r="B740" i="23"/>
  <c r="B739" i="23"/>
  <c r="B738" i="23"/>
  <c r="B737" i="23"/>
  <c r="B736" i="23"/>
  <c r="B735" i="23"/>
  <c r="B734" i="23"/>
  <c r="B733" i="23"/>
  <c r="B732" i="23"/>
  <c r="B731" i="23"/>
  <c r="B730" i="23"/>
  <c r="B729" i="23"/>
  <c r="B728" i="23"/>
  <c r="B727" i="23"/>
  <c r="B726" i="23"/>
  <c r="B725" i="23"/>
  <c r="B724" i="23"/>
  <c r="B723" i="23"/>
  <c r="B722" i="23"/>
  <c r="B721" i="23"/>
  <c r="B720" i="23"/>
  <c r="B719" i="23"/>
  <c r="B718" i="23"/>
  <c r="B717" i="23"/>
  <c r="B716" i="23"/>
  <c r="B715" i="23"/>
  <c r="B714" i="23"/>
  <c r="B713" i="23"/>
  <c r="B712" i="23"/>
  <c r="B711" i="23"/>
  <c r="B710" i="23"/>
  <c r="B709" i="23"/>
  <c r="B708" i="23"/>
  <c r="B707" i="23"/>
  <c r="B706" i="23"/>
  <c r="B705" i="23"/>
  <c r="B704" i="23"/>
  <c r="B703" i="23"/>
  <c r="B702" i="23"/>
  <c r="B701" i="23"/>
  <c r="B700" i="23"/>
  <c r="B699" i="23"/>
  <c r="B698" i="23"/>
  <c r="B697" i="23"/>
  <c r="B696" i="23"/>
  <c r="B695" i="23"/>
  <c r="B694" i="23"/>
  <c r="B693" i="23"/>
  <c r="B692" i="23"/>
  <c r="B691" i="23"/>
  <c r="B690" i="23"/>
  <c r="B689" i="23"/>
  <c r="B688" i="23"/>
  <c r="B687" i="23"/>
  <c r="B686" i="23"/>
  <c r="B685" i="23"/>
  <c r="B684" i="23"/>
  <c r="B683" i="23"/>
  <c r="B682" i="23"/>
  <c r="B681" i="23"/>
  <c r="B680" i="23"/>
  <c r="B679" i="23"/>
  <c r="B678" i="23"/>
  <c r="B677" i="23"/>
  <c r="B676" i="23"/>
  <c r="B675" i="23"/>
  <c r="B674" i="23"/>
  <c r="B673" i="23"/>
  <c r="B672" i="23"/>
  <c r="B671" i="23"/>
  <c r="B670" i="23"/>
  <c r="B669" i="23"/>
  <c r="B668" i="23"/>
  <c r="B667" i="23"/>
  <c r="B666" i="23"/>
  <c r="B665" i="23"/>
  <c r="B664" i="23"/>
  <c r="B663" i="23"/>
  <c r="B662" i="23"/>
  <c r="B661" i="23"/>
  <c r="B660" i="23"/>
  <c r="B659" i="23"/>
  <c r="B658" i="23"/>
  <c r="B657" i="23"/>
  <c r="B656" i="23"/>
  <c r="B655" i="23"/>
  <c r="B654" i="23"/>
  <c r="B653" i="23"/>
  <c r="B652" i="23"/>
  <c r="B651" i="23"/>
  <c r="B650" i="23"/>
  <c r="B649" i="23"/>
  <c r="B648" i="23"/>
  <c r="B647" i="23"/>
  <c r="B646" i="23"/>
  <c r="B645" i="23"/>
  <c r="B644" i="23"/>
  <c r="B643" i="23"/>
  <c r="B642" i="23"/>
  <c r="B641" i="23"/>
  <c r="B640" i="23"/>
  <c r="B639" i="23"/>
  <c r="B638" i="23"/>
  <c r="B637" i="23"/>
  <c r="B636" i="23"/>
  <c r="B635" i="23"/>
  <c r="B634" i="23"/>
  <c r="B633" i="23"/>
  <c r="B632" i="23"/>
  <c r="B631" i="23"/>
  <c r="B630" i="23"/>
  <c r="B629" i="23"/>
  <c r="B628" i="23"/>
  <c r="B627" i="23"/>
  <c r="B626" i="23"/>
  <c r="B625" i="23"/>
  <c r="B624" i="23"/>
  <c r="B623" i="23"/>
  <c r="B622" i="23"/>
  <c r="B621" i="23"/>
  <c r="B620" i="23"/>
  <c r="B619" i="23"/>
  <c r="B618" i="23"/>
  <c r="B617" i="23"/>
  <c r="B616" i="23"/>
  <c r="B615" i="23"/>
  <c r="B614" i="23"/>
  <c r="B613" i="23"/>
  <c r="B612" i="23"/>
  <c r="B611" i="23"/>
  <c r="B610" i="23"/>
  <c r="B609" i="23"/>
  <c r="B608" i="23"/>
  <c r="B607" i="23"/>
  <c r="B606" i="23"/>
  <c r="B605" i="23"/>
  <c r="B604" i="23"/>
  <c r="B603" i="23"/>
  <c r="B602" i="23"/>
  <c r="B601" i="23"/>
  <c r="B600" i="23"/>
  <c r="B599" i="23"/>
  <c r="B598" i="23"/>
  <c r="B597" i="23"/>
  <c r="B596" i="23"/>
  <c r="B595" i="23"/>
  <c r="B594" i="23"/>
  <c r="B593" i="23"/>
  <c r="B592" i="23"/>
  <c r="B591" i="23"/>
  <c r="B590" i="23"/>
  <c r="B589" i="23"/>
  <c r="B588" i="23"/>
  <c r="B587" i="23"/>
  <c r="B586" i="23"/>
  <c r="B585" i="23"/>
  <c r="B584" i="23"/>
  <c r="B583" i="23"/>
  <c r="B582" i="23"/>
  <c r="B581" i="23"/>
  <c r="B580" i="23"/>
  <c r="B579" i="23"/>
  <c r="B578" i="23"/>
  <c r="B577" i="23"/>
  <c r="B576" i="23"/>
  <c r="B575" i="23"/>
  <c r="B574" i="23"/>
  <c r="B573" i="23"/>
  <c r="B572" i="23"/>
  <c r="B571" i="23"/>
  <c r="B570" i="23"/>
  <c r="B569" i="23"/>
  <c r="B568" i="23"/>
  <c r="B567" i="23"/>
  <c r="B566" i="23"/>
  <c r="B565" i="23"/>
  <c r="B564" i="23"/>
  <c r="B563" i="23"/>
  <c r="B562" i="23"/>
  <c r="B561" i="23"/>
  <c r="B560" i="23"/>
  <c r="B559" i="23"/>
  <c r="B558" i="23"/>
  <c r="B557" i="23"/>
  <c r="B556" i="23"/>
  <c r="B555" i="23"/>
  <c r="B554" i="23"/>
  <c r="B553" i="23"/>
  <c r="B552" i="23"/>
  <c r="B551" i="23"/>
  <c r="B550" i="23"/>
  <c r="B549" i="23"/>
  <c r="B548" i="23"/>
  <c r="B547" i="23"/>
  <c r="B546" i="23"/>
  <c r="B545" i="23"/>
  <c r="B544" i="23"/>
  <c r="B543" i="23"/>
  <c r="B542" i="23"/>
  <c r="B541" i="23"/>
  <c r="B540" i="23"/>
  <c r="B539" i="23"/>
  <c r="B538" i="23"/>
  <c r="B537" i="23"/>
  <c r="B536" i="23"/>
  <c r="B535" i="23"/>
  <c r="B534" i="23"/>
  <c r="B533" i="23"/>
  <c r="B532" i="23"/>
  <c r="B531" i="23"/>
  <c r="B530" i="23"/>
  <c r="B529" i="23"/>
  <c r="B528" i="23"/>
  <c r="B527" i="23"/>
  <c r="B526" i="23"/>
  <c r="B525" i="23"/>
  <c r="B524" i="23"/>
  <c r="B523" i="23"/>
  <c r="B522" i="23"/>
  <c r="B521" i="23"/>
  <c r="B520" i="23"/>
  <c r="B519" i="23"/>
  <c r="B518" i="23"/>
  <c r="B517" i="23"/>
  <c r="B516" i="23"/>
  <c r="B515" i="23"/>
  <c r="B514" i="23"/>
  <c r="B513" i="23"/>
  <c r="B512" i="23"/>
  <c r="B511" i="23"/>
  <c r="B510" i="23"/>
  <c r="B509" i="23"/>
  <c r="B508" i="23"/>
  <c r="B507" i="23"/>
  <c r="B506" i="23"/>
  <c r="B505" i="23"/>
  <c r="B504" i="23"/>
  <c r="B503" i="23"/>
  <c r="B502" i="23"/>
  <c r="B501" i="23"/>
  <c r="B500" i="23"/>
  <c r="B499" i="23"/>
  <c r="B498" i="23"/>
  <c r="B497" i="23"/>
  <c r="B496" i="23"/>
  <c r="B495" i="23"/>
  <c r="B494" i="23"/>
  <c r="B493" i="23"/>
  <c r="B492" i="23"/>
  <c r="B491" i="23"/>
  <c r="B490" i="23"/>
  <c r="B489" i="23"/>
  <c r="B488" i="23"/>
  <c r="B487" i="23"/>
  <c r="B486" i="23"/>
  <c r="B485" i="23"/>
  <c r="B484" i="23"/>
  <c r="B483" i="23"/>
  <c r="B482" i="23"/>
  <c r="B481" i="23"/>
  <c r="B480" i="23"/>
  <c r="B479" i="23"/>
  <c r="B478" i="23"/>
  <c r="B477" i="23"/>
  <c r="B476" i="23"/>
  <c r="B475" i="23"/>
  <c r="B474" i="23"/>
  <c r="B473" i="23"/>
  <c r="B472" i="23"/>
  <c r="B471" i="23"/>
  <c r="B470" i="23"/>
  <c r="B469" i="23"/>
  <c r="B468" i="23"/>
  <c r="B467" i="23"/>
  <c r="B466" i="23"/>
  <c r="B465" i="23"/>
  <c r="B464" i="23"/>
  <c r="B463" i="23"/>
  <c r="B462" i="23"/>
  <c r="B461" i="23"/>
  <c r="B460" i="23"/>
  <c r="B459" i="23"/>
  <c r="B458" i="23"/>
  <c r="B457" i="23"/>
  <c r="B456" i="23"/>
  <c r="B455" i="23"/>
  <c r="B454" i="23"/>
  <c r="B453" i="23"/>
  <c r="B452" i="23"/>
  <c r="B451" i="23"/>
  <c r="B450" i="23"/>
  <c r="B449" i="23"/>
  <c r="B448" i="23"/>
  <c r="B447" i="23"/>
  <c r="B446" i="23"/>
  <c r="B445" i="23"/>
  <c r="B444" i="23"/>
  <c r="B443" i="23"/>
  <c r="B442" i="23"/>
  <c r="B441" i="23"/>
  <c r="B440" i="23"/>
  <c r="B439" i="23"/>
  <c r="B438" i="23"/>
  <c r="B437" i="23"/>
  <c r="B436" i="23"/>
  <c r="B435" i="23"/>
  <c r="B434" i="23"/>
  <c r="B433" i="23"/>
  <c r="B432" i="23"/>
  <c r="B431" i="23"/>
  <c r="B430" i="23"/>
  <c r="B429" i="23"/>
  <c r="B428" i="23"/>
  <c r="B427" i="23"/>
  <c r="B426" i="23"/>
  <c r="B425" i="23"/>
  <c r="B424" i="23"/>
  <c r="B423" i="23"/>
  <c r="B422" i="23"/>
  <c r="B421" i="23"/>
  <c r="B420" i="23"/>
  <c r="B419" i="23"/>
  <c r="B418" i="23"/>
  <c r="B417" i="23"/>
  <c r="B416" i="23"/>
  <c r="B415" i="23"/>
  <c r="B414" i="23"/>
  <c r="B413" i="23"/>
  <c r="B412" i="23"/>
  <c r="B411" i="23"/>
  <c r="B410" i="23"/>
  <c r="B409" i="23"/>
  <c r="B408" i="23"/>
  <c r="B407" i="23"/>
  <c r="B406" i="23"/>
  <c r="B405" i="23"/>
  <c r="B404" i="23"/>
  <c r="B403" i="23"/>
  <c r="B402" i="23"/>
  <c r="B401" i="23"/>
  <c r="B400" i="23"/>
  <c r="B399" i="23"/>
  <c r="B398" i="23"/>
  <c r="B397" i="23"/>
  <c r="B396" i="23"/>
  <c r="B395" i="23"/>
  <c r="B394" i="23"/>
  <c r="B393" i="23"/>
  <c r="B392" i="23"/>
  <c r="B391" i="23"/>
  <c r="B390" i="23"/>
  <c r="B389" i="23"/>
  <c r="B388" i="23"/>
  <c r="B387" i="23"/>
  <c r="B386" i="23"/>
  <c r="B385" i="23"/>
  <c r="B384" i="23"/>
  <c r="B383" i="23"/>
  <c r="B382" i="23"/>
  <c r="B381" i="23"/>
  <c r="B380" i="23"/>
  <c r="B379" i="23"/>
  <c r="B378" i="23"/>
  <c r="B377" i="23"/>
  <c r="B376" i="23"/>
  <c r="B375" i="23"/>
  <c r="B374" i="23"/>
  <c r="B373" i="23"/>
  <c r="B372" i="23"/>
  <c r="B371" i="23"/>
  <c r="B370" i="23"/>
  <c r="B369" i="23"/>
  <c r="B368" i="23"/>
  <c r="B367" i="23"/>
  <c r="B366" i="23"/>
  <c r="B365" i="23"/>
  <c r="B364" i="23"/>
  <c r="B363" i="23"/>
  <c r="B362" i="23"/>
  <c r="B361" i="23"/>
  <c r="B360" i="23"/>
  <c r="B359" i="23"/>
  <c r="B358" i="23"/>
  <c r="B357" i="23"/>
  <c r="B356" i="23"/>
  <c r="B355" i="23"/>
  <c r="B354" i="23"/>
  <c r="B353" i="23"/>
  <c r="B352" i="23"/>
  <c r="B351" i="23"/>
  <c r="B350" i="23"/>
  <c r="B349" i="23"/>
  <c r="B348" i="23"/>
  <c r="B347" i="23"/>
  <c r="B346" i="23"/>
  <c r="B345" i="23"/>
  <c r="B344" i="23"/>
  <c r="B343" i="23"/>
  <c r="B342" i="23"/>
  <c r="B341" i="23"/>
  <c r="B340" i="23"/>
  <c r="B339" i="23"/>
  <c r="B338" i="23"/>
  <c r="B337" i="23"/>
  <c r="B336" i="23"/>
  <c r="B335" i="23"/>
  <c r="B334" i="23"/>
  <c r="B333" i="23"/>
  <c r="B332" i="23"/>
  <c r="B331" i="23"/>
  <c r="B330" i="23"/>
  <c r="B329" i="23"/>
  <c r="B328" i="23"/>
  <c r="B327" i="23"/>
  <c r="B326" i="23"/>
  <c r="B325" i="23"/>
  <c r="B324" i="23"/>
  <c r="B323" i="23"/>
  <c r="B322" i="23"/>
  <c r="B321" i="23"/>
  <c r="B320" i="23"/>
  <c r="B319" i="23"/>
  <c r="B318" i="23"/>
  <c r="B317" i="23"/>
  <c r="B316" i="23"/>
  <c r="B315" i="23"/>
  <c r="B314" i="23"/>
  <c r="B313" i="23"/>
  <c r="B312" i="23"/>
  <c r="B311" i="23"/>
  <c r="B310" i="23"/>
  <c r="B309" i="23"/>
  <c r="B308" i="23"/>
  <c r="B307" i="23"/>
  <c r="B306" i="23"/>
  <c r="B305" i="23"/>
  <c r="B304" i="23"/>
  <c r="B303" i="23"/>
  <c r="B302" i="23"/>
  <c r="B301" i="23"/>
  <c r="B300" i="23"/>
  <c r="B299" i="23"/>
  <c r="B298" i="23"/>
  <c r="B297" i="23"/>
  <c r="B296" i="23"/>
  <c r="B295" i="23"/>
  <c r="B294" i="23"/>
  <c r="B293" i="23"/>
  <c r="B292" i="23"/>
  <c r="B291" i="23"/>
  <c r="B290" i="23"/>
  <c r="B289" i="23"/>
  <c r="B288" i="23"/>
  <c r="B287" i="23"/>
  <c r="B286" i="23"/>
  <c r="B285" i="23"/>
  <c r="B284" i="23"/>
  <c r="B283" i="23"/>
  <c r="B282" i="23"/>
  <c r="B281" i="23"/>
  <c r="B280" i="23"/>
  <c r="B279" i="23"/>
  <c r="B278" i="23"/>
  <c r="B277" i="23"/>
  <c r="B276" i="23"/>
  <c r="B275" i="23"/>
  <c r="B274" i="23"/>
  <c r="B273" i="23"/>
  <c r="B272" i="23"/>
  <c r="B271" i="23"/>
  <c r="B270" i="23"/>
  <c r="B269" i="23"/>
  <c r="B268" i="23"/>
  <c r="B267" i="23"/>
  <c r="B266" i="23"/>
  <c r="B265" i="23"/>
  <c r="B264" i="23"/>
  <c r="B263" i="23"/>
  <c r="B262" i="23"/>
  <c r="B261" i="23"/>
  <c r="B260" i="23"/>
  <c r="B259" i="23"/>
  <c r="B258" i="23"/>
  <c r="B257" i="23"/>
  <c r="B256" i="23"/>
  <c r="B255" i="23"/>
  <c r="B254" i="23"/>
  <c r="B253" i="23"/>
  <c r="B252" i="23"/>
  <c r="B251" i="23"/>
  <c r="B250" i="23"/>
  <c r="B249" i="23"/>
  <c r="B248" i="23"/>
  <c r="B247" i="23"/>
  <c r="B246" i="23"/>
  <c r="B245" i="23"/>
  <c r="B244" i="23"/>
  <c r="B243" i="23"/>
  <c r="B242" i="23"/>
  <c r="B241" i="23"/>
  <c r="B240" i="23"/>
  <c r="B239" i="23"/>
  <c r="B238" i="23"/>
  <c r="B237" i="23"/>
  <c r="B236" i="23"/>
  <c r="B235" i="23"/>
  <c r="B234" i="23"/>
  <c r="B233" i="23"/>
  <c r="B232" i="23"/>
  <c r="B231" i="23"/>
  <c r="B230" i="23"/>
  <c r="B229" i="23"/>
  <c r="B228" i="23"/>
  <c r="B227" i="23"/>
  <c r="B226" i="23"/>
  <c r="B225" i="23"/>
  <c r="B224" i="23"/>
  <c r="B223" i="23"/>
  <c r="B222" i="23"/>
  <c r="B221" i="23"/>
  <c r="B220" i="23"/>
  <c r="B219" i="23"/>
  <c r="B218" i="23"/>
  <c r="B217" i="23"/>
  <c r="B216" i="23"/>
  <c r="B215" i="23"/>
  <c r="B214" i="23"/>
  <c r="B213" i="23"/>
  <c r="B212" i="23"/>
  <c r="B211" i="23"/>
  <c r="B210" i="23"/>
  <c r="B209" i="23"/>
  <c r="B208" i="23"/>
  <c r="B207" i="23"/>
  <c r="B206" i="23"/>
  <c r="B205" i="23"/>
  <c r="B204" i="23"/>
  <c r="B203" i="23"/>
  <c r="B202" i="23"/>
  <c r="B201" i="23"/>
  <c r="B200" i="23"/>
  <c r="B199" i="23"/>
  <c r="B198" i="23"/>
  <c r="B197" i="23"/>
  <c r="B196" i="23"/>
  <c r="B195" i="23"/>
  <c r="B194" i="23"/>
  <c r="B193" i="23"/>
  <c r="B192" i="23"/>
  <c r="B191" i="23"/>
  <c r="B190" i="23"/>
  <c r="B189" i="23"/>
  <c r="B188" i="23"/>
  <c r="B187" i="23"/>
  <c r="B186" i="23"/>
  <c r="B185" i="23"/>
  <c r="B184" i="23"/>
  <c r="B183" i="23"/>
  <c r="B182" i="23"/>
  <c r="B181" i="23"/>
  <c r="B180" i="23"/>
  <c r="B179" i="23"/>
  <c r="B178" i="23"/>
  <c r="B177" i="23"/>
  <c r="B176" i="23"/>
  <c r="B175" i="23"/>
  <c r="B174" i="23"/>
  <c r="B173" i="23"/>
  <c r="B172" i="23"/>
  <c r="B171" i="23"/>
  <c r="B170" i="23"/>
  <c r="B169" i="23"/>
  <c r="B168" i="23"/>
  <c r="B167" i="23"/>
  <c r="B166" i="23"/>
  <c r="B165" i="23"/>
  <c r="B164" i="23"/>
  <c r="B163" i="23"/>
  <c r="B162" i="23"/>
  <c r="B161" i="23"/>
  <c r="B160" i="23"/>
  <c r="B159" i="23"/>
  <c r="B158" i="23"/>
  <c r="B157" i="23"/>
  <c r="B156" i="23"/>
  <c r="B155" i="23"/>
  <c r="B154" i="23"/>
  <c r="B153" i="23"/>
  <c r="B152" i="23"/>
  <c r="B151" i="23"/>
  <c r="B150" i="23"/>
  <c r="B149" i="23"/>
  <c r="B148" i="23"/>
  <c r="B147" i="23"/>
  <c r="B146" i="23"/>
  <c r="B145" i="23"/>
  <c r="B144" i="23"/>
  <c r="B143" i="23"/>
  <c r="B142" i="23"/>
  <c r="B141" i="23"/>
  <c r="B140" i="23"/>
  <c r="B139" i="23"/>
  <c r="B138" i="23"/>
  <c r="B137" i="23"/>
  <c r="B136" i="23"/>
  <c r="B135" i="23"/>
  <c r="B134" i="23"/>
  <c r="B133" i="23"/>
  <c r="B132" i="23"/>
  <c r="B131" i="23"/>
  <c r="B130" i="23"/>
  <c r="B129" i="23"/>
  <c r="B128" i="23"/>
  <c r="B127" i="23"/>
  <c r="B126" i="23"/>
  <c r="B125" i="23"/>
  <c r="B124" i="23"/>
  <c r="B123" i="23"/>
  <c r="B122" i="23"/>
  <c r="B121" i="23"/>
  <c r="B120" i="23"/>
  <c r="B119" i="23"/>
  <c r="B118" i="23"/>
  <c r="B117" i="23"/>
  <c r="B116" i="23"/>
  <c r="B115" i="23"/>
  <c r="B114" i="23"/>
  <c r="B113" i="23"/>
  <c r="B112" i="23"/>
  <c r="B111" i="23"/>
  <c r="B110" i="23"/>
  <c r="B109" i="23"/>
  <c r="B108" i="23"/>
  <c r="B107" i="23"/>
  <c r="B106" i="23"/>
  <c r="B105" i="23"/>
  <c r="B104" i="23"/>
  <c r="B103" i="23"/>
  <c r="B102" i="23"/>
  <c r="B101" i="23"/>
  <c r="B100" i="23"/>
  <c r="B99" i="23"/>
  <c r="B98" i="23"/>
  <c r="B97" i="23"/>
  <c r="B96" i="23"/>
  <c r="B95" i="23"/>
  <c r="B94" i="23"/>
  <c r="B93" i="23"/>
  <c r="B92" i="23"/>
  <c r="B91" i="23"/>
  <c r="B90" i="23"/>
  <c r="B89" i="23"/>
  <c r="B88" i="23"/>
  <c r="B87" i="23"/>
  <c r="B86" i="23"/>
  <c r="B85" i="23"/>
  <c r="B84" i="23"/>
  <c r="B83" i="23"/>
  <c r="B82" i="23"/>
  <c r="B81" i="23"/>
  <c r="B80" i="23"/>
  <c r="B79" i="23"/>
  <c r="B78" i="23"/>
  <c r="B77" i="23"/>
  <c r="B76" i="23"/>
  <c r="B75" i="23"/>
  <c r="B74" i="23"/>
  <c r="B73" i="23"/>
  <c r="B72" i="23"/>
  <c r="B71" i="23"/>
  <c r="B70" i="23"/>
  <c r="B69" i="23"/>
  <c r="B68" i="23"/>
  <c r="B67" i="23"/>
  <c r="B66" i="23"/>
  <c r="B65" i="23"/>
  <c r="B64" i="23"/>
  <c r="B63" i="23"/>
  <c r="B62" i="23"/>
  <c r="B61" i="23"/>
  <c r="B60" i="23"/>
  <c r="B59" i="23"/>
  <c r="B58" i="23"/>
  <c r="B57" i="23"/>
  <c r="B56" i="23"/>
  <c r="B55" i="23"/>
  <c r="B54" i="23"/>
  <c r="B53" i="23"/>
  <c r="B52" i="23"/>
  <c r="B51" i="23"/>
  <c r="B50" i="23"/>
  <c r="B49" i="23"/>
  <c r="B48" i="23"/>
  <c r="B47" i="23"/>
  <c r="B46" i="23"/>
  <c r="B45" i="23"/>
  <c r="B44" i="23"/>
  <c r="B43" i="23"/>
  <c r="B42" i="23"/>
  <c r="B41" i="23"/>
  <c r="B40" i="23"/>
  <c r="B39" i="23"/>
  <c r="B38" i="23"/>
  <c r="B37" i="23"/>
  <c r="B36" i="23"/>
  <c r="B35" i="23"/>
  <c r="B34" i="23"/>
  <c r="B33" i="23"/>
  <c r="B32" i="23"/>
  <c r="B31" i="23"/>
  <c r="B30" i="23"/>
  <c r="B29" i="23"/>
  <c r="B28" i="23"/>
  <c r="B27" i="23"/>
  <c r="B26" i="23"/>
  <c r="B25" i="23"/>
  <c r="B24" i="23"/>
  <c r="B23" i="23"/>
  <c r="B22" i="23"/>
  <c r="B21" i="23"/>
  <c r="B20" i="23"/>
  <c r="B19" i="23"/>
  <c r="B18" i="23"/>
  <c r="B17" i="23"/>
  <c r="B16" i="23"/>
  <c r="B15" i="23"/>
  <c r="B14" i="23"/>
  <c r="B13" i="23"/>
  <c r="B12" i="23"/>
  <c r="B11" i="23"/>
  <c r="B10" i="23"/>
  <c r="B9" i="23"/>
  <c r="B8" i="23"/>
  <c r="B7" i="23"/>
  <c r="B6" i="23"/>
  <c r="B5" i="23"/>
  <c r="B4" i="23"/>
  <c r="B3" i="23"/>
  <c r="B2" i="23"/>
  <c r="B1000" i="22"/>
  <c r="B999" i="22"/>
  <c r="B998" i="22"/>
  <c r="B997" i="22"/>
  <c r="B996" i="22"/>
  <c r="B995" i="22"/>
  <c r="B994" i="22"/>
  <c r="B993" i="22"/>
  <c r="B992" i="22"/>
  <c r="B991" i="22"/>
  <c r="B990" i="22"/>
  <c r="B989" i="22"/>
  <c r="B988" i="22"/>
  <c r="B987" i="22"/>
  <c r="B986" i="22"/>
  <c r="B985" i="22"/>
  <c r="B984" i="22"/>
  <c r="B983" i="22"/>
  <c r="B982" i="22"/>
  <c r="B981" i="22"/>
  <c r="B980" i="22"/>
  <c r="B979" i="22"/>
  <c r="B978" i="22"/>
  <c r="B977" i="22"/>
  <c r="B976" i="22"/>
  <c r="B975" i="22"/>
  <c r="B974" i="22"/>
  <c r="B973" i="22"/>
  <c r="B972" i="22"/>
  <c r="B971" i="22"/>
  <c r="B970" i="22"/>
  <c r="B969" i="22"/>
  <c r="B968" i="22"/>
  <c r="B967" i="22"/>
  <c r="B966" i="22"/>
  <c r="B965" i="22"/>
  <c r="B964" i="22"/>
  <c r="B963" i="22"/>
  <c r="B962" i="22"/>
  <c r="B961" i="22"/>
  <c r="B960" i="22"/>
  <c r="B959" i="22"/>
  <c r="B958" i="22"/>
  <c r="B957" i="22"/>
  <c r="B956" i="22"/>
  <c r="B955" i="22"/>
  <c r="B954" i="22"/>
  <c r="B953" i="22"/>
  <c r="B952" i="22"/>
  <c r="B951" i="22"/>
  <c r="B950" i="22"/>
  <c r="B949" i="22"/>
  <c r="B948" i="22"/>
  <c r="B947" i="22"/>
  <c r="B946" i="22"/>
  <c r="B945" i="22"/>
  <c r="B944" i="22"/>
  <c r="B943" i="22"/>
  <c r="B942" i="22"/>
  <c r="B941" i="22"/>
  <c r="B940" i="22"/>
  <c r="B939" i="22"/>
  <c r="B938" i="22"/>
  <c r="B937" i="22"/>
  <c r="B936" i="22"/>
  <c r="B935" i="22"/>
  <c r="B934" i="22"/>
  <c r="B933" i="22"/>
  <c r="B932" i="22"/>
  <c r="B931" i="22"/>
  <c r="B930" i="22"/>
  <c r="B929" i="22"/>
  <c r="B928" i="22"/>
  <c r="B927" i="22"/>
  <c r="B926" i="22"/>
  <c r="B925" i="22"/>
  <c r="B924" i="22"/>
  <c r="B923" i="22"/>
  <c r="B922" i="22"/>
  <c r="B921" i="22"/>
  <c r="B920" i="22"/>
  <c r="B919" i="22"/>
  <c r="B918" i="22"/>
  <c r="B917" i="22"/>
  <c r="B916" i="22"/>
  <c r="B915" i="22"/>
  <c r="B914" i="22"/>
  <c r="B913" i="22"/>
  <c r="B912" i="22"/>
  <c r="B911" i="22"/>
  <c r="B910" i="22"/>
  <c r="B909" i="22"/>
  <c r="B908" i="22"/>
  <c r="B907" i="22"/>
  <c r="B906" i="22"/>
  <c r="B905" i="22"/>
  <c r="B904" i="22"/>
  <c r="B903" i="22"/>
  <c r="B902" i="22"/>
  <c r="B901" i="22"/>
  <c r="B900" i="22"/>
  <c r="B899" i="22"/>
  <c r="B898" i="22"/>
  <c r="B897" i="22"/>
  <c r="B896" i="22"/>
  <c r="B895" i="22"/>
  <c r="B894" i="22"/>
  <c r="B893" i="22"/>
  <c r="B892" i="22"/>
  <c r="B891" i="22"/>
  <c r="B890" i="22"/>
  <c r="B889" i="22"/>
  <c r="B888" i="22"/>
  <c r="B887" i="22"/>
  <c r="B886" i="22"/>
  <c r="B885" i="22"/>
  <c r="B884" i="22"/>
  <c r="B883" i="22"/>
  <c r="B882" i="22"/>
  <c r="B881" i="22"/>
  <c r="B880" i="22"/>
  <c r="B879" i="22"/>
  <c r="B878" i="22"/>
  <c r="B877" i="22"/>
  <c r="B876" i="22"/>
  <c r="B875" i="22"/>
  <c r="B874" i="22"/>
  <c r="B873" i="22"/>
  <c r="B872" i="22"/>
  <c r="B871" i="22"/>
  <c r="B870" i="22"/>
  <c r="B869" i="22"/>
  <c r="B868" i="22"/>
  <c r="B867" i="22"/>
  <c r="B866" i="22"/>
  <c r="B865" i="22"/>
  <c r="B864" i="22"/>
  <c r="B863" i="22"/>
  <c r="B862" i="22"/>
  <c r="B861" i="22"/>
  <c r="B860" i="22"/>
  <c r="B859" i="22"/>
  <c r="B858" i="22"/>
  <c r="B857" i="22"/>
  <c r="B856" i="22"/>
  <c r="B855" i="22"/>
  <c r="B854" i="22"/>
  <c r="B853" i="22"/>
  <c r="B852" i="22"/>
  <c r="B851" i="22"/>
  <c r="B850" i="22"/>
  <c r="B849" i="22"/>
  <c r="B848" i="22"/>
  <c r="B847" i="22"/>
  <c r="B846" i="22"/>
  <c r="B845" i="22"/>
  <c r="B844" i="22"/>
  <c r="B843" i="22"/>
  <c r="B842" i="22"/>
  <c r="B841" i="22"/>
  <c r="B840" i="22"/>
  <c r="B839" i="22"/>
  <c r="B838" i="22"/>
  <c r="B837" i="22"/>
  <c r="B836" i="22"/>
  <c r="B835" i="22"/>
  <c r="B834" i="22"/>
  <c r="B833" i="22"/>
  <c r="B832" i="22"/>
  <c r="B831" i="22"/>
  <c r="B830" i="22"/>
  <c r="B829" i="22"/>
  <c r="B828" i="22"/>
  <c r="B827" i="22"/>
  <c r="B826" i="22"/>
  <c r="B825" i="22"/>
  <c r="B824" i="22"/>
  <c r="B823" i="22"/>
  <c r="B822" i="22"/>
  <c r="B821" i="22"/>
  <c r="B820" i="22"/>
  <c r="B819" i="22"/>
  <c r="B818" i="22"/>
  <c r="B817" i="22"/>
  <c r="B816" i="22"/>
  <c r="B815" i="22"/>
  <c r="B814" i="22"/>
  <c r="B813" i="22"/>
  <c r="B812" i="22"/>
  <c r="B811" i="22"/>
  <c r="B810" i="22"/>
  <c r="B809" i="22"/>
  <c r="B808" i="22"/>
  <c r="B807" i="22"/>
  <c r="B806" i="22"/>
  <c r="B805" i="22"/>
  <c r="B804" i="22"/>
  <c r="B803" i="22"/>
  <c r="B802" i="22"/>
  <c r="B801" i="22"/>
  <c r="B800" i="22"/>
  <c r="B799" i="22"/>
  <c r="B798" i="22"/>
  <c r="B797" i="22"/>
  <c r="B796" i="22"/>
  <c r="B795" i="22"/>
  <c r="B794" i="22"/>
  <c r="B793" i="22"/>
  <c r="B792" i="22"/>
  <c r="B791" i="22"/>
  <c r="B790" i="22"/>
  <c r="B789" i="22"/>
  <c r="B788" i="22"/>
  <c r="B787" i="22"/>
  <c r="B786" i="22"/>
  <c r="B785" i="22"/>
  <c r="B784" i="22"/>
  <c r="B783" i="22"/>
  <c r="B782" i="22"/>
  <c r="B781" i="22"/>
  <c r="B780" i="22"/>
  <c r="B779" i="22"/>
  <c r="B778" i="22"/>
  <c r="B777" i="22"/>
  <c r="B776" i="22"/>
  <c r="B775" i="22"/>
  <c r="B774" i="22"/>
  <c r="B773" i="22"/>
  <c r="B772" i="22"/>
  <c r="B771" i="22"/>
  <c r="B770" i="22"/>
  <c r="B769" i="22"/>
  <c r="B768" i="22"/>
  <c r="B767" i="22"/>
  <c r="B766" i="22"/>
  <c r="B765" i="22"/>
  <c r="B764" i="22"/>
  <c r="B763" i="22"/>
  <c r="B762" i="22"/>
  <c r="B761" i="22"/>
  <c r="B760" i="22"/>
  <c r="B759" i="22"/>
  <c r="B758" i="22"/>
  <c r="B757" i="22"/>
  <c r="B756" i="22"/>
  <c r="B755" i="22"/>
  <c r="B754" i="22"/>
  <c r="B753" i="22"/>
  <c r="B752" i="22"/>
  <c r="B751" i="22"/>
  <c r="B750" i="22"/>
  <c r="B749" i="22"/>
  <c r="B748" i="22"/>
  <c r="B747" i="22"/>
  <c r="B746" i="22"/>
  <c r="B745" i="22"/>
  <c r="B744" i="22"/>
  <c r="B743" i="22"/>
  <c r="B742" i="22"/>
  <c r="B741" i="22"/>
  <c r="B740" i="22"/>
  <c r="B739" i="22"/>
  <c r="B738" i="22"/>
  <c r="B737" i="22"/>
  <c r="B736" i="22"/>
  <c r="B735" i="22"/>
  <c r="B734" i="22"/>
  <c r="B733" i="22"/>
  <c r="B732" i="22"/>
  <c r="B731" i="22"/>
  <c r="B730" i="22"/>
  <c r="B729" i="22"/>
  <c r="B728" i="22"/>
  <c r="B727" i="22"/>
  <c r="B726" i="22"/>
  <c r="B725" i="22"/>
  <c r="B724" i="22"/>
  <c r="B723" i="22"/>
  <c r="B722" i="22"/>
  <c r="B721" i="22"/>
  <c r="B720" i="22"/>
  <c r="B719" i="22"/>
  <c r="B718" i="22"/>
  <c r="B717" i="22"/>
  <c r="B716" i="22"/>
  <c r="B715" i="22"/>
  <c r="B714" i="22"/>
  <c r="B713" i="22"/>
  <c r="B712" i="22"/>
  <c r="B711" i="22"/>
  <c r="B710" i="22"/>
  <c r="B709" i="22"/>
  <c r="B708" i="22"/>
  <c r="B707" i="22"/>
  <c r="B706" i="22"/>
  <c r="B705" i="22"/>
  <c r="B704" i="22"/>
  <c r="B703" i="22"/>
  <c r="B702" i="22"/>
  <c r="B701" i="22"/>
  <c r="B700" i="22"/>
  <c r="B699" i="22"/>
  <c r="B698" i="22"/>
  <c r="B697" i="22"/>
  <c r="B696" i="22"/>
  <c r="B695" i="22"/>
  <c r="B694" i="22"/>
  <c r="B693" i="22"/>
  <c r="B692" i="22"/>
  <c r="B691" i="22"/>
  <c r="B690" i="22"/>
  <c r="B689" i="22"/>
  <c r="B688" i="22"/>
  <c r="B687" i="22"/>
  <c r="B686" i="22"/>
  <c r="B685" i="22"/>
  <c r="B684" i="22"/>
  <c r="B683" i="22"/>
  <c r="B682" i="22"/>
  <c r="B681" i="22"/>
  <c r="B680" i="22"/>
  <c r="B679" i="22"/>
  <c r="B678" i="22"/>
  <c r="B677" i="22"/>
  <c r="B676" i="22"/>
  <c r="B675" i="22"/>
  <c r="B674" i="22"/>
  <c r="B673" i="22"/>
  <c r="B672" i="22"/>
  <c r="B671" i="22"/>
  <c r="B670" i="22"/>
  <c r="B669" i="22"/>
  <c r="B668" i="22"/>
  <c r="B667" i="22"/>
  <c r="B666" i="22"/>
  <c r="B665" i="22"/>
  <c r="B664" i="22"/>
  <c r="B663" i="22"/>
  <c r="B662" i="22"/>
  <c r="B661" i="22"/>
  <c r="B660" i="22"/>
  <c r="B659" i="22"/>
  <c r="B658" i="22"/>
  <c r="B657" i="22"/>
  <c r="B656" i="22"/>
  <c r="B655" i="22"/>
  <c r="B654" i="22"/>
  <c r="B653" i="22"/>
  <c r="B652" i="22"/>
  <c r="B651" i="22"/>
  <c r="B650" i="22"/>
  <c r="B649" i="22"/>
  <c r="B648" i="22"/>
  <c r="B647" i="22"/>
  <c r="B646" i="22"/>
  <c r="B645" i="22"/>
  <c r="B644" i="22"/>
  <c r="B643" i="22"/>
  <c r="B642" i="22"/>
  <c r="B641" i="22"/>
  <c r="B640" i="22"/>
  <c r="B639" i="22"/>
  <c r="B638" i="22"/>
  <c r="B637" i="22"/>
  <c r="B636" i="22"/>
  <c r="B635" i="22"/>
  <c r="B634" i="22"/>
  <c r="B633" i="22"/>
  <c r="B632" i="22"/>
  <c r="B631" i="22"/>
  <c r="B630" i="22"/>
  <c r="B629" i="22"/>
  <c r="B628" i="22"/>
  <c r="B627" i="22"/>
  <c r="B626" i="22"/>
  <c r="B625" i="22"/>
  <c r="B624" i="22"/>
  <c r="B623" i="22"/>
  <c r="B622" i="22"/>
  <c r="B621" i="22"/>
  <c r="B620" i="22"/>
  <c r="B619" i="22"/>
  <c r="B618" i="22"/>
  <c r="B617" i="22"/>
  <c r="B616" i="22"/>
  <c r="B615" i="22"/>
  <c r="B614" i="22"/>
  <c r="B613" i="22"/>
  <c r="B612" i="22"/>
  <c r="B611" i="22"/>
  <c r="B610" i="22"/>
  <c r="B609" i="22"/>
  <c r="B608" i="22"/>
  <c r="B607" i="22"/>
  <c r="B606" i="22"/>
  <c r="B605" i="22"/>
  <c r="B604" i="22"/>
  <c r="B603" i="22"/>
  <c r="B602" i="22"/>
  <c r="B601" i="22"/>
  <c r="B600" i="22"/>
  <c r="B599" i="22"/>
  <c r="B598" i="22"/>
  <c r="B597" i="22"/>
  <c r="B596" i="22"/>
  <c r="B595" i="22"/>
  <c r="B594" i="22"/>
  <c r="B593" i="22"/>
  <c r="B592" i="22"/>
  <c r="B591" i="22"/>
  <c r="B590" i="22"/>
  <c r="B589" i="22"/>
  <c r="B588" i="22"/>
  <c r="B587" i="22"/>
  <c r="B586" i="22"/>
  <c r="B585" i="22"/>
  <c r="B584" i="22"/>
  <c r="B583" i="22"/>
  <c r="B582" i="22"/>
  <c r="B581" i="22"/>
  <c r="B580" i="22"/>
  <c r="B579" i="22"/>
  <c r="B578" i="22"/>
  <c r="B577" i="22"/>
  <c r="B576" i="22"/>
  <c r="B575" i="22"/>
  <c r="B574" i="22"/>
  <c r="B573" i="22"/>
  <c r="B572" i="22"/>
  <c r="B571" i="22"/>
  <c r="B570" i="22"/>
  <c r="B569" i="22"/>
  <c r="B568" i="22"/>
  <c r="B567" i="22"/>
  <c r="B566" i="22"/>
  <c r="B565" i="22"/>
  <c r="B564" i="22"/>
  <c r="B563" i="22"/>
  <c r="B562" i="22"/>
  <c r="B561" i="22"/>
  <c r="B560" i="22"/>
  <c r="B559" i="22"/>
  <c r="B558" i="22"/>
  <c r="B557" i="22"/>
  <c r="B556" i="22"/>
  <c r="B555" i="22"/>
  <c r="B554" i="22"/>
  <c r="B553" i="22"/>
  <c r="B552" i="22"/>
  <c r="B551" i="22"/>
  <c r="B550" i="22"/>
  <c r="B549" i="22"/>
  <c r="B548" i="22"/>
  <c r="B547" i="22"/>
  <c r="B546" i="22"/>
  <c r="B545" i="22"/>
  <c r="B544" i="22"/>
  <c r="B543" i="22"/>
  <c r="B542" i="22"/>
  <c r="B541" i="22"/>
  <c r="B540" i="22"/>
  <c r="B539" i="22"/>
  <c r="B538" i="22"/>
  <c r="B537" i="22"/>
  <c r="B536" i="22"/>
  <c r="B535" i="22"/>
  <c r="B534" i="22"/>
  <c r="B533" i="22"/>
  <c r="B532" i="22"/>
  <c r="B531" i="22"/>
  <c r="B530" i="22"/>
  <c r="B529" i="22"/>
  <c r="B528" i="22"/>
  <c r="B527" i="22"/>
  <c r="B526" i="22"/>
  <c r="B525" i="22"/>
  <c r="B524" i="22"/>
  <c r="B523" i="22"/>
  <c r="B522" i="22"/>
  <c r="B521" i="22"/>
  <c r="B520" i="22"/>
  <c r="B519" i="22"/>
  <c r="B518" i="22"/>
  <c r="B517" i="22"/>
  <c r="B516" i="22"/>
  <c r="B515" i="22"/>
  <c r="B514" i="22"/>
  <c r="B513" i="22"/>
  <c r="B512" i="22"/>
  <c r="B511" i="22"/>
  <c r="B510" i="22"/>
  <c r="B509" i="22"/>
  <c r="B508" i="22"/>
  <c r="B507" i="22"/>
  <c r="B506" i="22"/>
  <c r="B505" i="22"/>
  <c r="B504" i="22"/>
  <c r="B503" i="22"/>
  <c r="B502" i="22"/>
  <c r="B501" i="22"/>
  <c r="B500" i="22"/>
  <c r="B499" i="22"/>
  <c r="B498" i="22"/>
  <c r="B497" i="22"/>
  <c r="B496" i="22"/>
  <c r="B495" i="22"/>
  <c r="B494" i="22"/>
  <c r="B493" i="22"/>
  <c r="B492" i="22"/>
  <c r="B491" i="22"/>
  <c r="B490" i="22"/>
  <c r="B489" i="22"/>
  <c r="B488" i="22"/>
  <c r="B487" i="22"/>
  <c r="B486" i="22"/>
  <c r="B485" i="22"/>
  <c r="B484" i="22"/>
  <c r="B483" i="22"/>
  <c r="B482" i="22"/>
  <c r="B481" i="22"/>
  <c r="B480" i="22"/>
  <c r="B479" i="22"/>
  <c r="B478" i="22"/>
  <c r="B477" i="22"/>
  <c r="B476" i="22"/>
  <c r="B475" i="22"/>
  <c r="B474" i="22"/>
  <c r="B473" i="22"/>
  <c r="B472" i="22"/>
  <c r="B471" i="22"/>
  <c r="B470" i="22"/>
  <c r="B469" i="22"/>
  <c r="B468" i="22"/>
  <c r="B467" i="22"/>
  <c r="B466" i="22"/>
  <c r="B465" i="22"/>
  <c r="B464" i="22"/>
  <c r="B463" i="22"/>
  <c r="B462" i="22"/>
  <c r="B461" i="22"/>
  <c r="B460" i="22"/>
  <c r="B459" i="22"/>
  <c r="B458" i="22"/>
  <c r="B457" i="22"/>
  <c r="B456" i="22"/>
  <c r="B455" i="22"/>
  <c r="B454" i="22"/>
  <c r="B453" i="22"/>
  <c r="B452" i="22"/>
  <c r="B451" i="22"/>
  <c r="B450" i="22"/>
  <c r="B449" i="22"/>
  <c r="B448" i="22"/>
  <c r="B447" i="22"/>
  <c r="B446" i="22"/>
  <c r="B445" i="22"/>
  <c r="B444" i="22"/>
  <c r="B443" i="22"/>
  <c r="B442" i="22"/>
  <c r="B441" i="22"/>
  <c r="B440" i="22"/>
  <c r="B439" i="22"/>
  <c r="B438" i="22"/>
  <c r="B437" i="22"/>
  <c r="B436" i="22"/>
  <c r="B435" i="22"/>
  <c r="B434" i="22"/>
  <c r="B433" i="22"/>
  <c r="B432" i="22"/>
  <c r="B431" i="22"/>
  <c r="B430" i="22"/>
  <c r="B429" i="22"/>
  <c r="B428" i="22"/>
  <c r="B427" i="22"/>
  <c r="B426" i="22"/>
  <c r="B425" i="22"/>
  <c r="B424" i="22"/>
  <c r="B423" i="22"/>
  <c r="B422" i="22"/>
  <c r="B421" i="22"/>
  <c r="B420" i="22"/>
  <c r="B419" i="22"/>
  <c r="B418" i="22"/>
  <c r="B417" i="22"/>
  <c r="B416" i="22"/>
  <c r="B415" i="22"/>
  <c r="B414" i="22"/>
  <c r="B413" i="22"/>
  <c r="B412" i="22"/>
  <c r="B411" i="22"/>
  <c r="B410" i="22"/>
  <c r="B409" i="22"/>
  <c r="B408" i="22"/>
  <c r="B407" i="22"/>
  <c r="B406" i="22"/>
  <c r="B405" i="22"/>
  <c r="B404" i="22"/>
  <c r="B403" i="22"/>
  <c r="B402" i="22"/>
  <c r="B401" i="22"/>
  <c r="B400" i="22"/>
  <c r="B399" i="22"/>
  <c r="B398" i="22"/>
  <c r="B397" i="22"/>
  <c r="B396" i="22"/>
  <c r="B395" i="22"/>
  <c r="B394" i="22"/>
  <c r="B393" i="22"/>
  <c r="B392" i="22"/>
  <c r="B391" i="22"/>
  <c r="B390" i="22"/>
  <c r="B389" i="22"/>
  <c r="B388" i="22"/>
  <c r="B387" i="22"/>
  <c r="B386" i="22"/>
  <c r="B385" i="22"/>
  <c r="B384" i="22"/>
  <c r="B383" i="22"/>
  <c r="B382" i="22"/>
  <c r="B381" i="22"/>
  <c r="B380" i="22"/>
  <c r="B379" i="22"/>
  <c r="B378" i="22"/>
  <c r="B377" i="22"/>
  <c r="B376" i="22"/>
  <c r="B375" i="22"/>
  <c r="B374" i="22"/>
  <c r="B373" i="22"/>
  <c r="B372" i="22"/>
  <c r="B371" i="22"/>
  <c r="B370" i="22"/>
  <c r="B369" i="22"/>
  <c r="B368" i="22"/>
  <c r="B367" i="22"/>
  <c r="B366" i="22"/>
  <c r="B365" i="22"/>
  <c r="B364" i="22"/>
  <c r="B363" i="22"/>
  <c r="B362" i="22"/>
  <c r="B361" i="22"/>
  <c r="B360" i="22"/>
  <c r="B359" i="22"/>
  <c r="B358" i="22"/>
  <c r="B357" i="22"/>
  <c r="B356" i="22"/>
  <c r="B355" i="22"/>
  <c r="B354" i="22"/>
  <c r="B353" i="22"/>
  <c r="B352" i="22"/>
  <c r="B351" i="22"/>
  <c r="B350" i="22"/>
  <c r="B349" i="22"/>
  <c r="B348" i="22"/>
  <c r="B347" i="22"/>
  <c r="B346" i="22"/>
  <c r="B345" i="22"/>
  <c r="B344" i="22"/>
  <c r="B343" i="22"/>
  <c r="B342" i="22"/>
  <c r="B341" i="22"/>
  <c r="B340" i="22"/>
  <c r="B339" i="22"/>
  <c r="B338" i="22"/>
  <c r="B337" i="22"/>
  <c r="B336" i="22"/>
  <c r="B335" i="22"/>
  <c r="B334" i="22"/>
  <c r="B333" i="22"/>
  <c r="B332" i="22"/>
  <c r="B331" i="22"/>
  <c r="B330" i="22"/>
  <c r="B329" i="22"/>
  <c r="B328" i="22"/>
  <c r="B327" i="22"/>
  <c r="B326" i="22"/>
  <c r="B325" i="22"/>
  <c r="B324" i="22"/>
  <c r="B323" i="22"/>
  <c r="B322" i="22"/>
  <c r="B321" i="22"/>
  <c r="B320" i="22"/>
  <c r="B319" i="22"/>
  <c r="B318" i="22"/>
  <c r="B317" i="22"/>
  <c r="B316" i="22"/>
  <c r="B315" i="22"/>
  <c r="B314" i="22"/>
  <c r="B313" i="22"/>
  <c r="B312" i="22"/>
  <c r="B311" i="22"/>
  <c r="B310" i="22"/>
  <c r="B309" i="22"/>
  <c r="B308" i="22"/>
  <c r="B307" i="22"/>
  <c r="B306" i="22"/>
  <c r="B305" i="22"/>
  <c r="B304" i="22"/>
  <c r="B303" i="22"/>
  <c r="B302" i="22"/>
  <c r="B301" i="22"/>
  <c r="B300" i="22"/>
  <c r="B299" i="22"/>
  <c r="B298" i="22"/>
  <c r="B297" i="22"/>
  <c r="B296" i="22"/>
  <c r="B295" i="22"/>
  <c r="B294" i="22"/>
  <c r="B293" i="22"/>
  <c r="B292" i="22"/>
  <c r="B291" i="22"/>
  <c r="B290" i="22"/>
  <c r="B289" i="22"/>
  <c r="B288" i="22"/>
  <c r="B287" i="22"/>
  <c r="B286" i="22"/>
  <c r="B285" i="22"/>
  <c r="B284" i="22"/>
  <c r="B283" i="22"/>
  <c r="B282" i="22"/>
  <c r="B281" i="22"/>
  <c r="B280" i="22"/>
  <c r="B279" i="22"/>
  <c r="B278" i="22"/>
  <c r="B277" i="22"/>
  <c r="B276" i="22"/>
  <c r="B275" i="22"/>
  <c r="B274" i="22"/>
  <c r="B273" i="22"/>
  <c r="B272" i="22"/>
  <c r="B271" i="22"/>
  <c r="B270" i="22"/>
  <c r="B269" i="22"/>
  <c r="B268" i="22"/>
  <c r="B267" i="22"/>
  <c r="B266" i="22"/>
  <c r="B265" i="22"/>
  <c r="B264" i="22"/>
  <c r="B263" i="22"/>
  <c r="B262" i="22"/>
  <c r="B261" i="22"/>
  <c r="B260" i="22"/>
  <c r="B259" i="22"/>
  <c r="B258" i="22"/>
  <c r="B257" i="22"/>
  <c r="B256" i="22"/>
  <c r="B255" i="22"/>
  <c r="B254" i="22"/>
  <c r="B253" i="22"/>
  <c r="B252" i="22"/>
  <c r="B251" i="22"/>
  <c r="B250" i="22"/>
  <c r="B249" i="22"/>
  <c r="B248" i="22"/>
  <c r="B247" i="22"/>
  <c r="B246" i="22"/>
  <c r="B245" i="22"/>
  <c r="B244" i="22"/>
  <c r="B243" i="22"/>
  <c r="B242" i="22"/>
  <c r="B241" i="22"/>
  <c r="B240" i="22"/>
  <c r="B239" i="22"/>
  <c r="B238" i="22"/>
  <c r="B237" i="22"/>
  <c r="B236" i="22"/>
  <c r="B235" i="22"/>
  <c r="B234" i="22"/>
  <c r="B233" i="22"/>
  <c r="B232" i="22"/>
  <c r="B231" i="22"/>
  <c r="B230" i="22"/>
  <c r="B229" i="22"/>
  <c r="B228" i="22"/>
  <c r="B227" i="22"/>
  <c r="B226" i="22"/>
  <c r="B225" i="22"/>
  <c r="B224" i="22"/>
  <c r="B223" i="22"/>
  <c r="B222" i="22"/>
  <c r="B221" i="22"/>
  <c r="B220" i="22"/>
  <c r="B219" i="22"/>
  <c r="B218" i="22"/>
  <c r="B217" i="22"/>
  <c r="B216" i="22"/>
  <c r="B215" i="22"/>
  <c r="B214" i="22"/>
  <c r="B213" i="22"/>
  <c r="B212" i="22"/>
  <c r="B211" i="22"/>
  <c r="B210" i="22"/>
  <c r="B209" i="22"/>
  <c r="B208" i="22"/>
  <c r="B207" i="22"/>
  <c r="B206" i="22"/>
  <c r="B205" i="22"/>
  <c r="B204" i="22"/>
  <c r="B203" i="22"/>
  <c r="B202" i="22"/>
  <c r="B201" i="22"/>
  <c r="B200" i="22"/>
  <c r="B199" i="22"/>
  <c r="B198" i="22"/>
  <c r="B197" i="22"/>
  <c r="B196" i="22"/>
  <c r="B195" i="22"/>
  <c r="B194" i="22"/>
  <c r="B193" i="22"/>
  <c r="B192" i="22"/>
  <c r="B191" i="22"/>
  <c r="B190" i="22"/>
  <c r="B189" i="22"/>
  <c r="B188" i="22"/>
  <c r="B187" i="22"/>
  <c r="B186" i="22"/>
  <c r="B185" i="22"/>
  <c r="B184" i="22"/>
  <c r="B183" i="22"/>
  <c r="B182" i="22"/>
  <c r="B181" i="22"/>
  <c r="B180" i="22"/>
  <c r="B179" i="22"/>
  <c r="B178" i="22"/>
  <c r="B177" i="22"/>
  <c r="B176" i="22"/>
  <c r="B175" i="22"/>
  <c r="B174" i="22"/>
  <c r="B173" i="22"/>
  <c r="B172" i="22"/>
  <c r="B171" i="22"/>
  <c r="B170" i="22"/>
  <c r="B169" i="22"/>
  <c r="B168" i="22"/>
  <c r="B167" i="22"/>
  <c r="B166" i="22"/>
  <c r="B165" i="22"/>
  <c r="B164" i="22"/>
  <c r="B163" i="22"/>
  <c r="B162" i="22"/>
  <c r="B161" i="22"/>
  <c r="B160" i="22"/>
  <c r="B159" i="22"/>
  <c r="B158" i="22"/>
  <c r="B157" i="22"/>
  <c r="B156" i="22"/>
  <c r="B155" i="22"/>
  <c r="B154" i="22"/>
  <c r="B153" i="22"/>
  <c r="B152" i="22"/>
  <c r="B151" i="22"/>
  <c r="B150" i="22"/>
  <c r="B149" i="22"/>
  <c r="B148" i="22"/>
  <c r="B147" i="22"/>
  <c r="B146" i="22"/>
  <c r="B145" i="22"/>
  <c r="B144" i="22"/>
  <c r="B143" i="22"/>
  <c r="B142" i="22"/>
  <c r="B141" i="22"/>
  <c r="B140" i="22"/>
  <c r="B139" i="22"/>
  <c r="B138" i="22"/>
  <c r="B137" i="22"/>
  <c r="B136" i="22"/>
  <c r="B135" i="22"/>
  <c r="B134" i="22"/>
  <c r="B133" i="22"/>
  <c r="B132" i="22"/>
  <c r="B131" i="22"/>
  <c r="B130" i="22"/>
  <c r="B129" i="22"/>
  <c r="B128" i="22"/>
  <c r="B127" i="22"/>
  <c r="B126" i="22"/>
  <c r="B125" i="22"/>
  <c r="B124" i="22"/>
  <c r="B123" i="22"/>
  <c r="B122" i="22"/>
  <c r="B121" i="22"/>
  <c r="B120" i="22"/>
  <c r="B119" i="22"/>
  <c r="B118" i="22"/>
  <c r="B117" i="22"/>
  <c r="B116" i="22"/>
  <c r="B115" i="22"/>
  <c r="B114" i="22"/>
  <c r="B113" i="22"/>
  <c r="B112" i="22"/>
  <c r="B111" i="22"/>
  <c r="B110" i="22"/>
  <c r="B109" i="22"/>
  <c r="B108" i="22"/>
  <c r="B107" i="22"/>
  <c r="B106" i="22"/>
  <c r="B105" i="22"/>
  <c r="B104" i="22"/>
  <c r="B103" i="22"/>
  <c r="B102" i="22"/>
  <c r="B101" i="22"/>
  <c r="B100" i="22"/>
  <c r="B99" i="22"/>
  <c r="B98" i="22"/>
  <c r="B97" i="22"/>
  <c r="B96" i="22"/>
  <c r="B95" i="22"/>
  <c r="B94" i="22"/>
  <c r="B93" i="22"/>
  <c r="B92" i="22"/>
  <c r="B91" i="22"/>
  <c r="B90" i="22"/>
  <c r="B89" i="22"/>
  <c r="B88" i="22"/>
  <c r="B87" i="22"/>
  <c r="B86" i="22"/>
  <c r="B85" i="22"/>
  <c r="B84" i="22"/>
  <c r="B83" i="22"/>
  <c r="B82" i="22"/>
  <c r="B81" i="22"/>
  <c r="B80" i="22"/>
  <c r="B79" i="22"/>
  <c r="B78" i="22"/>
  <c r="B77" i="22"/>
  <c r="B76" i="22"/>
  <c r="B75" i="22"/>
  <c r="B74" i="22"/>
  <c r="B73" i="22"/>
  <c r="B72" i="22"/>
  <c r="B71" i="22"/>
  <c r="B70" i="22"/>
  <c r="B69" i="22"/>
  <c r="B68" i="22"/>
  <c r="B67" i="22"/>
  <c r="B66" i="22"/>
  <c r="B65" i="22"/>
  <c r="B64" i="22"/>
  <c r="B63" i="22"/>
  <c r="B62" i="22"/>
  <c r="B61" i="22"/>
  <c r="B60" i="22"/>
  <c r="B59" i="22"/>
  <c r="B58" i="22"/>
  <c r="B57" i="22"/>
  <c r="B56" i="22"/>
  <c r="B55" i="22"/>
  <c r="B54" i="22"/>
  <c r="B53" i="22"/>
  <c r="B52" i="22"/>
  <c r="B51" i="22"/>
  <c r="B50" i="22"/>
  <c r="B49" i="22"/>
  <c r="B48" i="22"/>
  <c r="B47" i="22"/>
  <c r="B46" i="22"/>
  <c r="B45" i="22"/>
  <c r="B44" i="22"/>
  <c r="B43" i="22"/>
  <c r="B42" i="22"/>
  <c r="B41" i="22"/>
  <c r="B40" i="22"/>
  <c r="B39" i="22"/>
  <c r="B38" i="22"/>
  <c r="B37" i="22"/>
  <c r="B36" i="22"/>
  <c r="B35" i="22"/>
  <c r="B34" i="22"/>
  <c r="B33" i="22"/>
  <c r="B32" i="22"/>
  <c r="B31" i="22"/>
  <c r="B30" i="22"/>
  <c r="B29" i="22"/>
  <c r="B28" i="22"/>
  <c r="B27" i="22"/>
  <c r="B26" i="22"/>
  <c r="B25" i="22"/>
  <c r="B24" i="22"/>
  <c r="B23" i="22"/>
  <c r="B22" i="22"/>
  <c r="B21" i="22"/>
  <c r="B20" i="22"/>
  <c r="B19" i="22"/>
  <c r="B18" i="22"/>
  <c r="B17" i="22"/>
  <c r="B16" i="22"/>
  <c r="B15" i="22"/>
  <c r="B14" i="22"/>
  <c r="B13" i="22"/>
  <c r="B12" i="22"/>
  <c r="B11" i="22"/>
  <c r="B10" i="22"/>
  <c r="B9" i="22"/>
  <c r="B8" i="22"/>
  <c r="B7" i="22"/>
  <c r="B6" i="22"/>
  <c r="B5" i="22"/>
  <c r="B4" i="22"/>
  <c r="B3" i="22"/>
  <c r="B2" i="22"/>
  <c r="B1000" i="21"/>
  <c r="B999" i="21"/>
  <c r="B998" i="21"/>
  <c r="B997" i="21"/>
  <c r="B996" i="21"/>
  <c r="B995" i="21"/>
  <c r="B994" i="21"/>
  <c r="B993" i="21"/>
  <c r="B992" i="21"/>
  <c r="B991" i="21"/>
  <c r="B990" i="21"/>
  <c r="B989" i="21"/>
  <c r="B988" i="21"/>
  <c r="B987" i="21"/>
  <c r="B986" i="21"/>
  <c r="B985" i="21"/>
  <c r="B984" i="21"/>
  <c r="B983" i="21"/>
  <c r="B982" i="21"/>
  <c r="B981" i="21"/>
  <c r="B980" i="21"/>
  <c r="B979" i="21"/>
  <c r="B978" i="21"/>
  <c r="B977" i="21"/>
  <c r="B976" i="21"/>
  <c r="B975" i="21"/>
  <c r="B974" i="21"/>
  <c r="B973" i="21"/>
  <c r="B972" i="21"/>
  <c r="B971" i="21"/>
  <c r="B970" i="21"/>
  <c r="B969" i="21"/>
  <c r="B968" i="21"/>
  <c r="B967" i="21"/>
  <c r="B966" i="21"/>
  <c r="B965" i="21"/>
  <c r="B964" i="21"/>
  <c r="B963" i="21"/>
  <c r="B962" i="21"/>
  <c r="B961" i="21"/>
  <c r="B960" i="21"/>
  <c r="B959" i="21"/>
  <c r="B958" i="21"/>
  <c r="B957" i="21"/>
  <c r="B956" i="21"/>
  <c r="B955" i="21"/>
  <c r="B954" i="21"/>
  <c r="B953" i="21"/>
  <c r="B952" i="21"/>
  <c r="B951" i="21"/>
  <c r="B950" i="21"/>
  <c r="B949" i="21"/>
  <c r="B948" i="21"/>
  <c r="B947" i="21"/>
  <c r="B946" i="21"/>
  <c r="B945" i="21"/>
  <c r="B944" i="21"/>
  <c r="B943" i="21"/>
  <c r="B942" i="21"/>
  <c r="B941" i="21"/>
  <c r="B940" i="21"/>
  <c r="B939" i="21"/>
  <c r="B938" i="21"/>
  <c r="B937" i="21"/>
  <c r="B936" i="21"/>
  <c r="B935" i="21"/>
  <c r="B934" i="21"/>
  <c r="B933" i="21"/>
  <c r="B932" i="21"/>
  <c r="B931" i="21"/>
  <c r="B930" i="21"/>
  <c r="B929" i="21"/>
  <c r="B928" i="21"/>
  <c r="B927" i="21"/>
  <c r="B926" i="21"/>
  <c r="B925" i="21"/>
  <c r="B924" i="21"/>
  <c r="B923" i="21"/>
  <c r="B922" i="21"/>
  <c r="B921" i="21"/>
  <c r="B920" i="21"/>
  <c r="B919" i="21"/>
  <c r="B918" i="21"/>
  <c r="B917" i="21"/>
  <c r="B916" i="21"/>
  <c r="B915" i="21"/>
  <c r="B914" i="21"/>
  <c r="B913" i="21"/>
  <c r="B912" i="21"/>
  <c r="B911" i="21"/>
  <c r="B910" i="21"/>
  <c r="B909" i="21"/>
  <c r="B908" i="21"/>
  <c r="B907" i="21"/>
  <c r="B906" i="21"/>
  <c r="B905" i="21"/>
  <c r="B904" i="21"/>
  <c r="B903" i="21"/>
  <c r="B902" i="21"/>
  <c r="B901" i="21"/>
  <c r="B900" i="21"/>
  <c r="B899" i="21"/>
  <c r="B898" i="21"/>
  <c r="B897" i="21"/>
  <c r="B896" i="21"/>
  <c r="B895" i="21"/>
  <c r="B894" i="21"/>
  <c r="B893" i="21"/>
  <c r="B892" i="21"/>
  <c r="B891" i="21"/>
  <c r="B890" i="21"/>
  <c r="B889" i="21"/>
  <c r="B888" i="21"/>
  <c r="B887" i="21"/>
  <c r="B886" i="21"/>
  <c r="B885" i="21"/>
  <c r="B884" i="21"/>
  <c r="B883" i="21"/>
  <c r="B882" i="21"/>
  <c r="B881" i="21"/>
  <c r="B880" i="21"/>
  <c r="B879" i="21"/>
  <c r="B878" i="21"/>
  <c r="B877" i="21"/>
  <c r="B876" i="21"/>
  <c r="B875" i="21"/>
  <c r="B874" i="21"/>
  <c r="B873" i="21"/>
  <c r="B872" i="21"/>
  <c r="B871" i="21"/>
  <c r="B870" i="21"/>
  <c r="B869" i="21"/>
  <c r="B868" i="21"/>
  <c r="B867" i="21"/>
  <c r="B866" i="21"/>
  <c r="B865" i="21"/>
  <c r="B864" i="21"/>
  <c r="B863" i="21"/>
  <c r="B862" i="21"/>
  <c r="B861" i="21"/>
  <c r="B860" i="21"/>
  <c r="B859" i="21"/>
  <c r="B858" i="21"/>
  <c r="B857" i="21"/>
  <c r="B856" i="21"/>
  <c r="B855" i="21"/>
  <c r="B854" i="21"/>
  <c r="B853" i="21"/>
  <c r="B852" i="21"/>
  <c r="B851" i="21"/>
  <c r="B850" i="21"/>
  <c r="B849" i="21"/>
  <c r="B848" i="21"/>
  <c r="B847" i="21"/>
  <c r="B846" i="21"/>
  <c r="B845" i="21"/>
  <c r="B844" i="21"/>
  <c r="B843" i="21"/>
  <c r="B842" i="21"/>
  <c r="B841" i="21"/>
  <c r="B840" i="21"/>
  <c r="B839" i="21"/>
  <c r="B838" i="21"/>
  <c r="B837" i="21"/>
  <c r="B836" i="21"/>
  <c r="B835" i="21"/>
  <c r="B834" i="21"/>
  <c r="B833" i="21"/>
  <c r="B832" i="21"/>
  <c r="B831" i="21"/>
  <c r="B830" i="21"/>
  <c r="B829" i="21"/>
  <c r="B828" i="21"/>
  <c r="B827" i="21"/>
  <c r="B826" i="21"/>
  <c r="B825" i="21"/>
  <c r="B824" i="21"/>
  <c r="B823" i="21"/>
  <c r="B822" i="21"/>
  <c r="B821" i="21"/>
  <c r="B820" i="21"/>
  <c r="B819" i="21"/>
  <c r="B818" i="21"/>
  <c r="B817" i="21"/>
  <c r="B816" i="21"/>
  <c r="B815" i="21"/>
  <c r="B814" i="21"/>
  <c r="B813" i="21"/>
  <c r="B812" i="21"/>
  <c r="B811" i="21"/>
  <c r="B810" i="21"/>
  <c r="B809" i="21"/>
  <c r="B808" i="21"/>
  <c r="B807" i="21"/>
  <c r="B806" i="21"/>
  <c r="B805" i="21"/>
  <c r="B804" i="21"/>
  <c r="B803" i="21"/>
  <c r="B802" i="21"/>
  <c r="B801" i="21"/>
  <c r="B800" i="21"/>
  <c r="B799" i="21"/>
  <c r="B798" i="21"/>
  <c r="B797" i="21"/>
  <c r="B796" i="21"/>
  <c r="B795" i="21"/>
  <c r="B794" i="21"/>
  <c r="B793" i="21"/>
  <c r="B792" i="21"/>
  <c r="B791" i="21"/>
  <c r="B790" i="21"/>
  <c r="B789" i="21"/>
  <c r="B788" i="21"/>
  <c r="B787" i="21"/>
  <c r="B786" i="21"/>
  <c r="B785" i="21"/>
  <c r="B784" i="21"/>
  <c r="B783" i="21"/>
  <c r="B782" i="21"/>
  <c r="B781" i="21"/>
  <c r="B780" i="21"/>
  <c r="B779" i="21"/>
  <c r="B778" i="21"/>
  <c r="B777" i="21"/>
  <c r="B776" i="21"/>
  <c r="B775" i="21"/>
  <c r="B774" i="21"/>
  <c r="B773" i="21"/>
  <c r="B772" i="21"/>
  <c r="B771" i="21"/>
  <c r="B770" i="21"/>
  <c r="B769" i="21"/>
  <c r="B768" i="21"/>
  <c r="B767" i="21"/>
  <c r="B766" i="21"/>
  <c r="B765" i="21"/>
  <c r="B764" i="21"/>
  <c r="B763" i="21"/>
  <c r="B762" i="21"/>
  <c r="B761" i="21"/>
  <c r="B760" i="21"/>
  <c r="B759" i="21"/>
  <c r="B758" i="21"/>
  <c r="B757" i="21"/>
  <c r="B756" i="21"/>
  <c r="B755" i="21"/>
  <c r="B754" i="21"/>
  <c r="B753" i="21"/>
  <c r="B752" i="21"/>
  <c r="B751" i="21"/>
  <c r="B750" i="21"/>
  <c r="B749" i="21"/>
  <c r="B748" i="21"/>
  <c r="B747" i="21"/>
  <c r="B746" i="21"/>
  <c r="B745" i="21"/>
  <c r="B744" i="21"/>
  <c r="B743" i="21"/>
  <c r="B742" i="21"/>
  <c r="B741" i="21"/>
  <c r="B740" i="21"/>
  <c r="B739" i="21"/>
  <c r="B738" i="21"/>
  <c r="B737" i="21"/>
  <c r="B736" i="21"/>
  <c r="B735" i="21"/>
  <c r="B734" i="21"/>
  <c r="B733" i="21"/>
  <c r="B732" i="21"/>
  <c r="B731" i="21"/>
  <c r="B730" i="21"/>
  <c r="B729" i="21"/>
  <c r="B728" i="21"/>
  <c r="B727" i="21"/>
  <c r="B726" i="21"/>
  <c r="B725" i="21"/>
  <c r="B724" i="21"/>
  <c r="B723" i="21"/>
  <c r="B722" i="21"/>
  <c r="B721" i="21"/>
  <c r="B720" i="21"/>
  <c r="B719" i="21"/>
  <c r="B718" i="21"/>
  <c r="B717" i="21"/>
  <c r="B716" i="21"/>
  <c r="B715" i="21"/>
  <c r="B714" i="21"/>
  <c r="B713" i="21"/>
  <c r="B712" i="21"/>
  <c r="B711" i="21"/>
  <c r="B710" i="21"/>
  <c r="B709" i="21"/>
  <c r="B708" i="21"/>
  <c r="B707" i="21"/>
  <c r="B706" i="21"/>
  <c r="B705" i="21"/>
  <c r="B704" i="21"/>
  <c r="B703" i="21"/>
  <c r="B702" i="21"/>
  <c r="B701" i="21"/>
  <c r="B700" i="21"/>
  <c r="B699" i="21"/>
  <c r="B698" i="21"/>
  <c r="B697" i="21"/>
  <c r="B696" i="21"/>
  <c r="B695" i="21"/>
  <c r="B694" i="21"/>
  <c r="B693" i="21"/>
  <c r="B692" i="21"/>
  <c r="B691" i="21"/>
  <c r="B690" i="21"/>
  <c r="B689" i="21"/>
  <c r="B688" i="21"/>
  <c r="B687" i="21"/>
  <c r="B686" i="21"/>
  <c r="B685" i="21"/>
  <c r="B684" i="21"/>
  <c r="B683" i="21"/>
  <c r="B682" i="21"/>
  <c r="B681" i="21"/>
  <c r="B680" i="21"/>
  <c r="B679" i="21"/>
  <c r="B678" i="21"/>
  <c r="B677" i="21"/>
  <c r="B676" i="21"/>
  <c r="B675" i="21"/>
  <c r="B674" i="21"/>
  <c r="B673" i="21"/>
  <c r="B672" i="21"/>
  <c r="B671" i="21"/>
  <c r="B670" i="21"/>
  <c r="B669" i="21"/>
  <c r="B668" i="21"/>
  <c r="B667" i="21"/>
  <c r="B666" i="21"/>
  <c r="B665" i="21"/>
  <c r="B664" i="21"/>
  <c r="B663" i="21"/>
  <c r="B662" i="21"/>
  <c r="B661" i="21"/>
  <c r="B660" i="21"/>
  <c r="B659" i="21"/>
  <c r="B658" i="21"/>
  <c r="B657" i="21"/>
  <c r="B656" i="21"/>
  <c r="B655" i="21"/>
  <c r="B654" i="21"/>
  <c r="B653" i="21"/>
  <c r="B652" i="21"/>
  <c r="B651" i="21"/>
  <c r="B650" i="21"/>
  <c r="B649" i="21"/>
  <c r="B648" i="21"/>
  <c r="B647" i="21"/>
  <c r="B646" i="21"/>
  <c r="B645" i="21"/>
  <c r="B644" i="21"/>
  <c r="B643" i="21"/>
  <c r="B642" i="21"/>
  <c r="B641" i="21"/>
  <c r="B640" i="21"/>
  <c r="B639" i="21"/>
  <c r="B638" i="21"/>
  <c r="B637" i="21"/>
  <c r="B636" i="21"/>
  <c r="B635" i="21"/>
  <c r="B634" i="21"/>
  <c r="B633" i="21"/>
  <c r="B632" i="21"/>
  <c r="B631" i="21"/>
  <c r="B630" i="21"/>
  <c r="B629" i="21"/>
  <c r="B628" i="21"/>
  <c r="B627" i="21"/>
  <c r="B626" i="21"/>
  <c r="B625" i="21"/>
  <c r="B624" i="21"/>
  <c r="B623" i="21"/>
  <c r="B622" i="21"/>
  <c r="B621" i="21"/>
  <c r="B620" i="21"/>
  <c r="B619" i="21"/>
  <c r="B618" i="21"/>
  <c r="B617" i="21"/>
  <c r="B616" i="21"/>
  <c r="B615" i="21"/>
  <c r="B614" i="21"/>
  <c r="B613" i="21"/>
  <c r="B612" i="21"/>
  <c r="B611" i="21"/>
  <c r="B610" i="21"/>
  <c r="B609" i="21"/>
  <c r="B608" i="21"/>
  <c r="B607" i="21"/>
  <c r="B606" i="21"/>
  <c r="B605" i="21"/>
  <c r="B604" i="21"/>
  <c r="B603" i="21"/>
  <c r="B602" i="21"/>
  <c r="B601" i="21"/>
  <c r="B600" i="21"/>
  <c r="B599" i="21"/>
  <c r="B598" i="21"/>
  <c r="B597" i="21"/>
  <c r="B596" i="21"/>
  <c r="B595" i="21"/>
  <c r="B594" i="21"/>
  <c r="B593" i="21"/>
  <c r="B592" i="21"/>
  <c r="B591" i="21"/>
  <c r="B590" i="21"/>
  <c r="B589" i="21"/>
  <c r="B588" i="21"/>
  <c r="B587" i="21"/>
  <c r="B586" i="21"/>
  <c r="B585" i="21"/>
  <c r="B584" i="21"/>
  <c r="B583" i="21"/>
  <c r="B582" i="21"/>
  <c r="B581" i="21"/>
  <c r="B580" i="21"/>
  <c r="B579" i="21"/>
  <c r="B578" i="21"/>
  <c r="B577" i="21"/>
  <c r="B576" i="21"/>
  <c r="B575" i="21"/>
  <c r="B574" i="21"/>
  <c r="B573" i="21"/>
  <c r="B572" i="21"/>
  <c r="B571" i="21"/>
  <c r="B570" i="21"/>
  <c r="B569" i="21"/>
  <c r="B568" i="21"/>
  <c r="B567" i="21"/>
  <c r="B566" i="21"/>
  <c r="B565" i="21"/>
  <c r="B564" i="21"/>
  <c r="B563" i="21"/>
  <c r="B562" i="21"/>
  <c r="B561" i="21"/>
  <c r="B560" i="21"/>
  <c r="B559" i="21"/>
  <c r="B558" i="21"/>
  <c r="B557" i="21"/>
  <c r="B556" i="21"/>
  <c r="B555" i="21"/>
  <c r="B554" i="21"/>
  <c r="B553" i="21"/>
  <c r="B552" i="21"/>
  <c r="B551" i="21"/>
  <c r="B550" i="21"/>
  <c r="B549" i="21"/>
  <c r="B548" i="21"/>
  <c r="B547" i="21"/>
  <c r="B546" i="21"/>
  <c r="B545" i="21"/>
  <c r="B544" i="21"/>
  <c r="B543" i="21"/>
  <c r="B542" i="21"/>
  <c r="B541" i="21"/>
  <c r="B540" i="21"/>
  <c r="B539" i="21"/>
  <c r="B538" i="21"/>
  <c r="B537" i="21"/>
  <c r="B536" i="21"/>
  <c r="B535" i="21"/>
  <c r="B534" i="21"/>
  <c r="B533" i="21"/>
  <c r="B532" i="21"/>
  <c r="B531" i="21"/>
  <c r="B530" i="21"/>
  <c r="B529" i="21"/>
  <c r="B528" i="21"/>
  <c r="B527" i="21"/>
  <c r="B526" i="21"/>
  <c r="B525" i="21"/>
  <c r="B524" i="21"/>
  <c r="B523" i="21"/>
  <c r="B522" i="21"/>
  <c r="B521" i="21"/>
  <c r="B520" i="21"/>
  <c r="B519" i="21"/>
  <c r="B518" i="21"/>
  <c r="B517" i="21"/>
  <c r="B516" i="21"/>
  <c r="B515" i="21"/>
  <c r="B514" i="21"/>
  <c r="B513" i="21"/>
  <c r="B512" i="21"/>
  <c r="B511" i="21"/>
  <c r="B510" i="21"/>
  <c r="B509" i="21"/>
  <c r="B508" i="21"/>
  <c r="B507" i="21"/>
  <c r="B506" i="21"/>
  <c r="B505" i="21"/>
  <c r="B504" i="21"/>
  <c r="B503" i="21"/>
  <c r="B502" i="21"/>
  <c r="B501" i="21"/>
  <c r="B500" i="21"/>
  <c r="B499" i="21"/>
  <c r="B498" i="21"/>
  <c r="B497" i="21"/>
  <c r="B496" i="21"/>
  <c r="B495" i="21"/>
  <c r="B494" i="21"/>
  <c r="B493" i="21"/>
  <c r="B492" i="21"/>
  <c r="B491" i="21"/>
  <c r="B490" i="21"/>
  <c r="B489" i="21"/>
  <c r="B488" i="21"/>
  <c r="B487" i="21"/>
  <c r="B486" i="21"/>
  <c r="B485" i="21"/>
  <c r="B484" i="21"/>
  <c r="B483" i="21"/>
  <c r="B482" i="21"/>
  <c r="B481" i="21"/>
  <c r="B480" i="21"/>
  <c r="B479" i="21"/>
  <c r="B478" i="21"/>
  <c r="B477" i="21"/>
  <c r="B476" i="21"/>
  <c r="B475" i="21"/>
  <c r="B474" i="21"/>
  <c r="B473" i="21"/>
  <c r="B472" i="21"/>
  <c r="B471" i="21"/>
  <c r="B470" i="21"/>
  <c r="B469" i="21"/>
  <c r="B468" i="21"/>
  <c r="B467" i="21"/>
  <c r="B466" i="21"/>
  <c r="B465" i="21"/>
  <c r="B464" i="21"/>
  <c r="B463" i="21"/>
  <c r="B462" i="21"/>
  <c r="B461" i="21"/>
  <c r="B460" i="21"/>
  <c r="B459" i="21"/>
  <c r="B458" i="21"/>
  <c r="B457" i="21"/>
  <c r="B456" i="21"/>
  <c r="B455" i="21"/>
  <c r="B454" i="21"/>
  <c r="B453" i="21"/>
  <c r="B452" i="21"/>
  <c r="B451" i="21"/>
  <c r="B450" i="21"/>
  <c r="B449" i="21"/>
  <c r="B448" i="21"/>
  <c r="B447" i="21"/>
  <c r="B446" i="21"/>
  <c r="B445" i="21"/>
  <c r="B444" i="21"/>
  <c r="B443" i="21"/>
  <c r="B442" i="21"/>
  <c r="B441" i="21"/>
  <c r="B440" i="21"/>
  <c r="B439" i="21"/>
  <c r="B438" i="21"/>
  <c r="B437" i="21"/>
  <c r="B436" i="21"/>
  <c r="B435" i="21"/>
  <c r="B434" i="21"/>
  <c r="B433" i="21"/>
  <c r="B432" i="21"/>
  <c r="B431" i="21"/>
  <c r="B430" i="21"/>
  <c r="B429" i="21"/>
  <c r="B428" i="21"/>
  <c r="B427" i="21"/>
  <c r="B426" i="21"/>
  <c r="B425" i="21"/>
  <c r="B424" i="21"/>
  <c r="B423" i="21"/>
  <c r="B422" i="21"/>
  <c r="B421" i="21"/>
  <c r="B420" i="21"/>
  <c r="B419" i="21"/>
  <c r="B418" i="21"/>
  <c r="B417" i="21"/>
  <c r="B416" i="21"/>
  <c r="B415" i="21"/>
  <c r="B414" i="21"/>
  <c r="B413" i="21"/>
  <c r="B412" i="21"/>
  <c r="B411" i="21"/>
  <c r="B410" i="21"/>
  <c r="B409" i="21"/>
  <c r="B408" i="21"/>
  <c r="B407" i="21"/>
  <c r="B406" i="21"/>
  <c r="B405" i="21"/>
  <c r="B404" i="21"/>
  <c r="B403" i="21"/>
  <c r="B402" i="21"/>
  <c r="B401" i="21"/>
  <c r="B400" i="21"/>
  <c r="B399" i="21"/>
  <c r="B398" i="21"/>
  <c r="B397" i="21"/>
  <c r="B396" i="21"/>
  <c r="B395" i="21"/>
  <c r="B394" i="21"/>
  <c r="B393" i="21"/>
  <c r="B392" i="21"/>
  <c r="B391" i="21"/>
  <c r="B390" i="21"/>
  <c r="B389" i="21"/>
  <c r="B388" i="21"/>
  <c r="B387" i="21"/>
  <c r="B386" i="21"/>
  <c r="B385" i="21"/>
  <c r="B384" i="21"/>
  <c r="B383" i="21"/>
  <c r="B382" i="21"/>
  <c r="B381" i="21"/>
  <c r="B380" i="21"/>
  <c r="B379" i="21"/>
  <c r="B378" i="21"/>
  <c r="B377" i="21"/>
  <c r="B376" i="21"/>
  <c r="B375" i="21"/>
  <c r="B374" i="21"/>
  <c r="B373" i="21"/>
  <c r="B372" i="21"/>
  <c r="B371" i="21"/>
  <c r="B370" i="21"/>
  <c r="B369" i="21"/>
  <c r="B368" i="21"/>
  <c r="B367" i="21"/>
  <c r="B366" i="21"/>
  <c r="B365" i="21"/>
  <c r="B364" i="21"/>
  <c r="B363" i="21"/>
  <c r="B362" i="21"/>
  <c r="B361" i="21"/>
  <c r="B360" i="21"/>
  <c r="B359" i="21"/>
  <c r="B358" i="21"/>
  <c r="B357" i="21"/>
  <c r="B356" i="21"/>
  <c r="B355" i="21"/>
  <c r="B354" i="21"/>
  <c r="B353" i="21"/>
  <c r="B352" i="21"/>
  <c r="B351" i="21"/>
  <c r="B350" i="21"/>
  <c r="B349" i="21"/>
  <c r="B348" i="21"/>
  <c r="B347" i="21"/>
  <c r="B346" i="21"/>
  <c r="B345" i="21"/>
  <c r="B344" i="21"/>
  <c r="B343" i="21"/>
  <c r="B342" i="21"/>
  <c r="B341" i="21"/>
  <c r="B340" i="21"/>
  <c r="B339" i="21"/>
  <c r="B338" i="21"/>
  <c r="B337" i="21"/>
  <c r="B336" i="21"/>
  <c r="B335" i="21"/>
  <c r="B334" i="21"/>
  <c r="B333" i="21"/>
  <c r="B332" i="21"/>
  <c r="B331" i="21"/>
  <c r="B330" i="21"/>
  <c r="B329" i="21"/>
  <c r="B328" i="21"/>
  <c r="B327" i="21"/>
  <c r="B326" i="21"/>
  <c r="B325" i="21"/>
  <c r="B324" i="21"/>
  <c r="B323" i="21"/>
  <c r="B322" i="21"/>
  <c r="B321" i="21"/>
  <c r="B320" i="21"/>
  <c r="B319" i="21"/>
  <c r="B318" i="21"/>
  <c r="B317" i="21"/>
  <c r="B316" i="21"/>
  <c r="B315" i="21"/>
  <c r="B314" i="21"/>
  <c r="B313" i="21"/>
  <c r="B312" i="21"/>
  <c r="B311" i="21"/>
  <c r="B310" i="21"/>
  <c r="B309" i="21"/>
  <c r="B308" i="21"/>
  <c r="B307" i="21"/>
  <c r="B306" i="21"/>
  <c r="B305" i="21"/>
  <c r="B304" i="21"/>
  <c r="B303" i="21"/>
  <c r="B302" i="21"/>
  <c r="B301" i="21"/>
  <c r="B300" i="21"/>
  <c r="B299" i="21"/>
  <c r="B298" i="21"/>
  <c r="B297" i="21"/>
  <c r="B296" i="21"/>
  <c r="B295" i="21"/>
  <c r="B294" i="21"/>
  <c r="B293" i="21"/>
  <c r="B292" i="21"/>
  <c r="B291" i="21"/>
  <c r="B290" i="21"/>
  <c r="B289" i="21"/>
  <c r="B288" i="21"/>
  <c r="B287" i="21"/>
  <c r="B286" i="21"/>
  <c r="B285" i="21"/>
  <c r="B284" i="21"/>
  <c r="B283" i="21"/>
  <c r="B282" i="21"/>
  <c r="B281" i="21"/>
  <c r="B280" i="21"/>
  <c r="B279" i="21"/>
  <c r="B278" i="21"/>
  <c r="B277" i="21"/>
  <c r="B276" i="21"/>
  <c r="B275" i="21"/>
  <c r="B274" i="21"/>
  <c r="B273" i="21"/>
  <c r="B272" i="21"/>
  <c r="B271" i="21"/>
  <c r="B270" i="21"/>
  <c r="B269" i="21"/>
  <c r="B268" i="21"/>
  <c r="B267" i="21"/>
  <c r="B266" i="21"/>
  <c r="B265" i="21"/>
  <c r="B264" i="21"/>
  <c r="B263" i="21"/>
  <c r="B262" i="21"/>
  <c r="B261" i="21"/>
  <c r="B260" i="21"/>
  <c r="B259" i="21"/>
  <c r="B258" i="21"/>
  <c r="B257" i="21"/>
  <c r="B256" i="21"/>
  <c r="B255" i="21"/>
  <c r="B254" i="21"/>
  <c r="B253" i="21"/>
  <c r="B252" i="21"/>
  <c r="B251" i="21"/>
  <c r="B250" i="21"/>
  <c r="B249" i="21"/>
  <c r="B248" i="21"/>
  <c r="B247" i="21"/>
  <c r="B246" i="21"/>
  <c r="B245" i="21"/>
  <c r="B244" i="21"/>
  <c r="B243" i="21"/>
  <c r="B242" i="21"/>
  <c r="B241" i="21"/>
  <c r="B240" i="21"/>
  <c r="B239" i="21"/>
  <c r="B238" i="21"/>
  <c r="B237" i="21"/>
  <c r="B236" i="21"/>
  <c r="B235" i="21"/>
  <c r="B234" i="21"/>
  <c r="B233" i="21"/>
  <c r="B232" i="21"/>
  <c r="B231" i="21"/>
  <c r="B230" i="21"/>
  <c r="B229" i="21"/>
  <c r="B228" i="21"/>
  <c r="B227" i="21"/>
  <c r="B226" i="21"/>
  <c r="B225" i="21"/>
  <c r="B224" i="21"/>
  <c r="B223" i="21"/>
  <c r="B222" i="21"/>
  <c r="B221" i="21"/>
  <c r="B220" i="21"/>
  <c r="B219" i="21"/>
  <c r="B218" i="21"/>
  <c r="B217" i="21"/>
  <c r="B216" i="21"/>
  <c r="B215" i="21"/>
  <c r="B214" i="21"/>
  <c r="B213" i="21"/>
  <c r="B212" i="21"/>
  <c r="B211" i="21"/>
  <c r="B210" i="21"/>
  <c r="B209" i="21"/>
  <c r="B208" i="21"/>
  <c r="B207" i="21"/>
  <c r="B206" i="21"/>
  <c r="B205" i="21"/>
  <c r="B204" i="21"/>
  <c r="B203" i="21"/>
  <c r="B202" i="21"/>
  <c r="B201" i="21"/>
  <c r="B200" i="21"/>
  <c r="B199" i="21"/>
  <c r="B198" i="21"/>
  <c r="B197" i="21"/>
  <c r="B196" i="21"/>
  <c r="B195" i="21"/>
  <c r="B194" i="21"/>
  <c r="B193" i="21"/>
  <c r="B192" i="21"/>
  <c r="B191" i="21"/>
  <c r="B190" i="21"/>
  <c r="B189" i="21"/>
  <c r="B188" i="21"/>
  <c r="B187" i="21"/>
  <c r="B186" i="21"/>
  <c r="B185" i="21"/>
  <c r="B184" i="21"/>
  <c r="B183" i="21"/>
  <c r="B182" i="21"/>
  <c r="B181" i="21"/>
  <c r="B180" i="21"/>
  <c r="B179" i="21"/>
  <c r="B178" i="21"/>
  <c r="B177" i="21"/>
  <c r="B176" i="21"/>
  <c r="B175" i="21"/>
  <c r="B174" i="21"/>
  <c r="B173" i="21"/>
  <c r="B172" i="21"/>
  <c r="B171" i="21"/>
  <c r="B170" i="21"/>
  <c r="B169" i="21"/>
  <c r="B168" i="21"/>
  <c r="B167" i="21"/>
  <c r="B166" i="21"/>
  <c r="B165" i="21"/>
  <c r="B164" i="21"/>
  <c r="B163" i="21"/>
  <c r="B162" i="21"/>
  <c r="B161" i="21"/>
  <c r="B160" i="21"/>
  <c r="B159" i="21"/>
  <c r="B158" i="21"/>
  <c r="B157" i="21"/>
  <c r="B156" i="21"/>
  <c r="B155" i="21"/>
  <c r="B154" i="21"/>
  <c r="B153" i="21"/>
  <c r="B152" i="21"/>
  <c r="B151" i="21"/>
  <c r="B150" i="21"/>
  <c r="B149" i="21"/>
  <c r="B148" i="21"/>
  <c r="B147" i="21"/>
  <c r="B146" i="21"/>
  <c r="B145" i="21"/>
  <c r="B144" i="21"/>
  <c r="B143" i="21"/>
  <c r="B142" i="21"/>
  <c r="B141" i="21"/>
  <c r="B140" i="21"/>
  <c r="B139" i="21"/>
  <c r="B138" i="21"/>
  <c r="B137" i="21"/>
  <c r="B136" i="21"/>
  <c r="B135" i="21"/>
  <c r="B134" i="21"/>
  <c r="B133" i="21"/>
  <c r="B132" i="21"/>
  <c r="B131" i="21"/>
  <c r="B130" i="21"/>
  <c r="B129" i="21"/>
  <c r="B128" i="21"/>
  <c r="B127" i="21"/>
  <c r="B126" i="21"/>
  <c r="B125" i="21"/>
  <c r="B124" i="21"/>
  <c r="B123" i="21"/>
  <c r="B122" i="21"/>
  <c r="B121" i="21"/>
  <c r="B120" i="21"/>
  <c r="B119" i="21"/>
  <c r="B118" i="21"/>
  <c r="B117" i="21"/>
  <c r="B116" i="21"/>
  <c r="B115" i="21"/>
  <c r="B114" i="21"/>
  <c r="B113" i="21"/>
  <c r="B112" i="21"/>
  <c r="B111" i="21"/>
  <c r="B110" i="21"/>
  <c r="B109" i="21"/>
  <c r="B108" i="21"/>
  <c r="B107" i="21"/>
  <c r="B106" i="21"/>
  <c r="B105" i="21"/>
  <c r="B104" i="21"/>
  <c r="B103" i="21"/>
  <c r="B102" i="21"/>
  <c r="B101" i="21"/>
  <c r="B100" i="21"/>
  <c r="B99" i="21"/>
  <c r="B98" i="21"/>
  <c r="B97" i="21"/>
  <c r="B96" i="21"/>
  <c r="B95" i="21"/>
  <c r="B94" i="21"/>
  <c r="B93" i="21"/>
  <c r="B92" i="21"/>
  <c r="B91" i="21"/>
  <c r="B90" i="21"/>
  <c r="B89" i="21"/>
  <c r="B88" i="21"/>
  <c r="B87" i="21"/>
  <c r="B86" i="21"/>
  <c r="B85" i="21"/>
  <c r="B84" i="21"/>
  <c r="B83" i="21"/>
  <c r="B82" i="21"/>
  <c r="B81" i="21"/>
  <c r="B80" i="21"/>
  <c r="B79" i="21"/>
  <c r="B78" i="21"/>
  <c r="B77" i="21"/>
  <c r="B76" i="21"/>
  <c r="B75" i="21"/>
  <c r="B74" i="21"/>
  <c r="B73" i="21"/>
  <c r="B72" i="21"/>
  <c r="B71" i="21"/>
  <c r="B70" i="21"/>
  <c r="B69" i="21"/>
  <c r="B68" i="21"/>
  <c r="B67" i="21"/>
  <c r="B66" i="21"/>
  <c r="B65" i="21"/>
  <c r="B64" i="21"/>
  <c r="B63" i="21"/>
  <c r="B62" i="21"/>
  <c r="B61" i="21"/>
  <c r="B60" i="21"/>
  <c r="B59" i="21"/>
  <c r="B58" i="21"/>
  <c r="B57" i="21"/>
  <c r="B56" i="21"/>
  <c r="B55" i="21"/>
  <c r="B54" i="21"/>
  <c r="B53" i="21"/>
  <c r="B52" i="21"/>
  <c r="B51" i="21"/>
  <c r="B50" i="21"/>
  <c r="B49" i="21"/>
  <c r="B48" i="21"/>
  <c r="B47" i="21"/>
  <c r="B46" i="21"/>
  <c r="B45" i="21"/>
  <c r="B44" i="21"/>
  <c r="B43" i="21"/>
  <c r="B42" i="21"/>
  <c r="B41" i="21"/>
  <c r="B40" i="21"/>
  <c r="B39" i="21"/>
  <c r="B38" i="21"/>
  <c r="B37" i="21"/>
  <c r="B36" i="21"/>
  <c r="B35" i="21"/>
  <c r="B34" i="21"/>
  <c r="B33" i="21"/>
  <c r="B32" i="21"/>
  <c r="B31" i="21"/>
  <c r="B30" i="21"/>
  <c r="B29" i="21"/>
  <c r="B28" i="21"/>
  <c r="B27" i="21"/>
  <c r="B26" i="21"/>
  <c r="B25" i="21"/>
  <c r="B24" i="21"/>
  <c r="B23" i="21"/>
  <c r="B22" i="21"/>
  <c r="B21" i="21"/>
  <c r="B20" i="21"/>
  <c r="B19" i="21"/>
  <c r="B18" i="21"/>
  <c r="B17" i="21"/>
  <c r="B16" i="21"/>
  <c r="B15" i="21"/>
  <c r="B14" i="21"/>
  <c r="B13" i="21"/>
  <c r="B12" i="21"/>
  <c r="B11" i="21"/>
  <c r="B10" i="21"/>
  <c r="B9" i="21"/>
  <c r="B8" i="21"/>
  <c r="B7" i="21"/>
  <c r="B6" i="21"/>
  <c r="B5" i="21"/>
  <c r="B4" i="21"/>
  <c r="B3" i="21"/>
  <c r="B2" i="21"/>
  <c r="B1000" i="20"/>
  <c r="B999" i="20"/>
  <c r="B998" i="20"/>
  <c r="B997" i="20"/>
  <c r="B996" i="20"/>
  <c r="B995" i="20"/>
  <c r="B994" i="20"/>
  <c r="B993" i="20"/>
  <c r="B992" i="20"/>
  <c r="B991" i="20"/>
  <c r="B990" i="20"/>
  <c r="B989" i="20"/>
  <c r="B988" i="20"/>
  <c r="B987" i="20"/>
  <c r="B986" i="20"/>
  <c r="B985" i="20"/>
  <c r="B984" i="20"/>
  <c r="B983" i="20"/>
  <c r="B982" i="20"/>
  <c r="B981" i="20"/>
  <c r="B980" i="20"/>
  <c r="B979" i="20"/>
  <c r="B978" i="20"/>
  <c r="B977" i="20"/>
  <c r="B976" i="20"/>
  <c r="B975" i="20"/>
  <c r="B974" i="20"/>
  <c r="B973" i="20"/>
  <c r="B972" i="20"/>
  <c r="B971" i="20"/>
  <c r="B970" i="20"/>
  <c r="B969" i="20"/>
  <c r="B968" i="20"/>
  <c r="B967" i="20"/>
  <c r="B966" i="20"/>
  <c r="B965" i="20"/>
  <c r="B964" i="20"/>
  <c r="B963" i="20"/>
  <c r="B962" i="20"/>
  <c r="B961" i="20"/>
  <c r="B960" i="20"/>
  <c r="B959" i="20"/>
  <c r="B958" i="20"/>
  <c r="B957" i="20"/>
  <c r="B956" i="20"/>
  <c r="B955" i="20"/>
  <c r="B954" i="20"/>
  <c r="B953" i="20"/>
  <c r="B952" i="20"/>
  <c r="B951" i="20"/>
  <c r="B950" i="20"/>
  <c r="B949" i="20"/>
  <c r="B948" i="20"/>
  <c r="B947" i="20"/>
  <c r="B946" i="20"/>
  <c r="B945" i="20"/>
  <c r="B944" i="20"/>
  <c r="B943" i="20"/>
  <c r="B942" i="20"/>
  <c r="B941" i="20"/>
  <c r="B940" i="20"/>
  <c r="B939" i="20"/>
  <c r="B938" i="20"/>
  <c r="B937" i="20"/>
  <c r="B936" i="20"/>
  <c r="B935" i="20"/>
  <c r="B934" i="20"/>
  <c r="B933" i="20"/>
  <c r="B932" i="20"/>
  <c r="B931" i="20"/>
  <c r="B930" i="20"/>
  <c r="B929" i="20"/>
  <c r="B928" i="20"/>
  <c r="B927" i="20"/>
  <c r="B926" i="20"/>
  <c r="B925" i="20"/>
  <c r="B924" i="20"/>
  <c r="B923" i="20"/>
  <c r="B922" i="20"/>
  <c r="B921" i="20"/>
  <c r="B920" i="20"/>
  <c r="B919" i="20"/>
  <c r="B918" i="20"/>
  <c r="B917" i="20"/>
  <c r="B916" i="20"/>
  <c r="B915" i="20"/>
  <c r="B914" i="20"/>
  <c r="B913" i="20"/>
  <c r="B912" i="20"/>
  <c r="B911" i="20"/>
  <c r="B910" i="20"/>
  <c r="B909" i="20"/>
  <c r="B908" i="20"/>
  <c r="B907" i="20"/>
  <c r="B906" i="20"/>
  <c r="B905" i="20"/>
  <c r="B904" i="20"/>
  <c r="B903" i="20"/>
  <c r="B902" i="20"/>
  <c r="B901" i="20"/>
  <c r="B900" i="20"/>
  <c r="B899" i="20"/>
  <c r="B898" i="20"/>
  <c r="B897" i="20"/>
  <c r="B896" i="20"/>
  <c r="B895" i="20"/>
  <c r="B894" i="20"/>
  <c r="B893" i="20"/>
  <c r="B892" i="20"/>
  <c r="B891" i="20"/>
  <c r="B890" i="20"/>
  <c r="B889" i="20"/>
  <c r="B888" i="20"/>
  <c r="B887" i="20"/>
  <c r="B886" i="20"/>
  <c r="B885" i="20"/>
  <c r="B884" i="20"/>
  <c r="B883" i="20"/>
  <c r="B882" i="20"/>
  <c r="B881" i="20"/>
  <c r="B880" i="20"/>
  <c r="B879" i="20"/>
  <c r="B878" i="20"/>
  <c r="B877" i="20"/>
  <c r="B876" i="20"/>
  <c r="B875" i="20"/>
  <c r="B874" i="20"/>
  <c r="B873" i="20"/>
  <c r="B872" i="20"/>
  <c r="B871" i="20"/>
  <c r="B870" i="20"/>
  <c r="B869" i="20"/>
  <c r="B868" i="20"/>
  <c r="B867" i="20"/>
  <c r="B866" i="20"/>
  <c r="B865" i="20"/>
  <c r="B864" i="20"/>
  <c r="B863" i="20"/>
  <c r="B862" i="20"/>
  <c r="B861" i="20"/>
  <c r="B860" i="20"/>
  <c r="B859" i="20"/>
  <c r="B858" i="20"/>
  <c r="B857" i="20"/>
  <c r="B856" i="20"/>
  <c r="B855" i="20"/>
  <c r="B854" i="20"/>
  <c r="B853" i="20"/>
  <c r="B852" i="20"/>
  <c r="B851" i="20"/>
  <c r="B850" i="20"/>
  <c r="B849" i="20"/>
  <c r="B848" i="20"/>
  <c r="B847" i="20"/>
  <c r="B846" i="20"/>
  <c r="B845" i="20"/>
  <c r="B844" i="20"/>
  <c r="B843" i="20"/>
  <c r="B842" i="20"/>
  <c r="B841" i="20"/>
  <c r="B840" i="20"/>
  <c r="B839" i="20"/>
  <c r="B838" i="20"/>
  <c r="B837" i="20"/>
  <c r="B836" i="20"/>
  <c r="B835" i="20"/>
  <c r="B834" i="20"/>
  <c r="B833" i="20"/>
  <c r="B832" i="20"/>
  <c r="B831" i="20"/>
  <c r="B830" i="20"/>
  <c r="B829" i="20"/>
  <c r="B828" i="20"/>
  <c r="B827" i="20"/>
  <c r="B826" i="20"/>
  <c r="B825" i="20"/>
  <c r="B824" i="20"/>
  <c r="B823" i="20"/>
  <c r="B822" i="20"/>
  <c r="B821" i="20"/>
  <c r="B820" i="20"/>
  <c r="B819" i="20"/>
  <c r="B818" i="20"/>
  <c r="B817" i="20"/>
  <c r="B816" i="20"/>
  <c r="B815" i="20"/>
  <c r="B814" i="20"/>
  <c r="B813" i="20"/>
  <c r="B812" i="20"/>
  <c r="B811" i="20"/>
  <c r="B810" i="20"/>
  <c r="B809" i="20"/>
  <c r="B808" i="20"/>
  <c r="B807" i="20"/>
  <c r="B806" i="20"/>
  <c r="B805" i="20"/>
  <c r="B804" i="20"/>
  <c r="B803" i="20"/>
  <c r="B802" i="20"/>
  <c r="B801" i="20"/>
  <c r="B800" i="20"/>
  <c r="B799" i="20"/>
  <c r="B798" i="20"/>
  <c r="B797" i="20"/>
  <c r="B796" i="20"/>
  <c r="B795" i="20"/>
  <c r="B794" i="20"/>
  <c r="B793" i="20"/>
  <c r="B792" i="20"/>
  <c r="B791" i="20"/>
  <c r="B790" i="20"/>
  <c r="B789" i="20"/>
  <c r="B788" i="20"/>
  <c r="B787" i="20"/>
  <c r="B786" i="20"/>
  <c r="B785" i="20"/>
  <c r="B784" i="20"/>
  <c r="B783" i="20"/>
  <c r="B782" i="20"/>
  <c r="B781" i="20"/>
  <c r="B780" i="20"/>
  <c r="B779" i="20"/>
  <c r="B778" i="20"/>
  <c r="B777" i="20"/>
  <c r="B776" i="20"/>
  <c r="B775" i="20"/>
  <c r="B774" i="20"/>
  <c r="B773" i="20"/>
  <c r="B772" i="20"/>
  <c r="B771" i="20"/>
  <c r="B770" i="20"/>
  <c r="B769" i="20"/>
  <c r="B768" i="20"/>
  <c r="B767" i="20"/>
  <c r="B766" i="20"/>
  <c r="B765" i="20"/>
  <c r="B764" i="20"/>
  <c r="B763" i="20"/>
  <c r="B762" i="20"/>
  <c r="B761" i="20"/>
  <c r="B760" i="20"/>
  <c r="B759" i="20"/>
  <c r="B758" i="20"/>
  <c r="B757" i="20"/>
  <c r="B756" i="20"/>
  <c r="B755" i="20"/>
  <c r="B754" i="20"/>
  <c r="B753" i="20"/>
  <c r="B752" i="20"/>
  <c r="B751" i="20"/>
  <c r="B750" i="20"/>
  <c r="B749" i="20"/>
  <c r="B748" i="20"/>
  <c r="B747" i="20"/>
  <c r="B746" i="20"/>
  <c r="B745" i="20"/>
  <c r="B744" i="20"/>
  <c r="B743" i="20"/>
  <c r="B742" i="20"/>
  <c r="B741" i="20"/>
  <c r="B740" i="20"/>
  <c r="B739" i="20"/>
  <c r="B738" i="20"/>
  <c r="B737" i="20"/>
  <c r="B736" i="20"/>
  <c r="B735" i="20"/>
  <c r="B734" i="20"/>
  <c r="B733" i="20"/>
  <c r="B732" i="20"/>
  <c r="B731" i="20"/>
  <c r="B730" i="20"/>
  <c r="B729" i="20"/>
  <c r="B728" i="20"/>
  <c r="B727" i="20"/>
  <c r="B726" i="20"/>
  <c r="B725" i="20"/>
  <c r="B724" i="20"/>
  <c r="B723" i="20"/>
  <c r="B722" i="20"/>
  <c r="B721" i="20"/>
  <c r="B720" i="20"/>
  <c r="B719" i="20"/>
  <c r="B718" i="20"/>
  <c r="B717" i="20"/>
  <c r="B716" i="20"/>
  <c r="B715" i="20"/>
  <c r="B714" i="20"/>
  <c r="B713" i="20"/>
  <c r="B712" i="20"/>
  <c r="B711" i="20"/>
  <c r="B710" i="20"/>
  <c r="B709" i="20"/>
  <c r="B708" i="20"/>
  <c r="B707" i="20"/>
  <c r="B706" i="20"/>
  <c r="B705" i="20"/>
  <c r="B704" i="20"/>
  <c r="B703" i="20"/>
  <c r="B702" i="20"/>
  <c r="B701" i="20"/>
  <c r="B700" i="20"/>
  <c r="B699" i="20"/>
  <c r="B698" i="20"/>
  <c r="B697" i="20"/>
  <c r="B696" i="20"/>
  <c r="B695" i="20"/>
  <c r="B694" i="20"/>
  <c r="B693" i="20"/>
  <c r="B692" i="20"/>
  <c r="B691" i="20"/>
  <c r="B690" i="20"/>
  <c r="B689" i="20"/>
  <c r="B688" i="20"/>
  <c r="B687" i="20"/>
  <c r="B686" i="20"/>
  <c r="B685" i="20"/>
  <c r="B684" i="20"/>
  <c r="B683" i="20"/>
  <c r="B682" i="20"/>
  <c r="B681" i="20"/>
  <c r="B680" i="20"/>
  <c r="B679" i="20"/>
  <c r="B678" i="20"/>
  <c r="B677" i="20"/>
  <c r="B676" i="20"/>
  <c r="B675" i="20"/>
  <c r="B674" i="20"/>
  <c r="B673" i="20"/>
  <c r="B672" i="20"/>
  <c r="B671" i="20"/>
  <c r="B670" i="20"/>
  <c r="B669" i="20"/>
  <c r="B668" i="20"/>
  <c r="B667" i="20"/>
  <c r="B666" i="20"/>
  <c r="B665" i="20"/>
  <c r="B664" i="20"/>
  <c r="B663" i="20"/>
  <c r="B662" i="20"/>
  <c r="B661" i="20"/>
  <c r="B660" i="20"/>
  <c r="B659" i="20"/>
  <c r="B658" i="20"/>
  <c r="B657" i="20"/>
  <c r="B656" i="20"/>
  <c r="B655" i="20"/>
  <c r="B654" i="20"/>
  <c r="B653" i="20"/>
  <c r="B652" i="20"/>
  <c r="B651" i="20"/>
  <c r="B650" i="20"/>
  <c r="B649" i="20"/>
  <c r="B648" i="20"/>
  <c r="B647" i="20"/>
  <c r="B646" i="20"/>
  <c r="B645" i="20"/>
  <c r="B644" i="20"/>
  <c r="B643" i="20"/>
  <c r="B642" i="20"/>
  <c r="B641" i="20"/>
  <c r="B640" i="20"/>
  <c r="B639" i="20"/>
  <c r="B638" i="20"/>
  <c r="B637" i="20"/>
  <c r="B636" i="20"/>
  <c r="B635" i="20"/>
  <c r="B634" i="20"/>
  <c r="B633" i="20"/>
  <c r="B632" i="20"/>
  <c r="B631" i="20"/>
  <c r="B630" i="20"/>
  <c r="B629" i="20"/>
  <c r="B628" i="20"/>
  <c r="B627" i="20"/>
  <c r="B626" i="20"/>
  <c r="B625" i="20"/>
  <c r="B624" i="20"/>
  <c r="B623" i="20"/>
  <c r="B622" i="20"/>
  <c r="B621" i="20"/>
  <c r="B620" i="20"/>
  <c r="B619" i="20"/>
  <c r="B618" i="20"/>
  <c r="B617" i="20"/>
  <c r="B616" i="20"/>
  <c r="B615" i="20"/>
  <c r="B614" i="20"/>
  <c r="B613" i="20"/>
  <c r="B612" i="20"/>
  <c r="B611" i="20"/>
  <c r="B610" i="20"/>
  <c r="B609" i="20"/>
  <c r="B608" i="20"/>
  <c r="B607" i="20"/>
  <c r="B606" i="20"/>
  <c r="B605" i="20"/>
  <c r="B604" i="20"/>
  <c r="B603" i="20"/>
  <c r="B602" i="20"/>
  <c r="B601" i="20"/>
  <c r="B600" i="20"/>
  <c r="B599" i="20"/>
  <c r="B598" i="20"/>
  <c r="B597" i="20"/>
  <c r="B596" i="20"/>
  <c r="B595" i="20"/>
  <c r="B594" i="20"/>
  <c r="B593" i="20"/>
  <c r="B592" i="20"/>
  <c r="B591" i="20"/>
  <c r="B590" i="20"/>
  <c r="B589" i="20"/>
  <c r="B588" i="20"/>
  <c r="B587" i="20"/>
  <c r="B586" i="20"/>
  <c r="B585" i="20"/>
  <c r="B584" i="20"/>
  <c r="B583" i="20"/>
  <c r="B582" i="20"/>
  <c r="B581" i="20"/>
  <c r="B580" i="20"/>
  <c r="B579" i="20"/>
  <c r="B578" i="20"/>
  <c r="B577" i="20"/>
  <c r="B576" i="20"/>
  <c r="B575" i="20"/>
  <c r="B574" i="20"/>
  <c r="B573" i="20"/>
  <c r="B572" i="20"/>
  <c r="B571" i="20"/>
  <c r="B570" i="20"/>
  <c r="B569" i="20"/>
  <c r="B568" i="20"/>
  <c r="B567" i="20"/>
  <c r="B566" i="20"/>
  <c r="B565" i="20"/>
  <c r="B564" i="20"/>
  <c r="B563" i="20"/>
  <c r="B562" i="20"/>
  <c r="B561" i="20"/>
  <c r="B560" i="20"/>
  <c r="B559" i="20"/>
  <c r="B558" i="20"/>
  <c r="B557" i="20"/>
  <c r="B556" i="20"/>
  <c r="B555" i="20"/>
  <c r="B554" i="20"/>
  <c r="B553" i="20"/>
  <c r="B552" i="20"/>
  <c r="B551" i="20"/>
  <c r="B550" i="20"/>
  <c r="B549" i="20"/>
  <c r="B548" i="20"/>
  <c r="B547" i="20"/>
  <c r="B546" i="20"/>
  <c r="B545" i="20"/>
  <c r="B544" i="20"/>
  <c r="B543" i="20"/>
  <c r="B542" i="20"/>
  <c r="B541" i="20"/>
  <c r="B540" i="20"/>
  <c r="B539" i="20"/>
  <c r="B538" i="20"/>
  <c r="B537" i="20"/>
  <c r="B536" i="20"/>
  <c r="B535" i="20"/>
  <c r="B534" i="20"/>
  <c r="B533" i="20"/>
  <c r="B532" i="20"/>
  <c r="B531" i="20"/>
  <c r="B530" i="20"/>
  <c r="B529" i="20"/>
  <c r="B528" i="20"/>
  <c r="B527" i="20"/>
  <c r="B526" i="20"/>
  <c r="B525" i="20"/>
  <c r="B524" i="20"/>
  <c r="B523" i="20"/>
  <c r="B522" i="20"/>
  <c r="B521" i="20"/>
  <c r="B520" i="20"/>
  <c r="B519" i="20"/>
  <c r="B518" i="20"/>
  <c r="B517" i="20"/>
  <c r="B516" i="20"/>
  <c r="B515" i="20"/>
  <c r="B514" i="20"/>
  <c r="B513" i="20"/>
  <c r="B512" i="20"/>
  <c r="B511" i="20"/>
  <c r="B510" i="20"/>
  <c r="B509" i="20"/>
  <c r="B508" i="20"/>
  <c r="B507" i="20"/>
  <c r="B506" i="20"/>
  <c r="B505" i="20"/>
  <c r="B504" i="20"/>
  <c r="B503" i="20"/>
  <c r="B502" i="20"/>
  <c r="B501" i="20"/>
  <c r="B500" i="20"/>
  <c r="B499" i="20"/>
  <c r="B498" i="20"/>
  <c r="B497" i="20"/>
  <c r="B496" i="20"/>
  <c r="B495" i="20"/>
  <c r="B494" i="20"/>
  <c r="B493" i="20"/>
  <c r="B492" i="20"/>
  <c r="B491" i="20"/>
  <c r="B490" i="20"/>
  <c r="B489" i="20"/>
  <c r="B488" i="20"/>
  <c r="B487" i="20"/>
  <c r="B486" i="20"/>
  <c r="B485" i="20"/>
  <c r="B484" i="20"/>
  <c r="B483" i="20"/>
  <c r="B482" i="20"/>
  <c r="B481" i="20"/>
  <c r="B480" i="20"/>
  <c r="B479" i="20"/>
  <c r="B478" i="20"/>
  <c r="B477" i="20"/>
  <c r="B476" i="20"/>
  <c r="B475" i="20"/>
  <c r="B474" i="20"/>
  <c r="B473" i="20"/>
  <c r="B472" i="20"/>
  <c r="B471" i="20"/>
  <c r="B470" i="20"/>
  <c r="B469" i="20"/>
  <c r="B468" i="20"/>
  <c r="B467" i="20"/>
  <c r="B466" i="20"/>
  <c r="B465" i="20"/>
  <c r="B464" i="20"/>
  <c r="B463" i="20"/>
  <c r="B462" i="20"/>
  <c r="B461" i="20"/>
  <c r="B460" i="20"/>
  <c r="B459" i="20"/>
  <c r="B458" i="20"/>
  <c r="B457" i="20"/>
  <c r="B456" i="20"/>
  <c r="B455" i="20"/>
  <c r="B454" i="20"/>
  <c r="B453" i="20"/>
  <c r="B452" i="20"/>
  <c r="B451" i="20"/>
  <c r="B450" i="20"/>
  <c r="B449" i="20"/>
  <c r="B448" i="20"/>
  <c r="B447" i="20"/>
  <c r="B446" i="20"/>
  <c r="B445" i="20"/>
  <c r="B444" i="20"/>
  <c r="B443" i="20"/>
  <c r="B442" i="20"/>
  <c r="B441" i="20"/>
  <c r="B440" i="20"/>
  <c r="B439" i="20"/>
  <c r="B438" i="20"/>
  <c r="B437" i="20"/>
  <c r="B436" i="20"/>
  <c r="B435" i="20"/>
  <c r="B434" i="20"/>
  <c r="B433" i="20"/>
  <c r="B432" i="20"/>
  <c r="B431" i="20"/>
  <c r="B430" i="20"/>
  <c r="B429" i="20"/>
  <c r="B428" i="20"/>
  <c r="B427" i="20"/>
  <c r="B426" i="20"/>
  <c r="B425" i="20"/>
  <c r="B424" i="20"/>
  <c r="B423" i="20"/>
  <c r="B422" i="20"/>
  <c r="B421" i="20"/>
  <c r="B420" i="20"/>
  <c r="B419" i="20"/>
  <c r="B418" i="20"/>
  <c r="B417" i="20"/>
  <c r="B416" i="20"/>
  <c r="B415" i="20"/>
  <c r="B414" i="20"/>
  <c r="B413" i="20"/>
  <c r="B412" i="20"/>
  <c r="B411" i="20"/>
  <c r="B410" i="20"/>
  <c r="B409" i="20"/>
  <c r="B408" i="20"/>
  <c r="B407" i="20"/>
  <c r="B406" i="20"/>
  <c r="B405" i="20"/>
  <c r="B404" i="20"/>
  <c r="B403" i="20"/>
  <c r="B402" i="20"/>
  <c r="B401" i="20"/>
  <c r="B400" i="20"/>
  <c r="B399" i="20"/>
  <c r="B398" i="20"/>
  <c r="B397" i="20"/>
  <c r="B396" i="20"/>
  <c r="B395" i="20"/>
  <c r="B394" i="20"/>
  <c r="B393" i="20"/>
  <c r="B392" i="20"/>
  <c r="B391" i="20"/>
  <c r="B390" i="20"/>
  <c r="B389" i="20"/>
  <c r="B388" i="20"/>
  <c r="B387" i="20"/>
  <c r="B386" i="20"/>
  <c r="B385" i="20"/>
  <c r="B384" i="20"/>
  <c r="B383" i="20"/>
  <c r="B382" i="20"/>
  <c r="B381" i="20"/>
  <c r="B380" i="20"/>
  <c r="B379" i="20"/>
  <c r="B378" i="20"/>
  <c r="B377" i="20"/>
  <c r="B376" i="20"/>
  <c r="B375" i="20"/>
  <c r="B374" i="20"/>
  <c r="B373" i="20"/>
  <c r="B372" i="20"/>
  <c r="B371" i="20"/>
  <c r="B370" i="20"/>
  <c r="B369" i="20"/>
  <c r="B368" i="20"/>
  <c r="B367" i="20"/>
  <c r="B366" i="20"/>
  <c r="B365" i="20"/>
  <c r="B364" i="20"/>
  <c r="B363" i="20"/>
  <c r="B362" i="20"/>
  <c r="B361" i="20"/>
  <c r="B360" i="20"/>
  <c r="B359" i="20"/>
  <c r="B358" i="20"/>
  <c r="B357" i="20"/>
  <c r="B356" i="20"/>
  <c r="B355" i="20"/>
  <c r="B354" i="20"/>
  <c r="B353" i="20"/>
  <c r="B352" i="20"/>
  <c r="B351" i="20"/>
  <c r="B350" i="20"/>
  <c r="B349" i="20"/>
  <c r="B348" i="20"/>
  <c r="B347" i="20"/>
  <c r="B346" i="20"/>
  <c r="B345" i="20"/>
  <c r="B344" i="20"/>
  <c r="B343" i="20"/>
  <c r="B342" i="20"/>
  <c r="B341" i="20"/>
  <c r="B340" i="20"/>
  <c r="B339" i="20"/>
  <c r="B338" i="20"/>
  <c r="B337" i="20"/>
  <c r="B336" i="20"/>
  <c r="B335" i="20"/>
  <c r="B334" i="20"/>
  <c r="B333" i="20"/>
  <c r="B332" i="20"/>
  <c r="B331" i="20"/>
  <c r="B330" i="20"/>
  <c r="B329" i="20"/>
  <c r="B328" i="20"/>
  <c r="B327" i="20"/>
  <c r="B326" i="20"/>
  <c r="B325" i="20"/>
  <c r="B324" i="20"/>
  <c r="B323" i="20"/>
  <c r="B322" i="20"/>
  <c r="B321" i="20"/>
  <c r="B320" i="20"/>
  <c r="B319" i="20"/>
  <c r="B318" i="20"/>
  <c r="B317" i="20"/>
  <c r="B316" i="20"/>
  <c r="B315" i="20"/>
  <c r="B314" i="20"/>
  <c r="B313" i="20"/>
  <c r="B312" i="20"/>
  <c r="B311" i="20"/>
  <c r="B310" i="20"/>
  <c r="B309" i="20"/>
  <c r="B308" i="20"/>
  <c r="B307" i="20"/>
  <c r="B306" i="20"/>
  <c r="B305" i="20"/>
  <c r="B304" i="20"/>
  <c r="B303" i="20"/>
  <c r="B302" i="20"/>
  <c r="B301" i="20"/>
  <c r="B300" i="20"/>
  <c r="B299" i="20"/>
  <c r="B298" i="20"/>
  <c r="B297" i="20"/>
  <c r="B296" i="20"/>
  <c r="B295" i="20"/>
  <c r="B294" i="20"/>
  <c r="B293" i="20"/>
  <c r="B292" i="20"/>
  <c r="B291" i="20"/>
  <c r="B290" i="20"/>
  <c r="B289" i="20"/>
  <c r="B288" i="20"/>
  <c r="B287" i="20"/>
  <c r="B286" i="20"/>
  <c r="B285" i="20"/>
  <c r="B284" i="20"/>
  <c r="B283" i="20"/>
  <c r="B282" i="20"/>
  <c r="B281" i="20"/>
  <c r="B280" i="20"/>
  <c r="B279" i="20"/>
  <c r="B278" i="20"/>
  <c r="B277" i="20"/>
  <c r="B276" i="20"/>
  <c r="B275" i="20"/>
  <c r="B274" i="20"/>
  <c r="B273" i="20"/>
  <c r="B272" i="20"/>
  <c r="B271" i="20"/>
  <c r="B270" i="20"/>
  <c r="B269" i="20"/>
  <c r="B268" i="20"/>
  <c r="B267" i="20"/>
  <c r="B266" i="20"/>
  <c r="B265" i="20"/>
  <c r="B264" i="20"/>
  <c r="B263" i="20"/>
  <c r="B262" i="20"/>
  <c r="B261" i="20"/>
  <c r="B260" i="20"/>
  <c r="B259" i="20"/>
  <c r="B258" i="20"/>
  <c r="B257" i="20"/>
  <c r="B256" i="20"/>
  <c r="B255" i="20"/>
  <c r="B254" i="20"/>
  <c r="B253" i="20"/>
  <c r="B252" i="20"/>
  <c r="B251" i="20"/>
  <c r="B250" i="20"/>
  <c r="B249" i="20"/>
  <c r="B248" i="20"/>
  <c r="B247" i="20"/>
  <c r="B246" i="20"/>
  <c r="B245" i="20"/>
  <c r="B244" i="20"/>
  <c r="B243" i="20"/>
  <c r="B242" i="20"/>
  <c r="B241" i="20"/>
  <c r="B240" i="20"/>
  <c r="B239" i="20"/>
  <c r="B238" i="20"/>
  <c r="B237" i="20"/>
  <c r="B236" i="20"/>
  <c r="B235" i="20"/>
  <c r="B234" i="20"/>
  <c r="B233" i="20"/>
  <c r="B232" i="20"/>
  <c r="B231" i="20"/>
  <c r="B230" i="20"/>
  <c r="B229" i="20"/>
  <c r="B228" i="20"/>
  <c r="B227" i="20"/>
  <c r="B226" i="20"/>
  <c r="B225" i="20"/>
  <c r="B224" i="20"/>
  <c r="B223" i="20"/>
  <c r="B222" i="20"/>
  <c r="B221" i="20"/>
  <c r="B220" i="20"/>
  <c r="B219" i="20"/>
  <c r="B218" i="20"/>
  <c r="B217" i="20"/>
  <c r="B216" i="20"/>
  <c r="B215" i="20"/>
  <c r="B214" i="20"/>
  <c r="B213" i="20"/>
  <c r="B212" i="20"/>
  <c r="B211" i="20"/>
  <c r="B210" i="20"/>
  <c r="B209" i="20"/>
  <c r="B208" i="20"/>
  <c r="B207" i="20"/>
  <c r="B206" i="20"/>
  <c r="B205" i="20"/>
  <c r="B204" i="20"/>
  <c r="B203" i="20"/>
  <c r="B202" i="20"/>
  <c r="B201" i="20"/>
  <c r="B200" i="20"/>
  <c r="B199" i="20"/>
  <c r="B198" i="20"/>
  <c r="B197" i="20"/>
  <c r="B196" i="20"/>
  <c r="B195" i="20"/>
  <c r="B194" i="20"/>
  <c r="B193" i="20"/>
  <c r="B192" i="20"/>
  <c r="B191" i="20"/>
  <c r="B190" i="20"/>
  <c r="B189" i="20"/>
  <c r="B188" i="20"/>
  <c r="B187" i="20"/>
  <c r="B186" i="20"/>
  <c r="B185" i="20"/>
  <c r="B184" i="20"/>
  <c r="B183" i="20"/>
  <c r="B182" i="20"/>
  <c r="B181" i="20"/>
  <c r="B180" i="20"/>
  <c r="B179" i="20"/>
  <c r="B178" i="20"/>
  <c r="B177" i="20"/>
  <c r="B176" i="20"/>
  <c r="B175" i="20"/>
  <c r="B174" i="20"/>
  <c r="B173" i="20"/>
  <c r="B172" i="20"/>
  <c r="B171" i="20"/>
  <c r="B170" i="20"/>
  <c r="B169" i="20"/>
  <c r="B168" i="20"/>
  <c r="B167" i="20"/>
  <c r="B166" i="20"/>
  <c r="B165" i="20"/>
  <c r="B164" i="20"/>
  <c r="B163" i="20"/>
  <c r="B162" i="20"/>
  <c r="B161" i="20"/>
  <c r="B160" i="20"/>
  <c r="B159" i="20"/>
  <c r="B158" i="20"/>
  <c r="B157" i="20"/>
  <c r="B156" i="20"/>
  <c r="B155" i="20"/>
  <c r="B154" i="20"/>
  <c r="B153" i="20"/>
  <c r="B152" i="20"/>
  <c r="B151" i="20"/>
  <c r="B150" i="20"/>
  <c r="B149" i="20"/>
  <c r="B148" i="20"/>
  <c r="B147" i="20"/>
  <c r="B146" i="20"/>
  <c r="B145" i="20"/>
  <c r="B144" i="20"/>
  <c r="B143" i="20"/>
  <c r="B142" i="20"/>
  <c r="B141" i="20"/>
  <c r="B140" i="20"/>
  <c r="B139" i="20"/>
  <c r="B138" i="20"/>
  <c r="B137" i="20"/>
  <c r="B136" i="20"/>
  <c r="B135" i="20"/>
  <c r="B134" i="20"/>
  <c r="B133" i="20"/>
  <c r="B132" i="20"/>
  <c r="B131" i="20"/>
  <c r="B130" i="20"/>
  <c r="B129" i="20"/>
  <c r="B128" i="20"/>
  <c r="B127" i="20"/>
  <c r="B126" i="20"/>
  <c r="B125" i="20"/>
  <c r="B124" i="20"/>
  <c r="B123" i="20"/>
  <c r="B122" i="20"/>
  <c r="B121" i="20"/>
  <c r="B120" i="20"/>
  <c r="B119" i="20"/>
  <c r="B118" i="20"/>
  <c r="B117" i="20"/>
  <c r="B116" i="20"/>
  <c r="B115" i="20"/>
  <c r="B114" i="20"/>
  <c r="B113" i="20"/>
  <c r="B112" i="20"/>
  <c r="B111" i="20"/>
  <c r="B110" i="20"/>
  <c r="B109" i="20"/>
  <c r="B108" i="20"/>
  <c r="B107" i="20"/>
  <c r="B106" i="20"/>
  <c r="B105" i="20"/>
  <c r="B104" i="20"/>
  <c r="B103" i="20"/>
  <c r="B102" i="20"/>
  <c r="B101" i="20"/>
  <c r="B100" i="20"/>
  <c r="B99" i="20"/>
  <c r="B98" i="20"/>
  <c r="B97" i="20"/>
  <c r="B96" i="20"/>
  <c r="B95" i="20"/>
  <c r="B94" i="20"/>
  <c r="B93" i="20"/>
  <c r="B92" i="20"/>
  <c r="B91" i="20"/>
  <c r="B90" i="20"/>
  <c r="B89" i="20"/>
  <c r="B88" i="20"/>
  <c r="B87" i="20"/>
  <c r="B86" i="20"/>
  <c r="B85" i="20"/>
  <c r="B84" i="20"/>
  <c r="B83" i="20"/>
  <c r="B82" i="20"/>
  <c r="B81" i="20"/>
  <c r="B80" i="20"/>
  <c r="B79" i="20"/>
  <c r="B78" i="20"/>
  <c r="B77" i="20"/>
  <c r="B76" i="20"/>
  <c r="B75" i="20"/>
  <c r="B74" i="20"/>
  <c r="B73" i="20"/>
  <c r="B72" i="20"/>
  <c r="B71" i="20"/>
  <c r="B70" i="20"/>
  <c r="B69" i="20"/>
  <c r="B68" i="20"/>
  <c r="B67" i="20"/>
  <c r="B66" i="20"/>
  <c r="B65" i="20"/>
  <c r="B64" i="20"/>
  <c r="B63" i="20"/>
  <c r="B62" i="20"/>
  <c r="B61" i="20"/>
  <c r="B60" i="20"/>
  <c r="B59" i="20"/>
  <c r="B58" i="20"/>
  <c r="B57" i="20"/>
  <c r="B56" i="20"/>
  <c r="B55" i="20"/>
  <c r="B54" i="20"/>
  <c r="B53" i="20"/>
  <c r="B52" i="20"/>
  <c r="B51" i="20"/>
  <c r="B50" i="20"/>
  <c r="B49" i="20"/>
  <c r="B48" i="20"/>
  <c r="B47" i="20"/>
  <c r="B46" i="20"/>
  <c r="B45" i="20"/>
  <c r="B44" i="20"/>
  <c r="B43" i="20"/>
  <c r="B42" i="20"/>
  <c r="B41" i="20"/>
  <c r="B40" i="20"/>
  <c r="B39" i="20"/>
  <c r="B38" i="20"/>
  <c r="B37" i="20"/>
  <c r="B36" i="20"/>
  <c r="B35" i="20"/>
  <c r="B34" i="20"/>
  <c r="B33" i="20"/>
  <c r="B32" i="20"/>
  <c r="B31" i="20"/>
  <c r="B30" i="20"/>
  <c r="B29" i="20"/>
  <c r="B28" i="20"/>
  <c r="B27" i="20"/>
  <c r="B26" i="20"/>
  <c r="B25" i="20"/>
  <c r="B24" i="20"/>
  <c r="B23" i="20"/>
  <c r="B22" i="20"/>
  <c r="B21" i="20"/>
  <c r="B20" i="20"/>
  <c r="B19" i="20"/>
  <c r="B18" i="20"/>
  <c r="B17" i="20"/>
  <c r="B16" i="20"/>
  <c r="B15" i="20"/>
  <c r="B14" i="20"/>
  <c r="B13" i="20"/>
  <c r="B12" i="20"/>
  <c r="B11" i="20"/>
  <c r="B10" i="20"/>
  <c r="B9" i="20"/>
  <c r="B8" i="20"/>
  <c r="B7" i="20"/>
  <c r="B6" i="20"/>
  <c r="B5" i="20"/>
  <c r="B4" i="20"/>
  <c r="B3" i="20"/>
  <c r="B2" i="20"/>
  <c r="B1000" i="19"/>
  <c r="B999" i="19"/>
  <c r="B998" i="19"/>
  <c r="B997" i="19"/>
  <c r="B996" i="19"/>
  <c r="B995" i="19"/>
  <c r="B994" i="19"/>
  <c r="B993" i="19"/>
  <c r="B992" i="19"/>
  <c r="B991" i="19"/>
  <c r="B990" i="19"/>
  <c r="B989" i="19"/>
  <c r="B988" i="19"/>
  <c r="B987" i="19"/>
  <c r="B986" i="19"/>
  <c r="B985" i="19"/>
  <c r="B984" i="19"/>
  <c r="B983" i="19"/>
  <c r="B982" i="19"/>
  <c r="B981" i="19"/>
  <c r="B980" i="19"/>
  <c r="B979" i="19"/>
  <c r="B978" i="19"/>
  <c r="B977" i="19"/>
  <c r="B976" i="19"/>
  <c r="B975" i="19"/>
  <c r="B974" i="19"/>
  <c r="B973" i="19"/>
  <c r="B972" i="19"/>
  <c r="B971" i="19"/>
  <c r="B970" i="19"/>
  <c r="B969" i="19"/>
  <c r="B968" i="19"/>
  <c r="B967" i="19"/>
  <c r="B966" i="19"/>
  <c r="B965" i="19"/>
  <c r="B964" i="19"/>
  <c r="B963" i="19"/>
  <c r="B962" i="19"/>
  <c r="B961" i="19"/>
  <c r="B960" i="19"/>
  <c r="B959" i="19"/>
  <c r="B958" i="19"/>
  <c r="B957" i="19"/>
  <c r="B956" i="19"/>
  <c r="B955" i="19"/>
  <c r="B954" i="19"/>
  <c r="B953" i="19"/>
  <c r="B952" i="19"/>
  <c r="B951" i="19"/>
  <c r="B950" i="19"/>
  <c r="B949" i="19"/>
  <c r="B948" i="19"/>
  <c r="B947" i="19"/>
  <c r="B946" i="19"/>
  <c r="B945" i="19"/>
  <c r="B944" i="19"/>
  <c r="B943" i="19"/>
  <c r="B942" i="19"/>
  <c r="B941" i="19"/>
  <c r="B940" i="19"/>
  <c r="B939" i="19"/>
  <c r="B938" i="19"/>
  <c r="B937" i="19"/>
  <c r="B936" i="19"/>
  <c r="B935" i="19"/>
  <c r="B934" i="19"/>
  <c r="B933" i="19"/>
  <c r="B932" i="19"/>
  <c r="B931" i="19"/>
  <c r="B930" i="19"/>
  <c r="B929" i="19"/>
  <c r="B928" i="19"/>
  <c r="B927" i="19"/>
  <c r="B926" i="19"/>
  <c r="B925" i="19"/>
  <c r="B924" i="19"/>
  <c r="B923" i="19"/>
  <c r="B922" i="19"/>
  <c r="B921" i="19"/>
  <c r="B920" i="19"/>
  <c r="B919" i="19"/>
  <c r="B918" i="19"/>
  <c r="B917" i="19"/>
  <c r="B916" i="19"/>
  <c r="B915" i="19"/>
  <c r="B914" i="19"/>
  <c r="B913" i="19"/>
  <c r="B912" i="19"/>
  <c r="B911" i="19"/>
  <c r="B910" i="19"/>
  <c r="B909" i="19"/>
  <c r="B908" i="19"/>
  <c r="B907" i="19"/>
  <c r="B906" i="19"/>
  <c r="B905" i="19"/>
  <c r="B904" i="19"/>
  <c r="B903" i="19"/>
  <c r="B902" i="19"/>
  <c r="B901" i="19"/>
  <c r="B900" i="19"/>
  <c r="B899" i="19"/>
  <c r="B898" i="19"/>
  <c r="B897" i="19"/>
  <c r="B896" i="19"/>
  <c r="B895" i="19"/>
  <c r="B894" i="19"/>
  <c r="B893" i="19"/>
  <c r="B892" i="19"/>
  <c r="B891" i="19"/>
  <c r="B890" i="19"/>
  <c r="B889" i="19"/>
  <c r="B888" i="19"/>
  <c r="B887" i="19"/>
  <c r="B886" i="19"/>
  <c r="B885" i="19"/>
  <c r="B884" i="19"/>
  <c r="B883" i="19"/>
  <c r="B882" i="19"/>
  <c r="B881" i="19"/>
  <c r="B880" i="19"/>
  <c r="B879" i="19"/>
  <c r="B878" i="19"/>
  <c r="B877" i="19"/>
  <c r="B876" i="19"/>
  <c r="B875" i="19"/>
  <c r="B874" i="19"/>
  <c r="B873" i="19"/>
  <c r="B872" i="19"/>
  <c r="B871" i="19"/>
  <c r="B870" i="19"/>
  <c r="B869" i="19"/>
  <c r="B868" i="19"/>
  <c r="B867" i="19"/>
  <c r="B866" i="19"/>
  <c r="B865" i="19"/>
  <c r="B864" i="19"/>
  <c r="B863" i="19"/>
  <c r="B862" i="19"/>
  <c r="B861" i="19"/>
  <c r="B860" i="19"/>
  <c r="B859" i="19"/>
  <c r="B858" i="19"/>
  <c r="B857" i="19"/>
  <c r="B856" i="19"/>
  <c r="B855" i="19"/>
  <c r="B854" i="19"/>
  <c r="B853" i="19"/>
  <c r="B852" i="19"/>
  <c r="B851" i="19"/>
  <c r="B850" i="19"/>
  <c r="B849" i="19"/>
  <c r="B848" i="19"/>
  <c r="B847" i="19"/>
  <c r="B846" i="19"/>
  <c r="B845" i="19"/>
  <c r="B844" i="19"/>
  <c r="B843" i="19"/>
  <c r="B842" i="19"/>
  <c r="B841" i="19"/>
  <c r="B840" i="19"/>
  <c r="B839" i="19"/>
  <c r="B838" i="19"/>
  <c r="B837" i="19"/>
  <c r="B836" i="19"/>
  <c r="B835" i="19"/>
  <c r="B834" i="19"/>
  <c r="B833" i="19"/>
  <c r="B832" i="19"/>
  <c r="B831" i="19"/>
  <c r="B830" i="19"/>
  <c r="B829" i="19"/>
  <c r="B828" i="19"/>
  <c r="B827" i="19"/>
  <c r="B826" i="19"/>
  <c r="B825" i="19"/>
  <c r="B824" i="19"/>
  <c r="B823" i="19"/>
  <c r="B822" i="19"/>
  <c r="B821" i="19"/>
  <c r="B820" i="19"/>
  <c r="B819" i="19"/>
  <c r="B818" i="19"/>
  <c r="B817" i="19"/>
  <c r="B816" i="19"/>
  <c r="B815" i="19"/>
  <c r="B814" i="19"/>
  <c r="B813" i="19"/>
  <c r="B812" i="19"/>
  <c r="B811" i="19"/>
  <c r="B810" i="19"/>
  <c r="B809" i="19"/>
  <c r="B808" i="19"/>
  <c r="B807" i="19"/>
  <c r="B806" i="19"/>
  <c r="B805" i="19"/>
  <c r="B804" i="19"/>
  <c r="B803" i="19"/>
  <c r="B802" i="19"/>
  <c r="B801" i="19"/>
  <c r="B800" i="19"/>
  <c r="B799" i="19"/>
  <c r="B798" i="19"/>
  <c r="B797" i="19"/>
  <c r="B796" i="19"/>
  <c r="B795" i="19"/>
  <c r="B794" i="19"/>
  <c r="B793" i="19"/>
  <c r="B792" i="19"/>
  <c r="B791" i="19"/>
  <c r="B790" i="19"/>
  <c r="B789" i="19"/>
  <c r="B788" i="19"/>
  <c r="B787" i="19"/>
  <c r="B786" i="19"/>
  <c r="B785" i="19"/>
  <c r="B784" i="19"/>
  <c r="B783" i="19"/>
  <c r="B782" i="19"/>
  <c r="B781" i="19"/>
  <c r="B780" i="19"/>
  <c r="B779" i="19"/>
  <c r="B778" i="19"/>
  <c r="B777" i="19"/>
  <c r="B776" i="19"/>
  <c r="B775" i="19"/>
  <c r="B774" i="19"/>
  <c r="B773" i="19"/>
  <c r="B772" i="19"/>
  <c r="B771" i="19"/>
  <c r="B770" i="19"/>
  <c r="B769" i="19"/>
  <c r="B768" i="19"/>
  <c r="B767" i="19"/>
  <c r="B766" i="19"/>
  <c r="B765" i="19"/>
  <c r="B764" i="19"/>
  <c r="B763" i="19"/>
  <c r="B762" i="19"/>
  <c r="B761" i="19"/>
  <c r="B760" i="19"/>
  <c r="B759" i="19"/>
  <c r="B758" i="19"/>
  <c r="B757" i="19"/>
  <c r="B756" i="19"/>
  <c r="B755" i="19"/>
  <c r="B754" i="19"/>
  <c r="B753" i="19"/>
  <c r="B752" i="19"/>
  <c r="B751" i="19"/>
  <c r="B750" i="19"/>
  <c r="B749" i="19"/>
  <c r="B748" i="19"/>
  <c r="B747" i="19"/>
  <c r="B746" i="19"/>
  <c r="B745" i="19"/>
  <c r="B744" i="19"/>
  <c r="B743" i="19"/>
  <c r="B742" i="19"/>
  <c r="B741" i="19"/>
  <c r="B740" i="19"/>
  <c r="B739" i="19"/>
  <c r="B738" i="19"/>
  <c r="B737" i="19"/>
  <c r="B736" i="19"/>
  <c r="B735" i="19"/>
  <c r="B734" i="19"/>
  <c r="B733" i="19"/>
  <c r="B732" i="19"/>
  <c r="B731" i="19"/>
  <c r="B730" i="19"/>
  <c r="B729" i="19"/>
  <c r="B728" i="19"/>
  <c r="B727" i="19"/>
  <c r="B726" i="19"/>
  <c r="B725" i="19"/>
  <c r="B724" i="19"/>
  <c r="B723" i="19"/>
  <c r="B722" i="19"/>
  <c r="B721" i="19"/>
  <c r="B720" i="19"/>
  <c r="B719" i="19"/>
  <c r="B718" i="19"/>
  <c r="B717" i="19"/>
  <c r="B716" i="19"/>
  <c r="B715" i="19"/>
  <c r="B714" i="19"/>
  <c r="B713" i="19"/>
  <c r="B712" i="19"/>
  <c r="B711" i="19"/>
  <c r="B710" i="19"/>
  <c r="B709" i="19"/>
  <c r="B708" i="19"/>
  <c r="B707" i="19"/>
  <c r="B706" i="19"/>
  <c r="B705" i="19"/>
  <c r="B704" i="19"/>
  <c r="B703" i="19"/>
  <c r="B702" i="19"/>
  <c r="B701" i="19"/>
  <c r="B700" i="19"/>
  <c r="B699" i="19"/>
  <c r="B698" i="19"/>
  <c r="B697" i="19"/>
  <c r="B696" i="19"/>
  <c r="B695" i="19"/>
  <c r="B694" i="19"/>
  <c r="B693" i="19"/>
  <c r="B692" i="19"/>
  <c r="B691" i="19"/>
  <c r="B690" i="19"/>
  <c r="B689" i="19"/>
  <c r="B688" i="19"/>
  <c r="B687" i="19"/>
  <c r="B686" i="19"/>
  <c r="B685" i="19"/>
  <c r="B684" i="19"/>
  <c r="B683" i="19"/>
  <c r="B682" i="19"/>
  <c r="B681" i="19"/>
  <c r="B680" i="19"/>
  <c r="B679" i="19"/>
  <c r="B678" i="19"/>
  <c r="B677" i="19"/>
  <c r="B676" i="19"/>
  <c r="B675" i="19"/>
  <c r="B674" i="19"/>
  <c r="B673" i="19"/>
  <c r="B672" i="19"/>
  <c r="B671" i="19"/>
  <c r="B670" i="19"/>
  <c r="B669" i="19"/>
  <c r="B668" i="19"/>
  <c r="B667" i="19"/>
  <c r="B666" i="19"/>
  <c r="B665" i="19"/>
  <c r="B664" i="19"/>
  <c r="B663" i="19"/>
  <c r="B662" i="19"/>
  <c r="B661" i="19"/>
  <c r="B660" i="19"/>
  <c r="B659" i="19"/>
  <c r="B658" i="19"/>
  <c r="B657" i="19"/>
  <c r="B656" i="19"/>
  <c r="B655" i="19"/>
  <c r="B654" i="19"/>
  <c r="B653" i="19"/>
  <c r="B652" i="19"/>
  <c r="B651" i="19"/>
  <c r="B650" i="19"/>
  <c r="B649" i="19"/>
  <c r="B648" i="19"/>
  <c r="B647" i="19"/>
  <c r="B646" i="19"/>
  <c r="B645" i="19"/>
  <c r="B644" i="19"/>
  <c r="B643" i="19"/>
  <c r="B642" i="19"/>
  <c r="B641" i="19"/>
  <c r="B640" i="19"/>
  <c r="B639" i="19"/>
  <c r="B638" i="19"/>
  <c r="B637" i="19"/>
  <c r="B636" i="19"/>
  <c r="B635" i="19"/>
  <c r="B634" i="19"/>
  <c r="B633" i="19"/>
  <c r="B632" i="19"/>
  <c r="B631" i="19"/>
  <c r="B630" i="19"/>
  <c r="B629" i="19"/>
  <c r="B628" i="19"/>
  <c r="B627" i="19"/>
  <c r="B626" i="19"/>
  <c r="B625" i="19"/>
  <c r="B624" i="19"/>
  <c r="B623" i="19"/>
  <c r="B622" i="19"/>
  <c r="B621" i="19"/>
  <c r="B620" i="19"/>
  <c r="B619" i="19"/>
  <c r="B618" i="19"/>
  <c r="B617" i="19"/>
  <c r="B616" i="19"/>
  <c r="B615" i="19"/>
  <c r="B614" i="19"/>
  <c r="B613" i="19"/>
  <c r="B612" i="19"/>
  <c r="B611" i="19"/>
  <c r="B610" i="19"/>
  <c r="B609" i="19"/>
  <c r="B608" i="19"/>
  <c r="B607" i="19"/>
  <c r="B606" i="19"/>
  <c r="B605" i="19"/>
  <c r="B604" i="19"/>
  <c r="B603" i="19"/>
  <c r="B602" i="19"/>
  <c r="B601" i="19"/>
  <c r="B600" i="19"/>
  <c r="B599" i="19"/>
  <c r="B598" i="19"/>
  <c r="B597" i="19"/>
  <c r="B596" i="19"/>
  <c r="B595" i="19"/>
  <c r="B594" i="19"/>
  <c r="B593" i="19"/>
  <c r="B592" i="19"/>
  <c r="B591" i="19"/>
  <c r="B590" i="19"/>
  <c r="B589" i="19"/>
  <c r="B588" i="19"/>
  <c r="B587" i="19"/>
  <c r="B586" i="19"/>
  <c r="B585" i="19"/>
  <c r="B584" i="19"/>
  <c r="B583" i="19"/>
  <c r="B582" i="19"/>
  <c r="B581" i="19"/>
  <c r="B580" i="19"/>
  <c r="B579" i="19"/>
  <c r="B578" i="19"/>
  <c r="B577" i="19"/>
  <c r="B576" i="19"/>
  <c r="B575" i="19"/>
  <c r="B574" i="19"/>
  <c r="B573" i="19"/>
  <c r="B572" i="19"/>
  <c r="B571" i="19"/>
  <c r="B570" i="19"/>
  <c r="B569" i="19"/>
  <c r="B568" i="19"/>
  <c r="B567" i="19"/>
  <c r="B566" i="19"/>
  <c r="B565" i="19"/>
  <c r="B564" i="19"/>
  <c r="B563" i="19"/>
  <c r="B562" i="19"/>
  <c r="B561" i="19"/>
  <c r="B560" i="19"/>
  <c r="B559" i="19"/>
  <c r="B558" i="19"/>
  <c r="B557" i="19"/>
  <c r="B556" i="19"/>
  <c r="B555" i="19"/>
  <c r="B554" i="19"/>
  <c r="B553" i="19"/>
  <c r="B552" i="19"/>
  <c r="B551" i="19"/>
  <c r="B550" i="19"/>
  <c r="B549" i="19"/>
  <c r="B548" i="19"/>
  <c r="B547" i="19"/>
  <c r="B546" i="19"/>
  <c r="B545" i="19"/>
  <c r="B544" i="19"/>
  <c r="B543" i="19"/>
  <c r="B542" i="19"/>
  <c r="B541" i="19"/>
  <c r="B540" i="19"/>
  <c r="B539" i="19"/>
  <c r="B538" i="19"/>
  <c r="B537" i="19"/>
  <c r="B536" i="19"/>
  <c r="B535" i="19"/>
  <c r="B534" i="19"/>
  <c r="B533" i="19"/>
  <c r="B532" i="19"/>
  <c r="B531" i="19"/>
  <c r="B530" i="19"/>
  <c r="B529" i="19"/>
  <c r="B528" i="19"/>
  <c r="B527" i="19"/>
  <c r="B526" i="19"/>
  <c r="B525" i="19"/>
  <c r="B524" i="19"/>
  <c r="B523" i="19"/>
  <c r="B522" i="19"/>
  <c r="B521" i="19"/>
  <c r="B520" i="19"/>
  <c r="B519" i="19"/>
  <c r="B518" i="19"/>
  <c r="B517" i="19"/>
  <c r="B516" i="19"/>
  <c r="B515" i="19"/>
  <c r="B514" i="19"/>
  <c r="B513" i="19"/>
  <c r="B512" i="19"/>
  <c r="B511" i="19"/>
  <c r="B510" i="19"/>
  <c r="B509" i="19"/>
  <c r="B508" i="19"/>
  <c r="B507" i="19"/>
  <c r="B506" i="19"/>
  <c r="B505" i="19"/>
  <c r="B504" i="19"/>
  <c r="B503" i="19"/>
  <c r="B502" i="19"/>
  <c r="B501" i="19"/>
  <c r="B500" i="19"/>
  <c r="B499" i="19"/>
  <c r="B498" i="19"/>
  <c r="B497" i="19"/>
  <c r="B496" i="19"/>
  <c r="B495" i="19"/>
  <c r="B494" i="19"/>
  <c r="B493" i="19"/>
  <c r="B492" i="19"/>
  <c r="B491" i="19"/>
  <c r="B490" i="19"/>
  <c r="B489" i="19"/>
  <c r="B488" i="19"/>
  <c r="B487" i="19"/>
  <c r="B486" i="19"/>
  <c r="B485" i="19"/>
  <c r="B484" i="19"/>
  <c r="B483" i="19"/>
  <c r="B482" i="19"/>
  <c r="B481" i="19"/>
  <c r="B480" i="19"/>
  <c r="B479" i="19"/>
  <c r="B478" i="19"/>
  <c r="B477" i="19"/>
  <c r="B476" i="19"/>
  <c r="B475" i="19"/>
  <c r="B474" i="19"/>
  <c r="B473" i="19"/>
  <c r="B472" i="19"/>
  <c r="B471" i="19"/>
  <c r="B470" i="19"/>
  <c r="B469" i="19"/>
  <c r="B468" i="19"/>
  <c r="B467" i="19"/>
  <c r="B466" i="19"/>
  <c r="B465" i="19"/>
  <c r="B464" i="19"/>
  <c r="B463" i="19"/>
  <c r="B462" i="19"/>
  <c r="B461" i="19"/>
  <c r="B460" i="19"/>
  <c r="B459" i="19"/>
  <c r="B458" i="19"/>
  <c r="B457" i="19"/>
  <c r="B456" i="19"/>
  <c r="B455" i="19"/>
  <c r="B454" i="19"/>
  <c r="B453" i="19"/>
  <c r="B452" i="19"/>
  <c r="B451" i="19"/>
  <c r="B450" i="19"/>
  <c r="B449" i="19"/>
  <c r="B448" i="19"/>
  <c r="B447" i="19"/>
  <c r="B446" i="19"/>
  <c r="B445" i="19"/>
  <c r="B444" i="19"/>
  <c r="B443" i="19"/>
  <c r="B442" i="19"/>
  <c r="B441" i="19"/>
  <c r="B440" i="19"/>
  <c r="B439" i="19"/>
  <c r="B438" i="19"/>
  <c r="B437" i="19"/>
  <c r="B436" i="19"/>
  <c r="B435" i="19"/>
  <c r="B434" i="19"/>
  <c r="B433" i="19"/>
  <c r="B432" i="19"/>
  <c r="B431" i="19"/>
  <c r="B430" i="19"/>
  <c r="B429" i="19"/>
  <c r="B428" i="19"/>
  <c r="B427" i="19"/>
  <c r="B426" i="19"/>
  <c r="B425" i="19"/>
  <c r="B424" i="19"/>
  <c r="B423" i="19"/>
  <c r="B422" i="19"/>
  <c r="B421" i="19"/>
  <c r="B420" i="19"/>
  <c r="B419" i="19"/>
  <c r="B418" i="19"/>
  <c r="B417" i="19"/>
  <c r="B416" i="19"/>
  <c r="B415" i="19"/>
  <c r="B414" i="19"/>
  <c r="B413" i="19"/>
  <c r="B412" i="19"/>
  <c r="B411" i="19"/>
  <c r="B410" i="19"/>
  <c r="B409" i="19"/>
  <c r="B408" i="19"/>
  <c r="B407" i="19"/>
  <c r="B406" i="19"/>
  <c r="B405" i="19"/>
  <c r="B404" i="19"/>
  <c r="B403" i="19"/>
  <c r="B402" i="19"/>
  <c r="B401" i="19"/>
  <c r="B400" i="19"/>
  <c r="B399" i="19"/>
  <c r="B398" i="19"/>
  <c r="B397" i="19"/>
  <c r="B396" i="19"/>
  <c r="B395" i="19"/>
  <c r="B394" i="19"/>
  <c r="B393" i="19"/>
  <c r="B392" i="19"/>
  <c r="B391" i="19"/>
  <c r="B390" i="19"/>
  <c r="B389" i="19"/>
  <c r="B388" i="19"/>
  <c r="B387" i="19"/>
  <c r="B386" i="19"/>
  <c r="B385" i="19"/>
  <c r="B384" i="19"/>
  <c r="B383" i="19"/>
  <c r="B382" i="19"/>
  <c r="B381" i="19"/>
  <c r="B380" i="19"/>
  <c r="B379" i="19"/>
  <c r="B378" i="19"/>
  <c r="B377" i="19"/>
  <c r="B376" i="19"/>
  <c r="B375" i="19"/>
  <c r="B374" i="19"/>
  <c r="B373" i="19"/>
  <c r="B372" i="19"/>
  <c r="B371" i="19"/>
  <c r="B370" i="19"/>
  <c r="B369" i="19"/>
  <c r="B368" i="19"/>
  <c r="B367" i="19"/>
  <c r="B366" i="19"/>
  <c r="B365" i="19"/>
  <c r="B364" i="19"/>
  <c r="B363" i="19"/>
  <c r="B362" i="19"/>
  <c r="B361" i="19"/>
  <c r="B360" i="19"/>
  <c r="B359" i="19"/>
  <c r="B358" i="19"/>
  <c r="B357" i="19"/>
  <c r="B356" i="19"/>
  <c r="B355" i="19"/>
  <c r="B354" i="19"/>
  <c r="B353" i="19"/>
  <c r="B352" i="19"/>
  <c r="B351" i="19"/>
  <c r="B350" i="19"/>
  <c r="B349" i="19"/>
  <c r="B348" i="19"/>
  <c r="B347" i="19"/>
  <c r="B346" i="19"/>
  <c r="B345" i="19"/>
  <c r="B344" i="19"/>
  <c r="B343" i="19"/>
  <c r="B342" i="19"/>
  <c r="B341" i="19"/>
  <c r="B340" i="19"/>
  <c r="B339" i="19"/>
  <c r="B338" i="19"/>
  <c r="B337" i="19"/>
  <c r="B336" i="19"/>
  <c r="B335" i="19"/>
  <c r="B334" i="19"/>
  <c r="B333" i="19"/>
  <c r="B332" i="19"/>
  <c r="B331" i="19"/>
  <c r="B330" i="19"/>
  <c r="B329" i="19"/>
  <c r="B328" i="19"/>
  <c r="B327" i="19"/>
  <c r="B326" i="19"/>
  <c r="B325" i="19"/>
  <c r="B324" i="19"/>
  <c r="B323" i="19"/>
  <c r="B322" i="19"/>
  <c r="B321" i="19"/>
  <c r="B320" i="19"/>
  <c r="B319" i="19"/>
  <c r="B318" i="19"/>
  <c r="B317" i="19"/>
  <c r="B316" i="19"/>
  <c r="B315" i="19"/>
  <c r="B314" i="19"/>
  <c r="B313" i="19"/>
  <c r="B312" i="19"/>
  <c r="B311" i="19"/>
  <c r="B310" i="19"/>
  <c r="B309" i="19"/>
  <c r="B308" i="19"/>
  <c r="B307" i="19"/>
  <c r="B306" i="19"/>
  <c r="B305" i="19"/>
  <c r="B304" i="19"/>
  <c r="B303" i="19"/>
  <c r="B302" i="19"/>
  <c r="B301" i="19"/>
  <c r="B300" i="19"/>
  <c r="B299" i="19"/>
  <c r="B298" i="19"/>
  <c r="B297" i="19"/>
  <c r="B296" i="19"/>
  <c r="B295" i="19"/>
  <c r="B294" i="19"/>
  <c r="B293" i="19"/>
  <c r="B292" i="19"/>
  <c r="B291" i="19"/>
  <c r="B290" i="19"/>
  <c r="B289" i="19"/>
  <c r="B288" i="19"/>
  <c r="B287" i="19"/>
  <c r="B286" i="19"/>
  <c r="B285" i="19"/>
  <c r="B284" i="19"/>
  <c r="B283" i="19"/>
  <c r="B282" i="19"/>
  <c r="B281" i="19"/>
  <c r="B280" i="19"/>
  <c r="B279" i="19"/>
  <c r="B278" i="19"/>
  <c r="B277" i="19"/>
  <c r="B276" i="19"/>
  <c r="B275" i="19"/>
  <c r="B274" i="19"/>
  <c r="B273" i="19"/>
  <c r="B272" i="19"/>
  <c r="B271" i="19"/>
  <c r="B270" i="19"/>
  <c r="B269" i="19"/>
  <c r="B268" i="19"/>
  <c r="B267" i="19"/>
  <c r="B266" i="19"/>
  <c r="B265" i="19"/>
  <c r="B264" i="19"/>
  <c r="B263" i="19"/>
  <c r="B262" i="19"/>
  <c r="B261" i="19"/>
  <c r="B260" i="19"/>
  <c r="B259" i="19"/>
  <c r="B258" i="19"/>
  <c r="B257" i="19"/>
  <c r="B256" i="19"/>
  <c r="B255" i="19"/>
  <c r="B254" i="19"/>
  <c r="B253" i="19"/>
  <c r="B252" i="19"/>
  <c r="B251" i="19"/>
  <c r="B250" i="19"/>
  <c r="B249" i="19"/>
  <c r="B248" i="19"/>
  <c r="B247" i="19"/>
  <c r="B246" i="19"/>
  <c r="B245" i="19"/>
  <c r="B244" i="19"/>
  <c r="B243" i="19"/>
  <c r="B242" i="19"/>
  <c r="B241" i="19"/>
  <c r="B240" i="19"/>
  <c r="B239" i="19"/>
  <c r="B238" i="19"/>
  <c r="B237" i="19"/>
  <c r="B236" i="19"/>
  <c r="B235" i="19"/>
  <c r="B234" i="19"/>
  <c r="B233" i="19"/>
  <c r="B232" i="19"/>
  <c r="B231" i="19"/>
  <c r="B230" i="19"/>
  <c r="B229" i="19"/>
  <c r="B228" i="19"/>
  <c r="B227" i="19"/>
  <c r="B226" i="19"/>
  <c r="B225" i="19"/>
  <c r="B224" i="19"/>
  <c r="B223" i="19"/>
  <c r="B222" i="19"/>
  <c r="B221" i="19"/>
  <c r="B220" i="19"/>
  <c r="B219" i="19"/>
  <c r="B218" i="19"/>
  <c r="B217" i="19"/>
  <c r="B216" i="19"/>
  <c r="B215" i="19"/>
  <c r="B214" i="19"/>
  <c r="B213" i="19"/>
  <c r="B212" i="19"/>
  <c r="B211" i="19"/>
  <c r="B210" i="19"/>
  <c r="B209" i="19"/>
  <c r="B208" i="19"/>
  <c r="B207" i="19"/>
  <c r="B206" i="19"/>
  <c r="B205" i="19"/>
  <c r="B204" i="19"/>
  <c r="B203" i="19"/>
  <c r="B202" i="19"/>
  <c r="B201" i="19"/>
  <c r="B200" i="19"/>
  <c r="B199" i="19"/>
  <c r="B198" i="19"/>
  <c r="B197" i="19"/>
  <c r="B196" i="19"/>
  <c r="B195" i="19"/>
  <c r="B194" i="19"/>
  <c r="B193" i="19"/>
  <c r="B192" i="19"/>
  <c r="B191" i="19"/>
  <c r="B190" i="19"/>
  <c r="B189" i="19"/>
  <c r="B188" i="19"/>
  <c r="B187" i="19"/>
  <c r="B186" i="19"/>
  <c r="B185" i="19"/>
  <c r="B184" i="19"/>
  <c r="B183" i="19"/>
  <c r="B182" i="19"/>
  <c r="B181" i="19"/>
  <c r="B180" i="19"/>
  <c r="B179" i="19"/>
  <c r="B178" i="19"/>
  <c r="B177" i="19"/>
  <c r="B176" i="19"/>
  <c r="B175" i="19"/>
  <c r="B174" i="19"/>
  <c r="B173" i="19"/>
  <c r="B172" i="19"/>
  <c r="B171" i="19"/>
  <c r="B170" i="19"/>
  <c r="B169" i="19"/>
  <c r="B168" i="19"/>
  <c r="B167" i="19"/>
  <c r="B166" i="19"/>
  <c r="B165" i="19"/>
  <c r="B164" i="19"/>
  <c r="B163" i="19"/>
  <c r="B162" i="19"/>
  <c r="B161" i="19"/>
  <c r="B160" i="19"/>
  <c r="B159" i="19"/>
  <c r="B158" i="19"/>
  <c r="B157" i="19"/>
  <c r="B156" i="19"/>
  <c r="B155" i="19"/>
  <c r="B154" i="19"/>
  <c r="B153" i="19"/>
  <c r="B152" i="19"/>
  <c r="B151" i="19"/>
  <c r="B150" i="19"/>
  <c r="B149" i="19"/>
  <c r="B148" i="19"/>
  <c r="B147" i="19"/>
  <c r="B146" i="19"/>
  <c r="B145" i="19"/>
  <c r="B144" i="19"/>
  <c r="B143" i="19"/>
  <c r="B142" i="19"/>
  <c r="B141" i="19"/>
  <c r="B140" i="19"/>
  <c r="B139" i="19"/>
  <c r="B138" i="19"/>
  <c r="B137" i="19"/>
  <c r="B136" i="19"/>
  <c r="B135" i="19"/>
  <c r="B134" i="19"/>
  <c r="B133" i="19"/>
  <c r="B132" i="19"/>
  <c r="B131" i="19"/>
  <c r="B130" i="19"/>
  <c r="B129" i="19"/>
  <c r="B128" i="19"/>
  <c r="B127" i="19"/>
  <c r="B126" i="19"/>
  <c r="B125" i="19"/>
  <c r="B124" i="19"/>
  <c r="B123" i="19"/>
  <c r="B122" i="19"/>
  <c r="B121" i="19"/>
  <c r="B120" i="19"/>
  <c r="B119" i="19"/>
  <c r="B118" i="19"/>
  <c r="B117" i="19"/>
  <c r="B116" i="19"/>
  <c r="B115" i="19"/>
  <c r="B114" i="19"/>
  <c r="B113" i="19"/>
  <c r="B112" i="19"/>
  <c r="B111" i="19"/>
  <c r="B110" i="19"/>
  <c r="B109" i="19"/>
  <c r="B108" i="19"/>
  <c r="B107" i="19"/>
  <c r="B106" i="19"/>
  <c r="B105" i="19"/>
  <c r="B104" i="19"/>
  <c r="B103" i="19"/>
  <c r="B102" i="19"/>
  <c r="B101" i="19"/>
  <c r="B100" i="19"/>
  <c r="B99" i="19"/>
  <c r="B98" i="19"/>
  <c r="B97" i="19"/>
  <c r="B96" i="19"/>
  <c r="B95" i="19"/>
  <c r="B94" i="19"/>
  <c r="B93" i="19"/>
  <c r="B92" i="19"/>
  <c r="B91" i="19"/>
  <c r="B90" i="19"/>
  <c r="B89" i="19"/>
  <c r="B88" i="19"/>
  <c r="B87" i="19"/>
  <c r="B86" i="19"/>
  <c r="B85" i="19"/>
  <c r="B84" i="19"/>
  <c r="B83" i="19"/>
  <c r="B82" i="19"/>
  <c r="B81" i="19"/>
  <c r="B80" i="19"/>
  <c r="B79" i="19"/>
  <c r="B78" i="19"/>
  <c r="B77" i="19"/>
  <c r="B76" i="19"/>
  <c r="B75" i="19"/>
  <c r="B74" i="19"/>
  <c r="B73" i="19"/>
  <c r="B72" i="19"/>
  <c r="B71" i="19"/>
  <c r="B70" i="19"/>
  <c r="B69" i="19"/>
  <c r="B68" i="19"/>
  <c r="B67" i="19"/>
  <c r="B66" i="19"/>
  <c r="B65" i="19"/>
  <c r="B64" i="19"/>
  <c r="B63" i="19"/>
  <c r="B62" i="19"/>
  <c r="B61" i="19"/>
  <c r="B60" i="19"/>
  <c r="B59" i="19"/>
  <c r="B58" i="19"/>
  <c r="B57" i="19"/>
  <c r="B56" i="19"/>
  <c r="B55" i="19"/>
  <c r="B54" i="19"/>
  <c r="B53" i="19"/>
  <c r="B52" i="19"/>
  <c r="B51" i="19"/>
  <c r="B50" i="19"/>
  <c r="B49" i="19"/>
  <c r="B48" i="19"/>
  <c r="B47" i="19"/>
  <c r="B46" i="19"/>
  <c r="B45" i="19"/>
  <c r="B44" i="19"/>
  <c r="B43" i="19"/>
  <c r="B42" i="19"/>
  <c r="B41" i="19"/>
  <c r="B40" i="19"/>
  <c r="B39" i="19"/>
  <c r="B38" i="19"/>
  <c r="B37" i="19"/>
  <c r="B36" i="19"/>
  <c r="B35" i="19"/>
  <c r="B34" i="19"/>
  <c r="B33" i="19"/>
  <c r="B32" i="19"/>
  <c r="B31" i="19"/>
  <c r="B30" i="19"/>
  <c r="B29" i="19"/>
  <c r="B28" i="19"/>
  <c r="B27" i="19"/>
  <c r="B26" i="19"/>
  <c r="B25" i="19"/>
  <c r="B24" i="19"/>
  <c r="B23" i="19"/>
  <c r="B22" i="19"/>
  <c r="B21" i="19"/>
  <c r="B20" i="19"/>
  <c r="B19" i="19"/>
  <c r="B18" i="19"/>
  <c r="B17" i="19"/>
  <c r="B16" i="19"/>
  <c r="B15" i="19"/>
  <c r="B14" i="19"/>
  <c r="B13" i="19"/>
  <c r="B12" i="19"/>
  <c r="B11" i="19"/>
  <c r="B10" i="19"/>
  <c r="B9" i="19"/>
  <c r="B8" i="19"/>
  <c r="B7" i="19"/>
  <c r="B6" i="19"/>
  <c r="B5" i="19"/>
  <c r="B4" i="19"/>
  <c r="B3" i="19"/>
  <c r="B2" i="19"/>
  <c r="B1000" i="18"/>
  <c r="B999" i="18"/>
  <c r="B998" i="18"/>
  <c r="B997" i="18"/>
  <c r="B996" i="18"/>
  <c r="B995" i="18"/>
  <c r="B994" i="18"/>
  <c r="B993" i="18"/>
  <c r="B992" i="18"/>
  <c r="B991" i="18"/>
  <c r="B990" i="18"/>
  <c r="B989" i="18"/>
  <c r="B988" i="18"/>
  <c r="B987" i="18"/>
  <c r="B986" i="18"/>
  <c r="B985" i="18"/>
  <c r="B984" i="18"/>
  <c r="B983" i="18"/>
  <c r="B982" i="18"/>
  <c r="B981" i="18"/>
  <c r="B980" i="18"/>
  <c r="B979" i="18"/>
  <c r="B978" i="18"/>
  <c r="B977" i="18"/>
  <c r="B976" i="18"/>
  <c r="B975" i="18"/>
  <c r="B974" i="18"/>
  <c r="B973" i="18"/>
  <c r="B972" i="18"/>
  <c r="B971" i="18"/>
  <c r="B970" i="18"/>
  <c r="B969" i="18"/>
  <c r="B968" i="18"/>
  <c r="B967" i="18"/>
  <c r="B966" i="18"/>
  <c r="B965" i="18"/>
  <c r="B964" i="18"/>
  <c r="B963" i="18"/>
  <c r="B962" i="18"/>
  <c r="B961" i="18"/>
  <c r="B960" i="18"/>
  <c r="B959" i="18"/>
  <c r="B958" i="18"/>
  <c r="B957" i="18"/>
  <c r="B956" i="18"/>
  <c r="B955" i="18"/>
  <c r="B954" i="18"/>
  <c r="B953" i="18"/>
  <c r="B952" i="18"/>
  <c r="B951" i="18"/>
  <c r="B950" i="18"/>
  <c r="B949" i="18"/>
  <c r="B948" i="18"/>
  <c r="B947" i="18"/>
  <c r="B946" i="18"/>
  <c r="B945" i="18"/>
  <c r="B944" i="18"/>
  <c r="B943" i="18"/>
  <c r="B942" i="18"/>
  <c r="B941" i="18"/>
  <c r="B940" i="18"/>
  <c r="B939" i="18"/>
  <c r="B938" i="18"/>
  <c r="B937" i="18"/>
  <c r="B936" i="18"/>
  <c r="B935" i="18"/>
  <c r="B934" i="18"/>
  <c r="B933" i="18"/>
  <c r="B932" i="18"/>
  <c r="B931" i="18"/>
  <c r="B930" i="18"/>
  <c r="B929" i="18"/>
  <c r="B928" i="18"/>
  <c r="B927" i="18"/>
  <c r="B926" i="18"/>
  <c r="B925" i="18"/>
  <c r="B924" i="18"/>
  <c r="B923" i="18"/>
  <c r="B922" i="18"/>
  <c r="B921" i="18"/>
  <c r="B920" i="18"/>
  <c r="B919" i="18"/>
  <c r="B918" i="18"/>
  <c r="B917" i="18"/>
  <c r="B916" i="18"/>
  <c r="B915" i="18"/>
  <c r="B914" i="18"/>
  <c r="B913" i="18"/>
  <c r="B912" i="18"/>
  <c r="B911" i="18"/>
  <c r="B910" i="18"/>
  <c r="B909" i="18"/>
  <c r="B908" i="18"/>
  <c r="B907" i="18"/>
  <c r="B906" i="18"/>
  <c r="B905" i="18"/>
  <c r="B904" i="18"/>
  <c r="B903" i="18"/>
  <c r="B902" i="18"/>
  <c r="B901" i="18"/>
  <c r="B900" i="18"/>
  <c r="B899" i="18"/>
  <c r="B898" i="18"/>
  <c r="B897" i="18"/>
  <c r="B896" i="18"/>
  <c r="B895" i="18"/>
  <c r="B894" i="18"/>
  <c r="B893" i="18"/>
  <c r="B892" i="18"/>
  <c r="B891" i="18"/>
  <c r="B890" i="18"/>
  <c r="B889" i="18"/>
  <c r="B888" i="18"/>
  <c r="B887" i="18"/>
  <c r="B886" i="18"/>
  <c r="B885" i="18"/>
  <c r="B884" i="18"/>
  <c r="B883" i="18"/>
  <c r="B882" i="18"/>
  <c r="B881" i="18"/>
  <c r="B880" i="18"/>
  <c r="B879" i="18"/>
  <c r="B878" i="18"/>
  <c r="B877" i="18"/>
  <c r="B876" i="18"/>
  <c r="B875" i="18"/>
  <c r="B874" i="18"/>
  <c r="B873" i="18"/>
  <c r="B872" i="18"/>
  <c r="B871" i="18"/>
  <c r="B870" i="18"/>
  <c r="B869" i="18"/>
  <c r="B868" i="18"/>
  <c r="B867" i="18"/>
  <c r="B866" i="18"/>
  <c r="B865" i="18"/>
  <c r="B864" i="18"/>
  <c r="B863" i="18"/>
  <c r="B862" i="18"/>
  <c r="B861" i="18"/>
  <c r="B860" i="18"/>
  <c r="B859" i="18"/>
  <c r="B858" i="18"/>
  <c r="B857" i="18"/>
  <c r="B856" i="18"/>
  <c r="B855" i="18"/>
  <c r="B854" i="18"/>
  <c r="B853" i="18"/>
  <c r="B852" i="18"/>
  <c r="B851" i="18"/>
  <c r="B850" i="18"/>
  <c r="B849" i="18"/>
  <c r="B848" i="18"/>
  <c r="B847" i="18"/>
  <c r="B846" i="18"/>
  <c r="B845" i="18"/>
  <c r="B844" i="18"/>
  <c r="B843" i="18"/>
  <c r="B842" i="18"/>
  <c r="B841" i="18"/>
  <c r="B840" i="18"/>
  <c r="B839" i="18"/>
  <c r="B838" i="18"/>
  <c r="B837" i="18"/>
  <c r="B836" i="18"/>
  <c r="B835" i="18"/>
  <c r="B834" i="18"/>
  <c r="B833" i="18"/>
  <c r="B832" i="18"/>
  <c r="B831" i="18"/>
  <c r="B830" i="18"/>
  <c r="B829" i="18"/>
  <c r="B828" i="18"/>
  <c r="B827" i="18"/>
  <c r="B826" i="18"/>
  <c r="B825" i="18"/>
  <c r="B824" i="18"/>
  <c r="B823" i="18"/>
  <c r="B822" i="18"/>
  <c r="B821" i="18"/>
  <c r="B820" i="18"/>
  <c r="B819" i="18"/>
  <c r="B818" i="18"/>
  <c r="B817" i="18"/>
  <c r="B816" i="18"/>
  <c r="B815" i="18"/>
  <c r="B814" i="18"/>
  <c r="B813" i="18"/>
  <c r="B812" i="18"/>
  <c r="B811" i="18"/>
  <c r="B810" i="18"/>
  <c r="B809" i="18"/>
  <c r="B808" i="18"/>
  <c r="B807" i="18"/>
  <c r="B806" i="18"/>
  <c r="B805" i="18"/>
  <c r="B804" i="18"/>
  <c r="B803" i="18"/>
  <c r="B802" i="18"/>
  <c r="B801" i="18"/>
  <c r="B800" i="18"/>
  <c r="B799" i="18"/>
  <c r="B798" i="18"/>
  <c r="B797" i="18"/>
  <c r="B796" i="18"/>
  <c r="B795" i="18"/>
  <c r="B794" i="18"/>
  <c r="B793" i="18"/>
  <c r="B792" i="18"/>
  <c r="B791" i="18"/>
  <c r="B790" i="18"/>
  <c r="B789" i="18"/>
  <c r="B788" i="18"/>
  <c r="B787" i="18"/>
  <c r="B786" i="18"/>
  <c r="B785" i="18"/>
  <c r="B784" i="18"/>
  <c r="B783" i="18"/>
  <c r="B782" i="18"/>
  <c r="B781" i="18"/>
  <c r="B780" i="18"/>
  <c r="B779" i="18"/>
  <c r="B778" i="18"/>
  <c r="B777" i="18"/>
  <c r="B776" i="18"/>
  <c r="B775" i="18"/>
  <c r="B774" i="18"/>
  <c r="B773" i="18"/>
  <c r="B772" i="18"/>
  <c r="B771" i="18"/>
  <c r="B770" i="18"/>
  <c r="B769" i="18"/>
  <c r="B768" i="18"/>
  <c r="B767" i="18"/>
  <c r="B766" i="18"/>
  <c r="B765" i="18"/>
  <c r="B764" i="18"/>
  <c r="B763" i="18"/>
  <c r="B762" i="18"/>
  <c r="B761" i="18"/>
  <c r="B760" i="18"/>
  <c r="B759" i="18"/>
  <c r="B758" i="18"/>
  <c r="B757" i="18"/>
  <c r="B756" i="18"/>
  <c r="B755" i="18"/>
  <c r="B754" i="18"/>
  <c r="B753" i="18"/>
  <c r="B752" i="18"/>
  <c r="B751" i="18"/>
  <c r="B750" i="18"/>
  <c r="B749" i="18"/>
  <c r="B748" i="18"/>
  <c r="B747" i="18"/>
  <c r="B746" i="18"/>
  <c r="B745" i="18"/>
  <c r="B744" i="18"/>
  <c r="B743" i="18"/>
  <c r="B742" i="18"/>
  <c r="B741" i="18"/>
  <c r="B740" i="18"/>
  <c r="B739" i="18"/>
  <c r="B738" i="18"/>
  <c r="B737" i="18"/>
  <c r="B736" i="18"/>
  <c r="B735" i="18"/>
  <c r="B734" i="18"/>
  <c r="B733" i="18"/>
  <c r="B732" i="18"/>
  <c r="B731" i="18"/>
  <c r="B730" i="18"/>
  <c r="B729" i="18"/>
  <c r="B728" i="18"/>
  <c r="B727" i="18"/>
  <c r="B726" i="18"/>
  <c r="B725" i="18"/>
  <c r="B724" i="18"/>
  <c r="B723" i="18"/>
  <c r="B722" i="18"/>
  <c r="B721" i="18"/>
  <c r="B720" i="18"/>
  <c r="B719" i="18"/>
  <c r="B718" i="18"/>
  <c r="B717" i="18"/>
  <c r="B716" i="18"/>
  <c r="B715" i="18"/>
  <c r="B714" i="18"/>
  <c r="B713" i="18"/>
  <c r="B712" i="18"/>
  <c r="B711" i="18"/>
  <c r="B710" i="18"/>
  <c r="B709" i="18"/>
  <c r="B708" i="18"/>
  <c r="B707" i="18"/>
  <c r="B706" i="18"/>
  <c r="B705" i="18"/>
  <c r="B704" i="18"/>
  <c r="B703" i="18"/>
  <c r="B702" i="18"/>
  <c r="B701" i="18"/>
  <c r="B700" i="18"/>
  <c r="B699" i="18"/>
  <c r="B698" i="18"/>
  <c r="B697" i="18"/>
  <c r="B696" i="18"/>
  <c r="B695" i="18"/>
  <c r="B694" i="18"/>
  <c r="B693" i="18"/>
  <c r="B692" i="18"/>
  <c r="B691" i="18"/>
  <c r="B690" i="18"/>
  <c r="B689" i="18"/>
  <c r="B688" i="18"/>
  <c r="B687" i="18"/>
  <c r="B686" i="18"/>
  <c r="B685" i="18"/>
  <c r="B684" i="18"/>
  <c r="B683" i="18"/>
  <c r="B682" i="18"/>
  <c r="B681" i="18"/>
  <c r="B680" i="18"/>
  <c r="B679" i="18"/>
  <c r="B678" i="18"/>
  <c r="B677" i="18"/>
  <c r="B676" i="18"/>
  <c r="B675" i="18"/>
  <c r="B674" i="18"/>
  <c r="B673" i="18"/>
  <c r="B672" i="18"/>
  <c r="B671" i="18"/>
  <c r="B670" i="18"/>
  <c r="B669" i="18"/>
  <c r="B668" i="18"/>
  <c r="B667" i="18"/>
  <c r="B666" i="18"/>
  <c r="B665" i="18"/>
  <c r="B664" i="18"/>
  <c r="B663" i="18"/>
  <c r="B662" i="18"/>
  <c r="B661" i="18"/>
  <c r="B660" i="18"/>
  <c r="B659" i="18"/>
  <c r="B658" i="18"/>
  <c r="B657" i="18"/>
  <c r="B656" i="18"/>
  <c r="B655" i="18"/>
  <c r="B654" i="18"/>
  <c r="B653" i="18"/>
  <c r="B652" i="18"/>
  <c r="B651" i="18"/>
  <c r="B650" i="18"/>
  <c r="B649" i="18"/>
  <c r="B648" i="18"/>
  <c r="B647" i="18"/>
  <c r="B646" i="18"/>
  <c r="B645" i="18"/>
  <c r="B644" i="18"/>
  <c r="B643" i="18"/>
  <c r="B642" i="18"/>
  <c r="B641" i="18"/>
  <c r="B640" i="18"/>
  <c r="B639" i="18"/>
  <c r="B638" i="18"/>
  <c r="B637" i="18"/>
  <c r="B636" i="18"/>
  <c r="B635" i="18"/>
  <c r="B634" i="18"/>
  <c r="B633" i="18"/>
  <c r="B632" i="18"/>
  <c r="B631" i="18"/>
  <c r="B630" i="18"/>
  <c r="B629" i="18"/>
  <c r="B628" i="18"/>
  <c r="B627" i="18"/>
  <c r="B626" i="18"/>
  <c r="B625" i="18"/>
  <c r="B624" i="18"/>
  <c r="B623" i="18"/>
  <c r="B622" i="18"/>
  <c r="B621" i="18"/>
  <c r="B620" i="18"/>
  <c r="B619" i="18"/>
  <c r="B618" i="18"/>
  <c r="B617" i="18"/>
  <c r="B616" i="18"/>
  <c r="B615" i="18"/>
  <c r="B614" i="18"/>
  <c r="B613" i="18"/>
  <c r="B612" i="18"/>
  <c r="B611" i="18"/>
  <c r="B610" i="18"/>
  <c r="B609" i="18"/>
  <c r="B608" i="18"/>
  <c r="B607" i="18"/>
  <c r="B606" i="18"/>
  <c r="B605" i="18"/>
  <c r="B604" i="18"/>
  <c r="B603" i="18"/>
  <c r="B602" i="18"/>
  <c r="B601" i="18"/>
  <c r="B600" i="18"/>
  <c r="B599" i="18"/>
  <c r="B598" i="18"/>
  <c r="B597" i="18"/>
  <c r="B596" i="18"/>
  <c r="B595" i="18"/>
  <c r="B594" i="18"/>
  <c r="B593" i="18"/>
  <c r="B592" i="18"/>
  <c r="B591" i="18"/>
  <c r="B590" i="18"/>
  <c r="B589" i="18"/>
  <c r="B588" i="18"/>
  <c r="B587" i="18"/>
  <c r="B586" i="18"/>
  <c r="B585" i="18"/>
  <c r="B584" i="18"/>
  <c r="B583" i="18"/>
  <c r="B582" i="18"/>
  <c r="B581" i="18"/>
  <c r="B580" i="18"/>
  <c r="B579" i="18"/>
  <c r="B578" i="18"/>
  <c r="B577" i="18"/>
  <c r="B576" i="18"/>
  <c r="B575" i="18"/>
  <c r="B574" i="18"/>
  <c r="B573" i="18"/>
  <c r="B572" i="18"/>
  <c r="B571" i="18"/>
  <c r="B570" i="18"/>
  <c r="B569" i="18"/>
  <c r="B568" i="18"/>
  <c r="B567" i="18"/>
  <c r="B566" i="18"/>
  <c r="B565" i="18"/>
  <c r="B564" i="18"/>
  <c r="B563" i="18"/>
  <c r="B562" i="18"/>
  <c r="B561" i="18"/>
  <c r="B560" i="18"/>
  <c r="B559" i="18"/>
  <c r="B558" i="18"/>
  <c r="B557" i="18"/>
  <c r="B556" i="18"/>
  <c r="B555" i="18"/>
  <c r="B554" i="18"/>
  <c r="B553" i="18"/>
  <c r="B552" i="18"/>
  <c r="B551" i="18"/>
  <c r="B550" i="18"/>
  <c r="B549" i="18"/>
  <c r="B548" i="18"/>
  <c r="B547" i="18"/>
  <c r="B546" i="18"/>
  <c r="B545" i="18"/>
  <c r="B544" i="18"/>
  <c r="B543" i="18"/>
  <c r="B542" i="18"/>
  <c r="B541" i="18"/>
  <c r="B540" i="18"/>
  <c r="B539" i="18"/>
  <c r="B538" i="18"/>
  <c r="B537" i="18"/>
  <c r="B536" i="18"/>
  <c r="B535" i="18"/>
  <c r="B534" i="18"/>
  <c r="B533" i="18"/>
  <c r="B532" i="18"/>
  <c r="B531" i="18"/>
  <c r="B530" i="18"/>
  <c r="B529" i="18"/>
  <c r="B528" i="18"/>
  <c r="B527" i="18"/>
  <c r="B526" i="18"/>
  <c r="B525" i="18"/>
  <c r="B524" i="18"/>
  <c r="B523" i="18"/>
  <c r="B522" i="18"/>
  <c r="B521" i="18"/>
  <c r="B520" i="18"/>
  <c r="B519" i="18"/>
  <c r="B518" i="18"/>
  <c r="B517" i="18"/>
  <c r="B516" i="18"/>
  <c r="B515" i="18"/>
  <c r="B514" i="18"/>
  <c r="B513" i="18"/>
  <c r="B512" i="18"/>
  <c r="B511" i="18"/>
  <c r="B510" i="18"/>
  <c r="B509" i="18"/>
  <c r="B508" i="18"/>
  <c r="B507" i="18"/>
  <c r="B506" i="18"/>
  <c r="B505" i="18"/>
  <c r="B504" i="18"/>
  <c r="B503" i="18"/>
  <c r="B502" i="18"/>
  <c r="B501" i="18"/>
  <c r="B500" i="18"/>
  <c r="B499" i="18"/>
  <c r="B498" i="18"/>
  <c r="B497" i="18"/>
  <c r="B496" i="18"/>
  <c r="B495" i="18"/>
  <c r="B494" i="18"/>
  <c r="B493" i="18"/>
  <c r="B492" i="18"/>
  <c r="B491" i="18"/>
  <c r="B490" i="18"/>
  <c r="B489" i="18"/>
  <c r="B488" i="18"/>
  <c r="B487" i="18"/>
  <c r="B486" i="18"/>
  <c r="B485" i="18"/>
  <c r="B484" i="18"/>
  <c r="B483" i="18"/>
  <c r="B482" i="18"/>
  <c r="B481" i="18"/>
  <c r="B480" i="18"/>
  <c r="B479" i="18"/>
  <c r="B478" i="18"/>
  <c r="B477" i="18"/>
  <c r="B476" i="18"/>
  <c r="B475" i="18"/>
  <c r="B474" i="18"/>
  <c r="B473" i="18"/>
  <c r="B472" i="18"/>
  <c r="B471" i="18"/>
  <c r="B470" i="18"/>
  <c r="B469" i="18"/>
  <c r="B468" i="18"/>
  <c r="B467" i="18"/>
  <c r="B466" i="18"/>
  <c r="B465" i="18"/>
  <c r="B464" i="18"/>
  <c r="B463" i="18"/>
  <c r="B462" i="18"/>
  <c r="B461" i="18"/>
  <c r="B460" i="18"/>
  <c r="B459" i="18"/>
  <c r="B458" i="18"/>
  <c r="B457" i="18"/>
  <c r="B456" i="18"/>
  <c r="B455" i="18"/>
  <c r="B454" i="18"/>
  <c r="B453" i="18"/>
  <c r="B452" i="18"/>
  <c r="B451" i="18"/>
  <c r="B450" i="18"/>
  <c r="B449" i="18"/>
  <c r="B448" i="18"/>
  <c r="B447" i="18"/>
  <c r="B446" i="18"/>
  <c r="B445" i="18"/>
  <c r="B444" i="18"/>
  <c r="B443" i="18"/>
  <c r="B442" i="18"/>
  <c r="B441" i="18"/>
  <c r="B440" i="18"/>
  <c r="B439" i="18"/>
  <c r="B438" i="18"/>
  <c r="B437" i="18"/>
  <c r="B436" i="18"/>
  <c r="B435" i="18"/>
  <c r="B434" i="18"/>
  <c r="B433" i="18"/>
  <c r="B432" i="18"/>
  <c r="B431" i="18"/>
  <c r="B430" i="18"/>
  <c r="B429" i="18"/>
  <c r="B428" i="18"/>
  <c r="B427" i="18"/>
  <c r="B426" i="18"/>
  <c r="B425" i="18"/>
  <c r="B424" i="18"/>
  <c r="B423" i="18"/>
  <c r="B422" i="18"/>
  <c r="B421" i="18"/>
  <c r="B420" i="18"/>
  <c r="B419" i="18"/>
  <c r="B418" i="18"/>
  <c r="B417" i="18"/>
  <c r="B416" i="18"/>
  <c r="B415" i="18"/>
  <c r="B414" i="18"/>
  <c r="B413" i="18"/>
  <c r="B412" i="18"/>
  <c r="B411" i="18"/>
  <c r="B410" i="18"/>
  <c r="B409" i="18"/>
  <c r="B408" i="18"/>
  <c r="B407" i="18"/>
  <c r="B406" i="18"/>
  <c r="B405" i="18"/>
  <c r="B404" i="18"/>
  <c r="B403" i="18"/>
  <c r="B402" i="18"/>
  <c r="B401" i="18"/>
  <c r="B400" i="18"/>
  <c r="B399" i="18"/>
  <c r="B398" i="18"/>
  <c r="B397" i="18"/>
  <c r="B396" i="18"/>
  <c r="B395" i="18"/>
  <c r="B394" i="18"/>
  <c r="B393" i="18"/>
  <c r="B392" i="18"/>
  <c r="B391" i="18"/>
  <c r="B390" i="18"/>
  <c r="B389" i="18"/>
  <c r="B388" i="18"/>
  <c r="B387" i="18"/>
  <c r="B386" i="18"/>
  <c r="B385" i="18"/>
  <c r="B384" i="18"/>
  <c r="B383" i="18"/>
  <c r="B382" i="18"/>
  <c r="B381" i="18"/>
  <c r="B380" i="18"/>
  <c r="B379" i="18"/>
  <c r="B378" i="18"/>
  <c r="B377" i="18"/>
  <c r="B376" i="18"/>
  <c r="B375" i="18"/>
  <c r="B374" i="18"/>
  <c r="B373" i="18"/>
  <c r="B372" i="18"/>
  <c r="B371" i="18"/>
  <c r="B370" i="18"/>
  <c r="B369" i="18"/>
  <c r="B368" i="18"/>
  <c r="B367" i="18"/>
  <c r="B366" i="18"/>
  <c r="B365" i="18"/>
  <c r="B364" i="18"/>
  <c r="B363" i="18"/>
  <c r="B362" i="18"/>
  <c r="B361" i="18"/>
  <c r="B360" i="18"/>
  <c r="B359" i="18"/>
  <c r="B358" i="18"/>
  <c r="B357" i="18"/>
  <c r="B356" i="18"/>
  <c r="B355" i="18"/>
  <c r="B354" i="18"/>
  <c r="B353" i="18"/>
  <c r="B352" i="18"/>
  <c r="B351" i="18"/>
  <c r="B350" i="18"/>
  <c r="B349" i="18"/>
  <c r="B348" i="18"/>
  <c r="B347" i="18"/>
  <c r="B346" i="18"/>
  <c r="B345" i="18"/>
  <c r="B344" i="18"/>
  <c r="B343" i="18"/>
  <c r="B342" i="18"/>
  <c r="B341" i="18"/>
  <c r="B340" i="18"/>
  <c r="B339" i="18"/>
  <c r="B338" i="18"/>
  <c r="B337" i="18"/>
  <c r="B336" i="18"/>
  <c r="B335" i="18"/>
  <c r="B334" i="18"/>
  <c r="B333" i="18"/>
  <c r="B332" i="18"/>
  <c r="B331" i="18"/>
  <c r="B330" i="18"/>
  <c r="B329" i="18"/>
  <c r="B328" i="18"/>
  <c r="B327" i="18"/>
  <c r="B326" i="18"/>
  <c r="B325" i="18"/>
  <c r="B324" i="18"/>
  <c r="B323" i="18"/>
  <c r="B322" i="18"/>
  <c r="B321" i="18"/>
  <c r="B320" i="18"/>
  <c r="B319" i="18"/>
  <c r="B318" i="18"/>
  <c r="B317" i="18"/>
  <c r="B316" i="18"/>
  <c r="B315" i="18"/>
  <c r="B314" i="18"/>
  <c r="B313" i="18"/>
  <c r="B312" i="18"/>
  <c r="B311" i="18"/>
  <c r="B310" i="18"/>
  <c r="B309" i="18"/>
  <c r="B308" i="18"/>
  <c r="B307" i="18"/>
  <c r="B306" i="18"/>
  <c r="B305" i="18"/>
  <c r="B304" i="18"/>
  <c r="B303" i="18"/>
  <c r="B302" i="18"/>
  <c r="B301" i="18"/>
  <c r="B300" i="18"/>
  <c r="B299" i="18"/>
  <c r="B298" i="18"/>
  <c r="B297" i="18"/>
  <c r="B296" i="18"/>
  <c r="B295" i="18"/>
  <c r="B294" i="18"/>
  <c r="B293" i="18"/>
  <c r="B292" i="18"/>
  <c r="B291" i="18"/>
  <c r="B290" i="18"/>
  <c r="B289" i="18"/>
  <c r="B288" i="18"/>
  <c r="B287" i="18"/>
  <c r="B286" i="18"/>
  <c r="B285" i="18"/>
  <c r="B284" i="18"/>
  <c r="B283" i="18"/>
  <c r="B282" i="18"/>
  <c r="B281" i="18"/>
  <c r="B280" i="18"/>
  <c r="B279" i="18"/>
  <c r="B278" i="18"/>
  <c r="B277" i="18"/>
  <c r="B276" i="18"/>
  <c r="B275" i="18"/>
  <c r="B274" i="18"/>
  <c r="B273" i="18"/>
  <c r="B272" i="18"/>
  <c r="B271" i="18"/>
  <c r="B270" i="18"/>
  <c r="B269" i="18"/>
  <c r="B268" i="18"/>
  <c r="B267" i="18"/>
  <c r="B266" i="18"/>
  <c r="B265" i="18"/>
  <c r="B264" i="18"/>
  <c r="B263" i="18"/>
  <c r="B262" i="18"/>
  <c r="B261" i="18"/>
  <c r="B260" i="18"/>
  <c r="B259" i="18"/>
  <c r="B258" i="18"/>
  <c r="B257" i="18"/>
  <c r="B256" i="18"/>
  <c r="B255" i="18"/>
  <c r="B254" i="18"/>
  <c r="B253" i="18"/>
  <c r="B252" i="18"/>
  <c r="B251" i="18"/>
  <c r="B250" i="18"/>
  <c r="B249" i="18"/>
  <c r="B248" i="18"/>
  <c r="B247" i="18"/>
  <c r="B246" i="18"/>
  <c r="B245" i="18"/>
  <c r="B244" i="18"/>
  <c r="B243" i="18"/>
  <c r="B242" i="18"/>
  <c r="B241" i="18"/>
  <c r="B240" i="18"/>
  <c r="B239" i="18"/>
  <c r="B238" i="18"/>
  <c r="B237" i="18"/>
  <c r="B236" i="18"/>
  <c r="B235" i="18"/>
  <c r="B234" i="18"/>
  <c r="B233" i="18"/>
  <c r="B232" i="18"/>
  <c r="B231" i="18"/>
  <c r="B230" i="18"/>
  <c r="B229" i="18"/>
  <c r="B228" i="18"/>
  <c r="B227" i="18"/>
  <c r="B226" i="18"/>
  <c r="B225" i="18"/>
  <c r="B224" i="18"/>
  <c r="B223" i="18"/>
  <c r="B222" i="18"/>
  <c r="B221" i="18"/>
  <c r="B220" i="18"/>
  <c r="B219" i="18"/>
  <c r="B218" i="18"/>
  <c r="B217" i="18"/>
  <c r="B216" i="18"/>
  <c r="B215" i="18"/>
  <c r="B214" i="18"/>
  <c r="B213" i="18"/>
  <c r="B212" i="18"/>
  <c r="B211" i="18"/>
  <c r="B210" i="18"/>
  <c r="B209" i="18"/>
  <c r="B208" i="18"/>
  <c r="B207" i="18"/>
  <c r="B206" i="18"/>
  <c r="B205" i="18"/>
  <c r="B204" i="18"/>
  <c r="B203" i="18"/>
  <c r="B202" i="18"/>
  <c r="B201" i="18"/>
  <c r="B200" i="18"/>
  <c r="B199" i="18"/>
  <c r="B198" i="18"/>
  <c r="B197" i="18"/>
  <c r="B196" i="18"/>
  <c r="B195" i="18"/>
  <c r="B194" i="18"/>
  <c r="B193" i="18"/>
  <c r="B192" i="18"/>
  <c r="B191" i="18"/>
  <c r="B190" i="18"/>
  <c r="B189" i="18"/>
  <c r="B188" i="18"/>
  <c r="B187" i="18"/>
  <c r="B186" i="18"/>
  <c r="B185" i="18"/>
  <c r="B184" i="18"/>
  <c r="B183" i="18"/>
  <c r="B182" i="18"/>
  <c r="B181" i="18"/>
  <c r="B180" i="18"/>
  <c r="B179" i="18"/>
  <c r="B178" i="18"/>
  <c r="B177" i="18"/>
  <c r="B176" i="18"/>
  <c r="B175" i="18"/>
  <c r="B174" i="18"/>
  <c r="B173" i="18"/>
  <c r="B172" i="18"/>
  <c r="B171" i="18"/>
  <c r="B170" i="18"/>
  <c r="B169" i="18"/>
  <c r="B168" i="18"/>
  <c r="B167" i="18"/>
  <c r="B166" i="18"/>
  <c r="B165" i="18"/>
  <c r="B164" i="18"/>
  <c r="B163" i="18"/>
  <c r="B162" i="18"/>
  <c r="B161" i="18"/>
  <c r="B160" i="18"/>
  <c r="B159" i="18"/>
  <c r="B158" i="18"/>
  <c r="B157" i="18"/>
  <c r="B156" i="18"/>
  <c r="B155" i="18"/>
  <c r="B154" i="18"/>
  <c r="B153" i="18"/>
  <c r="B152" i="18"/>
  <c r="B151" i="18"/>
  <c r="B150" i="18"/>
  <c r="B149" i="18"/>
  <c r="B148" i="18"/>
  <c r="B147" i="18"/>
  <c r="B146" i="18"/>
  <c r="B145" i="18"/>
  <c r="B144" i="18"/>
  <c r="B143" i="18"/>
  <c r="B142" i="18"/>
  <c r="B141" i="18"/>
  <c r="B140" i="18"/>
  <c r="B139" i="18"/>
  <c r="B138" i="18"/>
  <c r="B137" i="18"/>
  <c r="B136" i="18"/>
  <c r="B135" i="18"/>
  <c r="B134" i="18"/>
  <c r="B133" i="18"/>
  <c r="B132" i="18"/>
  <c r="B131" i="18"/>
  <c r="B130" i="18"/>
  <c r="B129" i="18"/>
  <c r="B128" i="18"/>
  <c r="B127" i="18"/>
  <c r="B126" i="18"/>
  <c r="B125" i="18"/>
  <c r="B124" i="18"/>
  <c r="B123" i="18"/>
  <c r="B122" i="18"/>
  <c r="B121" i="18"/>
  <c r="B120" i="18"/>
  <c r="B119" i="18"/>
  <c r="B118" i="18"/>
  <c r="B117" i="18"/>
  <c r="B116" i="18"/>
  <c r="B115" i="18"/>
  <c r="B114" i="18"/>
  <c r="B113" i="18"/>
  <c r="B112" i="18"/>
  <c r="B111" i="18"/>
  <c r="B110" i="18"/>
  <c r="B109" i="18"/>
  <c r="B108" i="18"/>
  <c r="B107" i="18"/>
  <c r="B106" i="18"/>
  <c r="B105" i="18"/>
  <c r="B104" i="18"/>
  <c r="B103" i="18"/>
  <c r="B102" i="18"/>
  <c r="B101" i="18"/>
  <c r="B100" i="18"/>
  <c r="B99" i="18"/>
  <c r="B98" i="18"/>
  <c r="B97" i="18"/>
  <c r="B96" i="18"/>
  <c r="B95" i="18"/>
  <c r="B94" i="18"/>
  <c r="B93" i="18"/>
  <c r="B92" i="18"/>
  <c r="B91" i="18"/>
  <c r="B90" i="18"/>
  <c r="B89" i="18"/>
  <c r="B88" i="18"/>
  <c r="B87" i="18"/>
  <c r="B86" i="18"/>
  <c r="B85" i="18"/>
  <c r="B84" i="18"/>
  <c r="B83" i="18"/>
  <c r="B82" i="18"/>
  <c r="B81" i="18"/>
  <c r="B80" i="18"/>
  <c r="B79" i="18"/>
  <c r="B78" i="18"/>
  <c r="B77" i="18"/>
  <c r="B76" i="18"/>
  <c r="B75" i="18"/>
  <c r="B74" i="18"/>
  <c r="B73" i="18"/>
  <c r="B72" i="18"/>
  <c r="B71" i="18"/>
  <c r="B70" i="18"/>
  <c r="B69" i="18"/>
  <c r="B68" i="18"/>
  <c r="B67" i="18"/>
  <c r="B66" i="18"/>
  <c r="B65" i="18"/>
  <c r="B64" i="18"/>
  <c r="B63" i="18"/>
  <c r="B62" i="18"/>
  <c r="B61" i="18"/>
  <c r="B60" i="18"/>
  <c r="B59" i="18"/>
  <c r="B58" i="18"/>
  <c r="B57" i="18"/>
  <c r="B56" i="18"/>
  <c r="B55" i="18"/>
  <c r="B54" i="18"/>
  <c r="B53" i="18"/>
  <c r="B1000" i="17"/>
  <c r="B999" i="17"/>
  <c r="B998" i="17"/>
  <c r="B997" i="17"/>
  <c r="B996" i="17"/>
  <c r="B995" i="17"/>
  <c r="B994" i="17"/>
  <c r="B993" i="17"/>
  <c r="B992" i="17"/>
  <c r="B991" i="17"/>
  <c r="B990" i="17"/>
  <c r="B989" i="17"/>
  <c r="B988" i="17"/>
  <c r="B987" i="17"/>
  <c r="B986" i="17"/>
  <c r="B985" i="17"/>
  <c r="B984" i="17"/>
  <c r="B983" i="17"/>
  <c r="B982" i="17"/>
  <c r="B981" i="17"/>
  <c r="B980" i="17"/>
  <c r="B979" i="17"/>
  <c r="B978" i="17"/>
  <c r="B977" i="17"/>
  <c r="B976" i="17"/>
  <c r="B975" i="17"/>
  <c r="B974" i="17"/>
  <c r="B973" i="17"/>
  <c r="B972" i="17"/>
  <c r="B971" i="17"/>
  <c r="B970" i="17"/>
  <c r="B969" i="17"/>
  <c r="B968" i="17"/>
  <c r="B967" i="17"/>
  <c r="B966" i="17"/>
  <c r="B965" i="17"/>
  <c r="B964" i="17"/>
  <c r="B963" i="17"/>
  <c r="B962" i="17"/>
  <c r="B961" i="17"/>
  <c r="B960" i="17"/>
  <c r="B959" i="17"/>
  <c r="B958" i="17"/>
  <c r="B957" i="17"/>
  <c r="B956" i="17"/>
  <c r="B955" i="17"/>
  <c r="B954" i="17"/>
  <c r="B953" i="17"/>
  <c r="B952" i="17"/>
  <c r="B951" i="17"/>
  <c r="B950" i="17"/>
  <c r="B949" i="17"/>
  <c r="B948" i="17"/>
  <c r="B947" i="17"/>
  <c r="B946" i="17"/>
  <c r="B945" i="17"/>
  <c r="B944" i="17"/>
  <c r="B943" i="17"/>
  <c r="B942" i="17"/>
  <c r="B941" i="17"/>
  <c r="B940" i="17"/>
  <c r="B939" i="17"/>
  <c r="B938" i="17"/>
  <c r="B937" i="17"/>
  <c r="B936" i="17"/>
  <c r="B935" i="17"/>
  <c r="B934" i="17"/>
  <c r="B933" i="17"/>
  <c r="B932" i="17"/>
  <c r="B931" i="17"/>
  <c r="B930" i="17"/>
  <c r="B929" i="17"/>
  <c r="B928" i="17"/>
  <c r="B927" i="17"/>
  <c r="B926" i="17"/>
  <c r="B925" i="17"/>
  <c r="B924" i="17"/>
  <c r="B923" i="17"/>
  <c r="B922" i="17"/>
  <c r="B921" i="17"/>
  <c r="B920" i="17"/>
  <c r="B919" i="17"/>
  <c r="B918" i="17"/>
  <c r="B917" i="17"/>
  <c r="B916" i="17"/>
  <c r="B915" i="17"/>
  <c r="B914" i="17"/>
  <c r="B913" i="17"/>
  <c r="B912" i="17"/>
  <c r="B911" i="17"/>
  <c r="B910" i="17"/>
  <c r="B909" i="17"/>
  <c r="B908" i="17"/>
  <c r="B907" i="17"/>
  <c r="B906" i="17"/>
  <c r="B905" i="17"/>
  <c r="B904" i="17"/>
  <c r="B903" i="17"/>
  <c r="B902" i="17"/>
  <c r="B901" i="17"/>
  <c r="B900" i="17"/>
  <c r="B899" i="17"/>
  <c r="B898" i="17"/>
  <c r="B897" i="17"/>
  <c r="B896" i="17"/>
  <c r="B895" i="17"/>
  <c r="B894" i="17"/>
  <c r="B893" i="17"/>
  <c r="B892" i="17"/>
  <c r="B891" i="17"/>
  <c r="B890" i="17"/>
  <c r="B889" i="17"/>
  <c r="B888" i="17"/>
  <c r="B887" i="17"/>
  <c r="B886" i="17"/>
  <c r="B885" i="17"/>
  <c r="B884" i="17"/>
  <c r="B883" i="17"/>
  <c r="B882" i="17"/>
  <c r="B881" i="17"/>
  <c r="B880" i="17"/>
  <c r="B879" i="17"/>
  <c r="B878" i="17"/>
  <c r="B877" i="17"/>
  <c r="B876" i="17"/>
  <c r="B875" i="17"/>
  <c r="B874" i="17"/>
  <c r="B873" i="17"/>
  <c r="B872" i="17"/>
  <c r="B871" i="17"/>
  <c r="B870" i="17"/>
  <c r="B869" i="17"/>
  <c r="B868" i="17"/>
  <c r="B867" i="17"/>
  <c r="B866" i="17"/>
  <c r="B865" i="17"/>
  <c r="B864" i="17"/>
  <c r="B863" i="17"/>
  <c r="B862" i="17"/>
  <c r="B861" i="17"/>
  <c r="B860" i="17"/>
  <c r="B859" i="17"/>
  <c r="B858" i="17"/>
  <c r="B857" i="17"/>
  <c r="B856" i="17"/>
  <c r="B855" i="17"/>
  <c r="B854" i="17"/>
  <c r="B853" i="17"/>
  <c r="B852" i="17"/>
  <c r="B851" i="17"/>
  <c r="B850" i="17"/>
  <c r="B849" i="17"/>
  <c r="B848" i="17"/>
  <c r="B847" i="17"/>
  <c r="B846" i="17"/>
  <c r="B845" i="17"/>
  <c r="B844" i="17"/>
  <c r="B843" i="17"/>
  <c r="B842" i="17"/>
  <c r="B841" i="17"/>
  <c r="B840" i="17"/>
  <c r="B839" i="17"/>
  <c r="B838" i="17"/>
  <c r="B837" i="17"/>
  <c r="B836" i="17"/>
  <c r="B835" i="17"/>
  <c r="B834" i="17"/>
  <c r="B833" i="17"/>
  <c r="B832" i="17"/>
  <c r="B831" i="17"/>
  <c r="B830" i="17"/>
  <c r="B829" i="17"/>
  <c r="B828" i="17"/>
  <c r="B827" i="17"/>
  <c r="B826" i="17"/>
  <c r="B825" i="17"/>
  <c r="B824" i="17"/>
  <c r="B823" i="17"/>
  <c r="B822" i="17"/>
  <c r="B821" i="17"/>
  <c r="B820" i="17"/>
  <c r="B819" i="17"/>
  <c r="B818" i="17"/>
  <c r="B817" i="17"/>
  <c r="B816" i="17"/>
  <c r="B815" i="17"/>
  <c r="B814" i="17"/>
  <c r="B813" i="17"/>
  <c r="B812" i="17"/>
  <c r="B811" i="17"/>
  <c r="B810" i="17"/>
  <c r="B809" i="17"/>
  <c r="B808" i="17"/>
  <c r="B807" i="17"/>
  <c r="B806" i="17"/>
  <c r="B805" i="17"/>
  <c r="B804" i="17"/>
  <c r="B803" i="17"/>
  <c r="B802" i="17"/>
  <c r="B801" i="17"/>
  <c r="B800" i="17"/>
  <c r="B799" i="17"/>
  <c r="B798" i="17"/>
  <c r="B797" i="17"/>
  <c r="B796" i="17"/>
  <c r="B795" i="17"/>
  <c r="B794" i="17"/>
  <c r="B793" i="17"/>
  <c r="B792" i="17"/>
  <c r="B791" i="17"/>
  <c r="B790" i="17"/>
  <c r="B789" i="17"/>
  <c r="B788" i="17"/>
  <c r="B787" i="17"/>
  <c r="B786" i="17"/>
  <c r="B785" i="17"/>
  <c r="B784" i="17"/>
  <c r="B783" i="17"/>
  <c r="B782" i="17"/>
  <c r="B781" i="17"/>
  <c r="B780" i="17"/>
  <c r="B779" i="17"/>
  <c r="B778" i="17"/>
  <c r="B777" i="17"/>
  <c r="B776" i="17"/>
  <c r="B775" i="17"/>
  <c r="B774" i="17"/>
  <c r="B773" i="17"/>
  <c r="B772" i="17"/>
  <c r="B771" i="17"/>
  <c r="B770" i="17"/>
  <c r="B769" i="17"/>
  <c r="B768" i="17"/>
  <c r="B767" i="17"/>
  <c r="B766" i="17"/>
  <c r="B765" i="17"/>
  <c r="B764" i="17"/>
  <c r="B763" i="17"/>
  <c r="B762" i="17"/>
  <c r="B761" i="17"/>
  <c r="B760" i="17"/>
  <c r="B759" i="17"/>
  <c r="B758" i="17"/>
  <c r="B757" i="17"/>
  <c r="B756" i="17"/>
  <c r="B755" i="17"/>
  <c r="B754" i="17"/>
  <c r="B753" i="17"/>
  <c r="B752" i="17"/>
  <c r="B751" i="17"/>
  <c r="B750" i="17"/>
  <c r="B749" i="17"/>
  <c r="B748" i="17"/>
  <c r="B747" i="17"/>
  <c r="B746" i="17"/>
  <c r="B745" i="17"/>
  <c r="B744" i="17"/>
  <c r="B743" i="17"/>
  <c r="B742" i="17"/>
  <c r="B741" i="17"/>
  <c r="B740" i="17"/>
  <c r="B739" i="17"/>
  <c r="B738" i="17"/>
  <c r="B737" i="17"/>
  <c r="B736" i="17"/>
  <c r="B735" i="17"/>
  <c r="B734" i="17"/>
  <c r="B733" i="17"/>
  <c r="B732" i="17"/>
  <c r="B731" i="17"/>
  <c r="B730" i="17"/>
  <c r="B729" i="17"/>
  <c r="B728" i="17"/>
  <c r="B727" i="17"/>
  <c r="B726" i="17"/>
  <c r="B725" i="17"/>
  <c r="B724" i="17"/>
  <c r="B723" i="17"/>
  <c r="B722" i="17"/>
  <c r="B721" i="17"/>
  <c r="B720" i="17"/>
  <c r="B719" i="17"/>
  <c r="B718" i="17"/>
  <c r="B717" i="17"/>
  <c r="B716" i="17"/>
  <c r="B715" i="17"/>
  <c r="B714" i="17"/>
  <c r="B713" i="17"/>
  <c r="B712" i="17"/>
  <c r="B711" i="17"/>
  <c r="B710" i="17"/>
  <c r="B709" i="17"/>
  <c r="B708" i="17"/>
  <c r="B707" i="17"/>
  <c r="B706" i="17"/>
  <c r="B705" i="17"/>
  <c r="B704" i="17"/>
  <c r="B703" i="17"/>
  <c r="B702" i="17"/>
  <c r="B701" i="17"/>
  <c r="B700" i="17"/>
  <c r="B699" i="17"/>
  <c r="B698" i="17"/>
  <c r="B697" i="17"/>
  <c r="B696" i="17"/>
  <c r="B695" i="17"/>
  <c r="B694" i="17"/>
  <c r="B693" i="17"/>
  <c r="B692" i="17"/>
  <c r="B691" i="17"/>
  <c r="B690" i="17"/>
  <c r="B689" i="17"/>
  <c r="B688" i="17"/>
  <c r="B687" i="17"/>
  <c r="B686" i="17"/>
  <c r="B685" i="17"/>
  <c r="B684" i="17"/>
  <c r="B683" i="17"/>
  <c r="B682" i="17"/>
  <c r="B681" i="17"/>
  <c r="B680" i="17"/>
  <c r="B679" i="17"/>
  <c r="B678" i="17"/>
  <c r="B677" i="17"/>
  <c r="B676" i="17"/>
  <c r="B675" i="17"/>
  <c r="B674" i="17"/>
  <c r="B673" i="17"/>
  <c r="B672" i="17"/>
  <c r="B671" i="17"/>
  <c r="B670" i="17"/>
  <c r="B669" i="17"/>
  <c r="B668" i="17"/>
  <c r="B667" i="17"/>
  <c r="B666" i="17"/>
  <c r="B665" i="17"/>
  <c r="B664" i="17"/>
  <c r="B663" i="17"/>
  <c r="B662" i="17"/>
  <c r="B661" i="17"/>
  <c r="B660" i="17"/>
  <c r="B659" i="17"/>
  <c r="B658" i="17"/>
  <c r="B657" i="17"/>
  <c r="B656" i="17"/>
  <c r="B655" i="17"/>
  <c r="B654" i="17"/>
  <c r="B653" i="17"/>
  <c r="B652" i="17"/>
  <c r="B651" i="17"/>
  <c r="B650" i="17"/>
  <c r="B649" i="17"/>
  <c r="B648" i="17"/>
  <c r="B647" i="17"/>
  <c r="B646" i="17"/>
  <c r="B645" i="17"/>
  <c r="B644" i="17"/>
  <c r="B643" i="17"/>
  <c r="B642" i="17"/>
  <c r="B641" i="17"/>
  <c r="B640" i="17"/>
  <c r="B639" i="17"/>
  <c r="B638" i="17"/>
  <c r="B637" i="17"/>
  <c r="B636" i="17"/>
  <c r="B635" i="17"/>
  <c r="B634" i="17"/>
  <c r="B633" i="17"/>
  <c r="B632" i="17"/>
  <c r="B631" i="17"/>
  <c r="B630" i="17"/>
  <c r="B629" i="17"/>
  <c r="B628" i="17"/>
  <c r="B627" i="17"/>
  <c r="B626" i="17"/>
  <c r="B625" i="17"/>
  <c r="B624" i="17"/>
  <c r="B623" i="17"/>
  <c r="B622" i="17"/>
  <c r="B621" i="17"/>
  <c r="B620" i="17"/>
  <c r="B619" i="17"/>
  <c r="B618" i="17"/>
  <c r="B617" i="17"/>
  <c r="B616" i="17"/>
  <c r="B615" i="17"/>
  <c r="B614" i="17"/>
  <c r="B613" i="17"/>
  <c r="B612" i="17"/>
  <c r="B611" i="17"/>
  <c r="B610" i="17"/>
  <c r="B609" i="17"/>
  <c r="B608" i="17"/>
  <c r="B607" i="17"/>
  <c r="B606" i="17"/>
  <c r="B605" i="17"/>
  <c r="B604" i="17"/>
  <c r="B603" i="17"/>
  <c r="B602" i="17"/>
  <c r="B601" i="17"/>
  <c r="B600" i="17"/>
  <c r="B599" i="17"/>
  <c r="B598" i="17"/>
  <c r="B597" i="17"/>
  <c r="B596" i="17"/>
  <c r="B595" i="17"/>
  <c r="B594" i="17"/>
  <c r="B593" i="17"/>
  <c r="B592" i="17"/>
  <c r="B591" i="17"/>
  <c r="B590" i="17"/>
  <c r="B589" i="17"/>
  <c r="B588" i="17"/>
  <c r="B587" i="17"/>
  <c r="B586" i="17"/>
  <c r="B585" i="17"/>
  <c r="B584" i="17"/>
  <c r="B583" i="17"/>
  <c r="B582" i="17"/>
  <c r="B581" i="17"/>
  <c r="B580" i="17"/>
  <c r="B579" i="17"/>
  <c r="B578" i="17"/>
  <c r="B577" i="17"/>
  <c r="B576" i="17"/>
  <c r="B575" i="17"/>
  <c r="B574" i="17"/>
  <c r="B573" i="17"/>
  <c r="B572" i="17"/>
  <c r="B571" i="17"/>
  <c r="B570" i="17"/>
  <c r="B569" i="17"/>
  <c r="B568" i="17"/>
  <c r="B567" i="17"/>
  <c r="B566" i="17"/>
  <c r="B565" i="17"/>
  <c r="B564" i="17"/>
  <c r="B563" i="17"/>
  <c r="B562" i="17"/>
  <c r="B561" i="17"/>
  <c r="B560" i="17"/>
  <c r="B559" i="17"/>
  <c r="B558" i="17"/>
  <c r="B557" i="17"/>
  <c r="B556" i="17"/>
  <c r="B555" i="17"/>
  <c r="B554" i="17"/>
  <c r="B553" i="17"/>
  <c r="B552" i="17"/>
  <c r="B551" i="17"/>
  <c r="B550" i="17"/>
  <c r="B549" i="17"/>
  <c r="B548" i="17"/>
  <c r="B547" i="17"/>
  <c r="B546" i="17"/>
  <c r="B545" i="17"/>
  <c r="B544" i="17"/>
  <c r="B543" i="17"/>
  <c r="B542" i="17"/>
  <c r="B541" i="17"/>
  <c r="B540" i="17"/>
  <c r="B539" i="17"/>
  <c r="B538" i="17"/>
  <c r="B537" i="17"/>
  <c r="B536" i="17"/>
  <c r="B535" i="17"/>
  <c r="B534" i="17"/>
  <c r="B533" i="17"/>
  <c r="B532" i="17"/>
  <c r="B531" i="17"/>
  <c r="B530" i="17"/>
  <c r="B529" i="17"/>
  <c r="B528" i="17"/>
  <c r="B527" i="17"/>
  <c r="B526" i="17"/>
  <c r="B525" i="17"/>
  <c r="B524" i="17"/>
  <c r="B523" i="17"/>
  <c r="B522" i="17"/>
  <c r="B521" i="17"/>
  <c r="B520" i="17"/>
  <c r="B519" i="17"/>
  <c r="B518" i="17"/>
  <c r="B517" i="17"/>
  <c r="B516" i="17"/>
  <c r="B515" i="17"/>
  <c r="B514" i="17"/>
  <c r="B513" i="17"/>
  <c r="B512" i="17"/>
  <c r="B511" i="17"/>
  <c r="B510" i="17"/>
  <c r="B509" i="17"/>
  <c r="B508" i="17"/>
  <c r="B507" i="17"/>
  <c r="B506" i="17"/>
  <c r="B505" i="17"/>
  <c r="B504" i="17"/>
  <c r="B503" i="17"/>
  <c r="B502" i="17"/>
  <c r="B501" i="17"/>
  <c r="B500" i="17"/>
  <c r="B499" i="17"/>
  <c r="B498" i="17"/>
  <c r="B497" i="17"/>
  <c r="B496" i="17"/>
  <c r="B495" i="17"/>
  <c r="B494" i="17"/>
  <c r="B493" i="17"/>
  <c r="B492" i="17"/>
  <c r="B491" i="17"/>
  <c r="B490" i="17"/>
  <c r="B489" i="17"/>
  <c r="B488" i="17"/>
  <c r="B487" i="17"/>
  <c r="B486" i="17"/>
  <c r="B485" i="17"/>
  <c r="B484" i="17"/>
  <c r="B483" i="17"/>
  <c r="B482" i="17"/>
  <c r="B481" i="17"/>
  <c r="B480" i="17"/>
  <c r="B479" i="17"/>
  <c r="B478" i="17"/>
  <c r="B477" i="17"/>
  <c r="B476" i="17"/>
  <c r="B475" i="17"/>
  <c r="B474" i="17"/>
  <c r="B473" i="17"/>
  <c r="B472" i="17"/>
  <c r="B471" i="17"/>
  <c r="B470" i="17"/>
  <c r="B469" i="17"/>
  <c r="B468" i="17"/>
  <c r="B467" i="17"/>
  <c r="B466" i="17"/>
  <c r="B465" i="17"/>
  <c r="B464" i="17"/>
  <c r="B463" i="17"/>
  <c r="B462" i="17"/>
  <c r="B461" i="17"/>
  <c r="B460" i="17"/>
  <c r="B459" i="17"/>
  <c r="B458" i="17"/>
  <c r="B457" i="17"/>
  <c r="B456" i="17"/>
  <c r="B455" i="17"/>
  <c r="B454" i="17"/>
  <c r="B453" i="17"/>
  <c r="B452" i="17"/>
  <c r="B451" i="17"/>
  <c r="B450" i="17"/>
  <c r="B449" i="17"/>
  <c r="B448" i="17"/>
  <c r="B447" i="17"/>
  <c r="B446" i="17"/>
  <c r="B445" i="17"/>
  <c r="B444" i="17"/>
  <c r="B443" i="17"/>
  <c r="B442" i="17"/>
  <c r="B441" i="17"/>
  <c r="B440" i="17"/>
  <c r="B439" i="17"/>
  <c r="B438" i="17"/>
  <c r="B437" i="17"/>
  <c r="B436" i="17"/>
  <c r="B435" i="17"/>
  <c r="B434" i="17"/>
  <c r="B433" i="17"/>
  <c r="B432" i="17"/>
  <c r="B431" i="17"/>
  <c r="B430" i="17"/>
  <c r="B429" i="17"/>
  <c r="B428" i="17"/>
  <c r="B427" i="17"/>
  <c r="B426" i="17"/>
  <c r="B425" i="17"/>
  <c r="B424" i="17"/>
  <c r="B423" i="17"/>
  <c r="B422" i="17"/>
  <c r="B421" i="17"/>
  <c r="B420" i="17"/>
  <c r="B419" i="17"/>
  <c r="B418" i="17"/>
  <c r="B417" i="17"/>
  <c r="B416" i="17"/>
  <c r="B415" i="17"/>
  <c r="B414" i="17"/>
  <c r="B413" i="17"/>
  <c r="B412" i="17"/>
  <c r="B411" i="17"/>
  <c r="B410" i="17"/>
  <c r="B409" i="17"/>
  <c r="B408" i="17"/>
  <c r="B407" i="17"/>
  <c r="B406" i="17"/>
  <c r="B405" i="17"/>
  <c r="B404" i="17"/>
  <c r="B403" i="17"/>
  <c r="B402" i="17"/>
  <c r="B401" i="17"/>
  <c r="B400" i="17"/>
  <c r="B399" i="17"/>
  <c r="B398" i="17"/>
  <c r="B397" i="17"/>
  <c r="B396" i="17"/>
  <c r="B395" i="17"/>
  <c r="B394" i="17"/>
  <c r="B393" i="17"/>
  <c r="B392" i="17"/>
  <c r="B391" i="17"/>
  <c r="B390" i="17"/>
  <c r="B389" i="17"/>
  <c r="B388" i="17"/>
  <c r="B387" i="17"/>
  <c r="B386" i="17"/>
  <c r="B385" i="17"/>
  <c r="B384" i="17"/>
  <c r="B383" i="17"/>
  <c r="B382" i="17"/>
  <c r="B381" i="17"/>
  <c r="B380" i="17"/>
  <c r="B379" i="17"/>
  <c r="B378" i="17"/>
  <c r="B377" i="17"/>
  <c r="B376" i="17"/>
  <c r="B375" i="17"/>
  <c r="B374" i="17"/>
  <c r="B373" i="17"/>
  <c r="B372" i="17"/>
  <c r="B371" i="17"/>
  <c r="B370" i="17"/>
  <c r="B369" i="17"/>
  <c r="B368" i="17"/>
  <c r="B367" i="17"/>
  <c r="B366" i="17"/>
  <c r="B365" i="17"/>
  <c r="B364" i="17"/>
  <c r="B363" i="17"/>
  <c r="B362" i="17"/>
  <c r="B361" i="17"/>
  <c r="B360" i="17"/>
  <c r="B359" i="17"/>
  <c r="B358" i="17"/>
  <c r="B357" i="17"/>
  <c r="B356" i="17"/>
  <c r="B355" i="17"/>
  <c r="B354" i="17"/>
  <c r="B353" i="17"/>
  <c r="B352" i="17"/>
  <c r="B351" i="17"/>
  <c r="B350" i="17"/>
  <c r="B349" i="17"/>
  <c r="B348" i="17"/>
  <c r="B347" i="17"/>
  <c r="B346" i="17"/>
  <c r="B345" i="17"/>
  <c r="B344" i="17"/>
  <c r="B343" i="17"/>
  <c r="B342" i="17"/>
  <c r="B341" i="17"/>
  <c r="B340" i="17"/>
  <c r="B339" i="17"/>
  <c r="B338" i="17"/>
  <c r="B337" i="17"/>
  <c r="B336" i="17"/>
  <c r="B335" i="17"/>
  <c r="B334" i="17"/>
  <c r="B333" i="17"/>
  <c r="B332" i="17"/>
  <c r="B331" i="17"/>
  <c r="B330" i="17"/>
  <c r="B329" i="17"/>
  <c r="B328" i="17"/>
  <c r="B327" i="17"/>
  <c r="B326" i="17"/>
  <c r="B325" i="17"/>
  <c r="B324" i="17"/>
  <c r="B323" i="17"/>
  <c r="B322" i="17"/>
  <c r="B321" i="17"/>
  <c r="B320" i="17"/>
  <c r="B319" i="17"/>
  <c r="B318" i="17"/>
  <c r="B317" i="17"/>
  <c r="B316" i="17"/>
  <c r="B315" i="17"/>
  <c r="B314" i="17"/>
  <c r="B313" i="17"/>
  <c r="B312" i="17"/>
  <c r="B311" i="17"/>
  <c r="B310" i="17"/>
  <c r="B309" i="17"/>
  <c r="B308" i="17"/>
  <c r="B307" i="17"/>
  <c r="B306" i="17"/>
  <c r="B305" i="17"/>
  <c r="B304" i="17"/>
  <c r="B303" i="17"/>
  <c r="B302" i="17"/>
  <c r="B301" i="17"/>
  <c r="B300" i="17"/>
  <c r="B299" i="17"/>
  <c r="B298" i="17"/>
  <c r="B297" i="17"/>
  <c r="B296" i="17"/>
  <c r="B295" i="17"/>
  <c r="B294" i="17"/>
  <c r="B293" i="17"/>
  <c r="B292" i="17"/>
  <c r="B291" i="17"/>
  <c r="B290" i="17"/>
  <c r="B289" i="17"/>
  <c r="B288" i="17"/>
  <c r="B287" i="17"/>
  <c r="B286" i="17"/>
  <c r="B285" i="17"/>
  <c r="B284" i="17"/>
  <c r="B283" i="17"/>
  <c r="B282" i="17"/>
  <c r="B281" i="17"/>
  <c r="B280" i="17"/>
  <c r="B279" i="17"/>
  <c r="B278" i="17"/>
  <c r="B277" i="17"/>
  <c r="B276" i="17"/>
  <c r="B275" i="17"/>
  <c r="B274" i="17"/>
  <c r="B273" i="17"/>
  <c r="B272" i="17"/>
  <c r="B271" i="17"/>
  <c r="B270" i="17"/>
  <c r="B269" i="17"/>
  <c r="B268" i="17"/>
  <c r="B267" i="17"/>
  <c r="B266" i="17"/>
  <c r="B265" i="17"/>
  <c r="B264" i="17"/>
  <c r="B263" i="17"/>
  <c r="B262" i="17"/>
  <c r="B261" i="17"/>
  <c r="B260" i="17"/>
  <c r="B259" i="17"/>
  <c r="B258" i="17"/>
  <c r="B257" i="17"/>
  <c r="B256" i="17"/>
  <c r="B255" i="17"/>
  <c r="B254" i="17"/>
  <c r="B253" i="17"/>
  <c r="B252" i="17"/>
  <c r="B251" i="17"/>
  <c r="B250" i="17"/>
  <c r="B249" i="17"/>
  <c r="B248" i="17"/>
  <c r="B247" i="17"/>
  <c r="B246" i="17"/>
  <c r="B245" i="17"/>
  <c r="B244" i="17"/>
  <c r="B243" i="17"/>
  <c r="B242" i="17"/>
  <c r="B241" i="17"/>
  <c r="B240" i="17"/>
  <c r="B239" i="17"/>
  <c r="B238" i="17"/>
  <c r="B237" i="17"/>
  <c r="B236" i="17"/>
  <c r="B235" i="17"/>
  <c r="B234" i="17"/>
  <c r="B233" i="17"/>
  <c r="B232" i="17"/>
  <c r="B231" i="17"/>
  <c r="B230" i="17"/>
  <c r="B229" i="17"/>
  <c r="B228" i="17"/>
  <c r="B227" i="17"/>
  <c r="B226" i="17"/>
  <c r="B225" i="17"/>
  <c r="B224" i="17"/>
  <c r="B223" i="17"/>
  <c r="B222" i="17"/>
  <c r="B221" i="17"/>
  <c r="B220" i="17"/>
  <c r="B219" i="17"/>
  <c r="B218" i="17"/>
  <c r="B217" i="17"/>
  <c r="B216" i="17"/>
  <c r="B215" i="17"/>
  <c r="B214" i="17"/>
  <c r="B213" i="17"/>
  <c r="B212" i="17"/>
  <c r="B211" i="17"/>
  <c r="B210" i="17"/>
  <c r="B209" i="17"/>
  <c r="B208" i="17"/>
  <c r="B207" i="17"/>
  <c r="B206" i="17"/>
  <c r="B205" i="17"/>
  <c r="B204" i="17"/>
  <c r="B203" i="17"/>
  <c r="B202" i="17"/>
  <c r="B201" i="17"/>
  <c r="B200" i="17"/>
  <c r="B199" i="17"/>
  <c r="B198" i="17"/>
  <c r="B197" i="17"/>
  <c r="B196" i="17"/>
  <c r="B195" i="17"/>
  <c r="B194" i="17"/>
  <c r="B193" i="17"/>
  <c r="B192" i="17"/>
  <c r="B191" i="17"/>
  <c r="B190" i="17"/>
  <c r="B189" i="17"/>
  <c r="B188" i="17"/>
  <c r="B187" i="17"/>
  <c r="B186" i="17"/>
  <c r="B185" i="17"/>
  <c r="B184" i="17"/>
  <c r="B183" i="17"/>
  <c r="B182" i="17"/>
  <c r="B181" i="17"/>
  <c r="B180" i="17"/>
  <c r="B179" i="17"/>
  <c r="B178" i="17"/>
  <c r="B177" i="17"/>
  <c r="B176" i="17"/>
  <c r="B175" i="17"/>
  <c r="B174" i="17"/>
  <c r="B173" i="17"/>
  <c r="B172" i="17"/>
  <c r="B171" i="17"/>
  <c r="B170" i="17"/>
  <c r="B169" i="17"/>
  <c r="B168" i="17"/>
  <c r="B167" i="17"/>
  <c r="B166" i="17"/>
  <c r="B165" i="17"/>
  <c r="B164" i="17"/>
  <c r="B163" i="17"/>
  <c r="B162" i="17"/>
  <c r="B161" i="17"/>
  <c r="B160" i="17"/>
  <c r="B159" i="17"/>
  <c r="B158" i="17"/>
  <c r="B157" i="17"/>
  <c r="B156" i="17"/>
  <c r="B155" i="17"/>
  <c r="B154" i="17"/>
  <c r="B153" i="17"/>
  <c r="B152" i="17"/>
  <c r="B151" i="17"/>
  <c r="B150" i="17"/>
  <c r="B149" i="17"/>
  <c r="B148" i="17"/>
  <c r="B147" i="17"/>
  <c r="B146" i="17"/>
  <c r="B145" i="17"/>
  <c r="B144" i="17"/>
  <c r="B143" i="17"/>
  <c r="B142" i="17"/>
  <c r="B141" i="17"/>
  <c r="B140" i="17"/>
  <c r="B139" i="17"/>
  <c r="B138" i="17"/>
  <c r="B137" i="17"/>
  <c r="B136" i="17"/>
  <c r="B135" i="17"/>
  <c r="B134" i="17"/>
  <c r="B133" i="17"/>
  <c r="B132" i="17"/>
  <c r="B131" i="17"/>
  <c r="B130" i="17"/>
  <c r="B129" i="17"/>
  <c r="B128" i="17"/>
  <c r="B127" i="17"/>
  <c r="B126" i="17"/>
  <c r="B125" i="17"/>
  <c r="B124" i="17"/>
  <c r="B123" i="17"/>
  <c r="B122" i="17"/>
  <c r="B121" i="17"/>
  <c r="B120" i="17"/>
  <c r="B119" i="17"/>
  <c r="B118" i="17"/>
  <c r="B117" i="17"/>
  <c r="B116" i="17"/>
  <c r="B115" i="17"/>
  <c r="B114" i="17"/>
  <c r="B113" i="17"/>
  <c r="B112" i="17"/>
  <c r="B111" i="17"/>
  <c r="B110" i="17"/>
  <c r="B109" i="17"/>
  <c r="B108" i="17"/>
  <c r="B107" i="17"/>
  <c r="B106" i="17"/>
  <c r="B105" i="17"/>
  <c r="B104" i="17"/>
  <c r="B103" i="17"/>
  <c r="B102" i="17"/>
  <c r="B101" i="17"/>
  <c r="B100" i="17"/>
  <c r="B99" i="17"/>
  <c r="B98" i="17"/>
  <c r="B97" i="17"/>
  <c r="B96" i="17"/>
  <c r="B95" i="17"/>
  <c r="B94" i="17"/>
  <c r="B93" i="17"/>
  <c r="B92" i="17"/>
  <c r="B91" i="17"/>
  <c r="B90" i="17"/>
  <c r="B89" i="17"/>
  <c r="B88" i="17"/>
  <c r="B87" i="17"/>
  <c r="B86" i="17"/>
  <c r="B85" i="17"/>
  <c r="B84" i="17"/>
  <c r="B83" i="17"/>
  <c r="B1000" i="16"/>
  <c r="B999" i="16"/>
  <c r="B998" i="16"/>
  <c r="B997" i="16"/>
  <c r="B996" i="16"/>
  <c r="B995" i="16"/>
  <c r="B994" i="16"/>
  <c r="B993" i="16"/>
  <c r="B992" i="16"/>
  <c r="B991" i="16"/>
  <c r="B990" i="16"/>
  <c r="B989" i="16"/>
  <c r="B988" i="16"/>
  <c r="B987" i="16"/>
  <c r="B986" i="16"/>
  <c r="B985" i="16"/>
  <c r="B984" i="16"/>
  <c r="B983" i="16"/>
  <c r="B982" i="16"/>
  <c r="B981" i="16"/>
  <c r="B980" i="16"/>
  <c r="B979" i="16"/>
  <c r="B978" i="16"/>
  <c r="B977" i="16"/>
  <c r="B976" i="16"/>
  <c r="B975" i="16"/>
  <c r="B974" i="16"/>
  <c r="B973" i="16"/>
  <c r="B972" i="16"/>
  <c r="B971" i="16"/>
  <c r="B970" i="16"/>
  <c r="B969" i="16"/>
  <c r="B968" i="16"/>
  <c r="B967" i="16"/>
  <c r="B966" i="16"/>
  <c r="B965" i="16"/>
  <c r="B964" i="16"/>
  <c r="B963" i="16"/>
  <c r="B962" i="16"/>
  <c r="B961" i="16"/>
  <c r="B960" i="16"/>
  <c r="B959" i="16"/>
  <c r="B958" i="16"/>
  <c r="B957" i="16"/>
  <c r="B956" i="16"/>
  <c r="B955" i="16"/>
  <c r="B954" i="16"/>
  <c r="B953" i="16"/>
  <c r="B952" i="16"/>
  <c r="B951" i="16"/>
  <c r="B950" i="16"/>
  <c r="B949" i="16"/>
  <c r="B948" i="16"/>
  <c r="B947" i="16"/>
  <c r="B946" i="16"/>
  <c r="B945" i="16"/>
  <c r="B944" i="16"/>
  <c r="B943" i="16"/>
  <c r="B942" i="16"/>
  <c r="B941" i="16"/>
  <c r="B940" i="16"/>
  <c r="B939" i="16"/>
  <c r="B938" i="16"/>
  <c r="B937" i="16"/>
  <c r="B936" i="16"/>
  <c r="B935" i="16"/>
  <c r="B934" i="16"/>
  <c r="B933" i="16"/>
  <c r="B932" i="16"/>
  <c r="B931" i="16"/>
  <c r="B930" i="16"/>
  <c r="B929" i="16"/>
  <c r="B928" i="16"/>
  <c r="B927" i="16"/>
  <c r="B926" i="16"/>
  <c r="B925" i="16"/>
  <c r="B924" i="16"/>
  <c r="B923" i="16"/>
  <c r="B922" i="16"/>
  <c r="B921" i="16"/>
  <c r="B920" i="16"/>
  <c r="B919" i="16"/>
  <c r="B918" i="16"/>
  <c r="B917" i="16"/>
  <c r="B916" i="16"/>
  <c r="B915" i="16"/>
  <c r="B914" i="16"/>
  <c r="B913" i="16"/>
  <c r="B912" i="16"/>
  <c r="B911" i="16"/>
  <c r="B910" i="16"/>
  <c r="B909" i="16"/>
  <c r="B908" i="16"/>
  <c r="B907" i="16"/>
  <c r="B906" i="16"/>
  <c r="B905" i="16"/>
  <c r="B904" i="16"/>
  <c r="B903" i="16"/>
  <c r="B902" i="16"/>
  <c r="B901" i="16"/>
  <c r="B900" i="16"/>
  <c r="B899" i="16"/>
  <c r="B898" i="16"/>
  <c r="B897" i="16"/>
  <c r="B896" i="16"/>
  <c r="B895" i="16"/>
  <c r="B894" i="16"/>
  <c r="B893" i="16"/>
  <c r="B892" i="16"/>
  <c r="B891" i="16"/>
  <c r="B890" i="16"/>
  <c r="B889" i="16"/>
  <c r="B888" i="16"/>
  <c r="B887" i="16"/>
  <c r="B886" i="16"/>
  <c r="B885" i="16"/>
  <c r="B884" i="16"/>
  <c r="B883" i="16"/>
  <c r="B882" i="16"/>
  <c r="B881" i="16"/>
  <c r="B880" i="16"/>
  <c r="B879" i="16"/>
  <c r="B878" i="16"/>
  <c r="B877" i="16"/>
  <c r="B876" i="16"/>
  <c r="B875" i="16"/>
  <c r="B874" i="16"/>
  <c r="B873" i="16"/>
  <c r="B872" i="16"/>
  <c r="B871" i="16"/>
  <c r="B870" i="16"/>
  <c r="B869" i="16"/>
  <c r="B868" i="16"/>
  <c r="B867" i="16"/>
  <c r="B866" i="16"/>
  <c r="B865" i="16"/>
  <c r="B864" i="16"/>
  <c r="B863" i="16"/>
  <c r="B862" i="16"/>
  <c r="B861" i="16"/>
  <c r="B860" i="16"/>
  <c r="B859" i="16"/>
  <c r="B858" i="16"/>
  <c r="B857" i="16"/>
  <c r="B856" i="16"/>
  <c r="B855" i="16"/>
  <c r="B854" i="16"/>
  <c r="B853" i="16"/>
  <c r="B852" i="16"/>
  <c r="B851" i="16"/>
  <c r="B850" i="16"/>
  <c r="B849" i="16"/>
  <c r="B848" i="16"/>
  <c r="B847" i="16"/>
  <c r="B846" i="16"/>
  <c r="B845" i="16"/>
  <c r="B844" i="16"/>
  <c r="B843" i="16"/>
  <c r="B842" i="16"/>
  <c r="B841" i="16"/>
  <c r="B840" i="16"/>
  <c r="B839" i="16"/>
  <c r="B838" i="16"/>
  <c r="B837" i="16"/>
  <c r="B836" i="16"/>
  <c r="B835" i="16"/>
  <c r="B834" i="16"/>
  <c r="B833" i="16"/>
  <c r="B832" i="16"/>
  <c r="B831" i="16"/>
  <c r="B830" i="16"/>
  <c r="B829" i="16"/>
  <c r="B828" i="16"/>
  <c r="B827" i="16"/>
  <c r="B826" i="16"/>
  <c r="B825" i="16"/>
  <c r="B824" i="16"/>
  <c r="B823" i="16"/>
  <c r="B822" i="16"/>
  <c r="B821" i="16"/>
  <c r="B820" i="16"/>
  <c r="B819" i="16"/>
  <c r="B818" i="16"/>
  <c r="B817" i="16"/>
  <c r="B816" i="16"/>
  <c r="B815" i="16"/>
  <c r="B814" i="16"/>
  <c r="B813" i="16"/>
  <c r="B812" i="16"/>
  <c r="B811" i="16"/>
  <c r="B810" i="16"/>
  <c r="B809" i="16"/>
  <c r="B808" i="16"/>
  <c r="B807" i="16"/>
  <c r="B806" i="16"/>
  <c r="B805" i="16"/>
  <c r="B804" i="16"/>
  <c r="B803" i="16"/>
  <c r="B802" i="16"/>
  <c r="B801" i="16"/>
  <c r="B800" i="16"/>
  <c r="B799" i="16"/>
  <c r="B798" i="16"/>
  <c r="B797" i="16"/>
  <c r="B796" i="16"/>
  <c r="B795" i="16"/>
  <c r="B794" i="16"/>
  <c r="B793" i="16"/>
  <c r="B792" i="16"/>
  <c r="B791" i="16"/>
  <c r="B790" i="16"/>
  <c r="B789" i="16"/>
  <c r="B788" i="16"/>
  <c r="B787" i="16"/>
  <c r="B786" i="16"/>
  <c r="B785" i="16"/>
  <c r="B784" i="16"/>
  <c r="B783" i="16"/>
  <c r="B782" i="16"/>
  <c r="B781" i="16"/>
  <c r="B780" i="16"/>
  <c r="B779" i="16"/>
  <c r="B778" i="16"/>
  <c r="B777" i="16"/>
  <c r="B776" i="16"/>
  <c r="B775" i="16"/>
  <c r="B774" i="16"/>
  <c r="B773" i="16"/>
  <c r="B772" i="16"/>
  <c r="B771" i="16"/>
  <c r="B770" i="16"/>
  <c r="B769" i="16"/>
  <c r="B768" i="16"/>
  <c r="B767" i="16"/>
  <c r="B766" i="16"/>
  <c r="B765" i="16"/>
  <c r="B764" i="16"/>
  <c r="B763" i="16"/>
  <c r="B762" i="16"/>
  <c r="B761" i="16"/>
  <c r="B760" i="16"/>
  <c r="B759" i="16"/>
  <c r="B758" i="16"/>
  <c r="B757" i="16"/>
  <c r="B756" i="16"/>
  <c r="B755" i="16"/>
  <c r="B754" i="16"/>
  <c r="B753" i="16"/>
  <c r="B752" i="16"/>
  <c r="B751" i="16"/>
  <c r="B750" i="16"/>
  <c r="B749" i="16"/>
  <c r="B748" i="16"/>
  <c r="B747" i="16"/>
  <c r="B746" i="16"/>
  <c r="B745" i="16"/>
  <c r="B744" i="16"/>
  <c r="B743" i="16"/>
  <c r="B742" i="16"/>
  <c r="B741" i="16"/>
  <c r="B740" i="16"/>
  <c r="B739" i="16"/>
  <c r="B738" i="16"/>
  <c r="B737" i="16"/>
  <c r="B736" i="16"/>
  <c r="B735" i="16"/>
  <c r="B734" i="16"/>
  <c r="B733" i="16"/>
  <c r="B732" i="16"/>
  <c r="B731" i="16"/>
  <c r="B730" i="16"/>
  <c r="B729" i="16"/>
  <c r="B728" i="16"/>
  <c r="B727" i="16"/>
  <c r="B726" i="16"/>
  <c r="B725" i="16"/>
  <c r="B724" i="16"/>
  <c r="B723" i="16"/>
  <c r="B722" i="16"/>
  <c r="B721" i="16"/>
  <c r="B720" i="16"/>
  <c r="B719" i="16"/>
  <c r="B718" i="16"/>
  <c r="B717" i="16"/>
  <c r="B716" i="16"/>
  <c r="B715" i="16"/>
  <c r="B714" i="16"/>
  <c r="B713" i="16"/>
  <c r="B712" i="16"/>
  <c r="B711" i="16"/>
  <c r="B710" i="16"/>
  <c r="B709" i="16"/>
  <c r="B708" i="16"/>
  <c r="B707" i="16"/>
  <c r="B706" i="16"/>
  <c r="B705" i="16"/>
  <c r="B704" i="16"/>
  <c r="B703" i="16"/>
  <c r="B702" i="16"/>
  <c r="B701" i="16"/>
  <c r="B700" i="16"/>
  <c r="B699" i="16"/>
  <c r="B698" i="16"/>
  <c r="B697" i="16"/>
  <c r="B696" i="16"/>
  <c r="B695" i="16"/>
  <c r="B694" i="16"/>
  <c r="B693" i="16"/>
  <c r="B692" i="16"/>
  <c r="B691" i="16"/>
  <c r="B690" i="16"/>
  <c r="B689" i="16"/>
  <c r="B688" i="16"/>
  <c r="B687" i="16"/>
  <c r="B686" i="16"/>
  <c r="B685" i="16"/>
  <c r="B684" i="16"/>
  <c r="B683" i="16"/>
  <c r="B682" i="16"/>
  <c r="B681" i="16"/>
  <c r="B680" i="16"/>
  <c r="B679" i="16"/>
  <c r="B678" i="16"/>
  <c r="B677" i="16"/>
  <c r="B676" i="16"/>
  <c r="B675" i="16"/>
  <c r="B674" i="16"/>
  <c r="B673" i="16"/>
  <c r="B672" i="16"/>
  <c r="B671" i="16"/>
  <c r="B670" i="16"/>
  <c r="B669" i="16"/>
  <c r="B668" i="16"/>
  <c r="B667" i="16"/>
  <c r="B666" i="16"/>
  <c r="B665" i="16"/>
  <c r="B664" i="16"/>
  <c r="B663" i="16"/>
  <c r="B662" i="16"/>
  <c r="B661" i="16"/>
  <c r="B660" i="16"/>
  <c r="B659" i="16"/>
  <c r="B658" i="16"/>
  <c r="B657" i="16"/>
  <c r="B656" i="16"/>
  <c r="B655" i="16"/>
  <c r="B654" i="16"/>
  <c r="B653" i="16"/>
  <c r="B652" i="16"/>
  <c r="B651" i="16"/>
  <c r="B650" i="16"/>
  <c r="B649" i="16"/>
  <c r="B648" i="16"/>
  <c r="B647" i="16"/>
  <c r="B646" i="16"/>
  <c r="B645" i="16"/>
  <c r="B644" i="16"/>
  <c r="B643" i="16"/>
  <c r="B642" i="16"/>
  <c r="B641" i="16"/>
  <c r="B640" i="16"/>
  <c r="B639" i="16"/>
  <c r="B638" i="16"/>
  <c r="B637" i="16"/>
  <c r="B636" i="16"/>
  <c r="B635" i="16"/>
  <c r="B634" i="16"/>
  <c r="B633" i="16"/>
  <c r="B632" i="16"/>
  <c r="B631" i="16"/>
  <c r="B630" i="16"/>
  <c r="B629" i="16"/>
  <c r="B628" i="16"/>
  <c r="B627" i="16"/>
  <c r="B626" i="16"/>
  <c r="B625" i="16"/>
  <c r="B624" i="16"/>
  <c r="B623" i="16"/>
  <c r="B622" i="16"/>
  <c r="B621" i="16"/>
  <c r="B620" i="16"/>
  <c r="B619" i="16"/>
  <c r="B618" i="16"/>
  <c r="B617" i="16"/>
  <c r="B616" i="16"/>
  <c r="B615" i="16"/>
  <c r="B614" i="16"/>
  <c r="B613" i="16"/>
  <c r="B612" i="16"/>
  <c r="B611" i="16"/>
  <c r="B610" i="16"/>
  <c r="B609" i="16"/>
  <c r="B608" i="16"/>
  <c r="B607" i="16"/>
  <c r="B606" i="16"/>
  <c r="B605" i="16"/>
  <c r="B604" i="16"/>
  <c r="B603" i="16"/>
  <c r="B602" i="16"/>
  <c r="B601" i="16"/>
  <c r="B600" i="16"/>
  <c r="B599" i="16"/>
  <c r="B598" i="16"/>
  <c r="B597" i="16"/>
  <c r="B596" i="16"/>
  <c r="B595" i="16"/>
  <c r="B594" i="16"/>
  <c r="B593" i="16"/>
  <c r="B592" i="16"/>
  <c r="B591" i="16"/>
  <c r="B590" i="16"/>
  <c r="B589" i="16"/>
  <c r="B588" i="16"/>
  <c r="B587" i="16"/>
  <c r="B586" i="16"/>
  <c r="B585" i="16"/>
  <c r="B584" i="16"/>
  <c r="B583" i="16"/>
  <c r="B582" i="16"/>
  <c r="B581" i="16"/>
  <c r="B580" i="16"/>
  <c r="B579" i="16"/>
  <c r="B578" i="16"/>
  <c r="B577" i="16"/>
  <c r="B576" i="16"/>
  <c r="B575" i="16"/>
  <c r="B574" i="16"/>
  <c r="B573" i="16"/>
  <c r="B572" i="16"/>
  <c r="B571" i="16"/>
  <c r="B570" i="16"/>
  <c r="B569" i="16"/>
  <c r="B568" i="16"/>
  <c r="B567" i="16"/>
  <c r="B566" i="16"/>
  <c r="B565" i="16"/>
  <c r="B564" i="16"/>
  <c r="B563" i="16"/>
  <c r="B562" i="16"/>
  <c r="B561" i="16"/>
  <c r="B560" i="16"/>
  <c r="B559" i="16"/>
  <c r="B558" i="16"/>
  <c r="B557" i="16"/>
  <c r="B556" i="16"/>
  <c r="B555" i="16"/>
  <c r="B554" i="16"/>
  <c r="B553" i="16"/>
  <c r="B552" i="16"/>
  <c r="B551" i="16"/>
  <c r="B550" i="16"/>
  <c r="B549" i="16"/>
  <c r="B548" i="16"/>
  <c r="B547" i="16"/>
  <c r="B546" i="16"/>
  <c r="B545" i="16"/>
  <c r="B544" i="16"/>
  <c r="B543" i="16"/>
  <c r="B542" i="16"/>
  <c r="B541" i="16"/>
  <c r="B540" i="16"/>
  <c r="B539" i="16"/>
  <c r="B538" i="16"/>
  <c r="B537" i="16"/>
  <c r="B536" i="16"/>
  <c r="B535" i="16"/>
  <c r="B534" i="16"/>
  <c r="B533" i="16"/>
  <c r="B532" i="16"/>
  <c r="B531" i="16"/>
  <c r="B530" i="16"/>
  <c r="B529" i="16"/>
  <c r="B528" i="16"/>
  <c r="B527" i="16"/>
  <c r="B526" i="16"/>
  <c r="B525" i="16"/>
  <c r="B524" i="16"/>
  <c r="B523" i="16"/>
  <c r="B522" i="16"/>
  <c r="B521" i="16"/>
  <c r="B520" i="16"/>
  <c r="B519" i="16"/>
  <c r="B518" i="16"/>
  <c r="B517" i="16"/>
  <c r="B516" i="16"/>
  <c r="B515" i="16"/>
  <c r="B514" i="16"/>
  <c r="B513" i="16"/>
  <c r="B512" i="16"/>
  <c r="B511" i="16"/>
  <c r="B510" i="16"/>
  <c r="B509" i="16"/>
  <c r="B508" i="16"/>
  <c r="B507" i="16"/>
  <c r="B506" i="16"/>
  <c r="B505" i="16"/>
  <c r="B504" i="16"/>
  <c r="B503" i="16"/>
  <c r="B502" i="16"/>
  <c r="B501" i="16"/>
  <c r="B500" i="16"/>
  <c r="B499" i="16"/>
  <c r="B498" i="16"/>
  <c r="B497" i="16"/>
  <c r="B496" i="16"/>
  <c r="B495" i="16"/>
  <c r="B494" i="16"/>
  <c r="B493" i="16"/>
  <c r="B492" i="16"/>
  <c r="B491" i="16"/>
  <c r="B490" i="16"/>
  <c r="B489" i="16"/>
  <c r="B488" i="16"/>
  <c r="B487" i="16"/>
  <c r="B486" i="16"/>
  <c r="B485" i="16"/>
  <c r="B484" i="16"/>
  <c r="B483" i="16"/>
  <c r="B482" i="16"/>
  <c r="B481" i="16"/>
  <c r="B480" i="16"/>
  <c r="B479" i="16"/>
  <c r="B478" i="16"/>
  <c r="B477" i="16"/>
  <c r="B476" i="16"/>
  <c r="B475" i="16"/>
  <c r="B474" i="16"/>
  <c r="B473" i="16"/>
  <c r="B472" i="16"/>
  <c r="B471" i="16"/>
  <c r="B470" i="16"/>
  <c r="B469" i="16"/>
  <c r="B468" i="16"/>
  <c r="B467" i="16"/>
  <c r="B466" i="16"/>
  <c r="B465" i="16"/>
  <c r="B464" i="16"/>
  <c r="B463" i="16"/>
  <c r="B462" i="16"/>
  <c r="B461" i="16"/>
  <c r="B460" i="16"/>
  <c r="B459" i="16"/>
  <c r="B458" i="16"/>
  <c r="B457" i="16"/>
  <c r="B456" i="16"/>
  <c r="B455" i="16"/>
  <c r="B454" i="16"/>
  <c r="B453" i="16"/>
  <c r="B452" i="16"/>
  <c r="B451" i="16"/>
  <c r="B450" i="16"/>
  <c r="B449" i="16"/>
  <c r="B448" i="16"/>
  <c r="B447" i="16"/>
  <c r="B446" i="16"/>
  <c r="B445" i="16"/>
  <c r="B444" i="16"/>
  <c r="B443" i="16"/>
  <c r="B442" i="16"/>
  <c r="B441" i="16"/>
  <c r="B440" i="16"/>
  <c r="B439" i="16"/>
  <c r="B438" i="16"/>
  <c r="B437" i="16"/>
  <c r="B436" i="16"/>
  <c r="B435" i="16"/>
  <c r="B434" i="16"/>
  <c r="B433" i="16"/>
  <c r="B432" i="16"/>
  <c r="B431" i="16"/>
  <c r="B430" i="16"/>
  <c r="B429" i="16"/>
  <c r="B428" i="16"/>
  <c r="B427" i="16"/>
  <c r="B426" i="16"/>
  <c r="B425" i="16"/>
  <c r="B424" i="16"/>
  <c r="B423" i="16"/>
  <c r="B422" i="16"/>
  <c r="B421" i="16"/>
  <c r="B420" i="16"/>
  <c r="B419" i="16"/>
  <c r="B418" i="16"/>
  <c r="B417" i="16"/>
  <c r="B416" i="16"/>
  <c r="B415" i="16"/>
  <c r="B414" i="16"/>
  <c r="B413" i="16"/>
  <c r="B412" i="16"/>
  <c r="B411" i="16"/>
  <c r="B410" i="16"/>
  <c r="B409" i="16"/>
  <c r="B408" i="16"/>
  <c r="B407" i="16"/>
  <c r="B406" i="16"/>
  <c r="B405" i="16"/>
  <c r="B404" i="16"/>
  <c r="B403" i="16"/>
  <c r="B402" i="16"/>
  <c r="B401" i="16"/>
  <c r="B400" i="16"/>
  <c r="B399" i="16"/>
  <c r="B398" i="16"/>
  <c r="B397" i="16"/>
  <c r="B396" i="16"/>
  <c r="B395" i="16"/>
  <c r="B394" i="16"/>
  <c r="B393" i="16"/>
  <c r="B392" i="16"/>
  <c r="B391" i="16"/>
  <c r="B390" i="16"/>
  <c r="B389" i="16"/>
  <c r="B388" i="16"/>
  <c r="B387" i="16"/>
  <c r="B386" i="16"/>
  <c r="B385" i="16"/>
  <c r="B384" i="16"/>
  <c r="B383" i="16"/>
  <c r="B382" i="16"/>
  <c r="B381" i="16"/>
  <c r="B380" i="16"/>
  <c r="B379" i="16"/>
  <c r="B378" i="16"/>
  <c r="B377" i="16"/>
  <c r="B376" i="16"/>
  <c r="B375" i="16"/>
  <c r="B374" i="16"/>
  <c r="B373" i="16"/>
  <c r="B372" i="16"/>
  <c r="B371" i="16"/>
  <c r="B370" i="16"/>
  <c r="B369" i="16"/>
  <c r="B368" i="16"/>
  <c r="B367" i="16"/>
  <c r="B366" i="16"/>
  <c r="B365" i="16"/>
  <c r="B364" i="16"/>
  <c r="B363" i="16"/>
  <c r="B362" i="16"/>
  <c r="B361" i="16"/>
  <c r="B360" i="16"/>
  <c r="B359" i="16"/>
  <c r="B358" i="16"/>
  <c r="B357" i="16"/>
  <c r="B356" i="16"/>
  <c r="B355" i="16"/>
  <c r="B354" i="16"/>
  <c r="B353" i="16"/>
  <c r="B352" i="16"/>
  <c r="B351" i="16"/>
  <c r="B350" i="16"/>
  <c r="B349" i="16"/>
  <c r="B348" i="16"/>
  <c r="B347" i="16"/>
  <c r="B346" i="16"/>
  <c r="B345" i="16"/>
  <c r="B344" i="16"/>
  <c r="B343" i="16"/>
  <c r="B342" i="16"/>
  <c r="B341" i="16"/>
  <c r="B340" i="16"/>
  <c r="B339" i="16"/>
  <c r="B338" i="16"/>
  <c r="B337" i="16"/>
  <c r="B336" i="16"/>
  <c r="B335" i="16"/>
  <c r="B334" i="16"/>
  <c r="B333" i="16"/>
  <c r="B332" i="16"/>
  <c r="B331" i="16"/>
  <c r="B330" i="16"/>
  <c r="B329" i="16"/>
  <c r="B328" i="16"/>
  <c r="B327" i="16"/>
  <c r="B326" i="16"/>
  <c r="B325" i="16"/>
  <c r="B324" i="16"/>
  <c r="B323" i="16"/>
  <c r="B322" i="16"/>
  <c r="B321" i="16"/>
  <c r="B320" i="16"/>
  <c r="B319" i="16"/>
  <c r="B318" i="16"/>
  <c r="B317" i="16"/>
  <c r="B316" i="16"/>
  <c r="B315" i="16"/>
  <c r="B314" i="16"/>
  <c r="B313" i="16"/>
  <c r="B312" i="16"/>
  <c r="B311" i="16"/>
  <c r="B310" i="16"/>
  <c r="B309" i="16"/>
  <c r="B308" i="16"/>
  <c r="B307" i="16"/>
  <c r="B306" i="16"/>
  <c r="B305" i="16"/>
  <c r="B304" i="16"/>
  <c r="B303" i="16"/>
  <c r="B302" i="16"/>
  <c r="B301" i="16"/>
  <c r="B300" i="16"/>
  <c r="B299" i="16"/>
  <c r="B298" i="16"/>
  <c r="B297" i="16"/>
  <c r="B296" i="16"/>
  <c r="B295" i="16"/>
  <c r="B294" i="16"/>
  <c r="B293" i="16"/>
  <c r="B292" i="16"/>
  <c r="B291" i="16"/>
  <c r="B290" i="16"/>
  <c r="B289" i="16"/>
  <c r="B288" i="16"/>
  <c r="B287" i="16"/>
  <c r="B286" i="16"/>
  <c r="B285" i="16"/>
  <c r="B284" i="16"/>
  <c r="B283" i="16"/>
  <c r="B282" i="16"/>
  <c r="B281" i="16"/>
  <c r="B280" i="16"/>
  <c r="B279" i="16"/>
  <c r="B278" i="16"/>
  <c r="B277" i="16"/>
  <c r="B276" i="16"/>
  <c r="B275" i="16"/>
  <c r="B274" i="16"/>
  <c r="B273" i="16"/>
  <c r="B272" i="16"/>
  <c r="B271" i="16"/>
  <c r="B270" i="16"/>
  <c r="B269" i="16"/>
  <c r="B268" i="16"/>
  <c r="B267" i="16"/>
  <c r="B266" i="16"/>
  <c r="B265" i="16"/>
  <c r="B264" i="16"/>
  <c r="B263" i="16"/>
  <c r="B262" i="16"/>
  <c r="B261" i="16"/>
  <c r="B260" i="16"/>
  <c r="B259" i="16"/>
  <c r="B258" i="16"/>
  <c r="B257" i="16"/>
  <c r="B256" i="16"/>
  <c r="B255" i="16"/>
  <c r="B254" i="16"/>
  <c r="B253" i="16"/>
  <c r="B252" i="16"/>
  <c r="B251" i="16"/>
  <c r="B250" i="16"/>
  <c r="B249" i="16"/>
  <c r="B248" i="16"/>
  <c r="B247" i="16"/>
  <c r="B246" i="16"/>
  <c r="B245" i="16"/>
  <c r="B244" i="16"/>
  <c r="B243" i="16"/>
  <c r="B242" i="16"/>
  <c r="B241" i="16"/>
  <c r="B240" i="16"/>
  <c r="B239" i="16"/>
  <c r="B238" i="16"/>
  <c r="B237" i="16"/>
  <c r="B236" i="16"/>
  <c r="B235" i="16"/>
  <c r="B234" i="16"/>
  <c r="B233" i="16"/>
  <c r="B232" i="16"/>
  <c r="B231" i="16"/>
  <c r="B230" i="16"/>
  <c r="B229" i="16"/>
  <c r="B228" i="16"/>
  <c r="B227" i="16"/>
  <c r="B226" i="16"/>
  <c r="B225" i="16"/>
  <c r="B224" i="16"/>
  <c r="B223" i="16"/>
  <c r="B222" i="16"/>
  <c r="B221" i="16"/>
  <c r="B220" i="16"/>
  <c r="B219" i="16"/>
  <c r="B218" i="16"/>
  <c r="B217" i="16"/>
  <c r="B216" i="16"/>
  <c r="B215" i="16"/>
  <c r="B214" i="16"/>
  <c r="B213" i="16"/>
  <c r="B212" i="16"/>
  <c r="B211" i="16"/>
  <c r="B210" i="16"/>
  <c r="B209" i="16"/>
  <c r="B208" i="16"/>
  <c r="B207" i="16"/>
  <c r="B206" i="16"/>
  <c r="B205" i="16"/>
  <c r="B204" i="16"/>
  <c r="B203" i="16"/>
  <c r="B202" i="16"/>
  <c r="B201" i="16"/>
  <c r="B200" i="16"/>
  <c r="B199" i="16"/>
  <c r="B198" i="16"/>
  <c r="B197" i="16"/>
  <c r="B196" i="16"/>
  <c r="B195" i="16"/>
  <c r="B194" i="16"/>
  <c r="B193" i="16"/>
  <c r="B192" i="16"/>
  <c r="B191" i="16"/>
  <c r="B190" i="16"/>
  <c r="B189" i="16"/>
  <c r="B188" i="16"/>
  <c r="B187" i="16"/>
  <c r="B186" i="16"/>
  <c r="B185" i="16"/>
  <c r="B184" i="16"/>
  <c r="B183" i="16"/>
  <c r="B182" i="16"/>
  <c r="B181" i="16"/>
  <c r="B180" i="16"/>
  <c r="B179" i="16"/>
  <c r="B178" i="16"/>
  <c r="B177" i="16"/>
  <c r="B176" i="16"/>
  <c r="B175" i="16"/>
  <c r="B174" i="16"/>
  <c r="B173" i="16"/>
  <c r="B172" i="16"/>
  <c r="B171" i="16"/>
  <c r="B170" i="16"/>
  <c r="B169" i="16"/>
  <c r="B168" i="16"/>
  <c r="B167" i="16"/>
  <c r="B166" i="16"/>
  <c r="B165" i="16"/>
  <c r="B164" i="16"/>
  <c r="B163" i="16"/>
  <c r="B162" i="16"/>
  <c r="B161" i="16"/>
  <c r="B160" i="16"/>
  <c r="B159" i="16"/>
  <c r="B158" i="16"/>
  <c r="B157" i="16"/>
  <c r="B156" i="16"/>
  <c r="B155" i="16"/>
  <c r="B154" i="16"/>
  <c r="B153" i="16"/>
  <c r="B152" i="16"/>
  <c r="B151" i="16"/>
  <c r="B150" i="16"/>
  <c r="B149" i="16"/>
  <c r="B148" i="16"/>
  <c r="B147" i="16"/>
  <c r="B146" i="16"/>
  <c r="B145" i="16"/>
  <c r="B144" i="16"/>
  <c r="B143" i="16"/>
  <c r="B142" i="16"/>
  <c r="B141" i="16"/>
  <c r="B140" i="16"/>
  <c r="B139" i="16"/>
  <c r="B138" i="16"/>
  <c r="B137" i="16"/>
  <c r="B136" i="16"/>
  <c r="B135" i="16"/>
  <c r="B134" i="16"/>
  <c r="B133" i="16"/>
  <c r="B132" i="16"/>
  <c r="B131" i="16"/>
  <c r="B130" i="16"/>
  <c r="B129" i="16"/>
  <c r="B128" i="16"/>
  <c r="B127" i="16"/>
  <c r="B126" i="16"/>
  <c r="B125" i="16"/>
  <c r="B124" i="16"/>
  <c r="B123" i="16"/>
  <c r="B122" i="16"/>
  <c r="B121" i="16"/>
  <c r="B120" i="16"/>
  <c r="B119" i="16"/>
  <c r="B118" i="16"/>
  <c r="B117" i="16"/>
  <c r="B116" i="16"/>
  <c r="B115" i="16"/>
  <c r="B114" i="16"/>
  <c r="B113" i="16"/>
  <c r="B112" i="16"/>
  <c r="B111" i="16"/>
  <c r="B110" i="16"/>
  <c r="B109" i="16"/>
  <c r="B108" i="16"/>
  <c r="B107" i="16"/>
  <c r="B106" i="16"/>
  <c r="B105" i="16"/>
  <c r="B104" i="16"/>
  <c r="B103" i="16"/>
  <c r="B102" i="16"/>
  <c r="B101" i="16"/>
  <c r="B100" i="16"/>
  <c r="B99" i="16"/>
  <c r="B98" i="16"/>
  <c r="B97" i="16"/>
  <c r="B96" i="16"/>
  <c r="B95" i="16"/>
  <c r="B94" i="16"/>
  <c r="B93" i="16"/>
  <c r="B92" i="16"/>
  <c r="B91" i="16"/>
  <c r="B90" i="16"/>
  <c r="B89" i="16"/>
  <c r="B88" i="16"/>
  <c r="B87" i="16"/>
  <c r="B86" i="16"/>
  <c r="B85" i="16"/>
  <c r="B84" i="16"/>
  <c r="B83" i="16"/>
  <c r="B82" i="16"/>
  <c r="B81" i="16"/>
  <c r="B80" i="16"/>
  <c r="B79" i="16"/>
  <c r="B78" i="16"/>
  <c r="B77" i="16"/>
  <c r="B76" i="16"/>
  <c r="B75" i="16"/>
  <c r="B74" i="16"/>
  <c r="B73" i="16"/>
  <c r="B72" i="16"/>
  <c r="B71" i="16"/>
  <c r="B70" i="16"/>
  <c r="B69" i="16"/>
  <c r="B68" i="16"/>
  <c r="B67" i="16"/>
  <c r="B66" i="16"/>
  <c r="B65" i="16"/>
  <c r="B64" i="16"/>
  <c r="B63" i="16"/>
  <c r="B62" i="16"/>
  <c r="B61" i="16"/>
  <c r="B60" i="16"/>
  <c r="B59" i="16"/>
  <c r="B58" i="16"/>
  <c r="B57" i="16"/>
  <c r="B56" i="16"/>
  <c r="B55" i="16"/>
  <c r="B54" i="16"/>
  <c r="B53" i="16"/>
  <c r="B52" i="16"/>
  <c r="B51" i="16"/>
  <c r="B50" i="16"/>
  <c r="B49" i="16"/>
  <c r="B48" i="16"/>
  <c r="B47" i="16"/>
  <c r="B46" i="16"/>
  <c r="B45" i="16"/>
  <c r="B1000" i="15"/>
  <c r="B999" i="15"/>
  <c r="B998" i="15"/>
  <c r="B997" i="15"/>
  <c r="B996" i="15"/>
  <c r="B995" i="15"/>
  <c r="B994" i="15"/>
  <c r="B993" i="15"/>
  <c r="B992" i="15"/>
  <c r="B991" i="15"/>
  <c r="B990" i="15"/>
  <c r="B989" i="15"/>
  <c r="B988" i="15"/>
  <c r="B987" i="15"/>
  <c r="B986" i="15"/>
  <c r="B985" i="15"/>
  <c r="B984" i="15"/>
  <c r="B983" i="15"/>
  <c r="B982" i="15"/>
  <c r="B981" i="15"/>
  <c r="B980" i="15"/>
  <c r="B979" i="15"/>
  <c r="B978" i="15"/>
  <c r="B977" i="15"/>
  <c r="B976" i="15"/>
  <c r="B975" i="15"/>
  <c r="B974" i="15"/>
  <c r="B973" i="15"/>
  <c r="B972" i="15"/>
  <c r="B971" i="15"/>
  <c r="B970" i="15"/>
  <c r="B969" i="15"/>
  <c r="B968" i="15"/>
  <c r="B967" i="15"/>
  <c r="B966" i="15"/>
  <c r="B965" i="15"/>
  <c r="B964" i="15"/>
  <c r="B963" i="15"/>
  <c r="B962" i="15"/>
  <c r="B961" i="15"/>
  <c r="B960" i="15"/>
  <c r="B959" i="15"/>
  <c r="B958" i="15"/>
  <c r="B957" i="15"/>
  <c r="B956" i="15"/>
  <c r="B955" i="15"/>
  <c r="B954" i="15"/>
  <c r="B953" i="15"/>
  <c r="B952" i="15"/>
  <c r="B951" i="15"/>
  <c r="B950" i="15"/>
  <c r="B949" i="15"/>
  <c r="B948" i="15"/>
  <c r="B947" i="15"/>
  <c r="B946" i="15"/>
  <c r="B945" i="15"/>
  <c r="B944" i="15"/>
  <c r="B943" i="15"/>
  <c r="B942" i="15"/>
  <c r="B941" i="15"/>
  <c r="B940" i="15"/>
  <c r="B939" i="15"/>
  <c r="B938" i="15"/>
  <c r="B937" i="15"/>
  <c r="B936" i="15"/>
  <c r="B935" i="15"/>
  <c r="B934" i="15"/>
  <c r="B933" i="15"/>
  <c r="B932" i="15"/>
  <c r="B931" i="15"/>
  <c r="B930" i="15"/>
  <c r="B929" i="15"/>
  <c r="B928" i="15"/>
  <c r="B927" i="15"/>
  <c r="B926" i="15"/>
  <c r="B925" i="15"/>
  <c r="B924" i="15"/>
  <c r="B923" i="15"/>
  <c r="B922" i="15"/>
  <c r="B921" i="15"/>
  <c r="B920" i="15"/>
  <c r="B919" i="15"/>
  <c r="B918" i="15"/>
  <c r="B917" i="15"/>
  <c r="B916" i="15"/>
  <c r="B915" i="15"/>
  <c r="B914" i="15"/>
  <c r="B913" i="15"/>
  <c r="B912" i="15"/>
  <c r="B911" i="15"/>
  <c r="B910" i="15"/>
  <c r="B909" i="15"/>
  <c r="B908" i="15"/>
  <c r="B907" i="15"/>
  <c r="B906" i="15"/>
  <c r="B905" i="15"/>
  <c r="B904" i="15"/>
  <c r="B903" i="15"/>
  <c r="B902" i="15"/>
  <c r="B901" i="15"/>
  <c r="B900" i="15"/>
  <c r="B899" i="15"/>
  <c r="B898" i="15"/>
  <c r="B897" i="15"/>
  <c r="B896" i="15"/>
  <c r="B895" i="15"/>
  <c r="B894" i="15"/>
  <c r="B893" i="15"/>
  <c r="B892" i="15"/>
  <c r="B891" i="15"/>
  <c r="B890" i="15"/>
  <c r="B889" i="15"/>
  <c r="B888" i="15"/>
  <c r="B887" i="15"/>
  <c r="B886" i="15"/>
  <c r="B885" i="15"/>
  <c r="B884" i="15"/>
  <c r="B883" i="15"/>
  <c r="B882" i="15"/>
  <c r="B881" i="15"/>
  <c r="B880" i="15"/>
  <c r="B879" i="15"/>
  <c r="B878" i="15"/>
  <c r="B877" i="15"/>
  <c r="B876" i="15"/>
  <c r="B875" i="15"/>
  <c r="B874" i="15"/>
  <c r="B873" i="15"/>
  <c r="B872" i="15"/>
  <c r="B871" i="15"/>
  <c r="B870" i="15"/>
  <c r="B869" i="15"/>
  <c r="B868" i="15"/>
  <c r="B867" i="15"/>
  <c r="B866" i="15"/>
  <c r="B865" i="15"/>
  <c r="B864" i="15"/>
  <c r="B863" i="15"/>
  <c r="B862" i="15"/>
  <c r="B861" i="15"/>
  <c r="B860" i="15"/>
  <c r="B859" i="15"/>
  <c r="B858" i="15"/>
  <c r="B857" i="15"/>
  <c r="B856" i="15"/>
  <c r="B855" i="15"/>
  <c r="B854" i="15"/>
  <c r="B853" i="15"/>
  <c r="B852" i="15"/>
  <c r="B851" i="15"/>
  <c r="B850" i="15"/>
  <c r="B849" i="15"/>
  <c r="B848" i="15"/>
  <c r="B847" i="15"/>
  <c r="B846" i="15"/>
  <c r="B845" i="15"/>
  <c r="B844" i="15"/>
  <c r="B843" i="15"/>
  <c r="B842" i="15"/>
  <c r="B841" i="15"/>
  <c r="B840" i="15"/>
  <c r="B839" i="15"/>
  <c r="B838" i="15"/>
  <c r="B837" i="15"/>
  <c r="B836" i="15"/>
  <c r="B835" i="15"/>
  <c r="B834" i="15"/>
  <c r="B833" i="15"/>
  <c r="B832" i="15"/>
  <c r="B831" i="15"/>
  <c r="B830" i="15"/>
  <c r="B829" i="15"/>
  <c r="B828" i="15"/>
  <c r="B827" i="15"/>
  <c r="B826" i="15"/>
  <c r="B825" i="15"/>
  <c r="B824" i="15"/>
  <c r="B823" i="15"/>
  <c r="B822" i="15"/>
  <c r="B821" i="15"/>
  <c r="B820" i="15"/>
  <c r="B819" i="15"/>
  <c r="B818" i="15"/>
  <c r="B817" i="15"/>
  <c r="B816" i="15"/>
  <c r="B815" i="15"/>
  <c r="B814" i="15"/>
  <c r="B813" i="15"/>
  <c r="B812" i="15"/>
  <c r="B811" i="15"/>
  <c r="B810" i="15"/>
  <c r="B809" i="15"/>
  <c r="B808" i="15"/>
  <c r="B807" i="15"/>
  <c r="B806" i="15"/>
  <c r="B805" i="15"/>
  <c r="B804" i="15"/>
  <c r="B803" i="15"/>
  <c r="B802" i="15"/>
  <c r="B801" i="15"/>
  <c r="B800" i="15"/>
  <c r="B799" i="15"/>
  <c r="B798" i="15"/>
  <c r="B797" i="15"/>
  <c r="B796" i="15"/>
  <c r="B795" i="15"/>
  <c r="B794" i="15"/>
  <c r="B793" i="15"/>
  <c r="B792" i="15"/>
  <c r="B791" i="15"/>
  <c r="B790" i="15"/>
  <c r="B789" i="15"/>
  <c r="B788" i="15"/>
  <c r="B787" i="15"/>
  <c r="B786" i="15"/>
  <c r="B785" i="15"/>
  <c r="B784" i="15"/>
  <c r="B783" i="15"/>
  <c r="B782" i="15"/>
  <c r="B781" i="15"/>
  <c r="B780" i="15"/>
  <c r="B779" i="15"/>
  <c r="B778" i="15"/>
  <c r="B777" i="15"/>
  <c r="B776" i="15"/>
  <c r="B775" i="15"/>
  <c r="B774" i="15"/>
  <c r="B773" i="15"/>
  <c r="B772" i="15"/>
  <c r="B771" i="15"/>
  <c r="B770" i="15"/>
  <c r="B769" i="15"/>
  <c r="B768" i="15"/>
  <c r="B767" i="15"/>
  <c r="B766" i="15"/>
  <c r="B765" i="15"/>
  <c r="B764" i="15"/>
  <c r="B763" i="15"/>
  <c r="B762" i="15"/>
  <c r="B761" i="15"/>
  <c r="B760" i="15"/>
  <c r="B759" i="15"/>
  <c r="B758" i="15"/>
  <c r="B757" i="15"/>
  <c r="B756" i="15"/>
  <c r="B755" i="15"/>
  <c r="B754" i="15"/>
  <c r="B753" i="15"/>
  <c r="B752" i="15"/>
  <c r="B751" i="15"/>
  <c r="B750" i="15"/>
  <c r="B749" i="15"/>
  <c r="B748" i="15"/>
  <c r="B747" i="15"/>
  <c r="B746" i="15"/>
  <c r="B745" i="15"/>
  <c r="B744" i="15"/>
  <c r="B743" i="15"/>
  <c r="B742" i="15"/>
  <c r="B741" i="15"/>
  <c r="B740" i="15"/>
  <c r="B739" i="15"/>
  <c r="B738" i="15"/>
  <c r="B737" i="15"/>
  <c r="B736" i="15"/>
  <c r="B735" i="15"/>
  <c r="B734" i="15"/>
  <c r="B733" i="15"/>
  <c r="B732" i="15"/>
  <c r="B731" i="15"/>
  <c r="B730" i="15"/>
  <c r="B729" i="15"/>
  <c r="B728" i="15"/>
  <c r="B727" i="15"/>
  <c r="B726" i="15"/>
  <c r="B725" i="15"/>
  <c r="B724" i="15"/>
  <c r="B723" i="15"/>
  <c r="B722" i="15"/>
  <c r="B721" i="15"/>
  <c r="B720" i="15"/>
  <c r="B719" i="15"/>
  <c r="B718" i="15"/>
  <c r="B717" i="15"/>
  <c r="B716" i="15"/>
  <c r="B715" i="15"/>
  <c r="B714" i="15"/>
  <c r="B713" i="15"/>
  <c r="B712" i="15"/>
  <c r="B711" i="15"/>
  <c r="B710" i="15"/>
  <c r="B709" i="15"/>
  <c r="B708" i="15"/>
  <c r="B707" i="15"/>
  <c r="B706" i="15"/>
  <c r="B705" i="15"/>
  <c r="B704" i="15"/>
  <c r="B703" i="15"/>
  <c r="B702" i="15"/>
  <c r="B701" i="15"/>
  <c r="B700" i="15"/>
  <c r="B699" i="15"/>
  <c r="B698" i="15"/>
  <c r="B697" i="15"/>
  <c r="B696" i="15"/>
  <c r="B695" i="15"/>
  <c r="B694" i="15"/>
  <c r="B693" i="15"/>
  <c r="B692" i="15"/>
  <c r="B691" i="15"/>
  <c r="B690" i="15"/>
  <c r="B689" i="15"/>
  <c r="B688" i="15"/>
  <c r="B687" i="15"/>
  <c r="B686" i="15"/>
  <c r="B685" i="15"/>
  <c r="B684" i="15"/>
  <c r="B683" i="15"/>
  <c r="B682" i="15"/>
  <c r="B681" i="15"/>
  <c r="B680" i="15"/>
  <c r="B679" i="15"/>
  <c r="B678" i="15"/>
  <c r="B677" i="15"/>
  <c r="B676" i="15"/>
  <c r="B675" i="15"/>
  <c r="B674" i="15"/>
  <c r="B673" i="15"/>
  <c r="B672" i="15"/>
  <c r="B671" i="15"/>
  <c r="B670" i="15"/>
  <c r="B669" i="15"/>
  <c r="B668" i="15"/>
  <c r="B667" i="15"/>
  <c r="B666" i="15"/>
  <c r="B665" i="15"/>
  <c r="B664" i="15"/>
  <c r="B663" i="15"/>
  <c r="B662" i="15"/>
  <c r="B661" i="15"/>
  <c r="B660" i="15"/>
  <c r="B659" i="15"/>
  <c r="B658" i="15"/>
  <c r="B657" i="15"/>
  <c r="B656" i="15"/>
  <c r="B655" i="15"/>
  <c r="B654" i="15"/>
  <c r="B653" i="15"/>
  <c r="B652" i="15"/>
  <c r="B651" i="15"/>
  <c r="B650" i="15"/>
  <c r="B649" i="15"/>
  <c r="B648" i="15"/>
  <c r="B647" i="15"/>
  <c r="B646" i="15"/>
  <c r="B645" i="15"/>
  <c r="B644" i="15"/>
  <c r="B643" i="15"/>
  <c r="B642" i="15"/>
  <c r="B641" i="15"/>
  <c r="B640" i="15"/>
  <c r="B639" i="15"/>
  <c r="B638" i="15"/>
  <c r="B637" i="15"/>
  <c r="B636" i="15"/>
  <c r="B635" i="15"/>
  <c r="B634" i="15"/>
  <c r="B633" i="15"/>
  <c r="B632" i="15"/>
  <c r="B631" i="15"/>
  <c r="B630" i="15"/>
  <c r="B629" i="15"/>
  <c r="B628" i="15"/>
  <c r="B627" i="15"/>
  <c r="B626" i="15"/>
  <c r="B625" i="15"/>
  <c r="B624" i="15"/>
  <c r="B623" i="15"/>
  <c r="B622" i="15"/>
  <c r="B621" i="15"/>
  <c r="B620" i="15"/>
  <c r="B619" i="15"/>
  <c r="B618" i="15"/>
  <c r="B617" i="15"/>
  <c r="B616" i="15"/>
  <c r="B615" i="15"/>
  <c r="B614" i="15"/>
  <c r="B613" i="15"/>
  <c r="B612" i="15"/>
  <c r="B611" i="15"/>
  <c r="B610" i="15"/>
  <c r="B609" i="15"/>
  <c r="B608" i="15"/>
  <c r="B607" i="15"/>
  <c r="B606" i="15"/>
  <c r="B605" i="15"/>
  <c r="B604" i="15"/>
  <c r="B603" i="15"/>
  <c r="B602" i="15"/>
  <c r="B601" i="15"/>
  <c r="B600" i="15"/>
  <c r="B599" i="15"/>
  <c r="B598" i="15"/>
  <c r="B597" i="15"/>
  <c r="B596" i="15"/>
  <c r="B595" i="15"/>
  <c r="B594" i="15"/>
  <c r="B593" i="15"/>
  <c r="B592" i="15"/>
  <c r="B591" i="15"/>
  <c r="B590" i="15"/>
  <c r="B589" i="15"/>
  <c r="B588" i="15"/>
  <c r="B587" i="15"/>
  <c r="B586" i="15"/>
  <c r="B585" i="15"/>
  <c r="B584" i="15"/>
  <c r="B583" i="15"/>
  <c r="B582" i="15"/>
  <c r="B581" i="15"/>
  <c r="B580" i="15"/>
  <c r="B579" i="15"/>
  <c r="B578" i="15"/>
  <c r="B577" i="15"/>
  <c r="B576" i="15"/>
  <c r="B575" i="15"/>
  <c r="B574" i="15"/>
  <c r="B573" i="15"/>
  <c r="B572" i="15"/>
  <c r="B571" i="15"/>
  <c r="B570" i="15"/>
  <c r="B569" i="15"/>
  <c r="B568" i="15"/>
  <c r="B567" i="15"/>
  <c r="B566" i="15"/>
  <c r="B565" i="15"/>
  <c r="B564" i="15"/>
  <c r="B563" i="15"/>
  <c r="B562" i="15"/>
  <c r="B561" i="15"/>
  <c r="B560" i="15"/>
  <c r="B559" i="15"/>
  <c r="B558" i="15"/>
  <c r="B557" i="15"/>
  <c r="B556" i="15"/>
  <c r="B555" i="15"/>
  <c r="B554" i="15"/>
  <c r="B553" i="15"/>
  <c r="B552" i="15"/>
  <c r="B551" i="15"/>
  <c r="B550" i="15"/>
  <c r="B549" i="15"/>
  <c r="B548" i="15"/>
  <c r="B547" i="15"/>
  <c r="B546" i="15"/>
  <c r="B545" i="15"/>
  <c r="B544" i="15"/>
  <c r="B543" i="15"/>
  <c r="B542" i="15"/>
  <c r="B541" i="15"/>
  <c r="B540" i="15"/>
  <c r="B539" i="15"/>
  <c r="B538" i="15"/>
  <c r="B537" i="15"/>
  <c r="B536" i="15"/>
  <c r="B535" i="15"/>
  <c r="B534" i="15"/>
  <c r="B533" i="15"/>
  <c r="B532" i="15"/>
  <c r="B531" i="15"/>
  <c r="B530" i="15"/>
  <c r="B529" i="15"/>
  <c r="B528" i="15"/>
  <c r="B527" i="15"/>
  <c r="B526" i="15"/>
  <c r="B525" i="15"/>
  <c r="B524" i="15"/>
  <c r="B523" i="15"/>
  <c r="B522" i="15"/>
  <c r="B521" i="15"/>
  <c r="B520" i="15"/>
  <c r="B519" i="15"/>
  <c r="B518" i="15"/>
  <c r="B517" i="15"/>
  <c r="B516" i="15"/>
  <c r="B515" i="15"/>
  <c r="B514" i="15"/>
  <c r="B513" i="15"/>
  <c r="B512" i="15"/>
  <c r="B511" i="15"/>
  <c r="B510" i="15"/>
  <c r="B509" i="15"/>
  <c r="B508" i="15"/>
  <c r="B507" i="15"/>
  <c r="B506" i="15"/>
  <c r="B505" i="15"/>
  <c r="B504" i="15"/>
  <c r="B503" i="15"/>
  <c r="B502" i="15"/>
  <c r="B501" i="15"/>
  <c r="B500" i="15"/>
  <c r="B499" i="15"/>
  <c r="B498" i="15"/>
  <c r="B497" i="15"/>
  <c r="B496" i="15"/>
  <c r="B495" i="15"/>
  <c r="B494" i="15"/>
  <c r="B493" i="15"/>
  <c r="B492" i="15"/>
  <c r="B491" i="15"/>
  <c r="B490" i="15"/>
  <c r="B489" i="15"/>
  <c r="B488" i="15"/>
  <c r="B487" i="15"/>
  <c r="B486" i="15"/>
  <c r="B485" i="15"/>
  <c r="B484" i="15"/>
  <c r="B483" i="15"/>
  <c r="B482" i="15"/>
  <c r="B481" i="15"/>
  <c r="B480" i="15"/>
  <c r="B479" i="15"/>
  <c r="B478" i="15"/>
  <c r="B477" i="15"/>
  <c r="B476" i="15"/>
  <c r="B475" i="15"/>
  <c r="B474" i="15"/>
  <c r="B473" i="15"/>
  <c r="B472" i="15"/>
  <c r="B471" i="15"/>
  <c r="B470" i="15"/>
  <c r="B469" i="15"/>
  <c r="B468" i="15"/>
  <c r="B467" i="15"/>
  <c r="B466" i="15"/>
  <c r="B465" i="15"/>
  <c r="B464" i="15"/>
  <c r="B463" i="15"/>
  <c r="B462" i="15"/>
  <c r="B461" i="15"/>
  <c r="B460" i="15"/>
  <c r="B459" i="15"/>
  <c r="B458" i="15"/>
  <c r="B457" i="15"/>
  <c r="B456" i="15"/>
  <c r="B455" i="15"/>
  <c r="B454" i="15"/>
  <c r="B453" i="15"/>
  <c r="B452" i="15"/>
  <c r="B451" i="15"/>
  <c r="B450" i="15"/>
  <c r="B449" i="15"/>
  <c r="B448" i="15"/>
  <c r="B447" i="15"/>
  <c r="B446" i="15"/>
  <c r="B445" i="15"/>
  <c r="B444" i="15"/>
  <c r="B443" i="15"/>
  <c r="B442" i="15"/>
  <c r="B441" i="15"/>
  <c r="B440" i="15"/>
  <c r="B439" i="15"/>
  <c r="B438" i="15"/>
  <c r="B437" i="15"/>
  <c r="B436" i="15"/>
  <c r="B435" i="15"/>
  <c r="B434" i="15"/>
  <c r="B433" i="15"/>
  <c r="B432" i="15"/>
  <c r="B431" i="15"/>
  <c r="B430" i="15"/>
  <c r="B429" i="15"/>
  <c r="B428" i="15"/>
  <c r="B427" i="15"/>
  <c r="B426" i="15"/>
  <c r="B425" i="15"/>
  <c r="B424" i="15"/>
  <c r="B423" i="15"/>
  <c r="B422" i="15"/>
  <c r="B421" i="15"/>
  <c r="B420" i="15"/>
  <c r="B419" i="15"/>
  <c r="B418" i="15"/>
  <c r="B417" i="15"/>
  <c r="B416" i="15"/>
  <c r="B415" i="15"/>
  <c r="B414" i="15"/>
  <c r="B413" i="15"/>
  <c r="B412" i="15"/>
  <c r="B411" i="15"/>
  <c r="B410" i="15"/>
  <c r="B409" i="15"/>
  <c r="B408" i="15"/>
  <c r="B407" i="15"/>
  <c r="B406" i="15"/>
  <c r="B405" i="15"/>
  <c r="B404" i="15"/>
  <c r="B403" i="15"/>
  <c r="B402" i="15"/>
  <c r="B401" i="15"/>
  <c r="B400" i="15"/>
  <c r="B399" i="15"/>
  <c r="B398" i="15"/>
  <c r="B397" i="15"/>
  <c r="B396" i="15"/>
  <c r="B395" i="15"/>
  <c r="B394" i="15"/>
  <c r="B393" i="15"/>
  <c r="B392" i="15"/>
  <c r="B391" i="15"/>
  <c r="B390" i="15"/>
  <c r="B389" i="15"/>
  <c r="B388" i="15"/>
  <c r="B387" i="15"/>
  <c r="B386" i="15"/>
  <c r="B385" i="15"/>
  <c r="B384" i="15"/>
  <c r="B383" i="15"/>
  <c r="B382" i="15"/>
  <c r="B381" i="15"/>
  <c r="B380" i="15"/>
  <c r="B379" i="15"/>
  <c r="B378" i="15"/>
  <c r="B377" i="15"/>
  <c r="B376" i="15"/>
  <c r="B375" i="15"/>
  <c r="B374" i="15"/>
  <c r="B373" i="15"/>
  <c r="B372" i="15"/>
  <c r="B371" i="15"/>
  <c r="B370" i="15"/>
  <c r="B369" i="15"/>
  <c r="B368" i="15"/>
  <c r="B367" i="15"/>
  <c r="B366" i="15"/>
  <c r="B365" i="15"/>
  <c r="B364" i="15"/>
  <c r="B363" i="15"/>
  <c r="B362" i="15"/>
  <c r="B361" i="15"/>
  <c r="B360" i="15"/>
  <c r="B359" i="15"/>
  <c r="B358" i="15"/>
  <c r="B357" i="15"/>
  <c r="B356" i="15"/>
  <c r="B355" i="15"/>
  <c r="B354" i="15"/>
  <c r="B353" i="15"/>
  <c r="B352" i="15"/>
  <c r="B351" i="15"/>
  <c r="B350" i="15"/>
  <c r="B349" i="15"/>
  <c r="B348" i="15"/>
  <c r="B347" i="15"/>
  <c r="B346" i="15"/>
  <c r="B345" i="15"/>
  <c r="B344" i="15"/>
  <c r="B343" i="15"/>
  <c r="B342" i="15"/>
  <c r="B341" i="15"/>
  <c r="B340" i="15"/>
  <c r="B339" i="15"/>
  <c r="B338" i="15"/>
  <c r="B337" i="15"/>
  <c r="B336" i="15"/>
  <c r="B335" i="15"/>
  <c r="B334" i="15"/>
  <c r="B333" i="15"/>
  <c r="B332" i="15"/>
  <c r="B331" i="15"/>
  <c r="B330" i="15"/>
  <c r="B329" i="15"/>
  <c r="B328" i="15"/>
  <c r="B327" i="15"/>
  <c r="B326" i="15"/>
  <c r="B325" i="15"/>
  <c r="B324" i="15"/>
  <c r="B323" i="15"/>
  <c r="B322" i="15"/>
  <c r="B321" i="15"/>
  <c r="B320" i="15"/>
  <c r="B319" i="15"/>
  <c r="B318" i="15"/>
  <c r="B317" i="15"/>
  <c r="B316" i="15"/>
  <c r="B315" i="15"/>
  <c r="B314" i="15"/>
  <c r="B313" i="15"/>
  <c r="B312" i="15"/>
  <c r="B311" i="15"/>
  <c r="B310" i="15"/>
  <c r="B309" i="15"/>
  <c r="B308" i="15"/>
  <c r="B307" i="15"/>
  <c r="B306" i="15"/>
  <c r="B305" i="15"/>
  <c r="B304" i="15"/>
  <c r="B303" i="15"/>
  <c r="B302" i="15"/>
  <c r="B301" i="15"/>
  <c r="B300" i="15"/>
  <c r="B299" i="15"/>
  <c r="B298" i="15"/>
  <c r="B297" i="15"/>
  <c r="B296" i="15"/>
  <c r="B295" i="15"/>
  <c r="B294" i="15"/>
  <c r="B293" i="15"/>
  <c r="B292" i="15"/>
  <c r="B291" i="15"/>
  <c r="B290" i="15"/>
  <c r="B289" i="15"/>
  <c r="B288" i="15"/>
  <c r="B287" i="15"/>
  <c r="B286" i="15"/>
  <c r="B285" i="15"/>
  <c r="B284" i="15"/>
  <c r="B283" i="15"/>
  <c r="B282" i="15"/>
  <c r="B281" i="15"/>
  <c r="B280" i="15"/>
  <c r="B279" i="15"/>
  <c r="B278" i="15"/>
  <c r="B277" i="15"/>
  <c r="B276" i="15"/>
  <c r="B275" i="15"/>
  <c r="B274" i="15"/>
  <c r="B273" i="15"/>
  <c r="B272" i="15"/>
  <c r="B271" i="15"/>
  <c r="B270" i="15"/>
  <c r="B269" i="15"/>
  <c r="B268" i="15"/>
  <c r="B267" i="15"/>
  <c r="B266" i="15"/>
  <c r="B265" i="15"/>
  <c r="B264" i="15"/>
  <c r="B263" i="15"/>
  <c r="B262" i="15"/>
  <c r="B261" i="15"/>
  <c r="B260" i="15"/>
  <c r="B259" i="15"/>
  <c r="B258" i="15"/>
  <c r="B257" i="15"/>
  <c r="B256" i="15"/>
  <c r="B255" i="15"/>
  <c r="B254" i="15"/>
  <c r="B253" i="15"/>
  <c r="B252" i="15"/>
  <c r="B251" i="15"/>
  <c r="B250" i="15"/>
  <c r="B249" i="15"/>
  <c r="B248" i="15"/>
  <c r="B247" i="15"/>
  <c r="B246" i="15"/>
  <c r="B245" i="15"/>
  <c r="B244" i="15"/>
  <c r="B243" i="15"/>
  <c r="B242" i="15"/>
  <c r="B241" i="15"/>
  <c r="B240" i="15"/>
  <c r="B239" i="15"/>
  <c r="B238" i="15"/>
  <c r="B237" i="15"/>
  <c r="B236" i="15"/>
  <c r="B235" i="15"/>
  <c r="B234" i="15"/>
  <c r="B233" i="15"/>
  <c r="B232" i="15"/>
  <c r="B231" i="15"/>
  <c r="B230" i="15"/>
  <c r="B229" i="15"/>
  <c r="B228" i="15"/>
  <c r="B227" i="15"/>
  <c r="B226" i="15"/>
  <c r="B225" i="15"/>
  <c r="B224" i="15"/>
  <c r="B223" i="15"/>
  <c r="B222" i="15"/>
  <c r="B221" i="15"/>
  <c r="B220" i="15"/>
  <c r="B219" i="15"/>
  <c r="B218" i="15"/>
  <c r="B217" i="15"/>
  <c r="B216" i="15"/>
  <c r="B215" i="15"/>
  <c r="B214" i="15"/>
  <c r="B213" i="15"/>
  <c r="B212" i="15"/>
  <c r="B211" i="15"/>
  <c r="B210" i="15"/>
  <c r="B209" i="15"/>
  <c r="B208" i="15"/>
  <c r="B207" i="15"/>
  <c r="B206" i="15"/>
  <c r="B205" i="15"/>
  <c r="B204" i="15"/>
  <c r="B203" i="15"/>
  <c r="B202" i="15"/>
  <c r="B201" i="15"/>
  <c r="B200" i="15"/>
  <c r="B199" i="15"/>
  <c r="B198" i="15"/>
  <c r="B197" i="15"/>
  <c r="B196" i="15"/>
  <c r="B195" i="15"/>
  <c r="B194" i="15"/>
  <c r="B193" i="15"/>
  <c r="B192" i="15"/>
  <c r="B191" i="15"/>
  <c r="B190" i="15"/>
  <c r="B189" i="15"/>
  <c r="B188" i="15"/>
  <c r="B187" i="15"/>
  <c r="B186" i="15"/>
  <c r="B185" i="15"/>
  <c r="B184" i="15"/>
  <c r="B183" i="15"/>
  <c r="B182" i="15"/>
  <c r="B181" i="15"/>
  <c r="B180" i="15"/>
  <c r="B179" i="15"/>
  <c r="B178" i="15"/>
  <c r="B177" i="15"/>
  <c r="B176" i="15"/>
  <c r="B175" i="15"/>
  <c r="B174" i="15"/>
  <c r="B173" i="15"/>
  <c r="B172" i="15"/>
  <c r="B171" i="15"/>
  <c r="B170" i="15"/>
  <c r="B169" i="15"/>
  <c r="B168" i="15"/>
  <c r="B167" i="15"/>
  <c r="B166" i="15"/>
  <c r="B165" i="15"/>
  <c r="B164" i="15"/>
  <c r="B163" i="15"/>
  <c r="B162" i="15"/>
  <c r="B161" i="15"/>
  <c r="B160" i="15"/>
  <c r="B159" i="15"/>
  <c r="B158" i="15"/>
  <c r="B157" i="15"/>
  <c r="B156" i="15"/>
  <c r="B155" i="15"/>
  <c r="B154" i="15"/>
  <c r="B153" i="15"/>
  <c r="B152" i="15"/>
  <c r="B151" i="15"/>
  <c r="B150" i="15"/>
  <c r="B149" i="15"/>
  <c r="B148" i="15"/>
  <c r="B147" i="15"/>
  <c r="B146" i="15"/>
  <c r="B145" i="15"/>
  <c r="B144" i="15"/>
  <c r="B143" i="15"/>
  <c r="B142" i="15"/>
  <c r="B141" i="15"/>
  <c r="B140" i="15"/>
  <c r="B139" i="15"/>
  <c r="B138" i="15"/>
  <c r="B137" i="15"/>
  <c r="B136" i="15"/>
  <c r="B135" i="15"/>
  <c r="B134" i="15"/>
  <c r="B133" i="15"/>
  <c r="B132" i="15"/>
  <c r="B131" i="15"/>
  <c r="B130" i="15"/>
  <c r="B129" i="15"/>
  <c r="B128" i="15"/>
  <c r="B127" i="15"/>
  <c r="B126" i="15"/>
  <c r="B125" i="15"/>
  <c r="B124" i="15"/>
  <c r="B123" i="15"/>
  <c r="B122" i="15"/>
  <c r="B121" i="15"/>
  <c r="B120" i="15"/>
  <c r="B119" i="15"/>
  <c r="B118" i="15"/>
  <c r="B117" i="15"/>
  <c r="B116" i="15"/>
  <c r="B115" i="15"/>
  <c r="B114" i="15"/>
  <c r="B113" i="15"/>
  <c r="B112" i="15"/>
  <c r="B111" i="15"/>
  <c r="B110" i="15"/>
  <c r="B109" i="15"/>
  <c r="B108" i="15"/>
  <c r="B107" i="15"/>
  <c r="B106" i="15"/>
  <c r="B105" i="15"/>
  <c r="B104" i="15"/>
  <c r="B103" i="15"/>
  <c r="B102" i="15"/>
  <c r="B101" i="15"/>
  <c r="B100" i="15"/>
  <c r="B99" i="15"/>
  <c r="B98" i="15"/>
  <c r="B97" i="15"/>
  <c r="B96" i="15"/>
  <c r="B95" i="15"/>
  <c r="B94" i="15"/>
  <c r="B93" i="15"/>
  <c r="B92" i="15"/>
  <c r="B91" i="15"/>
  <c r="B90" i="15"/>
  <c r="B89" i="15"/>
  <c r="B88" i="15"/>
  <c r="B87" i="15"/>
  <c r="B86" i="15"/>
  <c r="B85" i="15"/>
  <c r="B84" i="15"/>
  <c r="B83" i="15"/>
  <c r="B82" i="15"/>
  <c r="B81" i="15"/>
  <c r="B80" i="15"/>
  <c r="B79" i="15"/>
  <c r="B78" i="15"/>
  <c r="B77" i="15"/>
  <c r="B76" i="15"/>
  <c r="B75" i="15"/>
  <c r="B74" i="15"/>
  <c r="B73" i="15"/>
  <c r="B72" i="15"/>
  <c r="B71" i="15"/>
  <c r="B70" i="15"/>
  <c r="B69" i="15"/>
  <c r="B68" i="15"/>
  <c r="B67" i="15"/>
  <c r="B66" i="15"/>
  <c r="B65" i="15"/>
  <c r="B64" i="15"/>
  <c r="B63" i="15"/>
  <c r="B62" i="15"/>
  <c r="B61" i="15"/>
  <c r="B60" i="15"/>
  <c r="B59" i="15"/>
  <c r="B58" i="15"/>
  <c r="B57" i="15"/>
  <c r="B56" i="15"/>
  <c r="B55" i="15"/>
  <c r="B54" i="15"/>
  <c r="B53" i="15"/>
  <c r="B52" i="15"/>
  <c r="B51" i="15"/>
  <c r="B50" i="15"/>
  <c r="B49" i="15"/>
  <c r="B48" i="15"/>
  <c r="B47" i="15"/>
  <c r="B46" i="15"/>
  <c r="B45" i="15"/>
  <c r="B44" i="15"/>
  <c r="B43" i="15"/>
  <c r="B42" i="15"/>
  <c r="B41" i="15"/>
  <c r="B1000" i="14"/>
  <c r="B999" i="14"/>
  <c r="B998" i="14"/>
  <c r="B997" i="14"/>
  <c r="B996" i="14"/>
  <c r="B995" i="14"/>
  <c r="B994" i="14"/>
  <c r="B993" i="14"/>
  <c r="B992" i="14"/>
  <c r="B991" i="14"/>
  <c r="B990" i="14"/>
  <c r="B989" i="14"/>
  <c r="B988" i="14"/>
  <c r="B987" i="14"/>
  <c r="B986" i="14"/>
  <c r="B985" i="14"/>
  <c r="B984" i="14"/>
  <c r="B983" i="14"/>
  <c r="B982" i="14"/>
  <c r="B981" i="14"/>
  <c r="B980" i="14"/>
  <c r="B979" i="14"/>
  <c r="B978" i="14"/>
  <c r="B977" i="14"/>
  <c r="B976" i="14"/>
  <c r="B975" i="14"/>
  <c r="B974" i="14"/>
  <c r="B973" i="14"/>
  <c r="B972" i="14"/>
  <c r="B971" i="14"/>
  <c r="B970" i="14"/>
  <c r="B969" i="14"/>
  <c r="B968" i="14"/>
  <c r="B967" i="14"/>
  <c r="B966" i="14"/>
  <c r="B965" i="14"/>
  <c r="B964" i="14"/>
  <c r="B963" i="14"/>
  <c r="B962" i="14"/>
  <c r="B961" i="14"/>
  <c r="B960" i="14"/>
  <c r="B959" i="14"/>
  <c r="B958" i="14"/>
  <c r="B957" i="14"/>
  <c r="B956" i="14"/>
  <c r="B955" i="14"/>
  <c r="B954" i="14"/>
  <c r="B953" i="14"/>
  <c r="B952" i="14"/>
  <c r="B951" i="14"/>
  <c r="B950" i="14"/>
  <c r="B949" i="14"/>
  <c r="B948" i="14"/>
  <c r="B947" i="14"/>
  <c r="B946" i="14"/>
  <c r="B945" i="14"/>
  <c r="B944" i="14"/>
  <c r="B943" i="14"/>
  <c r="B942" i="14"/>
  <c r="B941" i="14"/>
  <c r="B940" i="14"/>
  <c r="B939" i="14"/>
  <c r="B938" i="14"/>
  <c r="B937" i="14"/>
  <c r="B936" i="14"/>
  <c r="B935" i="14"/>
  <c r="B934" i="14"/>
  <c r="B933" i="14"/>
  <c r="B932" i="14"/>
  <c r="B931" i="14"/>
  <c r="B930" i="14"/>
  <c r="B929" i="14"/>
  <c r="B928" i="14"/>
  <c r="B927" i="14"/>
  <c r="B926" i="14"/>
  <c r="B925" i="14"/>
  <c r="B924" i="14"/>
  <c r="B923" i="14"/>
  <c r="B922" i="14"/>
  <c r="B921" i="14"/>
  <c r="B920" i="14"/>
  <c r="B919" i="14"/>
  <c r="B918" i="14"/>
  <c r="B917" i="14"/>
  <c r="B916" i="14"/>
  <c r="B915" i="14"/>
  <c r="B914" i="14"/>
  <c r="B913" i="14"/>
  <c r="B912" i="14"/>
  <c r="B911" i="14"/>
  <c r="B910" i="14"/>
  <c r="B909" i="14"/>
  <c r="B908" i="14"/>
  <c r="B907" i="14"/>
  <c r="B906" i="14"/>
  <c r="B905" i="14"/>
  <c r="B904" i="14"/>
  <c r="B903" i="14"/>
  <c r="B902" i="14"/>
  <c r="B901" i="14"/>
  <c r="B900" i="14"/>
  <c r="B899" i="14"/>
  <c r="B898" i="14"/>
  <c r="B897" i="14"/>
  <c r="B896" i="14"/>
  <c r="B895" i="14"/>
  <c r="B894" i="14"/>
  <c r="B893" i="14"/>
  <c r="B892" i="14"/>
  <c r="B891" i="14"/>
  <c r="B890" i="14"/>
  <c r="B889" i="14"/>
  <c r="B888" i="14"/>
  <c r="B887" i="14"/>
  <c r="B886" i="14"/>
  <c r="B885" i="14"/>
  <c r="B884" i="14"/>
  <c r="B883" i="14"/>
  <c r="B882" i="14"/>
  <c r="B881" i="14"/>
  <c r="B880" i="14"/>
  <c r="B879" i="14"/>
  <c r="B878" i="14"/>
  <c r="B877" i="14"/>
  <c r="B876" i="14"/>
  <c r="B875" i="14"/>
  <c r="B874" i="14"/>
  <c r="B873" i="14"/>
  <c r="B872" i="14"/>
  <c r="B871" i="14"/>
  <c r="B870" i="14"/>
  <c r="B869" i="14"/>
  <c r="B868" i="14"/>
  <c r="B867" i="14"/>
  <c r="B866" i="14"/>
  <c r="B865" i="14"/>
  <c r="B864" i="14"/>
  <c r="B863" i="14"/>
  <c r="B862" i="14"/>
  <c r="B861" i="14"/>
  <c r="B860" i="14"/>
  <c r="B859" i="14"/>
  <c r="B858" i="14"/>
  <c r="B857" i="14"/>
  <c r="B856" i="14"/>
  <c r="B855" i="14"/>
  <c r="B854" i="14"/>
  <c r="B853" i="14"/>
  <c r="B852" i="14"/>
  <c r="B851" i="14"/>
  <c r="B850" i="14"/>
  <c r="B849" i="14"/>
  <c r="B848" i="14"/>
  <c r="B847" i="14"/>
  <c r="B846" i="14"/>
  <c r="B845" i="14"/>
  <c r="B844" i="14"/>
  <c r="B843" i="14"/>
  <c r="B842" i="14"/>
  <c r="B841" i="14"/>
  <c r="B840" i="14"/>
  <c r="B839" i="14"/>
  <c r="B838" i="14"/>
  <c r="B837" i="14"/>
  <c r="B836" i="14"/>
  <c r="B835" i="14"/>
  <c r="B834" i="14"/>
  <c r="B833" i="14"/>
  <c r="B832" i="14"/>
  <c r="B831" i="14"/>
  <c r="B830" i="14"/>
  <c r="B829" i="14"/>
  <c r="B828" i="14"/>
  <c r="B827" i="14"/>
  <c r="B826" i="14"/>
  <c r="B825" i="14"/>
  <c r="B824" i="14"/>
  <c r="B823" i="14"/>
  <c r="B822" i="14"/>
  <c r="B821" i="14"/>
  <c r="B820" i="14"/>
  <c r="B819" i="14"/>
  <c r="B818" i="14"/>
  <c r="B817" i="14"/>
  <c r="B816" i="14"/>
  <c r="B815" i="14"/>
  <c r="B814" i="14"/>
  <c r="B813" i="14"/>
  <c r="B812" i="14"/>
  <c r="B811" i="14"/>
  <c r="B810" i="14"/>
  <c r="B809" i="14"/>
  <c r="B808" i="14"/>
  <c r="B807" i="14"/>
  <c r="B806" i="14"/>
  <c r="B805" i="14"/>
  <c r="B804" i="14"/>
  <c r="B803" i="14"/>
  <c r="B802" i="14"/>
  <c r="B801" i="14"/>
  <c r="B800" i="14"/>
  <c r="B799" i="14"/>
  <c r="B798" i="14"/>
  <c r="B797" i="14"/>
  <c r="B796" i="14"/>
  <c r="B795" i="14"/>
  <c r="B794" i="14"/>
  <c r="B793" i="14"/>
  <c r="B792" i="14"/>
  <c r="B791" i="14"/>
  <c r="B790" i="14"/>
  <c r="B789" i="14"/>
  <c r="B788" i="14"/>
  <c r="B787" i="14"/>
  <c r="B786" i="14"/>
  <c r="B785" i="14"/>
  <c r="B784" i="14"/>
  <c r="B783" i="14"/>
  <c r="B782" i="14"/>
  <c r="B781" i="14"/>
  <c r="B780" i="14"/>
  <c r="B779" i="14"/>
  <c r="B778" i="14"/>
  <c r="B777" i="14"/>
  <c r="B776" i="14"/>
  <c r="B775" i="14"/>
  <c r="B774" i="14"/>
  <c r="B773" i="14"/>
  <c r="B772" i="14"/>
  <c r="B771" i="14"/>
  <c r="B770" i="14"/>
  <c r="B769" i="14"/>
  <c r="B768" i="14"/>
  <c r="B767" i="14"/>
  <c r="B766" i="14"/>
  <c r="B765" i="14"/>
  <c r="B764" i="14"/>
  <c r="B763" i="14"/>
  <c r="B762" i="14"/>
  <c r="B761" i="14"/>
  <c r="B760" i="14"/>
  <c r="B759" i="14"/>
  <c r="B758" i="14"/>
  <c r="B757" i="14"/>
  <c r="B756" i="14"/>
  <c r="B755" i="14"/>
  <c r="B754" i="14"/>
  <c r="B753" i="14"/>
  <c r="B752" i="14"/>
  <c r="B751" i="14"/>
  <c r="B750" i="14"/>
  <c r="B749" i="14"/>
  <c r="B748" i="14"/>
  <c r="B747" i="14"/>
  <c r="B746" i="14"/>
  <c r="B745" i="14"/>
  <c r="B744" i="14"/>
  <c r="B743" i="14"/>
  <c r="B742" i="14"/>
  <c r="B741" i="14"/>
  <c r="B740" i="14"/>
  <c r="B739" i="14"/>
  <c r="B738" i="14"/>
  <c r="B737" i="14"/>
  <c r="B736" i="14"/>
  <c r="B735" i="14"/>
  <c r="B734" i="14"/>
  <c r="B733" i="14"/>
  <c r="B732" i="14"/>
  <c r="B731" i="14"/>
  <c r="B730" i="14"/>
  <c r="B729" i="14"/>
  <c r="B728" i="14"/>
  <c r="B727" i="14"/>
  <c r="B726" i="14"/>
  <c r="B725" i="14"/>
  <c r="B724" i="14"/>
  <c r="B723" i="14"/>
  <c r="B722" i="14"/>
  <c r="B721" i="14"/>
  <c r="B720" i="14"/>
  <c r="B719" i="14"/>
  <c r="B718" i="14"/>
  <c r="B717" i="14"/>
  <c r="B716" i="14"/>
  <c r="B715" i="14"/>
  <c r="B714" i="14"/>
  <c r="B713" i="14"/>
  <c r="B712" i="14"/>
  <c r="B711" i="14"/>
  <c r="B710" i="14"/>
  <c r="B709" i="14"/>
  <c r="B708" i="14"/>
  <c r="B707" i="14"/>
  <c r="B706" i="14"/>
  <c r="B705" i="14"/>
  <c r="B704" i="14"/>
  <c r="B703" i="14"/>
  <c r="B702" i="14"/>
  <c r="B701" i="14"/>
  <c r="B700" i="14"/>
  <c r="B699" i="14"/>
  <c r="B698" i="14"/>
  <c r="B697" i="14"/>
  <c r="B696" i="14"/>
  <c r="B695" i="14"/>
  <c r="B694" i="14"/>
  <c r="B693" i="14"/>
  <c r="B692" i="14"/>
  <c r="B691" i="14"/>
  <c r="B690" i="14"/>
  <c r="B689" i="14"/>
  <c r="B688" i="14"/>
  <c r="B687" i="14"/>
  <c r="B686" i="14"/>
  <c r="B685" i="14"/>
  <c r="B684" i="14"/>
  <c r="B683" i="14"/>
  <c r="B682" i="14"/>
  <c r="B681" i="14"/>
  <c r="B680" i="14"/>
  <c r="B679" i="14"/>
  <c r="B678" i="14"/>
  <c r="B677" i="14"/>
  <c r="B676" i="14"/>
  <c r="B675" i="14"/>
  <c r="B674" i="14"/>
  <c r="B673" i="14"/>
  <c r="B672" i="14"/>
  <c r="B671" i="14"/>
  <c r="B670" i="14"/>
  <c r="B669" i="14"/>
  <c r="B668" i="14"/>
  <c r="B667" i="14"/>
  <c r="B666" i="14"/>
  <c r="B665" i="14"/>
  <c r="B664" i="14"/>
  <c r="B663" i="14"/>
  <c r="B662" i="14"/>
  <c r="B661" i="14"/>
  <c r="B660" i="14"/>
  <c r="B659" i="14"/>
  <c r="B658" i="14"/>
  <c r="B657" i="14"/>
  <c r="B656" i="14"/>
  <c r="B655" i="14"/>
  <c r="B654" i="14"/>
  <c r="B653" i="14"/>
  <c r="B652" i="14"/>
  <c r="B651" i="14"/>
  <c r="B650" i="14"/>
  <c r="B649" i="14"/>
  <c r="B648" i="14"/>
  <c r="B647" i="14"/>
  <c r="B646" i="14"/>
  <c r="B645" i="14"/>
  <c r="B644" i="14"/>
  <c r="B643" i="14"/>
  <c r="B642" i="14"/>
  <c r="B641" i="14"/>
  <c r="B640" i="14"/>
  <c r="B639" i="14"/>
  <c r="B638" i="14"/>
  <c r="B637" i="14"/>
  <c r="B636" i="14"/>
  <c r="B635" i="14"/>
  <c r="B634" i="14"/>
  <c r="B633" i="14"/>
  <c r="B632" i="14"/>
  <c r="B631" i="14"/>
  <c r="B630" i="14"/>
  <c r="B629" i="14"/>
  <c r="B628" i="14"/>
  <c r="B627" i="14"/>
  <c r="B626" i="14"/>
  <c r="B625" i="14"/>
  <c r="B624" i="14"/>
  <c r="B623" i="14"/>
  <c r="B622" i="14"/>
  <c r="B621" i="14"/>
  <c r="B620" i="14"/>
  <c r="B619" i="14"/>
  <c r="B618" i="14"/>
  <c r="B617" i="14"/>
  <c r="B616" i="14"/>
  <c r="B615" i="14"/>
  <c r="B614" i="14"/>
  <c r="B613" i="14"/>
  <c r="B612" i="14"/>
  <c r="B611" i="14"/>
  <c r="B610" i="14"/>
  <c r="B609" i="14"/>
  <c r="B608" i="14"/>
  <c r="B607" i="14"/>
  <c r="B606" i="14"/>
  <c r="B605" i="14"/>
  <c r="B604" i="14"/>
  <c r="B603" i="14"/>
  <c r="B602" i="14"/>
  <c r="B601" i="14"/>
  <c r="B600" i="14"/>
  <c r="B599" i="14"/>
  <c r="B598" i="14"/>
  <c r="B597" i="14"/>
  <c r="B596" i="14"/>
  <c r="B595" i="14"/>
  <c r="B594" i="14"/>
  <c r="B593" i="14"/>
  <c r="B592" i="14"/>
  <c r="B591" i="14"/>
  <c r="B590" i="14"/>
  <c r="B589" i="14"/>
  <c r="B588" i="14"/>
  <c r="B587" i="14"/>
  <c r="B586" i="14"/>
  <c r="B585" i="14"/>
  <c r="B584" i="14"/>
  <c r="B583" i="14"/>
  <c r="B582" i="14"/>
  <c r="B581" i="14"/>
  <c r="B580" i="14"/>
  <c r="B579" i="14"/>
  <c r="B578" i="14"/>
  <c r="B577" i="14"/>
  <c r="B576" i="14"/>
  <c r="B575" i="14"/>
  <c r="B574" i="14"/>
  <c r="B573" i="14"/>
  <c r="B572" i="14"/>
  <c r="B571" i="14"/>
  <c r="B570" i="14"/>
  <c r="B569" i="14"/>
  <c r="B568" i="14"/>
  <c r="B567" i="14"/>
  <c r="B566" i="14"/>
  <c r="B565" i="14"/>
  <c r="B564" i="14"/>
  <c r="B563" i="14"/>
  <c r="B562" i="14"/>
  <c r="B561" i="14"/>
  <c r="B560" i="14"/>
  <c r="B559" i="14"/>
  <c r="B558" i="14"/>
  <c r="B557" i="14"/>
  <c r="B556" i="14"/>
  <c r="B555" i="14"/>
  <c r="B554" i="14"/>
  <c r="B553" i="14"/>
  <c r="B552" i="14"/>
  <c r="B551" i="14"/>
  <c r="B550" i="14"/>
  <c r="B549" i="14"/>
  <c r="B548" i="14"/>
  <c r="B547" i="14"/>
  <c r="B546" i="14"/>
  <c r="B545" i="14"/>
  <c r="B544" i="14"/>
  <c r="B543" i="14"/>
  <c r="B542" i="14"/>
  <c r="B541" i="14"/>
  <c r="B540" i="14"/>
  <c r="B539" i="14"/>
  <c r="B538" i="14"/>
  <c r="B537" i="14"/>
  <c r="B536" i="14"/>
  <c r="B535" i="14"/>
  <c r="B534" i="14"/>
  <c r="B533" i="14"/>
  <c r="B532" i="14"/>
  <c r="B531" i="14"/>
  <c r="B530" i="14"/>
  <c r="B529" i="14"/>
  <c r="B528" i="14"/>
  <c r="B527" i="14"/>
  <c r="B526" i="14"/>
  <c r="B525" i="14"/>
  <c r="B524" i="14"/>
  <c r="B523" i="14"/>
  <c r="B522" i="14"/>
  <c r="B521" i="14"/>
  <c r="B520" i="14"/>
  <c r="B519" i="14"/>
  <c r="B518" i="14"/>
  <c r="B517" i="14"/>
  <c r="B516" i="14"/>
  <c r="B515" i="14"/>
  <c r="B514" i="14"/>
  <c r="B513" i="14"/>
  <c r="B512" i="14"/>
  <c r="B511" i="14"/>
  <c r="B510" i="14"/>
  <c r="B509" i="14"/>
  <c r="B508" i="14"/>
  <c r="B507" i="14"/>
  <c r="B506" i="14"/>
  <c r="B505" i="14"/>
  <c r="B504" i="14"/>
  <c r="B503" i="14"/>
  <c r="B502" i="14"/>
  <c r="B501" i="14"/>
  <c r="B500" i="14"/>
  <c r="B499" i="14"/>
  <c r="B498" i="14"/>
  <c r="B497" i="14"/>
  <c r="B496" i="14"/>
  <c r="B495" i="14"/>
  <c r="B494" i="14"/>
  <c r="B493" i="14"/>
  <c r="B492" i="14"/>
  <c r="B491" i="14"/>
  <c r="B490" i="14"/>
  <c r="B489" i="14"/>
  <c r="B488" i="14"/>
  <c r="B487" i="14"/>
  <c r="B486" i="14"/>
  <c r="B485" i="14"/>
  <c r="B484" i="14"/>
  <c r="B483" i="14"/>
  <c r="B482" i="14"/>
  <c r="B481" i="14"/>
  <c r="B480" i="14"/>
  <c r="B479" i="14"/>
  <c r="B478" i="14"/>
  <c r="B477" i="14"/>
  <c r="B476" i="14"/>
  <c r="B475" i="14"/>
  <c r="B474" i="14"/>
  <c r="B473" i="14"/>
  <c r="B472" i="14"/>
  <c r="B471" i="14"/>
  <c r="B470" i="14"/>
  <c r="B469" i="14"/>
  <c r="B468" i="14"/>
  <c r="B467" i="14"/>
  <c r="B466" i="14"/>
  <c r="B465" i="14"/>
  <c r="B464" i="14"/>
  <c r="B463" i="14"/>
  <c r="B462" i="14"/>
  <c r="B461" i="14"/>
  <c r="B460" i="14"/>
  <c r="B459" i="14"/>
  <c r="B458" i="14"/>
  <c r="B457" i="14"/>
  <c r="B456" i="14"/>
  <c r="B455" i="14"/>
  <c r="B454" i="14"/>
  <c r="B453" i="14"/>
  <c r="B452" i="14"/>
  <c r="B451" i="14"/>
  <c r="B450" i="14"/>
  <c r="B449" i="14"/>
  <c r="B448" i="14"/>
  <c r="B447" i="14"/>
  <c r="B446" i="14"/>
  <c r="B445" i="14"/>
  <c r="B444" i="14"/>
  <c r="B443" i="14"/>
  <c r="B442" i="14"/>
  <c r="B441" i="14"/>
  <c r="B440" i="14"/>
  <c r="B439" i="14"/>
  <c r="B438" i="14"/>
  <c r="B437" i="14"/>
  <c r="B436" i="14"/>
  <c r="B435" i="14"/>
  <c r="B434" i="14"/>
  <c r="B433" i="14"/>
  <c r="B432" i="14"/>
  <c r="B431" i="14"/>
  <c r="B430" i="14"/>
  <c r="B429" i="14"/>
  <c r="B428" i="14"/>
  <c r="B427" i="14"/>
  <c r="B426" i="14"/>
  <c r="B425" i="14"/>
  <c r="B424" i="14"/>
  <c r="B423" i="14"/>
  <c r="B422" i="14"/>
  <c r="B421" i="14"/>
  <c r="B420" i="14"/>
  <c r="B419" i="14"/>
  <c r="B418" i="14"/>
  <c r="B417" i="14"/>
  <c r="B416" i="14"/>
  <c r="B415" i="14"/>
  <c r="B414" i="14"/>
  <c r="B413" i="14"/>
  <c r="B412" i="14"/>
  <c r="B411" i="14"/>
  <c r="B410" i="14"/>
  <c r="B409" i="14"/>
  <c r="B408" i="14"/>
  <c r="B407" i="14"/>
  <c r="B406" i="14"/>
  <c r="B405" i="14"/>
  <c r="B404" i="14"/>
  <c r="B403" i="14"/>
  <c r="B402" i="14"/>
  <c r="B401" i="14"/>
  <c r="B400" i="14"/>
  <c r="B399" i="14"/>
  <c r="B398" i="14"/>
  <c r="B397" i="14"/>
  <c r="B396" i="14"/>
  <c r="B395" i="14"/>
  <c r="B394" i="14"/>
  <c r="B393" i="14"/>
  <c r="B392" i="14"/>
  <c r="B391" i="14"/>
  <c r="B390" i="14"/>
  <c r="B389" i="14"/>
  <c r="B388" i="14"/>
  <c r="B387" i="14"/>
  <c r="B386" i="14"/>
  <c r="B385" i="14"/>
  <c r="B384" i="14"/>
  <c r="B383" i="14"/>
  <c r="B382" i="14"/>
  <c r="B381" i="14"/>
  <c r="B380" i="14"/>
  <c r="B379" i="14"/>
  <c r="B378" i="14"/>
  <c r="B377" i="14"/>
  <c r="B376" i="14"/>
  <c r="B375" i="14"/>
  <c r="B374" i="14"/>
  <c r="B373" i="14"/>
  <c r="B372" i="14"/>
  <c r="B371" i="14"/>
  <c r="B370" i="14"/>
  <c r="B369" i="14"/>
  <c r="B368" i="14"/>
  <c r="B367" i="14"/>
  <c r="B366" i="14"/>
  <c r="B365" i="14"/>
  <c r="B364" i="14"/>
  <c r="B363" i="14"/>
  <c r="B362" i="14"/>
  <c r="B361" i="14"/>
  <c r="B360" i="14"/>
  <c r="B359" i="14"/>
  <c r="B358" i="14"/>
  <c r="B357" i="14"/>
  <c r="B356" i="14"/>
  <c r="B355" i="14"/>
  <c r="B354" i="14"/>
  <c r="B353" i="14"/>
  <c r="B352" i="14"/>
  <c r="B351" i="14"/>
  <c r="B350" i="14"/>
  <c r="B349" i="14"/>
  <c r="B348" i="14"/>
  <c r="B347" i="14"/>
  <c r="B346" i="14"/>
  <c r="B345" i="14"/>
  <c r="B344" i="14"/>
  <c r="B343" i="14"/>
  <c r="B342" i="14"/>
  <c r="B341" i="14"/>
  <c r="B340" i="14"/>
  <c r="B339" i="14"/>
  <c r="B338" i="14"/>
  <c r="B337" i="14"/>
  <c r="B336" i="14"/>
  <c r="B335" i="14"/>
  <c r="B334" i="14"/>
  <c r="B333" i="14"/>
  <c r="B332" i="14"/>
  <c r="B331" i="14"/>
  <c r="B330" i="14"/>
  <c r="B329" i="14"/>
  <c r="B328" i="14"/>
  <c r="B327" i="14"/>
  <c r="B326" i="14"/>
  <c r="B325" i="14"/>
  <c r="B324" i="14"/>
  <c r="B323" i="14"/>
  <c r="B322" i="14"/>
  <c r="B321" i="14"/>
  <c r="B320" i="14"/>
  <c r="B319" i="14"/>
  <c r="B318" i="14"/>
  <c r="B317" i="14"/>
  <c r="B316" i="14"/>
  <c r="B315" i="14"/>
  <c r="B314" i="14"/>
  <c r="B313" i="14"/>
  <c r="B312" i="14"/>
  <c r="B311" i="14"/>
  <c r="B310" i="14"/>
  <c r="B309" i="14"/>
  <c r="B308" i="14"/>
  <c r="B307" i="14"/>
  <c r="B306" i="14"/>
  <c r="B305" i="14"/>
  <c r="B304" i="14"/>
  <c r="B303" i="14"/>
  <c r="B302" i="14"/>
  <c r="B301" i="14"/>
  <c r="B300" i="14"/>
  <c r="B299" i="14"/>
  <c r="B298" i="14"/>
  <c r="B297" i="14"/>
  <c r="B296" i="14"/>
  <c r="B295" i="14"/>
  <c r="B294" i="14"/>
  <c r="B293" i="14"/>
  <c r="B292" i="14"/>
  <c r="B291" i="14"/>
  <c r="B290" i="14"/>
  <c r="B289" i="14"/>
  <c r="B288" i="14"/>
  <c r="B287" i="14"/>
  <c r="B286" i="14"/>
  <c r="B285" i="14"/>
  <c r="B284" i="14"/>
  <c r="B283" i="14"/>
  <c r="B282" i="14"/>
  <c r="B281" i="14"/>
  <c r="B280" i="14"/>
  <c r="B279" i="14"/>
  <c r="B278" i="14"/>
  <c r="B277" i="14"/>
  <c r="B276" i="14"/>
  <c r="B275" i="14"/>
  <c r="B274" i="14"/>
  <c r="B273" i="14"/>
  <c r="B272" i="14"/>
  <c r="B271" i="14"/>
  <c r="B270" i="14"/>
  <c r="B269" i="14"/>
  <c r="B268" i="14"/>
  <c r="B267" i="14"/>
  <c r="B266" i="14"/>
  <c r="B265" i="14"/>
  <c r="B264" i="14"/>
  <c r="B263" i="14"/>
  <c r="B262" i="14"/>
  <c r="B261" i="14"/>
  <c r="B260" i="14"/>
  <c r="B259" i="14"/>
  <c r="B258" i="14"/>
  <c r="B257" i="14"/>
  <c r="B256" i="14"/>
  <c r="B255" i="14"/>
  <c r="B254" i="14"/>
  <c r="B253" i="14"/>
  <c r="B252" i="14"/>
  <c r="B251" i="14"/>
  <c r="B250" i="14"/>
  <c r="B249" i="14"/>
  <c r="B248" i="14"/>
  <c r="B247" i="14"/>
  <c r="B246" i="14"/>
  <c r="B245" i="14"/>
  <c r="B244" i="14"/>
  <c r="B243" i="14"/>
  <c r="B242" i="14"/>
  <c r="B241" i="14"/>
  <c r="B240" i="14"/>
  <c r="B239" i="14"/>
  <c r="B238" i="14"/>
  <c r="B237" i="14"/>
  <c r="B236" i="14"/>
  <c r="B235" i="14"/>
  <c r="B234" i="14"/>
  <c r="B233" i="14"/>
  <c r="B232" i="14"/>
  <c r="B231" i="14"/>
  <c r="B230" i="14"/>
  <c r="B229" i="14"/>
  <c r="B228" i="14"/>
  <c r="B227" i="14"/>
  <c r="B226" i="14"/>
  <c r="B225" i="14"/>
  <c r="B224" i="14"/>
  <c r="B223" i="14"/>
  <c r="B222" i="14"/>
  <c r="B221" i="14"/>
  <c r="B220" i="14"/>
  <c r="B219" i="14"/>
  <c r="B218" i="14"/>
  <c r="B217" i="14"/>
  <c r="B216" i="14"/>
  <c r="B215" i="14"/>
  <c r="B214" i="14"/>
  <c r="B213" i="14"/>
  <c r="B212" i="14"/>
  <c r="B211" i="14"/>
  <c r="B210" i="14"/>
  <c r="B209" i="14"/>
  <c r="B208" i="14"/>
  <c r="B207" i="14"/>
  <c r="B206" i="14"/>
  <c r="B205" i="14"/>
  <c r="B204" i="14"/>
  <c r="B203" i="14"/>
  <c r="B202" i="14"/>
  <c r="B201" i="14"/>
  <c r="B200" i="14"/>
  <c r="B199" i="14"/>
  <c r="B198" i="14"/>
  <c r="B197" i="14"/>
  <c r="B196" i="14"/>
  <c r="B195" i="14"/>
  <c r="B194" i="14"/>
  <c r="B193" i="14"/>
  <c r="B192" i="14"/>
  <c r="B191" i="14"/>
  <c r="B190" i="14"/>
  <c r="B189" i="14"/>
  <c r="B188" i="14"/>
  <c r="B187" i="14"/>
  <c r="B186" i="14"/>
  <c r="B185" i="14"/>
  <c r="B184" i="14"/>
  <c r="B183" i="14"/>
  <c r="B182" i="14"/>
  <c r="B181" i="14"/>
  <c r="B180" i="14"/>
  <c r="B179" i="14"/>
  <c r="B178" i="14"/>
  <c r="B177" i="14"/>
  <c r="B176" i="14"/>
  <c r="B175" i="14"/>
  <c r="B174" i="14"/>
  <c r="B173" i="14"/>
  <c r="B172" i="14"/>
  <c r="B171" i="14"/>
  <c r="B170" i="14"/>
  <c r="B169" i="14"/>
  <c r="B168" i="14"/>
  <c r="B167" i="14"/>
  <c r="B166" i="14"/>
  <c r="B165" i="14"/>
  <c r="B164" i="14"/>
  <c r="B163" i="14"/>
  <c r="B162" i="14"/>
  <c r="B161" i="14"/>
  <c r="B160" i="14"/>
  <c r="B159" i="14"/>
  <c r="B158" i="14"/>
  <c r="B157" i="14"/>
  <c r="B156" i="14"/>
  <c r="B155" i="14"/>
  <c r="B154" i="14"/>
  <c r="B153" i="14"/>
  <c r="B152" i="14"/>
  <c r="B151" i="14"/>
  <c r="B150" i="14"/>
  <c r="B149" i="14"/>
  <c r="B148" i="14"/>
  <c r="B147" i="14"/>
  <c r="B146" i="14"/>
  <c r="B145" i="14"/>
  <c r="B144" i="14"/>
  <c r="B143" i="14"/>
  <c r="B142" i="14"/>
  <c r="B141" i="14"/>
  <c r="B140" i="14"/>
  <c r="B139" i="14"/>
  <c r="B138" i="14"/>
  <c r="B137" i="14"/>
  <c r="B136" i="14"/>
  <c r="B135" i="14"/>
  <c r="B134" i="14"/>
  <c r="B133" i="14"/>
  <c r="B132" i="14"/>
  <c r="B131" i="14"/>
  <c r="B130" i="14"/>
  <c r="B129" i="14"/>
  <c r="B128" i="14"/>
  <c r="B127" i="14"/>
  <c r="B126" i="14"/>
  <c r="B125" i="14"/>
  <c r="B124" i="14"/>
  <c r="B123" i="14"/>
  <c r="B122" i="14"/>
  <c r="B121" i="14"/>
  <c r="B120" i="14"/>
  <c r="B119" i="14"/>
  <c r="B118" i="14"/>
  <c r="B117" i="14"/>
  <c r="B116" i="14"/>
  <c r="B115" i="14"/>
  <c r="B114" i="14"/>
  <c r="B113" i="14"/>
  <c r="B112" i="14"/>
  <c r="B111" i="14"/>
  <c r="B110" i="14"/>
  <c r="B109" i="14"/>
  <c r="B108" i="14"/>
  <c r="B107" i="14"/>
  <c r="B106" i="14"/>
  <c r="B105" i="14"/>
  <c r="B104" i="14"/>
  <c r="B103" i="14"/>
  <c r="B102" i="14"/>
  <c r="B101" i="14"/>
  <c r="B100" i="14"/>
  <c r="B99" i="14"/>
  <c r="B98" i="14"/>
  <c r="B97" i="14"/>
  <c r="B96" i="14"/>
  <c r="B95" i="14"/>
  <c r="B94" i="14"/>
  <c r="B93" i="14"/>
  <c r="B92" i="14"/>
  <c r="B91" i="14"/>
  <c r="B90" i="14"/>
  <c r="B89" i="14"/>
  <c r="B88" i="14"/>
  <c r="B87" i="14"/>
  <c r="B86" i="14"/>
  <c r="B85" i="14"/>
  <c r="B84" i="14"/>
  <c r="B83" i="14"/>
  <c r="B82" i="14"/>
  <c r="B81" i="14"/>
  <c r="B80" i="14"/>
  <c r="B79" i="14"/>
  <c r="B78" i="14"/>
  <c r="B77" i="14"/>
  <c r="B76" i="14"/>
  <c r="B75" i="14"/>
  <c r="B74" i="14"/>
  <c r="B73" i="14"/>
  <c r="B72" i="14"/>
  <c r="B71" i="14"/>
  <c r="B70" i="14"/>
  <c r="B69" i="14"/>
  <c r="B68" i="14"/>
  <c r="B67" i="14"/>
  <c r="B66" i="14"/>
  <c r="B65" i="14"/>
  <c r="B64" i="14"/>
  <c r="B63" i="14"/>
  <c r="B62" i="14"/>
  <c r="B61" i="14"/>
  <c r="B60" i="14"/>
  <c r="B59" i="14"/>
  <c r="B58" i="14"/>
  <c r="B57" i="14"/>
  <c r="B56" i="14"/>
  <c r="B55" i="14"/>
  <c r="B54" i="14"/>
  <c r="B53" i="14"/>
  <c r="B52" i="14"/>
  <c r="B51" i="14"/>
  <c r="B50" i="14"/>
  <c r="B49" i="14"/>
  <c r="B48" i="14"/>
  <c r="B47" i="14"/>
  <c r="B46" i="14"/>
  <c r="B45" i="14"/>
  <c r="B44" i="14"/>
  <c r="B43" i="14"/>
  <c r="B42" i="14"/>
  <c r="B41" i="14"/>
  <c r="B40" i="14"/>
  <c r="B39" i="14"/>
  <c r="B38" i="14"/>
  <c r="B37" i="14"/>
  <c r="B36" i="14"/>
  <c r="B35" i="14"/>
  <c r="B1000" i="13"/>
  <c r="B999" i="13"/>
  <c r="B998" i="13"/>
  <c r="B997" i="13"/>
  <c r="B996" i="13"/>
  <c r="B995" i="13"/>
  <c r="B994" i="13"/>
  <c r="B993" i="13"/>
  <c r="B992" i="13"/>
  <c r="B991" i="13"/>
  <c r="B990" i="13"/>
  <c r="B989" i="13"/>
  <c r="B988" i="13"/>
  <c r="B987" i="13"/>
  <c r="B986" i="13"/>
  <c r="B985" i="13"/>
  <c r="B984" i="13"/>
  <c r="B983" i="13"/>
  <c r="B982" i="13"/>
  <c r="B981" i="13"/>
  <c r="B980" i="13"/>
  <c r="B979" i="13"/>
  <c r="B978" i="13"/>
  <c r="B977" i="13"/>
  <c r="B976" i="13"/>
  <c r="B975" i="13"/>
  <c r="B974" i="13"/>
  <c r="B973" i="13"/>
  <c r="B972" i="13"/>
  <c r="B971" i="13"/>
  <c r="B970" i="13"/>
  <c r="B969" i="13"/>
  <c r="B968" i="13"/>
  <c r="B967" i="13"/>
  <c r="B966" i="13"/>
  <c r="B965" i="13"/>
  <c r="B964" i="13"/>
  <c r="B963" i="13"/>
  <c r="B962" i="13"/>
  <c r="B961" i="13"/>
  <c r="B960" i="13"/>
  <c r="B959" i="13"/>
  <c r="B958" i="13"/>
  <c r="B957" i="13"/>
  <c r="B956" i="13"/>
  <c r="B955" i="13"/>
  <c r="B954" i="13"/>
  <c r="B953" i="13"/>
  <c r="B952" i="13"/>
  <c r="B951" i="13"/>
  <c r="B950" i="13"/>
  <c r="B949" i="13"/>
  <c r="B948" i="13"/>
  <c r="B947" i="13"/>
  <c r="B946" i="13"/>
  <c r="B945" i="13"/>
  <c r="B944" i="13"/>
  <c r="B943" i="13"/>
  <c r="B942" i="13"/>
  <c r="B941" i="13"/>
  <c r="B940" i="13"/>
  <c r="B939" i="13"/>
  <c r="B938" i="13"/>
  <c r="B937" i="13"/>
  <c r="B936" i="13"/>
  <c r="B935" i="13"/>
  <c r="B934" i="13"/>
  <c r="B933" i="13"/>
  <c r="B932" i="13"/>
  <c r="B931" i="13"/>
  <c r="B930" i="13"/>
  <c r="B929" i="13"/>
  <c r="B928" i="13"/>
  <c r="B927" i="13"/>
  <c r="B926" i="13"/>
  <c r="B925" i="13"/>
  <c r="B924" i="13"/>
  <c r="B923" i="13"/>
  <c r="B922" i="13"/>
  <c r="B921" i="13"/>
  <c r="B920" i="13"/>
  <c r="B919" i="13"/>
  <c r="B918" i="13"/>
  <c r="B917" i="13"/>
  <c r="B916" i="13"/>
  <c r="B915" i="13"/>
  <c r="B914" i="13"/>
  <c r="B913" i="13"/>
  <c r="B912" i="13"/>
  <c r="B911" i="13"/>
  <c r="B910" i="13"/>
  <c r="B909" i="13"/>
  <c r="B908" i="13"/>
  <c r="B907" i="13"/>
  <c r="B906" i="13"/>
  <c r="B905" i="13"/>
  <c r="B904" i="13"/>
  <c r="B903" i="13"/>
  <c r="B902" i="13"/>
  <c r="B901" i="13"/>
  <c r="B900" i="13"/>
  <c r="B899" i="13"/>
  <c r="B898" i="13"/>
  <c r="B897" i="13"/>
  <c r="B896" i="13"/>
  <c r="B895" i="13"/>
  <c r="B894" i="13"/>
  <c r="B893" i="13"/>
  <c r="B892" i="13"/>
  <c r="B891" i="13"/>
  <c r="B890" i="13"/>
  <c r="B889" i="13"/>
  <c r="B888" i="13"/>
  <c r="B887" i="13"/>
  <c r="B886" i="13"/>
  <c r="B885" i="13"/>
  <c r="B884" i="13"/>
  <c r="B883" i="13"/>
  <c r="B882" i="13"/>
  <c r="B881" i="13"/>
  <c r="B880" i="13"/>
  <c r="B879" i="13"/>
  <c r="B878" i="13"/>
  <c r="B877" i="13"/>
  <c r="B876" i="13"/>
  <c r="B875" i="13"/>
  <c r="B874" i="13"/>
  <c r="B873" i="13"/>
  <c r="B872" i="13"/>
  <c r="B871" i="13"/>
  <c r="B870" i="13"/>
  <c r="B869" i="13"/>
  <c r="B868" i="13"/>
  <c r="B867" i="13"/>
  <c r="B866" i="13"/>
  <c r="B865" i="13"/>
  <c r="B864" i="13"/>
  <c r="B863" i="13"/>
  <c r="B862" i="13"/>
  <c r="B861" i="13"/>
  <c r="B860" i="13"/>
  <c r="B859" i="13"/>
  <c r="B858" i="13"/>
  <c r="B857" i="13"/>
  <c r="B856" i="13"/>
  <c r="B855" i="13"/>
  <c r="B854" i="13"/>
  <c r="B853" i="13"/>
  <c r="B852" i="13"/>
  <c r="B851" i="13"/>
  <c r="B850" i="13"/>
  <c r="B849" i="13"/>
  <c r="B848" i="13"/>
  <c r="B847" i="13"/>
  <c r="B846" i="13"/>
  <c r="B845" i="13"/>
  <c r="B844" i="13"/>
  <c r="B843" i="13"/>
  <c r="B842" i="13"/>
  <c r="B841" i="13"/>
  <c r="B840" i="13"/>
  <c r="B839" i="13"/>
  <c r="B838" i="13"/>
  <c r="B837" i="13"/>
  <c r="B836" i="13"/>
  <c r="B835" i="13"/>
  <c r="B834" i="13"/>
  <c r="B833" i="13"/>
  <c r="B832" i="13"/>
  <c r="B831" i="13"/>
  <c r="B830" i="13"/>
  <c r="B829" i="13"/>
  <c r="B828" i="13"/>
  <c r="B827" i="13"/>
  <c r="B826" i="13"/>
  <c r="B825" i="13"/>
  <c r="B824" i="13"/>
  <c r="B823" i="13"/>
  <c r="B822" i="13"/>
  <c r="B821" i="13"/>
  <c r="B820" i="13"/>
  <c r="B819" i="13"/>
  <c r="B818" i="13"/>
  <c r="B817" i="13"/>
  <c r="B816" i="13"/>
  <c r="B815" i="13"/>
  <c r="B814" i="13"/>
  <c r="B813" i="13"/>
  <c r="B812" i="13"/>
  <c r="B811" i="13"/>
  <c r="B810" i="13"/>
  <c r="B809" i="13"/>
  <c r="B808" i="13"/>
  <c r="B807" i="13"/>
  <c r="B806" i="13"/>
  <c r="B805" i="13"/>
  <c r="B804" i="13"/>
  <c r="B803" i="13"/>
  <c r="B802" i="13"/>
  <c r="B801" i="13"/>
  <c r="B800" i="13"/>
  <c r="B799" i="13"/>
  <c r="B798" i="13"/>
  <c r="B797" i="13"/>
  <c r="B796" i="13"/>
  <c r="B795" i="13"/>
  <c r="B794" i="13"/>
  <c r="B793" i="13"/>
  <c r="B792" i="13"/>
  <c r="B791" i="13"/>
  <c r="B790" i="13"/>
  <c r="B789" i="13"/>
  <c r="B788" i="13"/>
  <c r="B787" i="13"/>
  <c r="B786" i="13"/>
  <c r="B785" i="13"/>
  <c r="B784" i="13"/>
  <c r="B783" i="13"/>
  <c r="B782" i="13"/>
  <c r="B781" i="13"/>
  <c r="B780" i="13"/>
  <c r="B779" i="13"/>
  <c r="B778" i="13"/>
  <c r="B777" i="13"/>
  <c r="B776" i="13"/>
  <c r="B775" i="13"/>
  <c r="B774" i="13"/>
  <c r="B773" i="13"/>
  <c r="B772" i="13"/>
  <c r="B771" i="13"/>
  <c r="B770" i="13"/>
  <c r="B769" i="13"/>
  <c r="B768" i="13"/>
  <c r="B767" i="13"/>
  <c r="B766" i="13"/>
  <c r="B765" i="13"/>
  <c r="B764" i="13"/>
  <c r="B763" i="13"/>
  <c r="B762" i="13"/>
  <c r="B761" i="13"/>
  <c r="B760" i="13"/>
  <c r="B759" i="13"/>
  <c r="B758" i="13"/>
  <c r="B757" i="13"/>
  <c r="B756" i="13"/>
  <c r="B755" i="13"/>
  <c r="B754" i="13"/>
  <c r="B753" i="13"/>
  <c r="B752" i="13"/>
  <c r="B751" i="13"/>
  <c r="B750" i="13"/>
  <c r="B749" i="13"/>
  <c r="B748" i="13"/>
  <c r="B747" i="13"/>
  <c r="B746" i="13"/>
  <c r="B745" i="13"/>
  <c r="B744" i="13"/>
  <c r="B743" i="13"/>
  <c r="B742" i="13"/>
  <c r="B741" i="13"/>
  <c r="B740" i="13"/>
  <c r="B739" i="13"/>
  <c r="B738" i="13"/>
  <c r="B737" i="13"/>
  <c r="B736" i="13"/>
  <c r="B735" i="13"/>
  <c r="B734" i="13"/>
  <c r="B733" i="13"/>
  <c r="B732" i="13"/>
  <c r="B731" i="13"/>
  <c r="B730" i="13"/>
  <c r="B729" i="13"/>
  <c r="B728" i="13"/>
  <c r="B727" i="13"/>
  <c r="B726" i="13"/>
  <c r="B725" i="13"/>
  <c r="B724" i="13"/>
  <c r="B723" i="13"/>
  <c r="B722" i="13"/>
  <c r="B721" i="13"/>
  <c r="B720" i="13"/>
  <c r="B719" i="13"/>
  <c r="B718" i="13"/>
  <c r="B717" i="13"/>
  <c r="B716" i="13"/>
  <c r="B715" i="13"/>
  <c r="B714" i="13"/>
  <c r="B713" i="13"/>
  <c r="B712" i="13"/>
  <c r="B711" i="13"/>
  <c r="B710" i="13"/>
  <c r="B709" i="13"/>
  <c r="B708" i="13"/>
  <c r="B707" i="13"/>
  <c r="B706" i="13"/>
  <c r="B705" i="13"/>
  <c r="B704" i="13"/>
  <c r="B703" i="13"/>
  <c r="B702" i="13"/>
  <c r="B701" i="13"/>
  <c r="B700" i="13"/>
  <c r="B699" i="13"/>
  <c r="B698" i="13"/>
  <c r="B697" i="13"/>
  <c r="B696" i="13"/>
  <c r="B695" i="13"/>
  <c r="B694" i="13"/>
  <c r="B693" i="13"/>
  <c r="B692" i="13"/>
  <c r="B691" i="13"/>
  <c r="B690" i="13"/>
  <c r="B689" i="13"/>
  <c r="B688" i="13"/>
  <c r="B687" i="13"/>
  <c r="B686" i="13"/>
  <c r="B685" i="13"/>
  <c r="B684" i="13"/>
  <c r="B683" i="13"/>
  <c r="B682" i="13"/>
  <c r="B681" i="13"/>
  <c r="B680" i="13"/>
  <c r="B679" i="13"/>
  <c r="B678" i="13"/>
  <c r="B677" i="13"/>
  <c r="B676" i="13"/>
  <c r="B675" i="13"/>
  <c r="B674" i="13"/>
  <c r="B673" i="13"/>
  <c r="B672" i="13"/>
  <c r="B671" i="13"/>
  <c r="B670" i="13"/>
  <c r="B669" i="13"/>
  <c r="B668" i="13"/>
  <c r="B667" i="13"/>
  <c r="B666" i="13"/>
  <c r="B665" i="13"/>
  <c r="B664" i="13"/>
  <c r="B663" i="13"/>
  <c r="B662" i="13"/>
  <c r="B661" i="13"/>
  <c r="B660" i="13"/>
  <c r="B659" i="13"/>
  <c r="B658" i="13"/>
  <c r="B657" i="13"/>
  <c r="B656" i="13"/>
  <c r="B655" i="13"/>
  <c r="B654" i="13"/>
  <c r="B653" i="13"/>
  <c r="B652" i="13"/>
  <c r="B651" i="13"/>
  <c r="B650" i="13"/>
  <c r="B649" i="13"/>
  <c r="B648" i="13"/>
  <c r="B647" i="13"/>
  <c r="B646" i="13"/>
  <c r="B645" i="13"/>
  <c r="B644" i="13"/>
  <c r="B643" i="13"/>
  <c r="B642" i="13"/>
  <c r="B641" i="13"/>
  <c r="B640" i="13"/>
  <c r="B639" i="13"/>
  <c r="B638" i="13"/>
  <c r="B637" i="13"/>
  <c r="B636" i="13"/>
  <c r="B635" i="13"/>
  <c r="B634" i="13"/>
  <c r="B633" i="13"/>
  <c r="B632" i="13"/>
  <c r="B631" i="13"/>
  <c r="B630" i="13"/>
  <c r="B629" i="13"/>
  <c r="B628" i="13"/>
  <c r="B627" i="13"/>
  <c r="B626" i="13"/>
  <c r="B625" i="13"/>
  <c r="B624" i="13"/>
  <c r="B623" i="13"/>
  <c r="B622" i="13"/>
  <c r="B621" i="13"/>
  <c r="B620" i="13"/>
  <c r="B619" i="13"/>
  <c r="B618" i="13"/>
  <c r="B617" i="13"/>
  <c r="B616" i="13"/>
  <c r="B615" i="13"/>
  <c r="B614" i="13"/>
  <c r="B613" i="13"/>
  <c r="B612" i="13"/>
  <c r="B611" i="13"/>
  <c r="B610" i="13"/>
  <c r="B609" i="13"/>
  <c r="B608" i="13"/>
  <c r="B607" i="13"/>
  <c r="B606" i="13"/>
  <c r="B605" i="13"/>
  <c r="B604" i="13"/>
  <c r="B603" i="13"/>
  <c r="B602" i="13"/>
  <c r="B601" i="13"/>
  <c r="B600" i="13"/>
  <c r="B599" i="13"/>
  <c r="B598" i="13"/>
  <c r="B597" i="13"/>
  <c r="B596" i="13"/>
  <c r="B595" i="13"/>
  <c r="B594" i="13"/>
  <c r="B593" i="13"/>
  <c r="B592" i="13"/>
  <c r="B591" i="13"/>
  <c r="B590" i="13"/>
  <c r="B589" i="13"/>
  <c r="B588" i="13"/>
  <c r="B587" i="13"/>
  <c r="B586" i="13"/>
  <c r="B585" i="13"/>
  <c r="B584" i="13"/>
  <c r="B583" i="13"/>
  <c r="B582" i="13"/>
  <c r="B581" i="13"/>
  <c r="B580" i="13"/>
  <c r="B579" i="13"/>
  <c r="B578" i="13"/>
  <c r="B577" i="13"/>
  <c r="B576" i="13"/>
  <c r="B575" i="13"/>
  <c r="B574" i="13"/>
  <c r="B573" i="13"/>
  <c r="B572" i="13"/>
  <c r="B571" i="13"/>
  <c r="B570" i="13"/>
  <c r="B569" i="13"/>
  <c r="B568" i="13"/>
  <c r="B567" i="13"/>
  <c r="B566" i="13"/>
  <c r="B565" i="13"/>
  <c r="B564" i="13"/>
  <c r="B563" i="13"/>
  <c r="B562" i="13"/>
  <c r="B561" i="13"/>
  <c r="B560" i="13"/>
  <c r="B559" i="13"/>
  <c r="B558" i="13"/>
  <c r="B557" i="13"/>
  <c r="B556" i="13"/>
  <c r="B555" i="13"/>
  <c r="B554" i="13"/>
  <c r="B553" i="13"/>
  <c r="B552" i="13"/>
  <c r="B551" i="13"/>
  <c r="B550" i="13"/>
  <c r="B549" i="13"/>
  <c r="B548" i="13"/>
  <c r="B547" i="13"/>
  <c r="B546" i="13"/>
  <c r="B545" i="13"/>
  <c r="B544" i="13"/>
  <c r="B543" i="13"/>
  <c r="B542" i="13"/>
  <c r="B541" i="13"/>
  <c r="B540" i="13"/>
  <c r="B539" i="13"/>
  <c r="B538" i="13"/>
  <c r="B537" i="13"/>
  <c r="B536" i="13"/>
  <c r="B535" i="13"/>
  <c r="B534" i="13"/>
  <c r="B533" i="13"/>
  <c r="B532" i="13"/>
  <c r="B531" i="13"/>
  <c r="B530" i="13"/>
  <c r="B529" i="13"/>
  <c r="B528" i="13"/>
  <c r="B527" i="13"/>
  <c r="B526" i="13"/>
  <c r="B525" i="13"/>
  <c r="B524" i="13"/>
  <c r="B523" i="13"/>
  <c r="B522" i="13"/>
  <c r="B521" i="13"/>
  <c r="B520" i="13"/>
  <c r="B519" i="13"/>
  <c r="B518" i="13"/>
  <c r="B517" i="13"/>
  <c r="B516" i="13"/>
  <c r="B515" i="13"/>
  <c r="B514" i="13"/>
  <c r="B513" i="13"/>
  <c r="B512" i="13"/>
  <c r="B511" i="13"/>
  <c r="B510" i="13"/>
  <c r="B509" i="13"/>
  <c r="B508" i="13"/>
  <c r="B507" i="13"/>
  <c r="B506" i="13"/>
  <c r="B505" i="13"/>
  <c r="B504" i="13"/>
  <c r="B503" i="13"/>
  <c r="B502" i="13"/>
  <c r="B501" i="13"/>
  <c r="B500" i="13"/>
  <c r="B499" i="13"/>
  <c r="B498" i="13"/>
  <c r="B497" i="13"/>
  <c r="B496" i="13"/>
  <c r="B495" i="13"/>
  <c r="B494" i="13"/>
  <c r="B493" i="13"/>
  <c r="B492" i="13"/>
  <c r="B491" i="13"/>
  <c r="B490" i="13"/>
  <c r="B489" i="13"/>
  <c r="B488" i="13"/>
  <c r="B487" i="13"/>
  <c r="B486" i="13"/>
  <c r="B485" i="13"/>
  <c r="B484" i="13"/>
  <c r="B483" i="13"/>
  <c r="B482" i="13"/>
  <c r="B481" i="13"/>
  <c r="B480" i="13"/>
  <c r="B479" i="13"/>
  <c r="B478" i="13"/>
  <c r="B477" i="13"/>
  <c r="B476" i="13"/>
  <c r="B475" i="13"/>
  <c r="B474" i="13"/>
  <c r="B473" i="13"/>
  <c r="B472" i="13"/>
  <c r="B471" i="13"/>
  <c r="B470" i="13"/>
  <c r="B469" i="13"/>
  <c r="B468" i="13"/>
  <c r="B467" i="13"/>
  <c r="B466" i="13"/>
  <c r="B465" i="13"/>
  <c r="B464" i="13"/>
  <c r="B463" i="13"/>
  <c r="B462" i="13"/>
  <c r="B461" i="13"/>
  <c r="B460" i="13"/>
  <c r="B459" i="13"/>
  <c r="B458" i="13"/>
  <c r="B457" i="13"/>
  <c r="B456" i="13"/>
  <c r="B455" i="13"/>
  <c r="B454" i="13"/>
  <c r="B453" i="13"/>
  <c r="B452" i="13"/>
  <c r="B451" i="13"/>
  <c r="B450" i="13"/>
  <c r="B449" i="13"/>
  <c r="B448" i="13"/>
  <c r="B447" i="13"/>
  <c r="B446" i="13"/>
  <c r="B445" i="13"/>
  <c r="B444" i="13"/>
  <c r="B443" i="13"/>
  <c r="B442" i="13"/>
  <c r="B441" i="13"/>
  <c r="B440" i="13"/>
  <c r="B439" i="13"/>
  <c r="B438" i="13"/>
  <c r="B437" i="13"/>
  <c r="B436" i="13"/>
  <c r="B435" i="13"/>
  <c r="B434" i="13"/>
  <c r="B433" i="13"/>
  <c r="B432" i="13"/>
  <c r="B431" i="13"/>
  <c r="B430" i="13"/>
  <c r="B429" i="13"/>
  <c r="B428" i="13"/>
  <c r="B427" i="13"/>
  <c r="B426" i="13"/>
  <c r="B425" i="13"/>
  <c r="B424" i="13"/>
  <c r="B423" i="13"/>
  <c r="B422" i="13"/>
  <c r="B421" i="13"/>
  <c r="B420" i="13"/>
  <c r="B419" i="13"/>
  <c r="B418" i="13"/>
  <c r="B417" i="13"/>
  <c r="B416" i="13"/>
  <c r="B415" i="13"/>
  <c r="B414" i="13"/>
  <c r="B413" i="13"/>
  <c r="B412" i="13"/>
  <c r="B411" i="13"/>
  <c r="B410" i="13"/>
  <c r="B409" i="13"/>
  <c r="B408" i="13"/>
  <c r="B407" i="13"/>
  <c r="B406" i="13"/>
  <c r="B405" i="13"/>
  <c r="B404" i="13"/>
  <c r="B403" i="13"/>
  <c r="B402" i="13"/>
  <c r="B401" i="13"/>
  <c r="B400" i="13"/>
  <c r="B399" i="13"/>
  <c r="B398" i="13"/>
  <c r="B397" i="13"/>
  <c r="B396" i="13"/>
  <c r="B395" i="13"/>
  <c r="B394" i="13"/>
  <c r="B393" i="13"/>
  <c r="B392" i="13"/>
  <c r="B391" i="13"/>
  <c r="B390" i="13"/>
  <c r="B389" i="13"/>
  <c r="B388" i="13"/>
  <c r="B387" i="13"/>
  <c r="B386" i="13"/>
  <c r="B385" i="13"/>
  <c r="B384" i="13"/>
  <c r="B383" i="13"/>
  <c r="B382" i="13"/>
  <c r="B381" i="13"/>
  <c r="B380" i="13"/>
  <c r="B379" i="13"/>
  <c r="B378" i="13"/>
  <c r="B377" i="13"/>
  <c r="B376" i="13"/>
  <c r="B375" i="13"/>
  <c r="B374" i="13"/>
  <c r="B373" i="13"/>
  <c r="B372" i="13"/>
  <c r="B371" i="13"/>
  <c r="B370" i="13"/>
  <c r="B369" i="13"/>
  <c r="B368" i="13"/>
  <c r="B367" i="13"/>
  <c r="B366" i="13"/>
  <c r="B365" i="13"/>
  <c r="B364" i="13"/>
  <c r="B363" i="13"/>
  <c r="B362" i="13"/>
  <c r="B361" i="13"/>
  <c r="B360" i="13"/>
  <c r="B359" i="13"/>
  <c r="B358" i="13"/>
  <c r="B357" i="13"/>
  <c r="B356" i="13"/>
  <c r="B355" i="13"/>
  <c r="B354" i="13"/>
  <c r="B353" i="13"/>
  <c r="B352" i="13"/>
  <c r="B351" i="13"/>
  <c r="B350" i="13"/>
  <c r="B349" i="13"/>
  <c r="B348" i="13"/>
  <c r="B347" i="13"/>
  <c r="B346" i="13"/>
  <c r="B345" i="13"/>
  <c r="B344" i="13"/>
  <c r="B343" i="13"/>
  <c r="B342" i="13"/>
  <c r="B341" i="13"/>
  <c r="B340" i="13"/>
  <c r="B339" i="13"/>
  <c r="B338" i="13"/>
  <c r="B337" i="13"/>
  <c r="B336" i="13"/>
  <c r="B335" i="13"/>
  <c r="B334" i="13"/>
  <c r="B333" i="13"/>
  <c r="B332" i="13"/>
  <c r="B331" i="13"/>
  <c r="B330" i="13"/>
  <c r="B329" i="13"/>
  <c r="B328" i="13"/>
  <c r="B327" i="13"/>
  <c r="B326" i="13"/>
  <c r="B325" i="13"/>
  <c r="B324" i="13"/>
  <c r="B323" i="13"/>
  <c r="B322" i="13"/>
  <c r="B321" i="13"/>
  <c r="B320" i="13"/>
  <c r="B319" i="13"/>
  <c r="B318" i="13"/>
  <c r="B317" i="13"/>
  <c r="B316" i="13"/>
  <c r="B315" i="13"/>
  <c r="B314" i="13"/>
  <c r="B313" i="13"/>
  <c r="B312" i="13"/>
  <c r="B311" i="13"/>
  <c r="B310" i="13"/>
  <c r="B309" i="13"/>
  <c r="B308" i="13"/>
  <c r="B307" i="13"/>
  <c r="B306" i="13"/>
  <c r="B305" i="13"/>
  <c r="B304" i="13"/>
  <c r="B303" i="13"/>
  <c r="B302" i="13"/>
  <c r="B301" i="13"/>
  <c r="B300" i="13"/>
  <c r="B299" i="13"/>
  <c r="B298" i="13"/>
  <c r="B297" i="13"/>
  <c r="B296" i="13"/>
  <c r="B295" i="13"/>
  <c r="B294" i="13"/>
  <c r="B293" i="13"/>
  <c r="B292" i="13"/>
  <c r="B291" i="13"/>
  <c r="B290" i="13"/>
  <c r="B289" i="13"/>
  <c r="B288" i="13"/>
  <c r="B287" i="13"/>
  <c r="B286" i="13"/>
  <c r="B285" i="13"/>
  <c r="B284" i="13"/>
  <c r="B283" i="13"/>
  <c r="B282" i="13"/>
  <c r="B281" i="13"/>
  <c r="B280" i="13"/>
  <c r="B279" i="13"/>
  <c r="B278" i="13"/>
  <c r="B277" i="13"/>
  <c r="B276" i="13"/>
  <c r="B275" i="13"/>
  <c r="B274" i="13"/>
  <c r="B273" i="13"/>
  <c r="B272" i="13"/>
  <c r="B271" i="13"/>
  <c r="B270" i="13"/>
  <c r="B269" i="13"/>
  <c r="B268" i="13"/>
  <c r="B267" i="13"/>
  <c r="B266" i="13"/>
  <c r="B265" i="13"/>
  <c r="B264" i="13"/>
  <c r="B263" i="13"/>
  <c r="B262" i="13"/>
  <c r="B261" i="13"/>
  <c r="B260" i="13"/>
  <c r="B259" i="13"/>
  <c r="B258" i="13"/>
  <c r="B257" i="13"/>
  <c r="B256" i="13"/>
  <c r="B255" i="13"/>
  <c r="B254" i="13"/>
  <c r="B253" i="13"/>
  <c r="B252" i="13"/>
  <c r="B251" i="13"/>
  <c r="B250" i="13"/>
  <c r="B249" i="13"/>
  <c r="B248" i="13"/>
  <c r="B247" i="13"/>
  <c r="B246" i="13"/>
  <c r="B245" i="13"/>
  <c r="B244" i="13"/>
  <c r="B243" i="13"/>
  <c r="B242" i="13"/>
  <c r="B241" i="13"/>
  <c r="B240" i="13"/>
  <c r="B239" i="13"/>
  <c r="B238" i="13"/>
  <c r="B237" i="13"/>
  <c r="B236" i="13"/>
  <c r="B235" i="13"/>
  <c r="B234" i="13"/>
  <c r="B233" i="13"/>
  <c r="B232" i="13"/>
  <c r="B231" i="13"/>
  <c r="B230" i="13"/>
  <c r="B229" i="13"/>
  <c r="B228" i="13"/>
  <c r="B227" i="13"/>
  <c r="B226" i="13"/>
  <c r="B225" i="13"/>
  <c r="B224" i="13"/>
  <c r="B223" i="13"/>
  <c r="B222" i="13"/>
  <c r="B221" i="13"/>
  <c r="B220" i="13"/>
  <c r="B219" i="13"/>
  <c r="B218" i="13"/>
  <c r="B217" i="13"/>
  <c r="B216" i="13"/>
  <c r="B215" i="13"/>
  <c r="B214" i="13"/>
  <c r="B213" i="13"/>
  <c r="B212" i="13"/>
  <c r="B211" i="13"/>
  <c r="B210" i="13"/>
  <c r="B209" i="13"/>
  <c r="B208" i="13"/>
  <c r="B207" i="13"/>
  <c r="B206" i="13"/>
  <c r="B205" i="13"/>
  <c r="B204" i="13"/>
  <c r="B203" i="13"/>
  <c r="B202" i="13"/>
  <c r="B201" i="13"/>
  <c r="B200" i="13"/>
  <c r="B199" i="13"/>
  <c r="B198" i="13"/>
  <c r="B197" i="13"/>
  <c r="B196" i="13"/>
  <c r="B195" i="13"/>
  <c r="B194" i="13"/>
  <c r="B193" i="13"/>
  <c r="B192" i="13"/>
  <c r="B191" i="13"/>
  <c r="B190" i="13"/>
  <c r="B189" i="13"/>
  <c r="B188" i="13"/>
  <c r="B187" i="13"/>
  <c r="B186" i="13"/>
  <c r="B185" i="13"/>
  <c r="B184" i="13"/>
  <c r="B183" i="13"/>
  <c r="B182" i="13"/>
  <c r="B181" i="13"/>
  <c r="B180" i="13"/>
  <c r="B179" i="13"/>
  <c r="B178" i="13"/>
  <c r="B177" i="13"/>
  <c r="B176" i="13"/>
  <c r="B175" i="13"/>
  <c r="B174" i="13"/>
  <c r="B173" i="13"/>
  <c r="B172" i="13"/>
  <c r="B171" i="13"/>
  <c r="B170" i="13"/>
  <c r="B169" i="13"/>
  <c r="B168" i="13"/>
  <c r="B167" i="13"/>
  <c r="B166" i="13"/>
  <c r="B165" i="13"/>
  <c r="B164" i="13"/>
  <c r="B163" i="13"/>
  <c r="B162" i="13"/>
  <c r="B161" i="13"/>
  <c r="B160" i="13"/>
  <c r="B159" i="13"/>
  <c r="B158" i="13"/>
  <c r="B157" i="13"/>
  <c r="B156" i="13"/>
  <c r="B155" i="13"/>
  <c r="B154" i="13"/>
  <c r="B153" i="13"/>
  <c r="B152" i="13"/>
  <c r="B151" i="13"/>
  <c r="B150" i="13"/>
  <c r="B149" i="13"/>
  <c r="B148" i="13"/>
  <c r="B147" i="13"/>
  <c r="B146" i="13"/>
  <c r="B145" i="13"/>
  <c r="B144" i="13"/>
  <c r="B143" i="13"/>
  <c r="B142" i="13"/>
  <c r="B141" i="13"/>
  <c r="B140" i="13"/>
  <c r="B139" i="13"/>
  <c r="B138" i="13"/>
  <c r="B137" i="13"/>
  <c r="B136" i="13"/>
  <c r="B135" i="13"/>
  <c r="B134" i="13"/>
  <c r="B133" i="13"/>
  <c r="B132" i="13"/>
  <c r="B131" i="13"/>
  <c r="B130" i="13"/>
  <c r="B129" i="13"/>
  <c r="B128" i="13"/>
  <c r="B127" i="13"/>
  <c r="B126" i="13"/>
  <c r="B125" i="13"/>
  <c r="B124" i="13"/>
  <c r="B123" i="13"/>
  <c r="B122" i="13"/>
  <c r="B121" i="13"/>
  <c r="B120" i="13"/>
  <c r="B119" i="13"/>
  <c r="B118" i="13"/>
  <c r="B117" i="13"/>
  <c r="B116" i="13"/>
  <c r="B115" i="13"/>
  <c r="B114" i="13"/>
  <c r="B113" i="13"/>
  <c r="B112" i="13"/>
  <c r="B111" i="13"/>
  <c r="B110" i="13"/>
  <c r="B109" i="13"/>
  <c r="B108" i="13"/>
  <c r="B107" i="13"/>
  <c r="B106" i="13"/>
  <c r="B105" i="13"/>
  <c r="B104" i="13"/>
  <c r="B103" i="13"/>
  <c r="B102" i="13"/>
  <c r="B101" i="13"/>
  <c r="B100" i="13"/>
  <c r="B99" i="13"/>
  <c r="B98" i="13"/>
  <c r="B97" i="13"/>
  <c r="B96" i="13"/>
  <c r="B95" i="13"/>
  <c r="B94" i="13"/>
  <c r="B93" i="13"/>
  <c r="B92" i="13"/>
  <c r="B91" i="13"/>
  <c r="B90" i="13"/>
  <c r="B89" i="13"/>
  <c r="B88" i="13"/>
  <c r="B87" i="13"/>
  <c r="B86" i="13"/>
  <c r="B85" i="13"/>
  <c r="B84" i="13"/>
  <c r="B83" i="13"/>
  <c r="B82" i="13"/>
  <c r="B81" i="13"/>
  <c r="B80" i="13"/>
  <c r="B79" i="13"/>
  <c r="B78" i="13"/>
  <c r="B77" i="13"/>
  <c r="B76" i="13"/>
  <c r="B75" i="13"/>
  <c r="B74" i="13"/>
  <c r="B73" i="13"/>
  <c r="B72" i="13"/>
  <c r="B71" i="13"/>
  <c r="B70" i="13"/>
  <c r="B69" i="13"/>
  <c r="B68" i="13"/>
  <c r="B67" i="13"/>
  <c r="B66" i="13"/>
  <c r="B65" i="13"/>
  <c r="B64" i="13"/>
  <c r="B63" i="13"/>
  <c r="B62" i="13"/>
  <c r="B61" i="13"/>
  <c r="B60" i="13"/>
  <c r="B59" i="13"/>
  <c r="B58" i="13"/>
  <c r="B57" i="13"/>
  <c r="B56" i="13"/>
  <c r="B55" i="13"/>
  <c r="B54" i="13"/>
  <c r="B53" i="13"/>
  <c r="B52" i="13"/>
  <c r="B51" i="13"/>
  <c r="B50" i="13"/>
  <c r="B49" i="13"/>
  <c r="B48" i="13"/>
  <c r="B47" i="13"/>
  <c r="B46" i="13"/>
  <c r="B45" i="13"/>
  <c r="B44" i="13"/>
  <c r="B43" i="13"/>
  <c r="B1000" i="12"/>
  <c r="B999" i="12"/>
  <c r="B998" i="12"/>
  <c r="B997" i="12"/>
  <c r="B996" i="12"/>
  <c r="B995" i="12"/>
  <c r="B994" i="12"/>
  <c r="B993" i="12"/>
  <c r="B992" i="12"/>
  <c r="B991" i="12"/>
  <c r="B990" i="12"/>
  <c r="B989" i="12"/>
  <c r="B988" i="12"/>
  <c r="B987" i="12"/>
  <c r="B986" i="12"/>
  <c r="B985" i="12"/>
  <c r="B984" i="12"/>
  <c r="B983" i="12"/>
  <c r="B982" i="12"/>
  <c r="B981" i="12"/>
  <c r="B980" i="12"/>
  <c r="B979" i="12"/>
  <c r="B978" i="12"/>
  <c r="B977" i="12"/>
  <c r="B976" i="12"/>
  <c r="B975" i="12"/>
  <c r="B974" i="12"/>
  <c r="B973" i="12"/>
  <c r="B972" i="12"/>
  <c r="B971" i="12"/>
  <c r="B970" i="12"/>
  <c r="B969" i="12"/>
  <c r="B968" i="12"/>
  <c r="B967" i="12"/>
  <c r="B966" i="12"/>
  <c r="B965" i="12"/>
  <c r="B964" i="12"/>
  <c r="B963" i="12"/>
  <c r="B962" i="12"/>
  <c r="B961" i="12"/>
  <c r="B960" i="12"/>
  <c r="B959" i="12"/>
  <c r="B958" i="12"/>
  <c r="B957" i="12"/>
  <c r="B956" i="12"/>
  <c r="B955" i="12"/>
  <c r="B954" i="12"/>
  <c r="B953" i="12"/>
  <c r="B952" i="12"/>
  <c r="B951" i="12"/>
  <c r="B950" i="12"/>
  <c r="B949" i="12"/>
  <c r="B948" i="12"/>
  <c r="B947" i="12"/>
  <c r="B946" i="12"/>
  <c r="B945" i="12"/>
  <c r="B944" i="12"/>
  <c r="B943" i="12"/>
  <c r="B942" i="12"/>
  <c r="B941" i="12"/>
  <c r="B940" i="12"/>
  <c r="B939" i="12"/>
  <c r="B938" i="12"/>
  <c r="B937" i="12"/>
  <c r="B936" i="12"/>
  <c r="B935" i="12"/>
  <c r="B934" i="12"/>
  <c r="B933" i="12"/>
  <c r="B932" i="12"/>
  <c r="B931" i="12"/>
  <c r="B930" i="12"/>
  <c r="B929" i="12"/>
  <c r="B928" i="12"/>
  <c r="B927" i="12"/>
  <c r="B926" i="12"/>
  <c r="B925" i="12"/>
  <c r="B924" i="12"/>
  <c r="B923" i="12"/>
  <c r="B922" i="12"/>
  <c r="B921" i="12"/>
  <c r="B920" i="12"/>
  <c r="B919" i="12"/>
  <c r="B918" i="12"/>
  <c r="B917" i="12"/>
  <c r="B916" i="12"/>
  <c r="B915" i="12"/>
  <c r="B914" i="12"/>
  <c r="B913" i="12"/>
  <c r="B912" i="12"/>
  <c r="B911" i="12"/>
  <c r="B910" i="12"/>
  <c r="B909" i="12"/>
  <c r="B908" i="12"/>
  <c r="B907" i="12"/>
  <c r="B906" i="12"/>
  <c r="B905" i="12"/>
  <c r="B904" i="12"/>
  <c r="B903" i="12"/>
  <c r="B902" i="12"/>
  <c r="B901" i="12"/>
  <c r="B900" i="12"/>
  <c r="B899" i="12"/>
  <c r="B898" i="12"/>
  <c r="B897" i="12"/>
  <c r="B896" i="12"/>
  <c r="B895" i="12"/>
  <c r="B894" i="12"/>
  <c r="B893" i="12"/>
  <c r="B892" i="12"/>
  <c r="B891" i="12"/>
  <c r="B890" i="12"/>
  <c r="B889" i="12"/>
  <c r="B888" i="12"/>
  <c r="B887" i="12"/>
  <c r="B886" i="12"/>
  <c r="B885" i="12"/>
  <c r="B884" i="12"/>
  <c r="B883" i="12"/>
  <c r="B882" i="12"/>
  <c r="B881" i="12"/>
  <c r="B880" i="12"/>
  <c r="B879" i="12"/>
  <c r="B878" i="12"/>
  <c r="B877" i="12"/>
  <c r="B876" i="12"/>
  <c r="B875" i="12"/>
  <c r="B874" i="12"/>
  <c r="B873" i="12"/>
  <c r="B872" i="12"/>
  <c r="B871" i="12"/>
  <c r="B870" i="12"/>
  <c r="B869" i="12"/>
  <c r="B868" i="12"/>
  <c r="B867" i="12"/>
  <c r="B866" i="12"/>
  <c r="B865" i="12"/>
  <c r="B864" i="12"/>
  <c r="B863" i="12"/>
  <c r="B862" i="12"/>
  <c r="B861" i="12"/>
  <c r="B860" i="12"/>
  <c r="B859" i="12"/>
  <c r="B858" i="12"/>
  <c r="B857" i="12"/>
  <c r="B856" i="12"/>
  <c r="B855" i="12"/>
  <c r="B854" i="12"/>
  <c r="B853" i="12"/>
  <c r="B852" i="12"/>
  <c r="B851" i="12"/>
  <c r="B850" i="12"/>
  <c r="B849" i="12"/>
  <c r="B848" i="12"/>
  <c r="B847" i="12"/>
  <c r="B846" i="12"/>
  <c r="B845" i="12"/>
  <c r="B844" i="12"/>
  <c r="B843" i="12"/>
  <c r="B842" i="12"/>
  <c r="B841" i="12"/>
  <c r="B840" i="12"/>
  <c r="B839" i="12"/>
  <c r="B838" i="12"/>
  <c r="B837" i="12"/>
  <c r="B836" i="12"/>
  <c r="B835" i="12"/>
  <c r="B834" i="12"/>
  <c r="B833" i="12"/>
  <c r="B832" i="12"/>
  <c r="B831" i="12"/>
  <c r="B830" i="12"/>
  <c r="B829" i="12"/>
  <c r="B828" i="12"/>
  <c r="B827" i="12"/>
  <c r="B826" i="12"/>
  <c r="B825" i="12"/>
  <c r="B824" i="12"/>
  <c r="B823" i="12"/>
  <c r="B822" i="12"/>
  <c r="B821" i="12"/>
  <c r="B820" i="12"/>
  <c r="B819" i="12"/>
  <c r="B818" i="12"/>
  <c r="B817" i="12"/>
  <c r="B816" i="12"/>
  <c r="B815" i="12"/>
  <c r="B814" i="12"/>
  <c r="B813" i="12"/>
  <c r="B812" i="12"/>
  <c r="B811" i="12"/>
  <c r="B810" i="12"/>
  <c r="B809" i="12"/>
  <c r="B808" i="12"/>
  <c r="B807" i="12"/>
  <c r="B806" i="12"/>
  <c r="B805" i="12"/>
  <c r="B804" i="12"/>
  <c r="B803" i="12"/>
  <c r="B802" i="12"/>
  <c r="B801" i="12"/>
  <c r="B800" i="12"/>
  <c r="B799" i="12"/>
  <c r="B798" i="12"/>
  <c r="B797" i="12"/>
  <c r="B796" i="12"/>
  <c r="B795" i="12"/>
  <c r="B794" i="12"/>
  <c r="B793" i="12"/>
  <c r="B792" i="12"/>
  <c r="B791" i="12"/>
  <c r="B790" i="12"/>
  <c r="B789" i="12"/>
  <c r="B788" i="12"/>
  <c r="B787" i="12"/>
  <c r="B786" i="12"/>
  <c r="B785" i="12"/>
  <c r="B784" i="12"/>
  <c r="B783" i="12"/>
  <c r="B782" i="12"/>
  <c r="B781" i="12"/>
  <c r="B780" i="12"/>
  <c r="B779" i="12"/>
  <c r="B778" i="12"/>
  <c r="B777" i="12"/>
  <c r="B776" i="12"/>
  <c r="B775" i="12"/>
  <c r="B774" i="12"/>
  <c r="B773" i="12"/>
  <c r="B772" i="12"/>
  <c r="B771" i="12"/>
  <c r="B770" i="12"/>
  <c r="B769" i="12"/>
  <c r="B768" i="12"/>
  <c r="B767" i="12"/>
  <c r="B766" i="12"/>
  <c r="B765" i="12"/>
  <c r="B764" i="12"/>
  <c r="B763" i="12"/>
  <c r="B762" i="12"/>
  <c r="B761" i="12"/>
  <c r="B760" i="12"/>
  <c r="B759" i="12"/>
  <c r="B758" i="12"/>
  <c r="B757" i="12"/>
  <c r="B756" i="12"/>
  <c r="B755" i="12"/>
  <c r="B754" i="12"/>
  <c r="B753" i="12"/>
  <c r="B752" i="12"/>
  <c r="B751" i="12"/>
  <c r="B750" i="12"/>
  <c r="B749" i="12"/>
  <c r="B748" i="12"/>
  <c r="B747" i="12"/>
  <c r="B746" i="12"/>
  <c r="B745" i="12"/>
  <c r="B744" i="12"/>
  <c r="B743" i="12"/>
  <c r="B742" i="12"/>
  <c r="B741" i="12"/>
  <c r="B740" i="12"/>
  <c r="B739" i="12"/>
  <c r="B738" i="12"/>
  <c r="B737" i="12"/>
  <c r="B736" i="12"/>
  <c r="B735" i="12"/>
  <c r="B734" i="12"/>
  <c r="B733" i="12"/>
  <c r="B732" i="12"/>
  <c r="B731" i="12"/>
  <c r="B730" i="12"/>
  <c r="B729" i="12"/>
  <c r="B728" i="12"/>
  <c r="B727" i="12"/>
  <c r="B726" i="12"/>
  <c r="B725" i="12"/>
  <c r="B724" i="12"/>
  <c r="B723" i="12"/>
  <c r="B722" i="12"/>
  <c r="B721" i="12"/>
  <c r="B720" i="12"/>
  <c r="B719" i="12"/>
  <c r="B718" i="12"/>
  <c r="B717" i="12"/>
  <c r="B716" i="12"/>
  <c r="B715" i="12"/>
  <c r="B714" i="12"/>
  <c r="B713" i="12"/>
  <c r="B712" i="12"/>
  <c r="B711" i="12"/>
  <c r="B710" i="12"/>
  <c r="B709" i="12"/>
  <c r="B708" i="12"/>
  <c r="B707" i="12"/>
  <c r="B706" i="12"/>
  <c r="B705" i="12"/>
  <c r="B704" i="12"/>
  <c r="B703" i="12"/>
  <c r="B702" i="12"/>
  <c r="B701" i="12"/>
  <c r="B700" i="12"/>
  <c r="B699" i="12"/>
  <c r="B698" i="12"/>
  <c r="B697" i="12"/>
  <c r="B696" i="12"/>
  <c r="B695" i="12"/>
  <c r="B694" i="12"/>
  <c r="B693" i="12"/>
  <c r="B692" i="12"/>
  <c r="B691" i="12"/>
  <c r="B690" i="12"/>
  <c r="B689" i="12"/>
  <c r="B688" i="12"/>
  <c r="B687" i="12"/>
  <c r="B686" i="12"/>
  <c r="B685" i="12"/>
  <c r="B684" i="12"/>
  <c r="B683" i="12"/>
  <c r="B682" i="12"/>
  <c r="B681" i="12"/>
  <c r="B680" i="12"/>
  <c r="B679" i="12"/>
  <c r="B678" i="12"/>
  <c r="B677" i="12"/>
  <c r="B676" i="12"/>
  <c r="B675" i="12"/>
  <c r="B674" i="12"/>
  <c r="B673" i="12"/>
  <c r="B672" i="12"/>
  <c r="B671" i="12"/>
  <c r="B670" i="12"/>
  <c r="B669" i="12"/>
  <c r="B668" i="12"/>
  <c r="B667" i="12"/>
  <c r="B666" i="12"/>
  <c r="B665" i="12"/>
  <c r="B664" i="12"/>
  <c r="B663" i="12"/>
  <c r="B662" i="12"/>
  <c r="B661" i="12"/>
  <c r="B660" i="12"/>
  <c r="B659" i="12"/>
  <c r="B658" i="12"/>
  <c r="B657" i="12"/>
  <c r="B656" i="12"/>
  <c r="B655" i="12"/>
  <c r="B654" i="12"/>
  <c r="B653" i="12"/>
  <c r="B652" i="12"/>
  <c r="B651" i="12"/>
  <c r="B650" i="12"/>
  <c r="B649" i="12"/>
  <c r="B648" i="12"/>
  <c r="B647" i="12"/>
  <c r="B646" i="12"/>
  <c r="B645" i="12"/>
  <c r="B644" i="12"/>
  <c r="B643" i="12"/>
  <c r="B642" i="12"/>
  <c r="B641" i="12"/>
  <c r="B640" i="12"/>
  <c r="B639" i="12"/>
  <c r="B638" i="12"/>
  <c r="B637" i="12"/>
  <c r="B636" i="12"/>
  <c r="B635" i="12"/>
  <c r="B634" i="12"/>
  <c r="B633" i="12"/>
  <c r="B632" i="12"/>
  <c r="B631" i="12"/>
  <c r="B630" i="12"/>
  <c r="B629" i="12"/>
  <c r="B628" i="12"/>
  <c r="B627" i="12"/>
  <c r="B626" i="12"/>
  <c r="B625" i="12"/>
  <c r="B624" i="12"/>
  <c r="B623" i="12"/>
  <c r="B622" i="12"/>
  <c r="B621" i="12"/>
  <c r="B620" i="12"/>
  <c r="B619" i="12"/>
  <c r="B618" i="12"/>
  <c r="B617" i="12"/>
  <c r="B616" i="12"/>
  <c r="B615" i="12"/>
  <c r="B614" i="12"/>
  <c r="B613" i="12"/>
  <c r="B612" i="12"/>
  <c r="B611" i="12"/>
  <c r="B610" i="12"/>
  <c r="B609" i="12"/>
  <c r="B608" i="12"/>
  <c r="B607" i="12"/>
  <c r="B606" i="12"/>
  <c r="B605" i="12"/>
  <c r="B604" i="12"/>
  <c r="B603" i="12"/>
  <c r="B602" i="12"/>
  <c r="B601" i="12"/>
  <c r="B600" i="12"/>
  <c r="B599" i="12"/>
  <c r="B598" i="12"/>
  <c r="B597" i="12"/>
  <c r="B596" i="12"/>
  <c r="B595" i="12"/>
  <c r="B594" i="12"/>
  <c r="B593" i="12"/>
  <c r="B592" i="12"/>
  <c r="B591" i="12"/>
  <c r="B590" i="12"/>
  <c r="B589" i="12"/>
  <c r="B588" i="12"/>
  <c r="B587" i="12"/>
  <c r="B586" i="12"/>
  <c r="B585" i="12"/>
  <c r="B584" i="12"/>
  <c r="B583" i="12"/>
  <c r="B582" i="12"/>
  <c r="B581" i="12"/>
  <c r="B580" i="12"/>
  <c r="B579" i="12"/>
  <c r="B578" i="12"/>
  <c r="B577" i="12"/>
  <c r="B576" i="12"/>
  <c r="B575" i="12"/>
  <c r="B574" i="12"/>
  <c r="B573" i="12"/>
  <c r="B572" i="12"/>
  <c r="B571" i="12"/>
  <c r="B570" i="12"/>
  <c r="B569" i="12"/>
  <c r="B568" i="12"/>
  <c r="B567" i="12"/>
  <c r="B566" i="12"/>
  <c r="B565" i="12"/>
  <c r="B564" i="12"/>
  <c r="B563" i="12"/>
  <c r="B562" i="12"/>
  <c r="B561" i="12"/>
  <c r="B560" i="12"/>
  <c r="B559" i="12"/>
  <c r="B558" i="12"/>
  <c r="B557" i="12"/>
  <c r="B556" i="12"/>
  <c r="B555" i="12"/>
  <c r="B554" i="12"/>
  <c r="B553" i="12"/>
  <c r="B552" i="12"/>
  <c r="B551" i="12"/>
  <c r="B550" i="12"/>
  <c r="B549" i="12"/>
  <c r="B548" i="12"/>
  <c r="B547" i="12"/>
  <c r="B546" i="12"/>
  <c r="B545" i="12"/>
  <c r="B544" i="12"/>
  <c r="B543" i="12"/>
  <c r="B542" i="12"/>
  <c r="B541" i="12"/>
  <c r="B540" i="12"/>
  <c r="B539" i="12"/>
  <c r="B538" i="12"/>
  <c r="B537" i="12"/>
  <c r="B536" i="12"/>
  <c r="B535" i="12"/>
  <c r="B534" i="12"/>
  <c r="B533" i="12"/>
  <c r="B532" i="12"/>
  <c r="B531" i="12"/>
  <c r="B530" i="12"/>
  <c r="B529" i="12"/>
  <c r="B528" i="12"/>
  <c r="B527" i="12"/>
  <c r="B526" i="12"/>
  <c r="B525" i="12"/>
  <c r="B524" i="12"/>
  <c r="B523" i="12"/>
  <c r="B522" i="12"/>
  <c r="B521" i="12"/>
  <c r="B520" i="12"/>
  <c r="B519" i="12"/>
  <c r="B518" i="12"/>
  <c r="B517" i="12"/>
  <c r="B516" i="12"/>
  <c r="B515" i="12"/>
  <c r="B514" i="12"/>
  <c r="B513" i="12"/>
  <c r="B512" i="12"/>
  <c r="B511" i="12"/>
  <c r="B510" i="12"/>
  <c r="B509" i="12"/>
  <c r="B508" i="12"/>
  <c r="B507" i="12"/>
  <c r="B506" i="12"/>
  <c r="B505" i="12"/>
  <c r="B504" i="12"/>
  <c r="B503" i="12"/>
  <c r="B502" i="12"/>
  <c r="B501" i="12"/>
  <c r="B500" i="12"/>
  <c r="B499" i="12"/>
  <c r="B498" i="12"/>
  <c r="B497" i="12"/>
  <c r="B496" i="12"/>
  <c r="B495" i="12"/>
  <c r="B494" i="12"/>
  <c r="B493" i="12"/>
  <c r="B492" i="12"/>
  <c r="B491" i="12"/>
  <c r="B490" i="12"/>
  <c r="B489" i="12"/>
  <c r="B488" i="12"/>
  <c r="B487" i="12"/>
  <c r="B486" i="12"/>
  <c r="B485" i="12"/>
  <c r="B484" i="12"/>
  <c r="B483" i="12"/>
  <c r="B482" i="12"/>
  <c r="B481" i="12"/>
  <c r="B480" i="12"/>
  <c r="B479" i="12"/>
  <c r="B478" i="12"/>
  <c r="B477" i="12"/>
  <c r="B476" i="12"/>
  <c r="B475" i="12"/>
  <c r="B474" i="12"/>
  <c r="B473" i="12"/>
  <c r="B472" i="12"/>
  <c r="B471" i="12"/>
  <c r="B470" i="12"/>
  <c r="B469" i="12"/>
  <c r="B468" i="12"/>
  <c r="B467" i="12"/>
  <c r="B466" i="12"/>
  <c r="B465" i="12"/>
  <c r="B464" i="12"/>
  <c r="B463" i="12"/>
  <c r="B462" i="12"/>
  <c r="B461" i="12"/>
  <c r="B460" i="12"/>
  <c r="B459" i="12"/>
  <c r="B458" i="12"/>
  <c r="B457" i="12"/>
  <c r="B456" i="12"/>
  <c r="B455" i="12"/>
  <c r="B454" i="12"/>
  <c r="B453" i="12"/>
  <c r="B452" i="12"/>
  <c r="B451" i="12"/>
  <c r="B450" i="12"/>
  <c r="B449" i="12"/>
  <c r="B448" i="12"/>
  <c r="B447" i="12"/>
  <c r="B446" i="12"/>
  <c r="B445" i="12"/>
  <c r="B444" i="12"/>
  <c r="B443" i="12"/>
  <c r="B442" i="12"/>
  <c r="B441" i="12"/>
  <c r="B440" i="12"/>
  <c r="B439" i="12"/>
  <c r="B438" i="12"/>
  <c r="B437" i="12"/>
  <c r="B436" i="12"/>
  <c r="B435" i="12"/>
  <c r="B434" i="12"/>
  <c r="B433" i="12"/>
  <c r="B432" i="12"/>
  <c r="B431" i="12"/>
  <c r="B430" i="12"/>
  <c r="B429" i="12"/>
  <c r="B428" i="12"/>
  <c r="B427" i="12"/>
  <c r="B426" i="12"/>
  <c r="B425" i="12"/>
  <c r="B424" i="12"/>
  <c r="B423" i="12"/>
  <c r="B422" i="12"/>
  <c r="B421" i="12"/>
  <c r="B420" i="12"/>
  <c r="B419" i="12"/>
  <c r="B418" i="12"/>
  <c r="B417" i="12"/>
  <c r="B416" i="12"/>
  <c r="B415" i="12"/>
  <c r="B414" i="12"/>
  <c r="B413" i="12"/>
  <c r="B412" i="12"/>
  <c r="B411" i="12"/>
  <c r="B410" i="12"/>
  <c r="B409" i="12"/>
  <c r="B408" i="12"/>
  <c r="B407" i="12"/>
  <c r="B406" i="12"/>
  <c r="B405" i="12"/>
  <c r="B404" i="12"/>
  <c r="B403" i="12"/>
  <c r="B402" i="12"/>
  <c r="B401" i="12"/>
  <c r="B400" i="12"/>
  <c r="B399" i="12"/>
  <c r="B398" i="12"/>
  <c r="B397" i="12"/>
  <c r="B396" i="12"/>
  <c r="B395" i="12"/>
  <c r="B394" i="12"/>
  <c r="B393" i="12"/>
  <c r="B392" i="12"/>
  <c r="B391" i="12"/>
  <c r="B390" i="12"/>
  <c r="B389" i="12"/>
  <c r="B388" i="12"/>
  <c r="B387" i="12"/>
  <c r="B386" i="12"/>
  <c r="B385" i="12"/>
  <c r="B384" i="12"/>
  <c r="B383" i="12"/>
  <c r="B382" i="12"/>
  <c r="B381" i="12"/>
  <c r="B380" i="12"/>
  <c r="B379" i="12"/>
  <c r="B378" i="12"/>
  <c r="B377" i="12"/>
  <c r="B376" i="12"/>
  <c r="B375" i="12"/>
  <c r="B374" i="12"/>
  <c r="B373" i="12"/>
  <c r="B372" i="12"/>
  <c r="B371" i="12"/>
  <c r="B370" i="12"/>
  <c r="B369" i="12"/>
  <c r="B368" i="12"/>
  <c r="B367" i="12"/>
  <c r="B366" i="12"/>
  <c r="B365" i="12"/>
  <c r="B364" i="12"/>
  <c r="B363" i="12"/>
  <c r="B362" i="12"/>
  <c r="B361" i="12"/>
  <c r="B360" i="12"/>
  <c r="B359" i="12"/>
  <c r="B358" i="12"/>
  <c r="B357" i="12"/>
  <c r="B356" i="12"/>
  <c r="B355" i="12"/>
  <c r="B354" i="12"/>
  <c r="B353" i="12"/>
  <c r="B352" i="12"/>
  <c r="B351" i="12"/>
  <c r="B350" i="12"/>
  <c r="B349" i="12"/>
  <c r="B348" i="12"/>
  <c r="B347" i="12"/>
  <c r="B346" i="12"/>
  <c r="B345" i="12"/>
  <c r="B344" i="12"/>
  <c r="B343" i="12"/>
  <c r="B342" i="12"/>
  <c r="B341" i="12"/>
  <c r="B340" i="12"/>
  <c r="B339" i="12"/>
  <c r="B338" i="12"/>
  <c r="B337" i="12"/>
  <c r="B336" i="12"/>
  <c r="B335" i="12"/>
  <c r="B334" i="12"/>
  <c r="B333" i="12"/>
  <c r="B332" i="12"/>
  <c r="B331" i="12"/>
  <c r="B330" i="12"/>
  <c r="B329" i="12"/>
  <c r="B328" i="12"/>
  <c r="B327" i="12"/>
  <c r="B326" i="12"/>
  <c r="B325" i="12"/>
  <c r="B324" i="12"/>
  <c r="B323" i="12"/>
  <c r="B322" i="12"/>
  <c r="B321" i="12"/>
  <c r="B320" i="12"/>
  <c r="B319" i="12"/>
  <c r="B318" i="12"/>
  <c r="B317" i="12"/>
  <c r="B316" i="12"/>
  <c r="B315" i="12"/>
  <c r="B314" i="12"/>
  <c r="B313" i="12"/>
  <c r="B312" i="12"/>
  <c r="B311" i="12"/>
  <c r="B310" i="12"/>
  <c r="B309" i="12"/>
  <c r="B308" i="12"/>
  <c r="B307" i="12"/>
  <c r="B306" i="12"/>
  <c r="B305" i="12"/>
  <c r="B304" i="12"/>
  <c r="B303" i="12"/>
  <c r="B302" i="12"/>
  <c r="B301" i="12"/>
  <c r="B300" i="12"/>
  <c r="B299" i="12"/>
  <c r="B298" i="12"/>
  <c r="B297" i="12"/>
  <c r="B296" i="12"/>
  <c r="B295" i="12"/>
  <c r="B294" i="12"/>
  <c r="B293" i="12"/>
  <c r="B292" i="12"/>
  <c r="B291" i="12"/>
  <c r="B290" i="12"/>
  <c r="B289" i="12"/>
  <c r="B288" i="12"/>
  <c r="B287" i="12"/>
  <c r="B286" i="12"/>
  <c r="B285" i="12"/>
  <c r="B284" i="12"/>
  <c r="B283" i="12"/>
  <c r="B282" i="12"/>
  <c r="B281" i="12"/>
  <c r="B280" i="12"/>
  <c r="B279" i="12"/>
  <c r="B278" i="12"/>
  <c r="B277" i="12"/>
  <c r="B276" i="12"/>
  <c r="B275" i="12"/>
  <c r="B274" i="12"/>
  <c r="B273" i="12"/>
  <c r="B272" i="12"/>
  <c r="B271" i="12"/>
  <c r="B270" i="12"/>
  <c r="B269" i="12"/>
  <c r="B268" i="12"/>
  <c r="B267" i="12"/>
  <c r="B266" i="12"/>
  <c r="B265" i="12"/>
  <c r="B264" i="12"/>
  <c r="B263" i="12"/>
  <c r="B262" i="12"/>
  <c r="B261" i="12"/>
  <c r="B260" i="12"/>
  <c r="B259" i="12"/>
  <c r="B258" i="12"/>
  <c r="B257" i="12"/>
  <c r="B256" i="12"/>
  <c r="B255" i="12"/>
  <c r="B254" i="12"/>
  <c r="B253" i="12"/>
  <c r="B252" i="12"/>
  <c r="B251" i="12"/>
  <c r="B250" i="12"/>
  <c r="B249" i="12"/>
  <c r="B248" i="12"/>
  <c r="B247" i="12"/>
  <c r="B246" i="12"/>
  <c r="B245" i="12"/>
  <c r="B244" i="12"/>
  <c r="B243" i="12"/>
  <c r="B242" i="12"/>
  <c r="B241" i="12"/>
  <c r="B240" i="12"/>
  <c r="B239" i="12"/>
  <c r="B238" i="12"/>
  <c r="B237" i="12"/>
  <c r="B236" i="12"/>
  <c r="B235" i="12"/>
  <c r="B234" i="12"/>
  <c r="B233" i="12"/>
  <c r="B232" i="12"/>
  <c r="B231" i="12"/>
  <c r="B230" i="12"/>
  <c r="B229" i="12"/>
  <c r="B228" i="12"/>
  <c r="B227" i="12"/>
  <c r="B226" i="12"/>
  <c r="B225" i="12"/>
  <c r="B224" i="12"/>
  <c r="B223" i="12"/>
  <c r="B222" i="12"/>
  <c r="B221" i="12"/>
  <c r="B220" i="12"/>
  <c r="B219" i="12"/>
  <c r="B218" i="12"/>
  <c r="B217" i="12"/>
  <c r="B216" i="12"/>
  <c r="B215" i="12"/>
  <c r="B214" i="12"/>
  <c r="B213" i="12"/>
  <c r="B212" i="12"/>
  <c r="B211" i="12"/>
  <c r="B210" i="12"/>
  <c r="B209" i="12"/>
  <c r="B208" i="12"/>
  <c r="B207" i="12"/>
  <c r="B206" i="12"/>
  <c r="B205" i="12"/>
  <c r="B204" i="12"/>
  <c r="B203" i="12"/>
  <c r="B202" i="12"/>
  <c r="B201" i="12"/>
  <c r="B200" i="12"/>
  <c r="B199" i="12"/>
  <c r="B198" i="12"/>
  <c r="B197" i="12"/>
  <c r="B196" i="12"/>
  <c r="B195" i="12"/>
  <c r="B194" i="12"/>
  <c r="B193" i="12"/>
  <c r="B192" i="12"/>
  <c r="B191" i="12"/>
  <c r="B190" i="12"/>
  <c r="B189" i="12"/>
  <c r="B188" i="12"/>
  <c r="B187" i="12"/>
  <c r="B186" i="12"/>
  <c r="B185" i="12"/>
  <c r="B184" i="12"/>
  <c r="B183" i="12"/>
  <c r="B182" i="12"/>
  <c r="B181" i="12"/>
  <c r="B180" i="12"/>
  <c r="B179" i="12"/>
  <c r="B178" i="12"/>
  <c r="B177" i="12"/>
  <c r="B176" i="12"/>
  <c r="B175" i="12"/>
  <c r="B174" i="12"/>
  <c r="B173" i="12"/>
  <c r="B172" i="12"/>
  <c r="B171" i="12"/>
  <c r="B170" i="12"/>
  <c r="B169" i="12"/>
  <c r="B168" i="12"/>
  <c r="B167" i="12"/>
  <c r="B166" i="12"/>
  <c r="B165" i="12"/>
  <c r="B164" i="12"/>
  <c r="B163" i="12"/>
  <c r="B162" i="12"/>
  <c r="B161" i="12"/>
  <c r="B160" i="12"/>
  <c r="B159" i="12"/>
  <c r="B158" i="12"/>
  <c r="B157" i="12"/>
  <c r="B156" i="12"/>
  <c r="B155" i="12"/>
  <c r="B154" i="12"/>
  <c r="B153" i="12"/>
  <c r="B152" i="12"/>
  <c r="B151" i="12"/>
  <c r="B150" i="12"/>
  <c r="B149" i="12"/>
  <c r="B148" i="12"/>
  <c r="B147" i="12"/>
  <c r="B146" i="12"/>
  <c r="B145" i="12"/>
  <c r="B144" i="12"/>
  <c r="B143" i="12"/>
  <c r="B142" i="12"/>
  <c r="B141" i="12"/>
  <c r="B140" i="12"/>
  <c r="B139" i="12"/>
  <c r="B138" i="12"/>
  <c r="B137" i="12"/>
  <c r="B136" i="12"/>
  <c r="B135" i="12"/>
  <c r="B134" i="12"/>
  <c r="B133" i="12"/>
  <c r="B132" i="12"/>
  <c r="B131" i="12"/>
  <c r="B130" i="12"/>
  <c r="B129" i="12"/>
  <c r="B128" i="12"/>
  <c r="B127" i="12"/>
  <c r="B126" i="12"/>
  <c r="B125" i="12"/>
  <c r="B124" i="12"/>
  <c r="B123" i="12"/>
  <c r="B122" i="12"/>
  <c r="B121" i="12"/>
  <c r="B120" i="12"/>
  <c r="B119" i="12"/>
  <c r="B118" i="12"/>
  <c r="B117" i="12"/>
  <c r="B116" i="12"/>
  <c r="B115" i="12"/>
  <c r="B114" i="12"/>
  <c r="B113" i="12"/>
  <c r="B112" i="12"/>
  <c r="B111" i="12"/>
  <c r="B110" i="12"/>
  <c r="B109" i="12"/>
  <c r="B108" i="12"/>
  <c r="B107" i="12"/>
  <c r="B106" i="12"/>
  <c r="B105" i="12"/>
  <c r="B104" i="12"/>
  <c r="B103" i="12"/>
  <c r="B102" i="12"/>
  <c r="B101" i="12"/>
  <c r="B100" i="12"/>
  <c r="B99" i="12"/>
  <c r="B98" i="12"/>
  <c r="B97" i="12"/>
  <c r="B96" i="12"/>
  <c r="B95" i="12"/>
  <c r="B94" i="12"/>
  <c r="B93" i="12"/>
  <c r="B92" i="12"/>
  <c r="B91" i="12"/>
  <c r="B90" i="12"/>
  <c r="B89" i="12"/>
  <c r="B88" i="12"/>
  <c r="B87" i="12"/>
  <c r="B86" i="12"/>
  <c r="B85" i="12"/>
  <c r="B84" i="12"/>
  <c r="B83" i="12"/>
  <c r="B82" i="12"/>
  <c r="B81" i="12"/>
  <c r="B80" i="12"/>
  <c r="B79" i="12"/>
  <c r="B78" i="12"/>
  <c r="B77" i="12"/>
  <c r="B76" i="12"/>
  <c r="B75" i="12"/>
  <c r="B74" i="12"/>
  <c r="B73" i="12"/>
  <c r="B72" i="12"/>
  <c r="B71" i="12"/>
  <c r="B70" i="12"/>
  <c r="B69" i="12"/>
  <c r="B68" i="12"/>
  <c r="B67" i="12"/>
  <c r="B66" i="12"/>
  <c r="B65" i="12"/>
  <c r="B64" i="12"/>
  <c r="B63" i="12"/>
  <c r="B62" i="12"/>
  <c r="B61" i="12"/>
  <c r="B60" i="12"/>
  <c r="B59" i="12"/>
  <c r="B58" i="12"/>
  <c r="B57" i="12"/>
  <c r="B56" i="12"/>
  <c r="B55" i="12"/>
  <c r="B54" i="12"/>
  <c r="B53" i="12"/>
  <c r="B52" i="12"/>
  <c r="B51" i="12"/>
  <c r="B50" i="12"/>
  <c r="B49" i="12"/>
  <c r="B48" i="12"/>
  <c r="B47" i="12"/>
  <c r="B46" i="12"/>
  <c r="B45" i="12"/>
  <c r="B44" i="12"/>
  <c r="B43" i="12"/>
  <c r="B42" i="12"/>
  <c r="B41" i="12"/>
  <c r="B40" i="12"/>
  <c r="B39" i="12"/>
  <c r="B38" i="12"/>
  <c r="B37" i="12"/>
  <c r="B36" i="12"/>
  <c r="B35" i="12"/>
  <c r="B34" i="12"/>
  <c r="B33" i="12"/>
  <c r="B32" i="12"/>
  <c r="B31" i="12"/>
  <c r="B30" i="12"/>
  <c r="B29" i="12"/>
  <c r="B28" i="12"/>
  <c r="B27" i="12"/>
  <c r="B26" i="12"/>
  <c r="B25" i="12"/>
  <c r="B24" i="12"/>
  <c r="B23" i="12"/>
  <c r="B22" i="12"/>
  <c r="B21" i="12"/>
  <c r="B20" i="12"/>
  <c r="B19" i="12"/>
  <c r="B18" i="12"/>
  <c r="B17" i="12"/>
  <c r="B16" i="12"/>
  <c r="B15" i="12"/>
  <c r="B14" i="12"/>
  <c r="B13" i="12"/>
  <c r="B12" i="12"/>
  <c r="B11" i="12"/>
  <c r="B10" i="12"/>
  <c r="B9" i="12"/>
  <c r="B8" i="12"/>
  <c r="B7" i="12"/>
  <c r="B6" i="12"/>
  <c r="B5" i="12"/>
  <c r="B4" i="12"/>
  <c r="B3" i="12"/>
  <c r="B2" i="12"/>
  <c r="B1000" i="11"/>
  <c r="B999" i="11"/>
  <c r="B998" i="11"/>
  <c r="B997" i="11"/>
  <c r="B996" i="11"/>
  <c r="B995" i="11"/>
  <c r="B994" i="11"/>
  <c r="B993" i="11"/>
  <c r="B992" i="11"/>
  <c r="B991" i="11"/>
  <c r="B990" i="11"/>
  <c r="B989" i="11"/>
  <c r="B988" i="11"/>
  <c r="B987" i="11"/>
  <c r="B986" i="11"/>
  <c r="B985" i="11"/>
  <c r="B984" i="11"/>
  <c r="B983" i="11"/>
  <c r="B982" i="11"/>
  <c r="B981" i="11"/>
  <c r="B980" i="11"/>
  <c r="B979" i="11"/>
  <c r="B978" i="11"/>
  <c r="B977" i="11"/>
  <c r="B976" i="11"/>
  <c r="B975" i="11"/>
  <c r="B974" i="11"/>
  <c r="B973" i="11"/>
  <c r="B972" i="11"/>
  <c r="B971" i="11"/>
  <c r="B970" i="11"/>
  <c r="B969" i="11"/>
  <c r="B968" i="11"/>
  <c r="B967" i="11"/>
  <c r="B966" i="11"/>
  <c r="B965" i="11"/>
  <c r="B964" i="11"/>
  <c r="B963" i="11"/>
  <c r="B962" i="11"/>
  <c r="B961" i="11"/>
  <c r="B960" i="11"/>
  <c r="B959" i="11"/>
  <c r="B958" i="11"/>
  <c r="B957" i="11"/>
  <c r="B956" i="11"/>
  <c r="B955" i="11"/>
  <c r="B954" i="11"/>
  <c r="B953" i="11"/>
  <c r="B952" i="11"/>
  <c r="B951" i="11"/>
  <c r="B950" i="11"/>
  <c r="B949" i="11"/>
  <c r="B948" i="11"/>
  <c r="B947" i="11"/>
  <c r="B946" i="11"/>
  <c r="B945" i="11"/>
  <c r="B944" i="11"/>
  <c r="B943" i="11"/>
  <c r="B942" i="11"/>
  <c r="B941" i="11"/>
  <c r="B940" i="11"/>
  <c r="B939" i="11"/>
  <c r="B938" i="11"/>
  <c r="B937" i="11"/>
  <c r="B936" i="11"/>
  <c r="B935" i="11"/>
  <c r="B934" i="11"/>
  <c r="B933" i="11"/>
  <c r="B932" i="11"/>
  <c r="B931" i="11"/>
  <c r="B930" i="11"/>
  <c r="B929" i="11"/>
  <c r="B928" i="11"/>
  <c r="B927" i="11"/>
  <c r="B926" i="11"/>
  <c r="B925" i="11"/>
  <c r="B924" i="11"/>
  <c r="B923" i="11"/>
  <c r="B922" i="11"/>
  <c r="B921" i="11"/>
  <c r="B920" i="11"/>
  <c r="B919" i="11"/>
  <c r="B918" i="11"/>
  <c r="B917" i="11"/>
  <c r="B916" i="11"/>
  <c r="B915" i="11"/>
  <c r="B914" i="11"/>
  <c r="B913" i="11"/>
  <c r="B912" i="11"/>
  <c r="B911" i="11"/>
  <c r="B910" i="11"/>
  <c r="B909" i="11"/>
  <c r="B908" i="11"/>
  <c r="B907" i="11"/>
  <c r="B906" i="11"/>
  <c r="B905" i="11"/>
  <c r="B904" i="11"/>
  <c r="B903" i="11"/>
  <c r="B902" i="11"/>
  <c r="B901" i="11"/>
  <c r="B900" i="11"/>
  <c r="B899" i="11"/>
  <c r="B898" i="11"/>
  <c r="B897" i="11"/>
  <c r="B896" i="11"/>
  <c r="B895" i="11"/>
  <c r="B894" i="11"/>
  <c r="B893" i="11"/>
  <c r="B892" i="11"/>
  <c r="B891" i="11"/>
  <c r="B890" i="11"/>
  <c r="B889" i="11"/>
  <c r="B888" i="11"/>
  <c r="B887" i="11"/>
  <c r="B886" i="11"/>
  <c r="B885" i="11"/>
  <c r="B884" i="11"/>
  <c r="B883" i="11"/>
  <c r="B882" i="11"/>
  <c r="B881" i="11"/>
  <c r="B880" i="11"/>
  <c r="B879" i="11"/>
  <c r="B878" i="11"/>
  <c r="B877" i="11"/>
  <c r="B876" i="11"/>
  <c r="B875" i="11"/>
  <c r="B874" i="11"/>
  <c r="B873" i="11"/>
  <c r="B872" i="11"/>
  <c r="B871" i="11"/>
  <c r="B870" i="11"/>
  <c r="B869" i="11"/>
  <c r="B868" i="11"/>
  <c r="B867" i="11"/>
  <c r="B866" i="11"/>
  <c r="B865" i="11"/>
  <c r="B864" i="11"/>
  <c r="B863" i="11"/>
  <c r="B862" i="11"/>
  <c r="B861" i="11"/>
  <c r="B860" i="11"/>
  <c r="B859" i="11"/>
  <c r="B858" i="11"/>
  <c r="B857" i="11"/>
  <c r="B856" i="11"/>
  <c r="B855" i="11"/>
  <c r="B854" i="11"/>
  <c r="B853" i="11"/>
  <c r="B852" i="11"/>
  <c r="B851" i="11"/>
  <c r="B850" i="11"/>
  <c r="B849" i="11"/>
  <c r="B848" i="11"/>
  <c r="B847" i="11"/>
  <c r="B846" i="11"/>
  <c r="B845" i="11"/>
  <c r="B844" i="11"/>
  <c r="B843" i="11"/>
  <c r="B842" i="11"/>
  <c r="B841" i="11"/>
  <c r="B840" i="11"/>
  <c r="B839" i="11"/>
  <c r="B838" i="11"/>
  <c r="B837" i="11"/>
  <c r="B836" i="11"/>
  <c r="B835" i="11"/>
  <c r="B834" i="11"/>
  <c r="B833" i="11"/>
  <c r="B832" i="11"/>
  <c r="B831" i="11"/>
  <c r="B830" i="11"/>
  <c r="B829" i="11"/>
  <c r="B828" i="11"/>
  <c r="B827" i="11"/>
  <c r="B826" i="11"/>
  <c r="B825" i="11"/>
  <c r="B824" i="11"/>
  <c r="B823" i="11"/>
  <c r="B822" i="11"/>
  <c r="B821" i="11"/>
  <c r="B820" i="11"/>
  <c r="B819" i="11"/>
  <c r="B818" i="11"/>
  <c r="B817" i="11"/>
  <c r="B816" i="11"/>
  <c r="B815" i="11"/>
  <c r="B814" i="11"/>
  <c r="B813" i="11"/>
  <c r="B812" i="11"/>
  <c r="B811" i="11"/>
  <c r="B810" i="11"/>
  <c r="B809" i="11"/>
  <c r="B808" i="11"/>
  <c r="B807" i="11"/>
  <c r="B806" i="11"/>
  <c r="B805" i="11"/>
  <c r="B804" i="11"/>
  <c r="B803" i="11"/>
  <c r="B802" i="11"/>
  <c r="B801" i="11"/>
  <c r="B800" i="11"/>
  <c r="B799" i="11"/>
  <c r="B798" i="11"/>
  <c r="B797" i="11"/>
  <c r="B796" i="11"/>
  <c r="B795" i="11"/>
  <c r="B794" i="11"/>
  <c r="B793" i="11"/>
  <c r="B792" i="11"/>
  <c r="B791" i="11"/>
  <c r="B790" i="11"/>
  <c r="B789" i="11"/>
  <c r="B788" i="11"/>
  <c r="B787" i="11"/>
  <c r="B786" i="11"/>
  <c r="B785" i="11"/>
  <c r="B784" i="11"/>
  <c r="B783" i="11"/>
  <c r="B782" i="11"/>
  <c r="B781" i="11"/>
  <c r="B780" i="11"/>
  <c r="B779" i="11"/>
  <c r="B778" i="11"/>
  <c r="B777" i="11"/>
  <c r="B776" i="11"/>
  <c r="B775" i="11"/>
  <c r="B774" i="11"/>
  <c r="B773" i="11"/>
  <c r="B772" i="11"/>
  <c r="B771" i="11"/>
  <c r="B770" i="11"/>
  <c r="B769" i="11"/>
  <c r="B768" i="11"/>
  <c r="B767" i="11"/>
  <c r="B766" i="11"/>
  <c r="B765" i="11"/>
  <c r="B764" i="11"/>
  <c r="B763" i="11"/>
  <c r="B762" i="11"/>
  <c r="B761" i="11"/>
  <c r="B760" i="11"/>
  <c r="B759" i="11"/>
  <c r="B758" i="11"/>
  <c r="B757" i="11"/>
  <c r="B756" i="11"/>
  <c r="B755" i="11"/>
  <c r="B754" i="11"/>
  <c r="B753" i="11"/>
  <c r="B752" i="11"/>
  <c r="B751" i="11"/>
  <c r="B750" i="11"/>
  <c r="B749" i="11"/>
  <c r="B748" i="11"/>
  <c r="B747" i="11"/>
  <c r="B746" i="11"/>
  <c r="B745" i="11"/>
  <c r="B744" i="11"/>
  <c r="B743" i="11"/>
  <c r="B742" i="11"/>
  <c r="B741" i="11"/>
  <c r="B740" i="11"/>
  <c r="B739" i="11"/>
  <c r="B738" i="11"/>
  <c r="B737" i="11"/>
  <c r="B736" i="11"/>
  <c r="B735" i="11"/>
  <c r="B734" i="11"/>
  <c r="B733" i="11"/>
  <c r="B732" i="11"/>
  <c r="B731" i="11"/>
  <c r="B730" i="11"/>
  <c r="B729" i="11"/>
  <c r="B728" i="11"/>
  <c r="B727" i="11"/>
  <c r="B726" i="11"/>
  <c r="B725" i="11"/>
  <c r="B724" i="11"/>
  <c r="B723" i="11"/>
  <c r="B722" i="11"/>
  <c r="B721" i="11"/>
  <c r="B720" i="11"/>
  <c r="B719" i="11"/>
  <c r="B718" i="11"/>
  <c r="B717" i="11"/>
  <c r="B716" i="11"/>
  <c r="B715" i="11"/>
  <c r="B714" i="11"/>
  <c r="B713" i="11"/>
  <c r="B712" i="11"/>
  <c r="B711" i="11"/>
  <c r="B710" i="11"/>
  <c r="B709" i="11"/>
  <c r="B708" i="11"/>
  <c r="B707" i="11"/>
  <c r="B706" i="11"/>
  <c r="B705" i="11"/>
  <c r="B704" i="11"/>
  <c r="B703" i="11"/>
  <c r="B702" i="11"/>
  <c r="B701" i="11"/>
  <c r="B700" i="11"/>
  <c r="B699" i="11"/>
  <c r="B698" i="11"/>
  <c r="B697" i="11"/>
  <c r="B696" i="11"/>
  <c r="B695" i="11"/>
  <c r="B694" i="11"/>
  <c r="B693" i="11"/>
  <c r="B692" i="11"/>
  <c r="B691" i="11"/>
  <c r="B690" i="11"/>
  <c r="B689" i="11"/>
  <c r="B688" i="11"/>
  <c r="B687" i="11"/>
  <c r="B686" i="11"/>
  <c r="B685" i="11"/>
  <c r="B684" i="11"/>
  <c r="B683" i="11"/>
  <c r="B682" i="11"/>
  <c r="B681" i="11"/>
  <c r="B680" i="11"/>
  <c r="B679" i="11"/>
  <c r="B678" i="11"/>
  <c r="B677" i="11"/>
  <c r="B676" i="11"/>
  <c r="B675" i="11"/>
  <c r="B674" i="11"/>
  <c r="B673" i="11"/>
  <c r="B672" i="11"/>
  <c r="B671" i="11"/>
  <c r="B670" i="11"/>
  <c r="B669" i="11"/>
  <c r="B668" i="11"/>
  <c r="B667" i="11"/>
  <c r="B666" i="11"/>
  <c r="B665" i="11"/>
  <c r="B664" i="11"/>
  <c r="B663" i="11"/>
  <c r="B662" i="11"/>
  <c r="B661" i="11"/>
  <c r="B660" i="11"/>
  <c r="B659" i="11"/>
  <c r="B658" i="11"/>
  <c r="B657" i="11"/>
  <c r="B656" i="11"/>
  <c r="B655" i="11"/>
  <c r="B654" i="11"/>
  <c r="B653" i="11"/>
  <c r="B652" i="11"/>
  <c r="B651" i="11"/>
  <c r="B650" i="11"/>
  <c r="B649" i="11"/>
  <c r="B648" i="11"/>
  <c r="B647" i="11"/>
  <c r="B646" i="11"/>
  <c r="B645" i="11"/>
  <c r="B644" i="11"/>
  <c r="B643" i="11"/>
  <c r="B642" i="11"/>
  <c r="B641" i="11"/>
  <c r="B640" i="11"/>
  <c r="B639" i="11"/>
  <c r="B638" i="11"/>
  <c r="B637" i="11"/>
  <c r="B636" i="11"/>
  <c r="B635" i="11"/>
  <c r="B634" i="11"/>
  <c r="B633" i="11"/>
  <c r="B632" i="11"/>
  <c r="B631" i="11"/>
  <c r="B630" i="11"/>
  <c r="B629" i="11"/>
  <c r="B628" i="11"/>
  <c r="B627" i="11"/>
  <c r="B626" i="11"/>
  <c r="B625" i="11"/>
  <c r="B624" i="11"/>
  <c r="B623" i="11"/>
  <c r="B622" i="11"/>
  <c r="B621" i="11"/>
  <c r="B620" i="11"/>
  <c r="B619" i="11"/>
  <c r="B618" i="11"/>
  <c r="B617" i="11"/>
  <c r="B616" i="11"/>
  <c r="B615" i="11"/>
  <c r="B614" i="11"/>
  <c r="B613" i="11"/>
  <c r="B612" i="11"/>
  <c r="B611" i="11"/>
  <c r="B610" i="11"/>
  <c r="B609" i="11"/>
  <c r="B608" i="11"/>
  <c r="B607" i="11"/>
  <c r="B606" i="11"/>
  <c r="B605" i="11"/>
  <c r="B604" i="11"/>
  <c r="B603" i="11"/>
  <c r="B602" i="11"/>
  <c r="B601" i="11"/>
  <c r="B600" i="11"/>
  <c r="B599" i="11"/>
  <c r="B598" i="11"/>
  <c r="B597" i="11"/>
  <c r="B596" i="11"/>
  <c r="B595" i="11"/>
  <c r="B594" i="11"/>
  <c r="B593" i="11"/>
  <c r="B592" i="11"/>
  <c r="B591" i="11"/>
  <c r="B590" i="11"/>
  <c r="B589" i="11"/>
  <c r="B588" i="11"/>
  <c r="B587" i="11"/>
  <c r="B586" i="11"/>
  <c r="B585" i="11"/>
  <c r="B584" i="11"/>
  <c r="B583" i="11"/>
  <c r="B582" i="11"/>
  <c r="B581" i="11"/>
  <c r="B580" i="11"/>
  <c r="B579" i="11"/>
  <c r="B578" i="11"/>
  <c r="B577" i="11"/>
  <c r="B576" i="11"/>
  <c r="B575" i="11"/>
  <c r="B574" i="11"/>
  <c r="B573" i="11"/>
  <c r="B572" i="11"/>
  <c r="B571" i="11"/>
  <c r="B570" i="11"/>
  <c r="B569" i="11"/>
  <c r="B568" i="11"/>
  <c r="B567" i="11"/>
  <c r="B566" i="11"/>
  <c r="B565" i="11"/>
  <c r="B564" i="11"/>
  <c r="B563" i="11"/>
  <c r="B562" i="11"/>
  <c r="B561" i="11"/>
  <c r="B560" i="11"/>
  <c r="B559" i="11"/>
  <c r="B558" i="11"/>
  <c r="B557" i="11"/>
  <c r="B556" i="11"/>
  <c r="B555" i="11"/>
  <c r="B554" i="11"/>
  <c r="B553" i="11"/>
  <c r="B552" i="11"/>
  <c r="B551" i="11"/>
  <c r="B550" i="11"/>
  <c r="B549" i="11"/>
  <c r="B548" i="11"/>
  <c r="B547" i="11"/>
  <c r="B546" i="11"/>
  <c r="B545" i="11"/>
  <c r="B544" i="11"/>
  <c r="B543" i="11"/>
  <c r="B542" i="11"/>
  <c r="B541" i="11"/>
  <c r="B540" i="11"/>
  <c r="B539" i="11"/>
  <c r="B538" i="11"/>
  <c r="B537" i="11"/>
  <c r="B536" i="11"/>
  <c r="B535" i="11"/>
  <c r="B534" i="11"/>
  <c r="B533" i="11"/>
  <c r="B532" i="11"/>
  <c r="B531" i="11"/>
  <c r="B530" i="11"/>
  <c r="B529" i="11"/>
  <c r="B528" i="11"/>
  <c r="B527" i="11"/>
  <c r="B526" i="11"/>
  <c r="B525" i="11"/>
  <c r="B524" i="11"/>
  <c r="B523" i="11"/>
  <c r="B522" i="11"/>
  <c r="B521" i="11"/>
  <c r="B520" i="11"/>
  <c r="B519" i="11"/>
  <c r="B518" i="11"/>
  <c r="B517" i="11"/>
  <c r="B516" i="11"/>
  <c r="B515" i="11"/>
  <c r="B514" i="11"/>
  <c r="B513" i="11"/>
  <c r="B512" i="11"/>
  <c r="B511" i="11"/>
  <c r="B510" i="11"/>
  <c r="B509" i="11"/>
  <c r="B508" i="11"/>
  <c r="B507" i="11"/>
  <c r="B506" i="11"/>
  <c r="B505" i="11"/>
  <c r="B504" i="11"/>
  <c r="B503" i="11"/>
  <c r="B502" i="11"/>
  <c r="B501" i="11"/>
  <c r="B500" i="11"/>
  <c r="B499" i="11"/>
  <c r="B498" i="11"/>
  <c r="B497" i="11"/>
  <c r="B496" i="11"/>
  <c r="B495" i="11"/>
  <c r="B494" i="11"/>
  <c r="B493" i="11"/>
  <c r="B492" i="11"/>
  <c r="B491" i="11"/>
  <c r="B490" i="11"/>
  <c r="B489" i="11"/>
  <c r="B488" i="11"/>
  <c r="B487" i="11"/>
  <c r="B486" i="11"/>
  <c r="B485" i="11"/>
  <c r="B484" i="11"/>
  <c r="B483" i="11"/>
  <c r="B482" i="11"/>
  <c r="B481" i="11"/>
  <c r="B480" i="11"/>
  <c r="B479" i="11"/>
  <c r="B478" i="11"/>
  <c r="B477" i="11"/>
  <c r="B476" i="11"/>
  <c r="B475" i="11"/>
  <c r="B474" i="11"/>
  <c r="B473" i="11"/>
  <c r="B472" i="11"/>
  <c r="B471" i="11"/>
  <c r="B470" i="11"/>
  <c r="B469" i="11"/>
  <c r="B468" i="11"/>
  <c r="B467" i="11"/>
  <c r="B466" i="11"/>
  <c r="B465" i="11"/>
  <c r="B464" i="11"/>
  <c r="B463" i="11"/>
  <c r="B462" i="11"/>
  <c r="B461" i="11"/>
  <c r="B460" i="11"/>
  <c r="B459" i="11"/>
  <c r="B458" i="11"/>
  <c r="B457" i="11"/>
  <c r="B456" i="11"/>
  <c r="B455" i="11"/>
  <c r="B454" i="11"/>
  <c r="B453" i="11"/>
  <c r="B452" i="11"/>
  <c r="B451" i="11"/>
  <c r="B450" i="11"/>
  <c r="B449" i="11"/>
  <c r="B448" i="11"/>
  <c r="B447" i="11"/>
  <c r="B446" i="11"/>
  <c r="B445" i="11"/>
  <c r="B444" i="11"/>
  <c r="B443" i="11"/>
  <c r="B442" i="11"/>
  <c r="B441" i="11"/>
  <c r="B440" i="11"/>
  <c r="B439" i="11"/>
  <c r="B438" i="11"/>
  <c r="B437" i="11"/>
  <c r="B436" i="11"/>
  <c r="B435" i="11"/>
  <c r="B434" i="11"/>
  <c r="B433" i="11"/>
  <c r="B432" i="11"/>
  <c r="B431" i="11"/>
  <c r="B430" i="11"/>
  <c r="B429" i="11"/>
  <c r="B428" i="11"/>
  <c r="B427" i="11"/>
  <c r="B426" i="11"/>
  <c r="B425" i="11"/>
  <c r="B424" i="11"/>
  <c r="B423" i="11"/>
  <c r="B422" i="11"/>
  <c r="B421" i="11"/>
  <c r="B420" i="11"/>
  <c r="B419" i="11"/>
  <c r="B418" i="11"/>
  <c r="B417" i="11"/>
  <c r="B416" i="11"/>
  <c r="B415" i="11"/>
  <c r="B414" i="11"/>
  <c r="B413" i="11"/>
  <c r="B412" i="11"/>
  <c r="B411" i="11"/>
  <c r="B410" i="11"/>
  <c r="B409" i="11"/>
  <c r="B408" i="11"/>
  <c r="B407" i="11"/>
  <c r="B406" i="11"/>
  <c r="B405" i="11"/>
  <c r="B404" i="11"/>
  <c r="B403" i="11"/>
  <c r="B402" i="11"/>
  <c r="B401" i="11"/>
  <c r="B400" i="11"/>
  <c r="B399" i="11"/>
  <c r="B398" i="11"/>
  <c r="B397" i="11"/>
  <c r="B396" i="11"/>
  <c r="B395" i="11"/>
  <c r="B394" i="11"/>
  <c r="B393" i="11"/>
  <c r="B392" i="11"/>
  <c r="B391" i="11"/>
  <c r="B390" i="11"/>
  <c r="B389" i="11"/>
  <c r="B388" i="11"/>
  <c r="B387" i="11"/>
  <c r="B386" i="11"/>
  <c r="B385" i="11"/>
  <c r="B384" i="11"/>
  <c r="B383" i="11"/>
  <c r="B382" i="11"/>
  <c r="B381" i="11"/>
  <c r="B380" i="11"/>
  <c r="B379" i="11"/>
  <c r="B378" i="11"/>
  <c r="B377" i="11"/>
  <c r="B376" i="11"/>
  <c r="B375" i="11"/>
  <c r="B374" i="11"/>
  <c r="B373" i="11"/>
  <c r="B372" i="11"/>
  <c r="B371" i="11"/>
  <c r="B370" i="11"/>
  <c r="B369" i="11"/>
  <c r="B368" i="11"/>
  <c r="B367" i="11"/>
  <c r="B366" i="11"/>
  <c r="B365" i="11"/>
  <c r="B364" i="11"/>
  <c r="B363" i="11"/>
  <c r="B362" i="11"/>
  <c r="B361" i="11"/>
  <c r="B360" i="11"/>
  <c r="B359" i="11"/>
  <c r="B358" i="11"/>
  <c r="B357" i="11"/>
  <c r="B356" i="11"/>
  <c r="B355" i="11"/>
  <c r="B354" i="11"/>
  <c r="B353" i="11"/>
  <c r="B352" i="11"/>
  <c r="B351" i="11"/>
  <c r="B350" i="11"/>
  <c r="B349" i="11"/>
  <c r="B348" i="11"/>
  <c r="B347" i="11"/>
  <c r="B346" i="11"/>
  <c r="B345" i="11"/>
  <c r="B344" i="11"/>
  <c r="B343" i="11"/>
  <c r="B342" i="11"/>
  <c r="B341" i="11"/>
  <c r="B340" i="11"/>
  <c r="B339" i="11"/>
  <c r="B338" i="11"/>
  <c r="B337" i="11"/>
  <c r="B336" i="11"/>
  <c r="B335" i="11"/>
  <c r="B334" i="11"/>
  <c r="B333" i="11"/>
  <c r="B332" i="11"/>
  <c r="B331" i="11"/>
  <c r="B330" i="11"/>
  <c r="B329" i="11"/>
  <c r="B328" i="11"/>
  <c r="B327" i="11"/>
  <c r="B326" i="11"/>
  <c r="B325" i="11"/>
  <c r="B324" i="11"/>
  <c r="B323" i="11"/>
  <c r="B322" i="11"/>
  <c r="B321" i="11"/>
  <c r="B320" i="11"/>
  <c r="B319" i="11"/>
  <c r="B318" i="11"/>
  <c r="B317" i="11"/>
  <c r="B316" i="11"/>
  <c r="B315" i="11"/>
  <c r="B314" i="11"/>
  <c r="B313" i="11"/>
  <c r="B312" i="11"/>
  <c r="B311" i="11"/>
  <c r="B310" i="11"/>
  <c r="B309" i="11"/>
  <c r="B308" i="11"/>
  <c r="B307" i="11"/>
  <c r="B306" i="11"/>
  <c r="B305" i="11"/>
  <c r="B304" i="11"/>
  <c r="B303" i="11"/>
  <c r="B302" i="11"/>
  <c r="B301" i="11"/>
  <c r="B300" i="11"/>
  <c r="B299" i="11"/>
  <c r="B298" i="11"/>
  <c r="B297" i="11"/>
  <c r="B296" i="11"/>
  <c r="B295" i="11"/>
  <c r="B294" i="11"/>
  <c r="B293" i="11"/>
  <c r="B292" i="11"/>
  <c r="B291" i="11"/>
  <c r="B290" i="11"/>
  <c r="B289" i="11"/>
  <c r="B288" i="11"/>
  <c r="B287" i="11"/>
  <c r="B286" i="11"/>
  <c r="B285" i="11"/>
  <c r="B284" i="11"/>
  <c r="B283" i="11"/>
  <c r="B282" i="11"/>
  <c r="B281" i="11"/>
  <c r="B280" i="11"/>
  <c r="B279" i="11"/>
  <c r="B278" i="11"/>
  <c r="B277" i="11"/>
  <c r="B276" i="11"/>
  <c r="B275" i="11"/>
  <c r="B274" i="11"/>
  <c r="B273" i="11"/>
  <c r="B272" i="11"/>
  <c r="B271" i="11"/>
  <c r="B270" i="11"/>
  <c r="B269" i="11"/>
  <c r="B268" i="11"/>
  <c r="B267" i="11"/>
  <c r="B266" i="11"/>
  <c r="B265" i="11"/>
  <c r="B264" i="11"/>
  <c r="B263" i="11"/>
  <c r="B262" i="11"/>
  <c r="B261" i="11"/>
  <c r="B260" i="11"/>
  <c r="B259" i="11"/>
  <c r="B258" i="11"/>
  <c r="B257" i="11"/>
  <c r="B256" i="11"/>
  <c r="B255" i="11"/>
  <c r="B254" i="11"/>
  <c r="B253" i="11"/>
  <c r="B252" i="11"/>
  <c r="B251" i="11"/>
  <c r="B250" i="11"/>
  <c r="B249" i="11"/>
  <c r="B248" i="11"/>
  <c r="B247" i="11"/>
  <c r="B246" i="11"/>
  <c r="B245" i="11"/>
  <c r="B244" i="11"/>
  <c r="B243" i="11"/>
  <c r="B242" i="11"/>
  <c r="B241" i="11"/>
  <c r="B240" i="11"/>
  <c r="B239" i="11"/>
  <c r="B238" i="11"/>
  <c r="B237" i="11"/>
  <c r="B236" i="11"/>
  <c r="B235" i="11"/>
  <c r="B234" i="11"/>
  <c r="B233" i="11"/>
  <c r="B232" i="11"/>
  <c r="B231" i="11"/>
  <c r="B230" i="11"/>
  <c r="B229" i="11"/>
  <c r="B228" i="11"/>
  <c r="B227" i="11"/>
  <c r="B226" i="11"/>
  <c r="B225" i="11"/>
  <c r="B224" i="11"/>
  <c r="B223" i="11"/>
  <c r="B222" i="11"/>
  <c r="B221" i="11"/>
  <c r="B220" i="11"/>
  <c r="B219" i="11"/>
  <c r="B218" i="11"/>
  <c r="B217" i="11"/>
  <c r="B216" i="11"/>
  <c r="B215" i="11"/>
  <c r="B214" i="11"/>
  <c r="B213" i="11"/>
  <c r="B212" i="11"/>
  <c r="B211" i="11"/>
  <c r="B210" i="11"/>
  <c r="B209" i="11"/>
  <c r="B208" i="11"/>
  <c r="B207" i="11"/>
  <c r="B206" i="11"/>
  <c r="B205" i="11"/>
  <c r="B204" i="11"/>
  <c r="B203" i="11"/>
  <c r="B202" i="11"/>
  <c r="B201" i="11"/>
  <c r="B200" i="11"/>
  <c r="B199" i="11"/>
  <c r="B198" i="11"/>
  <c r="B197" i="11"/>
  <c r="B196" i="11"/>
  <c r="B195" i="11"/>
  <c r="B194" i="11"/>
  <c r="B193" i="11"/>
  <c r="B192" i="11"/>
  <c r="B191" i="11"/>
  <c r="B190" i="11"/>
  <c r="B189" i="11"/>
  <c r="B188" i="11"/>
  <c r="B187" i="11"/>
  <c r="B186" i="11"/>
  <c r="B185" i="11"/>
  <c r="B184" i="11"/>
  <c r="B183" i="11"/>
  <c r="B182" i="11"/>
  <c r="B181" i="11"/>
  <c r="B180" i="11"/>
  <c r="B179" i="11"/>
  <c r="B178" i="11"/>
  <c r="B177" i="11"/>
  <c r="B176" i="11"/>
  <c r="B175" i="11"/>
  <c r="B174" i="11"/>
  <c r="B173" i="11"/>
  <c r="B172" i="11"/>
  <c r="B171" i="11"/>
  <c r="B170" i="11"/>
  <c r="B169" i="11"/>
  <c r="B168" i="11"/>
  <c r="B167" i="11"/>
  <c r="B166" i="11"/>
  <c r="B165" i="11"/>
  <c r="B164" i="11"/>
  <c r="B163" i="11"/>
  <c r="B162" i="11"/>
  <c r="B161" i="11"/>
  <c r="B160" i="11"/>
  <c r="B159" i="11"/>
  <c r="B158" i="11"/>
  <c r="B157" i="11"/>
  <c r="B156" i="11"/>
  <c r="B155" i="11"/>
  <c r="B154" i="11"/>
  <c r="B153" i="11"/>
  <c r="B152" i="11"/>
  <c r="B151" i="11"/>
  <c r="B150" i="11"/>
  <c r="B149" i="11"/>
  <c r="B148" i="11"/>
  <c r="B147" i="11"/>
  <c r="B146" i="11"/>
  <c r="B145" i="11"/>
  <c r="B144" i="11"/>
  <c r="B143" i="11"/>
  <c r="B142" i="11"/>
  <c r="B141" i="11"/>
  <c r="B140" i="11"/>
  <c r="B139" i="11"/>
  <c r="B138" i="11"/>
  <c r="B137" i="11"/>
  <c r="B136" i="11"/>
  <c r="B135" i="11"/>
  <c r="B134" i="11"/>
  <c r="B133" i="11"/>
  <c r="B132" i="11"/>
  <c r="B131" i="11"/>
  <c r="B130" i="11"/>
  <c r="B129" i="11"/>
  <c r="B128" i="11"/>
  <c r="B127" i="11"/>
  <c r="B126" i="11"/>
  <c r="B125" i="11"/>
  <c r="B124" i="11"/>
  <c r="B123" i="11"/>
  <c r="B122" i="11"/>
  <c r="B121" i="11"/>
  <c r="B120" i="11"/>
  <c r="B119" i="11"/>
  <c r="B118" i="11"/>
  <c r="B117" i="11"/>
  <c r="B116" i="11"/>
  <c r="B115" i="11"/>
  <c r="B114" i="11"/>
  <c r="B113" i="11"/>
  <c r="B112" i="11"/>
  <c r="B111" i="11"/>
  <c r="B110" i="11"/>
  <c r="B109" i="11"/>
  <c r="B108" i="11"/>
  <c r="B107" i="11"/>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B6" i="11"/>
  <c r="B5" i="11"/>
  <c r="B4" i="11"/>
  <c r="B3" i="11"/>
  <c r="B2" i="11"/>
  <c r="B116" i="10"/>
  <c r="B115" i="10"/>
  <c r="B114" i="10"/>
  <c r="B113" i="10"/>
  <c r="B112" i="10"/>
  <c r="B111" i="10"/>
  <c r="B110" i="10"/>
  <c r="B109" i="10"/>
  <c r="B108" i="10"/>
  <c r="B107" i="10"/>
  <c r="B106" i="10"/>
  <c r="B105" i="10"/>
  <c r="B104" i="10"/>
  <c r="B103" i="10"/>
  <c r="B102" i="10"/>
  <c r="B101" i="10"/>
  <c r="B100" i="10"/>
  <c r="B99" i="10"/>
  <c r="B98" i="10"/>
  <c r="B97" i="10"/>
  <c r="B96" i="10"/>
  <c r="B95" i="10"/>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2" i="10"/>
  <c r="B61" i="10"/>
  <c r="B60" i="10"/>
  <c r="B59" i="10"/>
  <c r="B58" i="10"/>
  <c r="B57" i="10"/>
  <c r="B56" i="10"/>
  <c r="B55" i="10"/>
  <c r="B54" i="10"/>
  <c r="B53" i="10"/>
  <c r="B52" i="10"/>
  <c r="B51" i="10"/>
  <c r="B50" i="10"/>
  <c r="B49" i="10"/>
  <c r="B48" i="10"/>
  <c r="B47" i="10"/>
  <c r="B46" i="10"/>
  <c r="B45" i="10"/>
  <c r="B44" i="10"/>
  <c r="B43" i="10"/>
  <c r="B42" i="10"/>
  <c r="B41" i="10"/>
  <c r="B40" i="10"/>
  <c r="B39" i="10"/>
  <c r="B38" i="10"/>
  <c r="B37" i="10"/>
  <c r="B36" i="10"/>
  <c r="B35" i="10"/>
  <c r="B34" i="10"/>
  <c r="B33" i="10"/>
  <c r="B32" i="10"/>
  <c r="B31" i="10"/>
  <c r="B30" i="10"/>
  <c r="B29" i="10"/>
  <c r="B28" i="10"/>
  <c r="B27" i="10"/>
  <c r="B26" i="10"/>
  <c r="B25" i="10"/>
  <c r="B24" i="10"/>
  <c r="B23" i="10"/>
  <c r="B22" i="10"/>
  <c r="B21" i="10"/>
  <c r="B20" i="10"/>
  <c r="B19" i="10"/>
  <c r="B18" i="10"/>
  <c r="B17" i="10"/>
  <c r="B16" i="10"/>
  <c r="B15" i="10"/>
  <c r="B14" i="10"/>
  <c r="B13" i="10"/>
  <c r="B12" i="10"/>
  <c r="B11" i="10"/>
  <c r="B10" i="10"/>
  <c r="B9" i="10"/>
  <c r="B8" i="10"/>
  <c r="B7" i="10"/>
  <c r="B6" i="10"/>
  <c r="B5" i="10"/>
  <c r="B4" i="10"/>
  <c r="B3" i="10"/>
  <c r="B2" i="10"/>
  <c r="B72" i="9"/>
  <c r="B71" i="9"/>
  <c r="B70" i="9"/>
  <c r="B69" i="9"/>
  <c r="B68" i="9"/>
  <c r="B67" i="9"/>
  <c r="B66" i="9"/>
  <c r="B65" i="9"/>
  <c r="B64" i="9"/>
  <c r="B63" i="9"/>
  <c r="B62" i="9"/>
  <c r="B61" i="9"/>
  <c r="B60" i="9"/>
  <c r="B59" i="9"/>
  <c r="B58" i="9"/>
  <c r="B57" i="9"/>
  <c r="B56" i="9"/>
  <c r="B55" i="9"/>
  <c r="B54" i="9"/>
  <c r="B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B7" i="9"/>
  <c r="B6" i="9"/>
  <c r="B5" i="9"/>
  <c r="B4" i="9"/>
  <c r="B3" i="9"/>
  <c r="B2" i="9"/>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B3" i="8"/>
  <c r="B2" i="8"/>
  <c r="B81" i="7"/>
  <c r="B80" i="7"/>
  <c r="B79" i="7"/>
  <c r="B78" i="7"/>
  <c r="B77" i="7"/>
  <c r="B76" i="7"/>
  <c r="B75" i="7"/>
  <c r="B74" i="7"/>
  <c r="B73" i="7"/>
  <c r="B72" i="7"/>
  <c r="B71" i="7"/>
  <c r="B70" i="7"/>
  <c r="B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B38" i="7"/>
  <c r="B37" i="7"/>
  <c r="B36" i="7"/>
  <c r="B35" i="7"/>
  <c r="B34" i="7"/>
  <c r="B33" i="7"/>
  <c r="B32" i="7"/>
  <c r="B31" i="7"/>
  <c r="B30" i="7"/>
  <c r="B29" i="7"/>
  <c r="B28" i="7"/>
  <c r="B27" i="7"/>
  <c r="B26" i="7"/>
  <c r="B25" i="7"/>
  <c r="B24" i="7"/>
  <c r="B23" i="7"/>
  <c r="B22" i="7"/>
  <c r="B21" i="7"/>
  <c r="B20" i="7"/>
  <c r="B19" i="7"/>
  <c r="B18" i="7"/>
  <c r="B17" i="7"/>
  <c r="B16" i="7"/>
  <c r="B15" i="7"/>
  <c r="B14" i="7"/>
  <c r="B13" i="7"/>
  <c r="B12" i="7"/>
  <c r="B11" i="7"/>
  <c r="B10" i="7"/>
  <c r="B9" i="7"/>
  <c r="B8" i="7"/>
  <c r="B7" i="7"/>
  <c r="B6" i="7"/>
  <c r="B5" i="7"/>
  <c r="B4" i="7"/>
  <c r="B3" i="7"/>
  <c r="B2" i="7"/>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2" i="6"/>
  <c r="B11" i="6"/>
  <c r="B10" i="6"/>
  <c r="B9" i="6"/>
  <c r="B8" i="6"/>
  <c r="B7" i="6"/>
  <c r="B6" i="6"/>
  <c r="B5" i="6"/>
  <c r="B4" i="6"/>
  <c r="B3" i="6"/>
  <c r="B2" i="6"/>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B4" i="5"/>
  <c r="B3" i="5"/>
  <c r="B2" i="5"/>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2" i="4"/>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B2" i="3"/>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 r="B144" i="1"/>
  <c r="B143" i="1"/>
  <c r="B142" i="1"/>
  <c r="B141" i="1"/>
  <c r="B140" i="1"/>
  <c r="B139" i="1"/>
  <c r="B138" i="1"/>
  <c r="B137" i="1"/>
</calcChain>
</file>

<file path=xl/sharedStrings.xml><?xml version="1.0" encoding="utf-8"?>
<sst xmlns="http://schemas.openxmlformats.org/spreadsheetml/2006/main" count="1962" uniqueCount="1280">
  <si>
    <t>English</t>
  </si>
  <si>
    <t>Shaping Smarter Finance</t>
  </si>
  <si>
    <t>AI-powered ecosystems
that make commerce</t>
  </si>
  <si>
    <t>seamless</t>
  </si>
  <si>
    <t>secure</t>
  </si>
  <si>
    <t xml:space="preserve">transparent </t>
  </si>
  <si>
    <t xml:space="preserve">profitable </t>
  </si>
  <si>
    <t>We remove complexity from the asset lifecycle with a composable platform that integrates effortlessly.</t>
  </si>
  <si>
    <t>Get in touch</t>
  </si>
  <si>
    <t>Dealers</t>
  </si>
  <si>
    <t>OEMs</t>
  </si>
  <si>
    <t>Retail Lender</t>
  </si>
  <si>
    <t>Brokers</t>
  </si>
  <si>
    <t>Commericial Lenders</t>
  </si>
  <si>
    <t>The world's leading brands are powered by NETSOL</t>
  </si>
  <si>
    <t>Transcend Platform</t>
  </si>
  <si>
    <t>An AI-driven, composable platform for lenders, OEMs, dealers and fleets uniting digital retail, asset finance, and loan servicing with trust and transparency.</t>
  </si>
  <si>
    <t>Transcend</t>
  </si>
  <si>
    <t>Retail</t>
  </si>
  <si>
    <t>End-to-end orchestration for OEMs and</t>
  </si>
  <si>
    <t>dealers. Modular and scalable to unify</t>
  </si>
  <si>
    <t>showroom and online journeys into one</t>
  </si>
  <si>
    <t>seamless retail experience.</t>
  </si>
  <si>
    <t>Learn more</t>
  </si>
  <si>
    <t>Auto retail redefined. Personalized paths,</t>
  </si>
  <si>
    <t>connected touchpoints and AI-driven precision.</t>
  </si>
  <si>
    <t>Independant dealers</t>
  </si>
  <si>
    <t>Dealer groups</t>
  </si>
  <si>
    <t>Finance</t>
  </si>
  <si>
    <t>AI-driven intelligence for the full contract</t>
  </si>
  <si>
    <t>lifecycle—boosting decisions, onboarding and</t>
  </si>
  <si>
    <t>operations across auto, equipment and commercial finance.</t>
  </si>
  <si>
    <t>Smarter lending starts here. AI-powered speed,</t>
  </si>
  <si>
    <t>aflexibility and precision.</t>
  </si>
  <si>
    <t>Auto Finanace</t>
  </si>
  <si>
    <t>Equipment Finance</t>
  </si>
  <si>
    <t>Fleet Finance</t>
  </si>
  <si>
    <t>Specialized Lenders</t>
  </si>
  <si>
    <t>AI Labs</t>
  </si>
  <si>
    <t>Transcend AI</t>
  </si>
  <si>
    <t>Labs</t>
  </si>
  <si>
    <t xml:space="preserve">AI innovation for lending, leasing and retail. Purpose-built tools that </t>
  </si>
  <si>
    <t>accelerate transformation and deliver real-world impact across workflows.</t>
  </si>
  <si>
    <t>Transforming BFSI, finance and leasing</t>
  </si>
  <si>
    <t>with intelligent, industry-specific AI.</t>
  </si>
  <si>
    <t>AI Applications</t>
  </si>
  <si>
    <t>AI Services</t>
  </si>
  <si>
    <t>Lab Innovation</t>
  </si>
  <si>
    <t>Marketplace</t>
  </si>
  <si>
    <t>A unified marketplace of modular, API-driven solutions for lending, leasing and retail. Built to simplify and accelerate every workflow.</t>
  </si>
  <si>
    <t>Smarter. Faster. Connected.</t>
  </si>
  <si>
    <t>Your modular marketplace for finance and leasing.</t>
  </si>
  <si>
    <t>Subscription-bbased</t>
  </si>
  <si>
    <t>API-first</t>
  </si>
  <si>
    <t>Componet-based</t>
  </si>
  <si>
    <t>Consultancy</t>
  </si>
  <si>
    <t>Expertise in AI, data, cloud and security—helping BFSI and lenders modernize, scale confidently and build resilient, future-ready operations.</t>
  </si>
  <si>
    <t>Turning complex challenges into transformative opportunities.</t>
  </si>
  <si>
    <t>Information Security</t>
  </si>
  <si>
    <t>Data&amp;AI Services</t>
  </si>
  <si>
    <t>Cloud Services</t>
  </si>
  <si>
    <t>Bespoke Development</t>
  </si>
  <si>
    <t>Who we serve</t>
  </si>
  <si>
    <t>Orchestrating commerce, intelligence and innovation across asset finance, retail and advisory ecosystems.</t>
  </si>
  <si>
    <t>Captives &amp; Lenders</t>
  </si>
  <si>
    <t>For captives and lenders, our secure cloud platform streamlines retail and wholesale finance. Originations, servicing and analytics built to support electric, connected and autonomous vehicles.</t>
  </si>
  <si>
    <t>OEMs &amp; Dealers</t>
  </si>
  <si>
    <t>We support OEMs and dealers with a future-ready mobility platform. From digital retail to connected journeys, financing, servicing, and EVs, every channel unified, every touchpoint optimized.</t>
  </si>
  <si>
    <t>Brokers &amp; Aggregators</t>
  </si>
  <si>
    <t>Empower brokers and aggregators with tools to manage multiple lender workflows, automate documentation and accelerate decisions while ensuring audit readiness and operational efficiency.</t>
  </si>
  <si>
    <t xml:space="preserve">Connect with us </t>
  </si>
  <si>
    <t>Technology partner to the world’s leading brands</t>
  </si>
  <si>
    <t>NETSOL Technologies builds AI-powered ecosystems that make finance, commerce, retail and servicing seamless for OEMs, captives, banks, independent finance companies, dealers and fleets, empowering consumers to buy, fund, use, service and renew assets with trust and transparency.</t>
  </si>
  <si>
    <t>With over 40 years of experience and operations in more than 40 countries, we deliver secure, composable platforms that integrate seamlessly with partner systems, simplify the entire asset lifecycle and deliver operational efficiency at scale.</t>
  </si>
  <si>
    <t>200+</t>
  </si>
  <si>
    <t>Customers worldwide</t>
  </si>
  <si>
    <t>300+</t>
  </si>
  <si>
    <t>Successful implementations</t>
  </si>
  <si>
    <t>$500B+</t>
  </si>
  <si>
    <t>Assets managed globally</t>
  </si>
  <si>
    <t>25+</t>
  </si>
  <si>
    <t>Years on NASDAQ: NTWK</t>
  </si>
  <si>
    <t>As business models, channels and technologies evolve, our commitment stays constant: human-centered experiences, responsible AI and measurable outcomes.</t>
  </si>
  <si>
    <t>Beyond software, we work as a strategic partner, offering deep domain expertise, implementation support and process optimization to help our clients modernize with confidence.</t>
  </si>
  <si>
    <t>NINI Partners with NETSOL to power it's new era of auto-retail exprience</t>
  </si>
  <si>
    <t xml:space="preserve">At MINI, we decided it was time to create an end-to-end purchasing and finance journey for the consumer, and it was important to create something more than a lead generator to facilitate the complete transaction for any MINI customer, any place, any time. Our partnership with NETSOL has enabled us not only to catch up with industry leaders but also to set new benchmarks in digital auto-retail, which the usual suspects in the industry could not provide." </t>
  </si>
  <si>
    <t>Mike Peyton</t>
  </si>
  <si>
    <t>Chief motorer and voice-presedent of NINI of the Americas</t>
  </si>
  <si>
    <t>Ikano bank gains compitative edge with NETSOL</t>
  </si>
  <si>
    <t xml:space="preserve">"We are pleased to be working with NETSOL as our strategic platform partner. NETSOL’s smart technology solutions are well-recognized in the finance and leasing space and deploying Transcend Finance (Formerly known as Ascent) enables us to maintain a competitive edge in today’s highly dynamic marketplace. With its powerful configuration engines, Ascent will streamline our processes, enabling faster on-boarding of new partners and speed up new product introductions across markets." </t>
  </si>
  <si>
    <t>Henrik Staulund Chief Commercial Officer at Ikano Bank</t>
  </si>
  <si>
    <t>Haydock Financial finds success with NETSOL's Marketplace</t>
  </si>
  <si>
    <t xml:space="preserve"> "I'd absolutely recommend both Appex Now and NETSOL. The products are brilliant. It works fantastically well. And NETSOL has been responsive to our needs. Quickly made any changes that we required." </t>
  </si>
  <si>
    <t>Mike Boyes</t>
  </si>
  <si>
    <t>Featured reads &amp; insights</t>
  </si>
  <si>
    <t>Stay informed with the latest from NETSOL. Thought leadership, product updates, industry perspectives, and company news, all in one place.</t>
  </si>
  <si>
    <t>Blog</t>
  </si>
  <si>
    <t xml:space="preserve">Beyond the DMS: Why automotive retail’s future is API-first </t>
  </si>
  <si>
    <t xml:space="preserve">NETSOL is at the GlobalData Automotive Europe Conference and Awards 2025  </t>
  </si>
  <si>
    <t xml:space="preserve">NETSOL is at the 25th Annual Auto Finance Summit: Driving the future of auto finance </t>
  </si>
  <si>
    <t xml:space="preserve">NETSOL is at Digital Dealer 2025: Empowering the future of automotive retail </t>
  </si>
  <si>
    <t>AI in BFSI: Revolutionizing risk management</t>
  </si>
  <si>
    <t>The importance of personalization in customer service: Tailoring payment and dispute management for customers</t>
  </si>
  <si>
    <t>The true cost of disconnected systems in Auto Retail</t>
  </si>
  <si>
    <t>Captive of the future: How technology is redefining captive finance operations - Key insights from AFSA’s webinar</t>
  </si>
  <si>
    <t>Fighting fraud in wholesale finance: Leveraging technology for early detection and risk mitigation</t>
  </si>
  <si>
    <t>Let's talk about what's next</t>
  </si>
  <si>
    <t>Rethink what your company can do with the right partner by your side.</t>
  </si>
  <si>
    <t>Subscribe to our newsletter to get the latest news in your inbox.</t>
  </si>
  <si>
    <t>abc@example.com</t>
  </si>
  <si>
    <t xml:space="preserve">Subscribe </t>
  </si>
  <si>
    <t>NETSOL</t>
  </si>
  <si>
    <t>Platform</t>
  </si>
  <si>
    <t>Overview</t>
  </si>
  <si>
    <t>Composable AI ecosystem orchestrating global asset and retail finance</t>
  </si>
  <si>
    <t>Digital Retail</t>
  </si>
  <si>
    <t>Redefining auto retail through connected data and intelligent workflows</t>
  </si>
  <si>
    <t>Intermediary Portals</t>
  </si>
  <si>
    <t>Branded digital gateways unifying partners, channels, and customers</t>
  </si>
  <si>
    <t>Originations</t>
  </si>
  <si>
    <t>Experience the future of lease and loan origination with agile, intuitive and cross-channel platforms</t>
  </si>
  <si>
    <t>Servicing</t>
  </si>
  <si>
    <t>Adaptive servicing framework enhancing lifecycle efficiency and insight</t>
  </si>
  <si>
    <t>Wholesale Finance</t>
  </si>
  <si>
    <t>Dynamic finance infrastructure powering resilient dealer ecosystems</t>
  </si>
  <si>
    <t>Mobility Solutions</t>
  </si>
  <si>
    <t>Evolving mobility with modular, data-driven digital frameworks</t>
  </si>
  <si>
    <t>Applied inteligance accelerating interprice transformation and trust</t>
  </si>
  <si>
    <t>marketplace</t>
  </si>
  <si>
    <t>Lifecycle consultancy for BFSI that compounds ROI</t>
  </si>
  <si>
    <t>Real-time defense with audit-ready compliance</t>
  </si>
  <si>
    <t>Digital Solutions</t>
  </si>
  <si>
    <t>AI, cloud, automation built into daily ops</t>
  </si>
  <si>
    <t>AI, ML &amp; Data Analytics</t>
  </si>
  <si>
    <t>Predict, automate, and decide faster with AI and ML</t>
  </si>
  <si>
    <t>Generative AI</t>
  </si>
  <si>
    <t>Create, adapt, and personalize at enterprise speed</t>
  </si>
  <si>
    <t>Policy &amp; Strategy</t>
  </si>
  <si>
    <t>Emerging Technologies</t>
  </si>
  <si>
    <t>Prove and scale what's next, safely</t>
  </si>
  <si>
    <t>Cloud native on multicloud built for scale and uptime</t>
  </si>
  <si>
    <t>Data Engineering</t>
  </si>
  <si>
    <t>Reliable data layers that power AI and decisions</t>
  </si>
  <si>
    <t>Solutions</t>
  </si>
  <si>
    <t>equipment finance</t>
  </si>
  <si>
    <t>Automotive Finance</t>
  </si>
  <si>
    <t>Intelligent ecosystem redefining automotive finance</t>
  </si>
  <si>
    <t>AI-powered platform built for modern equipment finance</t>
  </si>
  <si>
    <t>Insights</t>
  </si>
  <si>
    <t>About Us</t>
  </si>
  <si>
    <t>Technology, trust, and domain expertise in motion</t>
  </si>
  <si>
    <t>Board Of Directors</t>
  </si>
  <si>
    <t>Stewards of vision, integrity, and long-term growth</t>
  </si>
  <si>
    <t>Management Team</t>
  </si>
  <si>
    <t>Pioneering the architecture of modern finance</t>
  </si>
  <si>
    <t>News</t>
  </si>
  <si>
    <t>Innovation, progress, and insight from across NETSOL</t>
  </si>
  <si>
    <t>Investors</t>
  </si>
  <si>
    <t>Driving sustainable value through strategic growth</t>
  </si>
  <si>
    <t>Careers</t>
  </si>
  <si>
    <t>Join the people powering the future of asset finance &amp; leasing</t>
  </si>
  <si>
    <t>Contact Us</t>
  </si>
  <si>
    <t>Why NETSOL</t>
  </si>
  <si>
    <t>Company Information</t>
  </si>
  <si>
    <t>Stock Data</t>
  </si>
  <si>
    <t>SEC Filings</t>
  </si>
  <si>
    <t>Products</t>
  </si>
  <si>
    <t>Calculation Engine</t>
  </si>
  <si>
    <t>Document Generation</t>
  </si>
  <si>
    <t>API Library</t>
  </si>
  <si>
    <t>Loan Origination System</t>
  </si>
  <si>
    <t>Customer Care Portal</t>
  </si>
  <si>
    <t>Tax Calculation Engine</t>
  </si>
  <si>
    <t>Credit Decisioning Engine</t>
  </si>
  <si>
    <t>Case Studies</t>
  </si>
  <si>
    <t>Guides</t>
  </si>
  <si>
    <t>Blogs</t>
  </si>
  <si>
    <t>Events</t>
  </si>
  <si>
    <t>Corporate Headquarters</t>
  </si>
  <si>
    <t>Address: 16000 Ventura Blvd,</t>
  </si>
  <si>
    <t>Suite 770 Encino, CA 91436, USA</t>
  </si>
  <si>
    <t>Phone: +1 818 222 9195</t>
  </si>
  <si>
    <t>Connect With Us</t>
  </si>
  <si>
    <t>© 2025 NETSOL Technologies. All Rights Reserved.</t>
  </si>
  <si>
    <t>Terms of Use</t>
  </si>
  <si>
    <t>Privacy Policy</t>
  </si>
  <si>
    <t>Human Rights Policy</t>
  </si>
  <si>
    <t>Modern Slavery Act</t>
  </si>
  <si>
    <t>Transcend Retail</t>
  </si>
  <si>
    <t>The digital retail standard for the world’s leading auto brands</t>
  </si>
  <si>
    <t>Drive revenue with omnichannel transformation and AI-powered precision.</t>
  </si>
  <si>
    <t>Our customers experience</t>
  </si>
  <si>
    <t>Lead to sale</t>
  </si>
  <si>
    <t>conversion rate</t>
  </si>
  <si>
    <t>3 Hours</t>
  </si>
  <si>
    <t>Saved per deal</t>
  </si>
  <si>
    <t>2.5x</t>
  </si>
  <si>
    <t>Increase in</t>
  </si>
  <si>
    <t>digital retail leads</t>
  </si>
  <si>
    <t>Digital retail for the changemakers.</t>
  </si>
  <si>
    <t>OEM-led digital retail transformation is what we do. Whether you need an end-to-end platform or want to optimize an existing solution, Transcend Retail equips you and your dealer network with the technology to execute and scale. Our platform powers real-time insights, streamlines operations, and ensures a connected, consistent retail experience without disrupting dealer operations or existing workflows.</t>
  </si>
  <si>
    <t>Dealer Groups</t>
  </si>
  <si>
    <t>Transcend Retail empowers dealer groups to run smarter, more profitable operations with seamless efficiency. Its modular architecture integrates effortlessly with DMS, CRMs, and third party lender systems, eliminating silos and streamlining workflows. With flexibility for multi-brand and multi-lender environments, it keeps operations smooth, while advanced analytics and dashboards deliver real-time inventory and profitability insights to drive growth without disruption.</t>
  </si>
  <si>
    <t>Dealership</t>
  </si>
  <si>
    <t>Sell more cars, close deals faster, and maximize every profit opportunity. Transcend Retail gives dealers the tools to convert more leads, streamline workflows, and boost F&amp;I revenue. Intuitive customer tools like transparent pricing, AI-powered trade-in offers, and flexible financing create a hassle-free buying experience that drives higher conversions and enhances Customer Satisfaction Index (CSI).</t>
  </si>
  <si>
    <t>Innovation that moves</t>
  </si>
  <si>
    <t>auto retail</t>
  </si>
  <si>
    <t>Turn leads into</t>
  </si>
  <si>
    <t>profit</t>
  </si>
  <si>
    <t>AI-powered tools convert more leads into buyers, while advanced desking tools streamline processes to boost per-unit F&amp;I profitability.</t>
  </si>
  <si>
    <t>Personalized customer</t>
  </si>
  <si>
    <t>journeys</t>
  </si>
  <si>
    <t>Offer personalized, transparent, and hassle-free retail experiences that build trust and loyalty, whether online, in-store or across both.</t>
  </si>
  <si>
    <t>Optimize operations without</t>
  </si>
  <si>
    <t>disruption</t>
  </si>
  <si>
    <t>Seamlessly integrate with legacy systems using tailored, modular solutions that minimize disruption and accelerate time-to-value.</t>
  </si>
  <si>
    <t>Create experiences that</t>
  </si>
  <si>
    <t>resonate</t>
  </si>
  <si>
    <t>Deliver seamless, intuitive journeys optimized for Gen Z and Millennial buyers, ensuring fast, personalized experiences that meet modern expectations.</t>
  </si>
  <si>
    <t>Transform complexity</t>
  </si>
  <si>
    <t>into clarity</t>
  </si>
  <si>
    <t>Centralized dashboards consolidate performance data, providing real-time insights that empower smarter, faster decisions across all channels.</t>
  </si>
  <si>
    <t>Scale smart without breaking the bank</t>
  </si>
  <si>
    <t>Invest in modular solutions that minimize unnecessary expenses while growing with your business to maximize ROI and adaptability.</t>
  </si>
  <si>
    <t>The buying journey</t>
  </si>
  <si>
    <t>Learn how Transcend Retail simplifies each step with intuitive tools and features.</t>
  </si>
  <si>
    <t>Dealer</t>
  </si>
  <si>
    <t>Customer</t>
  </si>
  <si>
    <t>Choose vehicle</t>
  </si>
  <si>
    <t>Empower customers to find the perfect car effortlessly.</t>
  </si>
  <si>
    <t>Pricing &amp; trade-in</t>
  </si>
  <si>
    <t>Provide clear, upfront pricing &amp; reliable trade-in estimates.</t>
  </si>
  <si>
    <t>Credit application</t>
  </si>
  <si>
    <t>Instant credit decisions to immediately inform your customers' buying power.</t>
  </si>
  <si>
    <t>Finalize &amp; sign</t>
  </si>
  <si>
    <t>Secure digital signing &amp; seamless payment processing.</t>
  </si>
  <si>
    <t>Delivery scheduling</t>
  </si>
  <si>
    <t>Simplified scheduling for test drives and vehicle deliveries.</t>
  </si>
  <si>
    <t>Your partner for innovation and excellence</t>
  </si>
  <si>
    <t>Proven expertise</t>
  </si>
  <si>
    <t xml:space="preserve">NETSOL has extensive experience transforming complex auto retail and finance processes. Our solutions are tailored to meet unique your requirements, ensuring a seamless partnership to achieve your goals. </t>
  </si>
  <si>
    <t>Future-ready solutions</t>
  </si>
  <si>
    <t>NETSOL’s innovative, API-driven and headless architecture ensures scalability, and easy integration. Our products are designed to transform online and offline retail experiences, delivering best-in-class solutions backed by data-driven insights.</t>
  </si>
  <si>
    <t>Exceptional customer experience</t>
  </si>
  <si>
    <t xml:space="preserve">Our intuitive UI/UX ensures a superior omnichannel retail customer experience. With modular and flexible controls, NETSOL enables effortless customization of workflows and interfaces, prioritizing customer satisfaction and operational efficiency. </t>
  </si>
  <si>
    <t>What our clients say about us</t>
  </si>
  <si>
    <t>Stefan Christman</t>
  </si>
  <si>
    <t>General Manager, Sales &amp; Marketing, MINI Financial Servicesa</t>
  </si>
  <si>
    <t>Partnering with MINI USA and Transcend Retail to bring customer-centric solutions and ease of doing business with us is paramount. MINI Anywhere gives us the validation we need to sell cars online while also maintaining strong credit &amp; access to the most attractive interest rates for our customers and prospects.</t>
  </si>
  <si>
    <t>Mini Financial Services</t>
  </si>
  <si>
    <t>Download the Case Study</t>
  </si>
  <si>
    <t>Related blogs</t>
  </si>
  <si>
    <t>Podcast</t>
  </si>
  <si>
    <t>What's next for automotive retail? | Transcend AI Labs</t>
  </si>
  <si>
    <t>watch now</t>
  </si>
  <si>
    <t>Case Study</t>
  </si>
  <si>
    <t>A Deep Dive into the Digital Auto Retail Success of MINI</t>
  </si>
  <si>
    <t>Experience NETSOL's digital retail tools</t>
  </si>
  <si>
    <t>Discover how NETSOL can take your business forward with our expertise and decades of experience in the auto and equipment industry.</t>
  </si>
  <si>
    <t>Bespoke portals to reinforce brand identity</t>
  </si>
  <si>
    <t>Provide customers with a unified and self-contained purchasing experience.</t>
  </si>
  <si>
    <t>Sustain and strengthen brand identity while enhancing satisfaction</t>
  </si>
  <si>
    <t>Our bespoke, branded internal portals can be channelled into an intuitive customer-facing gateway that belies the complexity of the technology that supports it. Potential customers will be guided through the retail process through an intuitive and brand-focused path. This reinforces your specific priorities and goals, while also providing the customer with a seamless and convenient purchasing experience.</t>
  </si>
  <si>
    <t>Modern convenience</t>
  </si>
  <si>
    <t>A streamlined purchasing process, prioritizing customer satisfaction, while meeting and enhancing your firm's key goals and brand identity.</t>
  </si>
  <si>
    <t>Effortless system integration</t>
  </si>
  <si>
    <t>Provides all the utility and complexity of a third-party specialized system, despite being seamlessly integrated into your online process.</t>
  </si>
  <si>
    <t>Connected infrastructure</t>
  </si>
  <si>
    <t>Designed in collaboration with our clients and optimized for you. Achieve flawless efficiency with seamless DMS and CRM systems.</t>
  </si>
  <si>
    <t>Customer-centricity</t>
  </si>
  <si>
    <t>Enhance the consumer experience with intuitive and simple portals that are designed to hide the complex technology that drives it.</t>
  </si>
  <si>
    <t>350+</t>
  </si>
  <si>
    <t>30+</t>
  </si>
  <si>
    <t>Countries served</t>
  </si>
  <si>
    <t>End-to-end control and built-in intelligence</t>
  </si>
  <si>
    <t>Broker portals</t>
  </si>
  <si>
    <t>Efficiency and effectiveness are paramount for any broker. Managing disparate systems and processes can be cumbersome and time consuming, often leading to inefficiencies and missed opportunities. NETSOL offers a solution to these challenges by consolidating disparate processes into a single unified interface, revolutionizing the way your brokerage operates</t>
  </si>
  <si>
    <t>Lender portals</t>
  </si>
  <si>
    <t>NETSOL's lender-specific portals are designed to transform the lending process by enhancing risk management and driving profitability. Our advanced tools not only streamline loan origination, but also facilitate seamless communication and collaboration with the lending ecosystem. Empower your lending process with intuitive and efficient lender portals designed for seamless user experience.</t>
  </si>
  <si>
    <t>Dealer portals</t>
  </si>
  <si>
    <t>In the competitive automotive industry, dealers need efficient and comprehensive solutions to manage their operations effectively. NETSOL’s intermediary portals serve as digital command centers, providing dealers with a wide array of tools, resources and services to optimize every aspect of their business, from inventory management to sales and marketing.</t>
  </si>
  <si>
    <t xml:space="preserve">"I'd absolutely recommend both Appex Now and NETSOL. The products are brilliant. It works fantastically well. And NETSOL has been responsive to our needs. Quickly made any changes that we required." </t>
  </si>
  <si>
    <t>Ready to navigate through our intermediary portals?</t>
  </si>
  <si>
    <t>Learn more about NETSOL’s expertly designed, customizable portals and experience their benefits. Venture into our intermediary portals today.</t>
  </si>
  <si>
    <t>Loan Origination</t>
  </si>
  <si>
    <t>An AI-powered loan origination experience</t>
  </si>
  <si>
    <t>Experience the future of lease and loan origination with highly agile, easy-to-use, cross-channel platforms.</t>
  </si>
  <si>
    <t>Positioning lenders to modernize their lending practices with AI</t>
  </si>
  <si>
    <t>What sets our lease and loan origination software apart is our commitment to user experience. From application intake to loan approval, every interaction is designed to be seamless and straightforward, allowing you to focus on what matters most – serving your customers. Streamline the entire loan origination process, from submission to approval, with advanced features of our credit origination software such as real-time, AI-driven decisioning, automated deal flows and more. With cross-platform compatibility, sales teams can provide quick quotes, manage applications on the move, and significantly reduce decision-making time.</t>
  </si>
  <si>
    <t>AI-powered decisions</t>
  </si>
  <si>
    <t>From credit scoring to risk assessment, our loan origination software empowers you to make informed decisions quickly and accurately.</t>
  </si>
  <si>
    <t>Customer self-service</t>
  </si>
  <si>
    <t>Our self-service loan origination software allows customers to go through the complete buying and financing process anywhere at any time.</t>
  </si>
  <si>
    <t>Unlocked insights</t>
  </si>
  <si>
    <t>With advanced analytics and reporting capabilities, you can gain valuable insights into your lending portfolio and identify opportunities for improvement and growth.</t>
  </si>
  <si>
    <t>Enhanced experience</t>
  </si>
  <si>
    <t>With our user-friendly interface and intuitive design, borrowers can initiate and complete applications with ease, leading to higher satisfaction and retention rates.</t>
  </si>
  <si>
    <t>Credit application management</t>
  </si>
  <si>
    <t>Change business rules, add approval levels and adjust reporting requirements according to your needs. Leverage the power of the our credit origination software’s flexibility to handle any level of workflow, from small user groups with limited requirements to large enterprises with complex hierarchies and approval cycles.</t>
  </si>
  <si>
    <t>Digital retail</t>
  </si>
  <si>
    <t>Our turn-key platform for dealers looking for state-of-the-art equipment and auto loan origination software, which helps them make a move into the digital era, addressing a range of customer segments with evolving needs by offering them a seamless, omni-channel, end-to-end asset buying and usage experience.</t>
  </si>
  <si>
    <t>Fleet management</t>
  </si>
  <si>
    <t>Our technology revolutionizes loan origination for fleet management. AI-powered credit assessments, real-time data verification and seamless integration with financial systems ensures fleet managers can secure financing more quickly and efficiently, facilitating better resource allocation and fleet expansion.</t>
  </si>
  <si>
    <t>Experience AI-powered credit origination software</t>
  </si>
  <si>
    <t>Our AI-driven loan and lease origination software enables lenders to better anticipate market trends and consumer behavior, unlocking new opportunities in lending.</t>
  </si>
  <si>
    <t>Next-gen loan &amp; lease servicing software</t>
  </si>
  <si>
    <t>Engineered for precision and compliance, NETSOL’s AI-enabled platform delivers clarity and measurable customer impact across loan and lease operations.</t>
  </si>
  <si>
    <t>Effortlessly control your loan and lease portfolio with AI</t>
  </si>
  <si>
    <t>Simplify the oversight and administration of your loan and lease portfolio via our lease contract management software. Attain real-time insights into portfolio performance, delinquencies and losses, enabling proactive portfolio management and strategic decision-making. Our loan and lease management software is highly configurable, allowing you to tailor workflows, user interfaces and features to suit your specific requirements and preferences.</t>
  </si>
  <si>
    <t>Deeper insights</t>
  </si>
  <si>
    <t>Track contract performance and gain insights into your contract portfolio with Transcend loan servicing software’s advanced reporting and analytics capabilities.</t>
  </si>
  <si>
    <t>360-degree view</t>
  </si>
  <si>
    <t>Gain a comprehensive view of customer accounts, including payment history, balances, and transaction details, all in real time.</t>
  </si>
  <si>
    <t>Stringent mechanisms</t>
  </si>
  <si>
    <t>Benefit from robust security measures, transparency and compliance with NETSOL’s unrivalled technology for lease servicing solutions.</t>
  </si>
  <si>
    <t>Risk mitigation</t>
  </si>
  <si>
    <t>Utilize risk assessment features to identify potential issues early, allowing for proactive management and decision-making.</t>
  </si>
  <si>
    <t>Booking and activation</t>
  </si>
  <si>
    <t>Transcend Finance’s loan servicing software is designed to streamline processes and enhance efficiency, we provide seamless automation for booking and activation. From simple loan agreements to intricate lease structures, our customizable workflows adapt to your specific needs, ensuring precision and compliance at every step.</t>
  </si>
  <si>
    <t>Accounts receivables</t>
  </si>
  <si>
    <t>Accounts receivables Refine the entire process - from invoice generation to payment tracking, ensuring accuracy and efficiency at every stage. Optimize operations, reduce outstanding balances and improve cash flow management with our lease servicing solution’s secure and scalable technology that provides unparalleled control and visibility.</t>
  </si>
  <si>
    <t>Collections</t>
  </si>
  <si>
    <t>We empower your teams to navigate the complexities of collections with ease, automating key tasks and optimizing workflows for maximum effectiveness. Transform your collections operations, improve recovery rates and ensure regulatory compliance with our innovative technology. The cross-platform compatibility feature enables self-service functionalities for your field teams such as schedule management, assignment handling, allocation, task work queues, and geo-location, ensuring your team stays productive anywhere, anytime.</t>
  </si>
  <si>
    <t>Remarketing</t>
  </si>
  <si>
    <t>We enable financial institutions to maximize asset value and minimize losses. Leveraging advanced analytics and AI-driven algorithms, we identify optimal remarketing opportunities, enabling targeted outreach to potential buyers or lessees. Harness cutting-edge solutions for optimized remarketing.</t>
  </si>
  <si>
    <t>Contract management</t>
  </si>
  <si>
    <t>Transcend Finance’s lease contract management software manages detailed credit contracts throughout their lifecycle—from pre-activation and activation through customer management, asset financial management, billing and collections, finance and accounting, restructuring, and maturity.</t>
  </si>
  <si>
    <t>Customer service</t>
  </si>
  <si>
    <t>Empower your customers with self-service solutions and on-the-go convenience. Our cross-platform self-service solution offers a secure, 24/7 portal for viewing contract details, reducing inbound queries, and speeding up repayments. Leverage rules-based promotions, smart dashboards, and direct in-app notifications to engage customers, boost loyalty, and unlock new revenue opportunities.</t>
  </si>
  <si>
    <t>Ready to revolutionize your loan and lease servicing?</t>
  </si>
  <si>
    <t>Explore our complete platform or its individual solutions to futureproof your business and gain a distinct competitive edge in today's ever-evolving landscape.</t>
  </si>
  <si>
    <t>Master wholesale finance operations with AI</t>
  </si>
  <si>
    <t>Gain a competitive edge by automating your wholesale finance and floor planning operations effortlessly.</t>
  </si>
  <si>
    <t>Power your supply chain for wholesale finance</t>
  </si>
  <si>
    <t>and floor planning</t>
  </si>
  <si>
    <t>Gain access to top-tier wholesale finance software and provide your dealers, distributors and auditors with unmatched user experiences. Streamline processes, manage risk, reduce costs, increase dealer engagement and improve customer satisfaction in wholesale financing. Intuitive designs and custom workflow automation accelerate processes by eliminating bottlenecks. Users can navigate the platform easily, enhancing productivity and streamlining operations.</t>
  </si>
  <si>
    <t>Advanced floor planning</t>
  </si>
  <si>
    <t>Utilize powerful floor planning tools for complete contract lifecycle management, resulting in real-time business intelligence and enhanced collaboration.</t>
  </si>
  <si>
    <t>Customizable solutions</t>
  </si>
  <si>
    <t>Our system is highly flexible – designed with configuration and not code in mind, enabling lenders to tailor loans for specific clients and risk factors.</t>
  </si>
  <si>
    <t>Seamless compliance</t>
  </si>
  <si>
    <t>We offer an unparalleled experience with easy customization to meet tax and accounting requirements in any jurisdiction, fully adhering to all compliance requirements.</t>
  </si>
  <si>
    <t>Versatile financing</t>
  </si>
  <si>
    <t>Our wholesale financing solutions support both asset and non-asset-based financing. Further, new products can be easily designed and setup in the system.</t>
  </si>
  <si>
    <t>Distributor OEM and dealer interface</t>
  </si>
  <si>
    <t>Empower your business partners with a portal that delivers more visibility and control over their inventories – with minimal effort. OEMS and dealers can view their use of floorplan, stock status and financial conditions, while entering settlement requests or relocating assets. Extend the same capabilities through cross-platform compatibility, empowering dealers to view floorplan usage, manage settlements or relocations, and track financial conditions on the go.</t>
  </si>
  <si>
    <t>Credit and risk management</t>
  </si>
  <si>
    <t>Give dealers the flexibility to request a credit limit for different asset categories, as well as monitor variations and reviews of defined credit limits. Allow temporary increases in credit limits based on dealer-driven campaigns – with normal limits automatically resuming when temporary periods end.</t>
  </si>
  <si>
    <t>Loan processing</t>
  </si>
  <si>
    <t>Manage the lifecycle of any transaction, from the capture of asset information, credit and contract booking details. Create operating models around your specific back-office needs, for repayments, interest charging, asset tax and service charges – and apply them when credit is approved.</t>
  </si>
  <si>
    <t>Disbursement management</t>
  </si>
  <si>
    <t>Fully streamline the disbursement process, offering efficiency, accuracy and security at every step. Eliminate manual tasks and human errors as our advanced wholesale solutions automate disbursement workflows, ensuring timely payments and optimal fund allocation.</t>
  </si>
  <si>
    <t>Final settlement</t>
  </si>
  <si>
    <t>Optimize your final settlement process with our advanced wholesale finance software, designed to enhance efficiency and accuracy in every transaction. Our solution automates reconciliation, processes settlements in real-time and integrates seamlessly with your existing systems.</t>
  </si>
  <si>
    <t>Inventory stock auditing</t>
  </si>
  <si>
    <t>Efficiently manage and track inventory with unparalleled accuracy and speed. With zero manual processes and real-time insights, automate auditing procedures, detect discrepancies instantly and optimize stock management for your wholesale inventory financing. Our mobile app brings the same level of accuracy to your workforce’s fingertips, enabling on-the-spot scheduling, asset tracking, picture verification, and swift submission of audit results.</t>
  </si>
  <si>
    <t>Ready to optimize your wholesale financing operations?</t>
  </si>
  <si>
    <t>Tailor financing options to meet the diverse needs of dealers and borrowers. Whether it's floorplan financing, revolving credit lines or term loans, our technology provides flexible financing solutions to accommodate various business requirements.</t>
  </si>
  <si>
    <t>A user-centric retail experience</t>
  </si>
  <si>
    <t>An omni-channel purchasing journey that Transcends the limitations of the traditional customer experience.</t>
  </si>
  <si>
    <t>Transforming mobility with smart digital solutions</t>
  </si>
  <si>
    <t>Benefit from smart solutions for modern mobility. Our products apply to every aspect of the sales and leasing journey and aim to Transcend the limitations of traditional mobility solutions. Our library of tools are agile, modular and applicable to businesses of any size. Most importantly, they are scalable to meet your needs in perpetuity. Our mobility solutions are designed to enhance your capabilities and can be catered to your specific needs.</t>
  </si>
  <si>
    <t>Effortless compliance</t>
  </si>
  <si>
    <t>Achieve effortless regulation compliance with our streamlined, intuitive solutions.</t>
  </si>
  <si>
    <t>Accurate taxing</t>
  </si>
  <si>
    <t>Instantly and accurately perform complex and essential tax and credit calculations.</t>
  </si>
  <si>
    <t>Automate accounting</t>
  </si>
  <si>
    <t>Automate complex accounting tasks and enhance customer care.</t>
  </si>
  <si>
    <t>Fraud protection</t>
  </si>
  <si>
    <t>Utilize our seamlessly implemented fraud protection and credit decisioning.</t>
  </si>
  <si>
    <t>Microleasing</t>
  </si>
  <si>
    <t>Embrace agility and affordability with our microleasing options, offering agile, convenient and cost-effective options for vehicle access. NETSOL’s microleasing offerings redefine vehicle access by providing flexible, affordable and sustainable solutions.</t>
  </si>
  <si>
    <t>Fractional ownership</t>
  </si>
  <si>
    <t>Our fractional ownership solutions revolutionize the mobility industry by offering maximum flexibility and promoting sustainability. Embrace the future of mobility with NETSOL's innovative solutions and experience the freedom and benefits of fractional ownership.</t>
  </si>
  <si>
    <t>AutoNation Mobility unlocks invovation and rapid market entry with NETSOL</t>
  </si>
  <si>
    <t xml:space="preserve">"Our strategic alliance with NETSOL aligns perfectly with our goals for innovation and market entry. The swift launch of AutoNation Mobility, a mere six months into our collaboration, highlights our shared commitment to continual innovation and prioritizing customer needs." </t>
  </si>
  <si>
    <t>Ivan Mihov</t>
  </si>
  <si>
    <t>Vice President of Mobility at AutoNation Mobility</t>
  </si>
  <si>
    <t>Ready to Transcend?</t>
  </si>
  <si>
    <t>Transcend AI Labs</t>
  </si>
  <si>
    <t>Pioneering AI-powered business transformation</t>
  </si>
  <si>
    <t>Shaping practical, human-centric AI to drive smarter business outcomes.</t>
  </si>
  <si>
    <t>Transforming complex AI into clear business value</t>
  </si>
  <si>
    <t>Transcend AI Labs is the dedicated AI innovation hub by NETSOL Technologies that revolutionizes how businesses harness the power of artificial intelligence. Leveraging cutting-edge models, human-centric design, and deep industry expertise, Transcend AI Labs enables enterprises to drive smarter decision-making, reduce costs, and unlock new revenue streams. What sets Transcend AI Labs apart is our commitment to making AI simple, practical, and impactful. From model selection to deployment, every step is designed to be seamless and intuitive, allowing you to focus on what matters most, making smarter, faster decisions.</t>
  </si>
  <si>
    <t>Product enhancement</t>
  </si>
  <si>
    <t>We use AI to constantly evolve the Transcend platform, improving features, performance, and functionality to ensure you stay ahead in a rapidly changing business landscape.</t>
  </si>
  <si>
    <t>Platform agnostic</t>
  </si>
  <si>
    <t>Our solutions work seamlessly across any platform or tech stack, giving you the flexibility to integrate without limitations.</t>
  </si>
  <si>
    <t>User-centric design</t>
  </si>
  <si>
    <t>Every solution is built with intuitive interfaces and a focus on user experience, ensuring easy adoption and meaningful engagement.</t>
  </si>
  <si>
    <t>Human augmentation</t>
  </si>
  <si>
    <t>We don’t replace human expertise, we enhance it with AI, empowering people to make smarter, faster, and more confident decisions.</t>
  </si>
  <si>
    <t>Partner with Transcend AI Labs for AI initiatives that deliver real value</t>
  </si>
  <si>
    <t>Tailored industry expertise</t>
  </si>
  <si>
    <t>We specialize in industry-specific AI implementations, tailoring to your use cases, choosing the best AI services, from content generation to predictive analytics – all optimized for your unique business environment and catering to your industry.</t>
  </si>
  <si>
    <t>Platform independence</t>
  </si>
  <si>
    <t>Freedom to innovate on your terms. Run solutions on your choice of infrastructure, be it on-premises, any cloud platform, or even an open-source stack. No vendor lock-in.</t>
  </si>
  <si>
    <t>Data control for enterprises</t>
  </si>
  <si>
    <t>Your data, your rules. Deploy AI platform on-premises or in your private cloud for full control over data and compliance, satisfying security and governance needs every step of the way.</t>
  </si>
  <si>
    <t>Human-in-the-loop accuracy</t>
  </si>
  <si>
    <t>Achieve AI-driven speed with the precision of human oversight at the most critical decision points, ensuring accountability and accuracy.</t>
  </si>
  <si>
    <t>Plug-and-play integration</t>
  </si>
  <si>
    <t>Get started quickly with minimal disruption. Integrate our AI modules with your existing systems and software, so you can plug into AI capabilities and see immediate impact without overhauling your IT landscape.</t>
  </si>
  <si>
    <t>Scalability &amp; future-readiness</t>
  </si>
  <si>
    <t>Our solutions scale with your business growth. As your needs evolve, Transcend AI Labs scales your AI implementations, ensuring efficiency, accuracy, and seamlessness in your operations and innovations.</t>
  </si>
  <si>
    <t>Commitment to security &amp; compliance</t>
  </si>
  <si>
    <t>Our AI services meet the highest standards of security and compliance while protecting your data and empowering innovation – backed by decades of global portfolio in diversely and highly regulated sectors like finance, banking and healthcare.</t>
  </si>
  <si>
    <t>Three pillars of AI at Transcend AI Labs</t>
  </si>
  <si>
    <t>AI-powered applications</t>
  </si>
  <si>
    <t>Comprehensive suite of AI Applications designed to automate and optimize your business processes. From intelligent document processing to predictive analytics, our applications deliver measurable results.</t>
  </si>
  <si>
    <t>Deep reasoning research</t>
  </si>
  <si>
    <t>Advanced AI-driven insights to uncover complex patterns and enhance decision-making.</t>
  </si>
  <si>
    <t>Intelligent document processing</t>
  </si>
  <si>
    <t>Automating document analysis, extraction, &amp; classification to streamline operations and improve accuracy.</t>
  </si>
  <si>
    <t>Flex AI</t>
  </si>
  <si>
    <t>A flexible AI powered finance structure recommender powered by generative AI and Flex.</t>
  </si>
  <si>
    <t>Rule forge</t>
  </si>
  <si>
    <t>AI-powered rules engine to automate compliance, decision-making, and operational workflows.</t>
  </si>
  <si>
    <t>Chat</t>
  </si>
  <si>
    <t>Conversational AI that delivers real-time, intelligent customer support and enhances engagement.</t>
  </si>
  <si>
    <t>Data-driven decisions</t>
  </si>
  <si>
    <t>Machine learning models for predictive analysis and forecasting.</t>
  </si>
  <si>
    <t>AI services</t>
  </si>
  <si>
    <t>Expert consulting and implementation services to help you leverage AI effectively. Our team provides strategic guidance, custom development, and ongoing support for your AI initiatives.</t>
  </si>
  <si>
    <t>AI strategy consulting</t>
  </si>
  <si>
    <t>Strategic planning and roadmap development to align AI initiatives with your business objectives and market opportunities.</t>
  </si>
  <si>
    <t>Custom AI development</t>
  </si>
  <si>
    <t>Bespoke AI solution development tailored to your specific industry requirements and business challenges.</t>
  </si>
  <si>
    <t>AI integration services</t>
  </si>
  <si>
    <t>Seamless integration of AI capabilities into your existing systems and workflows without disrupting operations.</t>
  </si>
  <si>
    <t>Training &amp; support</t>
  </si>
  <si>
    <t>Comprehensive training programs and ongoing support to ensure successful AI adoption across your organization.</t>
  </si>
  <si>
    <t>Lab innovations</t>
  </si>
  <si>
    <t>Latest breakthroughs from our AI research lab including advanced machine learning models, neural networks, and experimental technologies that push the boundaries of what's possible.</t>
  </si>
  <si>
    <t>Advanced Neural Networks</t>
  </si>
  <si>
    <t>Next-generation neural network architectures designed for complex pattern recognition and decision-making processes.</t>
  </si>
  <si>
    <t>Quantum AI research</t>
  </si>
  <si>
    <t>Pioneering research in quantum computing applications for AI, exploring unprecedented computational possibilities.</t>
  </si>
  <si>
    <t>Federated learning</t>
  </si>
  <si>
    <t>Innovative approaches to distributed machine learning that preserve privacy while enabling collaborative AI development.</t>
  </si>
  <si>
    <t>Explainable AI</t>
  </si>
  <si>
    <t>Transparent AI systems that provide clear insights into decision-making processes for better trust and compliance.</t>
  </si>
  <si>
    <t>Transcend Marketplace</t>
  </si>
  <si>
    <t>Connect, configure &amp; innovate</t>
  </si>
  <si>
    <t>From originations to servicing, experience the most intuitive finance and leasing products in asset finance.</t>
  </si>
  <si>
    <t>Flex</t>
  </si>
  <si>
    <t>Swift and precise credit contract calculations</t>
  </si>
  <si>
    <t>Dock</t>
  </si>
  <si>
    <t>Central hub for effortless and rapid document generation</t>
  </si>
  <si>
    <t>Index</t>
  </si>
  <si>
    <t>Master data management simplified</t>
  </si>
  <si>
    <t>Hubex</t>
  </si>
  <si>
    <t>Making Multiple Integrations as Easy as One</t>
  </si>
  <si>
    <t>Lane</t>
  </si>
  <si>
    <t>All-in-one Loan Origination Platform</t>
  </si>
  <si>
    <t>Drift</t>
  </si>
  <si>
    <t>Omni-retail customer journey to elevate your direct-to-consumer (D2C) strategy</t>
  </si>
  <si>
    <t>Link</t>
  </si>
  <si>
    <t>Empowering brokers, lenders, and dealers with streamlined portals.</t>
  </si>
  <si>
    <t>Cura</t>
  </si>
  <si>
    <t>Single Platform to Support Customers Throughout Contract Lifecycle</t>
  </si>
  <si>
    <t>T-Rate</t>
  </si>
  <si>
    <t>Real-Time Universal Tax Calculation</t>
  </si>
  <si>
    <t>Transentry</t>
  </si>
  <si>
    <t>Effortless Accounting Automation at Your Fingertips</t>
  </si>
  <si>
    <t>TermOut</t>
  </si>
  <si>
    <t>Shape the Contract Future, Today</t>
  </si>
  <si>
    <t>EarlyOut</t>
  </si>
  <si>
    <t>Streamlined Early Settlement and Accurate Payoff Processing</t>
  </si>
  <si>
    <t>Modifi</t>
  </si>
  <si>
    <t>Simple and Seamless Contract Modification</t>
  </si>
  <si>
    <t>Check</t>
  </si>
  <si>
    <t>Automated Credit Decisions for Faster and Smarter Lending</t>
  </si>
  <si>
    <t>Recieve Now</t>
  </si>
  <si>
    <t>Efficient Invoice &amp; Receivables Management</t>
  </si>
  <si>
    <t>Advanced information security services</t>
  </si>
  <si>
    <t>Securing your digital world with AI-powered threat-ready technology.</t>
  </si>
  <si>
    <t>Fortify your business against digital threats with information security</t>
  </si>
  <si>
    <t>NETSOL delivers risk-driven security strategies to protect your data, ensure compliance, and enhance operational agility.</t>
  </si>
  <si>
    <t>Ransomware surge</t>
  </si>
  <si>
    <t>2,809 ransomware attacks were recorded in 2022, surging to 5,070 in 2023, with a 55% substantial increase</t>
  </si>
  <si>
    <t>Cybersecurity costs</t>
  </si>
  <si>
    <t>Without robust security services in information security, businesses lose millions in cyber-attacks yearly.</t>
  </si>
  <si>
    <t>Data breach costs</t>
  </si>
  <si>
    <t>The global average data breach cost hit an all-time high at $4.45 billion in 2023, an increase of 15% in three years.</t>
  </si>
  <si>
    <t>AI defeats threats</t>
  </si>
  <si>
    <t>66% of AI adopters confirmed Generative AI helped predict zero-day attacks and reduce false positives.</t>
  </si>
  <si>
    <t>AI-powered insights on information security services</t>
  </si>
  <si>
    <t>80% more success</t>
  </si>
  <si>
    <t>More than 40% of organizations reported a success ratio of over 80% for their AI-powered cybersecurity tools</t>
  </si>
  <si>
    <t>48% more crucial</t>
  </si>
  <si>
    <t>SMBs and enterprises now believe that AI will be essential in protecting against cybersecurity risks and threats.</t>
  </si>
  <si>
    <t>$2.09M saved per company</t>
  </si>
  <si>
    <t>Cybersecurity tools backed with AI can bring savings of over $2.09 million per company in the United States.</t>
  </si>
  <si>
    <t>Solving real problems in information security via stringent security mechanisms</t>
  </si>
  <si>
    <t>Assessment &amp; identification</t>
  </si>
  <si>
    <t>Risk assessment and vulnerability identification are essential in the information security sector. It helps evaluate the financial threats within the IT ecosystem, identifying potential dangers, compliance penalties and possible business losses.</t>
  </si>
  <si>
    <t>Enterprise security &amp; IT risk</t>
  </si>
  <si>
    <t>Enterprise security audits and IT risk assessments are the first defense mechanisms in protecting critical data and IT assets, helping organizations identify susceptibilities and implement adequate controls to mitigate potential threats.</t>
  </si>
  <si>
    <t>Prevention &amp; monitoring</t>
  </si>
  <si>
    <t>Traditional security measures often struggle to keep pace with sophisticated cyber threats, losing millions of dollars in cyber-attacks. NETSOL assists in preventing and monitoring your ecosystem, ensuring reliability with a solid defense against malicious attacks.</t>
  </si>
  <si>
    <t>SIEM &amp; SOAR implementations</t>
  </si>
  <si>
    <t>SIEM and SOAR streamline security operations centers by enhancing their capabilities to detect, analyze, respond to and prevent cybersecurity incidents. With AI in information security, enterprises can leverage improved threat detection and use dynamic responses against malicious attacks.</t>
  </si>
  <si>
    <t>Managed (SoC)</t>
  </si>
  <si>
    <t>Unlike traditional in-house SOCs, managed SOCs provide comprehensive security, including round-the-clock monitoring and incident response. By leveraging cutting-edge AI tools, we help enterprises automate threat response and improve prediction capabilities.</t>
  </si>
  <si>
    <t>Cloud security</t>
  </si>
  <si>
    <t>Businesses are increasingly migrating their operations to cloud environments, where the shift is bringing unique challenges in safeguarding data, applications and infrastructure from cyber threats. There is a need to embrace advanced IT security solutions.</t>
  </si>
  <si>
    <t>Empowering your digital future</t>
  </si>
  <si>
    <t>Fuel your success through strategic talent partnership services and next-gen digital solutions.</t>
  </si>
  <si>
    <t>Future of Technology</t>
  </si>
  <si>
    <t>Beyond automation, igniting innovation with digital solutions</t>
  </si>
  <si>
    <t>Businesses are etching change with talent management solutions, exploring exponential growth and technological revolution. Data and AI are augmenting human expertise and intelligence. NETSOL unlocks a new dimension of work structure, bridging the gap between human and digital potential. Being your digital technology partners, we foster innovation and agility, equipping you with unparalleled talent, unlocking your organization's potential and propelling your projects forward at an unmatched speed.</t>
  </si>
  <si>
    <t>Quiet quitting</t>
  </si>
  <si>
    <t>In 2024, "quiet quitting" has become a trend, where over 50% of employees are not ready to put in extra effort.</t>
  </si>
  <si>
    <t>Training disparity</t>
  </si>
  <si>
    <t>36% of organizations offer quarterly training to employees, but only 5% provide basic training programs.</t>
  </si>
  <si>
    <t>Management failure</t>
  </si>
  <si>
    <t>Poor management leads businesses to lose over $450 billion yearly in productivity.</t>
  </si>
  <si>
    <t>Interview impact</t>
  </si>
  <si>
    <t>65% of employees lose interest in a job due to a bad interview experience.</t>
  </si>
  <si>
    <t>AI-powered insights on digital solutions and talent partnership services</t>
  </si>
  <si>
    <t>8X more success</t>
  </si>
  <si>
    <t>Businesses that achieve high digital maturity with operational efficiency are 8x more likely to outsmart their competitors.</t>
  </si>
  <si>
    <t>50% cost savings</t>
  </si>
  <si>
    <t>NETSOL's efficient on-demand marketing team has a 50% cost saving when compared with in-house hires.</t>
  </si>
  <si>
    <t>44% innovation ready</t>
  </si>
  <si>
    <t>Nearly 87% of businesses agree that the digital revolution can disrupt their industry. However, only 44% are prepared to embrace it.</t>
  </si>
  <si>
    <t>Unmatched digital innovation and talent partnership services</t>
  </si>
  <si>
    <t>Digital transformation services</t>
  </si>
  <si>
    <t>Navigating digital transformation and security threats requires expert guidance. NETSOL crafts strategies with AI, cybersecurity, and agile project management. Leverage AI tools, automation, predictive analytics, and reskilling to enhance efficiency and productivity.</t>
  </si>
  <si>
    <t>Resource augmentation</t>
  </si>
  <si>
    <t>For a high-performing team, you need to acquire the best technical talent. With NETSOL, break the chains of geographical limitations and find the talent with our onshore, nearshore, and offshore resource augmentation, assisting in hiring the best talent</t>
  </si>
  <si>
    <t>Support services</t>
  </si>
  <si>
    <t>Smooth operations and exceptional customer support are critical for your business growth.With our digital partnerships, we optimize efficiency by leveraging AI-powered, proactive maintenance and management, and service training for your brand.</t>
  </si>
  <si>
    <t>Jira migration &amp; training</t>
  </si>
  <si>
    <t>Implementing, migrating to, and mastering Jira in this agile development environment can be complex. NETSOL offers to power your business with intelligent configuration and workflow automation, undisrupted data migration, and AI-powered training and user adoption.</t>
  </si>
  <si>
    <t>Training &amp; development</t>
  </si>
  <si>
    <t>Continuous learning and development are essential for an enhanced development system. Unlock personalized learning journeys by analyzing skill gaps and infusing adaptive learning, microlearning, and real-time performance management with us.</t>
  </si>
  <si>
    <t>Technical services &amp; solutions</t>
  </si>
  <si>
    <t>Managing technical services requires expertise. With our digital consulting and talent solutions, fuel your business with AI-powered infrastructure management, development and automation, future-ready technological revolution, and AI-assisted resolution.</t>
  </si>
  <si>
    <t>Empower your digital journey and unlock limitless potential through strategic talent partnerships.</t>
  </si>
  <si>
    <t>Ai &amp; Ml Services</t>
  </si>
  <si>
    <t>Unlock the power of your data with AI &amp; ML services</t>
  </si>
  <si>
    <t>Transforming your data into valuable insights leveraging AI for data analytics.</t>
  </si>
  <si>
    <t>Transform data into intelligence with AI &amp; ML services and solutions</t>
  </si>
  <si>
    <t>Raw data isn't enough; your business needs clear insights that lead to real results. NETSOL leverages the power of AI, ML and data analytics, transforming data into actionable insights, assisting you in making smarter decisions, predicting future trends, automating tedious tasks and customizing the user experience. Use AI for data analytics to understand your unique business challenges. We provide Cloud AI and ML services while developing bespoke strategies utilizing cutting-edge solutions. With our AI &amp; ML consulting services, unlock your data's true potential and alter your business's future.</t>
  </si>
  <si>
    <t>Data drives profits</t>
  </si>
  <si>
    <t>Data-driven organizations are 23x more likely to acquire customers and become 19x more profitable.</t>
  </si>
  <si>
    <t>ML's domination</t>
  </si>
  <si>
    <t>More than 80% of businesses in North America have adopted machine learning.</t>
  </si>
  <si>
    <t>Big data leads</t>
  </si>
  <si>
    <t>Over 83% of businesses have pursued big data projects to gain a competitive edge over others.</t>
  </si>
  <si>
    <t>ML drives insights</t>
  </si>
  <si>
    <t>Over 74% of C-level executives and data scientists use ML for performance analysis.</t>
  </si>
  <si>
    <t>AI-Powered insights on AI, ML and data analytics</t>
  </si>
  <si>
    <t>58% more revenue</t>
  </si>
  <si>
    <t>Businesses using data-driven strategies generate over 58% more revenue than those that are not.</t>
  </si>
  <si>
    <t>14% more market share</t>
  </si>
  <si>
    <t>The advancements in AI &amp; ML can potentially increase global GDP by 14% by 2030.</t>
  </si>
  <si>
    <t>13x more value</t>
  </si>
  <si>
    <t>In the next 7 years, the value of the Artificial Intelligence industry is expected to increase by 13x.</t>
  </si>
  <si>
    <t>Empowering businesses with AI &amp; ML services and solutions</t>
  </si>
  <si>
    <t>Strategy &amp; planning</t>
  </si>
  <si>
    <t>Harness the power of the growing ocean of data with AWS AI services, addressing the challenges of data. With NETSOL, navigate this journey and build a winning strategy. We will assist you in your business goal alignment, data assessment and prioritization.</t>
  </si>
  <si>
    <t>Data &amp; analytics</t>
  </si>
  <si>
    <t>Businesses must extract meaningful insights and transform raw data into actionable strategies, fueling growth. NETSOL helps navigate data integration and management, advanced analytics and reporting, data warehousing and business intelligence, and data visualization.</t>
  </si>
  <si>
    <t>Responsible AI</t>
  </si>
  <si>
    <t>Businesses must develop and deploy AI with security and accountability in mind. NETSOL ensures AI benefits society without reinforcing existing inequalities. Our processes are fair, unbiased and transparent, honoring data security and privacy.</t>
  </si>
  <si>
    <t>AI solutions</t>
  </si>
  <si>
    <t>Organizations are overburdened with information and need an approach to capitalize on it. NETSOL leverages the power of data analytics and AI services, ensuring predictive and prescriptive analytics, automated data analysis, NLP and IPA.</t>
  </si>
  <si>
    <t>Explore how NETSOL helps unlock your data's true potential with AI &amp; ML.</t>
  </si>
  <si>
    <t>Unleash the power: Generative AI solutions</t>
  </si>
  <si>
    <t>Innovate beyond limits by transforming your business landscape with AI creativity.</t>
  </si>
  <si>
    <t>Empowering businesses with intelligent Generative AI services</t>
  </si>
  <si>
    <t>Generative AI solutions transcend traditional programming, empowering machines to autonomously craft inventive content, unlocking the door to limitless possibilities, unleashing boundless innovation, hyper-personalization and unparalleled efficiency. At NETSOL, we are bridging the gap between modern AI and human imagination. Our experts are rewriting the rules of content management and creation, ushering in a new era of business where data will become your ultimate secret weapon for success.</t>
  </si>
  <si>
    <t>AI trust</t>
  </si>
  <si>
    <t>52% of the general population trusts Gen AI to help them make informed decisions.</t>
  </si>
  <si>
    <t>AI reshaping business</t>
  </si>
  <si>
    <t>75% of business professionals expect Gen AI to cause disruptive change in their sector.</t>
  </si>
  <si>
    <t>AI's Investor Edge</t>
  </si>
  <si>
    <t>67% of investors believe AI enhances investment returns through deep analysis and portfolio management.</t>
  </si>
  <si>
    <t>GenAI impact</t>
  </si>
  <si>
    <t>GenAI now identifies business gaps, manages tedious tasks, and drives innovation.</t>
  </si>
  <si>
    <t>AI-powered insights on Generative AI services</t>
  </si>
  <si>
    <t>Dream it, generate it, achieve it with NETSOL</t>
  </si>
  <si>
    <t>Navigating an AI strategy is challenging for businesses with limited expertise and capacity. NETSOL empowers your enterprise, identifies gaps, finds opportunities, makes customized strategies and translates them into actionable plans.</t>
  </si>
  <si>
    <t>Development &amp; implementation</t>
  </si>
  <si>
    <t>Implementing a Generative AI strategy is challenging. Let NETSOL handle it. We translate your strategies into results with robust data acquisition, model selection, training, testing, refinement and deployment.</t>
  </si>
  <si>
    <t>AI marketing</t>
  </si>
  <si>
    <t>Capturing attention and forging meaningful connections with customers is demanding. As your AI marketing partners, we wield the transformative power of Gen AI to craft personalized, data-driven experiences that resonate with your target audience.</t>
  </si>
  <si>
    <t>Optimization &amp; support</t>
  </si>
  <si>
    <t>The power of Generative AI for financial services has always remained strong after implementation in the finance sector. We infuse ongoing optimization with genuine support, maintaining peak performance while maximizing the value extracted from AI solutions.</t>
  </si>
  <si>
    <t>Explore how NETSOL can help your business get the most out of Generative AI.</t>
  </si>
  <si>
    <t>Harness unparalleled digital policy &amp; strategy</t>
  </si>
  <si>
    <t>Empower your business with a winning policy and data strategy.</t>
  </si>
  <si>
    <t>Powering smarter decisions and building a future-proof foundation</t>
  </si>
  <si>
    <t>By infusing AI into your policies and strategies, businesses can gain deeper insights, automate tedious tasks and make data-driven decisions, propelling their infrastructure forward. With a transformative digital policy and data strategy, leverage advanced data analytics, risk assessment and mitigation, and regulatory compliance monitoring. With our robust policy and strategy consulting services and policy management software, unlock the power of AI to make smarter decisions, gain a competitive edge and achieve long-term success.</t>
  </si>
  <si>
    <t>AI influence</t>
  </si>
  <si>
    <t>By the end of 2024, 60% of governmental policies will directly impact AI.</t>
  </si>
  <si>
    <t>Business intelligence</t>
  </si>
  <si>
    <t>83% of businesses utilize the power of AI to create their own business policies and strategies.</t>
  </si>
  <si>
    <t>Data infusion</t>
  </si>
  <si>
    <t>For prominent data strategy, over 61% of marketers focus on AI and ML infusion.</t>
  </si>
  <si>
    <t>AI automation</t>
  </si>
  <si>
    <t>With AI, 50% of businesses can automate their policy and strategy-making process.</t>
  </si>
  <si>
    <t>AI-powered insights on policy and strategy</t>
  </si>
  <si>
    <t>2.3x strategic planning</t>
  </si>
  <si>
    <t>Organizations with a formal strategic planning process are 2.3x more likely to outperform their competitors.</t>
  </si>
  <si>
    <t>Experience the power of digital innovation and talent partnership services</t>
  </si>
  <si>
    <t>Digital policy &amp; strategy</t>
  </si>
  <si>
    <t>A well-defined digital strategy is the cornerstones of any successful organization. NETSOL provides a roadmap for leveraging technology to achieve your business goals, mitigating risks and fostering innovation while efficiently navigating the evolving digital landscape.</t>
  </si>
  <si>
    <t>Digital transformation</t>
  </si>
  <si>
    <t>Transform your raw data into actionable insights, build a robust data architecture design and have a clear data strategy, fueling your business growth. NETSOL crafts an effective digital transformation strategy by leveraging advanced digital services and tools.</t>
  </si>
  <si>
    <t>Cybersecurity policy</t>
  </si>
  <si>
    <t>Shield your digital assets against data breaches, cyberattacks and compliance issues with a comprehensive information and cybersecurity policy, focusing on risk assessment, policy development and implementation, and compliance gap remediations.</t>
  </si>
  <si>
    <t>Cloud migration strategy</t>
  </si>
  <si>
    <t>The process can be disruptive, complex and costly without a robust cloud migration strategy. With us, navigate your journey to the cloud with a clear roadmap backed by business assessment, migration methodology, compliance consideration and cloud platform selection.</t>
  </si>
  <si>
    <t>Hybrid cloud strategy</t>
  </si>
  <si>
    <t>With a hybrid cloud strategy, leverage on-premise resources with a public cloud service. NETSOL crafts an effective hybrid cloud strategy leveraging policy and procedure software, offering meticulous planning, seamless API integration, and consistent security and compliance practices.</t>
  </si>
  <si>
    <t>Multi-cloud strategy</t>
  </si>
  <si>
    <t>With a multi-cloud strategy, manage and deploy your applications across multiple public cloud providers. NETSOL offers a comprehensive approach to craft and execute a multi-cloud strategy with strategy development and security, and compliance management.</t>
  </si>
  <si>
    <t>Ready to get started?</t>
  </si>
  <si>
    <t>Explore how NETSOL leverages AI for smarter policy and strategy making processes.</t>
  </si>
  <si>
    <t>Experience Web 3.0 &amp; emerging technologies</t>
  </si>
  <si>
    <t>Empowering the future with advanced Web 3.0 services and emerging technologies.</t>
  </si>
  <si>
    <t>Embrace the dawn of a new era with advanced Web 3.0 services</t>
  </si>
  <si>
    <t>Web 3.0, the decentralized web of the future, promises a more immersive, user-centric and intelligent experience. By embracing innovative and emerging technologies, businesses can fuel growth with evolving solutions like AI, blockchain, IoT and Web 3.0, redefining security, privacy, innovation and efficiency. NETSOL, while focusing on user empowerment, offers to develop modern applications that leverage blockchain technology for secure data management and infuse emerging technologies solutions to help enterprises navigate the transition to a more decentralized environment.</t>
  </si>
  <si>
    <t>Web 3.0 market reach</t>
  </si>
  <si>
    <t>The Web 3.0 market is expected to reach $5.5 billion by 2030, growing at a CAGR of 44.9%.</t>
  </si>
  <si>
    <t>Rising demand</t>
  </si>
  <si>
    <t>Surging demand for Web 3.0 escalates the need for secure, transparent digital transactions.</t>
  </si>
  <si>
    <t>Web 3.0 market</t>
  </si>
  <si>
    <t>The market capitalization of Web 3.0 is estimated to be valued at $27.5 billion.</t>
  </si>
  <si>
    <t>Gamer adoption</t>
  </si>
  <si>
    <t>Over 73 million gamers across the globe play games based on Web 3.0 technology.</t>
  </si>
  <si>
    <t>Driving innovation through emerging technology integration with NETSOL</t>
  </si>
  <si>
    <t>Smart contract development</t>
  </si>
  <si>
    <t>The rise of Web 3.0 promotes smart contracts as an integral part of the blockchain world. With these contracts, businesses can improve their security, automate the transactional process and ensure a reliable modern contract, promoting self-executing agreements.</t>
  </si>
  <si>
    <t>Decentralized applications (dApp)</t>
  </si>
  <si>
    <t>The decentralized application development in Web 3.0 emphasizes user control and ownership, running on a blockchain network. dApps are paving the way for a decentralized future, enabling decentralized financing and prioritizing social dApps and dmarketplace.</t>
  </si>
  <si>
    <t>Digital twin</t>
  </si>
  <si>
    <t>A digital twin is the virtual representation of a physical asset or system, combining real-time data from sensors and IoT devices. NETSOL with Web 3.0 unlocks a new era of optimization and innovation with a digital twin, promising to improve efficiency and reduce costs.</t>
  </si>
  <si>
    <t>Metaverse</t>
  </si>
  <si>
    <t>The metaverse promises a revolutionized way to interact, socialize, and conduct business. Web 3.0 and the metaverse offer an enhanced user experience, decentralized ownership and interoperability, fostering control of digital assets, ultimately redefining how we connect.</t>
  </si>
  <si>
    <t>Consulting &amp; compliance</t>
  </si>
  <si>
    <t>The Web 3.0 revolution helps businesses navigate evolving regulations and emerging threats. NETSOL empowers businesses with expert consulting and compliance services in security risk management, regulatory complaints, technology selection and change management.</t>
  </si>
  <si>
    <t>Security &amp; education</t>
  </si>
  <si>
    <t>Get immersed in a personalized learning experience with the revolutionary Web 3.0, capable of protecting student data, ensuring responsible content access and navigating the complexities of a decentralized environment in a blockchain, Metaverse environment.</t>
  </si>
  <si>
    <t>Explore how you can build secure and scalable Web 3.0 solutions with NETSOL.</t>
  </si>
  <si>
    <t>Scale your business with agile cloud solutions</t>
  </si>
  <si>
    <t>Reduce your costs and increase efficiency with multi-cloud networking and security.</t>
  </si>
  <si>
    <t>Unleash the power of possibility with proven cloud services</t>
  </si>
  <si>
    <t>Agility and scalability are no longer luxuries but necessities for modern enterprises. NETSOL cloud services offer a revolutionary approach to IT infrastructure, empowering businesses to thrive and eliminate the need for expensive on-premise hardware with unmatched scalability, agility, security lower costs and reliability. With our cloud backup disaster recovery protocol, ditch your outdated legacy infrastructure, unlock the cloud's power and build a future-proof IT foundation.</t>
  </si>
  <si>
    <t>Market expansion</t>
  </si>
  <si>
    <t>The global cloud computing market grew from $24.63 billion in 2010 to $156.4 billion in 2020.</t>
  </si>
  <si>
    <t>Cloud challenge</t>
  </si>
  <si>
    <t>42% of CTOs and CIOs consider cloud waste the top challenge during and after migration.</t>
  </si>
  <si>
    <t>Cost management</t>
  </si>
  <si>
    <t>Over 58% of businesses struggle to manage their cloud costs for their increasing workload.</t>
  </si>
  <si>
    <t>Cloud investment</t>
  </si>
  <si>
    <t>Leading IT businesses and enterprises invest $8 out of every $10 in cloud services.</t>
  </si>
  <si>
    <t>AI-powered insights on cloud services</t>
  </si>
  <si>
    <t>70% more capabilities</t>
  </si>
  <si>
    <t>Over 70% of enterprises get their AI capabilities from cloud-based software, while 65% create AI applications with cloud services.</t>
  </si>
  <si>
    <t>4.7x more operating margins</t>
  </si>
  <si>
    <t>Eco-friendly business enjoys 4.7x operating margins with AI in the cloud, reducing carbon emissions by up to 64%.</t>
  </si>
  <si>
    <t>50% workload migration</t>
  </si>
  <si>
    <t>Over 54% of enterprises moved to the cloud for disaster recovery and 50% for migrating workload management.</t>
  </si>
  <si>
    <t>Managed cloud services for modern enterprises</t>
  </si>
  <si>
    <t>Managed services</t>
  </si>
  <si>
    <t>Managing a cloud environment is complex, but with managed services, enterprises can outsource management and maintenance, running cloud services smoothly, securely and cost-effectively. Streamline cloud operations, enhance security and scale cloud solutions with us</t>
  </si>
  <si>
    <t>Cloud infrastructure services</t>
  </si>
  <si>
    <t>You need a prominent foundation with a secure cloud infrastructure and essential resources to run your applications seamlessly. We empower your cloud infrastructure by safely deploying and migrating your cloud and optimizing resource provisioning.</t>
  </si>
  <si>
    <t>Development &amp; integrations</t>
  </si>
  <si>
    <t>Navigating the complexities of building and integrating cloud-native applications can be challenging. With NETSOL, leverage the power of AI for secure cloud-native development, API integration, containerization, DevOps expertise and microservices architecture.</t>
  </si>
  <si>
    <t>SaaS development</t>
  </si>
  <si>
    <t>Deploying agile, scalable, cost-effective SaaS applications requires expertise and inventive solutions. NETSOL is ready to empower your SaaS journey with cloud-native architecture backed by a security-first approach, API design and integration services.</t>
  </si>
  <si>
    <t>DevOps</t>
  </si>
  <si>
    <t>DevOps is crucial for optimizing the development and delivery of cloud applications. NETSOL is here to resolve the complex process of DevOps by bridging the gap with CI/CD pipeline automation, IaC, cloud-based monitoring and logging, and security integration.</t>
  </si>
  <si>
    <t>MLOps &amp; model management</t>
  </si>
  <si>
    <t>The journey from creating a model to deploying it in production can be challenging. NETSOL, with expertise in MLOps, helps you navigate this critical stage by streamlining the experimentation, model versioning and governance, and model monitoring.</t>
  </si>
  <si>
    <t>NETSOL + Amazon Web Services Where innovation meets imapact!</t>
  </si>
  <si>
    <t>Discover how our certified expertise can drive your success with cutting-edge cloud solutions. Experience excellence in innovation and scalability with NETSOL's AWS-powered services.</t>
  </si>
  <si>
    <t>Robust data engineering services &amp; solutions</t>
  </si>
  <si>
    <t>With AWS services for data engineering, build scalable data pipelines for your business growth.</t>
  </si>
  <si>
    <t>Generate actionable insights through mature data platforms</t>
  </si>
  <si>
    <t>Due to data trust issues, limited data platforms and inadequate knowledge, businesses struggle to deliver timely insights. With data engineering and analytics services, enterprises can leverage advisory and operational benefits, focusing on reducing ownership costs and enhancing sustainability longevity. NETSOL offers AWS services for data engineering, extracting data from various platforms while leveraging intelligent cataloging through trust testing and deployment and accelerating your data efforts with the AL and ML partnership.</t>
  </si>
  <si>
    <t>Data losses</t>
  </si>
  <si>
    <t>Globally, businesses lose over $15 million yearly due to poor data quality and management.</t>
  </si>
  <si>
    <t>Market surge</t>
  </si>
  <si>
    <t>The global data market is expected to surge to $274.3 billion by 2026,</t>
  </si>
  <si>
    <t>Data lakes</t>
  </si>
  <si>
    <t>The data lakes market is expected to hit a high of $20.04 billion by 2028.</t>
  </si>
  <si>
    <t>Engineering growth</t>
  </si>
  <si>
    <t>The data engineering market will double to $89.02 billion by 2027 from $43.04 billion in 2022.</t>
  </si>
  <si>
    <t>Actionable insights with the right data strategy</t>
  </si>
  <si>
    <t>$3.1T more sustainability</t>
  </si>
  <si>
    <t>The sector can ensure annual savings of $3.1 trillion with data-driven environmental monitoring by 2030.</t>
  </si>
  <si>
    <t>$67.4B blockchain increase</t>
  </si>
  <si>
    <t>The global blockchain market is ready to hit $67.4 billion by 2026, infusing data security and traceability in data engineering.</t>
  </si>
  <si>
    <t>70% scalability</t>
  </si>
  <si>
    <t>By integrating low code / no code technologies in data engineering, businesses can witness 70% scalability of their data pipeline.</t>
  </si>
  <si>
    <t>AI-driven intelligence built on robust data engineering foundations</t>
  </si>
  <si>
    <t>Data migration strategy, development &amp; implementation</t>
  </si>
  <si>
    <t>With a proper data migration strategy, enterprises can assess their data, test and validate it, and transform the information into valuable insights. Development and implementation tools assist in change management while implementing post and pre-migration validation with continuous support.</t>
  </si>
  <si>
    <t>Data wrangling &amp; integration services</t>
  </si>
  <si>
    <t>Data analytics engineering services can tackle the data wrangling challenge using a diversified data source, and converts it into valuable business insights. We combine it by extracting the data via unique sources, harmonizing it, and streamlining the workflow.</t>
  </si>
  <si>
    <t>Data lakes, data warehouse &amp; data marts</t>
  </si>
  <si>
    <t>The algorithm of data engineering relies on robust data storage solutions, where data lakes, warehouses and marts play a significant role. Choose the right solution with us based on your cost, accessibility and data structure needs.</t>
  </si>
  <si>
    <t>Data analytics, reporting &amp; visualization</t>
  </si>
  <si>
    <t>Infuse data analytical solutions in your business to extract the true meaning of the data using advanced analytics tools. Get tailored and automated reports with data reporting, where you can add an interactive dashboard for enhanced data visualization.</t>
  </si>
  <si>
    <t>ETL, ELT, data pipeline, workflow &amp; orchestration</t>
  </si>
  <si>
    <t>Extract, Transform, Load (ETL) and Extract, Load, Transform (ELT) are data movement techniques that assist businesses in transforming their data into meaningful insights. With modern data pipelines, enterprises can effectively manage data volume and complexity.</t>
  </si>
  <si>
    <t>Data modeling, optimization &amp; architecture</t>
  </si>
  <si>
    <t>The foundation of data engineering lies in data modeling, optimization and architecture. From defining data relationships to ensuring performance considerations and strategic data designing, NETSOL empowers you to handle the process with brilliance.</t>
  </si>
  <si>
    <t>Explore how NETSOL develops a comprehensive data architecture design, strengthening your data infrastructure with data engineering services.</t>
  </si>
  <si>
    <t>AI-powered automotive finance software</t>
  </si>
  <si>
    <t>We provide superior technology solutions to the biggest names in the global automotive industry.</t>
  </si>
  <si>
    <t>Driving change in the automotive space worldwide</t>
  </si>
  <si>
    <t>Our cutting-edge technologies help global automakers, auto captives, and finance firms thrive, leveraging 40+ years of expertise in AI-powered loan origination, contract management, and digital retail solutions tailored for the automotive sector.</t>
  </si>
  <si>
    <t>Industry leaders</t>
  </si>
  <si>
    <t>NETSOL has made significant investments to understand the evolving requirements of the global automotive industry.</t>
  </si>
  <si>
    <t>Seamless solutions</t>
  </si>
  <si>
    <t>We empower lenders, dealerships and borrowers alike to navigate the financing and digital retail journey seamlessly.</t>
  </si>
  <si>
    <t>AI-powered operations</t>
  </si>
  <si>
    <t>Our AI-driven solutions power the automotive industry with robust analytics, seamless integration capabilities and advanced automation features.</t>
  </si>
  <si>
    <t>End-to-end products</t>
  </si>
  <si>
    <t>We offer powerful end-to-end automotive finance software as well as easy-to-integrate API-first solutions for auto finance, alongside seamless digital retail.</t>
  </si>
  <si>
    <t>Our innovative equipment leasing software is engineered to empower OEMs with streamlined financing processes, enhanced customer experiences and unparalleled efficiency. From end-to-end finance and leasing to digital retail, our solutions are designed to seamlessly integrate into your operations, unlocking new avenues for growth and profitability.</t>
  </si>
  <si>
    <t>Big ticket finance</t>
  </si>
  <si>
    <t>Commercial and consumer lending</t>
  </si>
  <si>
    <t>SCI Lease Corp enhances lease management processes with NETSOL</t>
  </si>
  <si>
    <t xml:space="preserve">"SCI Lease Corp has recognized the success that NETSOL has had in other markets and we believe their platforms are in line with SCI Lease Corp’s commitment to bring transformative technology and services to the leasing marketplace. Working with NETSOL going forward will enhance our lease management processes, allowing us to better meet our customers’ expectations and provide additional bandwidth to expand our automotive OEM business." </t>
  </si>
  <si>
    <t>President and Chief Executive Leader of SCI Lease Corp</t>
  </si>
  <si>
    <t>Experience accelerated innovation for your auto operations</t>
  </si>
  <si>
    <t>Explore how our automotive finance and leasing software enables the global automotive finance and leasing industry to lower operational expenses, enhance risk evaluation, expedite processing and response times and reach a wider array of customers.</t>
  </si>
  <si>
    <t>AI-powered equipment finance software</t>
  </si>
  <si>
    <t>We provide equipment finance solutions to companies with ever-growing business requirements worldwide.</t>
  </si>
  <si>
    <t>Connect with us</t>
  </si>
  <si>
    <t>Harness the power of unmatched equipment finance technology</t>
  </si>
  <si>
    <t>While you enable organizations to procure the equipment necessary to meet the growing demands of their business, we provide you with the technology that covers the end-to-end equipment finance cycle effortlessly. Whether it's heavy machinery, agricultural, industrial or any form of equipment you finance, we streamline processes and drive growth.</t>
  </si>
  <si>
    <t>Proven technology</t>
  </si>
  <si>
    <t>With a proven track record, NETSOL’s lease management software for OEMs and the equipment finance sector supports highly complex business environments.</t>
  </si>
  <si>
    <t>End-to-end solutions</t>
  </si>
  <si>
    <t>For OEMs and equipment finance and leasing businesses, NETSOL has solutions for originations, servicing, wholesale, as well as digital retail and more.</t>
  </si>
  <si>
    <t>With an experienced global team delivering superior solutions, NETSOL follows a customer-centric product development approach for the industry.</t>
  </si>
  <si>
    <t>Full compliance</t>
  </si>
  <si>
    <t>To ensure compliance with various international quality standards, we meticulously adhere to all regulatory and legal requirements worldwide.</t>
  </si>
  <si>
    <t>Henrik Staulund</t>
  </si>
  <si>
    <t>Chief Commercial Officer at Ikano Bank</t>
  </si>
  <si>
    <t>Ready to elevate your equipment finance game?</t>
  </si>
  <si>
    <t>Stay ahead of the curve and unlock new opportunities for growth and success in equipment finance with our industry-leading equipment finance and equipment leasing solutions.</t>
  </si>
  <si>
    <t>Resource center</t>
  </si>
  <si>
    <t>Explore expert insights and resources on the asset finance industry and the latest in technology in our comprehensive content hub</t>
  </si>
  <si>
    <t>Latest Reads</t>
  </si>
  <si>
    <t>Search by keywords</t>
  </si>
  <si>
    <t>Search here...</t>
  </si>
  <si>
    <t>Search</t>
  </si>
  <si>
    <t>Search by type</t>
  </si>
  <si>
    <t>All</t>
  </si>
  <si>
    <t>Whitepapers</t>
  </si>
  <si>
    <t>Podcasts</t>
  </si>
  <si>
    <t>Webinars</t>
  </si>
  <si>
    <t>Search by Tags</t>
  </si>
  <si>
    <t>Auto Finance</t>
  </si>
  <si>
    <t>AI &amp; ML</t>
  </si>
  <si>
    <t>Digital Strategy</t>
  </si>
  <si>
    <t>Whole Finance</t>
  </si>
  <si>
    <t>Mobility</t>
  </si>
  <si>
    <t>Beyond the DMS: Why automotive retail’s future is API-first</t>
  </si>
  <si>
    <t>Read more</t>
  </si>
  <si>
    <t>NETSOL is at the GlobalData Automotive Europe Conference and Awards 2025</t>
  </si>
  <si>
    <t>NETSOL is at the 25th Annual Auto Finance Summit: Driving the future of auto finance</t>
  </si>
  <si>
    <t>NETSOL is at Digital Dealer 2025: Empowering the future of automotive retail</t>
  </si>
  <si>
    <t>View more</t>
  </si>
  <si>
    <t xml:space="preserve"> Mike Boyes</t>
  </si>
  <si>
    <t>Head of Vendor, Haydock Finance</t>
  </si>
  <si>
    <t>Board of Directors</t>
  </si>
  <si>
    <t>Visionary governance rooted in real-world experience</t>
  </si>
  <si>
    <t>Najeeb Ghauri</t>
  </si>
  <si>
    <t>Director, Chief Executive Officer and Chair of the Board, NetSol Technologies, Inc</t>
  </si>
  <si>
    <t>View Profile</t>
  </si>
  <si>
    <t>Syed Kausar Kazmi</t>
  </si>
  <si>
    <t>Head of Commercial Banking and Business Development, Habib Bank Zurich PLC, UK</t>
  </si>
  <si>
    <t>Mark Caton</t>
  </si>
  <si>
    <t>Director, President of Centela Capital, Inc</t>
  </si>
  <si>
    <t>Ian Smith</t>
  </si>
  <si>
    <t>President, MIP, Inc</t>
  </si>
  <si>
    <t>Malea Farsai</t>
  </si>
  <si>
    <t>Corporate Counsel, NetSol Technologies, Inc</t>
  </si>
  <si>
    <t>Blending decades of global experience across technology, finance, and operations to fuel growth and innovation.</t>
  </si>
  <si>
    <t>Founder, Chairman &amp;</t>
  </si>
  <si>
    <t>Chief Executive Officer,</t>
  </si>
  <si>
    <t>NETSOL Technologies, Inc.</t>
  </si>
  <si>
    <t>Naeem Ghauri</t>
  </si>
  <si>
    <t>Founder and President of</t>
  </si>
  <si>
    <t>Salim Ghauri</t>
  </si>
  <si>
    <t>Founder &amp; Chief Executive Officer of NETSOL Technologies, LLC (Pakistan)</t>
  </si>
  <si>
    <t>Peter Minshall</t>
  </si>
  <si>
    <t>Executive Vice President</t>
  </si>
  <si>
    <t>NETSOL Technologies,</t>
  </si>
  <si>
    <t>North America</t>
  </si>
  <si>
    <t>Patti McGlasson</t>
  </si>
  <si>
    <t>Sr. V.P. Legal &amp; Corporate Affairs, General Counsel and Corporate Secretary, NETSOL Technologies Inc.</t>
  </si>
  <si>
    <t>Roger Almond</t>
  </si>
  <si>
    <t>Chief Financial Officer, NETSOL Technologies, Inc.</t>
  </si>
  <si>
    <t>Erik Wagner</t>
  </si>
  <si>
    <t>Chief Marketing Officer, NETSOL Technologies, Inc.</t>
  </si>
  <si>
    <t>Farooq Ghauri</t>
  </si>
  <si>
    <t>Head of Asia-Pacific, NETSOL Technologies, APAC</t>
  </si>
  <si>
    <t>Asad Ghauri</t>
  </si>
  <si>
    <t>Global Head of Sales &amp; GMD, NETSOL Technologies, Inc.</t>
  </si>
  <si>
    <t>Umar Qadri</t>
  </si>
  <si>
    <t>Deputy Global Head of Sales, NETSOL Technologies Inc.</t>
  </si>
  <si>
    <t>Faizaan Ghauri</t>
  </si>
  <si>
    <t>Chief Strategy Officer, NETSOL Technologies, Inc.</t>
  </si>
  <si>
    <t>Amanda Li Linjie</t>
  </si>
  <si>
    <t>President, NETSOL Technologies, China.</t>
  </si>
  <si>
    <t>Khurram S. Rana</t>
  </si>
  <si>
    <t>Global CHRO - NETSOL Technologies Inc.</t>
  </si>
  <si>
    <t>Kamran Khalid</t>
  </si>
  <si>
    <t>Chief Product &amp; Delivery Officer, NETSOL Technology, Inc.</t>
  </si>
  <si>
    <t>Omar Ghauri</t>
  </si>
  <si>
    <t>Director, Chief Operating Officer, NETSOL Technologies Ltd. Pakistan</t>
  </si>
  <si>
    <t>Contact Sales</t>
  </si>
  <si>
    <t>Complete the form to schedule a demo or ask questions about the ways we can support your business goals</t>
  </si>
  <si>
    <t>Looking to learn about careers at NETSOL?</t>
  </si>
  <si>
    <t>We do not accept applications via this form. To apply for roles, please review our portal here.</t>
  </si>
  <si>
    <t>Apply now</t>
  </si>
  <si>
    <t>First Name*</t>
  </si>
  <si>
    <t>Enter your first name</t>
  </si>
  <si>
    <t>Last name*</t>
  </si>
  <si>
    <t>Enter your last name</t>
  </si>
  <si>
    <t>Work email address*</t>
  </si>
  <si>
    <t>Enter your work email address</t>
  </si>
  <si>
    <t>Company name*</t>
  </si>
  <si>
    <t>Enter your company name</t>
  </si>
  <si>
    <t>Country*</t>
  </si>
  <si>
    <t>Select a country</t>
  </si>
  <si>
    <t>How can we help?*</t>
  </si>
  <si>
    <t>What are your requirements?</t>
  </si>
  <si>
    <t>Product/Service Interest*</t>
  </si>
  <si>
    <t>Please Select</t>
  </si>
  <si>
    <t>How did you hear about us?*</t>
  </si>
  <si>
    <t>By ticking this box, you are consenting to allow NETSOL to contact you about products, services and offers that may be of interest to you. Privacy policy.</t>
  </si>
  <si>
    <t>Submit</t>
  </si>
  <si>
    <t>Office locations</t>
  </si>
  <si>
    <t>Encino, USA</t>
  </si>
  <si>
    <t>NETSOL Technologies Inc. (Headquarters)</t>
  </si>
  <si>
    <t>16000 Ventura Blvd., Suite 770 Encino, CA 91436</t>
  </si>
  <si>
    <t>O: +1 818 222 9195</t>
  </si>
  <si>
    <t>Austin, USA</t>
  </si>
  <si>
    <t>NETSOL Technologies Inc.</t>
  </si>
  <si>
    <t>816 Congress Ave. #1270, Austin, TX 78701</t>
  </si>
  <si>
    <t>London, UK</t>
  </si>
  <si>
    <t>NETSOL Technologies Europe Ltd.</t>
  </si>
  <si>
    <t>25 Wilton Road, Pimlico, London SW1V 1LW</t>
  </si>
  <si>
    <t>O: +44 (0) 1403 282 300</t>
  </si>
  <si>
    <t>Transcend the limits of technology</t>
  </si>
  <si>
    <t>From AI-powered finance solutions to seamless digital retail.</t>
  </si>
  <si>
    <t>Powering the future of finance, retail and beyond</t>
  </si>
  <si>
    <t>The Transcend Platform by NETSOL is a unified, AI-driven ecosystem built to simplify and optimize every stage of the asset, retail, and commerce lifecycle. From originations to servicing, collections, and customer engagement, Transcend enables lenders, OEMs, dealers, and fleets to scale with confidence, integrate seamlessly with partner systems, and deliver connected experiences across markets, products, and touchpoints. Grounded in responsible AI and composable design, it transforms complexity into clarity, helping businesses achieve measurable outcomes while ensuring trust, transparency, and collaboration at every step.</t>
  </si>
  <si>
    <t>AI at the core</t>
  </si>
  <si>
    <t>Harness artificial intelligence and machine learning to power predictive insights, automated workflows and risk management across the finance ecosystem</t>
  </si>
  <si>
    <t>An adaptive platform</t>
  </si>
  <si>
    <t>With integrated frameworks and powerful data management, Transcend provides a secure foundation so you’re always ready for what’s next.</t>
  </si>
  <si>
    <t>Future-ready infrastructure</t>
  </si>
  <si>
    <t>Build your platform with API-first modular components, offering cross-platform capabilities and customizable solutions that scale as your business grows.</t>
  </si>
  <si>
    <t>Enterprise-level security</t>
  </si>
  <si>
    <t>With Transcend’s enterprise-grade cloud security, your financial transactions and sensitive data are safeguarded with the latest protections so that you have peace of mind</t>
  </si>
  <si>
    <t>Tailored solutions for every stage of your business</t>
  </si>
  <si>
    <t>One platform. Every stakeholder.</t>
  </si>
  <si>
    <t xml:space="preserve">Connect lenders, brokers, field agents, and customers in a single ecosystem that drives collaboration and transparency across the finance and leasing lifecycle. </t>
  </si>
  <si>
    <t>Omnichannel journeys</t>
  </si>
  <si>
    <t>Mobile tools for field teams</t>
  </si>
  <si>
    <t>Real-time workflow sync</t>
  </si>
  <si>
    <t>Self-service portals</t>
  </si>
  <si>
    <t xml:space="preserve">AI-powered. API-connected. Cloud-native. </t>
  </si>
  <si>
    <t xml:space="preserve">Transcend is built for scale and speed with architecture that adapts to your business and integrates with your systems. </t>
  </si>
  <si>
    <t>AI-first decisioning</t>
  </si>
  <si>
    <t>Microservices-based architecture</t>
  </si>
  <si>
    <t xml:space="preserve">Guidance at every step.  </t>
  </si>
  <si>
    <t xml:space="preserve">From deployment to optimization, our specialists help you get the most out of Transcend with faster rollouts and higher ROI. </t>
  </si>
  <si>
    <t>Guided deployment</t>
  </si>
  <si>
    <t>Training &amp; enablement</t>
  </si>
  <si>
    <t>Ongoing support</t>
  </si>
  <si>
    <t xml:space="preserve">Secure by design </t>
  </si>
  <si>
    <t xml:space="preserve">Transcend offers enterprise-grade security and compliance capabilities, ensuring sensitive data remains protected and your business stays audit-ready. </t>
  </si>
  <si>
    <t>ISO 27001 certified</t>
  </si>
  <si>
    <t>Data encryption &amp; governance</t>
  </si>
  <si>
    <t>Managed SOC</t>
  </si>
  <si>
    <t xml:space="preserve">Configure. Launch. Scale. </t>
  </si>
  <si>
    <t xml:space="preserve">No IT bottlenecks. Empower business teams to design workflows, build interfaces, and implement changes fast. </t>
  </si>
  <si>
    <t>Low-code/no-code tools</t>
  </si>
  <si>
    <t>1,000+ prebuilt APIs</t>
  </si>
  <si>
    <t>Faster speed-to-market</t>
  </si>
  <si>
    <t>Periodic product updates</t>
  </si>
  <si>
    <t>99.99% uptime</t>
  </si>
  <si>
    <t xml:space="preserve">Product &amp; market flexibility </t>
  </si>
  <si>
    <t>Transcend supports complex financial products and adapts to regulatory needs across industries and geographies.</t>
  </si>
  <si>
    <t>Automotive, equipment, fleet, and more</t>
  </si>
  <si>
    <t>Multi-country, currency, language</t>
  </si>
  <si>
    <t>Local compliance in 30+ markets</t>
  </si>
  <si>
    <t>MINI partners with NETSOL to power its new era of auto-retail experience</t>
  </si>
  <si>
    <t xml:space="preserve">"At MINI, we decided it was time to create an end-to-end purchasing and finance journey for the consumer, and it was important to create something more than a lead generator to facilitate the complete transaction for any MINI customer, any place, any time. Our partnership with NETSOL has enabled us not only to catch up with industry leaders, but also to set new benchmarks in digital auto-retail, which the usual suspects in the industry could not provide." </t>
  </si>
  <si>
    <t>Website Terms of Use</t>
  </si>
  <si>
    <t>Welcome to the NetSol Technologies, Inc. (” Netsol “) Web site (” Web Site “). NetSol provides and makes available this Web Site subject to the following terms of use (“Terms”). These Terms explain a contractual agreement between you (” user ,” ” you ,” ” your “) and NetSol regarding your use of this Web Site. You should print a copy of these Terms for your records. Please note, however, that NetSol may update and amend these Terms from time to time as NetSol deems necessary in its sole discretion.</t>
  </si>
  <si>
    <t>1. WHAT YOU SHOULD KNOW and HOW CHANGES CAN BE MADE</t>
  </si>
  <si>
    <t>The primary goal of this Web Site is to provide you with access to information about NetSol’s businesses, facilities, services, products, and related links to meet your needs with respect to these businesses, facilities, services and products (the ” Content “). These Terms are meant to protect all of the visitors to and users of this Web Site, and your access to and use of this Web Site signifies your agreement with these Terms. DO NOT USE THIS WEB SITE IF YOU DO NOT AGREE WITH THESE TERMS . NetSol reserves the right, in its sole discretion, to modify, alter or otherwise update these Terms, or to change or delete any features of this Web Site, at any time. Such modifications, alterations, and updates to the Terms shall be effective immediately upon posting. You agree to be bound by such modified, altered and updated Terms if you access or use this Web Site after NetSol has posted notice of such modifications, alterations or updates. IF YOU DO NOT AGREE WITH ANY OF THE MODIFIED, ALTERED OR UPDATED TERMS, THEN YOU SHOULD NOT USE THIS WEB SITE AFTER SUCH MODIFICATIONS, ALTERATIONS OR UPDATES HAVE BEEN POSTED.</t>
  </si>
  <si>
    <t>This Web Site will permit you to link to many other Web sites that may or may not be affiliated with this Web Site and/or with NetSol. These other linked Web sites, including the Web sites of NetSol’s affiliated companies, as well as the Web sites of NetSol’s third party content providers, merchants, business partners, sponsors and licensors (collectively the ” Providers “), may have different terms of use that are not the same as these Terms. Your access to and use of such linked Web sites through links provided on this Web Site are not governed by these Terms but, instead, are governed by the terms of use and policies of those Web sites, and NetSol disclaims any and all responsibility for your access to and use of such linked Web sites.</t>
  </si>
  <si>
    <t>You should note that these Terms contain additional disclaimers and limitations on NetSol’s liability, which can be found in Sections 9 and 10 below. Please read these carefully and make sure that you understand them before continuing with your use of this Web Site.</t>
  </si>
  <si>
    <t>2. PRIVACY</t>
  </si>
  <si>
    <t>Registration data and certain other information about you that you may submit or provide to NetSol through this Web Site is subject to NetSol’s Privacy Policy. For more information about NetSol’s use and protection of your information, please review NetSol’s Internet Privacy Policy.</t>
  </si>
  <si>
    <t>3. USE OF THIS WEB SITE and INTELLECTUAL PROPERTY RIGHTS</t>
  </si>
  <si>
    <t>NetSol controls and (either itself and/or through its third party hosts) operates this Web Site. All Content on this Web Site, including, but not limited to, text, images, illustrations, graphics, logos, digital downloads, data, software, headers, icons, scripts, audio clips, and video clips, is the property of NetSol or its Providers, and is protected by copyrights, trademarks, service marks, and/or other intellectual property rights (which are governed by and subject to United States and international copyright laws and treaty provisions, privacy and publicity laws, and communication regulations and statutes). The Content is owned and controlled by NetSol, its affiliated or related entities, or the Providers that have licensed or otherwise made available their content or the right to market their products and/or services to NetSol. Content on this Web Site or any Web site owned, operated, licensed or controlled by the Providers is solely for your personal, non-commercial use, and may not be used in any manner that is likely to cause confusion among NetSol’s customers, other users of this Web Site, or the general public. You agree to abide by all additional copyright notices, information, or restrictions contained in or with any Content.</t>
  </si>
  <si>
    <t>You may download or make a single copy of any Content contained on this Web Site solely for your personal, non-commercial use, consistent with these Terms, provided that you maintain all copyright and other notices contained in or with such Content. Except as otherwise specified above, you may not copy, reproduce, duplicate, republish, upload, post, transmit, distribute, sell and/or exploit the Content in any way (including by e-mail or other electronic means) for commercial use without the prior written consent of NetSol or the Providers. You may request consent by faxing a request to NetSol’s Legal Department at 818.222.9197818.222.9197. Your modification of the Content, use of the Content on any other linked Web site or networked computer environment, or use of the Content for any purpose other than personal, non-commercial use, without the prior written consent of NetSol or the Providers, violates the intellectual property rights and proprietary rights of the Content owners and is strictly prohibited.</t>
  </si>
  <si>
    <t>You may not use any registered or unregistered trademarks, service marks, copyrighted materials or other proprietary information or intellectual property appearing on this Web Site, including, but not limited to, any logos, images or characters, and also including any meta tags or similar code or hidden text or elements containing such information or property, without the express written consent of the owner of the mark or copyright. You may not frame any trademarks, service marks, copyrights, logos, images, text, or other proprietary information or intellectual property of NetSol, or otherwise incorporate into another Web site any of the Content or other materials on this Web Site, without NetSol’s express prior written consent. You may not deep link to any page of portions of this Web Site without NetSol’s prior written consent. You may, however, create or provide a hypertext link or hyperlink to the home page of this Web Site provided that you do not make or attribute to NetSol, its affiliated or related entities or Providers any false, misleading, defamatory, libelous, derogatory, or offensive statements. Any such link cannot include any logos, graphics or trademarks of NetSol, its affiliated or related entities or Providers without NetSol’s express prior written consent.</t>
  </si>
  <si>
    <t>Violation of trademark and copyright laws (“Infringement”) may result in significant civil liability or criminal penalties under United States and/or international copyright and trademark laws. You recognize that any reproduction or use of Content, copyrights, trademarks, service marks, or other intellectual property on this Web Site, except as authorized by these Terms, is considered intentional Infringement.</t>
  </si>
  <si>
    <t>4. USER’S RESPONSIBILITIES</t>
  </si>
  <si>
    <t>You warrant and represent to NetSol that you will not use this Web Site for any purpose that is unlawful, illegal or prohibited by these Terms, including, without limitation, the sending, posting, transmitting, displaying, distributing, or knowingly receiving of or searching for any threatening, harassing, libelous, defamatory, obscene, scandalous, inflammatory, sexually oriented, pornographic, or profane material, content or images, or other images, content or messages that might be considered lewd, lascivious, excessively violent or otherwise offensive. If you violate any of these Terms, your permission to use this Web Site immediately terminates without the necessity of any notice. NetSol, at its sole discretion, retains the right to deny access to this Web Site to anyone for any reason, including for violation of these Terms. Some of these types of violations are more fully described below in Section 5.</t>
  </si>
  <si>
    <t>You are solely responsible for the content, accuracy and your use of your Information, and NetSol merely acts as a passive conduit for your online distribution and publication of your Information. As used in these Terms, ” Information ” means any information or data that you submit to or through this Web Site and any information or data that is generated by this Web Site as a result of your use of or access to this Web Site. Certain special rules and restrictions may apply to your Personally Identifiable Information. For more information regarding these special rules and restrictions please review NetSol’s Internet Privacy Policy.</t>
  </si>
  <si>
    <t>You agree that any Information that you provide will be true, accurate, current and complete. If you provide any Information that is untrue, inaccurate, not current or incomplete (or NetSol has reasonable grounds to suspect that such Information is untrue, inaccurate, not current or incomplete), NetSol has the right to suspend or terminate your access and activity relating to, and to refuse any and all current or future use of, this Web Site.</t>
  </si>
  <si>
    <t>5. PROHIBITED ACTIVITIES</t>
  </si>
  <si>
    <t>You are specifically prohibited from any use of this Web Site, and you agree not to use or permit others to use this Web Site, for any of the following:</t>
  </si>
  <si>
    <t>(a) take any action that imposes an unreasonable or disproportionately large load on, or waste of valuable time for, the Web Site’s infrastructure or resources, including, but not limited to, sending or promoting the distribution of “spam,” “junk mail,” chain letters, or other such unsolicited or unlawful mass e-mailing techniques;</t>
  </si>
  <si>
    <t>(b) disclose to, or share with, any unauthorized third parties the ID’s, assigned confirmation numbers and/or passwords, or use the ID’s, assigned confirmation numbers and/or passwords for any unauthorized purpose, or otherwise allow or facilitate others to gain access to NetSol’s information technology systems, environments, networks, files, data or accounts through the use of the ID’s, assigned confirmation numbers and/or passwords;</t>
  </si>
  <si>
    <t>(c) access or attempt to access NetSol’s information technology systems, environments, networks, files, data or accounts to which express authorization has not been obtained (including access to data not intended for You), or log into a server or account that you are not authorized to access;</t>
  </si>
  <si>
    <t>(d) attempt to decipher, decompile, disassemble, modify, remove or reverse engineer any of the software or HTML code comprising or in any way making up a part of this Web Site;</t>
  </si>
  <si>
    <t>(e) interfere with, disrupt, disable or damage (or attempt to interfere with, disrupt, disable or damage), in an unauthorized manner, the use or operation of this Web Site or NetSol’s, its affiliated or related entities’ or the Providers’ systems, equipment or applications, or service to any user, host, or network, including by use of any programs, scripts, commands, viruses, worms, web bugs, harmful code, Trojan horses, other contaminants, or otherwise. This includes “denial of service” attacks, “flooding” of networks, deliberate attempts to overload a service or to burden excessively a service’s resources, attempts to “crash” a host, and/or modifying or rerouting any Content or services provided at this Web Site;</t>
  </si>
  <si>
    <t>(f) attempt to circumvent or subvert system or network security (i.e., authentication) mechanisms, or probe the security of any system, network, or account, associated or used in conjunction with this Web Site;</t>
  </si>
  <si>
    <t>(g) upload, post, e-mail or otherwise transmit any Information, Content, or proprietary rights that you do not have a right to transmit under the Terms, any law or other contractual or fiduciary relationships; and/or</t>
  </si>
  <si>
    <t>(h) use any robot, spider, intelligent agent, meta-searching, other automatic device, or manual process to search, monitor or copy NetSol’s Web Site pages or the Content in violation of the Terms or without NetSol’s prior written permission, provided that generally available third party Web browsers such as Netscape Navigator® and Microsoft Internet Explorer® may be used without such permission.</t>
  </si>
  <si>
    <t>6. INFORMATION POSTED TO WEB SITE</t>
  </si>
  <si>
    <t>With respect to all Information you elect to post to publicly accessible areas of the Web Site, you agree that NetSol has the right to use, reproduce, copy, modify, publish, distribute, perform and display such Information (in whole or part) on worldwide basis; provided that such use is in accordance with the terms of NetSol’s Internet Privacy Policy.</t>
  </si>
  <si>
    <t>You acknowledge and agree that NetSol may preserve Information, and may also disclose Information if required to do so by law or in the good faith belief that such preservation or disclosure is reasonably necessary to: (a) comply with legal process; (b) enforce the Terms; (c) respond to claims that any Information violates the rights of third-parties; or (d) protect the rights, property, or personal safety of NetSol’s business, employees, Providers, affiliated or related entities, users, and/or the public.7. LINKS TO THIRD PARTY WEB SITES</t>
  </si>
  <si>
    <t>This Web Site may contain links to third-party or Provider Web sites not under NetSol’s control or operation (the ” Linked Sites “). The links will let you leave this Web Site and be directed to and access the Linked Sites, which you access is at your own risk. You acknowledge that NetSol provides the Linked Sites for your convenience and information only. NetSol does not endorse, nor is it responsible for, any content, information, or other related materials, products or services found at any such Linked Sites or any links contained within such Linked Sites, whether or not NetSol is affiliated with the owners of such Linked Sites. Except as otherwise specified in these Terms or pursuant to NetSol’s express written consent, you may not establish a hyperlink to this Web Site from your Web site or the Linked Sites, or provide any links that state or imply any sponsorship or endorsement of your Web site or the Linked Sites by NetSol or the Providers.</t>
  </si>
  <si>
    <t>8. DEALINGS WITH ADVERTISERS</t>
  </si>
  <si>
    <t>Your correspondence or business dealings with, or participation in promotions of, advertisers found on or through this Web Site or any Linked Sites, including payment for and delivery of related goods or services, and any other terms, conditions, warranties, or representations associated with such dealings, are solely between you and such advertisers. You agree that NetSol (and its affiliated or related entities and the Providers) shall neither be responsible nor liable for any loss or damage incurred by you as the result of any such dealings or as the result of the presence of such advertisers on or through this Web Site or the Linked Sites.</t>
  </si>
  <si>
    <t>9. NO WARRANTIES</t>
  </si>
  <si>
    <t>All content, products and services on this web site are provided “as is” and without warranties of any kind, either express or implied. other than those warranties which, under the u.s. laws applicable to these terms, are implied by law and are incapable of exclusion, restriction, or modification, netsol disclaims any and all warranties, express or implied, including, but not limited to, implied warranties of merchantability and fitness for a particular purpose</t>
  </si>
  <si>
    <t>Neither netsol, its affiliated or related entities, nor the providers, nor any person involved in the creation, production, hosting and/or distribution of this web site, warrant that the functions, features or services contained in this web site will be uninterrupted or error-free, that defects will be corrected, or that the server that makes the content available will be free of viruses or other harmful components. the content that you access on this web site is provided solely for your convenience and information only. netsol does not warrant or make any representations regarding the results that may be obtained from the use of this web site, or as to the reliability, accuracy or currency of any content, service, and/or merchandise provided or acquired pursuant to your use of this web site.</t>
  </si>
  <si>
    <t>Netsol is a distributor, and not a publisher, of the information and content at this web site. netsol has no more editorial control over such information and content than does a public library or newsstand. any opinions, advice, statements, services, offers, or other information expressed or made available by third parties or providers (including in the linked sites) are those of the respective authors or distributors of such information and content.</t>
  </si>
  <si>
    <t>Your use of this web site is at your own risk. you (and not netsol) assume the entire cost of all necessary servicing (including, without limitation, your internet connection) and repair or correction of your computer, network and/or system.</t>
  </si>
  <si>
    <t>10. LIMITATION OF LIABILITY</t>
  </si>
  <si>
    <t>In no event shall netsol, its affiliated or related entities or providers, nor any of its or their respective officers, directors, employees or agents, or any person or entity involved in the creation, production, distribution and hosting of this web site, be liable for any indirect, consequential, incidental, special, punitive or exemplary damages, whether arising under contract, warranty, or tort (including negligence) or any other theory of liability, regardless of whether netsol (or its affiliated or related entities or providers) knew or should have known of the possibility of such damages, including, without limitation, from the use or attempted use of this web site or any other linked site.</t>
  </si>
  <si>
    <t>NETSOL'S liability, and the liability of NETSOL'S affiliated or related entities and/or providers, to you or any third parties in any circumstance, is limited to the lesser of (a) the amount of fees, if any, you pay to NETSOL in the 12 months prior to the action giving rise to liability, or (b) $500. some states may not allow for the limitation of liability described above, so the foregoing limitation may not apply to you.</t>
  </si>
  <si>
    <t>By way of example only, netsol and related persons and entities shall not be responsible or liable for any claim or damage arising from failure of performance, error, omission, interruption, deletion, defect, delay in operation, computer virus, theft, destruction, unauthorized access to or alteration of personal records, or the reliance upon or use of content, information, opinions or other materials appearing on this web site. moreover, you expressly acknowledge and agree that netsol is not liable or responsible for any defamatory, offensive, or illegal conduct of other users or third parties.</t>
  </si>
  <si>
    <t>The limitation of liability reflects the allocation of risk between the parties. the limitations specified in this section 10 will survive and apply even if any limited remedy specified in these terms is found to have failed of its essential purpose. the limitations of liability provided in these terms inure to the benefit of netsol and the providers, and to all respective officers, directors, employees, representatives, attorneys, and agents.</t>
  </si>
  <si>
    <t>11. GOVERNING LAW AND JURISDICTION</t>
  </si>
  <si>
    <t>NetSol operates this Web Site (excluding Linked Sites, over which it has no authority or control) from its offices within the State of California (which may be subject to change from time to time at NetSol’s sole discretion). The Web Site can be accessed from all 50 states, as well as from other countries around the world. As each of these places has laws that may differ from those of California, by accessing this Web Site, you agree that these Terms and your use of the Web Site shall be governed in all respect by the internal substantive laws of the State of California, without regard to any conflict of laws provisions, and shall not be governed by the United Nations Convention on the International Sale of Goods. You further agree to submit to the exclusive jurisdiction and venue in the state and federal courts located in the State of New Jersey for all disputes, cases and controversies regarding this Web Site, your use of this Web Site, and your relationship with NetSol. NetSol makes no representation that materials on this Web Site are appropriate or available for use in other locations, and accessing them from territories where the Content is illegal is prohibited. Those who choose to access this Web Site from other locations do so at their own risk and are responsible for compliance with local laws, including laws regarding the transmission of technical data exported from the United States or the country in which you reside.</t>
  </si>
  <si>
    <t>12. INDEMNIFICATION</t>
  </si>
  <si>
    <t>NetSol reserves the right to report any wrongdoing, if and when it becomes aware of it, to any applicable government or law enforcement agencies. You agree to indemnify, defend and hold NetSol and the Providers, its and their officers, directors, employees, affiliated or related entities, agents, licensors, and suppliers, harmless from and against any and all claims, demands, actions, costs, liabilities, losses and damages of any kind (including attorneys’ fees) resulting from your use of this Web Site, your breach of any provision of these Terms and/or any negligent acts, omissions or intentional wrongdoing by You. Any such indemnification shall be conditioned on NetSol: (a) notifying you in writing of any such claim, demand, action, cost, liability, loss or threat of any thereof; (b) cooperating with you in the defense or settlement thereof; and (c) allowing you to control such defense or settlement. NetSol shall be entitled to participate in such defense at its own cost and expense.</t>
  </si>
  <si>
    <t>13. MESSAGE BOARDS</t>
  </si>
  <si>
    <t>In the event that NetSol provides message boards, web logs or blogs, or discussion forums on this Web Site (the ” Forums “), you agree to use the Forums only for personal purposes in a noncommercial manner. You shall not, without NetSol’s express approval, distribute or otherwise publish any material containing any solicitation of funds, advertising, or written solicitation for goods and services. You agree that any uploaded materials may be republished without compensation to you or any other person or entity. In addition, you warrant that all moral rights in any uploaded materials have been waived. While NetSol does not and cannot review every message posted by you or any other user in the Forums, and although NetSol is not responsible for these messages, NetSol reserves the right (but not the obligation) to delete, move, or edit messages that it, in its sole discretion, deems abusive, defamatory, obscene, in violation of copyright or trademark laws, in violation of these terms, or otherwise unacceptable. NetSol does not endorse any information that may be posted on this Web Site through the Forums.</t>
  </si>
  <si>
    <t>14. OTHER GENERAL PROVISIONSThese Terms are for the benefit of NetSol and the Providers, its and their officers, directors, employees, affiliated or related entities, agents, licensors, and suppliers. Each of these individuals or entities shall have the right to assert and enforce these Terms directly against you on its (or their own) behalf. NetSol’s failure to act with respect to a breach by you or others does not waive NetSol’s right to act with respect to subsequent or similar breaches.</t>
  </si>
  <si>
    <t>If any provision of these Terms is held to be invalid or unenforceable, such provision will be struck and the remaining provisions enforced. Headings are for reference purposes only.</t>
  </si>
  <si>
    <t>You and NetSol are dealing at arms’ length, creating a commercial relationship. NetSol is not your Agent or your fiduciary. Many of NetSol’s businesses and facilities may be independently owned and operated by independent franchisees and licensees. In such cases, these franchisees and licensees manage and operate the facilities, and they are the employers of all employees and contractors who work at the facilities. These franchisees are independent contractors, and no agency, partnership, joint venture, employee-employer or franchiser-franchisee relationship is intended or created by these Terms.</t>
  </si>
  <si>
    <t>The provisions and conditions of these Terms, and each obligation referenced herein, represent the entire Agreement between NetSol (including the Providers), its affiliated or related entities, and You, and supersede any prior agreements or understandings not incorporated herein. In the event that any inconsistencies exist between these Terms and any future published terms of use or understanding, the last published Terms shall prevail.</t>
  </si>
  <si>
    <t>NETSOL RESERVES ANY RIGHTS NOT EXPRESSLY GRANTED OR STATED IN THESE TERMS .</t>
  </si>
  <si>
    <t>Registered Company Details</t>
  </si>
  <si>
    <t>NetSol Technologies Europe Ltd (trading as NetSol Technologies). Registered Office Address: Planet House, North Heath Lane, Horsham RH12 5QE West Sussex England. Registered in England No 1998080. VAT:826611533</t>
  </si>
  <si>
    <t>General Principles:</t>
  </si>
  <si>
    <t>NETSOL Technologies Ltd (” NETSOL “) understands that your privacy is important to you and that you care about how your personal data is used and shared online. We respect and value the privacy of everyone who visits this website, https://netsoltech.com (“Our Site”) and will only collect and use personal data in ways that are described here, and in a manner that is consistent with our obligations and your rights under the law.</t>
  </si>
  <si>
    <t>Please read this Privacy Policy and Our Cookie Policy which constitutes part of this agreement carefully and ensure that you understand it. Your acceptance of our Privacy Policy is deemed to occur upon your first use of Our Site. If you do not accept and agree with this Privacy Policy, you must stop using our Site immediately.</t>
  </si>
  <si>
    <t>What Does This Policy Cover?</t>
  </si>
  <si>
    <t>This Privacy Policy applies only to your use of our site. Our site may contain links to other websites. Please note that we have no control over how your data is collected, stored, or used by other websites and we advise you to check the privacy policies of any such websites before providing any data to them.</t>
  </si>
  <si>
    <t>What Data is Being Collected?</t>
  </si>
  <si>
    <t>Our Websites:</t>
  </si>
  <si>
    <t>netsoltech.com, ascent.netsoltech.com, mobility.netsoltech.com</t>
  </si>
  <si>
    <t>Data we collect from you through our websites include your name, job title, business / company name, email and phone number. These are details you provide when engaging with us on our contact us / demo request forms. Our site may also place and access certain first party cookies on your computer or device. These cookies are detailed in our Cookie Policy. This policy is incorporated into this Privacy Policy by this reference.</t>
  </si>
  <si>
    <t>Job Applicants:</t>
  </si>
  <si>
    <t>As part of any recruitment process NETSOL collects and processes personal data relating to job applicants. We will collect your work history, contact details and any other information you have on your CV. We will always be clear about what we are asking for and why, and we will always ask for your consent to provide the information we need to adhere to local employment law.</t>
  </si>
  <si>
    <t>How Do We Use Your Data?</t>
  </si>
  <si>
    <t>All personal data is processed and stored securely, for no longer than is necessary in light of the reason(s) for which it was first collected. We will comply with our obligations and safeguard your rights under the GDPR at all times.</t>
  </si>
  <si>
    <t>Our use of your personal data will always have a lawful basis, either because it is necessary for our performance of a contract with you, because you have consented to our use of your personal data (e.g. by subscribing to emails), or because it is in our legitimate interests. Specifically, we may use your data for the following purposes:</t>
  </si>
  <si>
    <t>Providing and managing your Account.</t>
  </si>
  <si>
    <t>Providing and managing your access to our Site.</t>
  </si>
  <si>
    <t>Supplying our products and services to you (please note that We require your personal data in order to enter into a contract with you).</t>
  </si>
  <si>
    <t>Personalising and tailoring our products and services for you.</t>
  </si>
  <si>
    <t>Replying to emails from you.</t>
  </si>
  <si>
    <t>Supplying you with emails that you have opted into (you may unsubscribe or opt-out at any time by clicking unsubscribe.)</t>
  </si>
  <si>
    <t>Analysing your use of our Site and gathering feedback to enable us to continually improve our Site and your user experience.</t>
  </si>
  <si>
    <t>With your permission and/or where permitted by law, we may also use your data for marketing purposes which may include contacting you by email and/or telephone with information, news and offers on our products and services. We will not, however, send you any unsolicited marketing or spam and will take all reasonable steps to ensure that we fully protect your rights and comply with our obligations under the GDPR and the Privacy and Electronic Communications (EC Directive) Regulations 2003.</t>
  </si>
  <si>
    <t>You have the right to withdraw your consent to us using your personal data at any time, and to request that we delete it. You can do this by using the contact details provided in this Privacy Policy.</t>
  </si>
  <si>
    <t>How Long Do We Keep Your Data?</t>
  </si>
  <si>
    <t>We do not keep your personal data for any longer than is necessary in light of the reason(s) for which it was first collected. Data will therefore be retained for 2 years following its last use.</t>
  </si>
  <si>
    <t>If you’ve applied for a job with us:</t>
  </si>
  <si>
    <t>If you were unsuccessful, we will hold your application data for 8 months from the date of decision and we may contact you with details of relevant posts during that time. At the end of this period, we will delete your information.</t>
  </si>
  <si>
    <t>If you become a NETSOL employee, the data we gather about you will become part of your employee records. We will inform you during your employment of the retention periods of your data after you leave.</t>
  </si>
  <si>
    <t>How and Where Do We Store Your Data?</t>
  </si>
  <si>
    <t>We only keep your personal data for as long as we need to in order to use it as described above and/or for as long as we have your permission to keep it.</t>
  </si>
  <si>
    <t>Some or all of your data may be stored outside of the European Economic Area (“the EEA”) (The EEA consists of all EU member states, plus Norway, Iceland, and Liechtenstein). You are deemed to accept and agree to this by using our site and submitting information to us. If we do store data outside the EEA, We will take all reasonable steps to ensure that your data is treated as safely and securely as it would be within the UK and under the GDPR including using GDPR Compliant suppliers to process and store Personal Data.</t>
  </si>
  <si>
    <t>Do We Share Your Data?</t>
  </si>
  <si>
    <t>Here at NETSOL we take your privacy seriously and the information we hold about you is confidential. We may share your information with other companies in our group for providing you with our products and services, maintaining your account and monitoring the use of our products and services. This includes our parent companies and its subsidiaries</t>
  </si>
  <si>
    <t>We may sometimes contract with third parties to supply products and services to you on our behalf. These may include payment processing, delivery of goods, search engine facilities, advertising, and marketing. In some cases, the third parties may require access to some or all of your data. Where any of your data is required for such a purpose, we will take all reasonable steps to ensure that your data will be handled safely, securely, and in accordance with your rights, our obligations, and the obligations of the third party under the law.</t>
  </si>
  <si>
    <t>We may compile statistics about the use of our site including data on traffic, usage patterns, user numbers, sales, and other information. All such data will be anonymised and will not include any personally identifying data, or any anonymised data that can be combined with other data and used to identify you. We may from time to time share such data with third parties such as prospective investors, affiliates, partners, and advertisers. Data will only be shared and used within the bounds of the law.</t>
  </si>
  <si>
    <t>We may sometimes use third party data processors that are located outside of the European Economic Area (“the EEA”) (The EEA consists of all EU member states, plus Norway, Iceland, and Liechtenstein). Where we transfer any personal data outside the EEA, we will take all reasonable steps to ensure that your data is treated as safely and securely as it would be within the UK and under the GDPR.</t>
  </si>
  <si>
    <t>In certain circumstances, we may be legally required to share certain data held by us, which may include your personal data, for example, where we are involved in legal proceedings, where we are complying with legal requirements, a court order, or a governmental authority.</t>
  </si>
  <si>
    <t>Links to Other Websites</t>
  </si>
  <si>
    <t>Please note that this data Privacy Policy only applies to NETSOL Technologies Ltd. If you follow a link to another site from this one, we are not responsible for the safety of the information you give there. You are responsible for reviewing and abiding by the privacy policies of these third party sites to ensure they comply with the data protection</t>
  </si>
  <si>
    <t>What Happens If Our Business Changes Hands?</t>
  </si>
  <si>
    <t>We may, from time to time, expand or reduce our business and this may involve the sale and/or the transfer of control of all or part of our business. Any personal data that you have provided will, where it is relevant to any part of our business that is being transferred, be transferred along with that part and the new owner or newly controlling party will, under the terms of this Privacy Policy, be permitted to use that data only for the same purposes for which it was originally collected by Us.</t>
  </si>
  <si>
    <t>In the event that any of your data is to be transferred in such a manner, you will not be contacted in advance.</t>
  </si>
  <si>
    <t>Your Rights and How to Contact Us:</t>
  </si>
  <si>
    <t>As a data subject within the EU, you have the following rights under the GDPR, which this Policy and our use of personal data have been designed to uphold:</t>
  </si>
  <si>
    <t>The right to be informed about our collection and use of personal data</t>
  </si>
  <si>
    <t>The right of access to the personal data we hold about you.</t>
  </si>
  <si>
    <t>The right to rectification if any personal data we hold about you is inaccurate or incomplete.</t>
  </si>
  <si>
    <t>The right to be forgotten – i.e. the right to ask us to delete any personal data We hold about you (We only hold your personal data for a limited time, as explained in this policy but if you would like us to delete it sooner, please contact us.</t>
  </si>
  <si>
    <t>The right to restrict (i.e. prevent) the processing of your personal data.</t>
  </si>
  <si>
    <t>The right to data portability (obtaining a copy of your personal data to re-use with another service or organisation).</t>
  </si>
  <si>
    <t>The right to object to us using your personal data for particular purposes and Rights with respect to automated decision-making and profiling.</t>
  </si>
  <si>
    <t>You can exercise any of these rights by contacting our EU GDPR representative, Joanne Hope:</t>
  </si>
  <si>
    <t>Tel: 01403 282300 Email:nte.dpo@netsoltech.com Post: Planet House, North Heath Lane,Hosham,RH125QE</t>
  </si>
  <si>
    <t>We’ll respond to your request without delay and at the latest within one month of your request.</t>
  </si>
  <si>
    <t>You can use the same contact details if you have any cause for complaint about our use of your personal data. We will do our best to solve the problem for you. If we are unable to help, you also have the right to lodge a complaint with the UK’s supervisory authority, the Information Commissioner’s Office https://ico.org.uk. For further information about your rights, please contact the Information Commissioner’s Office or your local Citizens Advice Bureau.</t>
  </si>
  <si>
    <t>How Can You Control Your Data?</t>
  </si>
  <si>
    <t>When you submit personal data via our site, you may be given options to restrict our use of your data. In particular, we aim to give you strong controls on our use of your data for direct marketing purposes (including the ability to opt-out of receiving emails from us which you may do by unsubscribing using the links provided in our emails and at the point of providing your details).</t>
  </si>
  <si>
    <t>You may also wish to sign up to one or more of the preference services operating in the UK: The Telephone Preference Service (“the TPS”), the Corporate Telephone Preference Service (“the CTPS”), and the Mailing Preference Service (“the MPS”). These may help to prevent you receiving unsolicited marketing. Please note, however, that these services will not prevent you from receiving marketing communications that you have consented to receiving.</t>
  </si>
  <si>
    <t>How Can You Access Your Data?</t>
  </si>
  <si>
    <t>You have the right to ask for a copy of any of your personal data held by us (where such data is held). Under the GDPR, no fee is payable and we will provide any and all information in response to your request free of charge. Please contact us using the contact details provided in this privacy policy.</t>
  </si>
  <si>
    <t>Your Right to Withhold Information</t>
  </si>
  <si>
    <t>You may access our site without providing any data at all. However, to use all features and functions available you may be required to submit or allow for the collection of certain data.</t>
  </si>
  <si>
    <t>You may restrict our use of Cookies. For more information, see our Cookie Policy.</t>
  </si>
  <si>
    <t>Changes to Our Privacy Policy</t>
  </si>
  <si>
    <t>We may change this Privacy Policy from time to time (for example, if the law changes). Any changes will be immediately posted on our site and you will be deemed to have accepted the terms of the Privacy Policy on your first use of our site following the alterations. We recommend that you check this page regularly to keep up-to-date.</t>
  </si>
  <si>
    <t>Privacy Notice for California Residents</t>
  </si>
  <si>
    <t>Please review Netsol Technologies privacy notice for California Residents at Privacy-policy-CR</t>
  </si>
  <si>
    <t>When you visit or log in to our website, cookies and similar technologies may be used by our online data partners or vendors to associate these activities with other personal information they or others have about you, including by association with your email or home address. We (or service providers on our behalf) may then send communications and marketing to these email or home addresses. You may opt out of receiving this advertising by visiting https://app.retention.com/optout</t>
  </si>
  <si>
    <t>NETSOL’s Human Rights policy applies to every Netsol employee and is based on the following key principles:</t>
  </si>
  <si>
    <t>Conducting all of our business lawfully in all the communities that we serve and in a manner that respects and promotes human rights and equality for all employees, agency staff and suppliers wherever they are based.</t>
  </si>
  <si>
    <t>A recognition and respect of the fundamental human right to allow employees/people to lead a dignified and independent life, free from abuse, violations and any form of discrimination.</t>
  </si>
  <si>
    <t>A recognition that peoples’ human rights can be directly and indirectly affected by the company’s operations, products and services, and to take steps to identify and reduce the company’s negative impact on communities and environments wherever possible.</t>
  </si>
  <si>
    <t>A desire to act as a responsible organization in achieving a common set of standards applying to all peoples and all nations in the commitment to continual social and economic improvement.</t>
  </si>
  <si>
    <t>Oppose and prohibit the use of human trafficking, child labor, slavery and slave labor, and expect the same from all of our business partners and suppliers. As a global business, the Company is committed to compliance with the International Bill of Human Rights and both applicable labor laws and specific human rights laws such as the U.K.’s Modern Slavery Act.</t>
  </si>
  <si>
    <t>A commitment to seek to only enter into contractual relations with third parties who demonstrate a desire to apply similar principles to the above through their own frameworks and initiatives.</t>
  </si>
  <si>
    <t>Supply Chain</t>
  </si>
  <si>
    <t>NETSOL recognizes that the successful implementation of our Human Rights Policy is heavily influenced by the cooperation and support of our supply chains.</t>
  </si>
  <si>
    <t>If suppliers or contractors act in a way that is inconsistent with our Human Rights Policy and/or are complicit in any human rights abuses, NETSOL will look to terminate their contracts and end all commercial relations with them.</t>
  </si>
  <si>
    <t>Modern Slavery Act Transparency Statement</t>
  </si>
  <si>
    <t>Our Organization:</t>
  </si>
  <si>
    <t>NetSol Technologies, Inc. (“Netsol”) acknowledges internationally proclaimed human rights and is fully committed to combat slavery and human trafficking. We design, develop, market, and export proprietary software products to customers in the automobile financing and leasing, banking, and financial services industries worldwide. We also provide system integration, consulting, and IT products and services in exchange for fees from customers.</t>
  </si>
  <si>
    <t>We have ten wholly owned and six majority owned subsidiaries worldwide including the United Kingdom and our parent company is incorporated in the United States. NETSOL has more than 1400 permanent employees worldwide.</t>
  </si>
  <si>
    <t>The NetSol Human Rights Policy recognizes international human rights as set out in the Bill of Human Rights. Our Policy reflects our responsibilities around slavery and human trafficking.</t>
  </si>
  <si>
    <t>Our Policies and Due Diligence on Slavery and Human Trafficking:</t>
  </si>
  <si>
    <t>We are committed to ensuring that there is no modern slavery or human trafficking in our supply chains or in any part of our business. As a software and services company, we do not have a manufacturing base or supply chain for tangible goods. Accordingly, we believe there is a very low likelihood of slavery and/or human trafficking in our supply chain. However, our company is committed to promoting and protecting human rights wherever we do business. We expect our suppliers and other business partners to be committed to ethical behavior, to comply with all applicable laws and regulations, and to take action to promote the eradication of human trafficking and slavery. We will continue to work with our suppliers and refine our own requirements and processes to reinforce our commitment to human rights and a culture of ethical behavior, integrity and respect.</t>
  </si>
  <si>
    <t>This statement is made pursuant to section 54(1) of the Modern Slavery Act 2015 and constitutes our Company’s slavery and human trafficking statement for the financial year ending June 30, 2024.</t>
  </si>
  <si>
    <t>CEO,</t>
  </si>
  <si>
    <t>fluide</t>
  </si>
  <si>
    <t>Nous simplifions le cycle de vie des actifs grâce à une plateforme modulaire qui s'intègre facilement.</t>
  </si>
  <si>
    <t>Contactez-nous</t>
  </si>
  <si>
    <t>Concessionnaires</t>
  </si>
  <si>
    <t>Constructeurs</t>
  </si>
  <si>
    <t>Organismes de financement de détail</t>
  </si>
  <si>
    <t>Courtiers</t>
  </si>
  <si>
    <t>Organismes de financement commerciaux</t>
  </si>
  <si>
    <t>Les plus grandes marques mondiales font confiance à NETSOL</t>
  </si>
  <si>
    <t>concessionnaires. Modulaire et évolutive pour unifier</t>
  </si>
  <si>
    <t>les parcours clients en concession et en ligne en une</t>
  </si>
  <si>
    <t>expérience client unique et fluide.</t>
  </si>
  <si>
    <t>En savoir plus</t>
  </si>
  <si>
    <t>Des prêts plus intelligents commencent ici. Rapidité,</t>
  </si>
  <si>
    <t>Laboratoires</t>
  </si>
  <si>
    <t>Innovation IA pour le prêt, le leasing et la vente au détail. Des outils sur mesure qui</t>
  </si>
  <si>
    <t>accélèrent la transformation et génèrent un impact concret sur l'ensemble des flux de travail.</t>
  </si>
  <si>
    <t>Transformer les secteurs de la banque, de la finance et de l'assurance (BFSI)</t>
  </si>
  <si>
    <t>grâce à une IA intelligente et sectorielle.</t>
  </si>
  <si>
    <t>Services cloud</t>
  </si>
  <si>
    <t>NETSOL Technologies conçoit des écosystèmes basés sur l'IA qui simplifient la finance, le commerce, la vente au détail et les services pour les constructeurs automobiles, les sociétés de financement captives, les banques, les sociétés de financement indépendantes, les concessionnaires et les gestionnaires de flottes. Les consommateurs peuvent ainsi acheter, financer, utiliser, entretenir et renouveler leurs actifs en toute confiance et transparence.</t>
  </si>
  <si>
    <t>Face à l'évolution des modèles commerciaux, des canaux et des technologies, notre engagement reste inchangé : des expériences centrées sur l'humain, une IA responsable et des résultats mesurables.</t>
  </si>
  <si>
    <t>Au-delà du logiciel, nous agissons comme un partenaire stratégique, offrant une expertise pointue, un accompagnement à la mise en œuvre et une optimisation des processus pour aider nos clients à moderniser leurs activités en toute sérénité.</t>
  </si>
  <si>
    <t>Chez MINI, nous avons décidé qu'il était temps de créer un parcours d'achat et de financement complet pour le consommateur. Il était essentiel de proposer bien plus qu'un simple outil de génération de prospects afin de faciliter l'intégralité de la transaction pour chaque client MINI, où qu'il soit et à tout moment. Notre partenariat avec NETSOL nous a permis non seulement de rattraper les leaders du secteur, mais aussi d'établir de nouvelles références dans la vente automobile numérique, ce que les acteurs traditionnels du secteur n'étaient pas en mesure de faire.</t>
  </si>
  <si>
    <t>Des écosystèmes basés sur l'IA qui rendent le commerce</t>
  </si>
  <si>
    <t>Constructeurs automobiles</t>
  </si>
  <si>
    <t>Une plateforme modulaire basée sur l'IA pour les organismes de financement, les constructeurs automobiles, les concessionnaires et les gestionnaires de flottes, unissant la vente au détail numérique, le financement d'actifs et la gestion de prêts dans un climat de confiance et de transparence.</t>
  </si>
  <si>
    <t>Orchestration de bout en bout pour les constructeurs automobiles et les</t>
  </si>
  <si>
    <t>points de contact connectés et précision basée sur l'IA.</t>
  </si>
  <si>
    <t xml:space="preserve">optimisation des décisions, de l'intégration et des </t>
  </si>
  <si>
    <t>opérations dans les secteurs du financement automobile, d'équipement et commercial.</t>
  </si>
  <si>
    <t xml:space="preserve">Forts de plus de 40 ans d'expérience et présents dans plus de 40 pays, nous fournissons des plateformes sécurisées et modulaires qui s'intègrent parfaitement aux systèmes de nos partenaires, simplifient l'ensemble du cycle de vie des actifs et optimisent l'efficacité opérationnelle à grande échelle. </t>
  </si>
  <si>
    <t>Solutions numériques</t>
  </si>
  <si>
    <t>Donnez les moyens à votre avenir numérique</t>
  </si>
  <si>
    <t>Alimentez votre succès grâce à des services stratégiques de partenariat en matière de talents et à des solutions numériques de nouvelle génération.</t>
  </si>
  <si>
    <t>Connectez-vous avec nous</t>
  </si>
  <si>
    <t>Les plus grandes marques mondiales sont propulsées par NETSOL</t>
  </si>
  <si>
    <t>L'avenir de la technologie</t>
  </si>
  <si>
    <t>Au-delà de l'automatisation, stimuler l'innovation grâce à des solutions numériques</t>
  </si>
  <si>
    <t>Les entreprises engagent le changement grâce à des solutions de gestion des talents, explorant la croissance exponentielle et la révolution technologique. Les données et l'IA augmentent l'expertise et l'intelligence humaines. NETSOL ouvre une nouvelle dimension dans la structure du travail, comblant le fossé entre le potentiel humain et numérique. En tant que partenaires technologiques numériques, nous encourageons l'innovation et l'agilité, en vous fournissant des talents inégalés, en libérant le potentiel de votre organisation et en faisant avancer vos projets à une vitesse inégalée.</t>
  </si>
  <si>
    <t>Démission silencieuse</t>
  </si>
  <si>
    <t>En 2024, la « démission silencieuse » est devenue une tendance, plus de 50 % des employés n'étant pas prêts à fournir des efforts supplémentaires.</t>
  </si>
  <si>
    <t>Disparité en matière de formation</t>
  </si>
  <si>
    <t>36 % des organisations proposent des formations trimestrielles à leurs employés, mais seulement 5 % offrent des programmes de formation de base.</t>
  </si>
  <si>
    <t>Échec de la gestion</t>
  </si>
  <si>
    <t>Une mauvaise gestion entraîne une perte de productivité de plus de 450 milliards de dollars par an pour les entreprises.</t>
  </si>
  <si>
    <t>Impact des entretiens</t>
  </si>
  <si>
    <t>65 % des employés perdent tout intérêt pour un poste en raison d'une mauvaise expérience lors de l'entretien.</t>
  </si>
  <si>
    <t>Informations basées sur l'IA concernant les solutions numériques et les services de partenariat en matière de talents</t>
  </si>
  <si>
    <t>NETSOL propose des stratégies de sécurité axées sur les risques afin de protéger vos données, de garantir la conformité et d'améliorer l'agilité opérationnelle.</t>
  </si>
  <si>
    <t>8 fois plus de succès</t>
  </si>
  <si>
    <t>Les entreprises qui atteignent un haut niveau de maturité numérique et d'efficacité opérationnelle ont 8 fois plus de chances de devancer leurs concurrents.</t>
  </si>
  <si>
    <t>50 % d'économies</t>
  </si>
  <si>
    <t>L'équipe marketing à la demande efficace de NETSOL permet de réaliser 50 % d'économies par rapport à l'embauche de personnel interne.</t>
  </si>
  <si>
    <t>44 % prêts pour l'innovation</t>
  </si>
  <si>
    <t>Près de 87 % des entreprises s'accordent à dire que la révolution numérique peut bouleverser leur secteur. Cependant, seules 44 % d'entre elles sont prêtes à l'accueillir.</t>
  </si>
  <si>
    <t>Des services inégalés en matière d'innovation numérique et de partenariat avec les talents</t>
  </si>
  <si>
    <t>Services de transformation numérique</t>
  </si>
  <si>
    <t>La transformation numérique et les menaces de sécurité nécessitent les conseils d'experts. NETSOL élabore des stratégies basées sur l'IA, la cybersécurité et la gestion de projet agile. Tirez parti des outils d'IA, de l'automatisation, de l'analyse prédictive et de la reconversion professionnelle pour améliorer l'efficacité et la productivité.</t>
  </si>
  <si>
    <t>Augmentation des ressources</t>
  </si>
  <si>
    <t>Pour constituer une équipe hautement performante, vous devez acquérir les meilleurs talents techniques. Avec NETSOL, brisez les chaînes des limitations géographiques et trouvez les talents grâce à notre augmentation des ressources onshore, nearshore et offshore, qui vous aide à recruter les meilleurs talents.</t>
  </si>
  <si>
    <t>Services d'assistance</t>
  </si>
  <si>
    <t>Le bon fonctionnement et un service client exceptionnel sont essentiels à la croissance de votre entreprise. Grâce à nos partenariats numériques, nous optimisons l'efficacité en tirant parti de la maintenance et de la gestion proactives basées sur l'IA, ainsi que de la formation aux services pour votre marque.</t>
  </si>
  <si>
    <t>Migration et formation Jira</t>
  </si>
  <si>
    <t>La mise en œuvre, la migration et la maîtrise de Jira dans cet environnement de développement agile peuvent s'avérer complexes. NETSOL vous propose de dynamiser votre entreprise grâce à une configuration intelligente et à l'automatisation des flux de travail, à une migration des données sans interruption, ainsi qu'à une formation et une adoption par les utilisateurs basées sur l'IA.</t>
  </si>
  <si>
    <t>Formation et développement</t>
  </si>
  <si>
    <t>Services d'IA et d'apprentissage automatique</t>
  </si>
  <si>
    <t>Libérez le potentiel de vos données grâce aux services d'IA et d'apprentissage automatique</t>
  </si>
  <si>
    <t>Transformez vos données en informations précieuses grâce à l'IA pour l'analyse des données.</t>
  </si>
  <si>
    <t>Transformez vos données en informations exploitables grâce aux services et solutions d'IA et d'apprentissage automatique</t>
  </si>
  <si>
    <t>Les données brutes ne suffisent pas ; votre entreprise a besoin d'informations claires qui mènent à des résultats concrets. NETSOL exploite la puissance de l'IA, du ML et de l'analyse des données pour transformer les données en informations exploitables, vous aider à prendre des décisions plus intelligentes, prédire les tendances futures, automatiser les tâches fastidieuses et personnaliser l'expérience utilisateur. Utilisez l'IA pour l'analyse des données afin de comprendre les défis spécifiques à votre entreprise. Nous fournissons des services d'IA et de ML dans le cloud tout en développant des stratégies sur mesure à l'aide de solutions de pointe. Grâce à nos services de conseil en IA et ML, libérez le véritable potentiel de vos données et changez l'avenir de votre entreprise.</t>
  </si>
  <si>
    <t>Les données génèrent des profits</t>
  </si>
  <si>
    <t>Les organisations axées sur les données ont 23 fois plus de chances d'acquérir des clients et deviennent 19 fois plus rentables.</t>
  </si>
  <si>
    <t>La domination du ML</t>
  </si>
  <si>
    <t>Plus de 80 % des entreprises en Amérique du Nord ont adopté l'apprentissage automatique.</t>
  </si>
  <si>
    <t>Le big data en tête</t>
  </si>
  <si>
    <t>Plus de 83 % des entreprises ont mené des projets de big data afin d'obtenir un avantage concurrentiel sur les autres.</t>
  </si>
  <si>
    <t>Le ML génère des informations</t>
  </si>
  <si>
    <t>Plus de 74 % des cadres supérieurs et des scientifiques des données utilisent le ML pour l'analyse des performances.</t>
  </si>
  <si>
    <t>Perspectives basées sur l'IA concernant l'IA, le ML et l'analyse des données</t>
  </si>
  <si>
    <t>58 % de revenus supplémentaires</t>
  </si>
  <si>
    <t>Les entreprises qui utilisent des stratégies basées sur les données génèrent plus de 58 % de revenus supplémentaires par rapport à celles qui n'y ont pas recours.</t>
  </si>
  <si>
    <t>14 % de parts de marché supplémentaires</t>
  </si>
  <si>
    <t>Les progrès réalisés dans le domaine de l'IA et du ML pourraient permettre d'augmenter le PIB mondial de 14 % d'ici 2030.</t>
  </si>
  <si>
    <t>Une valeur multipliée par 13</t>
  </si>
  <si>
    <t>Au cours des 7 prochaines années, la valeur du secteur de l'intelligence artificielle devrait être multipliée par 13.</t>
  </si>
  <si>
    <t>Donner aux entreprises les moyens d'agir grâce aux services et solutions d'IA et d'apprentissage automatique</t>
  </si>
  <si>
    <t>Stratégie et planification</t>
  </si>
  <si>
    <t>Exploitez la puissance de l'océan de données en constante expansion grâce aux services d'IA d'AWS, qui permettent de relever les défis liés aux données. Avec NETSOL, naviguez dans ce voyage et élaborez une stratégie gagnante. Nous vous aiderons à aligner vos objectifs commerciaux, à évaluer vos données et à établir des priorités.</t>
  </si>
  <si>
    <t>Données et analyses</t>
  </si>
  <si>
    <t>Les entreprises doivent extraire des informations significatives et transformer les données brutes en stratégies exploitables, afin de stimuler leur croissance. NETSOL vous aide à naviguer dans l'intégration et la gestion des données, les analyses et rapports avancés, le stockage des données et la veille économique, ainsi que la visualisation des données.</t>
  </si>
  <si>
    <t>IA responsable</t>
  </si>
  <si>
    <t>Les entreprises doivent développer et déployer l'IA en tenant compte de la sécurité et de la responsabilité. NETSOL veille à ce que l'IA profite à la société sans renforcer les inégalités existantes. Nos processus sont équitables, impartiaux et transparents, et respectent la sécurité et la confidentialité des données.</t>
  </si>
  <si>
    <t>Solutions d'IA</t>
  </si>
  <si>
    <t>Les organisations sont submergées d'informations et ont besoin d'une approche pour en tirer parti. NETSOL exploite la puissance des services d'analyse de données et d'IA, garantissant des analyses prédictives et prescriptives, une analyse automatisée des données, le NLP et l'IPA.</t>
  </si>
  <si>
    <t>IA générative</t>
  </si>
  <si>
    <t>Libérez le pouvoir : solutions d'IA générative</t>
  </si>
  <si>
    <t>Innovez sans limites en transformant votre environnement commercial grâce à la créativité de l'IA.</t>
  </si>
  <si>
    <t>Donner aux entreprises les moyens d'agir grâce à des services d'IA générative intelligents</t>
  </si>
  <si>
    <t>Les solutions d'IA générative transcendent la programmation traditionnelle, permettant aux machines de créer de manière autonome des contenus inventifs, ouvrant la voie à des possibilités illimitées, libérant une innovation sans limites, une hyper-personnalisation et une efficacité inégalée. Chez NETSOL, nous comblons le fossé entre l'IA moderne et l'imagination humaine. Nos experts réécrivent les règles de la gestion et de la création de contenu, inaugurant une nouvelle ère commerciale où les données deviendront votre arme secrète ultime pour réussir.</t>
  </si>
  <si>
    <t>Confiance dans l'IA</t>
  </si>
  <si>
    <t>52 % de la population générale fait confiance à l'IA générative pour l'aider à prendre des décisions éclairées.</t>
  </si>
  <si>
    <t>L'IA remodèle le monde des affaires</t>
  </si>
  <si>
    <t>75 % des professionnels s'attendent à ce que l'IA générative provoque des changements disruptifs dans leur secteur.</t>
  </si>
  <si>
    <t>L'avantage de l'IA pour les investisseurs</t>
  </si>
  <si>
    <t>67 % des investisseurs estiment que l'IA améliore le rendement des investissements grâce à une analyse approfondie et à la gestion de portefeuille.</t>
  </si>
  <si>
    <t>L'impact de l'IA générative</t>
  </si>
  <si>
    <t>L'IA générative identifie désormais les lacunes commerciales, gère les tâches fastidieuses et stimule l'innovation.</t>
  </si>
  <si>
    <t>Informations basées sur l'IA concernant les services d'IA générative</t>
  </si>
  <si>
    <t>Rêvez-le, créez-le, réalisez-le avec NETSOL</t>
  </si>
  <si>
    <t>La mise en œuvre d'une stratégie d'IA est un défi pour les entreprises dont l'expertise et les capacités sont limitées. NETSOL renforce votre entreprise, identifie les lacunes, trouve des opportunités, élabore des stratégies personnalisées et les traduit en plans d'action concrets.</t>
  </si>
  <si>
    <t>Développement et mise en œuvre</t>
  </si>
  <si>
    <t>La mise en œuvre d'une stratégie d'IA générative est un défi. Laissez NETSOL s'en charger. Nous traduisons vos stratégies en résultats grâce à une acquisition de données robuste, une sélection de modèles, une formation, des tests, un perfectionnement et un déploiement.</t>
  </si>
  <si>
    <t>Marketing IA</t>
  </si>
  <si>
    <t>Capter l'attention et établir des liens significatifs avec les clients est une tâche exigeante. En tant que partenaires marketing IA, nous exploitons le pouvoir transformateur de l'IA générative pour créer des expériences personnalisées et basées sur les données qui trouvent un écho auprès de votre public cible.</t>
  </si>
  <si>
    <t>Optimisation et assistance</t>
  </si>
  <si>
    <t>La puissance de l'IA générative pour les services financiers est restée forte après sa mise en œuvre dans le secteur financier. Nous combinons une optimisation continue avec une assistance authentique, en maintenant des performances optimales tout en maximisant la valeur tirée des solutions d'IA.</t>
  </si>
  <si>
    <t>Discutons de la suite</t>
  </si>
  <si>
    <t>Découvrez comment NETSOL peut aider votre entreprise à tirer le meilleur parti de l'IA générative.</t>
  </si>
  <si>
    <t>Politique et stratégie</t>
  </si>
  <si>
    <t>Tirez parti d'une politique et d'une stratégie numériques inégalées</t>
  </si>
  <si>
    <t>Donnez à votre entreprise les moyens d'agir grâce à une politique et une stratégie de données gagnantes.</t>
  </si>
  <si>
    <t>Prendre des décisions plus intelligentes et construire des fondations pérennes</t>
  </si>
  <si>
    <t>En intégrant l'IA à leurs politiques et stratégies, les entreprises peuvent obtenir des informations plus approfondies, automatiser les tâches fastidieuses et prendre des décisions fondées sur les données, ce qui leur permet de faire progresser leur infrastructure. Grâce à une politique numérique et une stratégie de données transformatrices, tirez parti de l'analyse avancée des données, de l'évaluation et de l'atténuation des risques, ainsi que du contrôle de la conformité réglementaire. Grâce à nos services de conseil en matière de politique et de stratégie et à notre logiciel de gestion des politiques, libérez la puissance de l'IA pour prendre des décisions plus intelligentes, obtenir un avantage concurrentiel et assurer votre succès à long terme.</t>
  </si>
  <si>
    <t>Influence de l'IA</t>
  </si>
  <si>
    <t>D'ici la fin 2024, 60 % des politiques gouvernementales auront un impact direct sur l'IA.</t>
  </si>
  <si>
    <t>Intelligence économique</t>
  </si>
  <si>
    <t>83 % des entreprises utilisent la puissance de l'IA pour créer leurs propres politiques et stratégies commerciales.</t>
  </si>
  <si>
    <t>Intégration des données</t>
  </si>
  <si>
    <t>Pour une stratégie de données efficace, plus de 61 % des spécialistes du marketing se concentrent sur l'intégration de l'IA et du ML.</t>
  </si>
  <si>
    <t>Automatisation de l'IA</t>
  </si>
  <si>
    <t>Grâce à l'IA, 50 % des entreprises peuvent automatiser leur processus d'élaboration de politiques et de stratégies.</t>
  </si>
  <si>
    <t>Informations basées sur l'IA concernant les politiques et les stratégies</t>
  </si>
  <si>
    <t>NETSOL propose des stratégies de sécurité axées sur les risques afin de protéger vos données, de garantir la conformité et d'améliorer la souplesse opérationnelle.</t>
  </si>
  <si>
    <t>Planification stratégique 2,3 fois plus efficace</t>
  </si>
  <si>
    <t>Les organisations disposant d'un processus de planification stratégique formel ont 2,3 fois plus de chances de surpasser leurs concurrents.</t>
  </si>
  <si>
    <t>Découvrez la puissance de l'innovation numérique et des services de partenariat en matière de talents</t>
  </si>
  <si>
    <t>Politique et stratégie numériques</t>
  </si>
  <si>
    <t>Une stratégie numérique bien définie est la pierre angulaire de toute organisation prospère. NETSOL fournit une feuille de route pour tirer parti de la technologie afin d'atteindre vos objectifs commerciaux, d'atténuer les risques et de favoriser l'innovation tout en naviguant efficacement dans le paysage numérique en constante évolution.</t>
  </si>
  <si>
    <t>Transformation numérique</t>
  </si>
  <si>
    <t>Transformez vos données brutes en informations exploitables, élaborez une architecture de données robuste et disposez d'une stratégie claire en matière de données, afin de stimuler la croissance de votre entreprise. NETSOL élabore une stratégie de transformation numérique efficace en tirant parti de services et d'outils numériques avancés.</t>
  </si>
  <si>
    <t>Politique de cybersécurité</t>
  </si>
  <si>
    <t>Protégez vos actifs numériques contre les violations de données, les cyberattaques et les problèmes de conformité grâce à une politique complète en matière d'information et de cybersécurité, axée sur l'évaluation des risques, l'élaboration et la mise en œuvre de politiques, et la correction des lacunes en matière de conformité.</t>
  </si>
  <si>
    <t>Stratégie de migration vers le cloud</t>
  </si>
  <si>
    <t>Sans stratégie de migration vers le cloud solide, le processus peut s'avérer perturbateur, complexe et coûteux. Avec nous, naviguez vers le cloud grâce à une feuille de route claire, étayée par une évaluation commerciale, une méthodologie de migration, des considérations de conformité et la sélection d'une plateforme cloud.</t>
  </si>
  <si>
    <t>Stratégie de cloud hybride</t>
  </si>
  <si>
    <t>Avec une stratégie de cloud hybride, tirez parti des ressources sur site avec un service de cloud public. NETSOL élabore une stratégie de cloud hybride efficace en s'appuyant sur des logiciels de politiques et de procédures, offrant une planification méticuleuse, une intégration API transparente et des pratiques cohérentes en matière de sécurité et de conformité.</t>
  </si>
  <si>
    <t>Stratégie multicloud</t>
  </si>
  <si>
    <t>Avec une stratégie multicloud, gérez et déployez vos applications auprès de plusieurs fournisseurs de cloud public. NETSOL propose une approche complète pour élaborer et mettre en œuvre une stratégie multicloud avec le développement de stratégies, la sécurité et la gestion de la conformité.</t>
  </si>
  <si>
    <t>Prêt à vous lancer ?</t>
  </si>
  <si>
    <t>Découvrez comment NETSOL exploite l'IA pour des processus de création de politiques et de stratégies plus intelligents.</t>
  </si>
  <si>
    <t>Lectures et informations à la une</t>
  </si>
  <si>
    <t>Restez informé des dernières actualités de NETSOL. Leadership éclairé, mises à jour de produits, perspectives du secteur et actualités de l'entreprise, tout en un seul endroit.</t>
  </si>
  <si>
    <t xml:space="preserve">Au-delà du DMS : pourquoi l'avenir de la vente automobile au détail est axé sur les API </t>
  </si>
  <si>
    <t xml:space="preserve">NETSOL participe à la conférence et à la remise des prix GlobalData Automotive Europe 2025  </t>
  </si>
  <si>
    <t>Technologies émergentes</t>
  </si>
  <si>
    <t>Découvrez le Web 3.0 et les technologies émergentes</t>
  </si>
  <si>
    <t>Préparez l'avenir grâce aux services Web 3.0 avancés et aux technologies émergentes.</t>
  </si>
  <si>
    <t>Rejoignez-nous</t>
  </si>
  <si>
    <t>Entrez dans une nouvelle ère grâce aux services Web 3.0 avancés</t>
  </si>
  <si>
    <t>Le Web 3.0, le web décentralisé du futur, promet une expérience plus immersive, centrée sur l'utilisateur et intelligente. En adoptant des technologies innovantes et émergentes, les entreprises peuvent stimuler leur croissance grâce à des solutions en constante évolution telles que l'IA, la blockchain, l'IoT et le Web 3.0, redéfinissant ainsi la sécurité, la confidentialité, l'innovation et l'efficacité. Tout en mettant l'accent sur l'autonomisation des utilisateurs, NETSOL propose de développer des applications modernes qui exploitent la technologie blockchain pour une gestion sécurisée des données et intègrent des solutions technologiques émergentes afin d'aider les entreprises à naviguer vers un environnement plus décentralisé.</t>
  </si>
  <si>
    <t>Portée du marché du Web 3.0</t>
  </si>
  <si>
    <t>Le marché du Web 3.0 devrait atteindre 5,5 milliards de dollars d'ici 2030, avec un taux de croissance annuel composé (TCAC) de 44,9 %.</t>
  </si>
  <si>
    <t>Demande croissante</t>
  </si>
  <si>
    <t>La demande croissante pour le Web 3.0 accentue le besoin de transactions numériques sécurisées et transparentes.</t>
  </si>
  <si>
    <t>Marché du Web 3.0</t>
  </si>
  <si>
    <t>La capitalisation boursière du Web 3.0 est estimée à 27,5 milliards de dollars.</t>
  </si>
  <si>
    <t>Adoption par les joueurs</t>
  </si>
  <si>
    <t>Plus de 73 millions de joueurs à travers le monde jouent à des jeux basés sur la technologie Web 3.0.</t>
  </si>
  <si>
    <t>Stimuler l'innovation grâce à l'intégration des technologies émergentes avec NETSOL</t>
  </si>
  <si>
    <t>Développement de contrats intelligents</t>
  </si>
  <si>
    <t>L'essor du Web 3.0 favorise les contrats intelligents en tant que partie intégrante du monde de la blockchain. Grâce à ces contrats, les entreprises peuvent améliorer leur sécurité, automatiser le processus transactionnel et garantir un contrat moderne et fiable, favorisant ainsi les accords à exécution automatique.</t>
  </si>
  <si>
    <t>Applications décentralisées (dApp)</t>
  </si>
  <si>
    <t>Le développement d'applications décentralisées dans le Web 3.0 met l'accent sur le contrôle et la propriété par l'utilisateur, fonctionnant sur un réseau blockchain. Les dApps ouvrent la voie à un avenir décentralisé, permettant un financement décentralisé et donnant la priorité aux dApps sociales et au dmarketplace.</t>
  </si>
  <si>
    <t>Jumeau numérique</t>
  </si>
  <si>
    <t>Un jumeau numérique est la représentation virtuelle d'un actif ou d'un système physique, combinant des données en temps réel provenant de capteurs et d'appareils IoT. NETSOL avec le Web 3.0 ouvre une nouvelle ère d'optimisation et d'innovation avec un jumeau numérique, promettant d'améliorer l'efficacité et de réduire les coûts.</t>
  </si>
  <si>
    <t>Métaverse</t>
  </si>
  <si>
    <t>Le métaverse promet une façon révolutionnaire d'interagir, de socialiser et de faire des affaires. Le Web 3.0 et le métaverse offrent une expérience utilisateur améliorée, une propriété décentralisée et une interopérabilité, favorisant le contrôle des actifs numériques et redéfinissant en fin de compte la manière dont nous nous connectons.</t>
  </si>
  <si>
    <t>Conseil et conformité</t>
  </si>
  <si>
    <t>La révolution du Web 3.0 aide les entreprises à naviguer dans l'évolution des réglementations et les menaces émergentes. NETSOL donne aux entreprises les moyens d'agir grâce à des services de conseil et de conformité spécialisés dans la gestion des risques de sécurité, les plaintes réglementaires, la sélection des technologies et la gestion du changement.</t>
  </si>
  <si>
    <t>Sécurité et éducation</t>
  </si>
  <si>
    <t>Plongez dans une expérience d'apprentissage personnalisée grâce au Web 3.0 révolutionnaire, capable de protéger les données des étudiants, de garantir un accès responsable au contenu et de naviguer dans les complexités d'un environnement décentralisé dans un environnement blockchain et métaverse.</t>
  </si>
  <si>
    <t>Parlons de la suite</t>
  </si>
  <si>
    <t>Découvrez comment vous pouvez créer des solutions Web 3.0 sécurisées et évolutives avec NETSOL.</t>
  </si>
  <si>
    <t>Lectures et perspectives recommandées</t>
  </si>
  <si>
    <t>L'IA dans le secteur BFSI : révolutionner la gestion des risques</t>
  </si>
  <si>
    <t>L'importance de la personnalisation dans le service client : adapter la gestion des paiements et des litiges aux clients</t>
  </si>
  <si>
    <t>Le coût réel des systèmes déconnectés dans la vente automobile</t>
  </si>
  <si>
    <t>Captif de l'avenir : comment la technologie redéfinit les opérations de financement captif - Principales conclusions du webinaire de l'AFSA</t>
  </si>
  <si>
    <t>Lutter contre la fraude dans le financement de gros : tirer parti de la technologie pour la détection précoce et l'atténuation des risques</t>
  </si>
  <si>
    <t>Abonnez-vous à notre newsletter pour recevoir les dernières actualités dans votre boîte mail.</t>
  </si>
  <si>
    <t xml:space="preserve">NETSOL participe au 25e sommet annuel sur le financement automobile : façonner l'avenir du financement automobile </t>
  </si>
  <si>
    <t xml:space="preserve">NETSOL participe au Digital Dealer 2025 : façonner l'avenir de la vente automobile </t>
  </si>
  <si>
    <t xml:space="preserve">S'abonner </t>
  </si>
  <si>
    <t>Développez votre activité grâce à des solutions cloud agiles</t>
  </si>
  <si>
    <t>Réduisez vos coûts et gagnez en efficacité grâce à la mise en réseau et à la sécurité multi-cloud.</t>
  </si>
  <si>
    <t>Pourquoi NETSOL</t>
  </si>
  <si>
    <t>Libérez le pouvoir des possibilités grâce à des services cloud éprouvés</t>
  </si>
  <si>
    <t>L'agilité et l'évolutivité ne sont plus des luxes, mais des nécessités pour les entreprises modernes. Les services cloud NETSOL offrent une approche révolutionnaire de l'infrastructure informatique, permettant aux entreprises de prospérer et d'éliminer le besoin de matériel coûteux sur site grâce à une évolutivité, une agilité, une sécurité, des coûts réduits et une fiabilité inégalés. Grâce à notre protocole de sauvegarde et de reprise après sinistre dans le cloud, abandonnez votre infrastructure obsolète, libérez la puissance du cloud et construisez une base informatique à l'épreuve du temps.</t>
  </si>
  <si>
    <t>Expansion du marché</t>
  </si>
  <si>
    <t>Le marché mondial du cloud computing est passé de 24,63 milliards de dollars en 2010 à 156,4 milliards de dollars en 2020.</t>
  </si>
  <si>
    <t>Défi du cloud</t>
  </si>
  <si>
    <t>42 % des directeurs techniques et des directeurs informatiques considèrent le gaspillage du cloud comme le principal défi pendant et après la migration.</t>
  </si>
  <si>
    <t>Gestion des coûts</t>
  </si>
  <si>
    <t>Plus de 58 % des entreprises ont du mal à gérer leurs coûts liés au cloud pour leur charge de travail croissante.</t>
  </si>
  <si>
    <t>Investissement dans le cloud</t>
  </si>
  <si>
    <t>Les principales entreprises informatiques investissent 8 dollars sur 10 dans les services cloud.</t>
  </si>
  <si>
    <t>Informations basées sur l'IA sur les services cloud</t>
  </si>
  <si>
    <t>70 % de capacités supplémentaires</t>
  </si>
  <si>
    <t>Plus de 70 % des entreprises tirent leurs capacités d'IA de logiciels basés sur le cloud, tandis que 65 % créent des applications d'IA à l'aide de services cloud.</t>
  </si>
  <si>
    <t>4,7 fois plus de marges d'exploitation</t>
  </si>
  <si>
    <t>Les entreprises respectueuses de l'environnement bénéficient de marges d'exploitation 4,7 fois supérieures grâce à l'IA dans le cloud, ce qui leur permet de réduire leurs émissions de carbone jusqu'à 64 %.</t>
  </si>
  <si>
    <t>50 % de migration de la charge de travail</t>
  </si>
  <si>
    <t>Plus de 54 % des entreprises sont passées au cloud pour la reprise après sinistre et 50 % pour la migration de la gestion de la charge de travail.</t>
  </si>
  <si>
    <t>Services cloud gérés pour les entreprises modernes</t>
  </si>
  <si>
    <t>Services gérés</t>
  </si>
  <si>
    <t>La gestion d'un environnement cloud est complexe, mais grâce aux services gérés, les entreprises peuvent externaliser la gestion et la maintenance, et exploiter les services cloud de manière fluide, sécurisée et rentable. Rationalisez vos opérations cloud, renforcez votre sécurité et adaptez vos solutions cloud à vos besoins avec nous.</t>
  </si>
  <si>
    <t>Services d'infrastructure cloud</t>
  </si>
  <si>
    <t>Vous avez besoin d'une base solide avec une infrastructure cloud sécurisée et les ressources essentielles pour exécuter vos applications de manière transparente. Nous renforçons votre infrastructure cloud en déployant et en migrant votre cloud en toute sécurité et en optimisant l'approvisionnement en ressources.</t>
  </si>
  <si>
    <t>Développement et intégrations</t>
  </si>
  <si>
    <t>Il peut être difficile de s'y retrouver dans la complexité de la création et de l'intégration d'applications cloud natives. Avec NETSOL, tirez parti de la puissance de l'IA pour un développement cloud natif sécurisé, l'intégration d'API, la conteneurisation, l'expertise DevOps et l'architecture microservices.</t>
  </si>
  <si>
    <t>Développement SaaS</t>
  </si>
  <si>
    <t>Le déploiement d'applications SaaS agiles, évolutives et rentables nécessite une expertise et des solutions innovantes. NETSOL est prêt à vous accompagner dans votre transition vers le SaaS grâce à une architecture cloud native soutenue par une approche axée sur la sécurité, la conception d'API et des services d'intégration.</t>
  </si>
  <si>
    <t>DevOps est essentiel pour optimiser le développement et la livraison d'applications cloud. NETSOL est là pour résoudre le processus complexe du DevOps en comblant le fossé grâce à l'automatisation du pipeline CI/CD, à l'IaC, à la surveillance et à la journalisation basées sur le cloud, et à l'intégration de la sécurité.</t>
  </si>
  <si>
    <t>MLOps et gestion des modèles</t>
  </si>
  <si>
    <t>Le parcours entre la création d'un modèle et son déploiement en production peut s'avérer difficile. NETSOL, fort de son expertise en MLOps, vous aide à franchir cette étape critique en rationalisant l'expérimentation, la gestion des versions et la gouvernance des modèles, ainsi que leur surveillance.</t>
  </si>
  <si>
    <t>NETSOL + Amazon Web Services Quand l'innovation rencontre l'impact !</t>
  </si>
  <si>
    <t>Découvrez comment notre expertise certifiée peut contribuer à votre succès grâce à des solutions cloud de pointe. Faites l'expérience de l'excellence en matière d'innovation et d'évolutivité avec les services NETSOL basés sur AWS.</t>
  </si>
  <si>
    <t>Découvrez comment NETSOL exploite l'IA pour des processus de décision et d'élaboration de stratégies plus intelligents.</t>
  </si>
  <si>
    <t>Lectures et perspectives à ne pas manquer</t>
  </si>
  <si>
    <t xml:space="preserve">Au-delà du DMS : pourquoi l'avenir de la vente automobile au détail passe par les API </t>
  </si>
  <si>
    <t>NETSOL participe à la conférence et aux prix GlobalData Automotive Europe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</si>
</sst>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scheme val="minor"/>
    </font>
    <font>
      <b/>
      <sz val="10"/>
      <color theme="1"/>
      <name val="Arial"/>
      <scheme val="minor"/>
    </font>
    <font>
      <sz val="10"/>
      <color rgb="FF000000"/>
      <name val="Arial"/>
    </font>
    <font>
      <sz val="10"/>
      <color theme="1"/>
      <name val="Arial"/>
      <scheme val="minor"/>
    </font>
    <font>
      <sz val="12"/>
      <color rgb="FF454648"/>
      <name val="Arial"/>
    </font>
    <font>
      <sz val="12"/>
      <color rgb="FF454648"/>
      <name val="PoppinsRegular"/>
    </font>
    <font>
      <sz val="10"/>
      <color rgb="FF1F1F1F"/>
      <name val="Consolas"/>
    </font>
    <font>
      <sz val="10"/>
      <color rgb="FF454648"/>
      <name val="PoppinsRegular"/>
    </font>
    <font>
      <sz val="10"/>
      <color rgb="FF000000"/>
      <name val="PoppinsLight"/>
    </font>
    <font>
      <sz val="10"/>
      <color rgb="FF000000"/>
      <name val="PoppinsRegula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applyAlignment="1">
      <alignment horizontal="left"/>
    </xf>
    <xf numFmtId="0" fontId="3" fillId="0" borderId="0" xfId="0" applyFont="1"/>
    <xf numFmtId="0" fontId="4" fillId="0" borderId="0" xfId="0" applyFont="1"/>
    <xf numFmtId="0" fontId="5" fillId="0" borderId="0" xfId="0" applyFont="1"/>
    <xf numFmtId="0" fontId="6" fillId="2" borderId="0" xfId="0" applyFont="1" applyFill="1"/>
    <xf numFmtId="0" fontId="7" fillId="2" borderId="0" xfId="0" applyFont="1" applyFill="1"/>
    <xf numFmtId="9" fontId="3" fillId="0" borderId="0" xfId="0" applyNumberFormat="1" applyFont="1"/>
    <xf numFmtId="0" fontId="8" fillId="0" borderId="0" xfId="0" applyFont="1"/>
    <xf numFmtId="0" fontId="7" fillId="0" borderId="0" xfId="0" applyFont="1" applyAlignment="1">
      <alignment horizontal="left"/>
    </xf>
    <xf numFmtId="0" fontId="9" fillId="0" borderId="0" xfId="0" applyFont="1" applyAlignment="1">
      <alignment horizontal="left"/>
    </xf>
    <xf numFmtId="0" fontId="9" fillId="2" borderId="0" xfId="0" applyFont="1" applyFill="1" applyAlignment="1">
      <alignment horizontal="left"/>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44"/>
  <sheetViews>
    <sheetView topLeftCell="B133" workbookViewId="0">
      <selection activeCell="B139" sqref="B139"/>
    </sheetView>
  </sheetViews>
  <sheetFormatPr defaultColWidth="12.6640625" defaultRowHeight="15.75" customHeight="1"/>
  <cols>
    <col min="1" max="1" width="104.6640625" customWidth="1"/>
    <col min="2" max="2" width="73.109375" customWidth="1"/>
  </cols>
  <sheetData>
    <row r="1" spans="1:2">
      <c r="A1" s="1" t="s">
        <v>0</v>
      </c>
      <c r="B1" s="1"/>
    </row>
    <row r="2" spans="1:2">
      <c r="A2" s="2" t="s">
        <v>1</v>
      </c>
      <c r="B2" s="3" t="str">
        <f ca="1">IFERROR(__xludf.DUMMYFUNCTION("IF(ISBLANK(A2),"""",GOOGLETRANSLATE(A2,""en"",""fr""))"),"Façonner une finance plus intelligente")</f>
        <v>Façonner une finance plus intelligente</v>
      </c>
    </row>
    <row r="3" spans="1:2">
      <c r="A3" s="2" t="s">
        <v>2</v>
      </c>
      <c r="B3" s="13" t="s">
        <v>1072</v>
      </c>
    </row>
    <row r="4" spans="1:2">
      <c r="A4" s="3" t="s">
        <v>3</v>
      </c>
      <c r="B4" s="3" t="s">
        <v>1048</v>
      </c>
    </row>
    <row r="5" spans="1:2">
      <c r="A5" s="3" t="s">
        <v>4</v>
      </c>
      <c r="B5" s="3" t="str">
        <f ca="1">IFERROR(__xludf.DUMMYFUNCTION("IF(ISBLANK(A5),"""",GOOGLETRANSLATE(A5,""en"",""fr""))"),"sécurisé")</f>
        <v>sécurisé</v>
      </c>
    </row>
    <row r="6" spans="1:2">
      <c r="A6" s="3" t="s">
        <v>5</v>
      </c>
      <c r="B6" s="3" t="str">
        <f ca="1">IFERROR(__xludf.DUMMYFUNCTION("IF(ISBLANK(A6),"""",GOOGLETRANSLATE(A6,""en"",""fr""))"),"transparent ")</f>
        <v xml:space="preserve">transparent </v>
      </c>
    </row>
    <row r="7" spans="1:2">
      <c r="A7" s="3" t="s">
        <v>6</v>
      </c>
      <c r="B7" s="3" t="str">
        <f ca="1">IFERROR(__xludf.DUMMYFUNCTION("IF(ISBLANK(A7),"""",GOOGLETRANSLATE(A7,""en"",""fr""))"),"rentable")</f>
        <v>rentable</v>
      </c>
    </row>
    <row r="8" spans="1:2">
      <c r="A8" s="3" t="s">
        <v>7</v>
      </c>
      <c r="B8" s="3" t="s">
        <v>1049</v>
      </c>
    </row>
    <row r="9" spans="1:2">
      <c r="B9" s="3" t="str">
        <f ca="1">IFERROR(__xludf.DUMMYFUNCTION("IF(ISBLANK(A9),"""",GOOGLETRANSLATE(A9,""en"",""fr""))"),"")</f>
        <v/>
      </c>
    </row>
    <row r="10" spans="1:2">
      <c r="A10" s="3" t="s">
        <v>8</v>
      </c>
      <c r="B10" s="3" t="s">
        <v>1050</v>
      </c>
    </row>
    <row r="11" spans="1:2">
      <c r="A11" s="3" t="s">
        <v>9</v>
      </c>
      <c r="B11" s="3" t="s">
        <v>1051</v>
      </c>
    </row>
    <row r="12" spans="1:2">
      <c r="A12" s="3" t="s">
        <v>10</v>
      </c>
      <c r="B12" s="3" t="s">
        <v>1073</v>
      </c>
    </row>
    <row r="13" spans="1:2">
      <c r="A13" s="3" t="s">
        <v>11</v>
      </c>
      <c r="B13" s="3" t="s">
        <v>1053</v>
      </c>
    </row>
    <row r="14" spans="1:2">
      <c r="A14" s="3" t="s">
        <v>12</v>
      </c>
      <c r="B14" s="3" t="s">
        <v>1054</v>
      </c>
    </row>
    <row r="15" spans="1:2">
      <c r="A15" s="3" t="s">
        <v>13</v>
      </c>
      <c r="B15" s="3" t="s">
        <v>1055</v>
      </c>
    </row>
    <row r="16" spans="1:2">
      <c r="A16" s="3" t="s">
        <v>14</v>
      </c>
      <c r="B16" s="3" t="str">
        <f ca="1">IFERROR(__xludf.DUMMYFUNCTION("IF(ISBLANK(A16),"""",GOOGLETRANSLATE(A16,""en"",""fr""))"),"Les plus grandes marques mondiales sont propulsées par NETSOL")</f>
        <v>Les plus grandes marques mondiales sont propulsées par NETSOL</v>
      </c>
    </row>
    <row r="17" spans="1:2">
      <c r="A17" s="3" t="s">
        <v>15</v>
      </c>
      <c r="B17" s="3" t="str">
        <f ca="1">IFERROR(__xludf.DUMMYFUNCTION("IF(ISBLANK(A17),"""",GOOGLETRANSLATE(A17,""en"",""fr""))"),"Plateforme Transcend")</f>
        <v>Plateforme Transcend</v>
      </c>
    </row>
    <row r="18" spans="1:2">
      <c r="A18" s="3" t="s">
        <v>16</v>
      </c>
      <c r="B18" s="3" t="s">
        <v>1074</v>
      </c>
    </row>
    <row r="19" spans="1:2">
      <c r="B19" s="3" t="str">
        <f ca="1">IFERROR(__xludf.DUMMYFUNCTION("IF(ISBLANK(A19),"""",GOOGLETRANSLATE(A19,""en"",""fr""))"),"")</f>
        <v/>
      </c>
    </row>
    <row r="20" spans="1:2">
      <c r="B20" s="3" t="str">
        <f ca="1">IFERROR(__xludf.DUMMYFUNCTION("IF(ISBLANK(A20),"""",GOOGLETRANSLATE(A20,""en"",""fr""))"),"")</f>
        <v/>
      </c>
    </row>
    <row r="21" spans="1:2">
      <c r="A21" s="3" t="s">
        <v>17</v>
      </c>
      <c r="B21" s="3" t="s">
        <v>17</v>
      </c>
    </row>
    <row r="22" spans="1:2">
      <c r="A22" s="3" t="s">
        <v>18</v>
      </c>
      <c r="B22" s="3" t="str">
        <f ca="1">IFERROR(__xludf.DUMMYFUNCTION("IF(ISBLANK(A22),"""",GOOGLETRANSLATE(A22,""en"",""fr""))"),"Vente au détail")</f>
        <v>Vente au détail</v>
      </c>
    </row>
    <row r="23" spans="1:2">
      <c r="A23" s="3" t="s">
        <v>19</v>
      </c>
      <c r="B23" s="3" t="s">
        <v>1075</v>
      </c>
    </row>
    <row r="24" spans="1:2">
      <c r="A24" s="3" t="s">
        <v>20</v>
      </c>
      <c r="B24" s="3" t="s">
        <v>1057</v>
      </c>
    </row>
    <row r="25" spans="1:2">
      <c r="A25" s="3" t="s">
        <v>21</v>
      </c>
      <c r="B25" s="3" t="s">
        <v>1058</v>
      </c>
    </row>
    <row r="26" spans="1:2">
      <c r="A26" s="3" t="s">
        <v>22</v>
      </c>
      <c r="B26" s="3" t="s">
        <v>1059</v>
      </c>
    </row>
    <row r="27" spans="1:2">
      <c r="A27" s="3" t="s">
        <v>23</v>
      </c>
      <c r="B27" s="3" t="s">
        <v>1060</v>
      </c>
    </row>
    <row r="28" spans="1:2">
      <c r="A28" s="3" t="s">
        <v>24</v>
      </c>
      <c r="B28" s="3" t="str">
        <f ca="1">IFERROR(__xludf.DUMMYFUNCTION("IF(ISBLANK(A28),"""",GOOGLETRANSLATE(A28,""en"",""fr""))"),"La vente au détail automobile redéfinie. Des parcours personnalisés,")</f>
        <v>La vente au détail automobile redéfinie. Des parcours personnalisés,</v>
      </c>
    </row>
    <row r="29" spans="1:2">
      <c r="A29" s="3" t="s">
        <v>25</v>
      </c>
      <c r="B29" s="3" t="s">
        <v>1076</v>
      </c>
    </row>
    <row r="30" spans="1:2">
      <c r="A30" s="3" t="s">
        <v>10</v>
      </c>
      <c r="B30" s="3" t="s">
        <v>1052</v>
      </c>
    </row>
    <row r="31" spans="1:2">
      <c r="A31" s="3" t="s">
        <v>26</v>
      </c>
      <c r="B31" s="3" t="str">
        <f ca="1">IFERROR(__xludf.DUMMYFUNCTION("IF(ISBLANK(A31),"""",GOOGLETRANSLATE(A31,""en"",""fr""))"),"Concessionnaires indépendants")</f>
        <v>Concessionnaires indépendants</v>
      </c>
    </row>
    <row r="32" spans="1:2">
      <c r="A32" s="3" t="s">
        <v>27</v>
      </c>
      <c r="B32" s="3" t="str">
        <f ca="1">IFERROR(__xludf.DUMMYFUNCTION("IF(ISBLANK(A32),"""",GOOGLETRANSLATE(A32,""en"",""fr""))"),"Groupes de concessionnaires")</f>
        <v>Groupes de concessionnaires</v>
      </c>
    </row>
    <row r="33" spans="1:2">
      <c r="A33" s="3" t="s">
        <v>28</v>
      </c>
      <c r="B33" s="3" t="str">
        <f ca="1">IFERROR(__xludf.DUMMYFUNCTION("IF(ISBLANK(A33),"""",GOOGLETRANSLATE(A33,""en"",""fr""))"),"Finance")</f>
        <v>Finance</v>
      </c>
    </row>
    <row r="34" spans="1:2">
      <c r="A34" s="3" t="s">
        <v>17</v>
      </c>
      <c r="B34" s="3" t="s">
        <v>17</v>
      </c>
    </row>
    <row r="35" spans="1:2">
      <c r="B35" s="3" t="str">
        <f ca="1">IFERROR(__xludf.DUMMYFUNCTION("IF(ISBLANK(A35),"""",GOOGLETRANSLATE(A35,""en"",""fr""))"),"")</f>
        <v/>
      </c>
    </row>
    <row r="36" spans="1:2">
      <c r="A36" s="3" t="s">
        <v>29</v>
      </c>
      <c r="B36" s="3" t="s">
        <v>1061</v>
      </c>
    </row>
    <row r="37" spans="1:2">
      <c r="A37" s="3" t="s">
        <v>30</v>
      </c>
      <c r="B37" s="3" t="s">
        <v>1077</v>
      </c>
    </row>
    <row r="38" spans="1:2">
      <c r="A38" s="3" t="s">
        <v>31</v>
      </c>
      <c r="B38" s="3" t="s">
        <v>1078</v>
      </c>
    </row>
    <row r="39" spans="1:2">
      <c r="B39" s="3" t="str">
        <f ca="1">IFERROR(__xludf.DUMMYFUNCTION("IF(ISBLANK(A39),"""",GOOGLETRANSLATE(A39,""en"",""fr""))"),"")</f>
        <v/>
      </c>
    </row>
    <row r="40" spans="1:2">
      <c r="A40" s="3" t="s">
        <v>32</v>
      </c>
      <c r="B40" s="3" t="str">
        <f ca="1">IFERROR(__xludf.DUMMYFUNCTION("IF(ISBLANK(A40),"""",GOOGLETRANSLATE(A40,""en"",""fr""))"),"Des prêts plus intelligents commencent ici. Vitesse alimentée par l'IA,")</f>
        <v>Des prêts plus intelligents commencent ici. Vitesse alimentée par l'IA,</v>
      </c>
    </row>
    <row r="41" spans="1:2">
      <c r="A41" s="3" t="s">
        <v>33</v>
      </c>
      <c r="B41" s="3" t="str">
        <f ca="1">IFERROR(__xludf.DUMMYFUNCTION("IF(ISBLANK(A41),"""",GOOGLETRANSLATE(A41,""en"",""fr""))"),"flexibilité et précision.")</f>
        <v>flexibilité et précision.</v>
      </c>
    </row>
    <row r="42" spans="1:2">
      <c r="A42" s="3" t="s">
        <v>34</v>
      </c>
      <c r="B42" s="3" t="str">
        <f ca="1">IFERROR(__xludf.DUMMYFUNCTION("IF(ISBLANK(A42),"""",GOOGLETRANSLATE(A42,""en"",""fr""))"),"Financement automobile")</f>
        <v>Financement automobile</v>
      </c>
    </row>
    <row r="43" spans="1:2">
      <c r="A43" s="3" t="s">
        <v>35</v>
      </c>
      <c r="B43" s="3" t="str">
        <f ca="1">IFERROR(__xludf.DUMMYFUNCTION("IF(ISBLANK(A43),"""",GOOGLETRANSLATE(A43,""en"",""fr""))"),"Financement d'équipement")</f>
        <v>Financement d'équipement</v>
      </c>
    </row>
    <row r="44" spans="1:2">
      <c r="A44" s="3" t="s">
        <v>36</v>
      </c>
      <c r="B44" s="3" t="str">
        <f ca="1">IFERROR(__xludf.DUMMYFUNCTION("IF(ISBLANK(A44),"""",GOOGLETRANSLATE(A44,""en"",""fr""))"),"Financement de flottes")</f>
        <v>Financement de flottes</v>
      </c>
    </row>
    <row r="45" spans="1:2">
      <c r="A45" s="3" t="s">
        <v>13</v>
      </c>
      <c r="B45" s="3" t="str">
        <f ca="1">IFERROR(__xludf.DUMMYFUNCTION("IF(ISBLANK(A45),"""",GOOGLETRANSLATE(A45,""en"",""fr""))"),"Prêteurs commerciaux")</f>
        <v>Prêteurs commerciaux</v>
      </c>
    </row>
    <row r="46" spans="1:2">
      <c r="A46" s="3" t="s">
        <v>37</v>
      </c>
      <c r="B46" s="3" t="str">
        <f ca="1">IFERROR(__xludf.DUMMYFUNCTION("IF(ISBLANK(A46),"""",GOOGLETRANSLATE(A46,""en"",""fr""))"),"Prêteurs spécialisés")</f>
        <v>Prêteurs spécialisés</v>
      </c>
    </row>
    <row r="47" spans="1:2">
      <c r="A47" s="3" t="s">
        <v>38</v>
      </c>
      <c r="B47" s="3" t="str">
        <f ca="1">IFERROR(__xludf.DUMMYFUNCTION("IF(ISBLANK(A47),"""",GOOGLETRANSLATE(A47,""en"",""fr""))"),"Laboratoires d'IA")</f>
        <v>Laboratoires d'IA</v>
      </c>
    </row>
    <row r="48" spans="1:2">
      <c r="A48" s="3" t="s">
        <v>39</v>
      </c>
      <c r="B48" s="3" t="s">
        <v>39</v>
      </c>
    </row>
    <row r="49" spans="1:2">
      <c r="A49" s="3" t="s">
        <v>40</v>
      </c>
      <c r="B49" s="3" t="s">
        <v>1062</v>
      </c>
    </row>
    <row r="50" spans="1:2">
      <c r="A50" s="4" t="s">
        <v>41</v>
      </c>
      <c r="B50" s="3" t="s">
        <v>1063</v>
      </c>
    </row>
    <row r="51" spans="1:2">
      <c r="A51" s="3" t="s">
        <v>42</v>
      </c>
      <c r="B51" s="3" t="s">
        <v>1064</v>
      </c>
    </row>
    <row r="52" spans="1:2">
      <c r="B52" s="3" t="str">
        <f ca="1">IFERROR(__xludf.DUMMYFUNCTION("IF(ISBLANK(A52),"""",GOOGLETRANSLATE(A52,""en"",""fr""))"),"")</f>
        <v/>
      </c>
    </row>
    <row r="53" spans="1:2">
      <c r="A53" s="3" t="s">
        <v>43</v>
      </c>
      <c r="B53" s="3" t="s">
        <v>1065</v>
      </c>
    </row>
    <row r="54" spans="1:2">
      <c r="A54" s="3" t="s">
        <v>44</v>
      </c>
      <c r="B54" s="3" t="s">
        <v>1066</v>
      </c>
    </row>
    <row r="55" spans="1:2">
      <c r="A55" s="3" t="s">
        <v>45</v>
      </c>
      <c r="B55" s="3" t="str">
        <f ca="1">IFERROR(__xludf.DUMMYFUNCTION("IF(ISBLANK(A55),"""",GOOGLETRANSLATE(A55,""en"",""fr""))"),"Applications d'IA")</f>
        <v>Applications d'IA</v>
      </c>
    </row>
    <row r="56" spans="1:2">
      <c r="A56" s="3" t="s">
        <v>46</v>
      </c>
      <c r="B56" s="3" t="str">
        <f ca="1">IFERROR(__xludf.DUMMYFUNCTION("IF(ISBLANK(A56),"""",GOOGLETRANSLATE(A56,""en"",""fr""))"),"Services d'IA")</f>
        <v>Services d'IA</v>
      </c>
    </row>
    <row r="57" spans="1:2">
      <c r="A57" s="3" t="s">
        <v>47</v>
      </c>
      <c r="B57" s="3" t="str">
        <f ca="1">IFERROR(__xludf.DUMMYFUNCTION("IF(ISBLANK(A57),"""",GOOGLETRANSLATE(A57,""en"",""fr""))"),"Innovation en laboratoire")</f>
        <v>Innovation en laboratoire</v>
      </c>
    </row>
    <row r="58" spans="1:2">
      <c r="B58" s="3" t="str">
        <f ca="1">IFERROR(__xludf.DUMMYFUNCTION("IF(ISBLANK(A58),"""",GOOGLETRANSLATE(A58,""en"",""fr""))"),"")</f>
        <v/>
      </c>
    </row>
    <row r="59" spans="1:2">
      <c r="B59" s="3" t="str">
        <f ca="1">IFERROR(__xludf.DUMMYFUNCTION("IF(ISBLANK(A59),"""",GOOGLETRANSLATE(A59,""en"",""fr""))"),"")</f>
        <v/>
      </c>
    </row>
    <row r="60" spans="1:2">
      <c r="A60" s="3" t="s">
        <v>48</v>
      </c>
      <c r="B60" s="3" t="str">
        <f ca="1">IFERROR(__xludf.DUMMYFUNCTION("IF(ISBLANK(A60),"""",GOOGLETRANSLATE(A60,""en"",""fr""))"),"Marché")</f>
        <v>Marché</v>
      </c>
    </row>
    <row r="61" spans="1:2">
      <c r="A61" s="3" t="s">
        <v>49</v>
      </c>
      <c r="B61" s="3" t="str">
        <f ca="1">IFERROR(__xludf.DUMMYFUNCTION("IF(ISBLANK(A61),"""",GOOGLETRANSLATE(A61,""en"",""fr""))"),"Une plateforme unifiée de solutions modulaires, basées sur les API, pour le crédit-bail, le leasing et le commerce de détail. Conçue pour simplifier et accélérer chaque flux de travail.")</f>
        <v>Une plateforme unifiée de solutions modulaires, basées sur les API, pour le crédit-bail, le leasing et le commerce de détail. Conçue pour simplifier et accélérer chaque flux de travail.</v>
      </c>
    </row>
    <row r="62" spans="1:2">
      <c r="B62" s="3" t="str">
        <f ca="1">IFERROR(__xludf.DUMMYFUNCTION("IF(ISBLANK(A62),"""",GOOGLETRANSLATE(A62,""en"",""fr""))"),"")</f>
        <v/>
      </c>
    </row>
    <row r="63" spans="1:2">
      <c r="A63" s="3" t="s">
        <v>50</v>
      </c>
      <c r="B63" s="3" t="str">
        <f ca="1">IFERROR(__xludf.DUMMYFUNCTION("IF(ISBLANK(A63),"""",GOOGLETRANSLATE(A63,""en"",""fr""))"),"Plus intelligent. Plus rapide. Connecté.")</f>
        <v>Plus intelligent. Plus rapide. Connecté.</v>
      </c>
    </row>
    <row r="64" spans="1:2">
      <c r="A64" s="3" t="s">
        <v>51</v>
      </c>
      <c r="B64" s="3" t="str">
        <f ca="1">IFERROR(__xludf.DUMMYFUNCTION("IF(ISBLANK(A64),"""",GOOGLETRANSLATE(A64,""en"",""fr""))"),"Votre marché modulaire pour le financement et le leasing.")</f>
        <v>Votre marché modulaire pour le financement et le leasing.</v>
      </c>
    </row>
    <row r="65" spans="1:2">
      <c r="A65" s="3" t="s">
        <v>52</v>
      </c>
      <c r="B65" s="3" t="str">
        <f ca="1">IFERROR(__xludf.DUMMYFUNCTION("IF(ISBLANK(A65),"""",GOOGLETRANSLATE(A65,""en"",""fr""))"),"Par abonnement")</f>
        <v>Par abonnement</v>
      </c>
    </row>
    <row r="66" spans="1:2">
      <c r="A66" s="3" t="s">
        <v>53</v>
      </c>
      <c r="B66" s="3" t="str">
        <f ca="1">IFERROR(__xludf.DUMMYFUNCTION("IF(ISBLANK(A66),"""",GOOGLETRANSLATE(A66,""en"",""fr""))"),"API d'abord")</f>
        <v>API d'abord</v>
      </c>
    </row>
    <row r="67" spans="1:2">
      <c r="A67" s="3" t="s">
        <v>54</v>
      </c>
      <c r="B67" s="3" t="str">
        <f ca="1">IFERROR(__xludf.DUMMYFUNCTION("IF(ISBLANK(A67),"""",GOOGLETRANSLATE(A67,""en"",""fr""))"),"Basé sur les composants")</f>
        <v>Basé sur les composants</v>
      </c>
    </row>
    <row r="68" spans="1:2">
      <c r="A68" s="3" t="s">
        <v>55</v>
      </c>
      <c r="B68" s="3" t="str">
        <f ca="1">IFERROR(__xludf.DUMMYFUNCTION("IF(ISBLANK(A68),"""",GOOGLETRANSLATE(A68,""en"",""fr""))"),"Conseil")</f>
        <v>Conseil</v>
      </c>
    </row>
    <row r="69" spans="1:2">
      <c r="B69" s="3" t="str">
        <f ca="1">IFERROR(__xludf.DUMMYFUNCTION("IF(ISBLANK(A69),"""",GOOGLETRANSLATE(A69,""en"",""fr""))"),"")</f>
        <v/>
      </c>
    </row>
    <row r="70" spans="1:2">
      <c r="A70" s="3" t="s">
        <v>55</v>
      </c>
      <c r="B70" s="3" t="str">
        <f ca="1">IFERROR(__xludf.DUMMYFUNCTION("IF(ISBLANK(A70),"""",GOOGLETRANSLATE(A70,""en"",""fr""))"),"Conseil")</f>
        <v>Conseil</v>
      </c>
    </row>
    <row r="71" spans="1:2">
      <c r="A71" s="5" t="s">
        <v>56</v>
      </c>
      <c r="B71" s="3" t="str">
        <f ca="1">IFERROR(__xludf.DUMMYFUNCTION("IF(ISBLANK(A71),"""",GOOGLETRANSLATE(A71,""en"",""fr""))"),"Expertise en IA, données, cloud et sécurité : aider les BFSI et les prêteurs à moderniser, à évoluer en toute confiance et à créer des opérations résilientes et prêtes pour l'avenir.")</f>
        <v>Expertise en IA, données, cloud et sécurité : aider les BFSI et les prêteurs à moderniser, à évoluer en toute confiance et à créer des opérations résilientes et prêtes pour l'avenir.</v>
      </c>
    </row>
    <row r="72" spans="1:2">
      <c r="B72" s="3" t="str">
        <f ca="1">IFERROR(__xludf.DUMMYFUNCTION("IF(ISBLANK(A72),"""",GOOGLETRANSLATE(A72,""en"",""fr""))"),"")</f>
        <v/>
      </c>
    </row>
    <row r="73" spans="1:2">
      <c r="A73" s="3" t="s">
        <v>57</v>
      </c>
      <c r="B73" s="3" t="str">
        <f ca="1">IFERROR(__xludf.DUMMYFUNCTION("IF(ISBLANK(A73),"""",GOOGLETRANSLATE(A73,""en"",""fr""))"),"Transformer des défis complexes en opportunités transformatrices.")</f>
        <v>Transformer des défis complexes en opportunités transformatrices.</v>
      </c>
    </row>
    <row r="74" spans="1:2">
      <c r="A74" s="3" t="s">
        <v>58</v>
      </c>
      <c r="B74" s="3" t="str">
        <f ca="1">IFERROR(__xludf.DUMMYFUNCTION("IF(ISBLANK(A74),"""",GOOGLETRANSLATE(A74,""en"",""fr""))"),"Sécurité de l'information")</f>
        <v>Sécurité de l'information</v>
      </c>
    </row>
    <row r="75" spans="1:2">
      <c r="A75" s="3" t="s">
        <v>59</v>
      </c>
      <c r="B75" s="3" t="str">
        <f ca="1">IFERROR(__xludf.DUMMYFUNCTION("IF(ISBLANK(A75),"""",GOOGLETRANSLATE(A75,""en"",""fr""))"),"Services de données et d'IA")</f>
        <v>Services de données et d'IA</v>
      </c>
    </row>
    <row r="76" spans="1:2">
      <c r="A76" s="3" t="s">
        <v>60</v>
      </c>
      <c r="B76" s="3" t="str">
        <f ca="1">IFERROR(__xludf.DUMMYFUNCTION("IF(ISBLANK(A76),"""",GOOGLETRANSLATE(A76,""en"",""fr""))"),"Services cloud")</f>
        <v>Services cloud</v>
      </c>
    </row>
    <row r="77" spans="1:2">
      <c r="A77" s="3" t="s">
        <v>61</v>
      </c>
      <c r="B77" s="3" t="str">
        <f ca="1">IFERROR(__xludf.DUMMYFUNCTION("IF(ISBLANK(A77),"""",GOOGLETRANSLATE(A77,""en"",""fr""))"),"Développement sur mesure")</f>
        <v>Développement sur mesure</v>
      </c>
    </row>
    <row r="78" spans="1:2">
      <c r="A78" s="3" t="s">
        <v>62</v>
      </c>
      <c r="B78" s="3" t="str">
        <f ca="1">IFERROR(__xludf.DUMMYFUNCTION("IF(ISBLANK(A78),"""",GOOGLETRANSLATE(A78,""en"",""fr""))"),"Qui servons-nous?")</f>
        <v>Qui servons-nous?</v>
      </c>
    </row>
    <row r="79" spans="1:2">
      <c r="A79" s="3" t="s">
        <v>63</v>
      </c>
      <c r="B79" s="3" t="str">
        <f ca="1">IFERROR(__xludf.DUMMYFUNCTION("IF(ISBLANK(A79),"""",GOOGLETRANSLATE(A79,""en"",""fr""))"),"Orchestrer le commerce, l'intelligence et l'innovation dans les écosystèmes de financement d'actifs, de vente au détail et de conseil.")</f>
        <v>Orchestrer le commerce, l'intelligence et l'innovation dans les écosystèmes de financement d'actifs, de vente au détail et de conseil.</v>
      </c>
    </row>
    <row r="80" spans="1:2">
      <c r="A80" s="3" t="s">
        <v>64</v>
      </c>
      <c r="B80" s="3" t="str">
        <f ca="1">IFERROR(__xludf.DUMMYFUNCTION("IF(ISBLANK(A80),"""",GOOGLETRANSLATE(A80,""en"",""fr""))"),"Captives et prêteurs")</f>
        <v>Captives et prêteurs</v>
      </c>
    </row>
    <row r="81" spans="1:2">
      <c r="A81" s="3" t="s">
        <v>65</v>
      </c>
      <c r="B81" s="3" t="str">
        <f ca="1">IFERROR(__xludf.DUMMYFUNCTION("IF(ISBLANK(A81),"""",GOOGLETRANSLATE(A81,""en"",""fr""))"),"Pour les captives et les prêteurs, notre plateforme cloud sécurisée simplifie le financement des particuliers et des entreprises. Montage, gestion et analyse de crédits conçus pour les véhicules électriques, connectés et autonomes.")</f>
        <v>Pour les captives et les prêteurs, notre plateforme cloud sécurisée simplifie le financement des particuliers et des entreprises. Montage, gestion et analyse de crédits conçus pour les véhicules électriques, connectés et autonomes.</v>
      </c>
    </row>
    <row r="82" spans="1:2">
      <c r="A82" s="3" t="s">
        <v>66</v>
      </c>
      <c r="B82" s="3" t="str">
        <f ca="1">IFERROR(__xludf.DUMMYFUNCTION("IF(ISBLANK(A82),"""",GOOGLETRANSLATE(A82,""en"",""fr""))"),"OEM et concessionnaires")</f>
        <v>OEM et concessionnaires</v>
      </c>
    </row>
    <row r="83" spans="1:2">
      <c r="A83" s="3" t="s">
        <v>67</v>
      </c>
      <c r="B83" s="3" t="str">
        <f ca="1">IFERROR(__xludf.DUMMYFUNCTION("IF(ISBLANK(A83),"""",GOOGLETRANSLATE(A83,""en"",""fr""))"),"Nous accompagnons les constructeurs et les concessionnaires grâce à une plateforme de mobilité évolutive. De la vente en ligne aux trajets connectés, en passant par le financement, l'entretien et les véhicules électriques, chaque canal est unifié et chaqu"&amp;"e point de contact optimisé.")</f>
        <v>Nous accompagnons les constructeurs et les concessionnaires grâce à une plateforme de mobilité évolutive. De la vente en ligne aux trajets connectés, en passant par le financement, l'entretien et les véhicules électriques, chaque canal est unifié et chaque point de contact optimisé.</v>
      </c>
    </row>
    <row r="84" spans="1:2">
      <c r="A84" s="3" t="s">
        <v>68</v>
      </c>
      <c r="B84" s="3" t="str">
        <f ca="1">IFERROR(__xludf.DUMMYFUNCTION("IF(ISBLANK(A84),"""",GOOGLETRANSLATE(A84,""en"",""fr""))"),"Courtiers et agrégateurs")</f>
        <v>Courtiers et agrégateurs</v>
      </c>
    </row>
    <row r="85" spans="1:2">
      <c r="A85" s="3" t="s">
        <v>69</v>
      </c>
      <c r="B85" s="3" t="str">
        <f ca="1">IFERROR(__xludf.DUMMYFUNCTION("IF(ISBLANK(A85),"""",GOOGLETRANSLATE(A85,""en"",""fr""))"),"Donnez aux courtiers et aux agrégateurs des outils pour gérer plusieurs flux de travail de prêteurs, automatiser la documentation et accélérer les décisions tout en garantissant la préparation à l'audit et l'efficacité opérationnelle.")</f>
        <v>Donnez aux courtiers et aux agrégateurs des outils pour gérer plusieurs flux de travail de prêteurs, automatiser la documentation et accélérer les décisions tout en garantissant la préparation à l'audit et l'efficacité opérationnelle.</v>
      </c>
    </row>
    <row r="86" spans="1:2">
      <c r="A86" s="3" t="s">
        <v>70</v>
      </c>
      <c r="B86" s="3" t="str">
        <f ca="1">IFERROR(__xludf.DUMMYFUNCTION("IF(ISBLANK(A86),"""",GOOGLETRANSLATE(A86,""en"",""fr""))"),"Connectez-vous avec nous")</f>
        <v>Connectez-vous avec nous</v>
      </c>
    </row>
    <row r="87" spans="1:2">
      <c r="A87" s="3" t="s">
        <v>71</v>
      </c>
      <c r="B87" s="3" t="str">
        <f ca="1">IFERROR(__xludf.DUMMYFUNCTION("IF(ISBLANK(A87),"""",GOOGLETRANSLATE(A87,""en"",""fr""))"),"Partenaire technologique des plus grandes marques mondiales")</f>
        <v>Partenaire technologique des plus grandes marques mondiales</v>
      </c>
    </row>
    <row r="88" spans="1:2">
      <c r="A88" s="3" t="s">
        <v>72</v>
      </c>
      <c r="B88" s="3" t="s">
        <v>1068</v>
      </c>
    </row>
    <row r="89" spans="1:2">
      <c r="A89" s="3" t="s">
        <v>73</v>
      </c>
      <c r="B89" s="3" t="s">
        <v>1079</v>
      </c>
    </row>
    <row r="90" spans="1:2">
      <c r="A90" s="3" t="s">
        <v>74</v>
      </c>
      <c r="B90" s="3" t="str">
        <f ca="1">IFERROR(__xludf.DUMMYFUNCTION("IF(ISBLANK(A90),"""",GOOGLETRANSLATE(A90,""en"",""fr""))"),"Plus de 200")</f>
        <v>Plus de 200</v>
      </c>
    </row>
    <row r="91" spans="1:2">
      <c r="A91" s="3" t="s">
        <v>75</v>
      </c>
      <c r="B91" s="3" t="str">
        <f ca="1">IFERROR(__xludf.DUMMYFUNCTION("IF(ISBLANK(A91),"""",GOOGLETRANSLATE(A91,""en"",""fr""))"),"Clients du monde entier")</f>
        <v>Clients du monde entier</v>
      </c>
    </row>
    <row r="92" spans="1:2">
      <c r="A92" s="3" t="s">
        <v>76</v>
      </c>
      <c r="B92" s="3" t="str">
        <f ca="1">IFERROR(__xludf.DUMMYFUNCTION("IF(ISBLANK(A92),"""",GOOGLETRANSLATE(A92,""en"",""fr""))"),"Plus de 300")</f>
        <v>Plus de 300</v>
      </c>
    </row>
    <row r="93" spans="1:2">
      <c r="A93" s="3" t="s">
        <v>77</v>
      </c>
      <c r="B93" s="3" t="str">
        <f ca="1">IFERROR(__xludf.DUMMYFUNCTION("IF(ISBLANK(A93),"""",GOOGLETRANSLATE(A93,""en"",""fr""))"),"Mises en œuvre réussies")</f>
        <v>Mises en œuvre réussies</v>
      </c>
    </row>
    <row r="94" spans="1:2">
      <c r="A94" s="3" t="s">
        <v>78</v>
      </c>
      <c r="B94" s="3" t="str">
        <f ca="1">IFERROR(__xludf.DUMMYFUNCTION("IF(ISBLANK(A94),"""",GOOGLETRANSLATE(A94,""en"",""fr""))"),"Plus de 500 milliards de dollars")</f>
        <v>Plus de 500 milliards de dollars</v>
      </c>
    </row>
    <row r="95" spans="1:2">
      <c r="A95" s="3" t="s">
        <v>79</v>
      </c>
      <c r="B95" s="3" t="str">
        <f ca="1">IFERROR(__xludf.DUMMYFUNCTION("IF(ISBLANK(A95),"""",GOOGLETRANSLATE(A95,""en"",""fr""))"),"Actifs gérés à l'échelle mondiale")</f>
        <v>Actifs gérés à l'échelle mondiale</v>
      </c>
    </row>
    <row r="96" spans="1:2">
      <c r="A96" s="3" t="s">
        <v>80</v>
      </c>
      <c r="B96" s="3" t="str">
        <f ca="1">IFERROR(__xludf.DUMMYFUNCTION("IF(ISBLANK(A96),"""",GOOGLETRANSLATE(A96,""en"",""fr""))"),"25 ans et plus")</f>
        <v>25 ans et plus</v>
      </c>
    </row>
    <row r="97" spans="1:2">
      <c r="A97" s="3" t="s">
        <v>81</v>
      </c>
      <c r="B97" s="3" t="str">
        <f ca="1">IFERROR(__xludf.DUMMYFUNCTION("IF(ISBLANK(A97),"""",GOOGLETRANSLATE(A97,""en"",""fr""))"),"Années au NASDAQ : NTWK")</f>
        <v>Années au NASDAQ : NTWK</v>
      </c>
    </row>
    <row r="98" spans="1:2">
      <c r="A98" s="3" t="s">
        <v>82</v>
      </c>
      <c r="B98" s="3" t="s">
        <v>1069</v>
      </c>
    </row>
    <row r="99" spans="1:2">
      <c r="A99" s="3" t="s">
        <v>83</v>
      </c>
      <c r="B99" s="3" t="s">
        <v>1070</v>
      </c>
    </row>
    <row r="100" spans="1:2">
      <c r="A100" s="3" t="s">
        <v>84</v>
      </c>
      <c r="B100" s="3" t="str">
        <f ca="1">IFERROR(__xludf.DUMMYFUNCTION("IF(ISBLANK(A100),"""",GOOGLETRANSLATE(A100,""en"",""fr""))"),"NINI s'associe à NETSOL pour propulser sa nouvelle ère d'expérience dans la vente au détail automobile")</f>
        <v>NINI s'associe à NETSOL pour propulser sa nouvelle ère d'expérience dans la vente au détail automobile</v>
      </c>
    </row>
    <row r="101" spans="1:2">
      <c r="A101" s="3" t="s">
        <v>85</v>
      </c>
      <c r="B101" s="3" t="s">
        <v>1071</v>
      </c>
    </row>
    <row r="102" spans="1:2">
      <c r="A102" s="3" t="s">
        <v>86</v>
      </c>
      <c r="B102" s="3" t="str">
        <f ca="1">IFERROR(__xludf.DUMMYFUNCTION("IF(ISBLANK(A102),"""",GOOGLETRANSLATE(A102,""en"",""fr""))"),"Mike Peyton")</f>
        <v>Mike Peyton</v>
      </c>
    </row>
    <row r="103" spans="1:2">
      <c r="A103" s="3" t="s">
        <v>87</v>
      </c>
      <c r="B103" s="3" t="str">
        <f ca="1">IFERROR(__xludf.DUMMYFUNCTION("IF(ISBLANK(A103),"""",GOOGLETRANSLATE(A103,""en"",""fr""))"),"Président-directeur général et porte-parole de NINI des Amériques")</f>
        <v>Président-directeur général et porte-parole de NINI des Amériques</v>
      </c>
    </row>
    <row r="104" spans="1:2">
      <c r="A104" s="3" t="s">
        <v>88</v>
      </c>
      <c r="B104" s="3" t="str">
        <f ca="1">IFERROR(__xludf.DUMMYFUNCTION("IF(ISBLANK(A104),"""",GOOGLETRANSLATE(A104,""en"",""fr""))"),"La banque Ikano renforce sa compétitivité grâce à NETSOL.")</f>
        <v>La banque Ikano renforce sa compétitivité grâce à NETSOL.</v>
      </c>
    </row>
    <row r="105" spans="1:2">
      <c r="A105" s="3" t="s">
        <v>89</v>
      </c>
      <c r="B105" s="3" t="str">
        <f ca="1">IFERROR(__xludf.DUMMYFUNCTION("IF(ISBLANK(A105),"""",GOOGLETRANSLATE(A105,""en"",""fr""))"),"Nous sommes ravis de collaborer avec NETSOL comme partenaire stratégique pour notre plateforme. Les solutions technologiques intelligentes de NETSOL sont reconnues dans le secteur du financement et du leasing, et le déploiement de Transcend Finance (ancie"&amp;"nnement Ascent) nous permet de conserver un avantage concurrentiel sur le marché très dynamique actuel. Grâce à ses puissants moteurs de configuration, Ascent rationalisera nos processus, permettant ainsi une intégration plus rapide de nouveaux partenaire"&amp;"s et le lancement de nouveaux produits sur tous les marchés.")</f>
        <v>Nous sommes ravis de collaborer avec NETSOL comme partenaire stratégique pour notre plateforme. Les solutions technologiques intelligentes de NETSOL sont reconnues dans le secteur du financement et du leasing, et le déploiement de Transcend Finance (anciennement Ascent) nous permet de conserver un avantage concurrentiel sur le marché très dynamique actuel. Grâce à ses puissants moteurs de configuration, Ascent rationalisera nos processus, permettant ainsi une intégration plus rapide de nouveaux partenaires et le lancement de nouveaux produits sur tous les marchés.</v>
      </c>
    </row>
    <row r="106" spans="1:2">
      <c r="A106" s="3" t="s">
        <v>90</v>
      </c>
      <c r="B106" s="3" t="str">
        <f ca="1">IFERROR(__xludf.DUMMYFUNCTION("IF(ISBLANK(A106),"""",GOOGLETRANSLATE(A106,""en"",""fr""))"),"Henrik Staulund Directeur commercial chez Ikano Bank")</f>
        <v>Henrik Staulund Directeur commercial chez Ikano Bank</v>
      </c>
    </row>
    <row r="107" spans="1:2">
      <c r="A107" s="3" t="s">
        <v>91</v>
      </c>
      <c r="B107" s="3" t="str">
        <f ca="1">IFERROR(__xludf.DUMMYFUNCTION("IF(ISBLANK(A107),"""",GOOGLETRANSLATE(A107,""en"",""fr""))"),"Haydock Financial rencontre le succès avec la place de marché de NETSOL")</f>
        <v>Haydock Financial rencontre le succès avec la place de marché de NETSOL</v>
      </c>
    </row>
    <row r="108" spans="1:2">
      <c r="A108" s="3" t="s">
        <v>92</v>
      </c>
      <c r="B108" s="3" t="str">
        <f ca="1">IFERROR(__xludf.DUMMYFUNCTION("IF(ISBLANK(A108),"""",GOOGLETRANSLATE(A108,""en"",""fr""))"),"Je recommande vivement Appex Now et NETSOL. Les produits sont excellents et fonctionnent à merveille. De plus, NETSOL a su répondre à nos besoins et a rapidement apporté les modifications nécessaires.")</f>
        <v>Je recommande vivement Appex Now et NETSOL. Les produits sont excellents et fonctionnent à merveille. De plus, NETSOL a su répondre à nos besoins et a rapidement apporté les modifications nécessaires.</v>
      </c>
    </row>
    <row r="109" spans="1:2">
      <c r="A109" s="3" t="s">
        <v>93</v>
      </c>
      <c r="B109" s="3" t="str">
        <f ca="1">IFERROR(__xludf.DUMMYFUNCTION("IF(ISBLANK(A109),"""",GOOGLETRANSLATE(A109,""en"",""fr""))"),"Mike Boyes")</f>
        <v>Mike Boyes</v>
      </c>
    </row>
    <row r="110" spans="1:2">
      <c r="A110" s="3" t="s">
        <v>94</v>
      </c>
      <c r="B110" s="3" t="str">
        <f ca="1">IFERROR(__xludf.DUMMYFUNCTION("IF(ISBLANK(A110),"""",GOOGLETRANSLATE(A110,""en"",""fr""))"),"Lectures et idées en vedette")</f>
        <v>Lectures et idées en vedette</v>
      </c>
    </row>
    <row r="111" spans="1:2">
      <c r="A111" s="3" t="s">
        <v>95</v>
      </c>
      <c r="B111" s="3" t="str">
        <f ca="1">IFERROR(__xludf.DUMMYFUNCTION("IF(ISBLANK(A111),"""",GOOGLETRANSLATE(A111,""en"",""fr""))"),"Restez informé des dernières actualités de NETSOL. Réflexions stratégiques, mises à jour produits, perspectives sectorielles et actualités de l'entreprise, tout est réuni au même endroit.")</f>
        <v>Restez informé des dernières actualités de NETSOL. Réflexions stratégiques, mises à jour produits, perspectives sectorielles et actualités de l'entreprise, tout est réuni au même endroit.</v>
      </c>
    </row>
    <row r="112" spans="1:2">
      <c r="A112" s="3" t="s">
        <v>96</v>
      </c>
      <c r="B112" s="3" t="str">
        <f ca="1">IFERROR(__xludf.DUMMYFUNCTION("IF(ISBLANK(A112),"""",GOOGLETRANSLATE(A112,""en"",""fr""))"),"Blog")</f>
        <v>Blog</v>
      </c>
    </row>
    <row r="113" spans="1:2">
      <c r="A113" s="3" t="s">
        <v>97</v>
      </c>
      <c r="B113" s="3" t="str">
        <f ca="1">IFERROR(__xludf.DUMMYFUNCTION("IF(ISBLANK(A113),"""",GOOGLETRANSLATE(A113,""en"",""fr""))"),"Au-delà du DMS : pourquoi l’avenir du commerce automobile repose sur les API")</f>
        <v>Au-delà du DMS : pourquoi l’avenir du commerce automobile repose sur les API</v>
      </c>
    </row>
    <row r="114" spans="1:2">
      <c r="B114" s="3" t="str">
        <f ca="1">IFERROR(__xludf.DUMMYFUNCTION("IF(ISBLANK(A114),"""",GOOGLETRANSLATE(A114,""en"",""fr""))"),"")</f>
        <v/>
      </c>
    </row>
    <row r="115" spans="1:2">
      <c r="B115" s="3" t="str">
        <f ca="1">IFERROR(__xludf.DUMMYFUNCTION("IF(ISBLANK(A115),"""",GOOGLETRANSLATE(A115,""en"",""fr""))"),"")</f>
        <v/>
      </c>
    </row>
    <row r="116" spans="1:2">
      <c r="A116" s="3" t="s">
        <v>98</v>
      </c>
      <c r="B116" s="3" t="str">
        <f ca="1">IFERROR(__xludf.DUMMYFUNCTION("IF(ISBLANK(A116),"""",GOOGLETRANSLATE(A116,""en"",""fr""))"),"NETSOL est présent à la conférence et aux prix GlobalData Automotive Europe 2025.")</f>
        <v>NETSOL est présent à la conférence et aux prix GlobalData Automotive Europe 2025.</v>
      </c>
    </row>
    <row r="117" spans="1:2">
      <c r="B117" s="3" t="str">
        <f ca="1">IFERROR(__xludf.DUMMYFUNCTION("IF(ISBLANK(A117),"""",GOOGLETRANSLATE(A117,""en"",""fr""))"),"")</f>
        <v/>
      </c>
    </row>
    <row r="118" spans="1:2">
      <c r="B118" s="3" t="str">
        <f ca="1">IFERROR(__xludf.DUMMYFUNCTION("IF(ISBLANK(A118),"""",GOOGLETRANSLATE(A118,""en"",""fr""))"),"")</f>
        <v/>
      </c>
    </row>
    <row r="119" spans="1:2">
      <c r="A119" s="3" t="s">
        <v>99</v>
      </c>
      <c r="B119" s="3" t="str">
        <f ca="1">IFERROR(__xludf.DUMMYFUNCTION("IF(ISBLANK(A119),"""",GOOGLETRANSLATE(A119,""en"",""fr""))"),"NETSOL participe au 25e Sommet annuel du financement automobile : Piloter l'avenir du financement automobile")</f>
        <v>NETSOL participe au 25e Sommet annuel du financement automobile : Piloter l'avenir du financement automobile</v>
      </c>
    </row>
    <row r="120" spans="1:2">
      <c r="B120" s="3" t="str">
        <f ca="1">IFERROR(__xludf.DUMMYFUNCTION("IF(ISBLANK(A120),"""",GOOGLETRANSLATE(A120,""en"",""fr""))"),"")</f>
        <v/>
      </c>
    </row>
    <row r="121" spans="1:2">
      <c r="B121" s="3" t="str">
        <f ca="1">IFERROR(__xludf.DUMMYFUNCTION("IF(ISBLANK(A121),"""",GOOGLETRANSLATE(A121,""en"",""fr""))"),"")</f>
        <v/>
      </c>
    </row>
    <row r="122" spans="1:2">
      <c r="A122" s="3" t="s">
        <v>100</v>
      </c>
      <c r="B122" s="3" t="str">
        <f ca="1">IFERROR(__xludf.DUMMYFUNCTION("IF(ISBLANK(A122),"""",GOOGLETRANSLATE(A122,""en"",""fr""))"),"NETSOL est présent à Digital Dealer 2025 : façonner l’avenir de la vente automobile")</f>
        <v>NETSOL est présent à Digital Dealer 2025 : façonner l’avenir de la vente automobile</v>
      </c>
    </row>
    <row r="123" spans="1:2">
      <c r="B123" s="3" t="str">
        <f ca="1">IFERROR(__xludf.DUMMYFUNCTION("IF(ISBLANK(A123),"""",GOOGLETRANSLATE(A123,""en"",""fr""))"),"")</f>
        <v/>
      </c>
    </row>
    <row r="124" spans="1:2">
      <c r="B124" s="3" t="str">
        <f ca="1">IFERROR(__xludf.DUMMYFUNCTION("IF(ISBLANK(A124),"""",GOOGLETRANSLATE(A124,""en"",""fr""))"),"")</f>
        <v/>
      </c>
    </row>
    <row r="125" spans="1:2">
      <c r="A125" s="6" t="s">
        <v>101</v>
      </c>
      <c r="B125" s="3" t="str">
        <f ca="1">IFERROR(__xludf.DUMMYFUNCTION("IF(ISBLANK(A125),"""",GOOGLETRANSLATE(A125,""en"",""fr""))"),"L'IA dans le secteur des services financiers et de l'investissement : révolutionner la gestion des risques")</f>
        <v>L'IA dans le secteur des services financiers et de l'investissement : révolutionner la gestion des risques</v>
      </c>
    </row>
    <row r="126" spans="1:2">
      <c r="B126" s="3" t="str">
        <f ca="1">IFERROR(__xludf.DUMMYFUNCTION("IF(ISBLANK(A126),"""",GOOGLETRANSLATE(A126,""en"",""fr""))"),"")</f>
        <v/>
      </c>
    </row>
    <row r="127" spans="1:2">
      <c r="B127" s="3" t="str">
        <f ca="1">IFERROR(__xludf.DUMMYFUNCTION("IF(ISBLANK(A127),"""",GOOGLETRANSLATE(A127,""en"",""fr""))"),"")</f>
        <v/>
      </c>
    </row>
    <row r="128" spans="1:2">
      <c r="A128" s="3" t="s">
        <v>102</v>
      </c>
      <c r="B128" s="3" t="str">
        <f ca="1">IFERROR(__xludf.DUMMYFUNCTION("IF(ISBLANK(A128),"""",GOOGLETRANSLATE(A128,""en"",""fr""))"),"L'importance de la personnalisation du service client : adapter la gestion des paiements et des litiges aux besoins des clients")</f>
        <v>L'importance de la personnalisation du service client : adapter la gestion des paiements et des litiges aux besoins des clients</v>
      </c>
    </row>
    <row r="129" spans="1:2">
      <c r="B129" s="3" t="str">
        <f ca="1">IFERROR(__xludf.DUMMYFUNCTION("IF(ISBLANK(A129),"""",GOOGLETRANSLATE(A129,""en"",""fr""))"),"")</f>
        <v/>
      </c>
    </row>
    <row r="130" spans="1:2">
      <c r="B130" s="3" t="str">
        <f ca="1">IFERROR(__xludf.DUMMYFUNCTION("IF(ISBLANK(A130),"""",GOOGLETRANSLATE(A130,""en"",""fr""))"),"")</f>
        <v/>
      </c>
    </row>
    <row r="131" spans="1:2">
      <c r="A131" s="3" t="s">
        <v>103</v>
      </c>
      <c r="B131" s="3" t="str">
        <f ca="1">IFERROR(__xludf.DUMMYFUNCTION("IF(ISBLANK(A131),"""",GOOGLETRANSLATE(A131,""en"",""fr""))"),"Le véritable coût des systèmes déconnectés dans le commerce de détail automobile")</f>
        <v>Le véritable coût des systèmes déconnectés dans le commerce de détail automobile</v>
      </c>
    </row>
    <row r="132" spans="1:2">
      <c r="B132" s="3" t="str">
        <f ca="1">IFERROR(__xludf.DUMMYFUNCTION("IF(ISBLANK(A132),"""",GOOGLETRANSLATE(A132,""en"",""fr""))"),"")</f>
        <v/>
      </c>
    </row>
    <row r="133" spans="1:2">
      <c r="B133" s="3" t="str">
        <f ca="1">IFERROR(__xludf.DUMMYFUNCTION("IF(ISBLANK(A133),"""",GOOGLETRANSLATE(A133,""en"",""fr""))"),"")</f>
        <v/>
      </c>
    </row>
    <row r="134" spans="1:2">
      <c r="A134" s="3" t="s">
        <v>104</v>
      </c>
      <c r="B134" s="3" t="str">
        <f ca="1">IFERROR(__xludf.DUMMYFUNCTION("IF(ISBLANK(A134),"""",GOOGLETRANSLATE(A134,""en"",""fr""))"),"Captive du futur : Comment la technologie redéfinit les opérations financières des captives - Points clés du webinaire de l'AFSA")</f>
        <v>Captive du futur : Comment la technologie redéfinit les opérations financières des captives - Points clés du webinaire de l'AFSA</v>
      </c>
    </row>
    <row r="135" spans="1:2">
      <c r="B135" s="3" t="str">
        <f ca="1">IFERROR(__xludf.DUMMYFUNCTION("IF(ISBLANK(A135),"""",GOOGLETRANSLATE(A135,""en"",""fr""))"),"")</f>
        <v/>
      </c>
    </row>
    <row r="136" spans="1:2">
      <c r="B136" s="3" t="str">
        <f ca="1">IFERROR(__xludf.DUMMYFUNCTION("IF(ISBLANK(A136),"""",GOOGLETRANSLATE(A136,""en"",""fr""))"),"")</f>
        <v/>
      </c>
    </row>
    <row r="137" spans="1:2">
      <c r="A137" s="3" t="s">
        <v>105</v>
      </c>
      <c r="B137" s="3" t="str">
        <f ca="1">IFERROR(__xludf.DUMMYFUNCTION("IF(ISBLANK(A137),"""",GOOGLETRANSLATE(A137,""en"",""fr""))"),"Lutte contre la fraude dans le secteur financier de gros : exploiter la technologie pour une détection précoce et une atténuation des risques")</f>
        <v>Lutte contre la fraude dans le secteur financier de gros : exploiter la technologie pour une détection précoce et une atténuation des risques</v>
      </c>
    </row>
    <row r="138" spans="1:2">
      <c r="B138" s="3" t="str">
        <f ca="1">IFERROR(__xludf.DUMMYFUNCTION("IF(ISBLANK(A138),"""",GOOGLETRANSLATE(A138,""en"",""fr""))"),"")</f>
        <v/>
      </c>
    </row>
    <row r="139" spans="1:2">
      <c r="A139" s="3" t="s">
        <v>106</v>
      </c>
      <c r="B139" s="3" t="str">
        <f ca="1">IFERROR(__xludf.DUMMYFUNCTION("IF(ISBLANK(A139),"""",GOOGLETRANSLATE(A139,""en"",""fr""))"),"Parlons de la suite")</f>
        <v>Parlons de la suite</v>
      </c>
    </row>
    <row r="140" spans="1:2">
      <c r="A140" s="3" t="s">
        <v>107</v>
      </c>
      <c r="B140" s="3" t="str">
        <f ca="1">IFERROR(__xludf.DUMMYFUNCTION("IF(ISBLANK(A140),"""",GOOGLETRANSLATE(A140,""en"",""fr""))"),"Repensez ce que votre entreprise peut faire avec le bon partenaire à vos côtés.")</f>
        <v>Repensez ce que votre entreprise peut faire avec le bon partenaire à vos côtés.</v>
      </c>
    </row>
    <row r="141" spans="1:2">
      <c r="B141" s="3" t="str">
        <f ca="1">IFERROR(__xludf.DUMMYFUNCTION("IF(ISBLANK(A141),"""",GOOGLETRANSLATE(A141,""en"",""fr""))"),"")</f>
        <v/>
      </c>
    </row>
    <row r="142" spans="1:2">
      <c r="A142" s="3" t="s">
        <v>108</v>
      </c>
      <c r="B142" s="3" t="str">
        <f ca="1">IFERROR(__xludf.DUMMYFUNCTION("IF(ISBLANK(A142),"""",GOOGLETRANSLATE(A142,""en"",""fr""))"),"Abonnez-vous à notre newsletter pour recevoir les dernières nouvelles dans votre boîte mail.")</f>
        <v>Abonnez-vous à notre newsletter pour recevoir les dernières nouvelles dans votre boîte mail.</v>
      </c>
    </row>
    <row r="143" spans="1:2">
      <c r="A143" s="3" t="s">
        <v>109</v>
      </c>
      <c r="B143" s="3" t="str">
        <f ca="1">IFERROR(__xludf.DUMMYFUNCTION("IF(ISBLANK(A143),"""",GOOGLETRANSLATE(A143,""en"",""fr""))"),"abc@exemple.com")</f>
        <v>abc@exemple.com</v>
      </c>
    </row>
    <row r="144" spans="1:2">
      <c r="A144" s="3" t="s">
        <v>110</v>
      </c>
      <c r="B144" s="3" t="str">
        <f ca="1">IFERROR(__xludf.DUMMYFUNCTION("IF(ISBLANK(A144),"""",GOOGLETRANSLATE(A144,""en"",""fr""))"),"S'abonner ")</f>
        <v xml:space="preserve">S'abonner </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63"/>
  <sheetViews>
    <sheetView topLeftCell="B17" workbookViewId="0">
      <selection activeCell="B47" sqref="B47"/>
    </sheetView>
  </sheetViews>
  <sheetFormatPr defaultColWidth="12.6640625" defaultRowHeight="15.75" customHeight="1"/>
  <cols>
    <col min="1" max="1" width="76" customWidth="1"/>
    <col min="2" max="2" width="22.88671875" customWidth="1"/>
  </cols>
  <sheetData>
    <row r="1" spans="1:2">
      <c r="A1" s="1" t="s">
        <v>0</v>
      </c>
      <c r="B1" s="3"/>
    </row>
    <row r="2" spans="1:2">
      <c r="A2" s="3" t="s">
        <v>111</v>
      </c>
      <c r="B2" s="3" t="str">
        <f ca="1">IFERROR(__xludf.DUMMYFUNCTION("IF(ISBLANK(A2),"""",GOOGLETRANSLATE(A2,""en"",""fr""))"),"NETSOL")</f>
        <v>NETSOL</v>
      </c>
    </row>
    <row r="3" spans="1:2">
      <c r="A3" s="3" t="s">
        <v>112</v>
      </c>
      <c r="B3" s="3" t="str">
        <f ca="1">IFERROR(__xludf.DUMMYFUNCTION("IF(ISBLANK(A3),"""",GOOGLETRANSLATE(A3,""en"",""fr""))"),"Plate-forme")</f>
        <v>Plate-forme</v>
      </c>
    </row>
    <row r="4" spans="1:2">
      <c r="A4" s="3" t="s">
        <v>113</v>
      </c>
      <c r="B4" s="3" t="str">
        <f ca="1">IFERROR(__xludf.DUMMYFUNCTION("IF(ISBLANK(A4),"""",GOOGLETRANSLATE(A4,""en"",""fr""))"),"Aperçu")</f>
        <v>Aperçu</v>
      </c>
    </row>
    <row r="5" spans="1:2">
      <c r="A5" s="3" t="s">
        <v>15</v>
      </c>
      <c r="B5" s="3" t="str">
        <f ca="1">IFERROR(__xludf.DUMMYFUNCTION("IF(ISBLANK(A5),"""",GOOGLETRANSLATE(A5,""en"",""fr""))"),"Plateforme Transcend")</f>
        <v>Plateforme Transcend</v>
      </c>
    </row>
    <row r="6" spans="1:2">
      <c r="A6" s="3" t="s">
        <v>114</v>
      </c>
      <c r="B6" s="3" t="str">
        <f ca="1">IFERROR(__xludf.DUMMYFUNCTION("IF(ISBLANK(A6),"""",GOOGLETRANSLATE(A6,""en"",""fr""))"),"Écosystème d'IA composable orchestrant le financement mondial des actifs et du commerce de détail")</f>
        <v>Écosystème d'IA composable orchestrant le financement mondial des actifs et du commerce de détail</v>
      </c>
    </row>
    <row r="7" spans="1:2">
      <c r="A7" s="3" t="s">
        <v>115</v>
      </c>
      <c r="B7" s="3" t="str">
        <f ca="1">IFERROR(__xludf.DUMMYFUNCTION("IF(ISBLANK(A7),"""",GOOGLETRANSLATE(A7,""en"",""fr""))"),"Commerce de détail numérique")</f>
        <v>Commerce de détail numérique</v>
      </c>
    </row>
    <row r="8" spans="1:2">
      <c r="A8" s="6" t="s">
        <v>116</v>
      </c>
      <c r="B8" s="3" t="str">
        <f ca="1">IFERROR(__xludf.DUMMYFUNCTION("IF(ISBLANK(A8),"""",GOOGLETRANSLATE(A8,""en"",""fr""))"),"Redéfinir la vente automobile grâce aux données connectées et aux flux de travail intelligents")</f>
        <v>Redéfinir la vente automobile grâce aux données connectées et aux flux de travail intelligents</v>
      </c>
    </row>
    <row r="9" spans="1:2">
      <c r="A9" s="6" t="s">
        <v>117</v>
      </c>
      <c r="B9" s="3" t="str">
        <f ca="1">IFERROR(__xludf.DUMMYFUNCTION("IF(ISBLANK(A9),"""",GOOGLETRANSLATE(A9,""en"",""fr""))"),"Portails intermédiaires")</f>
        <v>Portails intermédiaires</v>
      </c>
    </row>
    <row r="10" spans="1:2">
      <c r="A10" s="3" t="s">
        <v>118</v>
      </c>
      <c r="B10" s="3" t="str">
        <f ca="1">IFERROR(__xludf.DUMMYFUNCTION("IF(ISBLANK(A10),"""",GOOGLETRANSLATE(A10,""en"",""fr""))"),"Passerelles numériques de marque unifiant partenaires, canaux et clients")</f>
        <v>Passerelles numériques de marque unifiant partenaires, canaux et clients</v>
      </c>
    </row>
    <row r="11" spans="1:2">
      <c r="A11" s="6" t="s">
        <v>119</v>
      </c>
      <c r="B11" s="3" t="str">
        <f ca="1">IFERROR(__xludf.DUMMYFUNCTION("IF(ISBLANK(A11),"""",GOOGLETRANSLATE(A11,""en"",""fr""))"),"Origines")</f>
        <v>Origines</v>
      </c>
    </row>
    <row r="12" spans="1:2">
      <c r="A12" s="3" t="s">
        <v>120</v>
      </c>
      <c r="B12" s="3" t="str">
        <f ca="1">IFERROR(__xludf.DUMMYFUNCTION("IF(ISBLANK(A12),"""",GOOGLETRANSLATE(A12,""en"",""fr""))"),"Découvrez l'avenir de l'origination de crédits-bails et de prêts avec des plateformes agiles, intuitives et multicanaux")</f>
        <v>Découvrez l'avenir de l'origination de crédits-bails et de prêts avec des plateformes agiles, intuitives et multicanaux</v>
      </c>
    </row>
    <row r="13" spans="1:2">
      <c r="A13" s="6" t="s">
        <v>121</v>
      </c>
      <c r="B13" s="3" t="str">
        <f ca="1">IFERROR(__xludf.DUMMYFUNCTION("IF(ISBLANK(A13),"""",GOOGLETRANSLATE(A13,""en"",""fr""))"),"Entretien")</f>
        <v>Entretien</v>
      </c>
    </row>
    <row r="14" spans="1:2">
      <c r="A14" s="6" t="s">
        <v>122</v>
      </c>
      <c r="B14" s="3" t="str">
        <f ca="1">IFERROR(__xludf.DUMMYFUNCTION("IF(ISBLANK(A14),"""",GOOGLETRANSLATE(A14,""en"",""fr""))"),"Cadre de services adaptatifs améliorant l'efficacité et la compréhension du cycle de vie")</f>
        <v>Cadre de services adaptatifs améliorant l'efficacité et la compréhension du cycle de vie</v>
      </c>
    </row>
    <row r="15" spans="1:2">
      <c r="A15" s="6" t="s">
        <v>123</v>
      </c>
      <c r="B15" s="3" t="str">
        <f ca="1">IFERROR(__xludf.DUMMYFUNCTION("IF(ISBLANK(A15),"""",GOOGLETRANSLATE(A15,""en"",""fr""))"),"Financement de gros")</f>
        <v>Financement de gros</v>
      </c>
    </row>
    <row r="16" spans="1:2">
      <c r="A16" s="6" t="s">
        <v>124</v>
      </c>
      <c r="B16" s="3" t="str">
        <f ca="1">IFERROR(__xludf.DUMMYFUNCTION("IF(ISBLANK(A16),"""",GOOGLETRANSLATE(A16,""en"",""fr""))"),"Une infrastructure financière dynamique qui alimente des écosystèmes de concessionnaires résilients")</f>
        <v>Une infrastructure financière dynamique qui alimente des écosystèmes de concessionnaires résilients</v>
      </c>
    </row>
    <row r="17" spans="1:2">
      <c r="A17" s="6" t="s">
        <v>125</v>
      </c>
      <c r="B17" s="3" t="str">
        <f ca="1">IFERROR(__xludf.DUMMYFUNCTION("IF(ISBLANK(A17),"""",GOOGLETRANSLATE(A17,""en"",""fr""))"),"Solutions de mobilité")</f>
        <v>Solutions de mobilité</v>
      </c>
    </row>
    <row r="18" spans="1:2">
      <c r="A18" s="6" t="s">
        <v>126</v>
      </c>
      <c r="B18" s="3" t="str">
        <f ca="1">IFERROR(__xludf.DUMMYFUNCTION("IF(ISBLANK(A18),"""",GOOGLETRANSLATE(A18,""en"",""fr""))"),"L'évolution de la mobilité grâce à des cadres numériques modulaires et axés sur les données")</f>
        <v>L'évolution de la mobilité grâce à des cadres numériques modulaires et axés sur les données</v>
      </c>
    </row>
    <row r="19" spans="1:2">
      <c r="A19" s="3" t="s">
        <v>38</v>
      </c>
      <c r="B19" s="3" t="str">
        <f ca="1">IFERROR(__xludf.DUMMYFUNCTION("IF(ISBLANK(A19),"""",GOOGLETRANSLATE(A19,""en"",""fr""))"),"Laboratoires d'IA")</f>
        <v>Laboratoires d'IA</v>
      </c>
    </row>
    <row r="20" spans="1:2">
      <c r="A20" s="3" t="s">
        <v>127</v>
      </c>
      <c r="B20" s="3" t="str">
        <f ca="1">IFERROR(__xludf.DUMMYFUNCTION("IF(ISBLANK(A20),"""",GOOGLETRANSLATE(A20,""en"",""fr""))"),"L'intelligence appliquée accélère la transformation inter-prix et la confiance")</f>
        <v>L'intelligence appliquée accélère la transformation inter-prix et la confiance</v>
      </c>
    </row>
    <row r="21" spans="1:2">
      <c r="A21" s="3" t="s">
        <v>128</v>
      </c>
      <c r="B21" s="3" t="str">
        <f ca="1">IFERROR(__xludf.DUMMYFUNCTION("IF(ISBLANK(A21),"""",GOOGLETRANSLATE(A21,""en"",""fr""))"),"marché")</f>
        <v>marché</v>
      </c>
    </row>
    <row r="22" spans="1:2">
      <c r="B22" s="3" t="str">
        <f ca="1">IFERROR(__xludf.DUMMYFUNCTION("IF(ISBLANK(A22),"""",GOOGLETRANSLATE(A22,""en"",""fr""))"),"")</f>
        <v/>
      </c>
    </row>
    <row r="23" spans="1:2">
      <c r="A23" s="3" t="s">
        <v>113</v>
      </c>
      <c r="B23" s="3" t="str">
        <f ca="1">IFERROR(__xludf.DUMMYFUNCTION("IF(ISBLANK(A23),"""",GOOGLETRANSLATE(A23,""en"",""fr""))"),"Aperçu")</f>
        <v>Aperçu</v>
      </c>
    </row>
    <row r="24" spans="1:2">
      <c r="A24" s="3" t="s">
        <v>55</v>
      </c>
      <c r="B24" s="3" t="str">
        <f ca="1">IFERROR(__xludf.DUMMYFUNCTION("IF(ISBLANK(A24),"""",GOOGLETRANSLATE(A24,""en"",""fr""))"),"Conseil")</f>
        <v>Conseil</v>
      </c>
    </row>
    <row r="25" spans="1:2">
      <c r="A25" s="7" t="s">
        <v>129</v>
      </c>
      <c r="B25" s="3" t="str">
        <f ca="1">IFERROR(__xludf.DUMMYFUNCTION("IF(ISBLANK(A25),"""",GOOGLETRANSLATE(A25,""en"",""fr""))"),"Conseil en cycle de vie pour les BFSI qui optimise le retour sur investissement")</f>
        <v>Conseil en cycle de vie pour les BFSI qui optimise le retour sur investissement</v>
      </c>
    </row>
    <row r="26" spans="1:2">
      <c r="A26" s="6" t="s">
        <v>58</v>
      </c>
      <c r="B26" s="3" t="str">
        <f ca="1">IFERROR(__xludf.DUMMYFUNCTION("IF(ISBLANK(A26),"""",GOOGLETRANSLATE(A26,""en"",""fr""))"),"Sécurité de l'information")</f>
        <v>Sécurité de l'information</v>
      </c>
    </row>
    <row r="27" spans="1:2">
      <c r="A27" s="6" t="s">
        <v>130</v>
      </c>
      <c r="B27" s="3" t="str">
        <f ca="1">IFERROR(__xludf.DUMMYFUNCTION("IF(ISBLANK(A27),"""",GOOGLETRANSLATE(A27,""en"",""fr""))"),"Défense en temps réel avec conformité prête à l'audit")</f>
        <v>Défense en temps réel avec conformité prête à l'audit</v>
      </c>
    </row>
    <row r="28" spans="1:2">
      <c r="A28" s="6" t="s">
        <v>131</v>
      </c>
      <c r="B28" s="3" t="str">
        <f ca="1">IFERROR(__xludf.DUMMYFUNCTION("IF(ISBLANK(A28),"""",GOOGLETRANSLATE(A28,""en"",""fr""))"),"Solutions numériques")</f>
        <v>Solutions numériques</v>
      </c>
    </row>
    <row r="29" spans="1:2">
      <c r="A29" s="6" t="s">
        <v>132</v>
      </c>
      <c r="B29" s="3" t="str">
        <f ca="1">IFERROR(__xludf.DUMMYFUNCTION("IF(ISBLANK(A29),"""",GOOGLETRANSLATE(A29,""en"",""fr""))"),"IA, cloud et automatisation intégrés aux opérations quotidiennes")</f>
        <v>IA, cloud et automatisation intégrés aux opérations quotidiennes</v>
      </c>
    </row>
    <row r="30" spans="1:2">
      <c r="A30" s="6" t="s">
        <v>133</v>
      </c>
      <c r="B30" s="3" t="str">
        <f ca="1">IFERROR(__xludf.DUMMYFUNCTION("IF(ISBLANK(A30),"""",GOOGLETRANSLATE(A30,""en"",""fr""))"),"IA, ML et analyse de données")</f>
        <v>IA, ML et analyse de données</v>
      </c>
    </row>
    <row r="31" spans="1:2">
      <c r="A31" s="6" t="s">
        <v>134</v>
      </c>
      <c r="B31" s="3" t="str">
        <f ca="1">IFERROR(__xludf.DUMMYFUNCTION("IF(ISBLANK(A31),"""",GOOGLETRANSLATE(A31,""en"",""fr""))"),"Prédisez, automatisez et décidez plus rapidement avec l'IA et le ML")</f>
        <v>Prédisez, automatisez et décidez plus rapidement avec l'IA et le ML</v>
      </c>
    </row>
    <row r="32" spans="1:2">
      <c r="A32" s="6" t="s">
        <v>135</v>
      </c>
      <c r="B32" s="3" t="str">
        <f ca="1">IFERROR(__xludf.DUMMYFUNCTION("IF(ISBLANK(A32),"""",GOOGLETRANSLATE(A32,""en"",""fr""))"),"IA générative")</f>
        <v>IA générative</v>
      </c>
    </row>
    <row r="33" spans="1:2">
      <c r="A33" s="6" t="s">
        <v>136</v>
      </c>
      <c r="B33" s="3" t="str">
        <f ca="1">IFERROR(__xludf.DUMMYFUNCTION("IF(ISBLANK(A33),"""",GOOGLETRANSLATE(A33,""en"",""fr""))"),"Créez, adaptez et personnalisez à la vitesse de l'entreprise")</f>
        <v>Créez, adaptez et personnalisez à la vitesse de l'entreprise</v>
      </c>
    </row>
    <row r="34" spans="1:2">
      <c r="A34" s="6" t="s">
        <v>137</v>
      </c>
      <c r="B34" s="3" t="str">
        <f ca="1">IFERROR(__xludf.DUMMYFUNCTION("IF(ISBLANK(A34),"""",GOOGLETRANSLATE(A34,""en"",""fr""))"),"Politique et stratégie")</f>
        <v>Politique et stratégie</v>
      </c>
    </row>
    <row r="35" spans="1:2">
      <c r="A35" s="6" t="s">
        <v>138</v>
      </c>
      <c r="B35" s="3" t="str">
        <f ca="1">IFERROR(__xludf.DUMMYFUNCTION("IF(ISBLANK(A35),"""",GOOGLETRANSLATE(A35,""en"",""fr""))"),"Technologies émergentes")</f>
        <v>Technologies émergentes</v>
      </c>
    </row>
    <row r="36" spans="1:2">
      <c r="A36" s="6" t="s">
        <v>139</v>
      </c>
      <c r="B36" s="3" t="str">
        <f ca="1">IFERROR(__xludf.DUMMYFUNCTION("IF(ISBLANK(A36),"""",GOOGLETRANSLATE(A36,""en"",""fr""))"),"Démontrer et déployer à grande échelle les prochaines étapes, en toute sécurité")</f>
        <v>Démontrer et déployer à grande échelle les prochaines étapes, en toute sécurité</v>
      </c>
    </row>
    <row r="37" spans="1:2">
      <c r="A37" s="6" t="s">
        <v>60</v>
      </c>
      <c r="B37" s="3" t="str">
        <f ca="1">IFERROR(__xludf.DUMMYFUNCTION("IF(ISBLANK(A37),"""",GOOGLETRANSLATE(A37,""en"",""fr""))"),"Services cloud")</f>
        <v>Services cloud</v>
      </c>
    </row>
    <row r="38" spans="1:2">
      <c r="A38" s="6" t="s">
        <v>140</v>
      </c>
      <c r="B38" s="3" t="str">
        <f ca="1">IFERROR(__xludf.DUMMYFUNCTION("IF(ISBLANK(A38),"""",GOOGLETRANSLATE(A38,""en"",""fr""))"),"Cloud natif sur multicloud conçu pour l'évolutivité et la disponibilité")</f>
        <v>Cloud natif sur multicloud conçu pour l'évolutivité et la disponibilité</v>
      </c>
    </row>
    <row r="39" spans="1:2">
      <c r="A39" s="6" t="s">
        <v>141</v>
      </c>
      <c r="B39" s="3" t="str">
        <f ca="1">IFERROR(__xludf.DUMMYFUNCTION("IF(ISBLANK(A39),"""",GOOGLETRANSLATE(A39,""en"",""fr""))"),"Ingénierie des données")</f>
        <v>Ingénierie des données</v>
      </c>
    </row>
    <row r="40" spans="1:2">
      <c r="A40" s="6" t="s">
        <v>142</v>
      </c>
      <c r="B40" s="3" t="str">
        <f ca="1">IFERROR(__xludf.DUMMYFUNCTION("IF(ISBLANK(A40),"""",GOOGLETRANSLATE(A40,""en"",""fr""))"),"Des couches de données fiables qui alimentent l'IA et les décisions")</f>
        <v>Des couches de données fiables qui alimentent l'IA et les décisions</v>
      </c>
    </row>
    <row r="41" spans="1:2">
      <c r="A41" s="3" t="s">
        <v>143</v>
      </c>
      <c r="B41" s="3" t="str">
        <f ca="1">IFERROR(__xludf.DUMMYFUNCTION("IF(ISBLANK(A41),"""",GOOGLETRANSLATE(A41,""en"",""fr""))"),"Solutions")</f>
        <v>Solutions</v>
      </c>
    </row>
    <row r="42" spans="1:2">
      <c r="B42" s="3" t="str">
        <f ca="1">IFERROR(__xludf.DUMMYFUNCTION("IF(ISBLANK(A42),"""",GOOGLETRANSLATE(A42,""en"",""fr""))"),"")</f>
        <v/>
      </c>
    </row>
    <row r="43" spans="1:2">
      <c r="A43" s="3" t="s">
        <v>144</v>
      </c>
      <c r="B43" s="3" t="str">
        <f ca="1">IFERROR(__xludf.DUMMYFUNCTION("IF(ISBLANK(A43),"""",GOOGLETRANSLATE(A43,""en"",""fr""))"),"financement d'équipement")</f>
        <v>financement d'équipement</v>
      </c>
    </row>
    <row r="44" spans="1:2">
      <c r="A44" s="3" t="s">
        <v>145</v>
      </c>
      <c r="B44" s="3" t="str">
        <f ca="1">IFERROR(__xludf.DUMMYFUNCTION("IF(ISBLANK(A44),"""",GOOGLETRANSLATE(A44,""en"",""fr""))"),"Financement automobile")</f>
        <v>Financement automobile</v>
      </c>
    </row>
    <row r="45" spans="1:2">
      <c r="A45" s="3" t="s">
        <v>146</v>
      </c>
      <c r="B45" s="3" t="str">
        <f ca="1">IFERROR(__xludf.DUMMYFUNCTION("IF(ISBLANK(A45),"""",GOOGLETRANSLATE(A45,""en"",""fr""))"),"Un écosystème intelligent redéfinit le financement automobile")</f>
        <v>Un écosystème intelligent redéfinit le financement automobile</v>
      </c>
    </row>
    <row r="46" spans="1:2">
      <c r="B46" s="3" t="str">
        <f ca="1">IFERROR(__xludf.DUMMYFUNCTION("IF(ISBLANK(A46),"""",GOOGLETRANSLATE(A46,""en"",""fr""))"),"")</f>
        <v/>
      </c>
    </row>
    <row r="47" spans="1:2">
      <c r="A47" s="7" t="s">
        <v>147</v>
      </c>
      <c r="B47" s="3" t="str">
        <f ca="1">IFERROR(__xludf.DUMMYFUNCTION("IF(ISBLANK(A47),"""",GOOGLETRANSLATE(A47,""en"",""fr""))"),"Plateforme alimentée par l'IA conçue pour le financement d'équipements modernes")</f>
        <v>Plateforme alimentée par l'IA conçue pour le financement d'équipements modernes</v>
      </c>
    </row>
    <row r="48" spans="1:2">
      <c r="A48" s="3" t="s">
        <v>148</v>
      </c>
      <c r="B48" s="3" t="str">
        <f ca="1">IFERROR(__xludf.DUMMYFUNCTION("IF(ISBLANK(A48),"""",GOOGLETRANSLATE(A48,""en"",""fr""))"),"Connaissances")</f>
        <v>Connaissances</v>
      </c>
    </row>
    <row r="49" spans="1:2">
      <c r="B49" s="3" t="str">
        <f ca="1">IFERROR(__xludf.DUMMYFUNCTION("IF(ISBLANK(A49),"""",GOOGLETRANSLATE(A49,""en"",""fr""))"),"")</f>
        <v/>
      </c>
    </row>
    <row r="50" spans="1:2">
      <c r="A50" s="3" t="s">
        <v>113</v>
      </c>
      <c r="B50" s="3" t="str">
        <f ca="1">IFERROR(__xludf.DUMMYFUNCTION("IF(ISBLANK(A50),"""",GOOGLETRANSLATE(A50,""en"",""fr""))"),"Aperçu")</f>
        <v>Aperçu</v>
      </c>
    </row>
    <row r="51" spans="1:2">
      <c r="A51" s="3" t="s">
        <v>149</v>
      </c>
      <c r="B51" s="3" t="str">
        <f ca="1">IFERROR(__xludf.DUMMYFUNCTION("IF(ISBLANK(A51),"""",GOOGLETRANSLATE(A51,""en"",""fr""))"),"À propos de nous")</f>
        <v>À propos de nous</v>
      </c>
    </row>
    <row r="52" spans="1:2">
      <c r="A52" s="7" t="s">
        <v>150</v>
      </c>
      <c r="B52" s="3" t="str">
        <f ca="1">IFERROR(__xludf.DUMMYFUNCTION("IF(ISBLANK(A52),"""",GOOGLETRANSLATE(A52,""en"",""fr""))"),"Technologie, confiance et expertise du domaine en mouvement")</f>
        <v>Technologie, confiance et expertise du domaine en mouvement</v>
      </c>
    </row>
    <row r="53" spans="1:2">
      <c r="A53" s="6" t="s">
        <v>151</v>
      </c>
      <c r="B53" s="3" t="str">
        <f ca="1">IFERROR(__xludf.DUMMYFUNCTION("IF(ISBLANK(A53),"""",GOOGLETRANSLATE(A53,""en"",""fr""))"),"Conseil d'administration")</f>
        <v>Conseil d'administration</v>
      </c>
    </row>
    <row r="54" spans="1:2">
      <c r="A54" s="6" t="s">
        <v>152</v>
      </c>
      <c r="B54" s="3" t="str">
        <f ca="1">IFERROR(__xludf.DUMMYFUNCTION("IF(ISBLANK(A54),"""",GOOGLETRANSLATE(A54,""en"",""fr""))"),"Gardiens de la vision, de l'intégrité et de la croissance à long terme")</f>
        <v>Gardiens de la vision, de l'intégrité et de la croissance à long terme</v>
      </c>
    </row>
    <row r="55" spans="1:2">
      <c r="A55" s="6" t="s">
        <v>153</v>
      </c>
      <c r="B55" s="3" t="str">
        <f ca="1">IFERROR(__xludf.DUMMYFUNCTION("IF(ISBLANK(A55),"""",GOOGLETRANSLATE(A55,""en"",""fr""))"),"Équipe de direction")</f>
        <v>Équipe de direction</v>
      </c>
    </row>
    <row r="56" spans="1:2">
      <c r="A56" s="6" t="s">
        <v>154</v>
      </c>
      <c r="B56" s="3" t="str">
        <f ca="1">IFERROR(__xludf.DUMMYFUNCTION("IF(ISBLANK(A56),"""",GOOGLETRANSLATE(A56,""en"",""fr""))"),"Pionnier de l'architecture de la finance moderne")</f>
        <v>Pionnier de l'architecture de la finance moderne</v>
      </c>
    </row>
    <row r="57" spans="1:2">
      <c r="A57" s="6" t="s">
        <v>155</v>
      </c>
      <c r="B57" s="3" t="str">
        <f ca="1">IFERROR(__xludf.DUMMYFUNCTION("IF(ISBLANK(A57),"""",GOOGLETRANSLATE(A57,""en"",""fr""))"),"Nouvelles")</f>
        <v>Nouvelles</v>
      </c>
    </row>
    <row r="58" spans="1:2">
      <c r="A58" s="6" t="s">
        <v>156</v>
      </c>
      <c r="B58" s="3" t="str">
        <f ca="1">IFERROR(__xludf.DUMMYFUNCTION("IF(ISBLANK(A58),"""",GOOGLETRANSLATE(A58,""en"",""fr""))"),"Innovation, progrès et perspectives de NETSOL")</f>
        <v>Innovation, progrès et perspectives de NETSOL</v>
      </c>
    </row>
    <row r="59" spans="1:2">
      <c r="A59" s="6" t="s">
        <v>157</v>
      </c>
      <c r="B59" s="3" t="str">
        <f ca="1">IFERROR(__xludf.DUMMYFUNCTION("IF(ISBLANK(A59),"""",GOOGLETRANSLATE(A59,""en"",""fr""))"),"Investisseurs")</f>
        <v>Investisseurs</v>
      </c>
    </row>
    <row r="60" spans="1:2">
      <c r="A60" s="6" t="s">
        <v>158</v>
      </c>
      <c r="B60" s="3" t="str">
        <f ca="1">IFERROR(__xludf.DUMMYFUNCTION("IF(ISBLANK(A60),"""",GOOGLETRANSLATE(A60,""en"",""fr""))"),"Générer une valeur durable grâce à une croissance stratégique")</f>
        <v>Générer une valeur durable grâce à une croissance stratégique</v>
      </c>
    </row>
    <row r="61" spans="1:2">
      <c r="A61" s="6" t="s">
        <v>159</v>
      </c>
      <c r="B61" s="3" t="str">
        <f ca="1">IFERROR(__xludf.DUMMYFUNCTION("IF(ISBLANK(A61),"""",GOOGLETRANSLATE(A61,""en"",""fr""))"),"Carrières")</f>
        <v>Carrières</v>
      </c>
    </row>
    <row r="62" spans="1:2">
      <c r="A62" s="6" t="s">
        <v>160</v>
      </c>
      <c r="B62" s="3" t="str">
        <f ca="1">IFERROR(__xludf.DUMMYFUNCTION("IF(ISBLANK(A62),"""",GOOGLETRANSLATE(A62,""en"",""fr""))"),"Rejoignez les personnes qui propulsent l'avenir du financement et du crédit-bail d'actifs")</f>
        <v>Rejoignez les personnes qui propulsent l'avenir du financement et du crédit-bail d'actifs</v>
      </c>
    </row>
    <row r="63" spans="1:2">
      <c r="A63" s="3" t="s">
        <v>161</v>
      </c>
      <c r="B63" s="3" t="str">
        <f ca="1">IFERROR(__xludf.DUMMYFUNCTION("IF(ISBLANK(A63),"""",GOOGLETRANSLATE(A63,""en"",""fr""))"),"Contactez-nous")</f>
        <v>Contactez-nous</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57"/>
  <sheetViews>
    <sheetView topLeftCell="A34" workbookViewId="0"/>
  </sheetViews>
  <sheetFormatPr defaultColWidth="12.6640625" defaultRowHeight="15.75" customHeight="1"/>
  <cols>
    <col min="1" max="1" width="41.6640625" customWidth="1"/>
  </cols>
  <sheetData>
    <row r="1" spans="1:2">
      <c r="A1" s="3" t="s">
        <v>0</v>
      </c>
      <c r="B1" s="3"/>
    </row>
    <row r="2" spans="1:2">
      <c r="A2" s="3" t="s">
        <v>111</v>
      </c>
      <c r="B2" s="3" t="str">
        <f ca="1">IFERROR(__xludf.DUMMYFUNCTION("IF(ISBLANK(A2),"""",GOOGLETRANSLATE(A2,""en"",""fr""))"),"NETSOL")</f>
        <v>NETSOL</v>
      </c>
    </row>
    <row r="3" spans="1:2">
      <c r="A3" s="3" t="s">
        <v>162</v>
      </c>
      <c r="B3" s="3" t="str">
        <f ca="1">IFERROR(__xludf.DUMMYFUNCTION("IF(ISBLANK(A3),"""",GOOGLETRANSLATE(A3,""en"",""fr""))"),"Pourquoi NETSOL")</f>
        <v>Pourquoi NETSOL</v>
      </c>
    </row>
    <row r="4" spans="1:2">
      <c r="A4" s="3" t="s">
        <v>151</v>
      </c>
      <c r="B4" s="3" t="str">
        <f ca="1">IFERROR(__xludf.DUMMYFUNCTION("IF(ISBLANK(A4),"""",GOOGLETRANSLATE(A4,""en"",""fr""))"),"Conseil d'administration")</f>
        <v>Conseil d'administration</v>
      </c>
    </row>
    <row r="5" spans="1:2">
      <c r="A5" s="3" t="s">
        <v>153</v>
      </c>
      <c r="B5" s="3" t="str">
        <f ca="1">IFERROR(__xludf.DUMMYFUNCTION("IF(ISBLANK(A5),"""",GOOGLETRANSLATE(A5,""en"",""fr""))"),"Équipe de direction")</f>
        <v>Équipe de direction</v>
      </c>
    </row>
    <row r="6" spans="1:2">
      <c r="A6" s="3" t="s">
        <v>159</v>
      </c>
      <c r="B6" s="3" t="str">
        <f ca="1">IFERROR(__xludf.DUMMYFUNCTION("IF(ISBLANK(A6),"""",GOOGLETRANSLATE(A6,""en"",""fr""))"),"Carrières")</f>
        <v>Carrières</v>
      </c>
    </row>
    <row r="7" spans="1:2">
      <c r="A7" s="3" t="s">
        <v>157</v>
      </c>
      <c r="B7" s="3" t="str">
        <f ca="1">IFERROR(__xludf.DUMMYFUNCTION("IF(ISBLANK(A7),"""",GOOGLETRANSLATE(A7,""en"",""fr""))"),"Investisseurs")</f>
        <v>Investisseurs</v>
      </c>
    </row>
    <row r="8" spans="1:2">
      <c r="A8" s="3" t="s">
        <v>163</v>
      </c>
      <c r="B8" s="3" t="str">
        <f ca="1">IFERROR(__xludf.DUMMYFUNCTION("IF(ISBLANK(A8),"""",GOOGLETRANSLATE(A8,""en"",""fr""))"),"Informations sur l'entreprise")</f>
        <v>Informations sur l'entreprise</v>
      </c>
    </row>
    <row r="9" spans="1:2">
      <c r="A9" s="3" t="s">
        <v>155</v>
      </c>
      <c r="B9" s="3" t="str">
        <f ca="1">IFERROR(__xludf.DUMMYFUNCTION("IF(ISBLANK(A9),"""",GOOGLETRANSLATE(A9,""en"",""fr""))"),"Nouvelles")</f>
        <v>Nouvelles</v>
      </c>
    </row>
    <row r="10" spans="1:2">
      <c r="A10" s="3" t="s">
        <v>164</v>
      </c>
      <c r="B10" s="3" t="str">
        <f ca="1">IFERROR(__xludf.DUMMYFUNCTION("IF(ISBLANK(A10),"""",GOOGLETRANSLATE(A10,""en"",""fr""))"),"Données boursières")</f>
        <v>Données boursières</v>
      </c>
    </row>
    <row r="11" spans="1:2">
      <c r="A11" s="3" t="s">
        <v>165</v>
      </c>
      <c r="B11" s="3" t="str">
        <f ca="1">IFERROR(__xludf.DUMMYFUNCTION("IF(ISBLANK(A11),"""",GOOGLETRANSLATE(A11,""en"",""fr""))"),"Documents déposés auprès de la SEC")</f>
        <v>Documents déposés auprès de la SEC</v>
      </c>
    </row>
    <row r="12" spans="1:2">
      <c r="A12" s="3" t="s">
        <v>166</v>
      </c>
      <c r="B12" s="3" t="str">
        <f ca="1">IFERROR(__xludf.DUMMYFUNCTION("IF(ISBLANK(A12),"""",GOOGLETRANSLATE(A12,""en"",""fr""))"),"Produits")</f>
        <v>Produits</v>
      </c>
    </row>
    <row r="13" spans="1:2">
      <c r="A13" s="3" t="s">
        <v>15</v>
      </c>
      <c r="B13" s="3" t="str">
        <f ca="1">IFERROR(__xludf.DUMMYFUNCTION("IF(ISBLANK(A13),"""",GOOGLETRANSLATE(A13,""en"",""fr""))"),"Plateforme Transcend")</f>
        <v>Plateforme Transcend</v>
      </c>
    </row>
    <row r="14" spans="1:2">
      <c r="A14" s="3" t="s">
        <v>115</v>
      </c>
      <c r="B14" s="3" t="str">
        <f ca="1">IFERROR(__xludf.DUMMYFUNCTION("IF(ISBLANK(A14),"""",GOOGLETRANSLATE(A14,""en"",""fr""))"),"Commerce de détail numérique")</f>
        <v>Commerce de détail numérique</v>
      </c>
    </row>
    <row r="15" spans="1:2">
      <c r="A15" s="3" t="s">
        <v>117</v>
      </c>
      <c r="B15" s="3" t="str">
        <f ca="1">IFERROR(__xludf.DUMMYFUNCTION("IF(ISBLANK(A15),"""",GOOGLETRANSLATE(A15,""en"",""fr""))"),"Portails intermédiaires")</f>
        <v>Portails intermédiaires</v>
      </c>
    </row>
    <row r="16" spans="1:2">
      <c r="A16" s="3" t="s">
        <v>119</v>
      </c>
      <c r="B16" s="3" t="str">
        <f ca="1">IFERROR(__xludf.DUMMYFUNCTION("IF(ISBLANK(A16),"""",GOOGLETRANSLATE(A16,""en"",""fr""))"),"Origines")</f>
        <v>Origines</v>
      </c>
    </row>
    <row r="17" spans="1:2">
      <c r="A17" s="3" t="s">
        <v>121</v>
      </c>
      <c r="B17" s="3" t="str">
        <f ca="1">IFERROR(__xludf.DUMMYFUNCTION("IF(ISBLANK(A17),"""",GOOGLETRANSLATE(A17,""en"",""fr""))"),"Entretien")</f>
        <v>Entretien</v>
      </c>
    </row>
    <row r="18" spans="1:2">
      <c r="A18" s="3" t="s">
        <v>123</v>
      </c>
      <c r="B18" s="3" t="str">
        <f ca="1">IFERROR(__xludf.DUMMYFUNCTION("IF(ISBLANK(A18),"""",GOOGLETRANSLATE(A18,""en"",""fr""))"),"Financement de gros")</f>
        <v>Financement de gros</v>
      </c>
    </row>
    <row r="19" spans="1:2">
      <c r="A19" s="3" t="s">
        <v>125</v>
      </c>
      <c r="B19" s="3" t="str">
        <f ca="1">IFERROR(__xludf.DUMMYFUNCTION("IF(ISBLANK(A19),"""",GOOGLETRANSLATE(A19,""en"",""fr""))"),"Solutions de mobilité")</f>
        <v>Solutions de mobilité</v>
      </c>
    </row>
    <row r="20" spans="1:2">
      <c r="A20" s="3" t="s">
        <v>48</v>
      </c>
      <c r="B20" s="3" t="str">
        <f ca="1">IFERROR(__xludf.DUMMYFUNCTION("IF(ISBLANK(A20),"""",GOOGLETRANSLATE(A20,""en"",""fr""))"),"Marché")</f>
        <v>Marché</v>
      </c>
    </row>
    <row r="21" spans="1:2">
      <c r="A21" s="3" t="s">
        <v>167</v>
      </c>
      <c r="B21" s="3" t="str">
        <f ca="1">IFERROR(__xludf.DUMMYFUNCTION("IF(ISBLANK(A21),"""",GOOGLETRANSLATE(A21,""en"",""fr""))"),"Moteur de calcul")</f>
        <v>Moteur de calcul</v>
      </c>
    </row>
    <row r="22" spans="1:2">
      <c r="A22" s="3" t="s">
        <v>168</v>
      </c>
      <c r="B22" s="3" t="str">
        <f ca="1">IFERROR(__xludf.DUMMYFUNCTION("IF(ISBLANK(A22),"""",GOOGLETRANSLATE(A22,""en"",""fr""))"),"Génération de documents")</f>
        <v>Génération de documents</v>
      </c>
    </row>
    <row r="23" spans="1:2">
      <c r="A23" s="3" t="s">
        <v>169</v>
      </c>
      <c r="B23" s="3" t="str">
        <f ca="1">IFERROR(__xludf.DUMMYFUNCTION("IF(ISBLANK(A23),"""",GOOGLETRANSLATE(A23,""en"",""fr""))"),"Bibliothèque d'API")</f>
        <v>Bibliothèque d'API</v>
      </c>
    </row>
    <row r="24" spans="1:2">
      <c r="A24" s="3" t="s">
        <v>170</v>
      </c>
      <c r="B24" s="3" t="str">
        <f ca="1">IFERROR(__xludf.DUMMYFUNCTION("IF(ISBLANK(A24),"""",GOOGLETRANSLATE(A24,""en"",""fr""))"),"Système d'octroi de prêts")</f>
        <v>Système d'octroi de prêts</v>
      </c>
    </row>
    <row r="25" spans="1:2">
      <c r="A25" s="3" t="s">
        <v>171</v>
      </c>
      <c r="B25" s="3" t="str">
        <f ca="1">IFERROR(__xludf.DUMMYFUNCTION("IF(ISBLANK(A25),"""",GOOGLETRANSLATE(A25,""en"",""fr""))"),"Portail du service client")</f>
        <v>Portail du service client</v>
      </c>
    </row>
    <row r="26" spans="1:2">
      <c r="A26" s="3" t="s">
        <v>172</v>
      </c>
      <c r="B26" s="3" t="str">
        <f ca="1">IFERROR(__xludf.DUMMYFUNCTION("IF(ISBLANK(A26),"""",GOOGLETRANSLATE(A26,""en"",""fr""))"),"Moteur de calcul d'impôts")</f>
        <v>Moteur de calcul d'impôts</v>
      </c>
    </row>
    <row r="27" spans="1:2">
      <c r="A27" s="3" t="s">
        <v>173</v>
      </c>
      <c r="B27" s="3" t="str">
        <f ca="1">IFERROR(__xludf.DUMMYFUNCTION("IF(ISBLANK(A27),"""",GOOGLETRANSLATE(A27,""en"",""fr""))"),"Moteur de décision de crédit")</f>
        <v>Moteur de décision de crédit</v>
      </c>
    </row>
    <row r="28" spans="1:2">
      <c r="A28" s="3" t="s">
        <v>55</v>
      </c>
      <c r="B28" s="3" t="str">
        <f ca="1">IFERROR(__xludf.DUMMYFUNCTION("IF(ISBLANK(A28),"""",GOOGLETRANSLATE(A28,""en"",""fr""))"),"Conseil")</f>
        <v>Conseil</v>
      </c>
    </row>
    <row r="29" spans="1:2">
      <c r="A29" s="3" t="s">
        <v>58</v>
      </c>
      <c r="B29" s="3" t="str">
        <f ca="1">IFERROR(__xludf.DUMMYFUNCTION("IF(ISBLANK(A29),"""",GOOGLETRANSLATE(A29,""en"",""fr""))"),"Sécurité de l'information")</f>
        <v>Sécurité de l'information</v>
      </c>
    </row>
    <row r="30" spans="1:2">
      <c r="A30" s="3" t="s">
        <v>131</v>
      </c>
      <c r="B30" s="3" t="str">
        <f ca="1">IFERROR(__xludf.DUMMYFUNCTION("IF(ISBLANK(A30),"""",GOOGLETRANSLATE(A30,""en"",""fr""))"),"Solutions numériques")</f>
        <v>Solutions numériques</v>
      </c>
    </row>
    <row r="31" spans="1:2">
      <c r="A31" s="3" t="s">
        <v>133</v>
      </c>
      <c r="B31" s="3" t="str">
        <f ca="1">IFERROR(__xludf.DUMMYFUNCTION("IF(ISBLANK(A31),"""",GOOGLETRANSLATE(A31,""en"",""fr""))"),"IA, ML et analyse de données")</f>
        <v>IA, ML et analyse de données</v>
      </c>
    </row>
    <row r="32" spans="1:2">
      <c r="A32" s="3" t="s">
        <v>135</v>
      </c>
      <c r="B32" s="3" t="str">
        <f ca="1">IFERROR(__xludf.DUMMYFUNCTION("IF(ISBLANK(A32),"""",GOOGLETRANSLATE(A32,""en"",""fr""))"),"IA générative")</f>
        <v>IA générative</v>
      </c>
    </row>
    <row r="33" spans="1:2">
      <c r="A33" s="3" t="s">
        <v>138</v>
      </c>
      <c r="B33" s="3" t="str">
        <f ca="1">IFERROR(__xludf.DUMMYFUNCTION("IF(ISBLANK(A33),"""",GOOGLETRANSLATE(A33,""en"",""fr""))"),"Technologies émergentes")</f>
        <v>Technologies émergentes</v>
      </c>
    </row>
    <row r="34" spans="1:2">
      <c r="A34" s="3" t="s">
        <v>60</v>
      </c>
      <c r="B34" s="3" t="str">
        <f ca="1">IFERROR(__xludf.DUMMYFUNCTION("IF(ISBLANK(A34),"""",GOOGLETRANSLATE(A34,""en"",""fr""))"),"Services cloud")</f>
        <v>Services cloud</v>
      </c>
    </row>
    <row r="35" spans="1:2">
      <c r="A35" s="3" t="s">
        <v>141</v>
      </c>
      <c r="B35" s="3" t="str">
        <f ca="1">IFERROR(__xludf.DUMMYFUNCTION("IF(ISBLANK(A35),"""",GOOGLETRANSLATE(A35,""en"",""fr""))"),"Ingénierie des données")</f>
        <v>Ingénierie des données</v>
      </c>
    </row>
    <row r="36" spans="1:2">
      <c r="A36" s="3" t="s">
        <v>148</v>
      </c>
      <c r="B36" s="3" t="str">
        <f ca="1">IFERROR(__xludf.DUMMYFUNCTION("IF(ISBLANK(A36),"""",GOOGLETRANSLATE(A36,""en"",""fr""))"),"Connaissances")</f>
        <v>Connaissances</v>
      </c>
    </row>
    <row r="37" spans="1:2">
      <c r="A37" s="3" t="s">
        <v>174</v>
      </c>
      <c r="B37" s="3" t="str">
        <f ca="1">IFERROR(__xludf.DUMMYFUNCTION("IF(ISBLANK(A37),"""",GOOGLETRANSLATE(A37,""en"",""fr""))"),"Études de cas")</f>
        <v>Études de cas</v>
      </c>
    </row>
    <row r="38" spans="1:2">
      <c r="A38" s="3" t="s">
        <v>175</v>
      </c>
      <c r="B38" s="3" t="str">
        <f ca="1">IFERROR(__xludf.DUMMYFUNCTION("IF(ISBLANK(A38),"""",GOOGLETRANSLATE(A38,""en"",""fr""))"),"Guides")</f>
        <v>Guides</v>
      </c>
    </row>
    <row r="39" spans="1:2">
      <c r="A39" s="3" t="s">
        <v>176</v>
      </c>
      <c r="B39" s="3" t="str">
        <f ca="1">IFERROR(__xludf.DUMMYFUNCTION("IF(ISBLANK(A39),"""",GOOGLETRANSLATE(A39,""en"",""fr""))"),"Blogs")</f>
        <v>Blogs</v>
      </c>
    </row>
    <row r="40" spans="1:2">
      <c r="A40" s="3" t="s">
        <v>177</v>
      </c>
      <c r="B40" s="3" t="str">
        <f ca="1">IFERROR(__xludf.DUMMYFUNCTION("IF(ISBLANK(A40),"""",GOOGLETRANSLATE(A40,""en"",""fr""))"),"Événements")</f>
        <v>Événements</v>
      </c>
    </row>
    <row r="41" spans="1:2">
      <c r="A41" s="3" t="s">
        <v>143</v>
      </c>
      <c r="B41" s="3" t="str">
        <f ca="1">IFERROR(__xludf.DUMMYFUNCTION("IF(ISBLANK(A41),"""",GOOGLETRANSLATE(A41,""en"",""fr""))"),"Solutions")</f>
        <v>Solutions</v>
      </c>
    </row>
    <row r="42" spans="1:2">
      <c r="A42" s="3" t="s">
        <v>145</v>
      </c>
      <c r="B42" s="3" t="str">
        <f ca="1">IFERROR(__xludf.DUMMYFUNCTION("IF(ISBLANK(A42),"""",GOOGLETRANSLATE(A42,""en"",""fr""))"),"Financement automobile")</f>
        <v>Financement automobile</v>
      </c>
    </row>
    <row r="43" spans="1:2">
      <c r="A43" s="3" t="s">
        <v>35</v>
      </c>
      <c r="B43" s="3" t="str">
        <f ca="1">IFERROR(__xludf.DUMMYFUNCTION("IF(ISBLANK(A43),"""",GOOGLETRANSLATE(A43,""en"",""fr""))"),"Financement d'équipement")</f>
        <v>Financement d'équipement</v>
      </c>
    </row>
    <row r="44" spans="1:2">
      <c r="A44" s="3" t="s">
        <v>161</v>
      </c>
      <c r="B44" s="3" t="str">
        <f ca="1">IFERROR(__xludf.DUMMYFUNCTION("IF(ISBLANK(A44),"""",GOOGLETRANSLATE(A44,""en"",""fr""))"),"Contactez-nous")</f>
        <v>Contactez-nous</v>
      </c>
    </row>
    <row r="45" spans="1:2">
      <c r="A45" s="3" t="s">
        <v>178</v>
      </c>
      <c r="B45" s="3" t="str">
        <f ca="1">IFERROR(__xludf.DUMMYFUNCTION("IF(ISBLANK(A45),"""",GOOGLETRANSLATE(A45,""en"",""fr""))"),"Siège social")</f>
        <v>Siège social</v>
      </c>
    </row>
    <row r="46" spans="1:2">
      <c r="B46" s="3" t="str">
        <f ca="1">IFERROR(__xludf.DUMMYFUNCTION("IF(ISBLANK(A46),"""",GOOGLETRANSLATE(A46,""en"",""fr""))"),"")</f>
        <v/>
      </c>
    </row>
    <row r="47" spans="1:2">
      <c r="A47" s="3" t="s">
        <v>179</v>
      </c>
      <c r="B47" s="3" t="str">
        <f ca="1">IFERROR(__xludf.DUMMYFUNCTION("IF(ISBLANK(A47),"""",GOOGLETRANSLATE(A47,""en"",""fr""))"),"Adresse : 16000 Ventura Blvd,")</f>
        <v>Adresse : 16000 Ventura Blvd,</v>
      </c>
    </row>
    <row r="48" spans="1:2">
      <c r="A48" s="3" t="s">
        <v>180</v>
      </c>
      <c r="B48" s="3" t="str">
        <f ca="1">IFERROR(__xludf.DUMMYFUNCTION("IF(ISBLANK(A48),"""",GOOGLETRANSLATE(A48,""en"",""fr""))"),"Suite 770 Encino, CA 91436, États-Unis")</f>
        <v>Suite 770 Encino, CA 91436, États-Unis</v>
      </c>
    </row>
    <row r="49" spans="1:2">
      <c r="B49" s="3" t="str">
        <f ca="1">IFERROR(__xludf.DUMMYFUNCTION("IF(ISBLANK(A49),"""",GOOGLETRANSLATE(A49,""en"",""fr""))"),"")</f>
        <v/>
      </c>
    </row>
    <row r="50" spans="1:2">
      <c r="A50" s="3" t="s">
        <v>181</v>
      </c>
      <c r="B50" s="3" t="str">
        <f ca="1">IFERROR(__xludf.DUMMYFUNCTION("IF(ISBLANK(A50),"""",GOOGLETRANSLATE(A50,""en"",""fr""))"),"Téléphone : +1 818 222 9195")</f>
        <v>Téléphone : +1 818 222 9195</v>
      </c>
    </row>
    <row r="51" spans="1:2">
      <c r="B51" s="3" t="str">
        <f ca="1">IFERROR(__xludf.DUMMYFUNCTION("IF(ISBLANK(A51),"""",GOOGLETRANSLATE(A51,""en"",""fr""))"),"")</f>
        <v/>
      </c>
    </row>
    <row r="52" spans="1:2">
      <c r="A52" s="3" t="s">
        <v>182</v>
      </c>
      <c r="B52" s="3" t="str">
        <f ca="1">IFERROR(__xludf.DUMMYFUNCTION("IF(ISBLANK(A52),"""",GOOGLETRANSLATE(A52,""en"",""fr""))"),"Contactez-nous")</f>
        <v>Contactez-nous</v>
      </c>
    </row>
    <row r="53" spans="1:2">
      <c r="A53" s="3" t="s">
        <v>183</v>
      </c>
      <c r="B53" s="3" t="str">
        <f ca="1">IFERROR(__xludf.DUMMYFUNCTION("IF(ISBLANK(A53),"""",GOOGLETRANSLATE(A53,""en"",""fr""))"),"© 2025 NETSOL Technologies. Tous droits réservés.")</f>
        <v>© 2025 NETSOL Technologies. Tous droits réservés.</v>
      </c>
    </row>
    <row r="54" spans="1:2">
      <c r="A54" s="3" t="s">
        <v>184</v>
      </c>
      <c r="B54" s="3" t="str">
        <f ca="1">IFERROR(__xludf.DUMMYFUNCTION("IF(ISBLANK(A54),"""",GOOGLETRANSLATE(A54,""en"",""fr""))"),"Conditions d'utilisation")</f>
        <v>Conditions d'utilisation</v>
      </c>
    </row>
    <row r="55" spans="1:2">
      <c r="A55" s="3" t="s">
        <v>185</v>
      </c>
      <c r="B55" s="3" t="str">
        <f ca="1">IFERROR(__xludf.DUMMYFUNCTION("IF(ISBLANK(A55),"""",GOOGLETRANSLATE(A55,""en"",""fr""))"),"politique de confidentialité")</f>
        <v>politique de confidentialité</v>
      </c>
    </row>
    <row r="56" spans="1:2">
      <c r="A56" s="3" t="s">
        <v>186</v>
      </c>
      <c r="B56" s="3" t="str">
        <f ca="1">IFERROR(__xludf.DUMMYFUNCTION("IF(ISBLANK(A56),"""",GOOGLETRANSLATE(A56,""en"",""fr""))"),"Politique des droits de l'homme")</f>
        <v>Politique des droits de l'homme</v>
      </c>
    </row>
    <row r="57" spans="1:2">
      <c r="A57" s="3" t="s">
        <v>187</v>
      </c>
      <c r="B57" s="3" t="str">
        <f ca="1">IFERROR(__xludf.DUMMYFUNCTION("IF(ISBLANK(A57),"""",GOOGLETRANSLATE(A57,""en"",""fr""))"),"Loi sur l'esclavage moderne")</f>
        <v>Loi sur l'esclavage moderne</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85"/>
  <sheetViews>
    <sheetView topLeftCell="A46" workbookViewId="0">
      <selection activeCell="B67" sqref="B67"/>
    </sheetView>
  </sheetViews>
  <sheetFormatPr defaultColWidth="12.6640625" defaultRowHeight="15.75" customHeight="1"/>
  <cols>
    <col min="1" max="1" width="57" customWidth="1"/>
  </cols>
  <sheetData>
    <row r="1" spans="1:2">
      <c r="A1" s="3" t="s">
        <v>0</v>
      </c>
      <c r="B1" s="3"/>
    </row>
    <row r="2" spans="1:2">
      <c r="A2" s="3" t="s">
        <v>188</v>
      </c>
      <c r="B2" s="3" t="str">
        <f ca="1">IFERROR(__xludf.DUMMYFUNCTION("IF(ISBLANK(A2),"""",GOOGLETRANSLATE(A2,""en"",""fr""))"),"Transcend Retail")</f>
        <v>Transcend Retail</v>
      </c>
    </row>
    <row r="3" spans="1:2">
      <c r="A3" s="3" t="s">
        <v>189</v>
      </c>
      <c r="B3" s="3" t="str">
        <f ca="1">IFERROR(__xludf.DUMMYFUNCTION("IF(ISBLANK(A3),"""",GOOGLETRANSLATE(A3,""en"",""fr""))"),"La norme de vente au détail numérique pour les plus grandes marques automobiles mondiales")</f>
        <v>La norme de vente au détail numérique pour les plus grandes marques automobiles mondiales</v>
      </c>
    </row>
    <row r="4" spans="1:2">
      <c r="A4" s="3" t="s">
        <v>190</v>
      </c>
      <c r="B4" s="3" t="str">
        <f ca="1">IFERROR(__xludf.DUMMYFUNCTION("IF(ISBLANK(A4),"""",GOOGLETRANSLATE(A4,""en"",""fr""))"),"Augmentez vos revenus grâce à la transformation omnicanale et à la précision de l'IA.")</f>
        <v>Augmentez vos revenus grâce à la transformation omnicanale et à la précision de l'IA.</v>
      </c>
    </row>
    <row r="5" spans="1:2">
      <c r="A5" s="3" t="s">
        <v>70</v>
      </c>
      <c r="B5" s="3" t="str">
        <f ca="1">IFERROR(__xludf.DUMMYFUNCTION("IF(ISBLANK(A5),"""",GOOGLETRANSLATE(A5,""en"",""fr""))"),"Connectez-vous avec nous")</f>
        <v>Connectez-vous avec nous</v>
      </c>
    </row>
    <row r="6" spans="1:2">
      <c r="A6" s="3" t="s">
        <v>14</v>
      </c>
      <c r="B6" s="3" t="str">
        <f ca="1">IFERROR(__xludf.DUMMYFUNCTION("IF(ISBLANK(A6),"""",GOOGLETRANSLATE(A6,""en"",""fr""))"),"Les plus grandes marques mondiales sont propulsées par NETSOL")</f>
        <v>Les plus grandes marques mondiales sont propulsées par NETSOL</v>
      </c>
    </row>
    <row r="7" spans="1:2">
      <c r="A7" s="3" t="s">
        <v>191</v>
      </c>
      <c r="B7" s="3" t="str">
        <f ca="1">IFERROR(__xludf.DUMMYFUNCTION("IF(ISBLANK(A7),"""",GOOGLETRANSLATE(A7,""en"",""fr""))"),"L'expérience de nos clients")</f>
        <v>L'expérience de nos clients</v>
      </c>
    </row>
    <row r="8" spans="1:2">
      <c r="A8" s="8">
        <v>0.25</v>
      </c>
      <c r="B8" s="3" t="str">
        <f ca="1">IFERROR(__xludf.DUMMYFUNCTION("IF(ISBLANK(A8),"""",GOOGLETRANSLATE(A8,""en"",""fr""))"),"25%")</f>
        <v>25%</v>
      </c>
    </row>
    <row r="9" spans="1:2">
      <c r="A9" s="3" t="s">
        <v>192</v>
      </c>
      <c r="B9" s="3" t="str">
        <f ca="1">IFERROR(__xludf.DUMMYFUNCTION("IF(ISBLANK(A9),"""",GOOGLETRANSLATE(A9,""en"",""fr""))"),"Mener à la vente")</f>
        <v>Mener à la vente</v>
      </c>
    </row>
    <row r="10" spans="1:2">
      <c r="A10" s="3" t="s">
        <v>193</v>
      </c>
      <c r="B10" s="3" t="str">
        <f ca="1">IFERROR(__xludf.DUMMYFUNCTION("IF(ISBLANK(A10),"""",GOOGLETRANSLATE(A10,""en"",""fr""))"),"taux de conversion")</f>
        <v>taux de conversion</v>
      </c>
    </row>
    <row r="11" spans="1:2">
      <c r="A11" s="3" t="s">
        <v>194</v>
      </c>
      <c r="B11" s="3" t="str">
        <f ca="1">IFERROR(__xludf.DUMMYFUNCTION("IF(ISBLANK(A11),"""",GOOGLETRANSLATE(A11,""en"",""fr""))"),"3 heures")</f>
        <v>3 heures</v>
      </c>
    </row>
    <row r="12" spans="1:2">
      <c r="A12" s="3" t="s">
        <v>195</v>
      </c>
      <c r="B12" s="3" t="str">
        <f ca="1">IFERROR(__xludf.DUMMYFUNCTION("IF(ISBLANK(A12),"""",GOOGLETRANSLATE(A12,""en"",""fr""))"),"Économisé par transaction")</f>
        <v>Économisé par transaction</v>
      </c>
    </row>
    <row r="13" spans="1:2">
      <c r="A13" s="3" t="s">
        <v>196</v>
      </c>
      <c r="B13" s="3" t="str">
        <f ca="1">IFERROR(__xludf.DUMMYFUNCTION("IF(ISBLANK(A13),"""",GOOGLETRANSLATE(A13,""en"",""fr""))"),"2,5x")</f>
        <v>2,5x</v>
      </c>
    </row>
    <row r="14" spans="1:2">
      <c r="A14" s="3" t="s">
        <v>197</v>
      </c>
      <c r="B14" s="3" t="str">
        <f ca="1">IFERROR(__xludf.DUMMYFUNCTION("IF(ISBLANK(A14),"""",GOOGLETRANSLATE(A14,""en"",""fr""))"),"Augmentation de")</f>
        <v>Augmentation de</v>
      </c>
    </row>
    <row r="15" spans="1:2">
      <c r="A15" s="3" t="s">
        <v>198</v>
      </c>
      <c r="B15" s="3" t="str">
        <f ca="1">IFERROR(__xludf.DUMMYFUNCTION("IF(ISBLANK(A15),"""",GOOGLETRANSLATE(A15,""en"",""fr""))"),"prospects du commerce de détail numérique")</f>
        <v>prospects du commerce de détail numérique</v>
      </c>
    </row>
    <row r="16" spans="1:2">
      <c r="B16" s="3" t="str">
        <f ca="1">IFERROR(__xludf.DUMMYFUNCTION("IF(ISBLANK(A16),"""",GOOGLETRANSLATE(A16,""en"",""fr""))"),"")</f>
        <v/>
      </c>
    </row>
    <row r="17" spans="1:2">
      <c r="A17" s="3" t="s">
        <v>199</v>
      </c>
      <c r="B17" s="3" t="str">
        <f ca="1">IFERROR(__xludf.DUMMYFUNCTION("IF(ISBLANK(A17),"""",GOOGLETRANSLATE(A17,""en"",""fr""))"),"Le commerce de détail numérique pour les acteurs du changement.")</f>
        <v>Le commerce de détail numérique pour les acteurs du changement.</v>
      </c>
    </row>
    <row r="18" spans="1:2">
      <c r="A18" s="3" t="s">
        <v>10</v>
      </c>
      <c r="B18" s="3" t="str">
        <f ca="1">IFERROR(__xludf.DUMMYFUNCTION("IF(ISBLANK(A18),"""",GOOGLETRANSLATE(A18,""en"",""fr""))"),"OEM")</f>
        <v>OEM</v>
      </c>
    </row>
    <row r="19" spans="1:2">
      <c r="A19" s="3" t="s">
        <v>200</v>
      </c>
      <c r="B19" s="3" t="str">
        <f ca="1">IFERROR(__xludf.DUMMYFUNCTION("IF(ISBLANK(A19),"""",GOOGLETRANSLATE(A19,""en"",""fr""))"),"La transformation numérique du commerce de détail, pilotée par les OEM, est notre spécialité. Que vous ayez besoin d'une plateforme complète ou que vous souhaitiez optimiser une solution existante, Transcend Retail vous offre, à vous et à votre réseau de "&amp;"concessionnaires, la technologie nécessaire pour l'exécuter et la faire évoluer. Notre plateforme fournit des informations en temps réel, optimise les opérations et garantit une expérience de vente connectée et cohérente, sans perturber les opérations des"&amp;" concessionnaires ni les flux de travail existants.")</f>
        <v>La transformation numérique du commerce de détail, pilotée par les OEM, est notre spécialité. Que vous ayez besoin d'une plateforme complète ou que vous souhaitiez optimiser une solution existante, Transcend Retail vous offre, à vous et à votre réseau de concessionnaires, la technologie nécessaire pour l'exécuter et la faire évoluer. Notre plateforme fournit des informations en temps réel, optimise les opérations et garantit une expérience de vente connectée et cohérente, sans perturber les opérations des concessionnaires ni les flux de travail existants.</v>
      </c>
    </row>
    <row r="20" spans="1:2">
      <c r="A20" s="3" t="s">
        <v>201</v>
      </c>
      <c r="B20" s="3" t="str">
        <f ca="1">IFERROR(__xludf.DUMMYFUNCTION("IF(ISBLANK(A20),"""",GOOGLETRANSLATE(A20,""en"",""fr""))"),"Groupes de concessionnaires")</f>
        <v>Groupes de concessionnaires</v>
      </c>
    </row>
    <row r="21" spans="1:2">
      <c r="A21" s="3" t="s">
        <v>202</v>
      </c>
      <c r="B21" s="3" t="str">
        <f ca="1">IFERROR(__xludf.DUMMYFUNCTION("IF(ISBLANK(A21),"""",GOOGLETRANSLATE(A21,""en"",""fr""))"),"Transcend Retail permet aux groupes de concessionnaires de gérer leurs opérations de manière plus intelligente et plus rentable, avec une efficacité optimale. Son architecture modulaire s'intègre parfaitement aux systèmes de gestion de la relation client "&amp;"(DMS), CRM et systèmes de prêteurs tiers, éliminant ainsi les silos et simplifiant les flux de travail. Grâce à sa flexibilité pour les environnements multimarques et multi-prêteurs, Transcend Retail assure la fluidité des opérations, tandis que des analy"&amp;"ses et tableaux de bord avancés fournissent des informations en temps réel sur les stocks et la rentabilité pour stimuler la croissance sans interruption.")</f>
        <v>Transcend Retail permet aux groupes de concessionnaires de gérer leurs opérations de manière plus intelligente et plus rentable, avec une efficacité optimale. Son architecture modulaire s'intègre parfaitement aux systèmes de gestion de la relation client (DMS), CRM et systèmes de prêteurs tiers, éliminant ainsi les silos et simplifiant les flux de travail. Grâce à sa flexibilité pour les environnements multimarques et multi-prêteurs, Transcend Retail assure la fluidité des opérations, tandis que des analyses et tableaux de bord avancés fournissent des informations en temps réel sur les stocks et la rentabilité pour stimuler la croissance sans interruption.</v>
      </c>
    </row>
    <row r="22" spans="1:2">
      <c r="A22" s="3" t="s">
        <v>203</v>
      </c>
      <c r="B22" s="3" t="str">
        <f ca="1">IFERROR(__xludf.DUMMYFUNCTION("IF(ISBLANK(A22),"""",GOOGLETRANSLATE(A22,""en"",""fr""))"),"Concession")</f>
        <v>Concession</v>
      </c>
    </row>
    <row r="23" spans="1:2">
      <c r="A23" s="9" t="s">
        <v>204</v>
      </c>
      <c r="B23" s="3" t="str">
        <f ca="1">IFERROR(__xludf.DUMMYFUNCTION("IF(ISBLANK(A23),"""",GOOGLETRANSLATE(A23,""en"",""fr""))"),"Vendez plus de véhicules, concluez des affaires plus rapidement et optimisez chaque opportunité de profit. Transcend Retail offre aux concessionnaires les outils nécessaires pour convertir plus de prospects, optimiser les flux de travail et optimiser les "&amp;"revenus F&amp;I. Des outils client intuitifs, comme une tarification transparente, des offres de reprise optimisées par l'IA et un financement flexible, créent une expérience d'achat fluide, générant des taux de conversion plus élevés et améliorant l'indice d"&amp;"e satisfaction client (CSI).")</f>
        <v>Vendez plus de véhicules, concluez des affaires plus rapidement et optimisez chaque opportunité de profit. Transcend Retail offre aux concessionnaires les outils nécessaires pour convertir plus de prospects, optimiser les flux de travail et optimiser les revenus F&amp;I. Des outils client intuitifs, comme une tarification transparente, des offres de reprise optimisées par l'IA et un financement flexible, créent une expérience d'achat fluide, générant des taux de conversion plus élevés et améliorant l'indice de satisfaction client (CSI).</v>
      </c>
    </row>
    <row r="24" spans="1:2">
      <c r="A24" s="3" t="s">
        <v>205</v>
      </c>
      <c r="B24" s="3" t="str">
        <f ca="1">IFERROR(__xludf.DUMMYFUNCTION("IF(ISBLANK(A24),"""",GOOGLETRANSLATE(A24,""en"",""fr""))"),"L'innovation qui bouge")</f>
        <v>L'innovation qui bouge</v>
      </c>
    </row>
    <row r="25" spans="1:2">
      <c r="A25" s="3" t="s">
        <v>206</v>
      </c>
      <c r="B25" s="3" t="str">
        <f ca="1">IFERROR(__xludf.DUMMYFUNCTION("IF(ISBLANK(A25),"""",GOOGLETRANSLATE(A25,""en"",""fr""))"),"vente au détail d'automobiles")</f>
        <v>vente au détail d'automobiles</v>
      </c>
    </row>
    <row r="26" spans="1:2">
      <c r="A26" s="3" t="s">
        <v>207</v>
      </c>
      <c r="B26" s="3" t="str">
        <f ca="1">IFERROR(__xludf.DUMMYFUNCTION("IF(ISBLANK(A26),"""",GOOGLETRANSLATE(A26,""en"",""fr""))"),"Transformez les prospects en")</f>
        <v>Transformez les prospects en</v>
      </c>
    </row>
    <row r="27" spans="1:2">
      <c r="A27" s="3" t="s">
        <v>208</v>
      </c>
      <c r="B27" s="3" t="str">
        <f ca="1">IFERROR(__xludf.DUMMYFUNCTION("IF(ISBLANK(A27),"""",GOOGLETRANSLATE(A27,""en"",""fr""))"),"profit")</f>
        <v>profit</v>
      </c>
    </row>
    <row r="28" spans="1:2">
      <c r="A28" s="3" t="s">
        <v>209</v>
      </c>
      <c r="B28" s="3" t="str">
        <f ca="1">IFERROR(__xludf.DUMMYFUNCTION("IF(ISBLANK(A28),"""",GOOGLETRANSLATE(A28,""en"",""fr""))"),"Les outils basés sur l'IA convertissent davantage de prospects en acheteurs, tandis que les outils de bureau avancés rationalisent les processus pour augmenter la rentabilité F&amp;I par unité.")</f>
        <v>Les outils basés sur l'IA convertissent davantage de prospects en acheteurs, tandis que les outils de bureau avancés rationalisent les processus pour augmenter la rentabilité F&amp;I par unité.</v>
      </c>
    </row>
    <row r="29" spans="1:2">
      <c r="A29" s="3" t="s">
        <v>210</v>
      </c>
      <c r="B29" s="3" t="str">
        <f ca="1">IFERROR(__xludf.DUMMYFUNCTION("IF(ISBLANK(A29),"""",GOOGLETRANSLATE(A29,""en"",""fr""))"),"Client personnalisé")</f>
        <v>Client personnalisé</v>
      </c>
    </row>
    <row r="30" spans="1:2">
      <c r="A30" s="3" t="s">
        <v>211</v>
      </c>
      <c r="B30" s="3" t="str">
        <f ca="1">IFERROR(__xludf.DUMMYFUNCTION("IF(ISBLANK(A30),"""",GOOGLETRANSLATE(A30,""en"",""fr""))"),"voyages")</f>
        <v>voyages</v>
      </c>
    </row>
    <row r="31" spans="1:2">
      <c r="A31" s="3" t="s">
        <v>212</v>
      </c>
      <c r="B31" s="3" t="str">
        <f ca="1">IFERROR(__xludf.DUMMYFUNCTION("IF(ISBLANK(A31),"""",GOOGLETRANSLATE(A31,""en"",""fr""))"),"Offrez des expériences de vente au détail personnalisées, transparentes et sans tracas qui renforcent la confiance et la fidélité, que ce soit en ligne, en magasin ou les deux.")</f>
        <v>Offrez des expériences de vente au détail personnalisées, transparentes et sans tracas qui renforcent la confiance et la fidélité, que ce soit en ligne, en magasin ou les deux.</v>
      </c>
    </row>
    <row r="32" spans="1:2">
      <c r="A32" s="3" t="s">
        <v>213</v>
      </c>
      <c r="B32" s="3" t="str">
        <f ca="1">IFERROR(__xludf.DUMMYFUNCTION("IF(ISBLANK(A32),"""",GOOGLETRANSLATE(A32,""en"",""fr""))"),"Optimiser les opérations sans")</f>
        <v>Optimiser les opérations sans</v>
      </c>
    </row>
    <row r="33" spans="1:2">
      <c r="A33" s="3" t="s">
        <v>214</v>
      </c>
      <c r="B33" s="3" t="str">
        <f ca="1">IFERROR(__xludf.DUMMYFUNCTION("IF(ISBLANK(A33),"""",GOOGLETRANSLATE(A33,""en"",""fr""))"),"perturbation")</f>
        <v>perturbation</v>
      </c>
    </row>
    <row r="34" spans="1:2">
      <c r="A34" s="3" t="s">
        <v>215</v>
      </c>
      <c r="B34" s="3" t="str">
        <f ca="1">IFERROR(__xludf.DUMMYFUNCTION("IF(ISBLANK(A34),"""",GOOGLETRANSLATE(A34,""en"",""fr""))"),"Intégrez-vous de manière transparente aux systèmes existants à l'aide de solutions modulaires et sur mesure qui minimisent les perturbations et accélèrent la rentabilisation.")</f>
        <v>Intégrez-vous de manière transparente aux systèmes existants à l'aide de solutions modulaires et sur mesure qui minimisent les perturbations et accélèrent la rentabilisation.</v>
      </c>
    </row>
    <row r="35" spans="1:2">
      <c r="A35" s="3" t="s">
        <v>216</v>
      </c>
      <c r="B35" s="3" t="str">
        <f ca="1">IFERROR(__xludf.DUMMYFUNCTION("IF(ISBLANK(A35),"""",GOOGLETRANSLATE(A35,""en"",""fr""))"),"Créez des expériences qui")</f>
        <v>Créez des expériences qui</v>
      </c>
    </row>
    <row r="36" spans="1:2">
      <c r="A36" s="3" t="s">
        <v>217</v>
      </c>
      <c r="B36" s="3" t="str">
        <f ca="1">IFERROR(__xludf.DUMMYFUNCTION("IF(ISBLANK(A36),"""",GOOGLETRANSLATE(A36,""en"",""fr""))"),"résonner")</f>
        <v>résonner</v>
      </c>
    </row>
    <row r="37" spans="1:2">
      <c r="A37" s="3" t="s">
        <v>218</v>
      </c>
      <c r="B37" s="3" t="str">
        <f ca="1">IFERROR(__xludf.DUMMYFUNCTION("IF(ISBLANK(A37),"""",GOOGLETRANSLATE(A37,""en"",""fr""))"),"Proposez des parcours clients fluides et intuitifs, optimisés pour les acheteurs de la génération Z et les Millennials, garantissant des expériences rapides et personnalisées qui répondent aux attentes modernes.")</f>
        <v>Proposez des parcours clients fluides et intuitifs, optimisés pour les acheteurs de la génération Z et les Millennials, garantissant des expériences rapides et personnalisées qui répondent aux attentes modernes.</v>
      </c>
    </row>
    <row r="38" spans="1:2">
      <c r="A38" s="3" t="s">
        <v>219</v>
      </c>
      <c r="B38" s="3" t="str">
        <f ca="1">IFERROR(__xludf.DUMMYFUNCTION("IF(ISBLANK(A38),"""",GOOGLETRANSLATE(A38,""en"",""fr""))"),"Transformation de la complexité")</f>
        <v>Transformation de la complexité</v>
      </c>
    </row>
    <row r="39" spans="1:2">
      <c r="A39" s="3" t="s">
        <v>220</v>
      </c>
      <c r="B39" s="3" t="str">
        <f ca="1">IFERROR(__xludf.DUMMYFUNCTION("IF(ISBLANK(A39),"""",GOOGLETRANSLATE(A39,""en"",""fr""))"),"dans la clarté")</f>
        <v>dans la clarté</v>
      </c>
    </row>
    <row r="40" spans="1:2">
      <c r="A40" s="3" t="s">
        <v>221</v>
      </c>
      <c r="B40" s="3" t="str">
        <f ca="1">IFERROR(__xludf.DUMMYFUNCTION("IF(ISBLANK(A40),"""",GOOGLETRANSLATE(A40,""en"",""fr""))"),"Les tableaux de bord centralisés regroupent les données de performance, fournissant des informations en temps réel qui permettent de prendre des décisions plus intelligentes et plus rapides sur tous les canaux.")</f>
        <v>Les tableaux de bord centralisés regroupent les données de performance, fournissant des informations en temps réel qui permettent de prendre des décisions plus intelligentes et plus rapides sur tous les canaux.</v>
      </c>
    </row>
    <row r="41" spans="1:2">
      <c r="A41" s="3" t="s">
        <v>222</v>
      </c>
      <c r="B41" s="3" t="str">
        <f ca="1">IFERROR(__xludf.DUMMYFUNCTION("IF(ISBLANK(A41),"""",GOOGLETRANSLATE(A41,""en"",""fr""))"),"Évoluez intelligemment sans vous ruiner")</f>
        <v>Évoluez intelligemment sans vous ruiner</v>
      </c>
    </row>
    <row r="42" spans="1:2">
      <c r="A42" s="3" t="s">
        <v>223</v>
      </c>
      <c r="B42" s="3" t="str">
        <f ca="1">IFERROR(__xludf.DUMMYFUNCTION("IF(ISBLANK(A42),"""",GOOGLETRANSLATE(A42,""en"",""fr""))"),"Investissez dans des solutions modulaires qui minimisent les dépenses inutiles tout en grandissant avec votre entreprise pour maximiser le retour sur investissement et l'adaptabilité.")</f>
        <v>Investissez dans des solutions modulaires qui minimisent les dépenses inutiles tout en grandissant avec votre entreprise pour maximiser le retour sur investissement et l'adaptabilité.</v>
      </c>
    </row>
    <row r="43" spans="1:2">
      <c r="A43" s="3" t="s">
        <v>224</v>
      </c>
      <c r="B43" s="3" t="str">
        <f ca="1">IFERROR(__xludf.DUMMYFUNCTION("IF(ISBLANK(A43),"""",GOOGLETRANSLATE(A43,""en"",""fr""))"),"Le parcours d'achat")</f>
        <v>Le parcours d'achat</v>
      </c>
    </row>
    <row r="44" spans="1:2">
      <c r="A44" s="3" t="s">
        <v>225</v>
      </c>
      <c r="B44" s="3" t="str">
        <f ca="1">IFERROR(__xludf.DUMMYFUNCTION("IF(ISBLANK(A44),"""",GOOGLETRANSLATE(A44,""en"",""fr""))"),"Découvrez comment Transcend Retail simplifie chaque étape avec des outils et des fonctionnalités intuitifs.")</f>
        <v>Découvrez comment Transcend Retail simplifie chaque étape avec des outils et des fonctionnalités intuitifs.</v>
      </c>
    </row>
    <row r="45" spans="1:2">
      <c r="A45" s="3" t="s">
        <v>226</v>
      </c>
      <c r="B45" s="3" t="str">
        <f ca="1">IFERROR(__xludf.DUMMYFUNCTION("IF(ISBLANK(A45),"""",GOOGLETRANSLATE(A45,""en"",""fr""))"),"Revendeur")</f>
        <v>Revendeur</v>
      </c>
    </row>
    <row r="46" spans="1:2">
      <c r="A46" s="3" t="s">
        <v>227</v>
      </c>
      <c r="B46" s="3" t="str">
        <f ca="1">IFERROR(__xludf.DUMMYFUNCTION("IF(ISBLANK(A46),"""",GOOGLETRANSLATE(A46,""en"",""fr""))"),"Client")</f>
        <v>Client</v>
      </c>
    </row>
    <row r="47" spans="1:2">
      <c r="A47" s="3" t="s">
        <v>228</v>
      </c>
      <c r="B47" s="3" t="str">
        <f ca="1">IFERROR(__xludf.DUMMYFUNCTION("IF(ISBLANK(A47),"""",GOOGLETRANSLATE(A47,""en"",""fr""))"),"Choisissez un véhicule")</f>
        <v>Choisissez un véhicule</v>
      </c>
    </row>
    <row r="48" spans="1:2">
      <c r="A48" s="3" t="s">
        <v>229</v>
      </c>
      <c r="B48" s="3" t="str">
        <f ca="1">IFERROR(__xludf.DUMMYFUNCTION("IF(ISBLANK(A48),"""",GOOGLETRANSLATE(A48,""en"",""fr""))"),"Permettez aux clients de trouver la voiture parfaite sans effort.")</f>
        <v>Permettez aux clients de trouver la voiture parfaite sans effort.</v>
      </c>
    </row>
    <row r="49" spans="1:2">
      <c r="A49" s="3" t="s">
        <v>230</v>
      </c>
      <c r="B49" s="3" t="str">
        <f ca="1">IFERROR(__xludf.DUMMYFUNCTION("IF(ISBLANK(A49),"""",GOOGLETRANSLATE(A49,""en"",""fr""))"),"Tarifs et reprise")</f>
        <v>Tarifs et reprise</v>
      </c>
    </row>
    <row r="50" spans="1:2">
      <c r="A50" s="3" t="s">
        <v>231</v>
      </c>
      <c r="B50" s="3" t="str">
        <f ca="1">IFERROR(__xludf.DUMMYFUNCTION("IF(ISBLANK(A50),"""",GOOGLETRANSLATE(A50,""en"",""fr""))"),"Fournissez des prix clairs et directs ainsi que des estimations de reprise fiables.")</f>
        <v>Fournissez des prix clairs et directs ainsi que des estimations de reprise fiables.</v>
      </c>
    </row>
    <row r="51" spans="1:2">
      <c r="A51" s="3" t="s">
        <v>232</v>
      </c>
      <c r="B51" s="3" t="str">
        <f ca="1">IFERROR(__xludf.DUMMYFUNCTION("IF(ISBLANK(A51),"""",GOOGLETRANSLATE(A51,""en"",""fr""))"),"Demande de crédit")</f>
        <v>Demande de crédit</v>
      </c>
    </row>
    <row r="52" spans="1:2">
      <c r="A52" s="3" t="s">
        <v>233</v>
      </c>
      <c r="B52" s="3" t="str">
        <f ca="1">IFERROR(__xludf.DUMMYFUNCTION("IF(ISBLANK(A52),"""",GOOGLETRANSLATE(A52,""en"",""fr""))"),"Décisions de crédit instantanées pour informer immédiatement le pouvoir d'achat de vos clients.")</f>
        <v>Décisions de crédit instantanées pour informer immédiatement le pouvoir d'achat de vos clients.</v>
      </c>
    </row>
    <row r="53" spans="1:2">
      <c r="A53" s="3" t="s">
        <v>234</v>
      </c>
      <c r="B53" s="3" t="str">
        <f ca="1">IFERROR(__xludf.DUMMYFUNCTION("IF(ISBLANK(A53),"""",GOOGLETRANSLATE(A53,""en"",""fr""))"),"Finaliser et signer")</f>
        <v>Finaliser et signer</v>
      </c>
    </row>
    <row r="54" spans="1:2">
      <c r="A54" s="3" t="s">
        <v>235</v>
      </c>
      <c r="B54" s="3" t="str">
        <f ca="1">IFERROR(__xludf.DUMMYFUNCTION("IF(ISBLANK(A54),"""",GOOGLETRANSLATE(A54,""en"",""fr""))"),"Signature numérique sécurisée et traitement des paiements transparent.")</f>
        <v>Signature numérique sécurisée et traitement des paiements transparent.</v>
      </c>
    </row>
    <row r="55" spans="1:2">
      <c r="A55" s="3" t="s">
        <v>236</v>
      </c>
      <c r="B55" s="3" t="str">
        <f ca="1">IFERROR(__xludf.DUMMYFUNCTION("IF(ISBLANK(A55),"""",GOOGLETRANSLATE(A55,""en"",""fr""))"),"Planification des livraisons")</f>
        <v>Planification des livraisons</v>
      </c>
    </row>
    <row r="56" spans="1:2">
      <c r="A56" s="3" t="s">
        <v>237</v>
      </c>
      <c r="B56" s="3" t="str">
        <f ca="1">IFERROR(__xludf.DUMMYFUNCTION("IF(ISBLANK(A56),"""",GOOGLETRANSLATE(A56,""en"",""fr""))"),"Planification simplifiée des essais routiers et des livraisons de véhicules.")</f>
        <v>Planification simplifiée des essais routiers et des livraisons de véhicules.</v>
      </c>
    </row>
    <row r="57" spans="1:2">
      <c r="A57" s="3" t="s">
        <v>238</v>
      </c>
      <c r="B57" s="3" t="str">
        <f ca="1">IFERROR(__xludf.DUMMYFUNCTION("IF(ISBLANK(A57),"""",GOOGLETRANSLATE(A57,""en"",""fr""))"),"Votre partenaire pour l'innovation et l'excellence")</f>
        <v>Votre partenaire pour l'innovation et l'excellence</v>
      </c>
    </row>
    <row r="58" spans="1:2">
      <c r="A58" s="3" t="s">
        <v>239</v>
      </c>
      <c r="B58" s="3" t="str">
        <f ca="1">IFERROR(__xludf.DUMMYFUNCTION("IF(ISBLANK(A58),"""",GOOGLETRANSLATE(A58,""en"",""fr""))"),"Une expertise éprouvée")</f>
        <v>Une expertise éprouvée</v>
      </c>
    </row>
    <row r="59" spans="1:2">
      <c r="A59" s="3" t="s">
        <v>240</v>
      </c>
      <c r="B59" s="3" t="str">
        <f ca="1">IFERROR(__xludf.DUMMYFUNCTION("IF(ISBLANK(A59),"""",GOOGLETRANSLATE(A59,""en"",""fr""))"),"NETSOL possède une vaste expérience en transformation de processus complexes de vente et de financement automobiles. Nos solutions sont conçues sur mesure pour répondre à vos besoins spécifiques, garantissant un partenariat fluide pour atteindre vos objec"&amp;"tifs.")</f>
        <v>NETSOL possède une vaste expérience en transformation de processus complexes de vente et de financement automobiles. Nos solutions sont conçues sur mesure pour répondre à vos besoins spécifiques, garantissant un partenariat fluide pour atteindre vos objectifs.</v>
      </c>
    </row>
    <row r="60" spans="1:2">
      <c r="A60" s="3" t="s">
        <v>241</v>
      </c>
      <c r="B60" s="3" t="str">
        <f ca="1">IFERROR(__xludf.DUMMYFUNCTION("IF(ISBLANK(A60),"""",GOOGLETRANSLATE(A60,""en"",""fr""))"),"Des solutions d'avenir")</f>
        <v>Des solutions d'avenir</v>
      </c>
    </row>
    <row r="61" spans="1:2">
      <c r="A61" s="3" t="s">
        <v>242</v>
      </c>
      <c r="B61" s="3" t="str">
        <f ca="1">IFERROR(__xludf.DUMMYFUNCTION("IF(ISBLANK(A61),"""",GOOGLETRANSLATE(A61,""en"",""fr""))"),"L'architecture innovante de NETSOL, pilotée par API et headless, garantit évolutivité et intégration aisée. Nos produits sont conçus pour transformer les expériences de vente en ligne et hors ligne, en offrant des solutions de pointe, basées sur des donné"&amp;"es probantes.")</f>
        <v>L'architecture innovante de NETSOL, pilotée par API et headless, garantit évolutivité et intégration aisée. Nos produits sont conçus pour transformer les expériences de vente en ligne et hors ligne, en offrant des solutions de pointe, basées sur des données probantes.</v>
      </c>
    </row>
    <row r="62" spans="1:2">
      <c r="A62" s="3" t="s">
        <v>243</v>
      </c>
      <c r="B62" s="3" t="str">
        <f ca="1">IFERROR(__xludf.DUMMYFUNCTION("IF(ISBLANK(A62),"""",GOOGLETRANSLATE(A62,""en"",""fr""))"),"Une expérience client exceptionnelle")</f>
        <v>Une expérience client exceptionnelle</v>
      </c>
    </row>
    <row r="63" spans="1:2">
      <c r="A63" s="3" t="s">
        <v>244</v>
      </c>
      <c r="B63" s="3" t="str">
        <f ca="1">IFERROR(__xludf.DUMMYFUNCTION("IF(ISBLANK(A63),"""",GOOGLETRANSLATE(A63,""en"",""fr""))"),"Notre interface utilisateur intuitive garantit une expérience client omnicanal supérieure. Grâce à des contrôles modulaires et flexibles, NETSOL permet une personnalisation aisée des flux de travail et des interfaces, privilégiant la satisfaction client e"&amp;"t l'efficacité opérationnelle.")</f>
        <v>Notre interface utilisateur intuitive garantit une expérience client omnicanal supérieure. Grâce à des contrôles modulaires et flexibles, NETSOL permet une personnalisation aisée des flux de travail et des interfaces, privilégiant la satisfaction client et l'efficacité opérationnelle.</v>
      </c>
    </row>
    <row r="64" spans="1:2">
      <c r="A64" s="3" t="s">
        <v>245</v>
      </c>
      <c r="B64" s="3" t="str">
        <f ca="1">IFERROR(__xludf.DUMMYFUNCTION("IF(ISBLANK(A64),"""",GOOGLETRANSLATE(A64,""en"",""fr""))"),"Ce que nos clients disent de nous")</f>
        <v>Ce que nos clients disent de nous</v>
      </c>
    </row>
    <row r="65" spans="1:2">
      <c r="A65" s="3" t="s">
        <v>246</v>
      </c>
      <c r="B65" s="3" t="str">
        <f ca="1">IFERROR(__xludf.DUMMYFUNCTION("IF(ISBLANK(A65),"""",GOOGLETRANSLATE(A65,""en"",""fr""))"),"Stefan Christman")</f>
        <v>Stefan Christman</v>
      </c>
    </row>
    <row r="66" spans="1:2">
      <c r="A66" s="3" t="s">
        <v>247</v>
      </c>
      <c r="B66" s="3" t="str">
        <f ca="1">IFERROR(__xludf.DUMMYFUNCTION("IF(ISBLANK(A66),"""",GOOGLETRANSLATE(A66,""en"",""fr""))"),"Directeur général, Ventes et marketing, MINI Financial Servicesa")</f>
        <v>Directeur général, Ventes et marketing, MINI Financial Servicesa</v>
      </c>
    </row>
    <row r="67" spans="1:2">
      <c r="A67" s="3" t="s">
        <v>248</v>
      </c>
      <c r="B67" s="3" t="str">
        <f ca="1">IFERROR(__xludf.DUMMYFUNCTION("IF(ISBLANK(A67),"""",GOOGLETRANSLATE(A67,""en"",""fr""))"),"Notre partenariat avec MINI USA et Transcend Retail est primordial pour proposer des solutions centrées sur le client et simplifier nos relations commerciales. MINI Anywhere nous donne la validation nécessaire pour vendre des voitures en ligne, tout en ma"&amp;"intenant un excellent crédit et en offrant les taux d'intérêt les plus attractifs à nos clients et prospects.")</f>
        <v>Notre partenariat avec MINI USA et Transcend Retail est primordial pour proposer des solutions centrées sur le client et simplifier nos relations commerciales. MINI Anywhere nous donne la validation nécessaire pour vendre des voitures en ligne, tout en maintenant un excellent crédit et en offrant les taux d'intérêt les plus attractifs à nos clients et prospects.</v>
      </c>
    </row>
    <row r="68" spans="1:2">
      <c r="A68" s="3" t="s">
        <v>249</v>
      </c>
      <c r="B68" s="3" t="str">
        <f ca="1">IFERROR(__xludf.DUMMYFUNCTION("IF(ISBLANK(A68),"""",GOOGLETRANSLATE(A68,""en"",""fr""))"),"Mini services financiers")</f>
        <v>Mini services financiers</v>
      </c>
    </row>
    <row r="69" spans="1:2">
      <c r="A69" s="3" t="s">
        <v>250</v>
      </c>
      <c r="B69" s="3" t="str">
        <f ca="1">IFERROR(__xludf.DUMMYFUNCTION("IF(ISBLANK(A69),"""",GOOGLETRANSLATE(A69,""en"",""fr""))"),"Téléchargez l'étude de cas")</f>
        <v>Téléchargez l'étude de cas</v>
      </c>
    </row>
    <row r="70" spans="1:2">
      <c r="A70" s="3" t="s">
        <v>251</v>
      </c>
      <c r="B70" s="3" t="str">
        <f ca="1">IFERROR(__xludf.DUMMYFUNCTION("IF(ISBLANK(A70),"""",GOOGLETRANSLATE(A70,""en"",""fr""))"),"Blogs connexes")</f>
        <v>Blogs connexes</v>
      </c>
    </row>
    <row r="71" spans="1:2">
      <c r="A71" s="3" t="s">
        <v>100</v>
      </c>
      <c r="B71" s="3" t="str">
        <f ca="1">IFERROR(__xludf.DUMMYFUNCTION("IF(ISBLANK(A71),"""",GOOGLETRANSLATE(A71,""en"",""fr""))"),"NETSOL est présent à Digital Dealer 2025 : façonner l’avenir de la vente automobile")</f>
        <v>NETSOL est présent à Digital Dealer 2025 : façonner l’avenir de la vente automobile</v>
      </c>
    </row>
    <row r="72" spans="1:2">
      <c r="A72" s="3" t="s">
        <v>23</v>
      </c>
      <c r="B72" s="3" t="str">
        <f ca="1">IFERROR(__xludf.DUMMYFUNCTION("IF(ISBLANK(A72),"""",GOOGLETRANSLATE(A72,""en"",""fr""))"),"Apprendre encore plus")</f>
        <v>Apprendre encore plus</v>
      </c>
    </row>
    <row r="73" spans="1:2">
      <c r="A73" s="3" t="s">
        <v>252</v>
      </c>
      <c r="B73" s="3" t="str">
        <f ca="1">IFERROR(__xludf.DUMMYFUNCTION("IF(ISBLANK(A73),"""",GOOGLETRANSLATE(A73,""en"",""fr""))"),"Podcast")</f>
        <v>Podcast</v>
      </c>
    </row>
    <row r="74" spans="1:2">
      <c r="A74" s="3" t="s">
        <v>253</v>
      </c>
      <c r="B74" s="3" t="str">
        <f ca="1">IFERROR(__xludf.DUMMYFUNCTION("IF(ISBLANK(A74),"""",GOOGLETRANSLATE(A74,""en"",""fr""))"),"Quel avenir pour le commerce automobile ? | Transcend AI Labs")</f>
        <v>Quel avenir pour le commerce automobile ? | Transcend AI Labs</v>
      </c>
    </row>
    <row r="75" spans="1:2">
      <c r="A75" s="3" t="s">
        <v>254</v>
      </c>
      <c r="B75" s="3" t="str">
        <f ca="1">IFERROR(__xludf.DUMMYFUNCTION("IF(ISBLANK(A75),"""",GOOGLETRANSLATE(A75,""en"",""fr""))"),"regarder maintenant")</f>
        <v>regarder maintenant</v>
      </c>
    </row>
    <row r="76" spans="1:2">
      <c r="A76" s="3" t="s">
        <v>255</v>
      </c>
      <c r="B76" s="3" t="str">
        <f ca="1">IFERROR(__xludf.DUMMYFUNCTION("IF(ISBLANK(A76),"""",GOOGLETRANSLATE(A76,""en"",""fr""))"),"Étude de cas")</f>
        <v>Étude de cas</v>
      </c>
    </row>
    <row r="77" spans="1:2">
      <c r="A77" s="3" t="s">
        <v>256</v>
      </c>
      <c r="B77" s="3" t="str">
        <f ca="1">IFERROR(__xludf.DUMMYFUNCTION("IF(ISBLANK(A77),"""",GOOGLETRANSLATE(A77,""en"",""fr""))"),"Analyse approfondie du succès de MINI dans la vente au détail de véhicules en ligne")</f>
        <v>Analyse approfondie du succès de MINI dans la vente au détail de véhicules en ligne</v>
      </c>
    </row>
    <row r="78" spans="1:2">
      <c r="A78" s="3" t="s">
        <v>250</v>
      </c>
      <c r="B78" s="3" t="str">
        <f ca="1">IFERROR(__xludf.DUMMYFUNCTION("IF(ISBLANK(A78),"""",GOOGLETRANSLATE(A78,""en"",""fr""))"),"Téléchargez l'étude de cas")</f>
        <v>Téléchargez l'étude de cas</v>
      </c>
    </row>
    <row r="79" spans="1:2">
      <c r="A79" s="3" t="s">
        <v>257</v>
      </c>
      <c r="B79" s="3" t="str">
        <f ca="1">IFERROR(__xludf.DUMMYFUNCTION("IF(ISBLANK(A79),"""",GOOGLETRANSLATE(A79,""en"",""fr""))"),"Découvrez les outils de vente au détail numériques de NETSOL")</f>
        <v>Découvrez les outils de vente au détail numériques de NETSOL</v>
      </c>
    </row>
    <row r="80" spans="1:2">
      <c r="A80" s="3" t="s">
        <v>258</v>
      </c>
      <c r="B80" s="3" t="str">
        <f ca="1">IFERROR(__xludf.DUMMYFUNCTION("IF(ISBLANK(A80),"""",GOOGLETRANSLATE(A80,""en"",""fr""))"),"Découvrez comment NETSOL peut faire progresser votre entreprise grâce à notre expertise et à nos décennies d'expérience dans l'industrie automobile et de l'équipement.")</f>
        <v>Découvrez comment NETSOL peut faire progresser votre entreprise grâce à notre expertise et à nos décennies d'expérience dans l'industrie automobile et de l'équipement.</v>
      </c>
    </row>
    <row r="81" spans="1:2">
      <c r="B81" s="3" t="str">
        <f ca="1">IFERROR(__xludf.DUMMYFUNCTION("IF(ISBLANK(A81),"""",GOOGLETRANSLATE(A81,""en"",""fr""))"),"")</f>
        <v/>
      </c>
    </row>
    <row r="82" spans="1:2">
      <c r="B82" s="3" t="str">
        <f ca="1">IFERROR(__xludf.DUMMYFUNCTION("IF(ISBLANK(A82),"""",GOOGLETRANSLATE(A82,""en"",""fr""))"),"")</f>
        <v/>
      </c>
    </row>
    <row r="83" spans="1:2">
      <c r="A83" s="3" t="s">
        <v>108</v>
      </c>
      <c r="B83" s="3" t="str">
        <f ca="1">IFERROR(__xludf.DUMMYFUNCTION("IF(ISBLANK(A83),"""",GOOGLETRANSLATE(A83,""en"",""fr""))"),"Abonnez-vous à notre newsletter pour recevoir les dernières nouvelles dans votre boîte mail.")</f>
        <v>Abonnez-vous à notre newsletter pour recevoir les dernières nouvelles dans votre boîte mail.</v>
      </c>
    </row>
    <row r="84" spans="1:2">
      <c r="A84" s="3" t="s">
        <v>109</v>
      </c>
      <c r="B84" s="3" t="str">
        <f ca="1">IFERROR(__xludf.DUMMYFUNCTION("IF(ISBLANK(A84),"""",GOOGLETRANSLATE(A84,""en"",""fr""))"),"abc@exemple.com")</f>
        <v>abc@exemple.com</v>
      </c>
    </row>
    <row r="85" spans="1:2">
      <c r="A85" s="3" t="s">
        <v>110</v>
      </c>
      <c r="B85" s="3" t="str">
        <f ca="1">IFERROR(__xludf.DUMMYFUNCTION("IF(ISBLANK(A85),"""",GOOGLETRANSLATE(A85,""en"",""fr""))"),"S'abonner ")</f>
        <v xml:space="preserve">S'abonner </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72"/>
  <sheetViews>
    <sheetView topLeftCell="A61" workbookViewId="0">
      <selection activeCell="B44" sqref="B44"/>
    </sheetView>
  </sheetViews>
  <sheetFormatPr defaultColWidth="12.6640625" defaultRowHeight="15.75" customHeight="1"/>
  <cols>
    <col min="1" max="1" width="69.21875" customWidth="1"/>
  </cols>
  <sheetData>
    <row r="1" spans="1:2">
      <c r="A1" s="1" t="s">
        <v>0</v>
      </c>
      <c r="B1" s="1"/>
    </row>
    <row r="2" spans="1:2">
      <c r="A2" s="3" t="s">
        <v>117</v>
      </c>
      <c r="B2" s="3" t="str">
        <f ca="1">IFERROR(__xludf.DUMMYFUNCTION("IF(ISBLANK(A2),"""",GOOGLETRANSLATE(A2,""en"",""fr""))"),"Portails intermédiaires")</f>
        <v>Portails intermédiaires</v>
      </c>
    </row>
    <row r="3" spans="1:2">
      <c r="A3" s="3" t="s">
        <v>259</v>
      </c>
      <c r="B3" s="3" t="str">
        <f ca="1">IFERROR(__xludf.DUMMYFUNCTION("IF(ISBLANK(A3),"""",GOOGLETRANSLATE(A3,""en"",""fr""))"),"Portails sur mesure pour renforcer l'identité de marque")</f>
        <v>Portails sur mesure pour renforcer l'identité de marque</v>
      </c>
    </row>
    <row r="4" spans="1:2">
      <c r="A4" s="3" t="s">
        <v>260</v>
      </c>
      <c r="B4" s="3" t="str">
        <f ca="1">IFERROR(__xludf.DUMMYFUNCTION("IF(ISBLANK(A4),"""",GOOGLETRANSLATE(A4,""en"",""fr""))"),"Offrez aux clients une expérience d’achat unifiée et autonome.")</f>
        <v>Offrez aux clients une expérience d’achat unifiée et autonome.</v>
      </c>
    </row>
    <row r="5" spans="1:2">
      <c r="A5" s="3" t="s">
        <v>70</v>
      </c>
      <c r="B5" s="3" t="str">
        <f ca="1">IFERROR(__xludf.DUMMYFUNCTION("IF(ISBLANK(A5),"""",GOOGLETRANSLATE(A5,""en"",""fr""))"),"Connectez-vous avec nous")</f>
        <v>Connectez-vous avec nous</v>
      </c>
    </row>
    <row r="6" spans="1:2">
      <c r="A6" s="3" t="s">
        <v>14</v>
      </c>
      <c r="B6" s="3" t="str">
        <f ca="1">IFERROR(__xludf.DUMMYFUNCTION("IF(ISBLANK(A6),"""",GOOGLETRANSLATE(A6,""en"",""fr""))"),"Les plus grandes marques mondiales sont propulsées par NETSOL")</f>
        <v>Les plus grandes marques mondiales sont propulsées par NETSOL</v>
      </c>
    </row>
    <row r="7" spans="1:2">
      <c r="A7" s="3" t="s">
        <v>261</v>
      </c>
      <c r="B7" s="3" t="str">
        <f ca="1">IFERROR(__xludf.DUMMYFUNCTION("IF(ISBLANK(A7),"""",GOOGLETRANSLATE(A7,""en"",""fr""))"),"Maintenir et renforcer l'identité de la marque tout en améliorant la satisfaction")</f>
        <v>Maintenir et renforcer l'identité de la marque tout en améliorant la satisfaction</v>
      </c>
    </row>
    <row r="8" spans="1:2">
      <c r="A8" s="3" t="s">
        <v>262</v>
      </c>
      <c r="B8" s="3" t="str">
        <f ca="1">IFERROR(__xludf.DUMMYFUNCTION("IF(ISBLANK(A8),"""",GOOGLETRANSLATE(A8,""en"",""fr""))"),"Nos portails internes personnalisés et personnalisés peuvent être intégrés à une passerelle intuitive destinée aux clients, dissimulant la complexité de la technologie qui les prend en charge. Les clients potentiels seront guidés tout au long du processus"&amp;" de vente grâce à un parcours intuitif et personnalisé. Cela renforce vos priorités et objectifs spécifiques, tout en offrant au client une expérience d'achat fluide et pratique.")</f>
        <v>Nos portails internes personnalisés et personnalisés peuvent être intégrés à une passerelle intuitive destinée aux clients, dissimulant la complexité de la technologie qui les prend en charge. Les clients potentiels seront guidés tout au long du processus de vente grâce à un parcours intuitif et personnalisé. Cela renforce vos priorités et objectifs spécifiques, tout en offrant au client une expérience d'achat fluide et pratique.</v>
      </c>
    </row>
    <row r="9" spans="1:2">
      <c r="A9" s="3" t="s">
        <v>263</v>
      </c>
      <c r="B9" s="3" t="str">
        <f ca="1">IFERROR(__xludf.DUMMYFUNCTION("IF(ISBLANK(A9),"""",GOOGLETRANSLATE(A9,""en"",""fr""))"),"Confort moderne")</f>
        <v>Confort moderne</v>
      </c>
    </row>
    <row r="10" spans="1:2">
      <c r="A10" s="3" t="s">
        <v>264</v>
      </c>
      <c r="B10" s="3" t="str">
        <f ca="1">IFERROR(__xludf.DUMMYFUNCTION("IF(ISBLANK(A10),"""",GOOGLETRANSLATE(A10,""en"",""fr""))"),"Un processus d'achat rationalisé, privilégiant la satisfaction du client, tout en répondant et en améliorant les objectifs clés et l'identité de marque de votre entreprise.")</f>
        <v>Un processus d'achat rationalisé, privilégiant la satisfaction du client, tout en répondant et en améliorant les objectifs clés et l'identité de marque de votre entreprise.</v>
      </c>
    </row>
    <row r="11" spans="1:2">
      <c r="A11" s="3" t="s">
        <v>265</v>
      </c>
      <c r="B11" s="3" t="str">
        <f ca="1">IFERROR(__xludf.DUMMYFUNCTION("IF(ISBLANK(A11),"""",GOOGLETRANSLATE(A11,""en"",""fr""))"),"Intégration système sans effort")</f>
        <v>Intégration système sans effort</v>
      </c>
    </row>
    <row r="12" spans="1:2">
      <c r="A12" s="3" t="s">
        <v>266</v>
      </c>
      <c r="B12" s="3" t="str">
        <f ca="1">IFERROR(__xludf.DUMMYFUNCTION("IF(ISBLANK(A12),"""",GOOGLETRANSLATE(A12,""en"",""fr""))"),"Fournit toute l'utilité et la complexité d'un système spécialisé tiers, tout en étant parfaitement intégré à votre processus en ligne.")</f>
        <v>Fournit toute l'utilité et la complexité d'un système spécialisé tiers, tout en étant parfaitement intégré à votre processus en ligne.</v>
      </c>
    </row>
    <row r="13" spans="1:2">
      <c r="A13" s="3" t="s">
        <v>267</v>
      </c>
      <c r="B13" s="3" t="str">
        <f ca="1">IFERROR(__xludf.DUMMYFUNCTION("IF(ISBLANK(A13),"""",GOOGLETRANSLATE(A13,""en"",""fr""))"),"Infrastructures connectées")</f>
        <v>Infrastructures connectées</v>
      </c>
    </row>
    <row r="14" spans="1:2">
      <c r="A14" s="3" t="s">
        <v>268</v>
      </c>
      <c r="B14" s="3" t="str">
        <f ca="1">IFERROR(__xludf.DUMMYFUNCTION("IF(ISBLANK(A14),"""",GOOGLETRANSLATE(A14,""en"",""fr""))"),"Conçu en collaboration avec nos clients et optimisé pour vous. Bénéficiez d'une efficacité optimale grâce à des systèmes DMS et CRM performants.")</f>
        <v>Conçu en collaboration avec nos clients et optimisé pour vous. Bénéficiez d'une efficacité optimale grâce à des systèmes DMS et CRM performants.</v>
      </c>
    </row>
    <row r="15" spans="1:2">
      <c r="A15" s="3" t="s">
        <v>269</v>
      </c>
      <c r="B15" s="3" t="str">
        <f ca="1">IFERROR(__xludf.DUMMYFUNCTION("IF(ISBLANK(A15),"""",GOOGLETRANSLATE(A15,""en"",""fr""))"),"Orientation client")</f>
        <v>Orientation client</v>
      </c>
    </row>
    <row r="16" spans="1:2">
      <c r="A16" s="3" t="s">
        <v>270</v>
      </c>
      <c r="B16" s="3" t="str">
        <f ca="1">IFERROR(__xludf.DUMMYFUNCTION("IF(ISBLANK(A16),"""",GOOGLETRANSLATE(A16,""en"",""fr""))"),"Améliorez l'expérience client avec des portails intuitifs et simples, conçus pour masquer la technologie complexe qui les anime.")</f>
        <v>Améliorez l'expérience client avec des portails intuitifs et simples, conçus pour masquer la technologie complexe qui les anime.</v>
      </c>
    </row>
    <row r="17" spans="1:2">
      <c r="A17" s="3" t="s">
        <v>78</v>
      </c>
      <c r="B17" s="3" t="str">
        <f ca="1">IFERROR(__xludf.DUMMYFUNCTION("IF(ISBLANK(A17),"""",GOOGLETRANSLATE(A17,""en"",""fr""))"),"Plus de 500 milliards de dollars")</f>
        <v>Plus de 500 milliards de dollars</v>
      </c>
    </row>
    <row r="18" spans="1:2">
      <c r="A18" s="3" t="s">
        <v>79</v>
      </c>
      <c r="B18" s="3" t="str">
        <f ca="1">IFERROR(__xludf.DUMMYFUNCTION("IF(ISBLANK(A18),"""",GOOGLETRANSLATE(A18,""en"",""fr""))"),"Actifs gérés à l'échelle mondiale")</f>
        <v>Actifs gérés à l'échelle mondiale</v>
      </c>
    </row>
    <row r="19" spans="1:2">
      <c r="A19" s="3" t="s">
        <v>271</v>
      </c>
      <c r="B19" s="3" t="str">
        <f ca="1">IFERROR(__xludf.DUMMYFUNCTION("IF(ISBLANK(A19),"""",GOOGLETRANSLATE(A19,""en"",""fr""))"),"350+")</f>
        <v>350+</v>
      </c>
    </row>
    <row r="20" spans="1:2">
      <c r="A20" s="3" t="s">
        <v>77</v>
      </c>
      <c r="B20" s="3" t="str">
        <f ca="1">IFERROR(__xludf.DUMMYFUNCTION("IF(ISBLANK(A20),"""",GOOGLETRANSLATE(A20,""en"",""fr""))"),"Mises en œuvre réussies")</f>
        <v>Mises en œuvre réussies</v>
      </c>
    </row>
    <row r="21" spans="1:2">
      <c r="A21" s="3" t="s">
        <v>74</v>
      </c>
      <c r="B21" s="3" t="str">
        <f ca="1">IFERROR(__xludf.DUMMYFUNCTION("IF(ISBLANK(A21),"""",GOOGLETRANSLATE(A21,""en"",""fr""))"),"Plus de 200")</f>
        <v>Plus de 200</v>
      </c>
    </row>
    <row r="22" spans="1:2">
      <c r="A22" s="3" t="s">
        <v>75</v>
      </c>
      <c r="B22" s="3" t="str">
        <f ca="1">IFERROR(__xludf.DUMMYFUNCTION("IF(ISBLANK(A22),"""",GOOGLETRANSLATE(A22,""en"",""fr""))"),"Clients du monde entier")</f>
        <v>Clients du monde entier</v>
      </c>
    </row>
    <row r="23" spans="1:2">
      <c r="A23" s="3" t="s">
        <v>272</v>
      </c>
      <c r="B23" s="3" t="str">
        <f ca="1">IFERROR(__xludf.DUMMYFUNCTION("IF(ISBLANK(A23),"""",GOOGLETRANSLATE(A23,""en"",""fr""))"),"30+")</f>
        <v>30+</v>
      </c>
    </row>
    <row r="24" spans="1:2">
      <c r="A24" s="3" t="s">
        <v>273</v>
      </c>
      <c r="B24" s="3" t="str">
        <f ca="1">IFERROR(__xludf.DUMMYFUNCTION("IF(ISBLANK(A24),"""",GOOGLETRANSLATE(A24,""en"",""fr""))"),"Pays desservis")</f>
        <v>Pays desservis</v>
      </c>
    </row>
    <row r="25" spans="1:2">
      <c r="A25" s="3" t="s">
        <v>274</v>
      </c>
      <c r="B25" s="3" t="str">
        <f ca="1">IFERROR(__xludf.DUMMYFUNCTION("IF(ISBLANK(A25),"""",GOOGLETRANSLATE(A25,""en"",""fr""))"),"Contrôle de bout en bout et intelligence intégrée")</f>
        <v>Contrôle de bout en bout et intelligence intégrée</v>
      </c>
    </row>
    <row r="26" spans="1:2">
      <c r="A26" s="6" t="s">
        <v>275</v>
      </c>
      <c r="B26" s="3" t="str">
        <f ca="1">IFERROR(__xludf.DUMMYFUNCTION("IF(ISBLANK(A26),"""",GOOGLETRANSLATE(A26,""en"",""fr""))"),"Portails de courtiers")</f>
        <v>Portails de courtiers</v>
      </c>
    </row>
    <row r="27" spans="1:2">
      <c r="A27" s="3" t="s">
        <v>276</v>
      </c>
      <c r="B27" s="3" t="str">
        <f ca="1">IFERROR(__xludf.DUMMYFUNCTION("IF(ISBLANK(A27),"""",GOOGLETRANSLATE(A27,""en"",""fr""))"),"L'efficacité et la performance sont essentielles pour tout courtier. La gestion de systèmes et de processus disparates peut s'avérer complexe et chronophage, entraînant souvent des inefficacités et des opportunités manquées. NETSOL apporte une solution à "&amp;"ces problèmes en consolidant les processus disparates au sein d'une interface unique et unifiée, révolutionnant ainsi le fonctionnement de votre agence de courtage.")</f>
        <v>L'efficacité et la performance sont essentielles pour tout courtier. La gestion de systèmes et de processus disparates peut s'avérer complexe et chronophage, entraînant souvent des inefficacités et des opportunités manquées. NETSOL apporte une solution à ces problèmes en consolidant les processus disparates au sein d'une interface unique et unifiée, révolutionnant ainsi le fonctionnement de votre agence de courtage.</v>
      </c>
    </row>
    <row r="28" spans="1:2">
      <c r="A28" s="6" t="s">
        <v>277</v>
      </c>
      <c r="B28" s="3" t="str">
        <f ca="1">IFERROR(__xludf.DUMMYFUNCTION("IF(ISBLANK(A28),"""",GOOGLETRANSLATE(A28,""en"",""fr""))"),"Portails des prêteurs")</f>
        <v>Portails des prêteurs</v>
      </c>
    </row>
    <row r="29" spans="1:2">
      <c r="A29" s="3" t="s">
        <v>278</v>
      </c>
      <c r="B29" s="3" t="str">
        <f ca="1">IFERROR(__xludf.DUMMYFUNCTION("IF(ISBLANK(A29),"""",GOOGLETRANSLATE(A29,""en"",""fr""))"),"Les portails NETSOL, dédiés aux prêteurs, sont conçus pour transformer le processus de prêt en améliorant la gestion des risques et en optimisant la rentabilité. Nos outils avancés simplifient non seulement le montage des prêts, mais facilitent également "&amp;"la communication et la collaboration avec l'écosystème du crédit. Dynamisez votre processus de prêt grâce à des portails intuitifs et efficaces, conçus pour une expérience utilisateur fluide.")</f>
        <v>Les portails NETSOL, dédiés aux prêteurs, sont conçus pour transformer le processus de prêt en améliorant la gestion des risques et en optimisant la rentabilité. Nos outils avancés simplifient non seulement le montage des prêts, mais facilitent également la communication et la collaboration avec l'écosystème du crédit. Dynamisez votre processus de prêt grâce à des portails intuitifs et efficaces, conçus pour une expérience utilisateur fluide.</v>
      </c>
    </row>
    <row r="30" spans="1:2">
      <c r="A30" s="3" t="s">
        <v>279</v>
      </c>
      <c r="B30" s="3" t="str">
        <f ca="1">IFERROR(__xludf.DUMMYFUNCTION("IF(ISBLANK(A30),"""",GOOGLETRANSLATE(A30,""en"",""fr""))"),"Portails des concessionnaires")</f>
        <v>Portails des concessionnaires</v>
      </c>
    </row>
    <row r="31" spans="1:2">
      <c r="A31" s="3" t="s">
        <v>280</v>
      </c>
      <c r="B31" s="3" t="str">
        <f ca="1">IFERROR(__xludf.DUMMYFUNCTION("IF(ISBLANK(A31),"""",GOOGLETRANSLATE(A31,""en"",""fr""))"),"Dans le secteur automobile concurrentiel, les concessionnaires ont besoin de solutions performantes et complètes pour gérer efficacement leurs opérations. Les portails intermédiaires de NETSOL font office de centres de pilotage numériques, offrant aux con"&amp;"cessionnaires un large éventail d'outils, de ressources et de services pour optimiser chaque aspect de leur activité, de la gestion des stocks aux ventes et au marketing.")</f>
        <v>Dans le secteur automobile concurrentiel, les concessionnaires ont besoin de solutions performantes et complètes pour gérer efficacement leurs opérations. Les portails intermédiaires de NETSOL font office de centres de pilotage numériques, offrant aux concessionnaires un large éventail d'outils, de ressources et de services pour optimiser chaque aspect de leur activité, de la gestion des stocks aux ventes et au marketing.</v>
      </c>
    </row>
    <row r="32" spans="1:2">
      <c r="A32" s="6" t="s">
        <v>91</v>
      </c>
      <c r="B32" s="3" t="str">
        <f ca="1">IFERROR(__xludf.DUMMYFUNCTION("IF(ISBLANK(A32),"""",GOOGLETRANSLATE(A32,""en"",""fr""))"),"Haydock Financial rencontre le succès avec la place de marché de NETSOL")</f>
        <v>Haydock Financial rencontre le succès avec la place de marché de NETSOL</v>
      </c>
    </row>
    <row r="33" spans="1:2">
      <c r="A33" s="3" t="s">
        <v>281</v>
      </c>
      <c r="B33" s="3" t="str">
        <f ca="1">IFERROR(__xludf.DUMMYFUNCTION("IF(ISBLANK(A33),"""",GOOGLETRANSLATE(A33,""en"",""fr""))"),"« Je recommande sans hésiter Appex Now et NETSOL. Leurs produits sont excellents et fonctionnent à merveille. De plus, NETSOL a su répondre à nos besoins et a rapidement apporté toutes les modifications nécessaires. »")</f>
        <v>« Je recommande sans hésiter Appex Now et NETSOL. Leurs produits sont excellents et fonctionnent à merveille. De plus, NETSOL a su répondre à nos besoins et a rapidement apporté toutes les modifications nécessaires. »</v>
      </c>
    </row>
    <row r="34" spans="1:2">
      <c r="A34" s="6" t="s">
        <v>93</v>
      </c>
      <c r="B34" s="3" t="str">
        <f ca="1">IFERROR(__xludf.DUMMYFUNCTION("IF(ISBLANK(A34),"""",GOOGLETRANSLATE(A34,""en"",""fr""))"),"Mike Boyes")</f>
        <v>Mike Boyes</v>
      </c>
    </row>
    <row r="35" spans="1:2">
      <c r="A35" s="3" t="s">
        <v>282</v>
      </c>
      <c r="B35" s="3" t="str">
        <f ca="1">IFERROR(__xludf.DUMMYFUNCTION("IF(ISBLANK(A35),"""",GOOGLETRANSLATE(A35,""en"",""fr""))"),"Prêt à naviguer à travers nos portails intermédiaires ?")</f>
        <v>Prêt à naviguer à travers nos portails intermédiaires ?</v>
      </c>
    </row>
    <row r="36" spans="1:2">
      <c r="A36" s="3" t="s">
        <v>283</v>
      </c>
      <c r="B36" s="3" t="str">
        <f ca="1">IFERROR(__xludf.DUMMYFUNCTION("IF(ISBLANK(A36),"""",GOOGLETRANSLATE(A36,""en"",""fr""))"),"Découvrez les portails NETSOL, conçus par des experts et personnalisables, et profitez de leurs avantages. Découvrez nos portails intermédiaires dès aujourd'hui.")</f>
        <v>Découvrez les portails NETSOL, conçus par des experts et personnalisables, et profitez de leurs avantages. Découvrez nos portails intermédiaires dès aujourd'hui.</v>
      </c>
    </row>
    <row r="37" spans="1:2">
      <c r="B37" s="3" t="str">
        <f ca="1">IFERROR(__xludf.DUMMYFUNCTION("IF(ISBLANK(A37),"""",GOOGLETRANSLATE(A37,""en"",""fr""))"),"")</f>
        <v/>
      </c>
    </row>
    <row r="38" spans="1:2">
      <c r="A38" s="3" t="s">
        <v>94</v>
      </c>
      <c r="B38" s="3" t="str">
        <f ca="1">IFERROR(__xludf.DUMMYFUNCTION("IF(ISBLANK(A38),"""",GOOGLETRANSLATE(A38,""en"",""fr""))"),"Lectures et idées en vedette")</f>
        <v>Lectures et idées en vedette</v>
      </c>
    </row>
    <row r="39" spans="1:2">
      <c r="A39" s="10" t="s">
        <v>95</v>
      </c>
      <c r="B39" s="3" t="str">
        <f ca="1">IFERROR(__xludf.DUMMYFUNCTION("IF(ISBLANK(A39),"""",GOOGLETRANSLATE(A39,""en"",""fr""))"),"Restez informé des dernières actualités de NETSOL. Réflexions stratégiques, mises à jour produits, perspectives sectorielles et actualités de l'entreprise, tout est réuni au même endroit.")</f>
        <v>Restez informé des dernières actualités de NETSOL. Réflexions stratégiques, mises à jour produits, perspectives sectorielles et actualités de l'entreprise, tout est réuni au même endroit.</v>
      </c>
    </row>
    <row r="40" spans="1:2">
      <c r="A40" s="3" t="s">
        <v>96</v>
      </c>
      <c r="B40" s="3" t="str">
        <f ca="1">IFERROR(__xludf.DUMMYFUNCTION("IF(ISBLANK(A40),"""",GOOGLETRANSLATE(A40,""en"",""fr""))"),"Blog")</f>
        <v>Blog</v>
      </c>
    </row>
    <row r="41" spans="1:2">
      <c r="A41" s="3" t="s">
        <v>97</v>
      </c>
      <c r="B41" s="3" t="str">
        <f ca="1">IFERROR(__xludf.DUMMYFUNCTION("IF(ISBLANK(A41),"""",GOOGLETRANSLATE(A41,""en"",""fr""))"),"Au-delà du DMS : pourquoi l’avenir du commerce automobile repose sur les API")</f>
        <v>Au-delà du DMS : pourquoi l’avenir du commerce automobile repose sur les API</v>
      </c>
    </row>
    <row r="42" spans="1:2">
      <c r="A42" s="3" t="s">
        <v>23</v>
      </c>
      <c r="B42" s="3" t="str">
        <f ca="1">IFERROR(__xludf.DUMMYFUNCTION("IF(ISBLANK(A42),"""",GOOGLETRANSLATE(A42,""en"",""fr""))"),"Apprendre encore plus")</f>
        <v>Apprendre encore plus</v>
      </c>
    </row>
    <row r="43" spans="1:2">
      <c r="B43" s="3" t="str">
        <f ca="1">IFERROR(__xludf.DUMMYFUNCTION("IF(ISBLANK(A43),"""",GOOGLETRANSLATE(A43,""en"",""fr""))"),"")</f>
        <v/>
      </c>
    </row>
    <row r="44" spans="1:2">
      <c r="A44" s="3" t="s">
        <v>98</v>
      </c>
      <c r="B44" s="3" t="str">
        <f ca="1">IFERROR(__xludf.DUMMYFUNCTION("IF(ISBLANK(A44),"""",GOOGLETRANSLATE(A44,""en"",""fr""))"),"NETSOL est présent à la conférence et aux prix GlobalData Automotive Europe 2025.")</f>
        <v>NETSOL est présent à la conférence et aux prix GlobalData Automotive Europe 2025.</v>
      </c>
    </row>
    <row r="45" spans="1:2">
      <c r="B45" s="3" t="str">
        <f ca="1">IFERROR(__xludf.DUMMYFUNCTION("IF(ISBLANK(A45),"""",GOOGLETRANSLATE(A45,""en"",""fr""))"),"")</f>
        <v/>
      </c>
    </row>
    <row r="46" spans="1:2">
      <c r="B46" s="3" t="str">
        <f ca="1">IFERROR(__xludf.DUMMYFUNCTION("IF(ISBLANK(A46),"""",GOOGLETRANSLATE(A46,""en"",""fr""))"),"")</f>
        <v/>
      </c>
    </row>
    <row r="47" spans="1:2">
      <c r="A47" s="3" t="s">
        <v>99</v>
      </c>
      <c r="B47" s="3" t="str">
        <f ca="1">IFERROR(__xludf.DUMMYFUNCTION("IF(ISBLANK(A47),"""",GOOGLETRANSLATE(A47,""en"",""fr""))"),"NETSOL participe au 25e Sommet annuel du financement automobile : Piloter l'avenir du financement automobile")</f>
        <v>NETSOL participe au 25e Sommet annuel du financement automobile : Piloter l'avenir du financement automobile</v>
      </c>
    </row>
    <row r="48" spans="1:2">
      <c r="B48" s="3" t="str">
        <f ca="1">IFERROR(__xludf.DUMMYFUNCTION("IF(ISBLANK(A48),"""",GOOGLETRANSLATE(A48,""en"",""fr""))"),"")</f>
        <v/>
      </c>
    </row>
    <row r="49" spans="1:2">
      <c r="B49" s="3" t="str">
        <f ca="1">IFERROR(__xludf.DUMMYFUNCTION("IF(ISBLANK(A49),"""",GOOGLETRANSLATE(A49,""en"",""fr""))"),"")</f>
        <v/>
      </c>
    </row>
    <row r="50" spans="1:2">
      <c r="A50" s="3" t="s">
        <v>100</v>
      </c>
      <c r="B50" s="3" t="str">
        <f ca="1">IFERROR(__xludf.DUMMYFUNCTION("IF(ISBLANK(A50),"""",GOOGLETRANSLATE(A50,""en"",""fr""))"),"NETSOL est présent à Digital Dealer 2025 : façonner l’avenir de la vente automobile")</f>
        <v>NETSOL est présent à Digital Dealer 2025 : façonner l’avenir de la vente automobile</v>
      </c>
    </row>
    <row r="51" spans="1:2">
      <c r="B51" s="3" t="str">
        <f ca="1">IFERROR(__xludf.DUMMYFUNCTION("IF(ISBLANK(A51),"""",GOOGLETRANSLATE(A51,""en"",""fr""))"),"")</f>
        <v/>
      </c>
    </row>
    <row r="52" spans="1:2">
      <c r="B52" s="3" t="str">
        <f ca="1">IFERROR(__xludf.DUMMYFUNCTION("IF(ISBLANK(A52),"""",GOOGLETRANSLATE(A52,""en"",""fr""))"),"")</f>
        <v/>
      </c>
    </row>
    <row r="53" spans="1:2">
      <c r="A53" s="6" t="s">
        <v>101</v>
      </c>
      <c r="B53" s="3" t="str">
        <f ca="1">IFERROR(__xludf.DUMMYFUNCTION("IF(ISBLANK(A53),"""",GOOGLETRANSLATE(A53,""en"",""fr""))"),"L'IA dans le secteur des services financiers et de l'investissement : révolutionner la gestion des risques")</f>
        <v>L'IA dans le secteur des services financiers et de l'investissement : révolutionner la gestion des risques</v>
      </c>
    </row>
    <row r="54" spans="1:2">
      <c r="B54" s="3" t="str">
        <f ca="1">IFERROR(__xludf.DUMMYFUNCTION("IF(ISBLANK(A54),"""",GOOGLETRANSLATE(A54,""en"",""fr""))"),"")</f>
        <v/>
      </c>
    </row>
    <row r="55" spans="1:2">
      <c r="B55" s="3" t="str">
        <f ca="1">IFERROR(__xludf.DUMMYFUNCTION("IF(ISBLANK(A55),"""",GOOGLETRANSLATE(A55,""en"",""fr""))"),"")</f>
        <v/>
      </c>
    </row>
    <row r="56" spans="1:2">
      <c r="A56" s="3" t="s">
        <v>102</v>
      </c>
      <c r="B56" s="3" t="str">
        <f ca="1">IFERROR(__xludf.DUMMYFUNCTION("IF(ISBLANK(A56),"""",GOOGLETRANSLATE(A56,""en"",""fr""))"),"L'importance de la personnalisation du service client : adapter la gestion des paiements et des litiges aux besoins des clients")</f>
        <v>L'importance de la personnalisation du service client : adapter la gestion des paiements et des litiges aux besoins des clients</v>
      </c>
    </row>
    <row r="57" spans="1:2">
      <c r="B57" s="3" t="str">
        <f ca="1">IFERROR(__xludf.DUMMYFUNCTION("IF(ISBLANK(A57),"""",GOOGLETRANSLATE(A57,""en"",""fr""))"),"")</f>
        <v/>
      </c>
    </row>
    <row r="58" spans="1:2">
      <c r="B58" s="3" t="str">
        <f ca="1">IFERROR(__xludf.DUMMYFUNCTION("IF(ISBLANK(A58),"""",GOOGLETRANSLATE(A58,""en"",""fr""))"),"")</f>
        <v/>
      </c>
    </row>
    <row r="59" spans="1:2">
      <c r="A59" s="3" t="s">
        <v>103</v>
      </c>
      <c r="B59" s="3" t="str">
        <f ca="1">IFERROR(__xludf.DUMMYFUNCTION("IF(ISBLANK(A59),"""",GOOGLETRANSLATE(A59,""en"",""fr""))"),"Le véritable coût des systèmes déconnectés dans le commerce de détail automobile")</f>
        <v>Le véritable coût des systèmes déconnectés dans le commerce de détail automobile</v>
      </c>
    </row>
    <row r="60" spans="1:2">
      <c r="B60" s="3" t="str">
        <f ca="1">IFERROR(__xludf.DUMMYFUNCTION("IF(ISBLANK(A60),"""",GOOGLETRANSLATE(A60,""en"",""fr""))"),"")</f>
        <v/>
      </c>
    </row>
    <row r="61" spans="1:2">
      <c r="B61" s="3" t="str">
        <f ca="1">IFERROR(__xludf.DUMMYFUNCTION("IF(ISBLANK(A61),"""",GOOGLETRANSLATE(A61,""en"",""fr""))"),"")</f>
        <v/>
      </c>
    </row>
    <row r="62" spans="1:2">
      <c r="A62" s="3" t="s">
        <v>104</v>
      </c>
      <c r="B62" s="3" t="str">
        <f ca="1">IFERROR(__xludf.DUMMYFUNCTION("IF(ISBLANK(A62),"""",GOOGLETRANSLATE(A62,""en"",""fr""))"),"Captive du futur : Comment la technologie redéfinit les opérations financières des captives - Points clés du webinaire de l'AFSA")</f>
        <v>Captive du futur : Comment la technologie redéfinit les opérations financières des captives - Points clés du webinaire de l'AFSA</v>
      </c>
    </row>
    <row r="63" spans="1:2">
      <c r="B63" s="3" t="str">
        <f ca="1">IFERROR(__xludf.DUMMYFUNCTION("IF(ISBLANK(A63),"""",GOOGLETRANSLATE(A63,""en"",""fr""))"),"")</f>
        <v/>
      </c>
    </row>
    <row r="64" spans="1:2">
      <c r="B64" s="3" t="str">
        <f ca="1">IFERROR(__xludf.DUMMYFUNCTION("IF(ISBLANK(A64),"""",GOOGLETRANSLATE(A64,""en"",""fr""))"),"")</f>
        <v/>
      </c>
    </row>
    <row r="65" spans="1:2">
      <c r="A65" s="3" t="s">
        <v>105</v>
      </c>
      <c r="B65" s="3" t="str">
        <f ca="1">IFERROR(__xludf.DUMMYFUNCTION("IF(ISBLANK(A65),"""",GOOGLETRANSLATE(A65,""en"",""fr""))"),"Lutte contre la fraude dans le secteur financier de gros : exploiter la technologie pour une détection précoce et une atténuation des risques")</f>
        <v>Lutte contre la fraude dans le secteur financier de gros : exploiter la technologie pour une détection précoce et une atténuation des risques</v>
      </c>
    </row>
    <row r="66" spans="1:2">
      <c r="B66" s="3" t="str">
        <f ca="1">IFERROR(__xludf.DUMMYFUNCTION("IF(ISBLANK(A66),"""",GOOGLETRANSLATE(A66,""en"",""fr""))"),"")</f>
        <v/>
      </c>
    </row>
    <row r="67" spans="1:2">
      <c r="A67" s="3" t="s">
        <v>108</v>
      </c>
      <c r="B67" s="3" t="str">
        <f ca="1">IFERROR(__xludf.DUMMYFUNCTION("IF(ISBLANK(A67),"""",GOOGLETRANSLATE(A67,""en"",""fr""))"),"Abonnez-vous à notre newsletter pour recevoir les dernières nouvelles dans votre boîte mail.")</f>
        <v>Abonnez-vous à notre newsletter pour recevoir les dernières nouvelles dans votre boîte mail.</v>
      </c>
    </row>
    <row r="68" spans="1:2">
      <c r="A68" s="3" t="s">
        <v>109</v>
      </c>
      <c r="B68" s="3" t="str">
        <f ca="1">IFERROR(__xludf.DUMMYFUNCTION("IF(ISBLANK(A68),"""",GOOGLETRANSLATE(A68,""en"",""fr""))"),"abc@exemple.com")</f>
        <v>abc@exemple.com</v>
      </c>
    </row>
    <row r="69" spans="1:2">
      <c r="A69" s="3" t="s">
        <v>110</v>
      </c>
      <c r="B69" s="3" t="str">
        <f ca="1">IFERROR(__xludf.DUMMYFUNCTION("IF(ISBLANK(A69),"""",GOOGLETRANSLATE(A69,""en"",""fr""))"),"S'abonner ")</f>
        <v xml:space="preserve">S'abonner </v>
      </c>
    </row>
    <row r="70" spans="1:2">
      <c r="B70" s="3" t="str">
        <f ca="1">IFERROR(__xludf.DUMMYFUNCTION("IF(ISBLANK(A70),"""",GOOGLETRANSLATE(A70,""en"",""fr""))"),"")</f>
        <v/>
      </c>
    </row>
    <row r="71" spans="1:2">
      <c r="B71" s="3" t="str">
        <f ca="1">IFERROR(__xludf.DUMMYFUNCTION("IF(ISBLANK(A71),"""",GOOGLETRANSLATE(A71,""en"",""fr""))"),"")</f>
        <v/>
      </c>
    </row>
    <row r="72" spans="1:2">
      <c r="B72" s="3" t="str">
        <f ca="1">IFERROR(__xludf.DUMMYFUNCTION("IF(ISBLANK(A72),"""",GOOGLETRANSLATE(A72,""en"",""fr""))"),"")</f>
        <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68"/>
  <sheetViews>
    <sheetView topLeftCell="A49" workbookViewId="0"/>
  </sheetViews>
  <sheetFormatPr defaultColWidth="12.6640625" defaultRowHeight="15.75" customHeight="1"/>
  <cols>
    <col min="1" max="1" width="88.33203125" customWidth="1"/>
  </cols>
  <sheetData>
    <row r="1" spans="1:2">
      <c r="A1" s="1" t="s">
        <v>0</v>
      </c>
      <c r="B1" s="1"/>
    </row>
    <row r="2" spans="1:2">
      <c r="A2" s="3" t="s">
        <v>284</v>
      </c>
      <c r="B2" s="3" t="str">
        <f ca="1">IFERROR(__xludf.DUMMYFUNCTION("IF(ISBLANK(A2),"""",GOOGLETRANSLATE(A2,""en"",""fr""))"),"Origination de prêts")</f>
        <v>Origination de prêts</v>
      </c>
    </row>
    <row r="3" spans="1:2">
      <c r="A3" s="3" t="s">
        <v>285</v>
      </c>
      <c r="B3" s="3" t="str">
        <f ca="1">IFERROR(__xludf.DUMMYFUNCTION("IF(ISBLANK(A3),"""",GOOGLETRANSLATE(A3,""en"",""fr""))"),"Une expérience d'octroi de prêts alimentée par l'IA")</f>
        <v>Une expérience d'octroi de prêts alimentée par l'IA</v>
      </c>
    </row>
    <row r="4" spans="1:2">
      <c r="A4" s="3" t="s">
        <v>286</v>
      </c>
      <c r="B4" s="3" t="str">
        <f ca="1">IFERROR(__xludf.DUMMYFUNCTION("IF(ISBLANK(A4),"""",GOOGLETRANSLATE(A4,""en"",""fr""))"),"Découvrez l'avenir de l'origination de crédits-bails et de prêts avec des plateformes multicanaux hautement agiles et faciles à utiliser.")</f>
        <v>Découvrez l'avenir de l'origination de crédits-bails et de prêts avec des plateformes multicanaux hautement agiles et faciles à utiliser.</v>
      </c>
    </row>
    <row r="5" spans="1:2">
      <c r="A5" s="3" t="s">
        <v>70</v>
      </c>
      <c r="B5" s="3" t="str">
        <f ca="1">IFERROR(__xludf.DUMMYFUNCTION("IF(ISBLANK(A5),"""",GOOGLETRANSLATE(A5,""en"",""fr""))"),"Connectez-vous avec nous")</f>
        <v>Connectez-vous avec nous</v>
      </c>
    </row>
    <row r="6" spans="1:2">
      <c r="A6" s="3" t="s">
        <v>14</v>
      </c>
      <c r="B6" s="3" t="str">
        <f ca="1">IFERROR(__xludf.DUMMYFUNCTION("IF(ISBLANK(A6),"""",GOOGLETRANSLATE(A6,""en"",""fr""))"),"Les plus grandes marques mondiales sont propulsées par NETSOL")</f>
        <v>Les plus grandes marques mondiales sont propulsées par NETSOL</v>
      </c>
    </row>
    <row r="7" spans="1:2">
      <c r="A7" s="3" t="s">
        <v>287</v>
      </c>
      <c r="B7" s="3" t="str">
        <f ca="1">IFERROR(__xludf.DUMMYFUNCTION("IF(ISBLANK(A7),"""",GOOGLETRANSLATE(A7,""en"",""fr""))"),"Positionner les prêteurs pour moderniser leurs pratiques de prêt grâce à l'IA")</f>
        <v>Positionner les prêteurs pour moderniser leurs pratiques de prêt grâce à l'IA</v>
      </c>
    </row>
    <row r="8" spans="1:2">
      <c r="A8" s="3" t="s">
        <v>288</v>
      </c>
      <c r="B8" s="3" t="str">
        <f ca="1">IFERROR(__xludf.DUMMYFUNCTION("IF(ISBLANK(A8),"""",GOOGLETRANSLATE(A8,""en"",""fr""))"),"Notre logiciel de montage de crédit-bail et de prêt se distingue par son engagement envers l'expérience utilisateur. De la réception de la demande à l'approbation du prêt, chaque interaction est conçue pour être fluide et simple, vous permettant de vous c"&amp;"oncentrer sur l'essentiel : servir vos clients. Optimisez l'ensemble du processus de montage de crédit, de la soumission à l'approbation, grâce aux fonctionnalités avancées de notre logiciel de montage de crédit, telles que la prise de décision en temps r"&amp;"éel basée sur l'IA, l'automatisation des flux de transactions, et bien plus encore. Grâce à sa compatibilité multiplateforme, les équipes commerciales peuvent établir des devis rapides, gérer les demandes en déplacement et réduire considérablement le temp"&amp;"s de décision.")</f>
        <v>Notre logiciel de montage de crédit-bail et de prêt se distingue par son engagement envers l'expérience utilisateur. De la réception de la demande à l'approbation du prêt, chaque interaction est conçue pour être fluide et simple, vous permettant de vous concentrer sur l'essentiel : servir vos clients. Optimisez l'ensemble du processus de montage de crédit, de la soumission à l'approbation, grâce aux fonctionnalités avancées de notre logiciel de montage de crédit, telles que la prise de décision en temps réel basée sur l'IA, l'automatisation des flux de transactions, et bien plus encore. Grâce à sa compatibilité multiplateforme, les équipes commerciales peuvent établir des devis rapides, gérer les demandes en déplacement et réduire considérablement le temps de décision.</v>
      </c>
    </row>
    <row r="9" spans="1:2">
      <c r="A9" s="3" t="s">
        <v>289</v>
      </c>
      <c r="B9" s="3" t="str">
        <f ca="1">IFERROR(__xludf.DUMMYFUNCTION("IF(ISBLANK(A9),"""",GOOGLETRANSLATE(A9,""en"",""fr""))"),"Décisions basées sur l'IA")</f>
        <v>Décisions basées sur l'IA</v>
      </c>
    </row>
    <row r="10" spans="1:2">
      <c r="A10" s="3" t="s">
        <v>290</v>
      </c>
      <c r="B10" s="3" t="str">
        <f ca="1">IFERROR(__xludf.DUMMYFUNCTION("IF(ISBLANK(A10),"""",GOOGLETRANSLATE(A10,""en"",""fr""))"),"De la notation de crédit à l’évaluation des risques, notre logiciel de création de prêts vous permet de prendre des décisions éclairées rapidement et avec précision.")</f>
        <v>De la notation de crédit à l’évaluation des risques, notre logiciel de création de prêts vous permet de prendre des décisions éclairées rapidement et avec précision.</v>
      </c>
    </row>
    <row r="11" spans="1:2">
      <c r="A11" s="3" t="s">
        <v>291</v>
      </c>
      <c r="B11" s="3" t="str">
        <f ca="1">IFERROR(__xludf.DUMMYFUNCTION("IF(ISBLANK(A11),"""",GOOGLETRANSLATE(A11,""en"",""fr""))"),"Libre-service client")</f>
        <v>Libre-service client</v>
      </c>
    </row>
    <row r="12" spans="1:2">
      <c r="A12" s="3" t="s">
        <v>292</v>
      </c>
      <c r="B12" s="3" t="str">
        <f ca="1">IFERROR(__xludf.DUMMYFUNCTION("IF(ISBLANK(A12),"""",GOOGLETRANSLATE(A12,""en"",""fr""))"),"Notre logiciel de création de prêts en libre-service permet aux clients de suivre l'intégralité du processus d'achat et de financement n'importe où et à tout moment.")</f>
        <v>Notre logiciel de création de prêts en libre-service permet aux clients de suivre l'intégralité du processus d'achat et de financement n'importe où et à tout moment.</v>
      </c>
    </row>
    <row r="13" spans="1:2">
      <c r="A13" s="3" t="s">
        <v>293</v>
      </c>
      <c r="B13" s="3" t="str">
        <f ca="1">IFERROR(__xludf.DUMMYFUNCTION("IF(ISBLANK(A13),"""",GOOGLETRANSLATE(A13,""en"",""fr""))"),"Des informations déverrouillées")</f>
        <v>Des informations déverrouillées</v>
      </c>
    </row>
    <row r="14" spans="1:2">
      <c r="A14" s="3" t="s">
        <v>294</v>
      </c>
      <c r="B14" s="3" t="str">
        <f ca="1">IFERROR(__xludf.DUMMYFUNCTION("IF(ISBLANK(A14),"""",GOOGLETRANSLATE(A14,""en"",""fr""))"),"Grâce à des capacités d’analyse et de reporting avancées, vous pouvez obtenir des informations précieuses sur votre portefeuille de prêts et identifier les opportunités d’amélioration et de croissance.")</f>
        <v>Grâce à des capacités d’analyse et de reporting avancées, vous pouvez obtenir des informations précieuses sur votre portefeuille de prêts et identifier les opportunités d’amélioration et de croissance.</v>
      </c>
    </row>
    <row r="15" spans="1:2">
      <c r="A15" s="3" t="s">
        <v>295</v>
      </c>
      <c r="B15" s="3" t="str">
        <f ca="1">IFERROR(__xludf.DUMMYFUNCTION("IF(ISBLANK(A15),"""",GOOGLETRANSLATE(A15,""en"",""fr""))"),"Expérience améliorée")</f>
        <v>Expérience améliorée</v>
      </c>
    </row>
    <row r="16" spans="1:2">
      <c r="A16" s="3" t="s">
        <v>296</v>
      </c>
      <c r="B16" s="3" t="str">
        <f ca="1">IFERROR(__xludf.DUMMYFUNCTION("IF(ISBLANK(A16),"""",GOOGLETRANSLATE(A16,""en"",""fr""))"),"Grâce à notre interface conviviale et à notre conception intuitive, les emprunteurs peuvent lancer et compléter des demandes en toute simplicité, ce qui conduit à des taux de satisfaction et de rétention plus élevés.")</f>
        <v>Grâce à notre interface conviviale et à notre conception intuitive, les emprunteurs peuvent lancer et compléter des demandes en toute simplicité, ce qui conduit à des taux de satisfaction et de rétention plus élevés.</v>
      </c>
    </row>
    <row r="17" spans="1:2">
      <c r="A17" s="3" t="s">
        <v>78</v>
      </c>
      <c r="B17" s="3" t="str">
        <f ca="1">IFERROR(__xludf.DUMMYFUNCTION("IF(ISBLANK(A17),"""",GOOGLETRANSLATE(A17,""en"",""fr""))"),"Plus de 500 milliards de dollars")</f>
        <v>Plus de 500 milliards de dollars</v>
      </c>
    </row>
    <row r="18" spans="1:2">
      <c r="A18" s="3" t="s">
        <v>79</v>
      </c>
      <c r="B18" s="3" t="str">
        <f ca="1">IFERROR(__xludf.DUMMYFUNCTION("IF(ISBLANK(A18),"""",GOOGLETRANSLATE(A18,""en"",""fr""))"),"Actifs gérés à l'échelle mondiale")</f>
        <v>Actifs gérés à l'échelle mondiale</v>
      </c>
    </row>
    <row r="19" spans="1:2">
      <c r="A19" s="3" t="s">
        <v>271</v>
      </c>
      <c r="B19" s="3" t="str">
        <f ca="1">IFERROR(__xludf.DUMMYFUNCTION("IF(ISBLANK(A19),"""",GOOGLETRANSLATE(A19,""en"",""fr""))"),"350+")</f>
        <v>350+</v>
      </c>
    </row>
    <row r="20" spans="1:2">
      <c r="A20" s="3" t="s">
        <v>77</v>
      </c>
      <c r="B20" s="3" t="str">
        <f ca="1">IFERROR(__xludf.DUMMYFUNCTION("IF(ISBLANK(A20),"""",GOOGLETRANSLATE(A20,""en"",""fr""))"),"Mises en œuvre réussies")</f>
        <v>Mises en œuvre réussies</v>
      </c>
    </row>
    <row r="21" spans="1:2">
      <c r="A21" s="3" t="s">
        <v>74</v>
      </c>
      <c r="B21" s="3" t="str">
        <f ca="1">IFERROR(__xludf.DUMMYFUNCTION("IF(ISBLANK(A21),"""",GOOGLETRANSLATE(A21,""en"",""fr""))"),"Plus de 200")</f>
        <v>Plus de 200</v>
      </c>
    </row>
    <row r="22" spans="1:2">
      <c r="A22" s="3" t="s">
        <v>75</v>
      </c>
      <c r="B22" s="3" t="str">
        <f ca="1">IFERROR(__xludf.DUMMYFUNCTION("IF(ISBLANK(A22),"""",GOOGLETRANSLATE(A22,""en"",""fr""))"),"Clients du monde entier")</f>
        <v>Clients du monde entier</v>
      </c>
    </row>
    <row r="23" spans="1:2">
      <c r="A23" s="3" t="s">
        <v>272</v>
      </c>
      <c r="B23" s="3" t="str">
        <f ca="1">IFERROR(__xludf.DUMMYFUNCTION("IF(ISBLANK(A23),"""",GOOGLETRANSLATE(A23,""en"",""fr""))"),"30+")</f>
        <v>30+</v>
      </c>
    </row>
    <row r="24" spans="1:2">
      <c r="A24" s="3" t="s">
        <v>273</v>
      </c>
      <c r="B24" s="3" t="str">
        <f ca="1">IFERROR(__xludf.DUMMYFUNCTION("IF(ISBLANK(A24),"""",GOOGLETRANSLATE(A24,""en"",""fr""))"),"Pays desservis")</f>
        <v>Pays desservis</v>
      </c>
    </row>
    <row r="25" spans="1:2">
      <c r="A25" s="3" t="s">
        <v>274</v>
      </c>
      <c r="B25" s="3" t="str">
        <f ca="1">IFERROR(__xludf.DUMMYFUNCTION("IF(ISBLANK(A25),"""",GOOGLETRANSLATE(A25,""en"",""fr""))"),"Contrôle de bout en bout et intelligence intégrée")</f>
        <v>Contrôle de bout en bout et intelligence intégrée</v>
      </c>
    </row>
    <row r="26" spans="1:2">
      <c r="A26" s="3" t="s">
        <v>297</v>
      </c>
      <c r="B26" s="3" t="str">
        <f ca="1">IFERROR(__xludf.DUMMYFUNCTION("IF(ISBLANK(A26),"""",GOOGLETRANSLATE(A26,""en"",""fr""))"),"Gestion des demandes de crédit")</f>
        <v>Gestion des demandes de crédit</v>
      </c>
    </row>
    <row r="27" spans="1:2">
      <c r="A27" s="3" t="s">
        <v>298</v>
      </c>
      <c r="B27" s="3" t="str">
        <f ca="1">IFERROR(__xludf.DUMMYFUNCTION("IF(ISBLANK(A27),"""",GOOGLETRANSLATE(A27,""en"",""fr""))"),"Modifiez vos règles métier, ajoutez des niveaux d'approbation et adaptez vos exigences de reporting selon vos besoins. Exploitez la flexibilité de notre logiciel d'origination de crédit pour gérer tous les niveaux de flux de travail, des petits groupes d'"&amp;"utilisateurs aux exigences limitées aux grandes entreprises aux hiérarchies et cycles d'approbation complexes.")</f>
        <v>Modifiez vos règles métier, ajoutez des niveaux d'approbation et adaptez vos exigences de reporting selon vos besoins. Exploitez la flexibilité de notre logiciel d'origination de crédit pour gérer tous les niveaux de flux de travail, des petits groupes d'utilisateurs aux exigences limitées aux grandes entreprises aux hiérarchies et cycles d'approbation complexes.</v>
      </c>
    </row>
    <row r="28" spans="1:2">
      <c r="A28" s="3" t="s">
        <v>299</v>
      </c>
      <c r="B28" s="3" t="str">
        <f ca="1">IFERROR(__xludf.DUMMYFUNCTION("IF(ISBLANK(A28),"""",GOOGLETRANSLATE(A28,""en"",""fr""))"),"Commerce de détail numérique")</f>
        <v>Commerce de détail numérique</v>
      </c>
    </row>
    <row r="29" spans="1:2">
      <c r="A29" s="3" t="s">
        <v>300</v>
      </c>
      <c r="B29" s="3" t="str">
        <f ca="1">IFERROR(__xludf.DUMMYFUNCTION("IF(ISBLANK(A29),"""",GOOGLETRANSLATE(A29,""en"",""fr""))"),"Notre plateforme clé en main pour les concessionnaires à la recherche d'équipements de pointe et de logiciels de montage de prêts automobiles, qui les aide à entrer dans l'ère numérique, en s'adressant à une gamme de segments de clientèle aux besoins évol"&amp;"utifs en leur offrant une expérience d'achat et d'utilisation d'actifs omnicanale et transparente de bout en bout.")</f>
        <v>Notre plateforme clé en main pour les concessionnaires à la recherche d'équipements de pointe et de logiciels de montage de prêts automobiles, qui les aide à entrer dans l'ère numérique, en s'adressant à une gamme de segments de clientèle aux besoins évolutifs en leur offrant une expérience d'achat et d'utilisation d'actifs omnicanale et transparente de bout en bout.</v>
      </c>
    </row>
    <row r="30" spans="1:2">
      <c r="A30" s="3" t="s">
        <v>301</v>
      </c>
      <c r="B30" s="3" t="str">
        <f ca="1">IFERROR(__xludf.DUMMYFUNCTION("IF(ISBLANK(A30),"""",GOOGLETRANSLATE(A30,""en"",""fr""))"),"Gestion de flotte")</f>
        <v>Gestion de flotte</v>
      </c>
    </row>
    <row r="31" spans="1:2">
      <c r="A31" s="3" t="s">
        <v>302</v>
      </c>
      <c r="B31" s="3" t="str">
        <f ca="1">IFERROR(__xludf.DUMMYFUNCTION("IF(ISBLANK(A31),"""",GOOGLETRANSLATE(A31,""en"",""fr""))"),"Notre technologie révolutionne l'octroi de prêts pour la gestion de flotte. Les évaluations de crédit basées sur l'IA, la vérification des données en temps réel et l'intégration transparente aux systèmes financiers permettent aux gestionnaires de flotte d"&amp;"'obtenir des financements plus rapidement et plus efficacement, facilitant ainsi une meilleure allocation des ressources et l'expansion de la flotte.")</f>
        <v>Notre technologie révolutionne l'octroi de prêts pour la gestion de flotte. Les évaluations de crédit basées sur l'IA, la vérification des données en temps réel et l'intégration transparente aux systèmes financiers permettent aux gestionnaires de flotte d'obtenir des financements plus rapidement et plus efficacement, facilitant ainsi une meilleure allocation des ressources et l'expansion de la flotte.</v>
      </c>
    </row>
    <row r="32" spans="1:2">
      <c r="A32" s="3" t="s">
        <v>91</v>
      </c>
      <c r="B32" s="3" t="str">
        <f ca="1">IFERROR(__xludf.DUMMYFUNCTION("IF(ISBLANK(A32),"""",GOOGLETRANSLATE(A32,""en"",""fr""))"),"Haydock Financial rencontre le succès avec la place de marché de NETSOL")</f>
        <v>Haydock Financial rencontre le succès avec la place de marché de NETSOL</v>
      </c>
    </row>
    <row r="33" spans="1:2">
      <c r="A33" s="3" t="s">
        <v>92</v>
      </c>
      <c r="B33" s="3" t="str">
        <f ca="1">IFERROR(__xludf.DUMMYFUNCTION("IF(ISBLANK(A33),"""",GOOGLETRANSLATE(A33,""en"",""fr""))"),"Je recommande vivement Appex Now et NETSOL. Les produits sont excellents et fonctionnent à merveille. De plus, NETSOL a su répondre à nos besoins et a rapidement apporté les modifications nécessaires.")</f>
        <v>Je recommande vivement Appex Now et NETSOL. Les produits sont excellents et fonctionnent à merveille. De plus, NETSOL a su répondre à nos besoins et a rapidement apporté les modifications nécessaires.</v>
      </c>
    </row>
    <row r="34" spans="1:2">
      <c r="A34" s="3" t="s">
        <v>93</v>
      </c>
      <c r="B34" s="3" t="str">
        <f ca="1">IFERROR(__xludf.DUMMYFUNCTION("IF(ISBLANK(A34),"""",GOOGLETRANSLATE(A34,""en"",""fr""))"),"Mike Boyes")</f>
        <v>Mike Boyes</v>
      </c>
    </row>
    <row r="35" spans="1:2">
      <c r="A35" s="3" t="s">
        <v>303</v>
      </c>
      <c r="B35" s="3" t="str">
        <f ca="1">IFERROR(__xludf.DUMMYFUNCTION("IF(ISBLANK(A35),"""",GOOGLETRANSLATE(A35,""en"",""fr""))"),"Découvrez un logiciel d'octroi de crédit alimenté par l'IA")</f>
        <v>Découvrez un logiciel d'octroi de crédit alimenté par l'IA</v>
      </c>
    </row>
    <row r="36" spans="1:2">
      <c r="A36" s="3" t="s">
        <v>304</v>
      </c>
      <c r="B36" s="3" t="str">
        <f ca="1">IFERROR(__xludf.DUMMYFUNCTION("IF(ISBLANK(A36),"""",GOOGLETRANSLATE(A36,""en"",""fr""))"),"Notre logiciel de création de prêts et de crédits-bails basé sur l'IA permet aux prêteurs de mieux anticiper les tendances du marché et le comportement des consommateurs, ouvrant ainsi de nouvelles opportunités en matière de prêts.")</f>
        <v>Notre logiciel de création de prêts et de crédits-bails basé sur l'IA permet aux prêteurs de mieux anticiper les tendances du marché et le comportement des consommateurs, ouvrant ainsi de nouvelles opportunités en matière de prêts.</v>
      </c>
    </row>
    <row r="37" spans="1:2">
      <c r="B37" s="3" t="str">
        <f ca="1">IFERROR(__xludf.DUMMYFUNCTION("IF(ISBLANK(A37),"""",GOOGLETRANSLATE(A37,""en"",""fr""))"),"")</f>
        <v/>
      </c>
    </row>
    <row r="38" spans="1:2">
      <c r="A38" s="3" t="s">
        <v>94</v>
      </c>
      <c r="B38" s="3" t="str">
        <f ca="1">IFERROR(__xludf.DUMMYFUNCTION("IF(ISBLANK(A38),"""",GOOGLETRANSLATE(A38,""en"",""fr""))"),"Lectures et idées en vedette")</f>
        <v>Lectures et idées en vedette</v>
      </c>
    </row>
    <row r="39" spans="1:2">
      <c r="A39" s="10" t="s">
        <v>95</v>
      </c>
      <c r="B39" s="3" t="str">
        <f ca="1">IFERROR(__xludf.DUMMYFUNCTION("IF(ISBLANK(A39),"""",GOOGLETRANSLATE(A39,""en"",""fr""))"),"Restez informé des dernières actualités de NETSOL. Réflexions stratégiques, mises à jour produits, perspectives sectorielles et actualités de l'entreprise, tout est réuni au même endroit.")</f>
        <v>Restez informé des dernières actualités de NETSOL. Réflexions stratégiques, mises à jour produits, perspectives sectorielles et actualités de l'entreprise, tout est réuni au même endroit.</v>
      </c>
    </row>
    <row r="40" spans="1:2">
      <c r="A40" s="3" t="s">
        <v>96</v>
      </c>
      <c r="B40" s="3" t="str">
        <f ca="1">IFERROR(__xludf.DUMMYFUNCTION("IF(ISBLANK(A40),"""",GOOGLETRANSLATE(A40,""en"",""fr""))"),"Blog")</f>
        <v>Blog</v>
      </c>
    </row>
    <row r="41" spans="1:2">
      <c r="A41" s="3" t="s">
        <v>97</v>
      </c>
      <c r="B41" s="3" t="str">
        <f ca="1">IFERROR(__xludf.DUMMYFUNCTION("IF(ISBLANK(A41),"""",GOOGLETRANSLATE(A41,""en"",""fr""))"),"Au-delà du DMS : pourquoi l’avenir du commerce automobile repose sur les API")</f>
        <v>Au-delà du DMS : pourquoi l’avenir du commerce automobile repose sur les API</v>
      </c>
    </row>
    <row r="42" spans="1:2">
      <c r="A42" s="3" t="s">
        <v>23</v>
      </c>
      <c r="B42" s="3" t="str">
        <f ca="1">IFERROR(__xludf.DUMMYFUNCTION("IF(ISBLANK(A42),"""",GOOGLETRANSLATE(A42,""en"",""fr""))"),"Apprendre encore plus")</f>
        <v>Apprendre encore plus</v>
      </c>
    </row>
    <row r="43" spans="1:2">
      <c r="B43" s="3" t="str">
        <f ca="1">IFERROR(__xludf.DUMMYFUNCTION("IF(ISBLANK(A43),"""",GOOGLETRANSLATE(A43,""en"",""fr""))"),"")</f>
        <v/>
      </c>
    </row>
    <row r="44" spans="1:2">
      <c r="A44" s="3" t="s">
        <v>98</v>
      </c>
      <c r="B44" s="3" t="str">
        <f ca="1">IFERROR(__xludf.DUMMYFUNCTION("IF(ISBLANK(A44),"""",GOOGLETRANSLATE(A44,""en"",""fr""))"),"NETSOL est présent à la conférence et aux prix GlobalData Automotive Europe 2025.")</f>
        <v>NETSOL est présent à la conférence et aux prix GlobalData Automotive Europe 2025.</v>
      </c>
    </row>
    <row r="45" spans="1:2">
      <c r="B45" s="3" t="str">
        <f ca="1">IFERROR(__xludf.DUMMYFUNCTION("IF(ISBLANK(A45),"""",GOOGLETRANSLATE(A45,""en"",""fr""))"),"")</f>
        <v/>
      </c>
    </row>
    <row r="46" spans="1:2">
      <c r="B46" s="3" t="str">
        <f ca="1">IFERROR(__xludf.DUMMYFUNCTION("IF(ISBLANK(A46),"""",GOOGLETRANSLATE(A46,""en"",""fr""))"),"")</f>
        <v/>
      </c>
    </row>
    <row r="47" spans="1:2">
      <c r="A47" s="3" t="s">
        <v>99</v>
      </c>
      <c r="B47" s="3" t="str">
        <f ca="1">IFERROR(__xludf.DUMMYFUNCTION("IF(ISBLANK(A47),"""",GOOGLETRANSLATE(A47,""en"",""fr""))"),"NETSOL participe au 25e Sommet annuel du financement automobile : Piloter l'avenir du financement automobile")</f>
        <v>NETSOL participe au 25e Sommet annuel du financement automobile : Piloter l'avenir du financement automobile</v>
      </c>
    </row>
    <row r="48" spans="1:2">
      <c r="B48" s="3" t="str">
        <f ca="1">IFERROR(__xludf.DUMMYFUNCTION("IF(ISBLANK(A48),"""",GOOGLETRANSLATE(A48,""en"",""fr""))"),"")</f>
        <v/>
      </c>
    </row>
    <row r="49" spans="1:2">
      <c r="A49" s="3" t="s">
        <v>96</v>
      </c>
      <c r="B49" s="3" t="str">
        <f ca="1">IFERROR(__xludf.DUMMYFUNCTION("IF(ISBLANK(A49),"""",GOOGLETRANSLATE(A49,""en"",""fr""))"),"Blog")</f>
        <v>Blog</v>
      </c>
    </row>
    <row r="50" spans="1:2">
      <c r="A50" s="3" t="s">
        <v>100</v>
      </c>
      <c r="B50" s="3" t="str">
        <f ca="1">IFERROR(__xludf.DUMMYFUNCTION("IF(ISBLANK(A50),"""",GOOGLETRANSLATE(A50,""en"",""fr""))"),"NETSOL est présent à Digital Dealer 2025 : façonner l’avenir de la vente automobile")</f>
        <v>NETSOL est présent à Digital Dealer 2025 : façonner l’avenir de la vente automobile</v>
      </c>
    </row>
    <row r="51" spans="1:2">
      <c r="B51" s="3" t="str">
        <f ca="1">IFERROR(__xludf.DUMMYFUNCTION("IF(ISBLANK(A51),"""",GOOGLETRANSLATE(A51,""en"",""fr""))"),"")</f>
        <v/>
      </c>
    </row>
    <row r="52" spans="1:2">
      <c r="B52" s="3" t="str">
        <f ca="1">IFERROR(__xludf.DUMMYFUNCTION("IF(ISBLANK(A52),"""",GOOGLETRANSLATE(A52,""en"",""fr""))"),"")</f>
        <v/>
      </c>
    </row>
    <row r="53" spans="1:2">
      <c r="A53" s="6" t="s">
        <v>101</v>
      </c>
      <c r="B53" s="3" t="str">
        <f ca="1">IFERROR(__xludf.DUMMYFUNCTION("IF(ISBLANK(A53),"""",GOOGLETRANSLATE(A53,""en"",""fr""))"),"L'IA dans le secteur des services financiers et de l'investissement : révolutionner la gestion des risques")</f>
        <v>L'IA dans le secteur des services financiers et de l'investissement : révolutionner la gestion des risques</v>
      </c>
    </row>
    <row r="54" spans="1:2">
      <c r="B54" s="3" t="str">
        <f ca="1">IFERROR(__xludf.DUMMYFUNCTION("IF(ISBLANK(A54),"""",GOOGLETRANSLATE(A54,""en"",""fr""))"),"")</f>
        <v/>
      </c>
    </row>
    <row r="55" spans="1:2">
      <c r="B55" s="3" t="str">
        <f ca="1">IFERROR(__xludf.DUMMYFUNCTION("IF(ISBLANK(A55),"""",GOOGLETRANSLATE(A55,""en"",""fr""))"),"")</f>
        <v/>
      </c>
    </row>
    <row r="56" spans="1:2">
      <c r="A56" s="3" t="s">
        <v>102</v>
      </c>
      <c r="B56" s="3" t="str">
        <f ca="1">IFERROR(__xludf.DUMMYFUNCTION("IF(ISBLANK(A56),"""",GOOGLETRANSLATE(A56,""en"",""fr""))"),"L'importance de la personnalisation du service client : adapter la gestion des paiements et des litiges aux besoins des clients")</f>
        <v>L'importance de la personnalisation du service client : adapter la gestion des paiements et des litiges aux besoins des clients</v>
      </c>
    </row>
    <row r="57" spans="1:2">
      <c r="B57" s="3" t="str">
        <f ca="1">IFERROR(__xludf.DUMMYFUNCTION("IF(ISBLANK(A57),"""",GOOGLETRANSLATE(A57,""en"",""fr""))"),"")</f>
        <v/>
      </c>
    </row>
    <row r="58" spans="1:2">
      <c r="B58" s="3" t="str">
        <f ca="1">IFERROR(__xludf.DUMMYFUNCTION("IF(ISBLANK(A58),"""",GOOGLETRANSLATE(A58,""en"",""fr""))"),"")</f>
        <v/>
      </c>
    </row>
    <row r="59" spans="1:2">
      <c r="A59" s="3" t="s">
        <v>103</v>
      </c>
      <c r="B59" s="3" t="str">
        <f ca="1">IFERROR(__xludf.DUMMYFUNCTION("IF(ISBLANK(A59),"""",GOOGLETRANSLATE(A59,""en"",""fr""))"),"Le véritable coût des systèmes déconnectés dans le commerce de détail automobile")</f>
        <v>Le véritable coût des systèmes déconnectés dans le commerce de détail automobile</v>
      </c>
    </row>
    <row r="60" spans="1:2">
      <c r="B60" s="3" t="str">
        <f ca="1">IFERROR(__xludf.DUMMYFUNCTION("IF(ISBLANK(A60),"""",GOOGLETRANSLATE(A60,""en"",""fr""))"),"")</f>
        <v/>
      </c>
    </row>
    <row r="61" spans="1:2">
      <c r="B61" s="3" t="str">
        <f ca="1">IFERROR(__xludf.DUMMYFUNCTION("IF(ISBLANK(A61),"""",GOOGLETRANSLATE(A61,""en"",""fr""))"),"")</f>
        <v/>
      </c>
    </row>
    <row r="62" spans="1:2">
      <c r="A62" s="3" t="s">
        <v>104</v>
      </c>
      <c r="B62" s="3" t="str">
        <f ca="1">IFERROR(__xludf.DUMMYFUNCTION("IF(ISBLANK(A62),"""",GOOGLETRANSLATE(A62,""en"",""fr""))"),"Captive du futur : Comment la technologie redéfinit les opérations financières des captives - Points clés du webinaire de l'AFSA")</f>
        <v>Captive du futur : Comment la technologie redéfinit les opérations financières des captives - Points clés du webinaire de l'AFSA</v>
      </c>
    </row>
    <row r="63" spans="1:2">
      <c r="B63" s="3" t="str">
        <f ca="1">IFERROR(__xludf.DUMMYFUNCTION("IF(ISBLANK(A63),"""",GOOGLETRANSLATE(A63,""en"",""fr""))"),"")</f>
        <v/>
      </c>
    </row>
    <row r="64" spans="1:2">
      <c r="B64" s="3" t="str">
        <f ca="1">IFERROR(__xludf.DUMMYFUNCTION("IF(ISBLANK(A64),"""",GOOGLETRANSLATE(A64,""en"",""fr""))"),"")</f>
        <v/>
      </c>
    </row>
    <row r="65" spans="1:2">
      <c r="A65" s="3" t="s">
        <v>105</v>
      </c>
      <c r="B65" s="3" t="str">
        <f ca="1">IFERROR(__xludf.DUMMYFUNCTION("IF(ISBLANK(A65),"""",GOOGLETRANSLATE(A65,""en"",""fr""))"),"Lutte contre la fraude dans le secteur financier de gros : exploiter la technologie pour une détection précoce et une atténuation des risques")</f>
        <v>Lutte contre la fraude dans le secteur financier de gros : exploiter la technologie pour une détection précoce et une atténuation des risques</v>
      </c>
    </row>
    <row r="66" spans="1:2">
      <c r="B66" s="3" t="str">
        <f ca="1">IFERROR(__xludf.DUMMYFUNCTION("IF(ISBLANK(A66),"""",GOOGLETRANSLATE(A66,""en"",""fr""))"),"")</f>
        <v/>
      </c>
    </row>
    <row r="67" spans="1:2">
      <c r="A67" s="3" t="s">
        <v>108</v>
      </c>
      <c r="B67" s="3" t="str">
        <f ca="1">IFERROR(__xludf.DUMMYFUNCTION("IF(ISBLANK(A67),"""",GOOGLETRANSLATE(A67,""en"",""fr""))"),"Abonnez-vous à notre newsletter pour recevoir les dernières nouvelles dans votre boîte mail.")</f>
        <v>Abonnez-vous à notre newsletter pour recevoir les dernières nouvelles dans votre boîte mail.</v>
      </c>
    </row>
    <row r="68" spans="1:2">
      <c r="A68" s="3" t="s">
        <v>109</v>
      </c>
      <c r="B68" s="3" t="str">
        <f ca="1">IFERROR(__xludf.DUMMYFUNCTION("IF(ISBLANK(A68),"""",GOOGLETRANSLATE(A68,""en"",""fr""))"),"abc@exemple.com")</f>
        <v>abc@exemple.com</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81"/>
  <sheetViews>
    <sheetView topLeftCell="A58" workbookViewId="0"/>
  </sheetViews>
  <sheetFormatPr defaultColWidth="12.6640625" defaultRowHeight="15.75" customHeight="1"/>
  <cols>
    <col min="1" max="1" width="113.21875" customWidth="1"/>
  </cols>
  <sheetData>
    <row r="1" spans="1:2">
      <c r="A1" s="1" t="s">
        <v>0</v>
      </c>
      <c r="B1" s="1"/>
    </row>
    <row r="2" spans="1:2">
      <c r="A2" s="11" t="s">
        <v>121</v>
      </c>
      <c r="B2" s="3" t="str">
        <f ca="1">IFERROR(__xludf.DUMMYFUNCTION("IF(ISBLANK(A2),"""",GOOGLETRANSLATE(A2,""en"",""fr""))"),"Entretien")</f>
        <v>Entretien</v>
      </c>
    </row>
    <row r="3" spans="1:2">
      <c r="A3" s="3" t="s">
        <v>305</v>
      </c>
      <c r="B3" s="3" t="str">
        <f ca="1">IFERROR(__xludf.DUMMYFUNCTION("IF(ISBLANK(A3),"""",GOOGLETRANSLATE(A3,""en"",""fr""))"),"Logiciel de gestion de prêts et de crédit-bail de nouvelle génération")</f>
        <v>Logiciel de gestion de prêts et de crédit-bail de nouvelle génération</v>
      </c>
    </row>
    <row r="4" spans="1:2">
      <c r="A4" s="3" t="s">
        <v>306</v>
      </c>
      <c r="B4" s="3" t="str">
        <f ca="1">IFERROR(__xludf.DUMMYFUNCTION("IF(ISBLANK(A4),"""",GOOGLETRANSLATE(A4,""en"",""fr""))"),"Conçue pour la précision et la conformité, la plateforme basée sur l'IA de NETSOL offre clarté et impact client mesurable sur les opérations de prêt et de location.")</f>
        <v>Conçue pour la précision et la conformité, la plateforme basée sur l'IA de NETSOL offre clarté et impact client mesurable sur les opérations de prêt et de location.</v>
      </c>
    </row>
    <row r="5" spans="1:2">
      <c r="A5" s="3" t="s">
        <v>70</v>
      </c>
      <c r="B5" s="3" t="str">
        <f ca="1">IFERROR(__xludf.DUMMYFUNCTION("IF(ISBLANK(A5),"""",GOOGLETRANSLATE(A5,""en"",""fr""))"),"Connectez-vous avec nous")</f>
        <v>Connectez-vous avec nous</v>
      </c>
    </row>
    <row r="6" spans="1:2">
      <c r="A6" s="3" t="s">
        <v>14</v>
      </c>
      <c r="B6" s="3" t="str">
        <f ca="1">IFERROR(__xludf.DUMMYFUNCTION("IF(ISBLANK(A6),"""",GOOGLETRANSLATE(A6,""en"",""fr""))"),"Les plus grandes marques mondiales sont propulsées par NETSOL")</f>
        <v>Les plus grandes marques mondiales sont propulsées par NETSOL</v>
      </c>
    </row>
    <row r="7" spans="1:2">
      <c r="A7" s="3" t="s">
        <v>162</v>
      </c>
      <c r="B7" s="3" t="str">
        <f ca="1">IFERROR(__xludf.DUMMYFUNCTION("IF(ISBLANK(A7),"""",GOOGLETRANSLATE(A7,""en"",""fr""))"),"Pourquoi NETSOL")</f>
        <v>Pourquoi NETSOL</v>
      </c>
    </row>
    <row r="8" spans="1:2">
      <c r="A8" s="3" t="s">
        <v>307</v>
      </c>
      <c r="B8" s="3" t="str">
        <f ca="1">IFERROR(__xludf.DUMMYFUNCTION("IF(ISBLANK(A8),"""",GOOGLETRANSLATE(A8,""en"",""fr""))"),"Gérez sans effort votre portefeuille de prêts et de crédit-bail grâce à l'IA")</f>
        <v>Gérez sans effort votre portefeuille de prêts et de crédit-bail grâce à l'IA</v>
      </c>
    </row>
    <row r="9" spans="1:2">
      <c r="A9" s="3" t="s">
        <v>308</v>
      </c>
      <c r="B9" s="3" t="str">
        <f ca="1">IFERROR(__xludf.DUMMYFUNCTION("IF(ISBLANK(A9),"""",GOOGLETRANSLATE(A9,""en"",""fr""))"),"Simplifiez la gestion et la supervision de votre portefeuille de prêts et de crédit-bail grâce à notre logiciel de gestion de contrats de crédit-bail. Bénéficiez d'un aperçu en temps réel de la performance, des impayés et des pertes de votre portefeuille,"&amp;" pour une gestion proactive et une prise de décision stratégique. Notre logiciel de gestion de prêts et de crédit-bail est hautement configurable, vous permettant d'adapter les flux de travail, les interfaces utilisateur et les fonctionnalités à vos besoi"&amp;"ns et préférences spécifiques.")</f>
        <v>Simplifiez la gestion et la supervision de votre portefeuille de prêts et de crédit-bail grâce à notre logiciel de gestion de contrats de crédit-bail. Bénéficiez d'un aperçu en temps réel de la performance, des impayés et des pertes de votre portefeuille, pour une gestion proactive et une prise de décision stratégique. Notre logiciel de gestion de prêts et de crédit-bail est hautement configurable, vous permettant d'adapter les flux de travail, les interfaces utilisateur et les fonctionnalités à vos besoins et préférences spécifiques.</v>
      </c>
    </row>
    <row r="10" spans="1:2">
      <c r="A10" s="3" t="s">
        <v>309</v>
      </c>
      <c r="B10" s="3" t="str">
        <f ca="1">IFERROR(__xludf.DUMMYFUNCTION("IF(ISBLANK(A10),"""",GOOGLETRANSLATE(A10,""en"",""fr""))"),"Des perspectives plus approfondies")</f>
        <v>Des perspectives plus approfondies</v>
      </c>
    </row>
    <row r="11" spans="1:2">
      <c r="A11" s="3" t="s">
        <v>310</v>
      </c>
      <c r="B11" s="3" t="str">
        <f ca="1">IFERROR(__xludf.DUMMYFUNCTION("IF(ISBLANK(A11),"""",GOOGLETRANSLATE(A11,""en"",""fr""))"),"Suivez les performances des contrats et obtenez des informations sur votre portefeuille de contrats grâce aux capacités avancées de reporting et d'analyse du logiciel de gestion de prêts Transcend.")</f>
        <v>Suivez les performances des contrats et obtenez des informations sur votre portefeuille de contrats grâce aux capacités avancées de reporting et d'analyse du logiciel de gestion de prêts Transcend.</v>
      </c>
    </row>
    <row r="12" spans="1:2">
      <c r="A12" s="3" t="s">
        <v>311</v>
      </c>
      <c r="B12" s="3" t="str">
        <f ca="1">IFERROR(__xludf.DUMMYFUNCTION("IF(ISBLANK(A12),"""",GOOGLETRANSLATE(A12,""en"",""fr""))"),"Vue à 360 degrés")</f>
        <v>Vue à 360 degrés</v>
      </c>
    </row>
    <row r="13" spans="1:2">
      <c r="A13" s="3" t="s">
        <v>312</v>
      </c>
      <c r="B13" s="3" t="str">
        <f ca="1">IFERROR(__xludf.DUMMYFUNCTION("IF(ISBLANK(A13),"""",GOOGLETRANSLATE(A13,""en"",""fr""))"),"Obtenez une vue d'ensemble complète des comptes clients, y compris l'historique des paiements, les soldes et les détails des transactions, le tout en temps réel.")</f>
        <v>Obtenez une vue d'ensemble complète des comptes clients, y compris l'historique des paiements, les soldes et les détails des transactions, le tout en temps réel.</v>
      </c>
    </row>
    <row r="14" spans="1:2">
      <c r="A14" s="3" t="s">
        <v>313</v>
      </c>
      <c r="B14" s="3" t="str">
        <f ca="1">IFERROR(__xludf.DUMMYFUNCTION("IF(ISBLANK(A14),"""",GOOGLETRANSLATE(A14,""en"",""fr""))"),"Des mécanismes rigoureux")</f>
        <v>Des mécanismes rigoureux</v>
      </c>
    </row>
    <row r="15" spans="1:2">
      <c r="A15" s="3" t="s">
        <v>314</v>
      </c>
      <c r="B15" s="3" t="str">
        <f ca="1">IFERROR(__xludf.DUMMYFUNCTION("IF(ISBLANK(A15),"""",GOOGLETRANSLATE(A15,""en"",""fr""))"),"Bénéficiez de mesures de sécurité robustes, de transparence et de conformité avec la technologie inégalée de NETSOL pour les solutions de gestion de location.")</f>
        <v>Bénéficiez de mesures de sécurité robustes, de transparence et de conformité avec la technologie inégalée de NETSOL pour les solutions de gestion de location.</v>
      </c>
    </row>
    <row r="16" spans="1:2">
      <c r="A16" s="3" t="s">
        <v>315</v>
      </c>
      <c r="B16" s="3" t="str">
        <f ca="1">IFERROR(__xludf.DUMMYFUNCTION("IF(ISBLANK(A16),"""",GOOGLETRANSLATE(A16,""en"",""fr""))"),"Atténuation des risques")</f>
        <v>Atténuation des risques</v>
      </c>
    </row>
    <row r="17" spans="1:2">
      <c r="A17" s="3" t="s">
        <v>316</v>
      </c>
      <c r="B17" s="3" t="str">
        <f ca="1">IFERROR(__xludf.DUMMYFUNCTION("IF(ISBLANK(A17),"""",GOOGLETRANSLATE(A17,""en"",""fr""))"),"Utilisez les fonctionnalités d’évaluation des risques pour identifier les problèmes potentiels à un stade précoce, permettant une gestion et une prise de décision proactives.")</f>
        <v>Utilisez les fonctionnalités d’évaluation des risques pour identifier les problèmes potentiels à un stade précoce, permettant une gestion et une prise de décision proactives.</v>
      </c>
    </row>
    <row r="18" spans="1:2">
      <c r="A18" s="3" t="s">
        <v>78</v>
      </c>
      <c r="B18" s="3" t="str">
        <f ca="1">IFERROR(__xludf.DUMMYFUNCTION("IF(ISBLANK(A18),"""",GOOGLETRANSLATE(A18,""en"",""fr""))"),"Plus de 500 milliards de dollars")</f>
        <v>Plus de 500 milliards de dollars</v>
      </c>
    </row>
    <row r="19" spans="1:2">
      <c r="A19" s="3" t="s">
        <v>79</v>
      </c>
      <c r="B19" s="3" t="str">
        <f ca="1">IFERROR(__xludf.DUMMYFUNCTION("IF(ISBLANK(A19),"""",GOOGLETRANSLATE(A19,""en"",""fr""))"),"Actifs gérés à l'échelle mondiale")</f>
        <v>Actifs gérés à l'échelle mondiale</v>
      </c>
    </row>
    <row r="20" spans="1:2">
      <c r="A20" s="3" t="s">
        <v>271</v>
      </c>
      <c r="B20" s="3" t="str">
        <f ca="1">IFERROR(__xludf.DUMMYFUNCTION("IF(ISBLANK(A20),"""",GOOGLETRANSLATE(A20,""en"",""fr""))"),"350+")</f>
        <v>350+</v>
      </c>
    </row>
    <row r="21" spans="1:2">
      <c r="A21" s="3" t="s">
        <v>77</v>
      </c>
      <c r="B21" s="3" t="str">
        <f ca="1">IFERROR(__xludf.DUMMYFUNCTION("IF(ISBLANK(A21),"""",GOOGLETRANSLATE(A21,""en"",""fr""))"),"Mises en œuvre réussies")</f>
        <v>Mises en œuvre réussies</v>
      </c>
    </row>
    <row r="22" spans="1:2">
      <c r="A22" s="3" t="s">
        <v>74</v>
      </c>
      <c r="B22" s="3" t="str">
        <f ca="1">IFERROR(__xludf.DUMMYFUNCTION("IF(ISBLANK(A22),"""",GOOGLETRANSLATE(A22,""en"",""fr""))"),"Plus de 200")</f>
        <v>Plus de 200</v>
      </c>
    </row>
    <row r="23" spans="1:2">
      <c r="A23" s="3" t="s">
        <v>75</v>
      </c>
      <c r="B23" s="3" t="str">
        <f ca="1">IFERROR(__xludf.DUMMYFUNCTION("IF(ISBLANK(A23),"""",GOOGLETRANSLATE(A23,""en"",""fr""))"),"Clients du monde entier")</f>
        <v>Clients du monde entier</v>
      </c>
    </row>
    <row r="24" spans="1:2">
      <c r="A24" s="3" t="s">
        <v>272</v>
      </c>
      <c r="B24" s="3" t="str">
        <f ca="1">IFERROR(__xludf.DUMMYFUNCTION("IF(ISBLANK(A24),"""",GOOGLETRANSLATE(A24,""en"",""fr""))"),"30+")</f>
        <v>30+</v>
      </c>
    </row>
    <row r="25" spans="1:2">
      <c r="A25" s="3" t="s">
        <v>273</v>
      </c>
      <c r="B25" s="3" t="str">
        <f ca="1">IFERROR(__xludf.DUMMYFUNCTION("IF(ISBLANK(A25),"""",GOOGLETRANSLATE(A25,""en"",""fr""))"),"Pays desservis")</f>
        <v>Pays desservis</v>
      </c>
    </row>
    <row r="26" spans="1:2">
      <c r="A26" s="3" t="s">
        <v>274</v>
      </c>
      <c r="B26" s="3" t="str">
        <f ca="1">IFERROR(__xludf.DUMMYFUNCTION("IF(ISBLANK(A26),"""",GOOGLETRANSLATE(A26,""en"",""fr""))"),"Contrôle de bout en bout et intelligence intégrée")</f>
        <v>Contrôle de bout en bout et intelligence intégrée</v>
      </c>
    </row>
    <row r="27" spans="1:2">
      <c r="A27" s="3" t="s">
        <v>317</v>
      </c>
      <c r="B27" s="3" t="str">
        <f ca="1">IFERROR(__xludf.DUMMYFUNCTION("IF(ISBLANK(A27),"""",GOOGLETRANSLATE(A27,""en"",""fr""))"),"Réservation et activation")</f>
        <v>Réservation et activation</v>
      </c>
    </row>
    <row r="28" spans="1:2">
      <c r="A28" s="3" t="s">
        <v>318</v>
      </c>
      <c r="B28" s="3" t="str">
        <f ca="1">IFERROR(__xludf.DUMMYFUNCTION("IF(ISBLANK(A28),"""",GOOGLETRANSLATE(A28,""en"",""fr""))"),"Le logiciel de gestion de prêts de Transcend Finance est conçu pour simplifier les processus et améliorer l'efficacité. Nous automatisons la réservation et l'activation de vos prêts de manière transparente. Des contrats de prêt simples aux structures de c"&amp;"rédit-bail complexes, nos flux de travail personnalisables s'adaptent à vos besoins spécifiques, garantissant précision et conformité à chaque étape.")</f>
        <v>Le logiciel de gestion de prêts de Transcend Finance est conçu pour simplifier les processus et améliorer l'efficacité. Nous automatisons la réservation et l'activation de vos prêts de manière transparente. Des contrats de prêt simples aux structures de crédit-bail complexes, nos flux de travail personnalisables s'adaptent à vos besoins spécifiques, garantissant précision et conformité à chaque étape.</v>
      </c>
    </row>
    <row r="29" spans="1:2">
      <c r="A29" s="3" t="s">
        <v>23</v>
      </c>
      <c r="B29" s="3" t="str">
        <f ca="1">IFERROR(__xludf.DUMMYFUNCTION("IF(ISBLANK(A29),"""",GOOGLETRANSLATE(A29,""en"",""fr""))"),"Apprendre encore plus")</f>
        <v>Apprendre encore plus</v>
      </c>
    </row>
    <row r="30" spans="1:2">
      <c r="A30" s="3" t="s">
        <v>319</v>
      </c>
      <c r="B30" s="3" t="str">
        <f ca="1">IFERROR(__xludf.DUMMYFUNCTION("IF(ISBLANK(A30),"""",GOOGLETRANSLATE(A30,""en"",""fr""))"),"Comptes clients")</f>
        <v>Comptes clients</v>
      </c>
    </row>
    <row r="31" spans="1:2">
      <c r="A31" s="3" t="s">
        <v>320</v>
      </c>
      <c r="B31" s="3" t="str">
        <f ca="1">IFERROR(__xludf.DUMMYFUNCTION("IF(ISBLANK(A31),"""",GOOGLETRANSLATE(A31,""en"",""fr""))"),"Comptabilité clients : optimisez l'ensemble du processus, de la génération des factures au suivi des paiements, en garantissant précision et efficacité à chaque étape. Optimisez vos opérations, réduisez vos impayés et améliorez la gestion de votre trésore"&amp;"rie grâce à la technologie sécurisée et évolutive de notre solution de gestion de crédit-bail, qui offre un contrôle et une visibilité inégalés.")</f>
        <v>Comptabilité clients : optimisez l'ensemble du processus, de la génération des factures au suivi des paiements, en garantissant précision et efficacité à chaque étape. Optimisez vos opérations, réduisez vos impayés et améliorez la gestion de votre trésorerie grâce à la technologie sécurisée et évolutive de notre solution de gestion de crédit-bail, qui offre un contrôle et une visibilité inégalés.</v>
      </c>
    </row>
    <row r="32" spans="1:2">
      <c r="B32" s="3" t="str">
        <f ca="1">IFERROR(__xludf.DUMMYFUNCTION("IF(ISBLANK(A32),"""",GOOGLETRANSLATE(A32,""en"",""fr""))"),"")</f>
        <v/>
      </c>
    </row>
    <row r="33" spans="1:2">
      <c r="A33" s="3" t="s">
        <v>321</v>
      </c>
      <c r="B33" s="3" t="str">
        <f ca="1">IFERROR(__xludf.DUMMYFUNCTION("IF(ISBLANK(A33),"""",GOOGLETRANSLATE(A33,""en"",""fr""))"),"Collections")</f>
        <v>Collections</v>
      </c>
    </row>
    <row r="34" spans="1:2">
      <c r="A34" s="3" t="s">
        <v>322</v>
      </c>
      <c r="B34" s="3" t="str">
        <f ca="1">IFERROR(__xludf.DUMMYFUNCTION("IF(ISBLANK(A34),"""",GOOGLETRANSLATE(A34,""en"",""fr""))"),"Nous permettons à vos équipes de gérer facilement la complexité des recouvrements, en automatisant les tâches clés et en optimisant les flux de travail pour une efficacité maximale. Transformez vos opérations de recouvrement, améliorez vos taux de recouvr"&amp;"ement et assurez votre conformité réglementaire grâce à notre technologie innovante. La compatibilité multiplateforme offre à vos équipes terrain des fonctionnalités en libre-service, telles que la gestion des plannings, la gestion des affectations, l'all"&amp;"ocation, la gestion des files d'attente et la géolocalisation, garantissant ainsi la productivité de votre équipe partout et à tout moment.")</f>
        <v>Nous permettons à vos équipes de gérer facilement la complexité des recouvrements, en automatisant les tâches clés et en optimisant les flux de travail pour une efficacité maximale. Transformez vos opérations de recouvrement, améliorez vos taux de recouvrement et assurez votre conformité réglementaire grâce à notre technologie innovante. La compatibilité multiplateforme offre à vos équipes terrain des fonctionnalités en libre-service, telles que la gestion des plannings, la gestion des affectations, l'allocation, la gestion des files d'attente et la géolocalisation, garantissant ainsi la productivité de votre équipe partout et à tout moment.</v>
      </c>
    </row>
    <row r="35" spans="1:2">
      <c r="B35" s="3" t="str">
        <f ca="1">IFERROR(__xludf.DUMMYFUNCTION("IF(ISBLANK(A35),"""",GOOGLETRANSLATE(A35,""en"",""fr""))"),"")</f>
        <v/>
      </c>
    </row>
    <row r="36" spans="1:2">
      <c r="A36" s="3" t="s">
        <v>323</v>
      </c>
      <c r="B36" s="3" t="str">
        <f ca="1">IFERROR(__xludf.DUMMYFUNCTION("IF(ISBLANK(A36),"""",GOOGLETRANSLATE(A36,""en"",""fr""))"),"Remarketing")</f>
        <v>Remarketing</v>
      </c>
    </row>
    <row r="37" spans="1:2">
      <c r="A37" s="3" t="s">
        <v>324</v>
      </c>
      <c r="B37" s="3" t="str">
        <f ca="1">IFERROR(__xludf.DUMMYFUNCTION("IF(ISBLANK(A37),"""",GOOGLETRANSLATE(A37,""en"",""fr""))"),"Nous permettons aux institutions financières de maximiser la valeur de leurs actifs et de minimiser leurs pertes. Grâce à des analyses avancées et à des algorithmes basés sur l'IA, nous identifions les opportunités de remarketing optimales, permettant ain"&amp;"si de cibler les acheteurs ou locataires potentiels. Bénéficiez de solutions de pointe pour un remarketing optimisé.")</f>
        <v>Nous permettons aux institutions financières de maximiser la valeur de leurs actifs et de minimiser leurs pertes. Grâce à des analyses avancées et à des algorithmes basés sur l'IA, nous identifions les opportunités de remarketing optimales, permettant ainsi de cibler les acheteurs ou locataires potentiels. Bénéficiez de solutions de pointe pour un remarketing optimisé.</v>
      </c>
    </row>
    <row r="38" spans="1:2">
      <c r="B38" s="3" t="str">
        <f ca="1">IFERROR(__xludf.DUMMYFUNCTION("IF(ISBLANK(A38),"""",GOOGLETRANSLATE(A38,""en"",""fr""))"),"")</f>
        <v/>
      </c>
    </row>
    <row r="39" spans="1:2">
      <c r="A39" s="3" t="s">
        <v>325</v>
      </c>
      <c r="B39" s="3" t="str">
        <f ca="1">IFERROR(__xludf.DUMMYFUNCTION("IF(ISBLANK(A39),"""",GOOGLETRANSLATE(A39,""en"",""fr""))"),"Gestion des contrats")</f>
        <v>Gestion des contrats</v>
      </c>
    </row>
    <row r="40" spans="1:2">
      <c r="A40" s="3" t="s">
        <v>326</v>
      </c>
      <c r="B40" s="3" t="str">
        <f ca="1">IFERROR(__xludf.DUMMYFUNCTION("IF(ISBLANK(A40),"""",GOOGLETRANSLATE(A40,""en"",""fr""))"),"Le logiciel de gestion des contrats de location de Transcend Finance gère les contrats de crédit détaillés tout au long de leur cycle de vie, depuis la préactivation et l'activation jusqu'à la gestion des clients, la gestion financière des actifs, la fact"&amp;"uration et le recouvrement, les finances et la comptabilité, la restructuration et l'échéance.")</f>
        <v>Le logiciel de gestion des contrats de location de Transcend Finance gère les contrats de crédit détaillés tout au long de leur cycle de vie, depuis la préactivation et l'activation jusqu'à la gestion des clients, la gestion financière des actifs, la facturation et le recouvrement, les finances et la comptabilité, la restructuration et l'échéance.</v>
      </c>
    </row>
    <row r="41" spans="1:2">
      <c r="B41" s="3" t="str">
        <f ca="1">IFERROR(__xludf.DUMMYFUNCTION("IF(ISBLANK(A41),"""",GOOGLETRANSLATE(A41,""en"",""fr""))"),"")</f>
        <v/>
      </c>
    </row>
    <row r="42" spans="1:2">
      <c r="A42" s="3" t="s">
        <v>327</v>
      </c>
      <c r="B42" s="3" t="str">
        <f ca="1">IFERROR(__xludf.DUMMYFUNCTION("IF(ISBLANK(A42),"""",GOOGLETRANSLATE(A42,""en"",""fr""))"),"Service client")</f>
        <v>Service client</v>
      </c>
    </row>
    <row r="43" spans="1:2">
      <c r="A43" s="3" t="s">
        <v>328</v>
      </c>
      <c r="B43" s="3" t="str">
        <f ca="1">IFERROR(__xludf.DUMMYFUNCTION("IF(ISBLANK(A43),"""",GOOGLETRANSLATE(A43,""en"",""fr""))"),"Offrez à vos clients des solutions en libre-service et une expérience mobile. Notre solution multiplateforme en libre-service offre un portail sécurisé, accessible 24h/24 et 7j/7, pour consulter les détails de vos contrats, réduire les demandes entrantes "&amp;"et accélérer les remboursements. Tirez parti de promotions basées sur des règles, de tableaux de bord intelligents et de notifications directes dans l'application pour engager vos clients, les fidéliser et générer de nouvelles opportunités de revenus.")</f>
        <v>Offrez à vos clients des solutions en libre-service et une expérience mobile. Notre solution multiplateforme en libre-service offre un portail sécurisé, accessible 24h/24 et 7j/7, pour consulter les détails de vos contrats, réduire les demandes entrantes et accélérer les remboursements. Tirez parti de promotions basées sur des règles, de tableaux de bord intelligents et de notifications directes dans l'application pour engager vos clients, les fidéliser et générer de nouvelles opportunités de revenus.</v>
      </c>
    </row>
    <row r="44" spans="1:2">
      <c r="B44" s="3" t="str">
        <f ca="1">IFERROR(__xludf.DUMMYFUNCTION("IF(ISBLANK(A44),"""",GOOGLETRANSLATE(A44,""en"",""fr""))"),"")</f>
        <v/>
      </c>
    </row>
    <row r="45" spans="1:2">
      <c r="A45" s="3" t="s">
        <v>88</v>
      </c>
      <c r="B45" s="3" t="str">
        <f ca="1">IFERROR(__xludf.DUMMYFUNCTION("IF(ISBLANK(A45),"""",GOOGLETRANSLATE(A45,""en"",""fr""))"),"La banque Ikano renforce sa compétitivité grâce à NETSOL.")</f>
        <v>La banque Ikano renforce sa compétitivité grâce à NETSOL.</v>
      </c>
    </row>
    <row r="46" spans="1:2">
      <c r="A46" s="3" t="s">
        <v>89</v>
      </c>
      <c r="B46" s="3" t="str">
        <f ca="1">IFERROR(__xludf.DUMMYFUNCTION("IF(ISBLANK(A46),"""",GOOGLETRANSLATE(A46,""en"",""fr""))"),"Nous sommes ravis de collaborer avec NETSOL comme partenaire stratégique pour notre plateforme. Les solutions technologiques intelligentes de NETSOL sont reconnues dans le secteur du financement et du leasing, et le déploiement de Transcend Finance (ancie"&amp;"nnement Ascent) nous permet de conserver un avantage concurrentiel sur le marché très dynamique actuel. Grâce à ses puissants moteurs de configuration, Ascent rationalisera nos processus, permettant ainsi une intégration plus rapide de nouveaux partenaire"&amp;"s et le lancement de nouveaux produits sur tous les marchés.")</f>
        <v>Nous sommes ravis de collaborer avec NETSOL comme partenaire stratégique pour notre plateforme. Les solutions technologiques intelligentes de NETSOL sont reconnues dans le secteur du financement et du leasing, et le déploiement de Transcend Finance (anciennement Ascent) nous permet de conserver un avantage concurrentiel sur le marché très dynamique actuel. Grâce à ses puissants moteurs de configuration, Ascent rationalisera nos processus, permettant ainsi une intégration plus rapide de nouveaux partenaires et le lancement de nouveaux produits sur tous les marchés.</v>
      </c>
    </row>
    <row r="47" spans="1:2">
      <c r="A47" s="3" t="s">
        <v>90</v>
      </c>
      <c r="B47" s="3" t="str">
        <f ca="1">IFERROR(__xludf.DUMMYFUNCTION("IF(ISBLANK(A47),"""",GOOGLETRANSLATE(A47,""en"",""fr""))"),"Henrik Staulund Directeur commercial chez Ikano Bank")</f>
        <v>Henrik Staulund Directeur commercial chez Ikano Bank</v>
      </c>
    </row>
    <row r="48" spans="1:2">
      <c r="A48" s="3" t="s">
        <v>329</v>
      </c>
      <c r="B48" s="3" t="str">
        <f ca="1">IFERROR(__xludf.DUMMYFUNCTION("IF(ISBLANK(A48),"""",GOOGLETRANSLATE(A48,""en"",""fr""))"),"Prêt à révolutionner votre gestion de prêt et de crédit-bail ?")</f>
        <v>Prêt à révolutionner votre gestion de prêt et de crédit-bail ?</v>
      </c>
    </row>
    <row r="49" spans="1:2">
      <c r="A49" s="3" t="s">
        <v>330</v>
      </c>
      <c r="B49" s="3" t="str">
        <f ca="1">IFERROR(__xludf.DUMMYFUNCTION("IF(ISBLANK(A49),"""",GOOGLETRANSLATE(A49,""en"",""fr""))"),"Explorez notre plateforme complète ou ses solutions individuelles pour pérenniser votre entreprise et obtenir un avantage concurrentiel distinct dans le paysage actuel en constante évolution.")</f>
        <v>Explorez notre plateforme complète ou ses solutions individuelles pour pérenniser votre entreprise et obtenir un avantage concurrentiel distinct dans le paysage actuel en constante évolution.</v>
      </c>
    </row>
    <row r="50" spans="1:2">
      <c r="B50" s="3" t="str">
        <f ca="1">IFERROR(__xludf.DUMMYFUNCTION("IF(ISBLANK(A50),"""",GOOGLETRANSLATE(A50,""en"",""fr""))"),"")</f>
        <v/>
      </c>
    </row>
    <row r="51" spans="1:2">
      <c r="A51" s="3" t="s">
        <v>94</v>
      </c>
      <c r="B51" s="3" t="str">
        <f ca="1">IFERROR(__xludf.DUMMYFUNCTION("IF(ISBLANK(A51),"""",GOOGLETRANSLATE(A51,""en"",""fr""))"),"Lectures et idées en vedette")</f>
        <v>Lectures et idées en vedette</v>
      </c>
    </row>
    <row r="52" spans="1:2">
      <c r="A52" s="10" t="s">
        <v>95</v>
      </c>
      <c r="B52" s="3" t="str">
        <f ca="1">IFERROR(__xludf.DUMMYFUNCTION("IF(ISBLANK(A52),"""",GOOGLETRANSLATE(A52,""en"",""fr""))"),"Restez informé des dernières actualités de NETSOL. Réflexions stratégiques, mises à jour produits, perspectives sectorielles et actualités de l'entreprise, tout est réuni au même endroit.")</f>
        <v>Restez informé des dernières actualités de NETSOL. Réflexions stratégiques, mises à jour produits, perspectives sectorielles et actualités de l'entreprise, tout est réuni au même endroit.</v>
      </c>
    </row>
    <row r="53" spans="1:2">
      <c r="A53" s="3" t="s">
        <v>96</v>
      </c>
      <c r="B53" s="3" t="str">
        <f ca="1">IFERROR(__xludf.DUMMYFUNCTION("IF(ISBLANK(A53),"""",GOOGLETRANSLATE(A53,""en"",""fr""))"),"Blog")</f>
        <v>Blog</v>
      </c>
    </row>
    <row r="54" spans="1:2">
      <c r="A54" s="3" t="s">
        <v>97</v>
      </c>
      <c r="B54" s="3" t="str">
        <f ca="1">IFERROR(__xludf.DUMMYFUNCTION("IF(ISBLANK(A54),"""",GOOGLETRANSLATE(A54,""en"",""fr""))"),"Au-delà du DMS : pourquoi l’avenir du commerce automobile repose sur les API")</f>
        <v>Au-delà du DMS : pourquoi l’avenir du commerce automobile repose sur les API</v>
      </c>
    </row>
    <row r="55" spans="1:2">
      <c r="A55" s="3" t="s">
        <v>23</v>
      </c>
      <c r="B55" s="3" t="str">
        <f ca="1">IFERROR(__xludf.DUMMYFUNCTION("IF(ISBLANK(A55),"""",GOOGLETRANSLATE(A55,""en"",""fr""))"),"Apprendre encore plus")</f>
        <v>Apprendre encore plus</v>
      </c>
    </row>
    <row r="56" spans="1:2">
      <c r="B56" s="3" t="str">
        <f ca="1">IFERROR(__xludf.DUMMYFUNCTION("IF(ISBLANK(A56),"""",GOOGLETRANSLATE(A56,""en"",""fr""))"),"")</f>
        <v/>
      </c>
    </row>
    <row r="57" spans="1:2">
      <c r="A57" s="3" t="s">
        <v>98</v>
      </c>
      <c r="B57" s="3" t="str">
        <f ca="1">IFERROR(__xludf.DUMMYFUNCTION("IF(ISBLANK(A57),"""",GOOGLETRANSLATE(A57,""en"",""fr""))"),"NETSOL est présent à la conférence et aux prix GlobalData Automotive Europe 2025.")</f>
        <v>NETSOL est présent à la conférence et aux prix GlobalData Automotive Europe 2025.</v>
      </c>
    </row>
    <row r="58" spans="1:2">
      <c r="B58" s="3" t="str">
        <f ca="1">IFERROR(__xludf.DUMMYFUNCTION("IF(ISBLANK(A58),"""",GOOGLETRANSLATE(A58,""en"",""fr""))"),"")</f>
        <v/>
      </c>
    </row>
    <row r="59" spans="1:2">
      <c r="B59" s="3" t="str">
        <f ca="1">IFERROR(__xludf.DUMMYFUNCTION("IF(ISBLANK(A59),"""",GOOGLETRANSLATE(A59,""en"",""fr""))"),"")</f>
        <v/>
      </c>
    </row>
    <row r="60" spans="1:2">
      <c r="A60" s="3" t="s">
        <v>99</v>
      </c>
      <c r="B60" s="3" t="str">
        <f ca="1">IFERROR(__xludf.DUMMYFUNCTION("IF(ISBLANK(A60),"""",GOOGLETRANSLATE(A60,""en"",""fr""))"),"NETSOL participe au 25e Sommet annuel du financement automobile : Piloter l'avenir du financement automobile")</f>
        <v>NETSOL participe au 25e Sommet annuel du financement automobile : Piloter l'avenir du financement automobile</v>
      </c>
    </row>
    <row r="61" spans="1:2">
      <c r="B61" s="3" t="str">
        <f ca="1">IFERROR(__xludf.DUMMYFUNCTION("IF(ISBLANK(A61),"""",GOOGLETRANSLATE(A61,""en"",""fr""))"),"")</f>
        <v/>
      </c>
    </row>
    <row r="62" spans="1:2">
      <c r="B62" s="3" t="str">
        <f ca="1">IFERROR(__xludf.DUMMYFUNCTION("IF(ISBLANK(A62),"""",GOOGLETRANSLATE(A62,""en"",""fr""))"),"")</f>
        <v/>
      </c>
    </row>
    <row r="63" spans="1:2">
      <c r="A63" s="3" t="s">
        <v>100</v>
      </c>
      <c r="B63" s="3" t="str">
        <f ca="1">IFERROR(__xludf.DUMMYFUNCTION("IF(ISBLANK(A63),"""",GOOGLETRANSLATE(A63,""en"",""fr""))"),"NETSOL est présent à Digital Dealer 2025 : façonner l’avenir de la vente automobile")</f>
        <v>NETSOL est présent à Digital Dealer 2025 : façonner l’avenir de la vente automobile</v>
      </c>
    </row>
    <row r="64" spans="1:2">
      <c r="B64" s="3" t="str">
        <f ca="1">IFERROR(__xludf.DUMMYFUNCTION("IF(ISBLANK(A64),"""",GOOGLETRANSLATE(A64,""en"",""fr""))"),"")</f>
        <v/>
      </c>
    </row>
    <row r="65" spans="1:2">
      <c r="B65" s="3" t="str">
        <f ca="1">IFERROR(__xludf.DUMMYFUNCTION("IF(ISBLANK(A65),"""",GOOGLETRANSLATE(A65,""en"",""fr""))"),"")</f>
        <v/>
      </c>
    </row>
    <row r="66" spans="1:2">
      <c r="A66" s="6" t="s">
        <v>101</v>
      </c>
      <c r="B66" s="3" t="str">
        <f ca="1">IFERROR(__xludf.DUMMYFUNCTION("IF(ISBLANK(A66),"""",GOOGLETRANSLATE(A66,""en"",""fr""))"),"L'IA dans le secteur des services financiers et de l'investissement : révolutionner la gestion des risques")</f>
        <v>L'IA dans le secteur des services financiers et de l'investissement : révolutionner la gestion des risques</v>
      </c>
    </row>
    <row r="67" spans="1:2">
      <c r="B67" s="3" t="str">
        <f ca="1">IFERROR(__xludf.DUMMYFUNCTION("IF(ISBLANK(A67),"""",GOOGLETRANSLATE(A67,""en"",""fr""))"),"")</f>
        <v/>
      </c>
    </row>
    <row r="68" spans="1:2">
      <c r="B68" s="3" t="str">
        <f ca="1">IFERROR(__xludf.DUMMYFUNCTION("IF(ISBLANK(A68),"""",GOOGLETRANSLATE(A68,""en"",""fr""))"),"")</f>
        <v/>
      </c>
    </row>
    <row r="69" spans="1:2">
      <c r="A69" s="3" t="s">
        <v>102</v>
      </c>
      <c r="B69" s="3" t="str">
        <f ca="1">IFERROR(__xludf.DUMMYFUNCTION("IF(ISBLANK(A69),"""",GOOGLETRANSLATE(A69,""en"",""fr""))"),"L'importance de la personnalisation du service client : adapter la gestion des paiements et des litiges aux besoins des clients")</f>
        <v>L'importance de la personnalisation du service client : adapter la gestion des paiements et des litiges aux besoins des clients</v>
      </c>
    </row>
    <row r="70" spans="1:2">
      <c r="B70" s="3" t="str">
        <f ca="1">IFERROR(__xludf.DUMMYFUNCTION("IF(ISBLANK(A70),"""",GOOGLETRANSLATE(A70,""en"",""fr""))"),"")</f>
        <v/>
      </c>
    </row>
    <row r="71" spans="1:2">
      <c r="B71" s="3" t="str">
        <f ca="1">IFERROR(__xludf.DUMMYFUNCTION("IF(ISBLANK(A71),"""",GOOGLETRANSLATE(A71,""en"",""fr""))"),"")</f>
        <v/>
      </c>
    </row>
    <row r="72" spans="1:2">
      <c r="A72" s="3" t="s">
        <v>103</v>
      </c>
      <c r="B72" s="3" t="str">
        <f ca="1">IFERROR(__xludf.DUMMYFUNCTION("IF(ISBLANK(A72),"""",GOOGLETRANSLATE(A72,""en"",""fr""))"),"Le véritable coût des systèmes déconnectés dans le commerce de détail automobile")</f>
        <v>Le véritable coût des systèmes déconnectés dans le commerce de détail automobile</v>
      </c>
    </row>
    <row r="73" spans="1:2">
      <c r="B73" s="3" t="str">
        <f ca="1">IFERROR(__xludf.DUMMYFUNCTION("IF(ISBLANK(A73),"""",GOOGLETRANSLATE(A73,""en"",""fr""))"),"")</f>
        <v/>
      </c>
    </row>
    <row r="74" spans="1:2">
      <c r="B74" s="3" t="str">
        <f ca="1">IFERROR(__xludf.DUMMYFUNCTION("IF(ISBLANK(A74),"""",GOOGLETRANSLATE(A74,""en"",""fr""))"),"")</f>
        <v/>
      </c>
    </row>
    <row r="75" spans="1:2">
      <c r="A75" s="3" t="s">
        <v>104</v>
      </c>
      <c r="B75" s="3" t="str">
        <f ca="1">IFERROR(__xludf.DUMMYFUNCTION("IF(ISBLANK(A75),"""",GOOGLETRANSLATE(A75,""en"",""fr""))"),"Captive du futur : Comment la technologie redéfinit les opérations financières des captives - Points clés du webinaire de l'AFSA")</f>
        <v>Captive du futur : Comment la technologie redéfinit les opérations financières des captives - Points clés du webinaire de l'AFSA</v>
      </c>
    </row>
    <row r="76" spans="1:2">
      <c r="B76" s="3" t="str">
        <f ca="1">IFERROR(__xludf.DUMMYFUNCTION("IF(ISBLANK(A76),"""",GOOGLETRANSLATE(A76,""en"",""fr""))"),"")</f>
        <v/>
      </c>
    </row>
    <row r="77" spans="1:2">
      <c r="B77" s="3" t="str">
        <f ca="1">IFERROR(__xludf.DUMMYFUNCTION("IF(ISBLANK(A77),"""",GOOGLETRANSLATE(A77,""en"",""fr""))"),"")</f>
        <v/>
      </c>
    </row>
    <row r="78" spans="1:2">
      <c r="A78" s="3" t="s">
        <v>105</v>
      </c>
      <c r="B78" s="3" t="str">
        <f ca="1">IFERROR(__xludf.DUMMYFUNCTION("IF(ISBLANK(A78),"""",GOOGLETRANSLATE(A78,""en"",""fr""))"),"Lutte contre la fraude dans le secteur financier de gros : exploiter la technologie pour une détection précoce et une atténuation des risques")</f>
        <v>Lutte contre la fraude dans le secteur financier de gros : exploiter la technologie pour une détection précoce et une atténuation des risques</v>
      </c>
    </row>
    <row r="79" spans="1:2">
      <c r="B79" s="3" t="str">
        <f ca="1">IFERROR(__xludf.DUMMYFUNCTION("IF(ISBLANK(A79),"""",GOOGLETRANSLATE(A79,""en"",""fr""))"),"")</f>
        <v/>
      </c>
    </row>
    <row r="80" spans="1:2">
      <c r="A80" s="3" t="s">
        <v>108</v>
      </c>
      <c r="B80" s="3" t="str">
        <f ca="1">IFERROR(__xludf.DUMMYFUNCTION("IF(ISBLANK(A80),"""",GOOGLETRANSLATE(A80,""en"",""fr""))"),"Abonnez-vous à notre newsletter pour recevoir les dernières nouvelles dans votre boîte mail.")</f>
        <v>Abonnez-vous à notre newsletter pour recevoir les dernières nouvelles dans votre boîte mail.</v>
      </c>
    </row>
    <row r="81" spans="1:2">
      <c r="A81" s="3" t="s">
        <v>109</v>
      </c>
      <c r="B81" s="3" t="str">
        <f ca="1">IFERROR(__xludf.DUMMYFUNCTION("IF(ISBLANK(A81),"""",GOOGLETRANSLATE(A81,""en"",""fr""))"),"abc@exemple.com")</f>
        <v>abc@exemple.com</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79"/>
  <sheetViews>
    <sheetView workbookViewId="0"/>
  </sheetViews>
  <sheetFormatPr defaultColWidth="12.6640625" defaultRowHeight="15.75" customHeight="1"/>
  <cols>
    <col min="1" max="1" width="125.77734375" customWidth="1"/>
  </cols>
  <sheetData>
    <row r="1" spans="1:2">
      <c r="A1" s="1" t="s">
        <v>0</v>
      </c>
      <c r="B1" s="1"/>
    </row>
    <row r="2" spans="1:2">
      <c r="A2" s="3" t="s">
        <v>123</v>
      </c>
      <c r="B2" s="3" t="str">
        <f ca="1">IFERROR(__xludf.DUMMYFUNCTION("IF(ISBLANK(A2),"""",GOOGLETRANSLATE(A2,""en"",""fr""))"),"Financement de gros")</f>
        <v>Financement de gros</v>
      </c>
    </row>
    <row r="3" spans="1:2">
      <c r="A3" s="3" t="s">
        <v>331</v>
      </c>
      <c r="B3" s="3" t="str">
        <f ca="1">IFERROR(__xludf.DUMMYFUNCTION("IF(ISBLANK(A3),"""",GOOGLETRANSLATE(A3,""en"",""fr""))"),"Maîtrisez les opérations de financement de gros grâce à l'IA")</f>
        <v>Maîtrisez les opérations de financement de gros grâce à l'IA</v>
      </c>
    </row>
    <row r="4" spans="1:2">
      <c r="A4" s="3" t="s">
        <v>332</v>
      </c>
      <c r="B4" s="3" t="str">
        <f ca="1">IFERROR(__xludf.DUMMYFUNCTION("IF(ISBLANK(A4),"""",GOOGLETRANSLATE(A4,""en"",""fr""))"),"Bénéficiez d'un avantage concurrentiel en automatisant sans effort vos opérations de financement de gros et de planification d'étage.")</f>
        <v>Bénéficiez d'un avantage concurrentiel en automatisant sans effort vos opérations de financement de gros et de planification d'étage.</v>
      </c>
    </row>
    <row r="5" spans="1:2">
      <c r="A5" s="3" t="s">
        <v>70</v>
      </c>
      <c r="B5" s="3" t="str">
        <f ca="1">IFERROR(__xludf.DUMMYFUNCTION("IF(ISBLANK(A5),"""",GOOGLETRANSLATE(A5,""en"",""fr""))"),"Connectez-vous avec nous")</f>
        <v>Connectez-vous avec nous</v>
      </c>
    </row>
    <row r="6" spans="1:2">
      <c r="A6" s="3" t="s">
        <v>14</v>
      </c>
      <c r="B6" s="3" t="str">
        <f ca="1">IFERROR(__xludf.DUMMYFUNCTION("IF(ISBLANK(A6),"""",GOOGLETRANSLATE(A6,""en"",""fr""))"),"Les plus grandes marques mondiales sont propulsées par NETSOL")</f>
        <v>Les plus grandes marques mondiales sont propulsées par NETSOL</v>
      </c>
    </row>
    <row r="7" spans="1:2">
      <c r="A7" s="3" t="s">
        <v>162</v>
      </c>
      <c r="B7" s="3" t="str">
        <f ca="1">IFERROR(__xludf.DUMMYFUNCTION("IF(ISBLANK(A7),"""",GOOGLETRANSLATE(A7,""en"",""fr""))"),"Pourquoi NETSOL")</f>
        <v>Pourquoi NETSOL</v>
      </c>
    </row>
    <row r="8" spans="1:2">
      <c r="A8" s="3" t="s">
        <v>333</v>
      </c>
      <c r="B8" s="3" t="str">
        <f ca="1">IFERROR(__xludf.DUMMYFUNCTION("IF(ISBLANK(A8),"""",GOOGLETRANSLATE(A8,""en"",""fr""))"),"Optimisez votre chaîne d'approvisionnement pour le financement de gros")</f>
        <v>Optimisez votre chaîne d'approvisionnement pour le financement de gros</v>
      </c>
    </row>
    <row r="9" spans="1:2">
      <c r="A9" s="3" t="s">
        <v>334</v>
      </c>
      <c r="B9" s="3" t="str">
        <f ca="1">IFERROR(__xludf.DUMMYFUNCTION("IF(ISBLANK(A9),"""",GOOGLETRANSLATE(A9,""en"",""fr""))"),"et aménagement du sol")</f>
        <v>et aménagement du sol</v>
      </c>
    </row>
    <row r="10" spans="1:2">
      <c r="A10" s="3" t="s">
        <v>335</v>
      </c>
      <c r="B10" s="3" t="str">
        <f ca="1">IFERROR(__xludf.DUMMYFUNCTION("IF(ISBLANK(A10),"""",GOOGLETRANSLATE(A10,""en"",""fr""))"),"Accédez à un logiciel de financement de gros de premier ordre et offrez à vos concessionnaires, distributeurs et auditeurs une expérience utilisateur inégalée. Simplifiez vos processus, gérez les risques, réduisez vos coûts, renforcez l'engagement de vos "&amp;"concessionnaires et améliorez la satisfaction client en matière de financement de gros. Des conceptions intuitives et une automatisation personnalisée des flux de travail accélèrent les processus en éliminant les goulots d'étranglement. La navigation sur "&amp;"la plateforme est simplifiée, ce qui améliore la productivité et simplifie les opérations.")</f>
        <v>Accédez à un logiciel de financement de gros de premier ordre et offrez à vos concessionnaires, distributeurs et auditeurs une expérience utilisateur inégalée. Simplifiez vos processus, gérez les risques, réduisez vos coûts, renforcez l'engagement de vos concessionnaires et améliorez la satisfaction client en matière de financement de gros. Des conceptions intuitives et une automatisation personnalisée des flux de travail accélèrent les processus en éliminant les goulots d'étranglement. La navigation sur la plateforme est simplifiée, ce qui améliore la productivité et simplifie les opérations.</v>
      </c>
    </row>
    <row r="11" spans="1:2">
      <c r="A11" s="3" t="s">
        <v>336</v>
      </c>
      <c r="B11" s="3" t="str">
        <f ca="1">IFERROR(__xludf.DUMMYFUNCTION("IF(ISBLANK(A11),"""",GOOGLETRANSLATE(A11,""en"",""fr""))"),"Planification d'étage avancée")</f>
        <v>Planification d'étage avancée</v>
      </c>
    </row>
    <row r="12" spans="1:2">
      <c r="A12" s="3" t="s">
        <v>337</v>
      </c>
      <c r="B12" s="3" t="str">
        <f ca="1">IFERROR(__xludf.DUMMYFUNCTION("IF(ISBLANK(A12),"""",GOOGLETRANSLATE(A12,""en"",""fr""))"),"Utilisez de puissants outils de planification d'étage pour une gestion complète du cycle de vie des contrats, ce qui se traduit par une veille économique en temps réel et une collaboration améliorée.")</f>
        <v>Utilisez de puissants outils de planification d'étage pour une gestion complète du cycle de vie des contrats, ce qui se traduit par une veille économique en temps réel et une collaboration améliorée.</v>
      </c>
    </row>
    <row r="13" spans="1:2">
      <c r="A13" s="3" t="s">
        <v>338</v>
      </c>
      <c r="B13" s="3" t="str">
        <f ca="1">IFERROR(__xludf.DUMMYFUNCTION("IF(ISBLANK(A13),"""",GOOGLETRANSLATE(A13,""en"",""fr""))"),"Solutions personnalisables")</f>
        <v>Solutions personnalisables</v>
      </c>
    </row>
    <row r="14" spans="1:2">
      <c r="A14" s="3" t="s">
        <v>339</v>
      </c>
      <c r="B14" s="3" t="str">
        <f ca="1">IFERROR(__xludf.DUMMYFUNCTION("IF(ISBLANK(A14),"""",GOOGLETRANSLATE(A14,""en"",""fr""))"),"Notre système est très flexible – conçu en fonction de la configuration et non du code, permettant aux prêteurs d’adapter les prêts à des clients et des facteurs de risque spécifiques.")</f>
        <v>Notre système est très flexible – conçu en fonction de la configuration et non du code, permettant aux prêteurs d’adapter les prêts à des clients et des facteurs de risque spécifiques.</v>
      </c>
    </row>
    <row r="15" spans="1:2">
      <c r="A15" s="3" t="s">
        <v>340</v>
      </c>
      <c r="B15" s="3" t="str">
        <f ca="1">IFERROR(__xludf.DUMMYFUNCTION("IF(ISBLANK(A15),"""",GOOGLETRANSLATE(A15,""en"",""fr""))"),"Conformité transparente")</f>
        <v>Conformité transparente</v>
      </c>
    </row>
    <row r="16" spans="1:2">
      <c r="A16" s="3" t="s">
        <v>341</v>
      </c>
      <c r="B16" s="3" t="str">
        <f ca="1">IFERROR(__xludf.DUMMYFUNCTION("IF(ISBLANK(A16),"""",GOOGLETRANSLATE(A16,""en"",""fr""))"),"Nous offrons une expérience inégalée avec une personnalisation facile pour répondre aux exigences fiscales et comptables de n'importe quelle juridiction, en adhérant pleinement à toutes les exigences de conformité.")</f>
        <v>Nous offrons une expérience inégalée avec une personnalisation facile pour répondre aux exigences fiscales et comptables de n'importe quelle juridiction, en adhérant pleinement à toutes les exigences de conformité.</v>
      </c>
    </row>
    <row r="17" spans="1:2">
      <c r="A17" s="3" t="s">
        <v>342</v>
      </c>
      <c r="B17" s="3" t="str">
        <f ca="1">IFERROR(__xludf.DUMMYFUNCTION("IF(ISBLANK(A17),"""",GOOGLETRANSLATE(A17,""en"",""fr""))"),"Financement polyvalent")</f>
        <v>Financement polyvalent</v>
      </c>
    </row>
    <row r="18" spans="1:2">
      <c r="A18" s="3" t="s">
        <v>343</v>
      </c>
      <c r="B18" s="3" t="str">
        <f ca="1">IFERROR(__xludf.DUMMYFUNCTION("IF(ISBLANK(A18),"""",GOOGLETRANSLATE(A18,""en"",""fr""))"),"Nos solutions de financement de gros prennent en charge les financements, qu'ils soient basés ou non sur des actifs. De plus, de nouveaux produits peuvent être facilement conçus et configurés dans le système.")</f>
        <v>Nos solutions de financement de gros prennent en charge les financements, qu'ils soient basés ou non sur des actifs. De plus, de nouveaux produits peuvent être facilement conçus et configurés dans le système.</v>
      </c>
    </row>
    <row r="19" spans="1:2">
      <c r="A19" s="3" t="s">
        <v>78</v>
      </c>
      <c r="B19" s="3" t="str">
        <f ca="1">IFERROR(__xludf.DUMMYFUNCTION("IF(ISBLANK(A19),"""",GOOGLETRANSLATE(A19,""en"",""fr""))"),"Plus de 500 milliards de dollars")</f>
        <v>Plus de 500 milliards de dollars</v>
      </c>
    </row>
    <row r="20" spans="1:2">
      <c r="A20" s="3" t="s">
        <v>79</v>
      </c>
      <c r="B20" s="3" t="str">
        <f ca="1">IFERROR(__xludf.DUMMYFUNCTION("IF(ISBLANK(A20),"""",GOOGLETRANSLATE(A20,""en"",""fr""))"),"Actifs gérés à l'échelle mondiale")</f>
        <v>Actifs gérés à l'échelle mondiale</v>
      </c>
    </row>
    <row r="21" spans="1:2">
      <c r="A21" s="3" t="s">
        <v>271</v>
      </c>
      <c r="B21" s="3" t="str">
        <f ca="1">IFERROR(__xludf.DUMMYFUNCTION("IF(ISBLANK(A21),"""",GOOGLETRANSLATE(A21,""en"",""fr""))"),"350+")</f>
        <v>350+</v>
      </c>
    </row>
    <row r="22" spans="1:2">
      <c r="A22" s="3" t="s">
        <v>77</v>
      </c>
      <c r="B22" s="3" t="str">
        <f ca="1">IFERROR(__xludf.DUMMYFUNCTION("IF(ISBLANK(A22),"""",GOOGLETRANSLATE(A22,""en"",""fr""))"),"Mises en œuvre réussies")</f>
        <v>Mises en œuvre réussies</v>
      </c>
    </row>
    <row r="23" spans="1:2">
      <c r="A23" s="3" t="s">
        <v>74</v>
      </c>
      <c r="B23" s="3" t="str">
        <f ca="1">IFERROR(__xludf.DUMMYFUNCTION("IF(ISBLANK(A23),"""",GOOGLETRANSLATE(A23,""en"",""fr""))"),"Plus de 200")</f>
        <v>Plus de 200</v>
      </c>
    </row>
    <row r="24" spans="1:2">
      <c r="A24" s="3" t="s">
        <v>75</v>
      </c>
      <c r="B24" s="3" t="str">
        <f ca="1">IFERROR(__xludf.DUMMYFUNCTION("IF(ISBLANK(A24),"""",GOOGLETRANSLATE(A24,""en"",""fr""))"),"Clients du monde entier")</f>
        <v>Clients du monde entier</v>
      </c>
    </row>
    <row r="25" spans="1:2">
      <c r="A25" s="3" t="s">
        <v>272</v>
      </c>
      <c r="B25" s="3" t="str">
        <f ca="1">IFERROR(__xludf.DUMMYFUNCTION("IF(ISBLANK(A25),"""",GOOGLETRANSLATE(A25,""en"",""fr""))"),"30+")</f>
        <v>30+</v>
      </c>
    </row>
    <row r="26" spans="1:2">
      <c r="A26" s="3" t="s">
        <v>273</v>
      </c>
      <c r="B26" s="3" t="str">
        <f ca="1">IFERROR(__xludf.DUMMYFUNCTION("IF(ISBLANK(A26),"""",GOOGLETRANSLATE(A26,""en"",""fr""))"),"Pays desservis")</f>
        <v>Pays desservis</v>
      </c>
    </row>
    <row r="27" spans="1:2">
      <c r="A27" s="3" t="s">
        <v>274</v>
      </c>
      <c r="B27" s="3" t="str">
        <f ca="1">IFERROR(__xludf.DUMMYFUNCTION("IF(ISBLANK(A27),"""",GOOGLETRANSLATE(A27,""en"",""fr""))"),"Contrôle de bout en bout et intelligence intégrée")</f>
        <v>Contrôle de bout en bout et intelligence intégrée</v>
      </c>
    </row>
    <row r="28" spans="1:2">
      <c r="A28" s="3" t="s">
        <v>344</v>
      </c>
      <c r="B28" s="3" t="str">
        <f ca="1">IFERROR(__xludf.DUMMYFUNCTION("IF(ISBLANK(A28),"""",GOOGLETRANSLATE(A28,""en"",""fr""))"),"Interface distributeur OEM et revendeur")</f>
        <v>Interface distributeur OEM et revendeur</v>
      </c>
    </row>
    <row r="29" spans="1:2">
      <c r="A29" s="3" t="s">
        <v>345</v>
      </c>
      <c r="B29" s="3" t="str">
        <f ca="1">IFERROR(__xludf.DUMMYFUNCTION("IF(ISBLANK(A29),"""",GOOGLETRANSLATE(A29,""en"",""fr""))"),"Offrez à vos partenaires commerciaux un portail offrant une visibilité et un contrôle accrus sur leurs stocks, en toute simplicité. Les équipementiers et les concessionnaires peuvent consulter l'utilisation de leur plan de stock, l'état de leurs stocks et"&amp;" leurs conditions financières, tout en saisissant des demandes de règlement ou en déplaçant des actifs. Étendez ces fonctionnalités grâce à la compatibilité multiplateforme, permettant ainsi aux concessionnaires de consulter l'utilisation de leur plan de "&amp;"stock, de gérer les règlements ou les déplacements et de suivre les conditions financières en déplacement.")</f>
        <v>Offrez à vos partenaires commerciaux un portail offrant une visibilité et un contrôle accrus sur leurs stocks, en toute simplicité. Les équipementiers et les concessionnaires peuvent consulter l'utilisation de leur plan de stock, l'état de leurs stocks et leurs conditions financières, tout en saisissant des demandes de règlement ou en déplaçant des actifs. Étendez ces fonctionnalités grâce à la compatibilité multiplateforme, permettant ainsi aux concessionnaires de consulter l'utilisation de leur plan de stock, de gérer les règlements ou les déplacements et de suivre les conditions financières en déplacement.</v>
      </c>
    </row>
    <row r="30" spans="1:2">
      <c r="B30" s="3" t="str">
        <f ca="1">IFERROR(__xludf.DUMMYFUNCTION("IF(ISBLANK(A30),"""",GOOGLETRANSLATE(A30,""en"",""fr""))"),"")</f>
        <v/>
      </c>
    </row>
    <row r="31" spans="1:2">
      <c r="A31" s="3" t="s">
        <v>346</v>
      </c>
      <c r="B31" s="3" t="str">
        <f ca="1">IFERROR(__xludf.DUMMYFUNCTION("IF(ISBLANK(A31),"""",GOOGLETRANSLATE(A31,""en"",""fr""))"),"Gestion du crédit et des risques")</f>
        <v>Gestion du crédit et des risques</v>
      </c>
    </row>
    <row r="32" spans="1:2">
      <c r="A32" s="3" t="s">
        <v>347</v>
      </c>
      <c r="B32" s="3" t="str">
        <f ca="1">IFERROR(__xludf.DUMMYFUNCTION("IF(ISBLANK(A32),"""",GOOGLETRANSLATE(A32,""en"",""fr""))"),"Offrez aux concessionnaires la possibilité de demander une limite de crédit pour différentes catégories d'actifs, et de suivre les variations et les révisions des limites de crédit définies. Autorisez des augmentations temporaires des limites de crédit en"&amp;" fonction des campagnes menées par les concessionnaires ; les limites normales étant automatiquement rétablies à la fin de ces périodes temporaires.")</f>
        <v>Offrez aux concessionnaires la possibilité de demander une limite de crédit pour différentes catégories d'actifs, et de suivre les variations et les révisions des limites de crédit définies. Autorisez des augmentations temporaires des limites de crédit en fonction des campagnes menées par les concessionnaires ; les limites normales étant automatiquement rétablies à la fin de ces périodes temporaires.</v>
      </c>
    </row>
    <row r="33" spans="1:2">
      <c r="B33" s="3" t="str">
        <f ca="1">IFERROR(__xludf.DUMMYFUNCTION("IF(ISBLANK(A33),"""",GOOGLETRANSLATE(A33,""en"",""fr""))"),"")</f>
        <v/>
      </c>
    </row>
    <row r="34" spans="1:2">
      <c r="A34" s="3" t="s">
        <v>348</v>
      </c>
      <c r="B34" s="3" t="str">
        <f ca="1">IFERROR(__xludf.DUMMYFUNCTION("IF(ISBLANK(A34),"""",GOOGLETRANSLATE(A34,""en"",""fr""))"),"Traitement des prêts")</f>
        <v>Traitement des prêts</v>
      </c>
    </row>
    <row r="35" spans="1:2">
      <c r="A35" s="3" t="s">
        <v>349</v>
      </c>
      <c r="B35" s="3" t="str">
        <f ca="1">IFERROR(__xludf.DUMMYFUNCTION("IF(ISBLANK(A35),"""",GOOGLETRANSLATE(A35,""en"",""fr""))"),"Gérez le cycle de vie de chaque transaction, de la saisie des informations sur les actifs aux détails de la réservation des contrats et du crédit. Créez des modèles opérationnels adaptés à vos besoins spécifiques de gestion administrative (remboursements,"&amp;" intérêts, taxes sur les actifs et frais de service) et appliquez-les dès l'approbation du crédit.")</f>
        <v>Gérez le cycle de vie de chaque transaction, de la saisie des informations sur les actifs aux détails de la réservation des contrats et du crédit. Créez des modèles opérationnels adaptés à vos besoins spécifiques de gestion administrative (remboursements, intérêts, taxes sur les actifs et frais de service) et appliquez-les dès l'approbation du crédit.</v>
      </c>
    </row>
    <row r="36" spans="1:2">
      <c r="B36" s="3" t="str">
        <f ca="1">IFERROR(__xludf.DUMMYFUNCTION("IF(ISBLANK(A36),"""",GOOGLETRANSLATE(A36,""en"",""fr""))"),"")</f>
        <v/>
      </c>
    </row>
    <row r="37" spans="1:2">
      <c r="A37" s="3" t="s">
        <v>350</v>
      </c>
      <c r="B37" s="3" t="str">
        <f ca="1">IFERROR(__xludf.DUMMYFUNCTION("IF(ISBLANK(A37),"""",GOOGLETRANSLATE(A37,""en"",""fr""))"),"Gestion des décaissements")</f>
        <v>Gestion des décaissements</v>
      </c>
    </row>
    <row r="38" spans="1:2">
      <c r="A38" s="3" t="s">
        <v>351</v>
      </c>
      <c r="B38" s="3" t="str">
        <f ca="1">IFERROR(__xludf.DUMMYFUNCTION("IF(ISBLANK(A38),"""",GOOGLETRANSLATE(A38,""en"",""fr""))"),"Optimisez entièrement le processus de décaissement en garantissant efficacité, précision et sécurité à chaque étape. Éliminez les tâches manuelles et les erreurs humaines grâce à nos solutions de gros avancées qui automatisent les flux de décaissement, ga"&amp;"rantissant des paiements ponctuels et une allocation optimale des fonds.")</f>
        <v>Optimisez entièrement le processus de décaissement en garantissant efficacité, précision et sécurité à chaque étape. Éliminez les tâches manuelles et les erreurs humaines grâce à nos solutions de gros avancées qui automatisent les flux de décaissement, garantissant des paiements ponctuels et une allocation optimale des fonds.</v>
      </c>
    </row>
    <row r="39" spans="1:2">
      <c r="B39" s="3" t="str">
        <f ca="1">IFERROR(__xludf.DUMMYFUNCTION("IF(ISBLANK(A39),"""",GOOGLETRANSLATE(A39,""en"",""fr""))"),"")</f>
        <v/>
      </c>
    </row>
    <row r="40" spans="1:2">
      <c r="A40" s="3" t="s">
        <v>352</v>
      </c>
      <c r="B40" s="3" t="str">
        <f ca="1">IFERROR(__xludf.DUMMYFUNCTION("IF(ISBLANK(A40),"""",GOOGLETRANSLATE(A40,""en"",""fr""))"),"Règlement final")</f>
        <v>Règlement final</v>
      </c>
    </row>
    <row r="41" spans="1:2">
      <c r="A41" s="3" t="s">
        <v>353</v>
      </c>
      <c r="B41" s="3" t="str">
        <f ca="1">IFERROR(__xludf.DUMMYFUNCTION("IF(ISBLANK(A41),"""",GOOGLETRANSLATE(A41,""en"",""fr""))"),"Optimisez votre processus de règlement final grâce à notre logiciel de financement de gros avancé, conçu pour améliorer l'efficacité et la précision de chaque transaction. Notre solution automatise le rapprochement, traite les règlements en temps réel et "&amp;"s'intègre parfaitement à vos systèmes existants.")</f>
        <v>Optimisez votre processus de règlement final grâce à notre logiciel de financement de gros avancé, conçu pour améliorer l'efficacité et la précision de chaque transaction. Notre solution automatise le rapprochement, traite les règlements en temps réel et s'intègre parfaitement à vos systèmes existants.</v>
      </c>
    </row>
    <row r="42" spans="1:2">
      <c r="B42" s="3" t="str">
        <f ca="1">IFERROR(__xludf.DUMMYFUNCTION("IF(ISBLANK(A42),"""",GOOGLETRANSLATE(A42,""en"",""fr""))"),"")</f>
        <v/>
      </c>
    </row>
    <row r="43" spans="1:2">
      <c r="A43" s="3" t="s">
        <v>354</v>
      </c>
      <c r="B43" s="3" t="str">
        <f ca="1">IFERROR(__xludf.DUMMYFUNCTION("IF(ISBLANK(A43),"""",GOOGLETRANSLATE(A43,""en"",""fr""))"),"Audit des stocks d'inventaire")</f>
        <v>Audit des stocks d'inventaire</v>
      </c>
    </row>
    <row r="44" spans="1:2">
      <c r="A44" s="3" t="s">
        <v>355</v>
      </c>
      <c r="B44" s="3" t="str">
        <f ca="1">IFERROR(__xludf.DUMMYFUNCTION("IF(ISBLANK(A44),"""",GOOGLETRANSLATE(A44,""en"",""fr""))"),"Gérez et suivez efficacement vos stocks avec une précision et une rapidité inégalées. Sans processus manuels et avec des informations en temps réel, automatisez les procédures d'audit, détectez instantanément les écarts et optimisez la gestion des stocks "&amp;"pour le financement de vos stocks de gros. Notre application mobile offre le même niveau de précision à vos équipes : planification instantanée, suivi des actifs, vérification des photos et transmission rapide des résultats d'audit.")</f>
        <v>Gérez et suivez efficacement vos stocks avec une précision et une rapidité inégalées. Sans processus manuels et avec des informations en temps réel, automatisez les procédures d'audit, détectez instantanément les écarts et optimisez la gestion des stocks pour le financement de vos stocks de gros. Notre application mobile offre le même niveau de précision à vos équipes : planification instantanée, suivi des actifs, vérification des photos et transmission rapide des résultats d'audit.</v>
      </c>
    </row>
    <row r="45" spans="1:2">
      <c r="B45" s="3" t="str">
        <f ca="1">IFERROR(__xludf.DUMMYFUNCTION("IF(ISBLANK(A45),"""",GOOGLETRANSLATE(A45,""en"",""fr""))"),"")</f>
        <v/>
      </c>
    </row>
    <row r="46" spans="1:2">
      <c r="A46" s="3" t="s">
        <v>356</v>
      </c>
      <c r="B46" s="3" t="str">
        <f ca="1">IFERROR(__xludf.DUMMYFUNCTION("IF(ISBLANK(A46),"""",GOOGLETRANSLATE(A46,""en"",""fr""))"),"Prêt à optimiser vos opérations de financement de gros ?")</f>
        <v>Prêt à optimiser vos opérations de financement de gros ?</v>
      </c>
    </row>
    <row r="47" spans="1:2">
      <c r="A47" s="3" t="s">
        <v>357</v>
      </c>
      <c r="B47" s="3" t="str">
        <f ca="1">IFERROR(__xludf.DUMMYFUNCTION("IF(ISBLANK(A47),"""",GOOGLETRANSLATE(A47,""en"",""fr""))"),"Des options de financement sur mesure pour répondre aux besoins variés des concessionnaires et des emprunteurs. Qu'il s'agisse de financements sur stock, de lignes de crédit renouvelables ou de prêts à terme, notre technologie offre des solutions de finan"&amp;"cement flexibles pour répondre aux différents besoins des entreprises.")</f>
        <v>Des options de financement sur mesure pour répondre aux besoins variés des concessionnaires et des emprunteurs. Qu'il s'agisse de financements sur stock, de lignes de crédit renouvelables ou de prêts à terme, notre technologie offre des solutions de financement flexibles pour répondre aux différents besoins des entreprises.</v>
      </c>
    </row>
    <row r="48" spans="1:2">
      <c r="B48" s="3" t="str">
        <f ca="1">IFERROR(__xludf.DUMMYFUNCTION("IF(ISBLANK(A48),"""",GOOGLETRANSLATE(A48,""en"",""fr""))"),"")</f>
        <v/>
      </c>
    </row>
    <row r="49" spans="1:2">
      <c r="A49" s="3" t="s">
        <v>94</v>
      </c>
      <c r="B49" s="3" t="str">
        <f ca="1">IFERROR(__xludf.DUMMYFUNCTION("IF(ISBLANK(A49),"""",GOOGLETRANSLATE(A49,""en"",""fr""))"),"Lectures et idées en vedette")</f>
        <v>Lectures et idées en vedette</v>
      </c>
    </row>
    <row r="50" spans="1:2">
      <c r="A50" s="10" t="s">
        <v>95</v>
      </c>
      <c r="B50" s="3" t="str">
        <f ca="1">IFERROR(__xludf.DUMMYFUNCTION("IF(ISBLANK(A50),"""",GOOGLETRANSLATE(A50,""en"",""fr""))"),"Restez informé des dernières actualités de NETSOL. Réflexions stratégiques, mises à jour produits, perspectives sectorielles et actualités de l'entreprise, tout est réuni au même endroit.")</f>
        <v>Restez informé des dernières actualités de NETSOL. Réflexions stratégiques, mises à jour produits, perspectives sectorielles et actualités de l'entreprise, tout est réuni au même endroit.</v>
      </c>
    </row>
    <row r="51" spans="1:2">
      <c r="A51" s="3" t="s">
        <v>96</v>
      </c>
      <c r="B51" s="3" t="str">
        <f ca="1">IFERROR(__xludf.DUMMYFUNCTION("IF(ISBLANK(A51),"""",GOOGLETRANSLATE(A51,""en"",""fr""))"),"Blog")</f>
        <v>Blog</v>
      </c>
    </row>
    <row r="52" spans="1:2">
      <c r="A52" s="3" t="s">
        <v>97</v>
      </c>
      <c r="B52" s="3" t="str">
        <f ca="1">IFERROR(__xludf.DUMMYFUNCTION("IF(ISBLANK(A52),"""",GOOGLETRANSLATE(A52,""en"",""fr""))"),"Au-delà du DMS : pourquoi l’avenir du commerce automobile repose sur les API")</f>
        <v>Au-delà du DMS : pourquoi l’avenir du commerce automobile repose sur les API</v>
      </c>
    </row>
    <row r="53" spans="1:2">
      <c r="A53" s="3" t="s">
        <v>23</v>
      </c>
      <c r="B53" s="3" t="str">
        <f ca="1">IFERROR(__xludf.DUMMYFUNCTION("IF(ISBLANK(A53),"""",GOOGLETRANSLATE(A53,""en"",""fr""))"),"Apprendre encore plus")</f>
        <v>Apprendre encore plus</v>
      </c>
    </row>
    <row r="54" spans="1:2">
      <c r="B54" s="3" t="str">
        <f ca="1">IFERROR(__xludf.DUMMYFUNCTION("IF(ISBLANK(A54),"""",GOOGLETRANSLATE(A54,""en"",""fr""))"),"")</f>
        <v/>
      </c>
    </row>
    <row r="55" spans="1:2">
      <c r="A55" s="3" t="s">
        <v>98</v>
      </c>
      <c r="B55" s="3" t="str">
        <f ca="1">IFERROR(__xludf.DUMMYFUNCTION("IF(ISBLANK(A55),"""",GOOGLETRANSLATE(A55,""en"",""fr""))"),"NETSOL est présent à la conférence et aux prix GlobalData Automotive Europe 2025.")</f>
        <v>NETSOL est présent à la conférence et aux prix GlobalData Automotive Europe 2025.</v>
      </c>
    </row>
    <row r="56" spans="1:2">
      <c r="B56" s="3" t="str">
        <f ca="1">IFERROR(__xludf.DUMMYFUNCTION("IF(ISBLANK(A56),"""",GOOGLETRANSLATE(A56,""en"",""fr""))"),"")</f>
        <v/>
      </c>
    </row>
    <row r="57" spans="1:2">
      <c r="B57" s="3" t="str">
        <f ca="1">IFERROR(__xludf.DUMMYFUNCTION("IF(ISBLANK(A57),"""",GOOGLETRANSLATE(A57,""en"",""fr""))"),"")</f>
        <v/>
      </c>
    </row>
    <row r="58" spans="1:2">
      <c r="A58" s="3" t="s">
        <v>99</v>
      </c>
      <c r="B58" s="3" t="str">
        <f ca="1">IFERROR(__xludf.DUMMYFUNCTION("IF(ISBLANK(A58),"""",GOOGLETRANSLATE(A58,""en"",""fr""))"),"NETSOL participe au 25e Sommet annuel du financement automobile : Piloter l'avenir du financement automobile")</f>
        <v>NETSOL participe au 25e Sommet annuel du financement automobile : Piloter l'avenir du financement automobile</v>
      </c>
    </row>
    <row r="59" spans="1:2">
      <c r="B59" s="3" t="str">
        <f ca="1">IFERROR(__xludf.DUMMYFUNCTION("IF(ISBLANK(A59),"""",GOOGLETRANSLATE(A59,""en"",""fr""))"),"")</f>
        <v/>
      </c>
    </row>
    <row r="60" spans="1:2">
      <c r="B60" s="3" t="str">
        <f ca="1">IFERROR(__xludf.DUMMYFUNCTION("IF(ISBLANK(A60),"""",GOOGLETRANSLATE(A60,""en"",""fr""))"),"")</f>
        <v/>
      </c>
    </row>
    <row r="61" spans="1:2">
      <c r="A61" s="3" t="s">
        <v>100</v>
      </c>
      <c r="B61" s="3" t="str">
        <f ca="1">IFERROR(__xludf.DUMMYFUNCTION("IF(ISBLANK(A61),"""",GOOGLETRANSLATE(A61,""en"",""fr""))"),"NETSOL est présent à Digital Dealer 2025 : façonner l’avenir de la vente automobile")</f>
        <v>NETSOL est présent à Digital Dealer 2025 : façonner l’avenir de la vente automobile</v>
      </c>
    </row>
    <row r="62" spans="1:2">
      <c r="B62" s="3" t="str">
        <f ca="1">IFERROR(__xludf.DUMMYFUNCTION("IF(ISBLANK(A62),"""",GOOGLETRANSLATE(A62,""en"",""fr""))"),"")</f>
        <v/>
      </c>
    </row>
    <row r="63" spans="1:2">
      <c r="B63" s="3" t="str">
        <f ca="1">IFERROR(__xludf.DUMMYFUNCTION("IF(ISBLANK(A63),"""",GOOGLETRANSLATE(A63,""en"",""fr""))"),"")</f>
        <v/>
      </c>
    </row>
    <row r="64" spans="1:2">
      <c r="A64" s="6" t="s">
        <v>101</v>
      </c>
      <c r="B64" s="3" t="str">
        <f ca="1">IFERROR(__xludf.DUMMYFUNCTION("IF(ISBLANK(A64),"""",GOOGLETRANSLATE(A64,""en"",""fr""))"),"L'IA dans le secteur des services financiers et de l'investissement : révolutionner la gestion des risques")</f>
        <v>L'IA dans le secteur des services financiers et de l'investissement : révolutionner la gestion des risques</v>
      </c>
    </row>
    <row r="65" spans="1:2">
      <c r="B65" s="3" t="str">
        <f ca="1">IFERROR(__xludf.DUMMYFUNCTION("IF(ISBLANK(A65),"""",GOOGLETRANSLATE(A65,""en"",""fr""))"),"")</f>
        <v/>
      </c>
    </row>
    <row r="66" spans="1:2">
      <c r="B66" s="3" t="str">
        <f ca="1">IFERROR(__xludf.DUMMYFUNCTION("IF(ISBLANK(A66),"""",GOOGLETRANSLATE(A66,""en"",""fr""))"),"")</f>
        <v/>
      </c>
    </row>
    <row r="67" spans="1:2">
      <c r="A67" s="3" t="s">
        <v>102</v>
      </c>
      <c r="B67" s="3" t="str">
        <f ca="1">IFERROR(__xludf.DUMMYFUNCTION("IF(ISBLANK(A67),"""",GOOGLETRANSLATE(A67,""en"",""fr""))"),"L'importance de la personnalisation du service client : adapter la gestion des paiements et des litiges aux besoins des clients")</f>
        <v>L'importance de la personnalisation du service client : adapter la gestion des paiements et des litiges aux besoins des clients</v>
      </c>
    </row>
    <row r="68" spans="1:2">
      <c r="B68" s="3" t="str">
        <f ca="1">IFERROR(__xludf.DUMMYFUNCTION("IF(ISBLANK(A68),"""",GOOGLETRANSLATE(A68,""en"",""fr""))"),"")</f>
        <v/>
      </c>
    </row>
    <row r="69" spans="1:2">
      <c r="B69" s="3" t="str">
        <f ca="1">IFERROR(__xludf.DUMMYFUNCTION("IF(ISBLANK(A69),"""",GOOGLETRANSLATE(A69,""en"",""fr""))"),"")</f>
        <v/>
      </c>
    </row>
    <row r="70" spans="1:2">
      <c r="A70" s="3" t="s">
        <v>103</v>
      </c>
      <c r="B70" s="3" t="str">
        <f ca="1">IFERROR(__xludf.DUMMYFUNCTION("IF(ISBLANK(A70),"""",GOOGLETRANSLATE(A70,""en"",""fr""))"),"Le véritable coût des systèmes déconnectés dans le commerce de détail automobile")</f>
        <v>Le véritable coût des systèmes déconnectés dans le commerce de détail automobile</v>
      </c>
    </row>
    <row r="71" spans="1:2">
      <c r="B71" s="3" t="str">
        <f ca="1">IFERROR(__xludf.DUMMYFUNCTION("IF(ISBLANK(A71),"""",GOOGLETRANSLATE(A71,""en"",""fr""))"),"")</f>
        <v/>
      </c>
    </row>
    <row r="72" spans="1:2">
      <c r="B72" s="3" t="str">
        <f ca="1">IFERROR(__xludf.DUMMYFUNCTION("IF(ISBLANK(A72),"""",GOOGLETRANSLATE(A72,""en"",""fr""))"),"")</f>
        <v/>
      </c>
    </row>
    <row r="73" spans="1:2">
      <c r="A73" s="3" t="s">
        <v>104</v>
      </c>
      <c r="B73" s="3" t="str">
        <f ca="1">IFERROR(__xludf.DUMMYFUNCTION("IF(ISBLANK(A73),"""",GOOGLETRANSLATE(A73,""en"",""fr""))"),"Captive du futur : Comment la technologie redéfinit les opérations financières des captives - Points clés du webinaire de l'AFSA")</f>
        <v>Captive du futur : Comment la technologie redéfinit les opérations financières des captives - Points clés du webinaire de l'AFSA</v>
      </c>
    </row>
    <row r="74" spans="1:2">
      <c r="B74" s="3" t="str">
        <f ca="1">IFERROR(__xludf.DUMMYFUNCTION("IF(ISBLANK(A74),"""",GOOGLETRANSLATE(A74,""en"",""fr""))"),"")</f>
        <v/>
      </c>
    </row>
    <row r="75" spans="1:2">
      <c r="B75" s="3" t="str">
        <f ca="1">IFERROR(__xludf.DUMMYFUNCTION("IF(ISBLANK(A75),"""",GOOGLETRANSLATE(A75,""en"",""fr""))"),"")</f>
        <v/>
      </c>
    </row>
    <row r="76" spans="1:2">
      <c r="A76" s="3" t="s">
        <v>105</v>
      </c>
      <c r="B76" s="3" t="str">
        <f ca="1">IFERROR(__xludf.DUMMYFUNCTION("IF(ISBLANK(A76),"""",GOOGLETRANSLATE(A76,""en"",""fr""))"),"Lutte contre la fraude dans le secteur financier de gros : exploiter la technologie pour une détection précoce et une atténuation des risques")</f>
        <v>Lutte contre la fraude dans le secteur financier de gros : exploiter la technologie pour une détection précoce et une atténuation des risques</v>
      </c>
    </row>
    <row r="77" spans="1:2">
      <c r="B77" s="3" t="str">
        <f ca="1">IFERROR(__xludf.DUMMYFUNCTION("IF(ISBLANK(A77),"""",GOOGLETRANSLATE(A77,""en"",""fr""))"),"")</f>
        <v/>
      </c>
    </row>
    <row r="78" spans="1:2">
      <c r="A78" s="3" t="s">
        <v>108</v>
      </c>
      <c r="B78" s="3" t="str">
        <f ca="1">IFERROR(__xludf.DUMMYFUNCTION("IF(ISBLANK(A78),"""",GOOGLETRANSLATE(A78,""en"",""fr""))"),"Abonnez-vous à notre newsletter pour recevoir les dernières nouvelles dans votre boîte mail.")</f>
        <v>Abonnez-vous à notre newsletter pour recevoir les dernières nouvelles dans votre boîte mail.</v>
      </c>
    </row>
    <row r="79" spans="1:2">
      <c r="A79" s="3" t="s">
        <v>109</v>
      </c>
      <c r="B79" s="3" t="str">
        <f ca="1">IFERROR(__xludf.DUMMYFUNCTION("IF(ISBLANK(A79),"""",GOOGLETRANSLATE(A79,""en"",""fr""))"),"abc@exemple.com")</f>
        <v>abc@exemple.com</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72"/>
  <sheetViews>
    <sheetView workbookViewId="0"/>
  </sheetViews>
  <sheetFormatPr defaultColWidth="12.6640625" defaultRowHeight="15.75" customHeight="1"/>
  <cols>
    <col min="1" max="1" width="138.6640625" customWidth="1"/>
  </cols>
  <sheetData>
    <row r="1" spans="1:2">
      <c r="A1" s="1" t="s">
        <v>0</v>
      </c>
      <c r="B1" s="1"/>
    </row>
    <row r="2" spans="1:2">
      <c r="A2" s="3" t="s">
        <v>125</v>
      </c>
      <c r="B2" s="3" t="str">
        <f ca="1">IFERROR(__xludf.DUMMYFUNCTION("IF(ISBLANK(A2),"""",GOOGLETRANSLATE(A2,""en"",""fr""))"),"Solutions de mobilité")</f>
        <v>Solutions de mobilité</v>
      </c>
    </row>
    <row r="3" spans="1:2">
      <c r="A3" s="3" t="s">
        <v>358</v>
      </c>
      <c r="B3" s="3" t="str">
        <f ca="1">IFERROR(__xludf.DUMMYFUNCTION("IF(ISBLANK(A3),"""",GOOGLETRANSLATE(A3,""en"",""fr""))"),"Une expérience de vente au détail centrée sur l'utilisateur")</f>
        <v>Une expérience de vente au détail centrée sur l'utilisateur</v>
      </c>
    </row>
    <row r="4" spans="1:2">
      <c r="A4" s="3" t="s">
        <v>359</v>
      </c>
      <c r="B4" s="3" t="str">
        <f ca="1">IFERROR(__xludf.DUMMYFUNCTION("IF(ISBLANK(A4),"""",GOOGLETRANSLATE(A4,""en"",""fr""))"),"Un parcours d’achat omnicanal qui transcende les limites de l’expérience client traditionnelle.")</f>
        <v>Un parcours d’achat omnicanal qui transcende les limites de l’expérience client traditionnelle.</v>
      </c>
    </row>
    <row r="5" spans="1:2">
      <c r="A5" s="3" t="s">
        <v>70</v>
      </c>
      <c r="B5" s="3" t="str">
        <f ca="1">IFERROR(__xludf.DUMMYFUNCTION("IF(ISBLANK(A5),"""",GOOGLETRANSLATE(A5,""en"",""fr""))"),"Connectez-vous avec nous")</f>
        <v>Connectez-vous avec nous</v>
      </c>
    </row>
    <row r="6" spans="1:2">
      <c r="A6" s="3" t="s">
        <v>14</v>
      </c>
      <c r="B6" s="3" t="str">
        <f ca="1">IFERROR(__xludf.DUMMYFUNCTION("IF(ISBLANK(A6),"""",GOOGLETRANSLATE(A6,""en"",""fr""))"),"Les plus grandes marques mondiales sont propulsées par NETSOL")</f>
        <v>Les plus grandes marques mondiales sont propulsées par NETSOL</v>
      </c>
    </row>
    <row r="7" spans="1:2">
      <c r="B7" s="3" t="str">
        <f ca="1">IFERROR(__xludf.DUMMYFUNCTION("IF(ISBLANK(A7),"""",GOOGLETRANSLATE(A7,""en"",""fr""))"),"")</f>
        <v/>
      </c>
    </row>
    <row r="8" spans="1:2">
      <c r="A8" s="3" t="s">
        <v>360</v>
      </c>
      <c r="B8" s="3" t="str">
        <f ca="1">IFERROR(__xludf.DUMMYFUNCTION("IF(ISBLANK(A8),"""",GOOGLETRANSLATE(A8,""en"",""fr""))"),"Transformer la mobilité avec des solutions numériques intelligentes")</f>
        <v>Transformer la mobilité avec des solutions numériques intelligentes</v>
      </c>
    </row>
    <row r="9" spans="1:2">
      <c r="A9" s="3" t="s">
        <v>361</v>
      </c>
      <c r="B9" s="3" t="str">
        <f ca="1">IFERROR(__xludf.DUMMYFUNCTION("IF(ISBLANK(A9),"""",GOOGLETRANSLATE(A9,""en"",""fr""))"),"Bénéficiez de solutions intelligentes pour une mobilité moderne. Nos produits s'appliquent à tous les aspects du parcours de vente et de location et visent à dépasser les limites des solutions de mobilité traditionnelles. Notre bibliothèque d'outils est a"&amp;"gile, modulaire et adaptée aux entreprises de toutes tailles. Plus important encore, elle est évolutive pour répondre à vos besoins à long terme. Nos solutions de mobilité sont conçues pour améliorer vos capacités et s'adapter à vos besoins spécifiques.")</f>
        <v>Bénéficiez de solutions intelligentes pour une mobilité moderne. Nos produits s'appliquent à tous les aspects du parcours de vente et de location et visent à dépasser les limites des solutions de mobilité traditionnelles. Notre bibliothèque d'outils est agile, modulaire et adaptée aux entreprises de toutes tailles. Plus important encore, elle est évolutive pour répondre à vos besoins à long terme. Nos solutions de mobilité sont conçues pour améliorer vos capacités et s'adapter à vos besoins spécifiques.</v>
      </c>
    </row>
    <row r="10" spans="1:2">
      <c r="A10" s="3" t="s">
        <v>362</v>
      </c>
      <c r="B10" s="3" t="str">
        <f ca="1">IFERROR(__xludf.DUMMYFUNCTION("IF(ISBLANK(A10),"""",GOOGLETRANSLATE(A10,""en"",""fr""))"),"Conformité sans effort")</f>
        <v>Conformité sans effort</v>
      </c>
    </row>
    <row r="11" spans="1:2">
      <c r="A11" s="3" t="s">
        <v>363</v>
      </c>
      <c r="B11" s="3" t="str">
        <f ca="1">IFERROR(__xludf.DUMMYFUNCTION("IF(ISBLANK(A11),"""",GOOGLETRANSLATE(A11,""en"",""fr""))"),"Atteignez une conformité réglementaire sans effort grâce à nos solutions rationalisées et intuitives.")</f>
        <v>Atteignez une conformité réglementaire sans effort grâce à nos solutions rationalisées et intuitives.</v>
      </c>
    </row>
    <row r="12" spans="1:2">
      <c r="A12" s="3" t="s">
        <v>364</v>
      </c>
      <c r="B12" s="3" t="str">
        <f ca="1">IFERROR(__xludf.DUMMYFUNCTION("IF(ISBLANK(A12),"""",GOOGLETRANSLATE(A12,""en"",""fr""))"),"Taxation précise")</f>
        <v>Taxation précise</v>
      </c>
    </row>
    <row r="13" spans="1:2">
      <c r="A13" s="3" t="s">
        <v>365</v>
      </c>
      <c r="B13" s="3" t="str">
        <f ca="1">IFERROR(__xludf.DUMMYFUNCTION("IF(ISBLANK(A13),"""",GOOGLETRANSLATE(A13,""en"",""fr""))"),"Effectuez instantanément et avec précision des calculs complexes et essentiels de taxes et de crédits.")</f>
        <v>Effectuez instantanément et avec précision des calculs complexes et essentiels de taxes et de crédits.</v>
      </c>
    </row>
    <row r="14" spans="1:2">
      <c r="A14" s="3" t="s">
        <v>366</v>
      </c>
      <c r="B14" s="3" t="str">
        <f ca="1">IFERROR(__xludf.DUMMYFUNCTION("IF(ISBLANK(A14),"""",GOOGLETRANSLATE(A14,""en"",""fr""))"),"Automatiser la comptabilité")</f>
        <v>Automatiser la comptabilité</v>
      </c>
    </row>
    <row r="15" spans="1:2">
      <c r="A15" s="3" t="s">
        <v>367</v>
      </c>
      <c r="B15" s="3" t="str">
        <f ca="1">IFERROR(__xludf.DUMMYFUNCTION("IF(ISBLANK(A15),"""",GOOGLETRANSLATE(A15,""en"",""fr""))"),"Automatisez les tâches comptables complexes et améliorez le service client.")</f>
        <v>Automatisez les tâches comptables complexes et améliorez le service client.</v>
      </c>
    </row>
    <row r="16" spans="1:2">
      <c r="A16" s="3" t="s">
        <v>368</v>
      </c>
      <c r="B16" s="3" t="str">
        <f ca="1">IFERROR(__xludf.DUMMYFUNCTION("IF(ISBLANK(A16),"""",GOOGLETRANSLATE(A16,""en"",""fr""))"),"Protection contre la fraude")</f>
        <v>Protection contre la fraude</v>
      </c>
    </row>
    <row r="17" spans="1:2">
      <c r="A17" s="3" t="s">
        <v>369</v>
      </c>
      <c r="B17" s="3" t="str">
        <f ca="1">IFERROR(__xludf.DUMMYFUNCTION("IF(ISBLANK(A17),"""",GOOGLETRANSLATE(A17,""en"",""fr""))"),"Utilisez notre protection contre la fraude et nos décisions de crédit parfaitement mises en œuvre.")</f>
        <v>Utilisez notre protection contre la fraude et nos décisions de crédit parfaitement mises en œuvre.</v>
      </c>
    </row>
    <row r="18" spans="1:2">
      <c r="A18" s="3" t="s">
        <v>78</v>
      </c>
      <c r="B18" s="3" t="str">
        <f ca="1">IFERROR(__xludf.DUMMYFUNCTION("IF(ISBLANK(A18),"""",GOOGLETRANSLATE(A18,""en"",""fr""))"),"Plus de 500 milliards de dollars")</f>
        <v>Plus de 500 milliards de dollars</v>
      </c>
    </row>
    <row r="19" spans="1:2">
      <c r="A19" s="3" t="s">
        <v>79</v>
      </c>
      <c r="B19" s="3" t="str">
        <f ca="1">IFERROR(__xludf.DUMMYFUNCTION("IF(ISBLANK(A19),"""",GOOGLETRANSLATE(A19,""en"",""fr""))"),"Actifs gérés à l'échelle mondiale")</f>
        <v>Actifs gérés à l'échelle mondiale</v>
      </c>
    </row>
    <row r="20" spans="1:2">
      <c r="A20" s="3" t="s">
        <v>271</v>
      </c>
      <c r="B20" s="3" t="str">
        <f ca="1">IFERROR(__xludf.DUMMYFUNCTION("IF(ISBLANK(A20),"""",GOOGLETRANSLATE(A20,""en"",""fr""))"),"350+")</f>
        <v>350+</v>
      </c>
    </row>
    <row r="21" spans="1:2">
      <c r="A21" s="3" t="s">
        <v>77</v>
      </c>
      <c r="B21" s="3" t="str">
        <f ca="1">IFERROR(__xludf.DUMMYFUNCTION("IF(ISBLANK(A21),"""",GOOGLETRANSLATE(A21,""en"",""fr""))"),"Mises en œuvre réussies")</f>
        <v>Mises en œuvre réussies</v>
      </c>
    </row>
    <row r="22" spans="1:2">
      <c r="A22" s="3" t="s">
        <v>74</v>
      </c>
      <c r="B22" s="3" t="str">
        <f ca="1">IFERROR(__xludf.DUMMYFUNCTION("IF(ISBLANK(A22),"""",GOOGLETRANSLATE(A22,""en"",""fr""))"),"Plus de 200")</f>
        <v>Plus de 200</v>
      </c>
    </row>
    <row r="23" spans="1:2">
      <c r="A23" s="3" t="s">
        <v>75</v>
      </c>
      <c r="B23" s="3" t="str">
        <f ca="1">IFERROR(__xludf.DUMMYFUNCTION("IF(ISBLANK(A23),"""",GOOGLETRANSLATE(A23,""en"",""fr""))"),"Clients du monde entier")</f>
        <v>Clients du monde entier</v>
      </c>
    </row>
    <row r="24" spans="1:2">
      <c r="A24" s="3" t="s">
        <v>272</v>
      </c>
      <c r="B24" s="3" t="str">
        <f ca="1">IFERROR(__xludf.DUMMYFUNCTION("IF(ISBLANK(A24),"""",GOOGLETRANSLATE(A24,""en"",""fr""))"),"30+")</f>
        <v>30+</v>
      </c>
    </row>
    <row r="25" spans="1:2">
      <c r="A25" s="3" t="s">
        <v>273</v>
      </c>
      <c r="B25" s="3" t="str">
        <f ca="1">IFERROR(__xludf.DUMMYFUNCTION("IF(ISBLANK(A25),"""",GOOGLETRANSLATE(A25,""en"",""fr""))"),"Pays desservis")</f>
        <v>Pays desservis</v>
      </c>
    </row>
    <row r="26" spans="1:2">
      <c r="A26" s="3" t="s">
        <v>274</v>
      </c>
      <c r="B26" s="3" t="str">
        <f ca="1">IFERROR(__xludf.DUMMYFUNCTION("IF(ISBLANK(A26),"""",GOOGLETRANSLATE(A26,""en"",""fr""))"),"Contrôle de bout en bout et intelligence intégrée")</f>
        <v>Contrôle de bout en bout et intelligence intégrée</v>
      </c>
    </row>
    <row r="27" spans="1:2">
      <c r="A27" s="3" t="s">
        <v>370</v>
      </c>
      <c r="B27" s="3" t="str">
        <f ca="1">IFERROR(__xludf.DUMMYFUNCTION("IF(ISBLANK(A27),"""",GOOGLETRANSLATE(A27,""en"",""fr""))"),"Micro-leasing")</f>
        <v>Micro-leasing</v>
      </c>
    </row>
    <row r="28" spans="1:2">
      <c r="A28" s="3" t="s">
        <v>371</v>
      </c>
      <c r="B28" s="3" t="str">
        <f ca="1">IFERROR(__xludf.DUMMYFUNCTION("IF(ISBLANK(A28),"""",GOOGLETRANSLATE(A28,""en"",""fr""))"),"Adoptez l'agilité et l'accessibilité grâce à nos solutions de micro-leasing, offrant des solutions agiles, pratiques et économiques pour l'accès aux véhicules. Les offres de micro-leasing de NETSOL redéfinissent l'accès aux véhicules en proposant des solu"&amp;"tions flexibles, abordables et durables.")</f>
        <v>Adoptez l'agilité et l'accessibilité grâce à nos solutions de micro-leasing, offrant des solutions agiles, pratiques et économiques pour l'accès aux véhicules. Les offres de micro-leasing de NETSOL redéfinissent l'accès aux véhicules en proposant des solutions flexibles, abordables et durables.</v>
      </c>
    </row>
    <row r="29" spans="1:2">
      <c r="B29" s="3" t="str">
        <f ca="1">IFERROR(__xludf.DUMMYFUNCTION("IF(ISBLANK(A29),"""",GOOGLETRANSLATE(A29,""en"",""fr""))"),"")</f>
        <v/>
      </c>
    </row>
    <row r="30" spans="1:2">
      <c r="A30" s="3" t="s">
        <v>372</v>
      </c>
      <c r="B30" s="3" t="str">
        <f ca="1">IFERROR(__xludf.DUMMYFUNCTION("IF(ISBLANK(A30),"""",GOOGLETRANSLATE(A30,""en"",""fr""))"),"Propriété fractionnée")</f>
        <v>Propriété fractionnée</v>
      </c>
    </row>
    <row r="31" spans="1:2">
      <c r="A31" s="3" t="s">
        <v>373</v>
      </c>
      <c r="B31" s="3" t="str">
        <f ca="1">IFERROR(__xludf.DUMMYFUNCTION("IF(ISBLANK(A31),"""",GOOGLETRANSLATE(A31,""en"",""fr""))"),"Nos solutions de propriété partagée révolutionnent le secteur de la mobilité en offrant une flexibilité maximale et en favorisant le développement durable. Adoptez la mobilité du futur avec les solutions innovantes de NETSOL et découvrez la liberté et les"&amp;" avantages de la propriété partagée.")</f>
        <v>Nos solutions de propriété partagée révolutionnent le secteur de la mobilité en offrant une flexibilité maximale et en favorisant le développement durable. Adoptez la mobilité du futur avec les solutions innovantes de NETSOL et découvrez la liberté et les avantages de la propriété partagée.</v>
      </c>
    </row>
    <row r="32" spans="1:2">
      <c r="B32" s="3" t="str">
        <f ca="1">IFERROR(__xludf.DUMMYFUNCTION("IF(ISBLANK(A32),"""",GOOGLETRANSLATE(A32,""en"",""fr""))"),"")</f>
        <v/>
      </c>
    </row>
    <row r="33" spans="1:2">
      <c r="A33" s="3" t="s">
        <v>374</v>
      </c>
      <c r="B33" s="3" t="str">
        <f ca="1">IFERROR(__xludf.DUMMYFUNCTION("IF(ISBLANK(A33),"""",GOOGLETRANSLATE(A33,""en"",""fr""))"),"AutoNation Mobility libère l'innovation et l'entrée rapide sur le marché avec NETSOL")</f>
        <v>AutoNation Mobility libère l'innovation et l'entrée rapide sur le marché avec NETSOL</v>
      </c>
    </row>
    <row r="34" spans="1:2">
      <c r="A34" s="3" t="s">
        <v>375</v>
      </c>
      <c r="B34" s="3" t="str">
        <f ca="1">IFERROR(__xludf.DUMMYFUNCTION("IF(ISBLANK(A34),"""",GOOGLETRANSLATE(A34,""en"",""fr""))"),"« Notre alliance stratégique avec NETSOL correspond parfaitement à nos objectifs d'innovation et de pénétration du marché. Le lancement rapide d'AutoNation Mobility, seulement six mois après le début de notre collaboration, souligne notre engagement commu"&amp;"n envers l'innovation continue et la priorité accordée aux besoins des clients. »")</f>
        <v>« Notre alliance stratégique avec NETSOL correspond parfaitement à nos objectifs d'innovation et de pénétration du marché. Le lancement rapide d'AutoNation Mobility, seulement six mois après le début de notre collaboration, souligne notre engagement commun envers l'innovation continue et la priorité accordée aux besoins des clients. »</v>
      </c>
    </row>
    <row r="35" spans="1:2">
      <c r="A35" s="3" t="s">
        <v>376</v>
      </c>
      <c r="B35" s="3" t="str">
        <f ca="1">IFERROR(__xludf.DUMMYFUNCTION("IF(ISBLANK(A35),"""",GOOGLETRANSLATE(A35,""en"",""fr""))"),"Ivan Mihov")</f>
        <v>Ivan Mihov</v>
      </c>
    </row>
    <row r="36" spans="1:2">
      <c r="A36" s="3" t="s">
        <v>377</v>
      </c>
      <c r="B36" s="3" t="str">
        <f ca="1">IFERROR(__xludf.DUMMYFUNCTION("IF(ISBLANK(A36),"""",GOOGLETRANSLATE(A36,""en"",""fr""))"),"Vice-président de la mobilité chez AutoNation Mobility")</f>
        <v>Vice-président de la mobilité chez AutoNation Mobility</v>
      </c>
    </row>
    <row r="37" spans="1:2">
      <c r="A37" s="3" t="s">
        <v>378</v>
      </c>
      <c r="B37" s="3" t="str">
        <f ca="1">IFERROR(__xludf.DUMMYFUNCTION("IF(ISBLANK(A37),"""",GOOGLETRANSLATE(A37,""en"",""fr""))"),"Prêt à transcender ?")</f>
        <v>Prêt à transcender ?</v>
      </c>
    </row>
    <row r="38" spans="1:2">
      <c r="A38" s="3" t="s">
        <v>330</v>
      </c>
      <c r="B38" s="3" t="str">
        <f ca="1">IFERROR(__xludf.DUMMYFUNCTION("IF(ISBLANK(A38),"""",GOOGLETRANSLATE(A38,""en"",""fr""))"),"Explorez notre plateforme complète ou ses solutions individuelles pour pérenniser votre entreprise et obtenir un avantage concurrentiel distinct dans le paysage actuel en constante évolution.")</f>
        <v>Explorez notre plateforme complète ou ses solutions individuelles pour pérenniser votre entreprise et obtenir un avantage concurrentiel distinct dans le paysage actuel en constante évolution.</v>
      </c>
    </row>
    <row r="39" spans="1:2">
      <c r="B39" s="3" t="str">
        <f ca="1">IFERROR(__xludf.DUMMYFUNCTION("IF(ISBLANK(A39),"""",GOOGLETRANSLATE(A39,""en"",""fr""))"),"")</f>
        <v/>
      </c>
    </row>
    <row r="40" spans="1:2">
      <c r="A40" s="3" t="s">
        <v>94</v>
      </c>
      <c r="B40" s="3" t="str">
        <f ca="1">IFERROR(__xludf.DUMMYFUNCTION("IF(ISBLANK(A40),"""",GOOGLETRANSLATE(A40,""en"",""fr""))"),"Lectures et idées en vedette")</f>
        <v>Lectures et idées en vedette</v>
      </c>
    </row>
    <row r="41" spans="1:2">
      <c r="A41" s="10" t="s">
        <v>95</v>
      </c>
      <c r="B41" s="3" t="str">
        <f ca="1">IFERROR(__xludf.DUMMYFUNCTION("IF(ISBLANK(A41),"""",GOOGLETRANSLATE(A41,""en"",""fr""))"),"Restez informé des dernières actualités de NETSOL. Réflexions stratégiques, mises à jour produits, perspectives sectorielles et actualités de l'entreprise, tout est réuni au même endroit.")</f>
        <v>Restez informé des dernières actualités de NETSOL. Réflexions stratégiques, mises à jour produits, perspectives sectorielles et actualités de l'entreprise, tout est réuni au même endroit.</v>
      </c>
    </row>
    <row r="42" spans="1:2">
      <c r="A42" s="3" t="s">
        <v>96</v>
      </c>
      <c r="B42" s="3" t="str">
        <f ca="1">IFERROR(__xludf.DUMMYFUNCTION("IF(ISBLANK(A42),"""",GOOGLETRANSLATE(A42,""en"",""fr""))"),"Blog")</f>
        <v>Blog</v>
      </c>
    </row>
    <row r="43" spans="1:2">
      <c r="A43" s="3" t="s">
        <v>97</v>
      </c>
      <c r="B43" s="3" t="str">
        <f ca="1">IFERROR(__xludf.DUMMYFUNCTION("IF(ISBLANK(A43),"""",GOOGLETRANSLATE(A43,""en"",""fr""))"),"Au-delà du DMS : pourquoi l’avenir du commerce automobile repose sur les API")</f>
        <v>Au-delà du DMS : pourquoi l’avenir du commerce automobile repose sur les API</v>
      </c>
    </row>
    <row r="44" spans="1:2">
      <c r="A44" s="3" t="s">
        <v>23</v>
      </c>
      <c r="B44" s="3" t="str">
        <f ca="1">IFERROR(__xludf.DUMMYFUNCTION("IF(ISBLANK(A44),"""",GOOGLETRANSLATE(A44,""en"",""fr""))"),"Apprendre encore plus")</f>
        <v>Apprendre encore plus</v>
      </c>
    </row>
    <row r="45" spans="1:2">
      <c r="B45" s="3" t="str">
        <f ca="1">IFERROR(__xludf.DUMMYFUNCTION("IF(ISBLANK(A45),"""",GOOGLETRANSLATE(A45,""en"",""fr""))"),"")</f>
        <v/>
      </c>
    </row>
    <row r="46" spans="1:2">
      <c r="A46" s="3" t="s">
        <v>98</v>
      </c>
      <c r="B46" s="3" t="str">
        <f ca="1">IFERROR(__xludf.DUMMYFUNCTION("IF(ISBLANK(A46),"""",GOOGLETRANSLATE(A46,""en"",""fr""))"),"NETSOL est présent à la conférence et aux prix GlobalData Automotive Europe 2025.")</f>
        <v>NETSOL est présent à la conférence et aux prix GlobalData Automotive Europe 2025.</v>
      </c>
    </row>
    <row r="47" spans="1:2">
      <c r="B47" s="3" t="str">
        <f ca="1">IFERROR(__xludf.DUMMYFUNCTION("IF(ISBLANK(A47),"""",GOOGLETRANSLATE(A47,""en"",""fr""))"),"")</f>
        <v/>
      </c>
    </row>
    <row r="48" spans="1:2">
      <c r="B48" s="3" t="str">
        <f ca="1">IFERROR(__xludf.DUMMYFUNCTION("IF(ISBLANK(A48),"""",GOOGLETRANSLATE(A48,""en"",""fr""))"),"")</f>
        <v/>
      </c>
    </row>
    <row r="49" spans="1:2">
      <c r="A49" s="3" t="s">
        <v>99</v>
      </c>
      <c r="B49" s="3" t="str">
        <f ca="1">IFERROR(__xludf.DUMMYFUNCTION("IF(ISBLANK(A49),"""",GOOGLETRANSLATE(A49,""en"",""fr""))"),"NETSOL participe au 25e Sommet annuel du financement automobile : Piloter l'avenir du financement automobile")</f>
        <v>NETSOL participe au 25e Sommet annuel du financement automobile : Piloter l'avenir du financement automobile</v>
      </c>
    </row>
    <row r="50" spans="1:2">
      <c r="B50" s="3" t="str">
        <f ca="1">IFERROR(__xludf.DUMMYFUNCTION("IF(ISBLANK(A50),"""",GOOGLETRANSLATE(A50,""en"",""fr""))"),"")</f>
        <v/>
      </c>
    </row>
    <row r="51" spans="1:2">
      <c r="B51" s="3" t="str">
        <f ca="1">IFERROR(__xludf.DUMMYFUNCTION("IF(ISBLANK(A51),"""",GOOGLETRANSLATE(A51,""en"",""fr""))"),"")</f>
        <v/>
      </c>
    </row>
    <row r="52" spans="1:2">
      <c r="A52" s="3" t="s">
        <v>100</v>
      </c>
      <c r="B52" s="3" t="str">
        <f ca="1">IFERROR(__xludf.DUMMYFUNCTION("IF(ISBLANK(A52),"""",GOOGLETRANSLATE(A52,""en"",""fr""))"),"NETSOL est présent à Digital Dealer 2025 : façonner l’avenir de la vente automobile")</f>
        <v>NETSOL est présent à Digital Dealer 2025 : façonner l’avenir de la vente automobile</v>
      </c>
    </row>
    <row r="53" spans="1:2">
      <c r="B53" s="3" t="str">
        <f ca="1">IFERROR(__xludf.DUMMYFUNCTION("IF(ISBLANK(A53),"""",GOOGLETRANSLATE(A53,""en"",""fr""))"),"")</f>
        <v/>
      </c>
    </row>
    <row r="54" spans="1:2">
      <c r="B54" s="3" t="str">
        <f ca="1">IFERROR(__xludf.DUMMYFUNCTION("IF(ISBLANK(A54),"""",GOOGLETRANSLATE(A54,""en"",""fr""))"),"")</f>
        <v/>
      </c>
    </row>
    <row r="55" spans="1:2">
      <c r="A55" s="6" t="s">
        <v>101</v>
      </c>
      <c r="B55" s="3" t="str">
        <f ca="1">IFERROR(__xludf.DUMMYFUNCTION("IF(ISBLANK(A55),"""",GOOGLETRANSLATE(A55,""en"",""fr""))"),"L'IA dans le secteur des services financiers et de l'investissement : révolutionner la gestion des risques")</f>
        <v>L'IA dans le secteur des services financiers et de l'investissement : révolutionner la gestion des risques</v>
      </c>
    </row>
    <row r="56" spans="1:2">
      <c r="B56" s="3" t="str">
        <f ca="1">IFERROR(__xludf.DUMMYFUNCTION("IF(ISBLANK(A56),"""",GOOGLETRANSLATE(A56,""en"",""fr""))"),"")</f>
        <v/>
      </c>
    </row>
    <row r="57" spans="1:2">
      <c r="B57" s="3" t="str">
        <f ca="1">IFERROR(__xludf.DUMMYFUNCTION("IF(ISBLANK(A57),"""",GOOGLETRANSLATE(A57,""en"",""fr""))"),"")</f>
        <v/>
      </c>
    </row>
    <row r="58" spans="1:2">
      <c r="A58" s="3" t="s">
        <v>102</v>
      </c>
      <c r="B58" s="3" t="str">
        <f ca="1">IFERROR(__xludf.DUMMYFUNCTION("IF(ISBLANK(A58),"""",GOOGLETRANSLATE(A58,""en"",""fr""))"),"L'importance de la personnalisation du service client : adapter la gestion des paiements et des litiges aux besoins des clients")</f>
        <v>L'importance de la personnalisation du service client : adapter la gestion des paiements et des litiges aux besoins des clients</v>
      </c>
    </row>
    <row r="59" spans="1:2">
      <c r="B59" s="3" t="str">
        <f ca="1">IFERROR(__xludf.DUMMYFUNCTION("IF(ISBLANK(A59),"""",GOOGLETRANSLATE(A59,""en"",""fr""))"),"")</f>
        <v/>
      </c>
    </row>
    <row r="60" spans="1:2">
      <c r="B60" s="3" t="str">
        <f ca="1">IFERROR(__xludf.DUMMYFUNCTION("IF(ISBLANK(A60),"""",GOOGLETRANSLATE(A60,""en"",""fr""))"),"")</f>
        <v/>
      </c>
    </row>
    <row r="61" spans="1:2">
      <c r="A61" s="3" t="s">
        <v>103</v>
      </c>
      <c r="B61" s="3" t="str">
        <f ca="1">IFERROR(__xludf.DUMMYFUNCTION("IF(ISBLANK(A61),"""",GOOGLETRANSLATE(A61,""en"",""fr""))"),"Le véritable coût des systèmes déconnectés dans le commerce de détail automobile")</f>
        <v>Le véritable coût des systèmes déconnectés dans le commerce de détail automobile</v>
      </c>
    </row>
    <row r="62" spans="1:2">
      <c r="B62" s="3" t="str">
        <f ca="1">IFERROR(__xludf.DUMMYFUNCTION("IF(ISBLANK(A62),"""",GOOGLETRANSLATE(A62,""en"",""fr""))"),"")</f>
        <v/>
      </c>
    </row>
    <row r="63" spans="1:2">
      <c r="B63" s="3" t="str">
        <f ca="1">IFERROR(__xludf.DUMMYFUNCTION("IF(ISBLANK(A63),"""",GOOGLETRANSLATE(A63,""en"",""fr""))"),"")</f>
        <v/>
      </c>
    </row>
    <row r="64" spans="1:2">
      <c r="A64" s="3" t="s">
        <v>104</v>
      </c>
      <c r="B64" s="3" t="str">
        <f ca="1">IFERROR(__xludf.DUMMYFUNCTION("IF(ISBLANK(A64),"""",GOOGLETRANSLATE(A64,""en"",""fr""))"),"Captive du futur : Comment la technologie redéfinit les opérations financières des captives - Points clés du webinaire de l'AFSA")</f>
        <v>Captive du futur : Comment la technologie redéfinit les opérations financières des captives - Points clés du webinaire de l'AFSA</v>
      </c>
    </row>
    <row r="65" spans="1:2">
      <c r="B65" s="3" t="str">
        <f ca="1">IFERROR(__xludf.DUMMYFUNCTION("IF(ISBLANK(A65),"""",GOOGLETRANSLATE(A65,""en"",""fr""))"),"")</f>
        <v/>
      </c>
    </row>
    <row r="66" spans="1:2">
      <c r="B66" s="3" t="str">
        <f ca="1">IFERROR(__xludf.DUMMYFUNCTION("IF(ISBLANK(A66),"""",GOOGLETRANSLATE(A66,""en"",""fr""))"),"")</f>
        <v/>
      </c>
    </row>
    <row r="67" spans="1:2">
      <c r="A67" s="3" t="s">
        <v>105</v>
      </c>
      <c r="B67" s="3" t="str">
        <f ca="1">IFERROR(__xludf.DUMMYFUNCTION("IF(ISBLANK(A67),"""",GOOGLETRANSLATE(A67,""en"",""fr""))"),"Lutte contre la fraude dans le secteur financier de gros : exploiter la technologie pour une détection précoce et une atténuation des risques")</f>
        <v>Lutte contre la fraude dans le secteur financier de gros : exploiter la technologie pour une détection précoce et une atténuation des risques</v>
      </c>
    </row>
    <row r="68" spans="1:2">
      <c r="B68" s="3" t="str">
        <f ca="1">IFERROR(__xludf.DUMMYFUNCTION("IF(ISBLANK(A68),"""",GOOGLETRANSLATE(A68,""en"",""fr""))"),"")</f>
        <v/>
      </c>
    </row>
    <row r="69" spans="1:2">
      <c r="A69" s="3" t="s">
        <v>108</v>
      </c>
      <c r="B69" s="3" t="str">
        <f ca="1">IFERROR(__xludf.DUMMYFUNCTION("IF(ISBLANK(A69),"""",GOOGLETRANSLATE(A69,""en"",""fr""))"),"Abonnez-vous à notre newsletter pour recevoir les dernières nouvelles dans votre boîte mail.")</f>
        <v>Abonnez-vous à notre newsletter pour recevoir les dernières nouvelles dans votre boîte mail.</v>
      </c>
    </row>
    <row r="70" spans="1:2">
      <c r="A70" s="3" t="s">
        <v>109</v>
      </c>
      <c r="B70" s="3" t="str">
        <f ca="1">IFERROR(__xludf.DUMMYFUNCTION("IF(ISBLANK(A70),"""",GOOGLETRANSLATE(A70,""en"",""fr""))"),"abc@exemple.com")</f>
        <v>abc@exemple.com</v>
      </c>
    </row>
    <row r="71" spans="1:2">
      <c r="A71" s="3" t="s">
        <v>110</v>
      </c>
      <c r="B71" s="3" t="str">
        <f ca="1">IFERROR(__xludf.DUMMYFUNCTION("IF(ISBLANK(A71),"""",GOOGLETRANSLATE(A71,""en"",""fr""))"),"S'abonner ")</f>
        <v xml:space="preserve">S'abonner </v>
      </c>
    </row>
    <row r="72" spans="1:2">
      <c r="B72" s="3" t="str">
        <f ca="1">IFERROR(__xludf.DUMMYFUNCTION("IF(ISBLANK(A72),"""",GOOGLETRANSLATE(A72,""en"",""fr""))"),"")</f>
        <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116"/>
  <sheetViews>
    <sheetView workbookViewId="0"/>
  </sheetViews>
  <sheetFormatPr defaultColWidth="12.6640625" defaultRowHeight="15.75" customHeight="1"/>
  <cols>
    <col min="1" max="1" width="126.33203125" customWidth="1"/>
  </cols>
  <sheetData>
    <row r="1" spans="1:2">
      <c r="A1" s="1" t="s">
        <v>0</v>
      </c>
      <c r="B1" s="1"/>
    </row>
    <row r="2" spans="1:2">
      <c r="A2" s="3" t="s">
        <v>379</v>
      </c>
      <c r="B2" s="3" t="str">
        <f ca="1">IFERROR(__xludf.DUMMYFUNCTION("IF(ISBLANK(A2),"""",GOOGLETRANSLATE(A2,""en"",""fr""))"),"Transcend AI Labs")</f>
        <v>Transcend AI Labs</v>
      </c>
    </row>
    <row r="3" spans="1:2">
      <c r="A3" s="3" t="s">
        <v>380</v>
      </c>
      <c r="B3" s="3" t="str">
        <f ca="1">IFERROR(__xludf.DUMMYFUNCTION("IF(ISBLANK(A3),"""",GOOGLETRANSLATE(A3,""en"",""fr""))"),"Transformation d'entreprise pionnière grâce à l'IA")</f>
        <v>Transformation d'entreprise pionnière grâce à l'IA</v>
      </c>
    </row>
    <row r="4" spans="1:2">
      <c r="A4" s="3" t="s">
        <v>381</v>
      </c>
      <c r="B4" s="3" t="str">
        <f ca="1">IFERROR(__xludf.DUMMYFUNCTION("IF(ISBLANK(A4),"""",GOOGLETRANSLATE(A4,""en"",""fr""))"),"Façonner une IA pratique et centrée sur l’humain pour générer des résultats commerciaux plus intelligents.")</f>
        <v>Façonner une IA pratique et centrée sur l’humain pour générer des résultats commerciaux plus intelligents.</v>
      </c>
    </row>
    <row r="5" spans="1:2">
      <c r="A5" s="3" t="s">
        <v>70</v>
      </c>
      <c r="B5" s="3" t="str">
        <f ca="1">IFERROR(__xludf.DUMMYFUNCTION("IF(ISBLANK(A5),"""",GOOGLETRANSLATE(A5,""en"",""fr""))"),"Connectez-vous avec nous")</f>
        <v>Connectez-vous avec nous</v>
      </c>
    </row>
    <row r="6" spans="1:2">
      <c r="A6" s="3" t="s">
        <v>14</v>
      </c>
      <c r="B6" s="3" t="str">
        <f ca="1">IFERROR(__xludf.DUMMYFUNCTION("IF(ISBLANK(A6),"""",GOOGLETRANSLATE(A6,""en"",""fr""))"),"Les plus grandes marques mondiales sont propulsées par NETSOL")</f>
        <v>Les plus grandes marques mondiales sont propulsées par NETSOL</v>
      </c>
    </row>
    <row r="7" spans="1:2">
      <c r="A7" s="3" t="s">
        <v>162</v>
      </c>
      <c r="B7" s="3" t="str">
        <f ca="1">IFERROR(__xludf.DUMMYFUNCTION("IF(ISBLANK(A7),"""",GOOGLETRANSLATE(A7,""en"",""fr""))"),"Pourquoi NETSOL")</f>
        <v>Pourquoi NETSOL</v>
      </c>
    </row>
    <row r="8" spans="1:2">
      <c r="A8" s="3" t="s">
        <v>382</v>
      </c>
      <c r="B8" s="3" t="str">
        <f ca="1">IFERROR(__xludf.DUMMYFUNCTION("IF(ISBLANK(A8),"""",GOOGLETRANSLATE(A8,""en"",""fr""))"),"Transformer une IA complexe en une valeur commerciale claire")</f>
        <v>Transformer une IA complexe en une valeur commerciale claire</v>
      </c>
    </row>
    <row r="9" spans="1:2">
      <c r="A9" s="3" t="s">
        <v>383</v>
      </c>
      <c r="B9" s="3" t="str">
        <f ca="1">IFERROR(__xludf.DUMMYFUNCTION("IF(ISBLANK(A9),"""",GOOGLETRANSLATE(A9,""en"",""fr""))"),"Transcend AI Labs est le pôle d'innovation dédié à l'IA de NETSOL Technologies, qui révolutionne la façon dont les entreprises exploitent la puissance de l'intelligence artificielle. Grâce à des modèles de pointe, une conception centrée sur l'humain et un"&amp;"e expertise sectorielle approfondie, Transcend AI Labs permet aux entreprises de prendre des décisions plus éclairées, de réduire leurs coûts et de générer de nouvelles sources de revenus. Transcend AI Labs se distingue par son engagement à rendre l'IA si"&amp;"mple, pratique et efficace. Du choix du modèle au déploiement, chaque étape est conçue pour être fluide et intuitive, vous permettant de vous concentrer sur l'essentiel : prendre des décisions plus judicieuses et plus rapides.")</f>
        <v>Transcend AI Labs est le pôle d'innovation dédié à l'IA de NETSOL Technologies, qui révolutionne la façon dont les entreprises exploitent la puissance de l'intelligence artificielle. Grâce à des modèles de pointe, une conception centrée sur l'humain et une expertise sectorielle approfondie, Transcend AI Labs permet aux entreprises de prendre des décisions plus éclairées, de réduire leurs coûts et de générer de nouvelles sources de revenus. Transcend AI Labs se distingue par son engagement à rendre l'IA simple, pratique et efficace. Du choix du modèle au déploiement, chaque étape est conçue pour être fluide et intuitive, vous permettant de vous concentrer sur l'essentiel : prendre des décisions plus judicieuses et plus rapides.</v>
      </c>
    </row>
    <row r="10" spans="1:2">
      <c r="A10" s="3" t="s">
        <v>384</v>
      </c>
      <c r="B10" s="3" t="str">
        <f ca="1">IFERROR(__xludf.DUMMYFUNCTION("IF(ISBLANK(A10),"""",GOOGLETRANSLATE(A10,""en"",""fr""))"),"Amélioration du produit")</f>
        <v>Amélioration du produit</v>
      </c>
    </row>
    <row r="11" spans="1:2">
      <c r="A11" s="3" t="s">
        <v>385</v>
      </c>
      <c r="B11" s="3" t="str">
        <f ca="1">IFERROR(__xludf.DUMMYFUNCTION("IF(ISBLANK(A11),"""",GOOGLETRANSLATE(A11,""en"",""fr""))"),"Nous utilisons l'IA pour faire évoluer en permanence la plateforme Transcend, en améliorant les fonctionnalités, les performances et les fonctionnalités pour vous assurer de garder une longueur d'avance dans un paysage commercial en évolution rapide.")</f>
        <v>Nous utilisons l'IA pour faire évoluer en permanence la plateforme Transcend, en améliorant les fonctionnalités, les performances et les fonctionnalités pour vous assurer de garder une longueur d'avance dans un paysage commercial en évolution rapide.</v>
      </c>
    </row>
    <row r="12" spans="1:2">
      <c r="A12" s="3" t="s">
        <v>386</v>
      </c>
      <c r="B12" s="3" t="str">
        <f ca="1">IFERROR(__xludf.DUMMYFUNCTION("IF(ISBLANK(A12),"""",GOOGLETRANSLATE(A12,""en"",""fr""))"),"Plateforme indépendante")</f>
        <v>Plateforme indépendante</v>
      </c>
    </row>
    <row r="13" spans="1:2">
      <c r="A13" s="3" t="s">
        <v>387</v>
      </c>
      <c r="B13" s="3" t="str">
        <f ca="1">IFERROR(__xludf.DUMMYFUNCTION("IF(ISBLANK(A13),"""",GOOGLETRANSLATE(A13,""en"",""fr""))"),"Nos solutions fonctionnent de manière transparente sur n'importe quelle plate-forme ou pile technologique, vous offrant la flexibilité d'une intégration sans limites.")</f>
        <v>Nos solutions fonctionnent de manière transparente sur n'importe quelle plate-forme ou pile technologique, vous offrant la flexibilité d'une intégration sans limites.</v>
      </c>
    </row>
    <row r="14" spans="1:2">
      <c r="A14" s="3" t="s">
        <v>388</v>
      </c>
      <c r="B14" s="3" t="str">
        <f ca="1">IFERROR(__xludf.DUMMYFUNCTION("IF(ISBLANK(A14),"""",GOOGLETRANSLATE(A14,""en"",""fr""))"),"Conception centrée sur l'utilisateur")</f>
        <v>Conception centrée sur l'utilisateur</v>
      </c>
    </row>
    <row r="15" spans="1:2">
      <c r="A15" s="3" t="s">
        <v>389</v>
      </c>
      <c r="B15" s="3" t="str">
        <f ca="1">IFERROR(__xludf.DUMMYFUNCTION("IF(ISBLANK(A15),"""",GOOGLETRANSLATE(A15,""en"",""fr""))"),"Chaque solution est conçue avec des interfaces intuitives et met l’accent sur l’expérience utilisateur, garantissant une adoption facile et un engagement significatif.")</f>
        <v>Chaque solution est conçue avec des interfaces intuitives et met l’accent sur l’expérience utilisateur, garantissant une adoption facile et un engagement significatif.</v>
      </c>
    </row>
    <row r="16" spans="1:2">
      <c r="A16" s="3" t="s">
        <v>390</v>
      </c>
      <c r="B16" s="3" t="str">
        <f ca="1">IFERROR(__xludf.DUMMYFUNCTION("IF(ISBLANK(A16),"""",GOOGLETRANSLATE(A16,""en"",""fr""))"),"Augmentation humaine")</f>
        <v>Augmentation humaine</v>
      </c>
    </row>
    <row r="17" spans="1:2">
      <c r="A17" s="3" t="s">
        <v>391</v>
      </c>
      <c r="B17" s="3" t="str">
        <f ca="1">IFERROR(__xludf.DUMMYFUNCTION("IF(ISBLANK(A17),"""",GOOGLETRANSLATE(A17,""en"",""fr""))"),"Nous ne remplaçons pas l’expertise humaine, nous l’améliorons grâce à l’IA, permettant aux gens de prendre des décisions plus intelligentes, plus rapides et plus sûres.")</f>
        <v>Nous ne remplaçons pas l’expertise humaine, nous l’améliorons grâce à l’IA, permettant aux gens de prendre des décisions plus intelligentes, plus rapides et plus sûres.</v>
      </c>
    </row>
    <row r="18" spans="1:2">
      <c r="A18" s="3" t="s">
        <v>78</v>
      </c>
      <c r="B18" s="3" t="str">
        <f ca="1">IFERROR(__xludf.DUMMYFUNCTION("IF(ISBLANK(A18),"""",GOOGLETRANSLATE(A18,""en"",""fr""))"),"Plus de 500 milliards de dollars")</f>
        <v>Plus de 500 milliards de dollars</v>
      </c>
    </row>
    <row r="19" spans="1:2">
      <c r="A19" s="3" t="s">
        <v>79</v>
      </c>
      <c r="B19" s="3" t="str">
        <f ca="1">IFERROR(__xludf.DUMMYFUNCTION("IF(ISBLANK(A19),"""",GOOGLETRANSLATE(A19,""en"",""fr""))"),"Actifs gérés à l'échelle mondiale")</f>
        <v>Actifs gérés à l'échelle mondiale</v>
      </c>
    </row>
    <row r="20" spans="1:2">
      <c r="A20" s="3" t="s">
        <v>271</v>
      </c>
      <c r="B20" s="3" t="str">
        <f ca="1">IFERROR(__xludf.DUMMYFUNCTION("IF(ISBLANK(A20),"""",GOOGLETRANSLATE(A20,""en"",""fr""))"),"350+")</f>
        <v>350+</v>
      </c>
    </row>
    <row r="21" spans="1:2">
      <c r="A21" s="3" t="s">
        <v>77</v>
      </c>
      <c r="B21" s="3" t="str">
        <f ca="1">IFERROR(__xludf.DUMMYFUNCTION("IF(ISBLANK(A21),"""",GOOGLETRANSLATE(A21,""en"",""fr""))"),"Mises en œuvre réussies")</f>
        <v>Mises en œuvre réussies</v>
      </c>
    </row>
    <row r="22" spans="1:2">
      <c r="A22" s="3" t="s">
        <v>74</v>
      </c>
      <c r="B22" s="3" t="str">
        <f ca="1">IFERROR(__xludf.DUMMYFUNCTION("IF(ISBLANK(A22),"""",GOOGLETRANSLATE(A22,""en"",""fr""))"),"Plus de 200")</f>
        <v>Plus de 200</v>
      </c>
    </row>
    <row r="23" spans="1:2">
      <c r="A23" s="3" t="s">
        <v>75</v>
      </c>
      <c r="B23" s="3" t="str">
        <f ca="1">IFERROR(__xludf.DUMMYFUNCTION("IF(ISBLANK(A23),"""",GOOGLETRANSLATE(A23,""en"",""fr""))"),"Clients du monde entier")</f>
        <v>Clients du monde entier</v>
      </c>
    </row>
    <row r="24" spans="1:2">
      <c r="A24" s="3" t="s">
        <v>272</v>
      </c>
      <c r="B24" s="3" t="str">
        <f ca="1">IFERROR(__xludf.DUMMYFUNCTION("IF(ISBLANK(A24),"""",GOOGLETRANSLATE(A24,""en"",""fr""))"),"30+")</f>
        <v>30+</v>
      </c>
    </row>
    <row r="25" spans="1:2">
      <c r="A25" s="3" t="s">
        <v>273</v>
      </c>
      <c r="B25" s="3" t="str">
        <f ca="1">IFERROR(__xludf.DUMMYFUNCTION("IF(ISBLANK(A25),"""",GOOGLETRANSLATE(A25,""en"",""fr""))"),"Pays desservis")</f>
        <v>Pays desservis</v>
      </c>
    </row>
    <row r="26" spans="1:2">
      <c r="A26" s="3" t="s">
        <v>392</v>
      </c>
      <c r="B26" s="3" t="str">
        <f ca="1">IFERROR(__xludf.DUMMYFUNCTION("IF(ISBLANK(A26),"""",GOOGLETRANSLATE(A26,""en"",""fr""))"),"Associez-vous à Transcend AI Labs pour des initiatives d'IA qui offrent une réelle valeur")</f>
        <v>Associez-vous à Transcend AI Labs pour des initiatives d'IA qui offrent une réelle valeur</v>
      </c>
    </row>
    <row r="27" spans="1:2">
      <c r="A27" s="3" t="s">
        <v>393</v>
      </c>
      <c r="B27" s="3" t="str">
        <f ca="1">IFERROR(__xludf.DUMMYFUNCTION("IF(ISBLANK(A27),"""",GOOGLETRANSLATE(A27,""en"",""fr""))"),"Une expertise sectorielle sur mesure")</f>
        <v>Une expertise sectorielle sur mesure</v>
      </c>
    </row>
    <row r="28" spans="1:2">
      <c r="A28" s="3" t="s">
        <v>394</v>
      </c>
      <c r="B28" s="3" t="str">
        <f ca="1">IFERROR(__xludf.DUMMYFUNCTION("IF(ISBLANK(A28),"""",GOOGLETRANSLATE(A28,""en"",""fr""))"),"Nous sommes spécialisés dans les implémentations d'IA spécifiques à l'industrie, en nous adaptant à vos cas d'utilisation, en choisissant les meilleurs services d'IA, de la génération de contenu à l'analyse prédictive - le tout optimisé pour votre environ"&amp;"nement commercial unique et adapté à votre secteur.")</f>
        <v>Nous sommes spécialisés dans les implémentations d'IA spécifiques à l'industrie, en nous adaptant à vos cas d'utilisation, en choisissant les meilleurs services d'IA, de la génération de contenu à l'analyse prédictive - le tout optimisé pour votre environnement commercial unique et adapté à votre secteur.</v>
      </c>
    </row>
    <row r="29" spans="1:2">
      <c r="A29" s="3" t="s">
        <v>395</v>
      </c>
      <c r="B29" s="3" t="str">
        <f ca="1">IFERROR(__xludf.DUMMYFUNCTION("IF(ISBLANK(A29),"""",GOOGLETRANSLATE(A29,""en"",""fr""))"),"Indépendance de la plateforme")</f>
        <v>Indépendance de la plateforme</v>
      </c>
    </row>
    <row r="30" spans="1:2">
      <c r="A30" s="3" t="s">
        <v>396</v>
      </c>
      <c r="B30" s="3" t="str">
        <f ca="1">IFERROR(__xludf.DUMMYFUNCTION("IF(ISBLANK(A30),"""",GOOGLETRANSLATE(A30,""en"",""fr""))"),"Innovez en toute liberté, selon vos conditions. Déployez vos solutions sur l'infrastructure de votre choix : sur site, sur n'importe quelle plateforme cloud ou même avec des solutions open source. Aucune dépendance vis-à-vis d'un fournisseur.")</f>
        <v>Innovez en toute liberté, selon vos conditions. Déployez vos solutions sur l'infrastructure de votre choix : sur site, sur n'importe quelle plateforme cloud ou même avec des solutions open source. Aucune dépendance vis-à-vis d'un fournisseur.</v>
      </c>
    </row>
    <row r="31" spans="1:2">
      <c r="B31" s="3" t="str">
        <f ca="1">IFERROR(__xludf.DUMMYFUNCTION("IF(ISBLANK(A31),"""",GOOGLETRANSLATE(A31,""en"",""fr""))"),"")</f>
        <v/>
      </c>
    </row>
    <row r="32" spans="1:2">
      <c r="A32" s="3" t="s">
        <v>397</v>
      </c>
      <c r="B32" s="3" t="str">
        <f ca="1">IFERROR(__xludf.DUMMYFUNCTION("IF(ISBLANK(A32),"""",GOOGLETRANSLATE(A32,""en"",""fr""))"),"Contrôle des données pour les entreprises")</f>
        <v>Contrôle des données pour les entreprises</v>
      </c>
    </row>
    <row r="33" spans="1:2">
      <c r="A33" s="3" t="s">
        <v>398</v>
      </c>
      <c r="B33" s="3" t="str">
        <f ca="1">IFERROR(__xludf.DUMMYFUNCTION("IF(ISBLANK(A33),"""",GOOGLETRANSLATE(A33,""en"",""fr""))"),"Vos données, vos règles. Déployez une plateforme d'IA sur site ou dans votre cloud privé pour un contrôle total des données et de la conformité, répondant ainsi à vos besoins de sécurité et de gouvernance à chaque étape.")</f>
        <v>Vos données, vos règles. Déployez une plateforme d'IA sur site ou dans votre cloud privé pour un contrôle total des données et de la conformité, répondant ainsi à vos besoins de sécurité et de gouvernance à chaque étape.</v>
      </c>
    </row>
    <row r="34" spans="1:2">
      <c r="B34" s="3" t="str">
        <f ca="1">IFERROR(__xludf.DUMMYFUNCTION("IF(ISBLANK(A34),"""",GOOGLETRANSLATE(A34,""en"",""fr""))"),"")</f>
        <v/>
      </c>
    </row>
    <row r="35" spans="1:2">
      <c r="A35" s="3" t="s">
        <v>399</v>
      </c>
      <c r="B35" s="3" t="str">
        <f ca="1">IFERROR(__xludf.DUMMYFUNCTION("IF(ISBLANK(A35),"""",GOOGLETRANSLATE(A35,""en"",""fr""))"),"Précision avec intervention humaine")</f>
        <v>Précision avec intervention humaine</v>
      </c>
    </row>
    <row r="36" spans="1:2">
      <c r="A36" s="3" t="s">
        <v>400</v>
      </c>
      <c r="B36" s="3" t="str">
        <f ca="1">IFERROR(__xludf.DUMMYFUNCTION("IF(ISBLANK(A36),"""",GOOGLETRANSLATE(A36,""en"",""fr""))"),"Atteignez une vitesse pilotée par l'IA avec la précision de la surveillance humaine aux points de décision les plus critiques, garantissant ainsi la responsabilité et l'exactitude.")</f>
        <v>Atteignez une vitesse pilotée par l'IA avec la précision de la surveillance humaine aux points de décision les plus critiques, garantissant ainsi la responsabilité et l'exactitude.</v>
      </c>
    </row>
    <row r="37" spans="1:2">
      <c r="B37" s="3" t="str">
        <f ca="1">IFERROR(__xludf.DUMMYFUNCTION("IF(ISBLANK(A37),"""",GOOGLETRANSLATE(A37,""en"",""fr""))"),"")</f>
        <v/>
      </c>
    </row>
    <row r="38" spans="1:2">
      <c r="A38" s="3" t="s">
        <v>401</v>
      </c>
      <c r="B38" s="3" t="str">
        <f ca="1">IFERROR(__xludf.DUMMYFUNCTION("IF(ISBLANK(A38),"""",GOOGLETRANSLATE(A38,""en"",""fr""))"),"Intégration plug-and-play")</f>
        <v>Intégration plug-and-play</v>
      </c>
    </row>
    <row r="39" spans="1:2">
      <c r="A39" s="3" t="s">
        <v>402</v>
      </c>
      <c r="B39" s="3" t="str">
        <f ca="1">IFERROR(__xludf.DUMMYFUNCTION("IF(ISBLANK(A39),"""",GOOGLETRANSLATE(A39,""en"",""fr""))"),"Démarrez rapidement avec un minimum de perturbations. Intégrez nos modules d'IA à vos systèmes et logiciels existants pour exploiter pleinement les capacités de l'IA et constater un impact immédiat sans remanier votre infrastructure informatique.")</f>
        <v>Démarrez rapidement avec un minimum de perturbations. Intégrez nos modules d'IA à vos systèmes et logiciels existants pour exploiter pleinement les capacités de l'IA et constater un impact immédiat sans remanier votre infrastructure informatique.</v>
      </c>
    </row>
    <row r="40" spans="1:2">
      <c r="B40" s="3" t="str">
        <f ca="1">IFERROR(__xludf.DUMMYFUNCTION("IF(ISBLANK(A40),"""",GOOGLETRANSLATE(A40,""en"",""fr""))"),"")</f>
        <v/>
      </c>
    </row>
    <row r="41" spans="1:2">
      <c r="A41" s="3" t="s">
        <v>403</v>
      </c>
      <c r="B41" s="3" t="str">
        <f ca="1">IFERROR(__xludf.DUMMYFUNCTION("IF(ISBLANK(A41),"""",GOOGLETRANSLATE(A41,""en"",""fr""))"),"Évolutivité et préparation à l'avenir")</f>
        <v>Évolutivité et préparation à l'avenir</v>
      </c>
    </row>
    <row r="42" spans="1:2">
      <c r="A42" s="3" t="s">
        <v>404</v>
      </c>
      <c r="B42" s="3" t="str">
        <f ca="1">IFERROR(__xludf.DUMMYFUNCTION("IF(ISBLANK(A42),"""",GOOGLETRANSLATE(A42,""en"",""fr""))"),"Nos solutions s'adaptent à la croissance de votre entreprise. Transcend AI Labs adapte vos implémentations d'IA à vos besoins, garantissant ainsi efficacité, précision et fluidité de vos opérations et de vos innovations.")</f>
        <v>Nos solutions s'adaptent à la croissance de votre entreprise. Transcend AI Labs adapte vos implémentations d'IA à vos besoins, garantissant ainsi efficacité, précision et fluidité de vos opérations et de vos innovations.</v>
      </c>
    </row>
    <row r="43" spans="1:2">
      <c r="B43" s="3" t="str">
        <f ca="1">IFERROR(__xludf.DUMMYFUNCTION("IF(ISBLANK(A43),"""",GOOGLETRANSLATE(A43,""en"",""fr""))"),"")</f>
        <v/>
      </c>
    </row>
    <row r="44" spans="1:2">
      <c r="A44" s="3" t="s">
        <v>405</v>
      </c>
      <c r="B44" s="3" t="str">
        <f ca="1">IFERROR(__xludf.DUMMYFUNCTION("IF(ISBLANK(A44),"""",GOOGLETRANSLATE(A44,""en"",""fr""))"),"Engagement en matière de sécurité et de conformité")</f>
        <v>Engagement en matière de sécurité et de conformité</v>
      </c>
    </row>
    <row r="45" spans="1:2">
      <c r="A45" s="3" t="s">
        <v>406</v>
      </c>
      <c r="B45" s="3" t="str">
        <f ca="1">IFERROR(__xludf.DUMMYFUNCTION("IF(ISBLANK(A45),"""",GOOGLETRANSLATE(A45,""en"",""fr""))"),"Nos services d'IA répondent aux normes de sécurité et de conformité les plus élevées tout en protégeant vos données et en favorisant l'innovation, soutenus par des décennies de portefeuille mondial dans des secteurs diversifiés et hautement réglementés co"&amp;"mme la finance, la banque et la santé.")</f>
        <v>Nos services d'IA répondent aux normes de sécurité et de conformité les plus élevées tout en protégeant vos données et en favorisant l'innovation, soutenus par des décennies de portefeuille mondial dans des secteurs diversifiés et hautement réglementés comme la finance, la banque et la santé.</v>
      </c>
    </row>
    <row r="46" spans="1:2">
      <c r="B46" s="3" t="str">
        <f ca="1">IFERROR(__xludf.DUMMYFUNCTION("IF(ISBLANK(A46),"""",GOOGLETRANSLATE(A46,""en"",""fr""))"),"")</f>
        <v/>
      </c>
    </row>
    <row r="47" spans="1:2">
      <c r="A47" s="3" t="s">
        <v>407</v>
      </c>
      <c r="B47" s="3" t="str">
        <f ca="1">IFERROR(__xludf.DUMMYFUNCTION("IF(ISBLANK(A47),"""",GOOGLETRANSLATE(A47,""en"",""fr""))"),"Les trois piliers de l'IA chez Transcend AI Labs")</f>
        <v>Les trois piliers de l'IA chez Transcend AI Labs</v>
      </c>
    </row>
    <row r="48" spans="1:2">
      <c r="A48" s="3" t="s">
        <v>45</v>
      </c>
      <c r="B48" s="3" t="str">
        <f ca="1">IFERROR(__xludf.DUMMYFUNCTION("IF(ISBLANK(A48),"""",GOOGLETRANSLATE(A48,""en"",""fr""))"),"Applications d'IA")</f>
        <v>Applications d'IA</v>
      </c>
    </row>
    <row r="49" spans="1:2">
      <c r="A49" s="3" t="s">
        <v>408</v>
      </c>
      <c r="B49" s="3" t="str">
        <f ca="1">IFERROR(__xludf.DUMMYFUNCTION("IF(ISBLANK(A49),"""",GOOGLETRANSLATE(A49,""en"",""fr""))"),"Applications alimentées par l'IA")</f>
        <v>Applications alimentées par l'IA</v>
      </c>
    </row>
    <row r="50" spans="1:2">
      <c r="A50" s="3" t="s">
        <v>409</v>
      </c>
      <c r="B50" s="3" t="str">
        <f ca="1">IFERROR(__xludf.DUMMYFUNCTION("IF(ISBLANK(A50),"""",GOOGLETRANSLATE(A50,""en"",""fr""))"),"Suite complète d'applications d'IA conçues pour automatiser et optimiser vos processus métier. Du traitement intelligent des documents à l'analyse prédictive, nos applications produisent des résultats mesurables.")</f>
        <v>Suite complète d'applications d'IA conçues pour automatiser et optimiser vos processus métier. Du traitement intelligent des documents à l'analyse prédictive, nos applications produisent des résultats mesurables.</v>
      </c>
    </row>
    <row r="51" spans="1:2">
      <c r="A51" s="3" t="s">
        <v>410</v>
      </c>
      <c r="B51" s="3" t="str">
        <f ca="1">IFERROR(__xludf.DUMMYFUNCTION("IF(ISBLANK(A51),"""",GOOGLETRANSLATE(A51,""en"",""fr""))"),"Recherche sur le raisonnement profond")</f>
        <v>Recherche sur le raisonnement profond</v>
      </c>
    </row>
    <row r="52" spans="1:2">
      <c r="A52" s="3" t="s">
        <v>411</v>
      </c>
      <c r="B52" s="3" t="str">
        <f ca="1">IFERROR(__xludf.DUMMYFUNCTION("IF(ISBLANK(A52),"""",GOOGLETRANSLATE(A52,""en"",""fr""))"),"Des informations avancées basées sur l’IA pour découvrir des modèles complexes et améliorer la prise de décision.")</f>
        <v>Des informations avancées basées sur l’IA pour découvrir des modèles complexes et améliorer la prise de décision.</v>
      </c>
    </row>
    <row r="53" spans="1:2">
      <c r="A53" s="3" t="s">
        <v>412</v>
      </c>
      <c r="B53" s="3" t="str">
        <f ca="1">IFERROR(__xludf.DUMMYFUNCTION("IF(ISBLANK(A53),"""",GOOGLETRANSLATE(A53,""en"",""fr""))"),"Traitement intelligent des documents")</f>
        <v>Traitement intelligent des documents</v>
      </c>
    </row>
    <row r="54" spans="1:2">
      <c r="A54" s="3" t="s">
        <v>413</v>
      </c>
      <c r="B54" s="3" t="str">
        <f ca="1">IFERROR(__xludf.DUMMYFUNCTION("IF(ISBLANK(A54),"""",GOOGLETRANSLATE(A54,""en"",""fr""))"),"Automatisation de l'analyse, de l'extraction et de la classification des documents pour rationaliser les opérations et améliorer la précision.")</f>
        <v>Automatisation de l'analyse, de l'extraction et de la classification des documents pour rationaliser les opérations et améliorer la précision.</v>
      </c>
    </row>
    <row r="55" spans="1:2">
      <c r="A55" s="3" t="s">
        <v>414</v>
      </c>
      <c r="B55" s="3" t="str">
        <f ca="1">IFERROR(__xludf.DUMMYFUNCTION("IF(ISBLANK(A55),"""",GOOGLETRANSLATE(A55,""en"",""fr""))"),"Flex AI")</f>
        <v>Flex AI</v>
      </c>
    </row>
    <row r="56" spans="1:2">
      <c r="A56" s="3" t="s">
        <v>415</v>
      </c>
      <c r="B56" s="3" t="str">
        <f ca="1">IFERROR(__xludf.DUMMYFUNCTION("IF(ISBLANK(A56),"""",GOOGLETRANSLATE(A56,""en"",""fr""))"),"Un outil de recommandation de structure financière flexible alimenté par l'IA, alimenté par l'IA générative et Flex.")</f>
        <v>Un outil de recommandation de structure financière flexible alimenté par l'IA, alimenté par l'IA générative et Flex.</v>
      </c>
    </row>
    <row r="57" spans="1:2">
      <c r="A57" s="3" t="s">
        <v>416</v>
      </c>
      <c r="B57" s="3" t="str">
        <f ca="1">IFERROR(__xludf.DUMMYFUNCTION("IF(ISBLANK(A57),"""",GOOGLETRANSLATE(A57,""en"",""fr""))"),"forge de règles")</f>
        <v>forge de règles</v>
      </c>
    </row>
    <row r="58" spans="1:2">
      <c r="A58" s="3" t="s">
        <v>417</v>
      </c>
      <c r="B58" s="3" t="str">
        <f ca="1">IFERROR(__xludf.DUMMYFUNCTION("IF(ISBLANK(A58),"""",GOOGLETRANSLATE(A58,""en"",""fr""))"),"Moteur de règles basé sur l'IA pour automatiser la conformité, la prise de décision et les flux de travail opérationnels.")</f>
        <v>Moteur de règles basé sur l'IA pour automatiser la conformité, la prise de décision et les flux de travail opérationnels.</v>
      </c>
    </row>
    <row r="59" spans="1:2">
      <c r="A59" s="3" t="s">
        <v>418</v>
      </c>
      <c r="B59" s="3" t="str">
        <f ca="1">IFERROR(__xludf.DUMMYFUNCTION("IF(ISBLANK(A59),"""",GOOGLETRANSLATE(A59,""en"",""fr""))"),"Chat")</f>
        <v>Chat</v>
      </c>
    </row>
    <row r="60" spans="1:2">
      <c r="A60" s="3" t="s">
        <v>419</v>
      </c>
      <c r="B60" s="3" t="str">
        <f ca="1">IFERROR(__xludf.DUMMYFUNCTION("IF(ISBLANK(A60),"""",GOOGLETRANSLATE(A60,""en"",""fr""))"),"IA conversationnelle qui offre un support client intelligent en temps réel et améliore l'engagement.")</f>
        <v>IA conversationnelle qui offre un support client intelligent en temps réel et améliore l'engagement.</v>
      </c>
    </row>
    <row r="61" spans="1:2">
      <c r="A61" s="3" t="s">
        <v>420</v>
      </c>
      <c r="B61" s="3" t="str">
        <f ca="1">IFERROR(__xludf.DUMMYFUNCTION("IF(ISBLANK(A61),"""",GOOGLETRANSLATE(A61,""en"",""fr""))"),"Des décisions fondées sur les données")</f>
        <v>Des décisions fondées sur les données</v>
      </c>
    </row>
    <row r="62" spans="1:2">
      <c r="A62" s="3" t="s">
        <v>421</v>
      </c>
      <c r="B62" s="3" t="str">
        <f ca="1">IFERROR(__xludf.DUMMYFUNCTION("IF(ISBLANK(A62),"""",GOOGLETRANSLATE(A62,""en"",""fr""))"),"Modèles d'apprentissage automatique pour l'analyse prédictive et la prévision.")</f>
        <v>Modèles d'apprentissage automatique pour l'analyse prédictive et la prévision.</v>
      </c>
    </row>
    <row r="63" spans="1:2">
      <c r="A63" s="3" t="s">
        <v>422</v>
      </c>
      <c r="B63" s="3" t="str">
        <f ca="1">IFERROR(__xludf.DUMMYFUNCTION("IF(ISBLANK(A63),"""",GOOGLETRANSLATE(A63,""en"",""fr""))"),"Services d'IA")</f>
        <v>Services d'IA</v>
      </c>
    </row>
    <row r="64" spans="1:2">
      <c r="A64" s="3" t="s">
        <v>422</v>
      </c>
      <c r="B64" s="3" t="str">
        <f ca="1">IFERROR(__xludf.DUMMYFUNCTION("IF(ISBLANK(A64),"""",GOOGLETRANSLATE(A64,""en"",""fr""))"),"Services d'IA")</f>
        <v>Services d'IA</v>
      </c>
    </row>
    <row r="65" spans="1:2">
      <c r="A65" s="3" t="s">
        <v>423</v>
      </c>
      <c r="B65" s="3" t="str">
        <f ca="1">IFERROR(__xludf.DUMMYFUNCTION("IF(ISBLANK(A65),"""",GOOGLETRANSLATE(A65,""en"",""fr""))"),"Services de conseil et de mise en œuvre experts pour vous aider à exploiter efficacement l'IA. Notre équipe vous propose des conseils stratégiques, un développement sur mesure et un accompagnement continu pour vos initiatives d'IA.")</f>
        <v>Services de conseil et de mise en œuvre experts pour vous aider à exploiter efficacement l'IA. Notre équipe vous propose des conseils stratégiques, un développement sur mesure et un accompagnement continu pour vos initiatives d'IA.</v>
      </c>
    </row>
    <row r="66" spans="1:2">
      <c r="A66" s="3" t="s">
        <v>424</v>
      </c>
      <c r="B66" s="3" t="str">
        <f ca="1">IFERROR(__xludf.DUMMYFUNCTION("IF(ISBLANK(A66),"""",GOOGLETRANSLATE(A66,""en"",""fr""))"),"Conseil en stratégie d'IA")</f>
        <v>Conseil en stratégie d'IA</v>
      </c>
    </row>
    <row r="67" spans="1:2">
      <c r="A67" s="3" t="s">
        <v>425</v>
      </c>
      <c r="B67" s="3" t="str">
        <f ca="1">IFERROR(__xludf.DUMMYFUNCTION("IF(ISBLANK(A67),"""",GOOGLETRANSLATE(A67,""en"",""fr""))"),"Planification stratégique et élaboration d’une feuille de route pour aligner les initiatives d’IA sur vos objectifs commerciaux et vos opportunités de marché.")</f>
        <v>Planification stratégique et élaboration d’une feuille de route pour aligner les initiatives d’IA sur vos objectifs commerciaux et vos opportunités de marché.</v>
      </c>
    </row>
    <row r="68" spans="1:2">
      <c r="A68" s="3" t="s">
        <v>426</v>
      </c>
      <c r="B68" s="3" t="str">
        <f ca="1">IFERROR(__xludf.DUMMYFUNCTION("IF(ISBLANK(A68),"""",GOOGLETRANSLATE(A68,""en"",""fr""))"),"Développement d'IA personnalisée")</f>
        <v>Développement d'IA personnalisée</v>
      </c>
    </row>
    <row r="69" spans="1:2">
      <c r="A69" s="3" t="s">
        <v>427</v>
      </c>
      <c r="B69" s="3" t="str">
        <f ca="1">IFERROR(__xludf.DUMMYFUNCTION("IF(ISBLANK(A69),"""",GOOGLETRANSLATE(A69,""en"",""fr""))"),"Développement de solutions d’IA sur mesure adaptées aux exigences spécifiques de votre secteur et aux défis commerciaux.")</f>
        <v>Développement de solutions d’IA sur mesure adaptées aux exigences spécifiques de votre secteur et aux défis commerciaux.</v>
      </c>
    </row>
    <row r="70" spans="1:2">
      <c r="A70" s="3" t="s">
        <v>428</v>
      </c>
      <c r="B70" s="3" t="str">
        <f ca="1">IFERROR(__xludf.DUMMYFUNCTION("IF(ISBLANK(A70),"""",GOOGLETRANSLATE(A70,""en"",""fr""))"),"Services d'intégration d'IA")</f>
        <v>Services d'intégration d'IA</v>
      </c>
    </row>
    <row r="71" spans="1:2">
      <c r="A71" s="3" t="s">
        <v>429</v>
      </c>
      <c r="B71" s="3" t="str">
        <f ca="1">IFERROR(__xludf.DUMMYFUNCTION("IF(ISBLANK(A71),"""",GOOGLETRANSLATE(A71,""en"",""fr""))"),"Intégration transparente des capacités d’IA dans vos systèmes et flux de travail existants sans perturber les opérations.")</f>
        <v>Intégration transparente des capacités d’IA dans vos systèmes et flux de travail existants sans perturber les opérations.</v>
      </c>
    </row>
    <row r="72" spans="1:2">
      <c r="A72" s="3" t="s">
        <v>430</v>
      </c>
      <c r="B72" s="3" t="str">
        <f ca="1">IFERROR(__xludf.DUMMYFUNCTION("IF(ISBLANK(A72),"""",GOOGLETRANSLATE(A72,""en"",""fr""))"),"Formation et soutien")</f>
        <v>Formation et soutien</v>
      </c>
    </row>
    <row r="73" spans="1:2">
      <c r="A73" s="3" t="s">
        <v>431</v>
      </c>
      <c r="B73" s="3" t="str">
        <f ca="1">IFERROR(__xludf.DUMMYFUNCTION("IF(ISBLANK(A73),"""",GOOGLETRANSLATE(A73,""en"",""fr""))"),"Des programmes de formation complets et un soutien continu pour garantir une adoption réussie de l'IA dans toute votre organisation.")</f>
        <v>Des programmes de formation complets et un soutien continu pour garantir une adoption réussie de l'IA dans toute votre organisation.</v>
      </c>
    </row>
    <row r="74" spans="1:2">
      <c r="A74" s="3" t="s">
        <v>432</v>
      </c>
      <c r="B74" s="3" t="str">
        <f ca="1">IFERROR(__xludf.DUMMYFUNCTION("IF(ISBLANK(A74),"""",GOOGLETRANSLATE(A74,""en"",""fr""))"),"Innovations en laboratoire")</f>
        <v>Innovations en laboratoire</v>
      </c>
    </row>
    <row r="75" spans="1:2">
      <c r="A75" s="3" t="s">
        <v>432</v>
      </c>
      <c r="B75" s="3" t="str">
        <f ca="1">IFERROR(__xludf.DUMMYFUNCTION("IF(ISBLANK(A75),"""",GOOGLETRANSLATE(A75,""en"",""fr""))"),"Innovations en laboratoire")</f>
        <v>Innovations en laboratoire</v>
      </c>
    </row>
    <row r="76" spans="1:2">
      <c r="A76" s="3" t="s">
        <v>433</v>
      </c>
      <c r="B76" s="3" t="str">
        <f ca="1">IFERROR(__xludf.DUMMYFUNCTION("IF(ISBLANK(A76),"""",GOOGLETRANSLATE(A76,""en"",""fr""))"),"Dernières avancées de notre laboratoire de recherche en IA, notamment des modèles d'apprentissage automatique avancés, des réseaux neuronaux et des technologies expérimentales qui repoussent les limites du possible.")</f>
        <v>Dernières avancées de notre laboratoire de recherche en IA, notamment des modèles d'apprentissage automatique avancés, des réseaux neuronaux et des technologies expérimentales qui repoussent les limites du possible.</v>
      </c>
    </row>
    <row r="77" spans="1:2">
      <c r="A77" s="3" t="s">
        <v>434</v>
      </c>
      <c r="B77" s="3" t="str">
        <f ca="1">IFERROR(__xludf.DUMMYFUNCTION("IF(ISBLANK(A77),"""",GOOGLETRANSLATE(A77,""en"",""fr""))"),"Réseaux neuronaux avancés")</f>
        <v>Réseaux neuronaux avancés</v>
      </c>
    </row>
    <row r="78" spans="1:2">
      <c r="A78" s="3" t="s">
        <v>435</v>
      </c>
      <c r="B78" s="3" t="str">
        <f ca="1">IFERROR(__xludf.DUMMYFUNCTION("IF(ISBLANK(A78),"""",GOOGLETRANSLATE(A78,""en"",""fr""))"),"Architectures de réseaux neuronaux de nouvelle génération conçues pour la reconnaissance de formes complexes et les processus de prise de décision.")</f>
        <v>Architectures de réseaux neuronaux de nouvelle génération conçues pour la reconnaissance de formes complexes et les processus de prise de décision.</v>
      </c>
    </row>
    <row r="79" spans="1:2">
      <c r="A79" s="3" t="s">
        <v>436</v>
      </c>
      <c r="B79" s="3" t="str">
        <f ca="1">IFERROR(__xludf.DUMMYFUNCTION("IF(ISBLANK(A79),"""",GOOGLETRANSLATE(A79,""en"",""fr""))"),"Recherche sur l'IA quantique")</f>
        <v>Recherche sur l'IA quantique</v>
      </c>
    </row>
    <row r="80" spans="1:2">
      <c r="A80" s="3" t="s">
        <v>437</v>
      </c>
      <c r="B80" s="3" t="str">
        <f ca="1">IFERROR(__xludf.DUMMYFUNCTION("IF(ISBLANK(A80),"""",GOOGLETRANSLATE(A80,""en"",""fr""))"),"Recherche pionnière dans les applications de l’informatique quantique pour l’IA, explorant des possibilités de calcul sans précédent.")</f>
        <v>Recherche pionnière dans les applications de l’informatique quantique pour l’IA, explorant des possibilités de calcul sans précédent.</v>
      </c>
    </row>
    <row r="81" spans="1:2">
      <c r="A81" s="3" t="s">
        <v>438</v>
      </c>
      <c r="B81" s="3" t="str">
        <f ca="1">IFERROR(__xludf.DUMMYFUNCTION("IF(ISBLANK(A81),"""",GOOGLETRANSLATE(A81,""en"",""fr""))"),"Apprentissage fédéré")</f>
        <v>Apprentissage fédéré</v>
      </c>
    </row>
    <row r="82" spans="1:2">
      <c r="A82" s="3" t="s">
        <v>439</v>
      </c>
      <c r="B82" s="3" t="str">
        <f ca="1">IFERROR(__xludf.DUMMYFUNCTION("IF(ISBLANK(A82),"""",GOOGLETRANSLATE(A82,""en"",""fr""))"),"Approches innovantes de l’apprentissage automatique distribué qui préservent la confidentialité tout en permettant le développement collaboratif de l’IA.")</f>
        <v>Approches innovantes de l’apprentissage automatique distribué qui préservent la confidentialité tout en permettant le développement collaboratif de l’IA.</v>
      </c>
    </row>
    <row r="83" spans="1:2">
      <c r="A83" s="3" t="s">
        <v>440</v>
      </c>
      <c r="B83" s="3" t="str">
        <f ca="1">IFERROR(__xludf.DUMMYFUNCTION("IF(ISBLANK(A83),"""",GOOGLETRANSLATE(A83,""en"",""fr""))"),"IA explicable")</f>
        <v>IA explicable</v>
      </c>
    </row>
    <row r="84" spans="1:2">
      <c r="A84" s="3" t="s">
        <v>441</v>
      </c>
      <c r="B84" s="3" t="str">
        <f ca="1">IFERROR(__xludf.DUMMYFUNCTION("IF(ISBLANK(A84),"""",GOOGLETRANSLATE(A84,""en"",""fr""))"),"Des systèmes d’IA transparents qui fournissent des informations claires sur les processus de prise de décision pour une meilleure confiance et une meilleure conformité.")</f>
        <v>Des systèmes d’IA transparents qui fournissent des informations claires sur les processus de prise de décision pour une meilleure confiance et une meilleure conformité.</v>
      </c>
    </row>
    <row r="85" spans="1:2">
      <c r="A85" s="3" t="s">
        <v>94</v>
      </c>
      <c r="B85" s="3" t="str">
        <f ca="1">IFERROR(__xludf.DUMMYFUNCTION("IF(ISBLANK(A85),"""",GOOGLETRANSLATE(A85,""en"",""fr""))"),"Lectures et idées en vedette")</f>
        <v>Lectures et idées en vedette</v>
      </c>
    </row>
    <row r="86" spans="1:2">
      <c r="A86" s="10" t="s">
        <v>95</v>
      </c>
      <c r="B86" s="3" t="str">
        <f ca="1">IFERROR(__xludf.DUMMYFUNCTION("IF(ISBLANK(A86),"""",GOOGLETRANSLATE(A86,""en"",""fr""))"),"Restez informé des dernières actualités de NETSOL. Réflexions stratégiques, mises à jour produits, perspectives sectorielles et actualités de l'entreprise, tout est réuni au même endroit.")</f>
        <v>Restez informé des dernières actualités de NETSOL. Réflexions stratégiques, mises à jour produits, perspectives sectorielles et actualités de l'entreprise, tout est réuni au même endroit.</v>
      </c>
    </row>
    <row r="87" spans="1:2">
      <c r="A87" s="3" t="s">
        <v>96</v>
      </c>
      <c r="B87" s="3" t="str">
        <f ca="1">IFERROR(__xludf.DUMMYFUNCTION("IF(ISBLANK(A87),"""",GOOGLETRANSLATE(A87,""en"",""fr""))"),"Blog")</f>
        <v>Blog</v>
      </c>
    </row>
    <row r="88" spans="1:2">
      <c r="A88" s="3" t="s">
        <v>97</v>
      </c>
      <c r="B88" s="3" t="str">
        <f ca="1">IFERROR(__xludf.DUMMYFUNCTION("IF(ISBLANK(A88),"""",GOOGLETRANSLATE(A88,""en"",""fr""))"),"Au-delà du DMS : pourquoi l’avenir du commerce automobile repose sur les API")</f>
        <v>Au-delà du DMS : pourquoi l’avenir du commerce automobile repose sur les API</v>
      </c>
    </row>
    <row r="89" spans="1:2">
      <c r="A89" s="3" t="s">
        <v>23</v>
      </c>
      <c r="B89" s="3" t="str">
        <f ca="1">IFERROR(__xludf.DUMMYFUNCTION("IF(ISBLANK(A89),"""",GOOGLETRANSLATE(A89,""en"",""fr""))"),"Apprendre encore plus")</f>
        <v>Apprendre encore plus</v>
      </c>
    </row>
    <row r="90" spans="1:2">
      <c r="B90" s="3" t="str">
        <f ca="1">IFERROR(__xludf.DUMMYFUNCTION("IF(ISBLANK(A90),"""",GOOGLETRANSLATE(A90,""en"",""fr""))"),"")</f>
        <v/>
      </c>
    </row>
    <row r="91" spans="1:2">
      <c r="A91" s="3" t="s">
        <v>98</v>
      </c>
      <c r="B91" s="3" t="str">
        <f ca="1">IFERROR(__xludf.DUMMYFUNCTION("IF(ISBLANK(A91),"""",GOOGLETRANSLATE(A91,""en"",""fr""))"),"NETSOL est présent à la conférence et aux prix GlobalData Automotive Europe 2025.")</f>
        <v>NETSOL est présent à la conférence et aux prix GlobalData Automotive Europe 2025.</v>
      </c>
    </row>
    <row r="92" spans="1:2">
      <c r="B92" s="3" t="str">
        <f ca="1">IFERROR(__xludf.DUMMYFUNCTION("IF(ISBLANK(A92),"""",GOOGLETRANSLATE(A92,""en"",""fr""))"),"")</f>
        <v/>
      </c>
    </row>
    <row r="93" spans="1:2">
      <c r="B93" s="3" t="str">
        <f ca="1">IFERROR(__xludf.DUMMYFUNCTION("IF(ISBLANK(A93),"""",GOOGLETRANSLATE(A93,""en"",""fr""))"),"")</f>
        <v/>
      </c>
    </row>
    <row r="94" spans="1:2">
      <c r="A94" s="3" t="s">
        <v>99</v>
      </c>
      <c r="B94" s="3" t="str">
        <f ca="1">IFERROR(__xludf.DUMMYFUNCTION("IF(ISBLANK(A94),"""",GOOGLETRANSLATE(A94,""en"",""fr""))"),"NETSOL participe au 25e Sommet annuel du financement automobile : Piloter l'avenir du financement automobile")</f>
        <v>NETSOL participe au 25e Sommet annuel du financement automobile : Piloter l'avenir du financement automobile</v>
      </c>
    </row>
    <row r="95" spans="1:2">
      <c r="B95" s="3" t="str">
        <f ca="1">IFERROR(__xludf.DUMMYFUNCTION("IF(ISBLANK(A95),"""",GOOGLETRANSLATE(A95,""en"",""fr""))"),"")</f>
        <v/>
      </c>
    </row>
    <row r="96" spans="1:2">
      <c r="B96" s="3" t="str">
        <f ca="1">IFERROR(__xludf.DUMMYFUNCTION("IF(ISBLANK(A96),"""",GOOGLETRANSLATE(A96,""en"",""fr""))"),"")</f>
        <v/>
      </c>
    </row>
    <row r="97" spans="1:2">
      <c r="A97" s="3" t="s">
        <v>100</v>
      </c>
      <c r="B97" s="3" t="str">
        <f ca="1">IFERROR(__xludf.DUMMYFUNCTION("IF(ISBLANK(A97),"""",GOOGLETRANSLATE(A97,""en"",""fr""))"),"NETSOL est présent à Digital Dealer 2025 : façonner l’avenir de la vente automobile")</f>
        <v>NETSOL est présent à Digital Dealer 2025 : façonner l’avenir de la vente automobile</v>
      </c>
    </row>
    <row r="98" spans="1:2">
      <c r="B98" s="3" t="str">
        <f ca="1">IFERROR(__xludf.DUMMYFUNCTION("IF(ISBLANK(A98),"""",GOOGLETRANSLATE(A98,""en"",""fr""))"),"")</f>
        <v/>
      </c>
    </row>
    <row r="99" spans="1:2">
      <c r="B99" s="3" t="str">
        <f ca="1">IFERROR(__xludf.DUMMYFUNCTION("IF(ISBLANK(A99),"""",GOOGLETRANSLATE(A99,""en"",""fr""))"),"")</f>
        <v/>
      </c>
    </row>
    <row r="100" spans="1:2">
      <c r="A100" s="6" t="s">
        <v>101</v>
      </c>
      <c r="B100" s="3" t="str">
        <f ca="1">IFERROR(__xludf.DUMMYFUNCTION("IF(ISBLANK(A100),"""",GOOGLETRANSLATE(A100,""en"",""fr""))"),"L'IA dans le secteur des services financiers et de l'investissement : révolutionner la gestion des risques")</f>
        <v>L'IA dans le secteur des services financiers et de l'investissement : révolutionner la gestion des risques</v>
      </c>
    </row>
    <row r="101" spans="1:2">
      <c r="B101" s="3" t="str">
        <f ca="1">IFERROR(__xludf.DUMMYFUNCTION("IF(ISBLANK(A101),"""",GOOGLETRANSLATE(A101,""en"",""fr""))"),"")</f>
        <v/>
      </c>
    </row>
    <row r="102" spans="1:2">
      <c r="B102" s="3" t="str">
        <f ca="1">IFERROR(__xludf.DUMMYFUNCTION("IF(ISBLANK(A102),"""",GOOGLETRANSLATE(A102,""en"",""fr""))"),"")</f>
        <v/>
      </c>
    </row>
    <row r="103" spans="1:2">
      <c r="A103" s="3" t="s">
        <v>102</v>
      </c>
      <c r="B103" s="3" t="str">
        <f ca="1">IFERROR(__xludf.DUMMYFUNCTION("IF(ISBLANK(A103),"""",GOOGLETRANSLATE(A103,""en"",""fr""))"),"L'importance de la personnalisation du service client : adapter la gestion des paiements et des litiges aux besoins des clients")</f>
        <v>L'importance de la personnalisation du service client : adapter la gestion des paiements et des litiges aux besoins des clients</v>
      </c>
    </row>
    <row r="104" spans="1:2">
      <c r="B104" s="3" t="str">
        <f ca="1">IFERROR(__xludf.DUMMYFUNCTION("IF(ISBLANK(A104),"""",GOOGLETRANSLATE(A104,""en"",""fr""))"),"")</f>
        <v/>
      </c>
    </row>
    <row r="105" spans="1:2">
      <c r="B105" s="3" t="str">
        <f ca="1">IFERROR(__xludf.DUMMYFUNCTION("IF(ISBLANK(A105),"""",GOOGLETRANSLATE(A105,""en"",""fr""))"),"")</f>
        <v/>
      </c>
    </row>
    <row r="106" spans="1:2">
      <c r="A106" s="3" t="s">
        <v>103</v>
      </c>
      <c r="B106" s="3" t="str">
        <f ca="1">IFERROR(__xludf.DUMMYFUNCTION("IF(ISBLANK(A106),"""",GOOGLETRANSLATE(A106,""en"",""fr""))"),"Le véritable coût des systèmes déconnectés dans le commerce de détail automobile")</f>
        <v>Le véritable coût des systèmes déconnectés dans le commerce de détail automobile</v>
      </c>
    </row>
    <row r="107" spans="1:2">
      <c r="B107" s="3" t="str">
        <f ca="1">IFERROR(__xludf.DUMMYFUNCTION("IF(ISBLANK(A107),"""",GOOGLETRANSLATE(A107,""en"",""fr""))"),"")</f>
        <v/>
      </c>
    </row>
    <row r="108" spans="1:2">
      <c r="B108" s="3" t="str">
        <f ca="1">IFERROR(__xludf.DUMMYFUNCTION("IF(ISBLANK(A108),"""",GOOGLETRANSLATE(A108,""en"",""fr""))"),"")</f>
        <v/>
      </c>
    </row>
    <row r="109" spans="1:2">
      <c r="A109" s="3" t="s">
        <v>104</v>
      </c>
      <c r="B109" s="3" t="str">
        <f ca="1">IFERROR(__xludf.DUMMYFUNCTION("IF(ISBLANK(A109),"""",GOOGLETRANSLATE(A109,""en"",""fr""))"),"Captive du futur : Comment la technologie redéfinit les opérations financières des captives - Points clés du webinaire de l'AFSA")</f>
        <v>Captive du futur : Comment la technologie redéfinit les opérations financières des captives - Points clés du webinaire de l'AFSA</v>
      </c>
    </row>
    <row r="110" spans="1:2">
      <c r="B110" s="3" t="str">
        <f ca="1">IFERROR(__xludf.DUMMYFUNCTION("IF(ISBLANK(A110),"""",GOOGLETRANSLATE(A110,""en"",""fr""))"),"")</f>
        <v/>
      </c>
    </row>
    <row r="111" spans="1:2">
      <c r="B111" s="3" t="str">
        <f ca="1">IFERROR(__xludf.DUMMYFUNCTION("IF(ISBLANK(A111),"""",GOOGLETRANSLATE(A111,""en"",""fr""))"),"")</f>
        <v/>
      </c>
    </row>
    <row r="112" spans="1:2">
      <c r="A112" s="3" t="s">
        <v>105</v>
      </c>
      <c r="B112" s="3" t="str">
        <f ca="1">IFERROR(__xludf.DUMMYFUNCTION("IF(ISBLANK(A112),"""",GOOGLETRANSLATE(A112,""en"",""fr""))"),"Lutte contre la fraude dans le secteur financier de gros : exploiter la technologie pour une détection précoce et une atténuation des risques")</f>
        <v>Lutte contre la fraude dans le secteur financier de gros : exploiter la technologie pour une détection précoce et une atténuation des risques</v>
      </c>
    </row>
    <row r="113" spans="1:2">
      <c r="B113" s="3" t="str">
        <f ca="1">IFERROR(__xludf.DUMMYFUNCTION("IF(ISBLANK(A113),"""",GOOGLETRANSLATE(A113,""en"",""fr""))"),"")</f>
        <v/>
      </c>
    </row>
    <row r="114" spans="1:2">
      <c r="A114" s="3" t="s">
        <v>108</v>
      </c>
      <c r="B114" s="3" t="str">
        <f ca="1">IFERROR(__xludf.DUMMYFUNCTION("IF(ISBLANK(A114),"""",GOOGLETRANSLATE(A114,""en"",""fr""))"),"Abonnez-vous à notre newsletter pour recevoir les dernières nouvelles dans votre boîte mail.")</f>
        <v>Abonnez-vous à notre newsletter pour recevoir les dernières nouvelles dans votre boîte mail.</v>
      </c>
    </row>
    <row r="115" spans="1:2">
      <c r="A115" s="3" t="s">
        <v>109</v>
      </c>
      <c r="B115" s="3" t="str">
        <f ca="1">IFERROR(__xludf.DUMMYFUNCTION("IF(ISBLANK(A115),"""",GOOGLETRANSLATE(A115,""en"",""fr""))"),"abc@exemple.com")</f>
        <v>abc@exemple.com</v>
      </c>
    </row>
    <row r="116" spans="1:2">
      <c r="A116" s="3" t="s">
        <v>110</v>
      </c>
      <c r="B116" s="3" t="str">
        <f ca="1">IFERROR(__xludf.DUMMYFUNCTION("IF(ISBLANK(A116),"""",GOOGLETRANSLATE(A116,""en"",""fr""))"),"S'abonner ")</f>
        <v xml:space="preserve">S'abonner </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1000"/>
  <sheetViews>
    <sheetView workbookViewId="0"/>
  </sheetViews>
  <sheetFormatPr defaultColWidth="12.6640625" defaultRowHeight="15.75" customHeight="1"/>
  <cols>
    <col min="1" max="1" width="126.44140625" customWidth="1"/>
  </cols>
  <sheetData>
    <row r="1" spans="1:2">
      <c r="A1" s="1" t="s">
        <v>0</v>
      </c>
      <c r="B1" s="1"/>
    </row>
    <row r="2" spans="1:2">
      <c r="A2" s="3" t="s">
        <v>442</v>
      </c>
      <c r="B2" s="3" t="str">
        <f ca="1">IFERROR(__xludf.DUMMYFUNCTION("IF(ISBLANK(A2),"""",GOOGLETRANSLATE(A2,""en"",""fr""))"),"Place de marché Transcend")</f>
        <v>Place de marché Transcend</v>
      </c>
    </row>
    <row r="3" spans="1:2">
      <c r="A3" s="3" t="s">
        <v>443</v>
      </c>
      <c r="B3" s="3" t="str">
        <f ca="1">IFERROR(__xludf.DUMMYFUNCTION("IF(ISBLANK(A3),"""",GOOGLETRANSLATE(A3,""en"",""fr""))"),"Connectez, configurez et innovez")</f>
        <v>Connectez, configurez et innovez</v>
      </c>
    </row>
    <row r="4" spans="1:2">
      <c r="A4" s="11" t="s">
        <v>444</v>
      </c>
      <c r="B4" s="3" t="str">
        <f ca="1">IFERROR(__xludf.DUMMYFUNCTION("IF(ISBLANK(A4),"""",GOOGLETRANSLATE(A4,""en"",""fr""))"),"De la création au service après-vente, découvrez les produits de financement et de leasing les plus intuitifs du secteur du financement d'actifs.")</f>
        <v>De la création au service après-vente, découvrez les produits de financement et de leasing les plus intuitifs du secteur du financement d'actifs.</v>
      </c>
    </row>
    <row r="5" spans="1:2">
      <c r="A5" s="3" t="s">
        <v>70</v>
      </c>
      <c r="B5" s="3" t="str">
        <f ca="1">IFERROR(__xludf.DUMMYFUNCTION("IF(ISBLANK(A5),"""",GOOGLETRANSLATE(A5,""en"",""fr""))"),"Connectez-vous avec nous")</f>
        <v>Connectez-vous avec nous</v>
      </c>
    </row>
    <row r="6" spans="1:2">
      <c r="A6" s="3" t="s">
        <v>14</v>
      </c>
      <c r="B6" s="3" t="str">
        <f ca="1">IFERROR(__xludf.DUMMYFUNCTION("IF(ISBLANK(A6),"""",GOOGLETRANSLATE(A6,""en"",""fr""))"),"Les plus grandes marques mondiales sont propulsées par NETSOL")</f>
        <v>Les plus grandes marques mondiales sont propulsées par NETSOL</v>
      </c>
    </row>
    <row r="7" spans="1:2">
      <c r="A7" s="3" t="s">
        <v>445</v>
      </c>
      <c r="B7" s="3" t="str">
        <f ca="1">IFERROR(__xludf.DUMMYFUNCTION("IF(ISBLANK(A7),"""",GOOGLETRANSLATE(A7,""en"",""fr""))"),"Fléchir")</f>
        <v>Fléchir</v>
      </c>
    </row>
    <row r="8" spans="1:2">
      <c r="A8" s="3" t="s">
        <v>446</v>
      </c>
      <c r="B8" s="3" t="str">
        <f ca="1">IFERROR(__xludf.DUMMYFUNCTION("IF(ISBLANK(A8),"""",GOOGLETRANSLATE(A8,""en"",""fr""))"),"Calculs de contrats de crédit rapides et précis")</f>
        <v>Calculs de contrats de crédit rapides et précis</v>
      </c>
    </row>
    <row r="9" spans="1:2">
      <c r="A9" s="3" t="s">
        <v>23</v>
      </c>
      <c r="B9" s="3" t="str">
        <f ca="1">IFERROR(__xludf.DUMMYFUNCTION("IF(ISBLANK(A9),"""",GOOGLETRANSLATE(A9,""en"",""fr""))"),"Apprendre encore plus")</f>
        <v>Apprendre encore plus</v>
      </c>
    </row>
    <row r="10" spans="1:2">
      <c r="A10" s="3" t="s">
        <v>447</v>
      </c>
      <c r="B10" s="3" t="str">
        <f ca="1">IFERROR(__xludf.DUMMYFUNCTION("IF(ISBLANK(A10),"""",GOOGLETRANSLATE(A10,""en"",""fr""))"),"Quai")</f>
        <v>Quai</v>
      </c>
    </row>
    <row r="11" spans="1:2">
      <c r="A11" s="3" t="s">
        <v>448</v>
      </c>
      <c r="B11" s="3" t="str">
        <f ca="1">IFERROR(__xludf.DUMMYFUNCTION("IF(ISBLANK(A11),"""",GOOGLETRANSLATE(A11,""en"",""fr""))"),"Plateforme centrale pour une génération de documents simple et rapide")</f>
        <v>Plateforme centrale pour une génération de documents simple et rapide</v>
      </c>
    </row>
    <row r="12" spans="1:2">
      <c r="B12" s="3" t="str">
        <f ca="1">IFERROR(__xludf.DUMMYFUNCTION("IF(ISBLANK(A12),"""",GOOGLETRANSLATE(A12,""en"",""fr""))"),"")</f>
        <v/>
      </c>
    </row>
    <row r="13" spans="1:2">
      <c r="A13" s="3" t="s">
        <v>449</v>
      </c>
      <c r="B13" s="3" t="str">
        <f ca="1">IFERROR(__xludf.DUMMYFUNCTION("IF(ISBLANK(A13),"""",GOOGLETRANSLATE(A13,""en"",""fr""))"),"Indice")</f>
        <v>Indice</v>
      </c>
    </row>
    <row r="14" spans="1:2">
      <c r="A14" s="3" t="s">
        <v>450</v>
      </c>
      <c r="B14" s="3" t="str">
        <f ca="1">IFERROR(__xludf.DUMMYFUNCTION("IF(ISBLANK(A14),"""",GOOGLETRANSLATE(A14,""en"",""fr""))"),"Gestion des données de base simplifiée")</f>
        <v>Gestion des données de base simplifiée</v>
      </c>
    </row>
    <row r="15" spans="1:2">
      <c r="B15" s="3" t="str">
        <f ca="1">IFERROR(__xludf.DUMMYFUNCTION("IF(ISBLANK(A15),"""",GOOGLETRANSLATE(A15,""en"",""fr""))"),"")</f>
        <v/>
      </c>
    </row>
    <row r="16" spans="1:2">
      <c r="A16" s="3" t="s">
        <v>451</v>
      </c>
      <c r="B16" s="3" t="str">
        <f ca="1">IFERROR(__xludf.DUMMYFUNCTION("IF(ISBLANK(A16),"""",GOOGLETRANSLATE(A16,""en"",""fr""))"),"Hubex")</f>
        <v>Hubex</v>
      </c>
    </row>
    <row r="17" spans="1:2">
      <c r="A17" s="3" t="s">
        <v>452</v>
      </c>
      <c r="B17" s="3" t="str">
        <f ca="1">IFERROR(__xludf.DUMMYFUNCTION("IF(ISBLANK(A17),"""",GOOGLETRANSLATE(A17,""en"",""fr""))"),"Rendre plusieurs intégrations aussi simples qu'une seule")</f>
        <v>Rendre plusieurs intégrations aussi simples qu'une seule</v>
      </c>
    </row>
    <row r="18" spans="1:2">
      <c r="B18" s="3" t="str">
        <f ca="1">IFERROR(__xludf.DUMMYFUNCTION("IF(ISBLANK(A18),"""",GOOGLETRANSLATE(A18,""en"",""fr""))"),"")</f>
        <v/>
      </c>
    </row>
    <row r="19" spans="1:2">
      <c r="A19" s="3" t="s">
        <v>453</v>
      </c>
      <c r="B19" s="3" t="str">
        <f ca="1">IFERROR(__xludf.DUMMYFUNCTION("IF(ISBLANK(A19),"""",GOOGLETRANSLATE(A19,""en"",""fr""))"),"voie")</f>
        <v>voie</v>
      </c>
    </row>
    <row r="20" spans="1:2">
      <c r="A20" s="3" t="s">
        <v>454</v>
      </c>
      <c r="B20" s="3" t="str">
        <f ca="1">IFERROR(__xludf.DUMMYFUNCTION("IF(ISBLANK(A20),"""",GOOGLETRANSLATE(A20,""en"",""fr""))"),"Plateforme d'octroi de prêts tout-en-un")</f>
        <v>Plateforme d'octroi de prêts tout-en-un</v>
      </c>
    </row>
    <row r="21" spans="1:2">
      <c r="B21" s="3" t="str">
        <f ca="1">IFERROR(__xludf.DUMMYFUNCTION("IF(ISBLANK(A21),"""",GOOGLETRANSLATE(A21,""en"",""fr""))"),"")</f>
        <v/>
      </c>
    </row>
    <row r="22" spans="1:2">
      <c r="A22" s="3" t="s">
        <v>455</v>
      </c>
      <c r="B22" s="3" t="str">
        <f ca="1">IFERROR(__xludf.DUMMYFUNCTION("IF(ISBLANK(A22),"""",GOOGLETRANSLATE(A22,""en"",""fr""))"),"Dérive")</f>
        <v>Dérive</v>
      </c>
    </row>
    <row r="23" spans="1:2">
      <c r="A23" s="3" t="s">
        <v>456</v>
      </c>
      <c r="B23" s="3" t="str">
        <f ca="1">IFERROR(__xludf.DUMMYFUNCTION("IF(ISBLANK(A23),"""",GOOGLETRANSLATE(A23,""en"",""fr""))"),"Parcours client omni-retail pour améliorer votre stratégie de vente directe au consommateur (D2C)")</f>
        <v>Parcours client omni-retail pour améliorer votre stratégie de vente directe au consommateur (D2C)</v>
      </c>
    </row>
    <row r="24" spans="1:2">
      <c r="B24" s="3" t="str">
        <f ca="1">IFERROR(__xludf.DUMMYFUNCTION("IF(ISBLANK(A24),"""",GOOGLETRANSLATE(A24,""en"",""fr""))"),"")</f>
        <v/>
      </c>
    </row>
    <row r="25" spans="1:2">
      <c r="A25" s="3" t="s">
        <v>457</v>
      </c>
      <c r="B25" s="3" t="str">
        <f ca="1">IFERROR(__xludf.DUMMYFUNCTION("IF(ISBLANK(A25),"""",GOOGLETRANSLATE(A25,""en"",""fr""))"),"Lien")</f>
        <v>Lien</v>
      </c>
    </row>
    <row r="26" spans="1:2">
      <c r="A26" s="3" t="s">
        <v>458</v>
      </c>
      <c r="B26" s="3" t="str">
        <f ca="1">IFERROR(__xludf.DUMMYFUNCTION("IF(ISBLANK(A26),"""",GOOGLETRANSLATE(A26,""en"",""fr""))"),"Offrir aux courtiers, aux prêteurs et aux concessionnaires des portails rationalisés.")</f>
        <v>Offrir aux courtiers, aux prêteurs et aux concessionnaires des portails rationalisés.</v>
      </c>
    </row>
    <row r="27" spans="1:2">
      <c r="B27" s="3" t="str">
        <f ca="1">IFERROR(__xludf.DUMMYFUNCTION("IF(ISBLANK(A27),"""",GOOGLETRANSLATE(A27,""en"",""fr""))"),"")</f>
        <v/>
      </c>
    </row>
    <row r="28" spans="1:2">
      <c r="A28" s="3" t="s">
        <v>459</v>
      </c>
      <c r="B28" s="3" t="str">
        <f ca="1">IFERROR(__xludf.DUMMYFUNCTION("IF(ISBLANK(A28),"""",GOOGLETRANSLATE(A28,""en"",""fr""))"),"Cura")</f>
        <v>Cura</v>
      </c>
    </row>
    <row r="29" spans="1:2">
      <c r="A29" s="3" t="s">
        <v>460</v>
      </c>
      <c r="B29" s="3" t="str">
        <f ca="1">IFERROR(__xludf.DUMMYFUNCTION("IF(ISBLANK(A29),"""",GOOGLETRANSLATE(A29,""en"",""fr""))"),"Plateforme unique pour accompagner les clients tout au long du cycle de vie du contrat")</f>
        <v>Plateforme unique pour accompagner les clients tout au long du cycle de vie du contrat</v>
      </c>
    </row>
    <row r="30" spans="1:2">
      <c r="B30" s="3" t="str">
        <f ca="1">IFERROR(__xludf.DUMMYFUNCTION("IF(ISBLANK(A30),"""",GOOGLETRANSLATE(A30,""en"",""fr""))"),"")</f>
        <v/>
      </c>
    </row>
    <row r="31" spans="1:2">
      <c r="A31" s="3" t="s">
        <v>461</v>
      </c>
      <c r="B31" s="3" t="str">
        <f ca="1">IFERROR(__xludf.DUMMYFUNCTION("IF(ISBLANK(A31),"""",GOOGLETRANSLATE(A31,""en"",""fr""))"),"Taux T")</f>
        <v>Taux T</v>
      </c>
    </row>
    <row r="32" spans="1:2">
      <c r="A32" s="3" t="s">
        <v>462</v>
      </c>
      <c r="B32" s="3" t="str">
        <f ca="1">IFERROR(__xludf.DUMMYFUNCTION("IF(ISBLANK(A32),"""",GOOGLETRANSLATE(A32,""en"",""fr""))"),"Calcul universel des impôts en temps réel")</f>
        <v>Calcul universel des impôts en temps réel</v>
      </c>
    </row>
    <row r="33" spans="1:2">
      <c r="B33" s="3" t="str">
        <f ca="1">IFERROR(__xludf.DUMMYFUNCTION("IF(ISBLANK(A33),"""",GOOGLETRANSLATE(A33,""en"",""fr""))"),"")</f>
        <v/>
      </c>
    </row>
    <row r="34" spans="1:2">
      <c r="A34" s="3" t="s">
        <v>463</v>
      </c>
      <c r="B34" s="3" t="str">
        <f ca="1">IFERROR(__xludf.DUMMYFUNCTION("IF(ISBLANK(A34),"""",GOOGLETRANSLATE(A34,""en"",""fr""))"),"Transentrée")</f>
        <v>Transentrée</v>
      </c>
    </row>
    <row r="35" spans="1:2">
      <c r="A35" s="3" t="s">
        <v>464</v>
      </c>
      <c r="B35" s="3" t="str">
        <f ca="1">IFERROR(__xludf.DUMMYFUNCTION("IF(ISBLANK(A35),"""",GOOGLETRANSLATE(A35,""en"",""fr""))"),"L'automatisation comptable sans effort à portée de main")</f>
        <v>L'automatisation comptable sans effort à portée de main</v>
      </c>
    </row>
    <row r="36" spans="1:2">
      <c r="B36" s="3" t="str">
        <f ca="1">IFERROR(__xludf.DUMMYFUNCTION("IF(ISBLANK(A36),"""",GOOGLETRANSLATE(A36,""en"",""fr""))"),"")</f>
        <v/>
      </c>
    </row>
    <row r="37" spans="1:2">
      <c r="A37" s="3" t="s">
        <v>465</v>
      </c>
      <c r="B37" s="3" t="str">
        <f ca="1">IFERROR(__xludf.DUMMYFUNCTION("IF(ISBLANK(A37),"""",GOOGLETRANSLATE(A37,""en"",""fr""))"),"TermOut")</f>
        <v>TermOut</v>
      </c>
    </row>
    <row r="38" spans="1:2">
      <c r="A38" s="3" t="s">
        <v>466</v>
      </c>
      <c r="B38" s="3" t="str">
        <f ca="1">IFERROR(__xludf.DUMMYFUNCTION("IF(ISBLANK(A38),"""",GOOGLETRANSLATE(A38,""en"",""fr""))"),"Façonnez l'avenir des contrats, aujourd'hui")</f>
        <v>Façonnez l'avenir des contrats, aujourd'hui</v>
      </c>
    </row>
    <row r="39" spans="1:2">
      <c r="B39" s="3" t="str">
        <f ca="1">IFERROR(__xludf.DUMMYFUNCTION("IF(ISBLANK(A39),"""",GOOGLETRANSLATE(A39,""en"",""fr""))"),"")</f>
        <v/>
      </c>
    </row>
    <row r="40" spans="1:2">
      <c r="A40" s="3" t="s">
        <v>467</v>
      </c>
      <c r="B40" s="3" t="str">
        <f ca="1">IFERROR(__xludf.DUMMYFUNCTION("IF(ISBLANK(A40),"""",GOOGLETRANSLATE(A40,""en"",""fr""))"),"Sortie anticipée")</f>
        <v>Sortie anticipée</v>
      </c>
    </row>
    <row r="41" spans="1:2">
      <c r="A41" s="3" t="s">
        <v>468</v>
      </c>
      <c r="B41" s="3" t="str">
        <f ca="1">IFERROR(__xludf.DUMMYFUNCTION("IF(ISBLANK(A41),"""",GOOGLETRANSLATE(A41,""en"",""fr""))"),"Règlement anticipé simplifié et traitement précis des remboursements")</f>
        <v>Règlement anticipé simplifié et traitement précis des remboursements</v>
      </c>
    </row>
    <row r="42" spans="1:2">
      <c r="B42" s="3" t="str">
        <f ca="1">IFERROR(__xludf.DUMMYFUNCTION("IF(ISBLANK(A42),"""",GOOGLETRANSLATE(A42,""en"",""fr""))"),"")</f>
        <v/>
      </c>
    </row>
    <row r="43" spans="1:2">
      <c r="A43" s="3" t="s">
        <v>469</v>
      </c>
      <c r="B43" s="3" t="str">
        <f ca="1">IFERROR(__xludf.DUMMYFUNCTION("IF(ISBLANK(A43),"""",GOOGLETRANSLATE(A43,""en"",""fr""))"),"Modifier")</f>
        <v>Modifier</v>
      </c>
    </row>
    <row r="44" spans="1:2">
      <c r="A44" s="3" t="s">
        <v>470</v>
      </c>
      <c r="B44" s="3" t="str">
        <f ca="1">IFERROR(__xludf.DUMMYFUNCTION("IF(ISBLANK(A44),"""",GOOGLETRANSLATE(A44,""en"",""fr""))"),"Modification de contrat simple et transparente")</f>
        <v>Modification de contrat simple et transparente</v>
      </c>
    </row>
    <row r="45" spans="1:2">
      <c r="B45" s="3" t="str">
        <f ca="1">IFERROR(__xludf.DUMMYFUNCTION("IF(ISBLANK(A45),"""",GOOGLETRANSLATE(A45,""en"",""fr""))"),"")</f>
        <v/>
      </c>
    </row>
    <row r="46" spans="1:2">
      <c r="A46" s="3" t="s">
        <v>471</v>
      </c>
      <c r="B46" s="3" t="str">
        <f ca="1">IFERROR(__xludf.DUMMYFUNCTION("IF(ISBLANK(A46),"""",GOOGLETRANSLATE(A46,""en"",""fr""))"),"Vérifier")</f>
        <v>Vérifier</v>
      </c>
    </row>
    <row r="47" spans="1:2">
      <c r="A47" s="3" t="s">
        <v>472</v>
      </c>
      <c r="B47" s="3" t="str">
        <f ca="1">IFERROR(__xludf.DUMMYFUNCTION("IF(ISBLANK(A47),"""",GOOGLETRANSLATE(A47,""en"",""fr""))"),"Décisions de crédit automatisées pour des prêts plus rapides et plus intelligents")</f>
        <v>Décisions de crédit automatisées pour des prêts plus rapides et plus intelligents</v>
      </c>
    </row>
    <row r="48" spans="1:2">
      <c r="B48" s="3" t="str">
        <f ca="1">IFERROR(__xludf.DUMMYFUNCTION("IF(ISBLANK(A48),"""",GOOGLETRANSLATE(A48,""en"",""fr""))"),"")</f>
        <v/>
      </c>
    </row>
    <row r="49" spans="1:2">
      <c r="A49" s="3" t="s">
        <v>473</v>
      </c>
      <c r="B49" s="3" t="str">
        <f ca="1">IFERROR(__xludf.DUMMYFUNCTION("IF(ISBLANK(A49),"""",GOOGLETRANSLATE(A49,""en"",""fr""))"),"Recevez maintenant")</f>
        <v>Recevez maintenant</v>
      </c>
    </row>
    <row r="50" spans="1:2">
      <c r="A50" s="3" t="s">
        <v>474</v>
      </c>
      <c r="B50" s="3" t="str">
        <f ca="1">IFERROR(__xludf.DUMMYFUNCTION("IF(ISBLANK(A50),"""",GOOGLETRANSLATE(A50,""en"",""fr""))"),"Gestion efficace des factures et des créances")</f>
        <v>Gestion efficace des factures et des créances</v>
      </c>
    </row>
    <row r="51" spans="1:2">
      <c r="B51" s="3" t="str">
        <f ca="1">IFERROR(__xludf.DUMMYFUNCTION("IF(ISBLANK(A51),"""",GOOGLETRANSLATE(A51,""en"",""fr""))"),"")</f>
        <v/>
      </c>
    </row>
    <row r="52" spans="1:2">
      <c r="A52" s="3" t="s">
        <v>84</v>
      </c>
      <c r="B52" s="3" t="str">
        <f ca="1">IFERROR(__xludf.DUMMYFUNCTION("IF(ISBLANK(A52),"""",GOOGLETRANSLATE(A52,""en"",""fr""))"),"NINI s'associe à NETSOL pour propulser sa nouvelle ère d'expérience dans la vente au détail automobile")</f>
        <v>NINI s'associe à NETSOL pour propulser sa nouvelle ère d'expérience dans la vente au détail automobile</v>
      </c>
    </row>
    <row r="53" spans="1:2">
      <c r="A53" s="3" t="s">
        <v>85</v>
      </c>
      <c r="B53" s="3" t="str">
        <f ca="1">IFERROR(__xludf.DUMMYFUNCTION("IF(ISBLANK(A53),"""",GOOGLETRANSLATE(A53,""en"",""fr""))"),"Chez MINI, nous avons décidé qu'il était temps de créer un parcours d'achat et de financement complet pour le consommateur. Il était important de créer quelque chose de plus qu'un simple générateur de leads pour faciliter la transaction complète de chaque"&amp;" client MINI, où qu'il soit et à tout moment. Notre partenariat avec NETSOL nous a permis non seulement de rattraper les leaders du secteur, mais aussi d'établir de nouvelles références dans la vente automobile numérique, ce que les acteurs habituels du s"&amp;"ecteur ne pouvaient pas offrir.")</f>
        <v>Chez MINI, nous avons décidé qu'il était temps de créer un parcours d'achat et de financement complet pour le consommateur. Il était important de créer quelque chose de plus qu'un simple générateur de leads pour faciliter la transaction complète de chaque client MINI, où qu'il soit et à tout moment. Notre partenariat avec NETSOL nous a permis non seulement de rattraper les leaders du secteur, mais aussi d'établir de nouvelles références dans la vente automobile numérique, ce que les acteurs habituels du secteur ne pouvaient pas offrir.</v>
      </c>
    </row>
    <row r="54" spans="1:2">
      <c r="A54" s="3" t="s">
        <v>86</v>
      </c>
      <c r="B54" s="3" t="str">
        <f ca="1">IFERROR(__xludf.DUMMYFUNCTION("IF(ISBLANK(A54),"""",GOOGLETRANSLATE(A54,""en"",""fr""))"),"Mike Peyton")</f>
        <v>Mike Peyton</v>
      </c>
    </row>
    <row r="55" spans="1:2">
      <c r="A55" s="3" t="s">
        <v>87</v>
      </c>
      <c r="B55" s="3" t="str">
        <f ca="1">IFERROR(__xludf.DUMMYFUNCTION("IF(ISBLANK(A55),"""",GOOGLETRANSLATE(A55,""en"",""fr""))"),"Président-directeur général et porte-parole de NINI des Amériques")</f>
        <v>Président-directeur général et porte-parole de NINI des Amériques</v>
      </c>
    </row>
    <row r="56" spans="1:2">
      <c r="A56" s="3" t="s">
        <v>91</v>
      </c>
      <c r="B56" s="3" t="str">
        <f ca="1">IFERROR(__xludf.DUMMYFUNCTION("IF(ISBLANK(A56),"""",GOOGLETRANSLATE(A56,""en"",""fr""))"),"Haydock Financial rencontre le succès avec la place de marché de NETSOL")</f>
        <v>Haydock Financial rencontre le succès avec la place de marché de NETSOL</v>
      </c>
    </row>
    <row r="57" spans="1:2">
      <c r="A57" s="3" t="s">
        <v>92</v>
      </c>
      <c r="B57" s="3" t="str">
        <f ca="1">IFERROR(__xludf.DUMMYFUNCTION("IF(ISBLANK(A57),"""",GOOGLETRANSLATE(A57,""en"",""fr""))"),"Je recommande vivement Appex Now et NETSOL. Les produits sont excellents et fonctionnent à merveille. De plus, NETSOL a su répondre à nos besoins et a rapidement apporté les modifications nécessaires.")</f>
        <v>Je recommande vivement Appex Now et NETSOL. Les produits sont excellents et fonctionnent à merveille. De plus, NETSOL a su répondre à nos besoins et a rapidement apporté les modifications nécessaires.</v>
      </c>
    </row>
    <row r="58" spans="1:2">
      <c r="A58" s="3" t="s">
        <v>93</v>
      </c>
      <c r="B58" s="3" t="str">
        <f ca="1">IFERROR(__xludf.DUMMYFUNCTION("IF(ISBLANK(A58),"""",GOOGLETRANSLATE(A58,""en"",""fr""))"),"Mike Boyes")</f>
        <v>Mike Boyes</v>
      </c>
    </row>
    <row r="59" spans="1:2">
      <c r="A59" s="3" t="s">
        <v>108</v>
      </c>
      <c r="B59" s="3" t="str">
        <f ca="1">IFERROR(__xludf.DUMMYFUNCTION("IF(ISBLANK(A59),"""",GOOGLETRANSLATE(A59,""en"",""fr""))"),"Abonnez-vous à notre newsletter pour recevoir les dernières nouvelles dans votre boîte mail.")</f>
        <v>Abonnez-vous à notre newsletter pour recevoir les dernières nouvelles dans votre boîte mail.</v>
      </c>
    </row>
    <row r="60" spans="1:2">
      <c r="A60" s="3" t="s">
        <v>109</v>
      </c>
      <c r="B60" s="3" t="str">
        <f ca="1">IFERROR(__xludf.DUMMYFUNCTION("IF(ISBLANK(A60),"""",GOOGLETRANSLATE(A60,""en"",""fr""))"),"abc@exemple.com")</f>
        <v>abc@exemple.com</v>
      </c>
    </row>
    <row r="61" spans="1:2">
      <c r="A61" s="3" t="s">
        <v>110</v>
      </c>
      <c r="B61" s="3" t="str">
        <f ca="1">IFERROR(__xludf.DUMMYFUNCTION("IF(ISBLANK(A61),"""",GOOGLETRANSLATE(A61,""en"",""fr""))"),"S'abonner ")</f>
        <v xml:space="preserve">S'abonner </v>
      </c>
    </row>
    <row r="62" spans="1:2">
      <c r="B62" s="3" t="str">
        <f ca="1">IFERROR(__xludf.DUMMYFUNCTION("IF(ISBLANK(A62),"""",GOOGLETRANSLATE(A62,""en"",""fr""))"),"")</f>
        <v/>
      </c>
    </row>
    <row r="63" spans="1:2">
      <c r="B63" s="3" t="str">
        <f ca="1">IFERROR(__xludf.DUMMYFUNCTION("IF(ISBLANK(A63),"""",GOOGLETRANSLATE(A63,""en"",""fr""))"),"")</f>
        <v/>
      </c>
    </row>
    <row r="64" spans="1:2">
      <c r="B64" s="3" t="str">
        <f ca="1">IFERROR(__xludf.DUMMYFUNCTION("IF(ISBLANK(A64),"""",GOOGLETRANSLATE(A64,""en"",""fr""))"),"")</f>
        <v/>
      </c>
    </row>
    <row r="65" spans="2:2">
      <c r="B65" s="3" t="str">
        <f ca="1">IFERROR(__xludf.DUMMYFUNCTION("IF(ISBLANK(A65),"""",GOOGLETRANSLATE(A65,""en"",""fr""))"),"")</f>
        <v/>
      </c>
    </row>
    <row r="66" spans="2:2">
      <c r="B66" s="3" t="str">
        <f ca="1">IFERROR(__xludf.DUMMYFUNCTION("IF(ISBLANK(A66),"""",GOOGLETRANSLATE(A66,""en"",""fr""))"),"")</f>
        <v/>
      </c>
    </row>
    <row r="67" spans="2:2">
      <c r="B67" s="3" t="str">
        <f ca="1">IFERROR(__xludf.DUMMYFUNCTION("IF(ISBLANK(A67),"""",GOOGLETRANSLATE(A67,""en"",""fr""))"),"")</f>
        <v/>
      </c>
    </row>
    <row r="68" spans="2:2">
      <c r="B68" s="3" t="str">
        <f ca="1">IFERROR(__xludf.DUMMYFUNCTION("IF(ISBLANK(A68),"""",GOOGLETRANSLATE(A68,""en"",""fr""))"),"")</f>
        <v/>
      </c>
    </row>
    <row r="69" spans="2:2">
      <c r="B69" s="3" t="str">
        <f ca="1">IFERROR(__xludf.DUMMYFUNCTION("IF(ISBLANK(A69),"""",GOOGLETRANSLATE(A69,""en"",""fr""))"),"")</f>
        <v/>
      </c>
    </row>
    <row r="70" spans="2:2">
      <c r="B70" s="3" t="str">
        <f ca="1">IFERROR(__xludf.DUMMYFUNCTION("IF(ISBLANK(A70),"""",GOOGLETRANSLATE(A70,""en"",""fr""))"),"")</f>
        <v/>
      </c>
    </row>
    <row r="71" spans="2:2">
      <c r="B71" s="3" t="str">
        <f ca="1">IFERROR(__xludf.DUMMYFUNCTION("IF(ISBLANK(A71),"""",GOOGLETRANSLATE(A71,""en"",""fr""))"),"")</f>
        <v/>
      </c>
    </row>
    <row r="72" spans="2:2">
      <c r="B72" s="3" t="str">
        <f ca="1">IFERROR(__xludf.DUMMYFUNCTION("IF(ISBLANK(A72),"""",GOOGLETRANSLATE(A72,""en"",""fr""))"),"")</f>
        <v/>
      </c>
    </row>
    <row r="73" spans="2:2">
      <c r="B73" s="3" t="str">
        <f ca="1">IFERROR(__xludf.DUMMYFUNCTION("IF(ISBLANK(A73),"""",GOOGLETRANSLATE(A73,""en"",""fr""))"),"")</f>
        <v/>
      </c>
    </row>
    <row r="74" spans="2:2">
      <c r="B74" s="3" t="str">
        <f ca="1">IFERROR(__xludf.DUMMYFUNCTION("IF(ISBLANK(A74),"""",GOOGLETRANSLATE(A74,""en"",""fr""))"),"")</f>
        <v/>
      </c>
    </row>
    <row r="75" spans="2:2">
      <c r="B75" s="3" t="str">
        <f ca="1">IFERROR(__xludf.DUMMYFUNCTION("IF(ISBLANK(A75),"""",GOOGLETRANSLATE(A75,""en"",""fr""))"),"")</f>
        <v/>
      </c>
    </row>
    <row r="76" spans="2:2">
      <c r="B76" s="3" t="str">
        <f ca="1">IFERROR(__xludf.DUMMYFUNCTION("IF(ISBLANK(A76),"""",GOOGLETRANSLATE(A76,""en"",""fr""))"),"")</f>
        <v/>
      </c>
    </row>
    <row r="77" spans="2:2">
      <c r="B77" s="3" t="str">
        <f ca="1">IFERROR(__xludf.DUMMYFUNCTION("IF(ISBLANK(A77),"""",GOOGLETRANSLATE(A77,""en"",""fr""))"),"")</f>
        <v/>
      </c>
    </row>
    <row r="78" spans="2:2">
      <c r="B78" s="3" t="str">
        <f ca="1">IFERROR(__xludf.DUMMYFUNCTION("IF(ISBLANK(A78),"""",GOOGLETRANSLATE(A78,""en"",""fr""))"),"")</f>
        <v/>
      </c>
    </row>
    <row r="79" spans="2:2">
      <c r="B79" s="3" t="str">
        <f ca="1">IFERROR(__xludf.DUMMYFUNCTION("IF(ISBLANK(A79),"""",GOOGLETRANSLATE(A79,""en"",""fr""))"),"")</f>
        <v/>
      </c>
    </row>
    <row r="80" spans="2:2">
      <c r="B80" s="3" t="str">
        <f ca="1">IFERROR(__xludf.DUMMYFUNCTION("IF(ISBLANK(A80),"""",GOOGLETRANSLATE(A80,""en"",""fr""))"),"")</f>
        <v/>
      </c>
    </row>
    <row r="81" spans="2:2">
      <c r="B81" s="3" t="str">
        <f ca="1">IFERROR(__xludf.DUMMYFUNCTION("IF(ISBLANK(A81),"""",GOOGLETRANSLATE(A81,""en"",""fr""))"),"")</f>
        <v/>
      </c>
    </row>
    <row r="82" spans="2:2">
      <c r="B82" s="3" t="str">
        <f ca="1">IFERROR(__xludf.DUMMYFUNCTION("IF(ISBLANK(A82),"""",GOOGLETRANSLATE(A82,""en"",""fr""))"),"")</f>
        <v/>
      </c>
    </row>
    <row r="83" spans="2:2">
      <c r="B83" s="3" t="str">
        <f ca="1">IFERROR(__xludf.DUMMYFUNCTION("IF(ISBLANK(A83),"""",GOOGLETRANSLATE(A83,""en"",""fr""))"),"")</f>
        <v/>
      </c>
    </row>
    <row r="84" spans="2:2">
      <c r="B84" s="3" t="str">
        <f ca="1">IFERROR(__xludf.DUMMYFUNCTION("IF(ISBLANK(A84),"""",GOOGLETRANSLATE(A84,""en"",""fr""))"),"")</f>
        <v/>
      </c>
    </row>
    <row r="85" spans="2:2">
      <c r="B85" s="3" t="str">
        <f ca="1">IFERROR(__xludf.DUMMYFUNCTION("IF(ISBLANK(A85),"""",GOOGLETRANSLATE(A85,""en"",""fr""))"),"")</f>
        <v/>
      </c>
    </row>
    <row r="86" spans="2:2">
      <c r="B86" s="3" t="str">
        <f ca="1">IFERROR(__xludf.DUMMYFUNCTION("IF(ISBLANK(A86),"""",GOOGLETRANSLATE(A86,""en"",""fr""))"),"")</f>
        <v/>
      </c>
    </row>
    <row r="87" spans="2:2">
      <c r="B87" s="3" t="str">
        <f ca="1">IFERROR(__xludf.DUMMYFUNCTION("IF(ISBLANK(A87),"""",GOOGLETRANSLATE(A87,""en"",""fr""))"),"")</f>
        <v/>
      </c>
    </row>
    <row r="88" spans="2:2">
      <c r="B88" s="3" t="str">
        <f ca="1">IFERROR(__xludf.DUMMYFUNCTION("IF(ISBLANK(A88),"""",GOOGLETRANSLATE(A88,""en"",""fr""))"),"")</f>
        <v/>
      </c>
    </row>
    <row r="89" spans="2:2">
      <c r="B89" s="3" t="str">
        <f ca="1">IFERROR(__xludf.DUMMYFUNCTION("IF(ISBLANK(A89),"""",GOOGLETRANSLATE(A89,""en"",""fr""))"),"")</f>
        <v/>
      </c>
    </row>
    <row r="90" spans="2:2">
      <c r="B90" s="3" t="str">
        <f ca="1">IFERROR(__xludf.DUMMYFUNCTION("IF(ISBLANK(A90),"""",GOOGLETRANSLATE(A90,""en"",""fr""))"),"")</f>
        <v/>
      </c>
    </row>
    <row r="91" spans="2:2">
      <c r="B91" s="3" t="str">
        <f ca="1">IFERROR(__xludf.DUMMYFUNCTION("IF(ISBLANK(A91),"""",GOOGLETRANSLATE(A91,""en"",""fr""))"),"")</f>
        <v/>
      </c>
    </row>
    <row r="92" spans="2:2">
      <c r="B92" s="3" t="str">
        <f ca="1">IFERROR(__xludf.DUMMYFUNCTION("IF(ISBLANK(A92),"""",GOOGLETRANSLATE(A92,""en"",""fr""))"),"")</f>
        <v/>
      </c>
    </row>
    <row r="93" spans="2:2">
      <c r="B93" s="3" t="str">
        <f ca="1">IFERROR(__xludf.DUMMYFUNCTION("IF(ISBLANK(A93),"""",GOOGLETRANSLATE(A93,""en"",""fr""))"),"")</f>
        <v/>
      </c>
    </row>
    <row r="94" spans="2:2">
      <c r="B94" s="3" t="str">
        <f ca="1">IFERROR(__xludf.DUMMYFUNCTION("IF(ISBLANK(A94),"""",GOOGLETRANSLATE(A94,""en"",""fr""))"),"")</f>
        <v/>
      </c>
    </row>
    <row r="95" spans="2:2">
      <c r="B95" s="3" t="str">
        <f ca="1">IFERROR(__xludf.DUMMYFUNCTION("IF(ISBLANK(A95),"""",GOOGLETRANSLATE(A95,""en"",""fr""))"),"")</f>
        <v/>
      </c>
    </row>
    <row r="96" spans="2:2">
      <c r="B96" s="3" t="str">
        <f ca="1">IFERROR(__xludf.DUMMYFUNCTION("IF(ISBLANK(A96),"""",GOOGLETRANSLATE(A96,""en"",""fr""))"),"")</f>
        <v/>
      </c>
    </row>
    <row r="97" spans="2:2">
      <c r="B97" s="3" t="str">
        <f ca="1">IFERROR(__xludf.DUMMYFUNCTION("IF(ISBLANK(A97),"""",GOOGLETRANSLATE(A97,""en"",""fr""))"),"")</f>
        <v/>
      </c>
    </row>
    <row r="98" spans="2:2">
      <c r="B98" s="3" t="str">
        <f ca="1">IFERROR(__xludf.DUMMYFUNCTION("IF(ISBLANK(A98),"""",GOOGLETRANSLATE(A98,""en"",""fr""))"),"")</f>
        <v/>
      </c>
    </row>
    <row r="99" spans="2:2">
      <c r="B99" s="3" t="str">
        <f ca="1">IFERROR(__xludf.DUMMYFUNCTION("IF(ISBLANK(A99),"""",GOOGLETRANSLATE(A99,""en"",""fr""))"),"")</f>
        <v/>
      </c>
    </row>
    <row r="100" spans="2:2">
      <c r="B100" s="3" t="str">
        <f ca="1">IFERROR(__xludf.DUMMYFUNCTION("IF(ISBLANK(A100),"""",GOOGLETRANSLATE(A100,""en"",""fr""))"),"")</f>
        <v/>
      </c>
    </row>
    <row r="101" spans="2:2">
      <c r="B101" s="3" t="str">
        <f ca="1">IFERROR(__xludf.DUMMYFUNCTION("IF(ISBLANK(A101),"""",GOOGLETRANSLATE(A101,""en"",""fr""))"),"")</f>
        <v/>
      </c>
    </row>
    <row r="102" spans="2:2">
      <c r="B102" s="3" t="str">
        <f ca="1">IFERROR(__xludf.DUMMYFUNCTION("IF(ISBLANK(A102),"""",GOOGLETRANSLATE(A102,""en"",""fr""))"),"")</f>
        <v/>
      </c>
    </row>
    <row r="103" spans="2:2">
      <c r="B103" s="3" t="str">
        <f ca="1">IFERROR(__xludf.DUMMYFUNCTION("IF(ISBLANK(A103),"""",GOOGLETRANSLATE(A103,""en"",""fr""))"),"")</f>
        <v/>
      </c>
    </row>
    <row r="104" spans="2:2">
      <c r="B104" s="3" t="str">
        <f ca="1">IFERROR(__xludf.DUMMYFUNCTION("IF(ISBLANK(A104),"""",GOOGLETRANSLATE(A104,""en"",""fr""))"),"")</f>
        <v/>
      </c>
    </row>
    <row r="105" spans="2:2">
      <c r="B105" s="3" t="str">
        <f ca="1">IFERROR(__xludf.DUMMYFUNCTION("IF(ISBLANK(A105),"""",GOOGLETRANSLATE(A105,""en"",""fr""))"),"")</f>
        <v/>
      </c>
    </row>
    <row r="106" spans="2:2">
      <c r="B106" s="3" t="str">
        <f ca="1">IFERROR(__xludf.DUMMYFUNCTION("IF(ISBLANK(A106),"""",GOOGLETRANSLATE(A106,""en"",""fr""))"),"")</f>
        <v/>
      </c>
    </row>
    <row r="107" spans="2:2">
      <c r="B107" s="3" t="str">
        <f ca="1">IFERROR(__xludf.DUMMYFUNCTION("IF(ISBLANK(A107),"""",GOOGLETRANSLATE(A107,""en"",""fr""))"),"")</f>
        <v/>
      </c>
    </row>
    <row r="108" spans="2:2">
      <c r="B108" s="3" t="str">
        <f ca="1">IFERROR(__xludf.DUMMYFUNCTION("IF(ISBLANK(A108),"""",GOOGLETRANSLATE(A108,""en"",""fr""))"),"")</f>
        <v/>
      </c>
    </row>
    <row r="109" spans="2:2">
      <c r="B109" s="3" t="str">
        <f ca="1">IFERROR(__xludf.DUMMYFUNCTION("IF(ISBLANK(A109),"""",GOOGLETRANSLATE(A109,""en"",""fr""))"),"")</f>
        <v/>
      </c>
    </row>
    <row r="110" spans="2:2">
      <c r="B110" s="3" t="str">
        <f ca="1">IFERROR(__xludf.DUMMYFUNCTION("IF(ISBLANK(A110),"""",GOOGLETRANSLATE(A110,""en"",""fr""))"),"")</f>
        <v/>
      </c>
    </row>
    <row r="111" spans="2:2">
      <c r="B111" s="3" t="str">
        <f ca="1">IFERROR(__xludf.DUMMYFUNCTION("IF(ISBLANK(A111),"""",GOOGLETRANSLATE(A111,""en"",""fr""))"),"")</f>
        <v/>
      </c>
    </row>
    <row r="112" spans="2:2">
      <c r="B112" s="3" t="str">
        <f ca="1">IFERROR(__xludf.DUMMYFUNCTION("IF(ISBLANK(A112),"""",GOOGLETRANSLATE(A112,""en"",""fr""))"),"")</f>
        <v/>
      </c>
    </row>
    <row r="113" spans="2:2">
      <c r="B113" s="3" t="str">
        <f ca="1">IFERROR(__xludf.DUMMYFUNCTION("IF(ISBLANK(A113),"""",GOOGLETRANSLATE(A113,""en"",""fr""))"),"")</f>
        <v/>
      </c>
    </row>
    <row r="114" spans="2:2">
      <c r="B114" s="3" t="str">
        <f ca="1">IFERROR(__xludf.DUMMYFUNCTION("IF(ISBLANK(A114),"""",GOOGLETRANSLATE(A114,""en"",""fr""))"),"")</f>
        <v/>
      </c>
    </row>
    <row r="115" spans="2:2">
      <c r="B115" s="3" t="str">
        <f ca="1">IFERROR(__xludf.DUMMYFUNCTION("IF(ISBLANK(A115),"""",GOOGLETRANSLATE(A115,""en"",""fr""))"),"")</f>
        <v/>
      </c>
    </row>
    <row r="116" spans="2:2">
      <c r="B116" s="3" t="str">
        <f ca="1">IFERROR(__xludf.DUMMYFUNCTION("IF(ISBLANK(A116),"""",GOOGLETRANSLATE(A116,""en"",""fr""))"),"")</f>
        <v/>
      </c>
    </row>
    <row r="117" spans="2:2">
      <c r="B117" s="3" t="str">
        <f ca="1">IFERROR(__xludf.DUMMYFUNCTION("IF(ISBLANK(A117),"""",GOOGLETRANSLATE(A117,""en"",""fr""))"),"")</f>
        <v/>
      </c>
    </row>
    <row r="118" spans="2:2">
      <c r="B118" s="3" t="str">
        <f ca="1">IFERROR(__xludf.DUMMYFUNCTION("IF(ISBLANK(A118),"""",GOOGLETRANSLATE(A118,""en"",""fr""))"),"")</f>
        <v/>
      </c>
    </row>
    <row r="119" spans="2:2">
      <c r="B119" s="3" t="str">
        <f ca="1">IFERROR(__xludf.DUMMYFUNCTION("IF(ISBLANK(A119),"""",GOOGLETRANSLATE(A119,""en"",""fr""))"),"")</f>
        <v/>
      </c>
    </row>
    <row r="120" spans="2:2">
      <c r="B120" s="3" t="str">
        <f ca="1">IFERROR(__xludf.DUMMYFUNCTION("IF(ISBLANK(A120),"""",GOOGLETRANSLATE(A120,""en"",""fr""))"),"")</f>
        <v/>
      </c>
    </row>
    <row r="121" spans="2:2">
      <c r="B121" s="3" t="str">
        <f ca="1">IFERROR(__xludf.DUMMYFUNCTION("IF(ISBLANK(A121),"""",GOOGLETRANSLATE(A121,""en"",""fr""))"),"")</f>
        <v/>
      </c>
    </row>
    <row r="122" spans="2:2">
      <c r="B122" s="3" t="str">
        <f ca="1">IFERROR(__xludf.DUMMYFUNCTION("IF(ISBLANK(A122),"""",GOOGLETRANSLATE(A122,""en"",""fr""))"),"")</f>
        <v/>
      </c>
    </row>
    <row r="123" spans="2:2">
      <c r="B123" s="3" t="str">
        <f ca="1">IFERROR(__xludf.DUMMYFUNCTION("IF(ISBLANK(A123),"""",GOOGLETRANSLATE(A123,""en"",""fr""))"),"")</f>
        <v/>
      </c>
    </row>
    <row r="124" spans="2:2">
      <c r="B124" s="3" t="str">
        <f ca="1">IFERROR(__xludf.DUMMYFUNCTION("IF(ISBLANK(A124),"""",GOOGLETRANSLATE(A124,""en"",""fr""))"),"")</f>
        <v/>
      </c>
    </row>
    <row r="125" spans="2:2">
      <c r="B125" s="3" t="str">
        <f ca="1">IFERROR(__xludf.DUMMYFUNCTION("IF(ISBLANK(A125),"""",GOOGLETRANSLATE(A125,""en"",""fr""))"),"")</f>
        <v/>
      </c>
    </row>
    <row r="126" spans="2:2">
      <c r="B126" s="3" t="str">
        <f ca="1">IFERROR(__xludf.DUMMYFUNCTION("IF(ISBLANK(A126),"""",GOOGLETRANSLATE(A126,""en"",""fr""))"),"")</f>
        <v/>
      </c>
    </row>
    <row r="127" spans="2:2">
      <c r="B127" s="3" t="str">
        <f ca="1">IFERROR(__xludf.DUMMYFUNCTION("IF(ISBLANK(A127),"""",GOOGLETRANSLATE(A127,""en"",""fr""))"),"")</f>
        <v/>
      </c>
    </row>
    <row r="128" spans="2:2">
      <c r="B128" s="3" t="str">
        <f ca="1">IFERROR(__xludf.DUMMYFUNCTION("IF(ISBLANK(A128),"""",GOOGLETRANSLATE(A128,""en"",""fr""))"),"")</f>
        <v/>
      </c>
    </row>
    <row r="129" spans="2:2">
      <c r="B129" s="3" t="str">
        <f ca="1">IFERROR(__xludf.DUMMYFUNCTION("IF(ISBLANK(A129),"""",GOOGLETRANSLATE(A129,""en"",""fr""))"),"")</f>
        <v/>
      </c>
    </row>
    <row r="130" spans="2:2">
      <c r="B130" s="3" t="str">
        <f ca="1">IFERROR(__xludf.DUMMYFUNCTION("IF(ISBLANK(A130),"""",GOOGLETRANSLATE(A130,""en"",""fr""))"),"")</f>
        <v/>
      </c>
    </row>
    <row r="131" spans="2:2">
      <c r="B131" s="3" t="str">
        <f ca="1">IFERROR(__xludf.DUMMYFUNCTION("IF(ISBLANK(A131),"""",GOOGLETRANSLATE(A131,""en"",""fr""))"),"")</f>
        <v/>
      </c>
    </row>
    <row r="132" spans="2:2">
      <c r="B132" s="3" t="str">
        <f ca="1">IFERROR(__xludf.DUMMYFUNCTION("IF(ISBLANK(A132),"""",GOOGLETRANSLATE(A132,""en"",""fr""))"),"")</f>
        <v/>
      </c>
    </row>
    <row r="133" spans="2:2">
      <c r="B133" s="3" t="str">
        <f ca="1">IFERROR(__xludf.DUMMYFUNCTION("IF(ISBLANK(A133),"""",GOOGLETRANSLATE(A133,""en"",""fr""))"),"")</f>
        <v/>
      </c>
    </row>
    <row r="134" spans="2:2">
      <c r="B134" s="3" t="str">
        <f ca="1">IFERROR(__xludf.DUMMYFUNCTION("IF(ISBLANK(A134),"""",GOOGLETRANSLATE(A134,""en"",""fr""))"),"")</f>
        <v/>
      </c>
    </row>
    <row r="135" spans="2:2">
      <c r="B135" s="3" t="str">
        <f ca="1">IFERROR(__xludf.DUMMYFUNCTION("IF(ISBLANK(A135),"""",GOOGLETRANSLATE(A135,""en"",""fr""))"),"")</f>
        <v/>
      </c>
    </row>
    <row r="136" spans="2:2">
      <c r="B136" s="3" t="str">
        <f ca="1">IFERROR(__xludf.DUMMYFUNCTION("IF(ISBLANK(A136),"""",GOOGLETRANSLATE(A136,""en"",""fr""))"),"")</f>
        <v/>
      </c>
    </row>
    <row r="137" spans="2:2">
      <c r="B137" s="3" t="str">
        <f ca="1">IFERROR(__xludf.DUMMYFUNCTION("IF(ISBLANK(A137),"""",GOOGLETRANSLATE(A137,""en"",""fr""))"),"")</f>
        <v/>
      </c>
    </row>
    <row r="138" spans="2:2">
      <c r="B138" s="3" t="str">
        <f ca="1">IFERROR(__xludf.DUMMYFUNCTION("IF(ISBLANK(A138),"""",GOOGLETRANSLATE(A138,""en"",""fr""))"),"")</f>
        <v/>
      </c>
    </row>
    <row r="139" spans="2:2">
      <c r="B139" s="3" t="str">
        <f ca="1">IFERROR(__xludf.DUMMYFUNCTION("IF(ISBLANK(A139),"""",GOOGLETRANSLATE(A139,""en"",""fr""))"),"")</f>
        <v/>
      </c>
    </row>
    <row r="140" spans="2:2">
      <c r="B140" s="3" t="str">
        <f ca="1">IFERROR(__xludf.DUMMYFUNCTION("IF(ISBLANK(A140),"""",GOOGLETRANSLATE(A140,""en"",""fr""))"),"")</f>
        <v/>
      </c>
    </row>
    <row r="141" spans="2:2">
      <c r="B141" s="3" t="str">
        <f ca="1">IFERROR(__xludf.DUMMYFUNCTION("IF(ISBLANK(A141),"""",GOOGLETRANSLATE(A141,""en"",""fr""))"),"")</f>
        <v/>
      </c>
    </row>
    <row r="142" spans="2:2">
      <c r="B142" s="3" t="str">
        <f ca="1">IFERROR(__xludf.DUMMYFUNCTION("IF(ISBLANK(A142),"""",GOOGLETRANSLATE(A142,""en"",""fr""))"),"")</f>
        <v/>
      </c>
    </row>
    <row r="143" spans="2:2">
      <c r="B143" s="3" t="str">
        <f ca="1">IFERROR(__xludf.DUMMYFUNCTION("IF(ISBLANK(A143),"""",GOOGLETRANSLATE(A143,""en"",""fr""))"),"")</f>
        <v/>
      </c>
    </row>
    <row r="144" spans="2:2">
      <c r="B144" s="3" t="str">
        <f ca="1">IFERROR(__xludf.DUMMYFUNCTION("IF(ISBLANK(A144),"""",GOOGLETRANSLATE(A144,""en"",""fr""))"),"")</f>
        <v/>
      </c>
    </row>
    <row r="145" spans="2:2">
      <c r="B145" s="3" t="str">
        <f ca="1">IFERROR(__xludf.DUMMYFUNCTION("IF(ISBLANK(A145),"""",GOOGLETRANSLATE(A145,""en"",""fr""))"),"")</f>
        <v/>
      </c>
    </row>
    <row r="146" spans="2:2">
      <c r="B146" s="3" t="str">
        <f ca="1">IFERROR(__xludf.DUMMYFUNCTION("IF(ISBLANK(A146),"""",GOOGLETRANSLATE(A146,""en"",""fr""))"),"")</f>
        <v/>
      </c>
    </row>
    <row r="147" spans="2:2">
      <c r="B147" s="3" t="str">
        <f ca="1">IFERROR(__xludf.DUMMYFUNCTION("IF(ISBLANK(A147),"""",GOOGLETRANSLATE(A147,""en"",""fr""))"),"")</f>
        <v/>
      </c>
    </row>
    <row r="148" spans="2:2">
      <c r="B148" s="3" t="str">
        <f ca="1">IFERROR(__xludf.DUMMYFUNCTION("IF(ISBLANK(A148),"""",GOOGLETRANSLATE(A148,""en"",""fr""))"),"")</f>
        <v/>
      </c>
    </row>
    <row r="149" spans="2:2">
      <c r="B149" s="3" t="str">
        <f ca="1">IFERROR(__xludf.DUMMYFUNCTION("IF(ISBLANK(A149),"""",GOOGLETRANSLATE(A149,""en"",""fr""))"),"")</f>
        <v/>
      </c>
    </row>
    <row r="150" spans="2:2">
      <c r="B150" s="3" t="str">
        <f ca="1">IFERROR(__xludf.DUMMYFUNCTION("IF(ISBLANK(A150),"""",GOOGLETRANSLATE(A150,""en"",""fr""))"),"")</f>
        <v/>
      </c>
    </row>
    <row r="151" spans="2:2">
      <c r="B151" s="3" t="str">
        <f ca="1">IFERROR(__xludf.DUMMYFUNCTION("IF(ISBLANK(A151),"""",GOOGLETRANSLATE(A151,""en"",""fr""))"),"")</f>
        <v/>
      </c>
    </row>
    <row r="152" spans="2:2">
      <c r="B152" s="3" t="str">
        <f ca="1">IFERROR(__xludf.DUMMYFUNCTION("IF(ISBLANK(A152),"""",GOOGLETRANSLATE(A152,""en"",""fr""))"),"")</f>
        <v/>
      </c>
    </row>
    <row r="153" spans="2:2">
      <c r="B153" s="3" t="str">
        <f ca="1">IFERROR(__xludf.DUMMYFUNCTION("IF(ISBLANK(A153),"""",GOOGLETRANSLATE(A153,""en"",""fr""))"),"")</f>
        <v/>
      </c>
    </row>
    <row r="154" spans="2:2">
      <c r="B154" s="3" t="str">
        <f ca="1">IFERROR(__xludf.DUMMYFUNCTION("IF(ISBLANK(A154),"""",GOOGLETRANSLATE(A154,""en"",""fr""))"),"")</f>
        <v/>
      </c>
    </row>
    <row r="155" spans="2:2">
      <c r="B155" s="3" t="str">
        <f ca="1">IFERROR(__xludf.DUMMYFUNCTION("IF(ISBLANK(A155),"""",GOOGLETRANSLATE(A155,""en"",""fr""))"),"")</f>
        <v/>
      </c>
    </row>
    <row r="156" spans="2:2">
      <c r="B156" s="3" t="str">
        <f ca="1">IFERROR(__xludf.DUMMYFUNCTION("IF(ISBLANK(A156),"""",GOOGLETRANSLATE(A156,""en"",""fr""))"),"")</f>
        <v/>
      </c>
    </row>
    <row r="157" spans="2:2">
      <c r="B157" s="3" t="str">
        <f ca="1">IFERROR(__xludf.DUMMYFUNCTION("IF(ISBLANK(A157),"""",GOOGLETRANSLATE(A157,""en"",""fr""))"),"")</f>
        <v/>
      </c>
    </row>
    <row r="158" spans="2:2">
      <c r="B158" s="3" t="str">
        <f ca="1">IFERROR(__xludf.DUMMYFUNCTION("IF(ISBLANK(A158),"""",GOOGLETRANSLATE(A158,""en"",""fr""))"),"")</f>
        <v/>
      </c>
    </row>
    <row r="159" spans="2:2">
      <c r="B159" s="3" t="str">
        <f ca="1">IFERROR(__xludf.DUMMYFUNCTION("IF(ISBLANK(A159),"""",GOOGLETRANSLATE(A159,""en"",""fr""))"),"")</f>
        <v/>
      </c>
    </row>
    <row r="160" spans="2:2">
      <c r="B160" s="3" t="str">
        <f ca="1">IFERROR(__xludf.DUMMYFUNCTION("IF(ISBLANK(A160),"""",GOOGLETRANSLATE(A160,""en"",""fr""))"),"")</f>
        <v/>
      </c>
    </row>
    <row r="161" spans="2:2">
      <c r="B161" s="3" t="str">
        <f ca="1">IFERROR(__xludf.DUMMYFUNCTION("IF(ISBLANK(A161),"""",GOOGLETRANSLATE(A161,""en"",""fr""))"),"")</f>
        <v/>
      </c>
    </row>
    <row r="162" spans="2:2">
      <c r="B162" s="3" t="str">
        <f ca="1">IFERROR(__xludf.DUMMYFUNCTION("IF(ISBLANK(A162),"""",GOOGLETRANSLATE(A162,""en"",""fr""))"),"")</f>
        <v/>
      </c>
    </row>
    <row r="163" spans="2:2">
      <c r="B163" s="3" t="str">
        <f ca="1">IFERROR(__xludf.DUMMYFUNCTION("IF(ISBLANK(A163),"""",GOOGLETRANSLATE(A163,""en"",""fr""))"),"")</f>
        <v/>
      </c>
    </row>
    <row r="164" spans="2:2">
      <c r="B164" s="3" t="str">
        <f ca="1">IFERROR(__xludf.DUMMYFUNCTION("IF(ISBLANK(A164),"""",GOOGLETRANSLATE(A164,""en"",""fr""))"),"")</f>
        <v/>
      </c>
    </row>
    <row r="165" spans="2:2">
      <c r="B165" s="3" t="str">
        <f ca="1">IFERROR(__xludf.DUMMYFUNCTION("IF(ISBLANK(A165),"""",GOOGLETRANSLATE(A165,""en"",""fr""))"),"")</f>
        <v/>
      </c>
    </row>
    <row r="166" spans="2:2">
      <c r="B166" s="3" t="str">
        <f ca="1">IFERROR(__xludf.DUMMYFUNCTION("IF(ISBLANK(A166),"""",GOOGLETRANSLATE(A166,""en"",""fr""))"),"")</f>
        <v/>
      </c>
    </row>
    <row r="167" spans="2:2">
      <c r="B167" s="3" t="str">
        <f ca="1">IFERROR(__xludf.DUMMYFUNCTION("IF(ISBLANK(A167),"""",GOOGLETRANSLATE(A167,""en"",""fr""))"),"")</f>
        <v/>
      </c>
    </row>
    <row r="168" spans="2:2">
      <c r="B168" s="3" t="str">
        <f ca="1">IFERROR(__xludf.DUMMYFUNCTION("IF(ISBLANK(A168),"""",GOOGLETRANSLATE(A168,""en"",""fr""))"),"")</f>
        <v/>
      </c>
    </row>
    <row r="169" spans="2:2">
      <c r="B169" s="3" t="str">
        <f ca="1">IFERROR(__xludf.DUMMYFUNCTION("IF(ISBLANK(A169),"""",GOOGLETRANSLATE(A169,""en"",""fr""))"),"")</f>
        <v/>
      </c>
    </row>
    <row r="170" spans="2:2">
      <c r="B170" s="3" t="str">
        <f ca="1">IFERROR(__xludf.DUMMYFUNCTION("IF(ISBLANK(A170),"""",GOOGLETRANSLATE(A170,""en"",""fr""))"),"")</f>
        <v/>
      </c>
    </row>
    <row r="171" spans="2:2">
      <c r="B171" s="3" t="str">
        <f ca="1">IFERROR(__xludf.DUMMYFUNCTION("IF(ISBLANK(A171),"""",GOOGLETRANSLATE(A171,""en"",""fr""))"),"")</f>
        <v/>
      </c>
    </row>
    <row r="172" spans="2:2">
      <c r="B172" s="3" t="str">
        <f ca="1">IFERROR(__xludf.DUMMYFUNCTION("IF(ISBLANK(A172),"""",GOOGLETRANSLATE(A172,""en"",""fr""))"),"")</f>
        <v/>
      </c>
    </row>
    <row r="173" spans="2:2">
      <c r="B173" s="3" t="str">
        <f ca="1">IFERROR(__xludf.DUMMYFUNCTION("IF(ISBLANK(A173),"""",GOOGLETRANSLATE(A173,""en"",""fr""))"),"")</f>
        <v/>
      </c>
    </row>
    <row r="174" spans="2:2">
      <c r="B174" s="3" t="str">
        <f ca="1">IFERROR(__xludf.DUMMYFUNCTION("IF(ISBLANK(A174),"""",GOOGLETRANSLATE(A174,""en"",""fr""))"),"")</f>
        <v/>
      </c>
    </row>
    <row r="175" spans="2:2">
      <c r="B175" s="3" t="str">
        <f ca="1">IFERROR(__xludf.DUMMYFUNCTION("IF(ISBLANK(A175),"""",GOOGLETRANSLATE(A175,""en"",""fr""))"),"")</f>
        <v/>
      </c>
    </row>
    <row r="176" spans="2:2">
      <c r="B176" s="3" t="str">
        <f ca="1">IFERROR(__xludf.DUMMYFUNCTION("IF(ISBLANK(A176),"""",GOOGLETRANSLATE(A176,""en"",""fr""))"),"")</f>
        <v/>
      </c>
    </row>
    <row r="177" spans="2:2">
      <c r="B177" s="3" t="str">
        <f ca="1">IFERROR(__xludf.DUMMYFUNCTION("IF(ISBLANK(A177),"""",GOOGLETRANSLATE(A177,""en"",""fr""))"),"")</f>
        <v/>
      </c>
    </row>
    <row r="178" spans="2:2">
      <c r="B178" s="3" t="str">
        <f ca="1">IFERROR(__xludf.DUMMYFUNCTION("IF(ISBLANK(A178),"""",GOOGLETRANSLATE(A178,""en"",""fr""))"),"")</f>
        <v/>
      </c>
    </row>
    <row r="179" spans="2:2">
      <c r="B179" s="3" t="str">
        <f ca="1">IFERROR(__xludf.DUMMYFUNCTION("IF(ISBLANK(A179),"""",GOOGLETRANSLATE(A179,""en"",""fr""))"),"")</f>
        <v/>
      </c>
    </row>
    <row r="180" spans="2:2">
      <c r="B180" s="3" t="str">
        <f ca="1">IFERROR(__xludf.DUMMYFUNCTION("IF(ISBLANK(A180),"""",GOOGLETRANSLATE(A180,""en"",""fr""))"),"")</f>
        <v/>
      </c>
    </row>
    <row r="181" spans="2:2">
      <c r="B181" s="3" t="str">
        <f ca="1">IFERROR(__xludf.DUMMYFUNCTION("IF(ISBLANK(A181),"""",GOOGLETRANSLATE(A181,""en"",""fr""))"),"")</f>
        <v/>
      </c>
    </row>
    <row r="182" spans="2:2">
      <c r="B182" s="3" t="str">
        <f ca="1">IFERROR(__xludf.DUMMYFUNCTION("IF(ISBLANK(A182),"""",GOOGLETRANSLATE(A182,""en"",""fr""))"),"")</f>
        <v/>
      </c>
    </row>
    <row r="183" spans="2:2">
      <c r="B183" s="3" t="str">
        <f ca="1">IFERROR(__xludf.DUMMYFUNCTION("IF(ISBLANK(A183),"""",GOOGLETRANSLATE(A183,""en"",""fr""))"),"")</f>
        <v/>
      </c>
    </row>
    <row r="184" spans="2:2">
      <c r="B184" s="3" t="str">
        <f ca="1">IFERROR(__xludf.DUMMYFUNCTION("IF(ISBLANK(A184),"""",GOOGLETRANSLATE(A184,""en"",""fr""))"),"")</f>
        <v/>
      </c>
    </row>
    <row r="185" spans="2:2">
      <c r="B185" s="3" t="str">
        <f ca="1">IFERROR(__xludf.DUMMYFUNCTION("IF(ISBLANK(A185),"""",GOOGLETRANSLATE(A185,""en"",""fr""))"),"")</f>
        <v/>
      </c>
    </row>
    <row r="186" spans="2:2">
      <c r="B186" s="3" t="str">
        <f ca="1">IFERROR(__xludf.DUMMYFUNCTION("IF(ISBLANK(A186),"""",GOOGLETRANSLATE(A186,""en"",""fr""))"),"")</f>
        <v/>
      </c>
    </row>
    <row r="187" spans="2:2">
      <c r="B187" s="3" t="str">
        <f ca="1">IFERROR(__xludf.DUMMYFUNCTION("IF(ISBLANK(A187),"""",GOOGLETRANSLATE(A187,""en"",""fr""))"),"")</f>
        <v/>
      </c>
    </row>
    <row r="188" spans="2:2">
      <c r="B188" s="3" t="str">
        <f ca="1">IFERROR(__xludf.DUMMYFUNCTION("IF(ISBLANK(A188),"""",GOOGLETRANSLATE(A188,""en"",""fr""))"),"")</f>
        <v/>
      </c>
    </row>
    <row r="189" spans="2:2">
      <c r="B189" s="3" t="str">
        <f ca="1">IFERROR(__xludf.DUMMYFUNCTION("IF(ISBLANK(A189),"""",GOOGLETRANSLATE(A189,""en"",""fr""))"),"")</f>
        <v/>
      </c>
    </row>
    <row r="190" spans="2:2">
      <c r="B190" s="3" t="str">
        <f ca="1">IFERROR(__xludf.DUMMYFUNCTION("IF(ISBLANK(A190),"""",GOOGLETRANSLATE(A190,""en"",""fr""))"),"")</f>
        <v/>
      </c>
    </row>
    <row r="191" spans="2:2">
      <c r="B191" s="3" t="str">
        <f ca="1">IFERROR(__xludf.DUMMYFUNCTION("IF(ISBLANK(A191),"""",GOOGLETRANSLATE(A191,""en"",""fr""))"),"")</f>
        <v/>
      </c>
    </row>
    <row r="192" spans="2:2">
      <c r="B192" s="3" t="str">
        <f ca="1">IFERROR(__xludf.DUMMYFUNCTION("IF(ISBLANK(A192),"""",GOOGLETRANSLATE(A192,""en"",""fr""))"),"")</f>
        <v/>
      </c>
    </row>
    <row r="193" spans="2:2">
      <c r="B193" s="3" t="str">
        <f ca="1">IFERROR(__xludf.DUMMYFUNCTION("IF(ISBLANK(A193),"""",GOOGLETRANSLATE(A193,""en"",""fr""))"),"")</f>
        <v/>
      </c>
    </row>
    <row r="194" spans="2:2">
      <c r="B194" s="3" t="str">
        <f ca="1">IFERROR(__xludf.DUMMYFUNCTION("IF(ISBLANK(A194),"""",GOOGLETRANSLATE(A194,""en"",""fr""))"),"")</f>
        <v/>
      </c>
    </row>
    <row r="195" spans="2:2">
      <c r="B195" s="3" t="str">
        <f ca="1">IFERROR(__xludf.DUMMYFUNCTION("IF(ISBLANK(A195),"""",GOOGLETRANSLATE(A195,""en"",""fr""))"),"")</f>
        <v/>
      </c>
    </row>
    <row r="196" spans="2:2">
      <c r="B196" s="3" t="str">
        <f ca="1">IFERROR(__xludf.DUMMYFUNCTION("IF(ISBLANK(A196),"""",GOOGLETRANSLATE(A196,""en"",""fr""))"),"")</f>
        <v/>
      </c>
    </row>
    <row r="197" spans="2:2">
      <c r="B197" s="3" t="str">
        <f ca="1">IFERROR(__xludf.DUMMYFUNCTION("IF(ISBLANK(A197),"""",GOOGLETRANSLATE(A197,""en"",""fr""))"),"")</f>
        <v/>
      </c>
    </row>
    <row r="198" spans="2:2">
      <c r="B198" s="3" t="str">
        <f ca="1">IFERROR(__xludf.DUMMYFUNCTION("IF(ISBLANK(A198),"""",GOOGLETRANSLATE(A198,""en"",""fr""))"),"")</f>
        <v/>
      </c>
    </row>
    <row r="199" spans="2:2">
      <c r="B199" s="3" t="str">
        <f ca="1">IFERROR(__xludf.DUMMYFUNCTION("IF(ISBLANK(A199),"""",GOOGLETRANSLATE(A199,""en"",""fr""))"),"")</f>
        <v/>
      </c>
    </row>
    <row r="200" spans="2:2">
      <c r="B200" s="3" t="str">
        <f ca="1">IFERROR(__xludf.DUMMYFUNCTION("IF(ISBLANK(A200),"""",GOOGLETRANSLATE(A200,""en"",""fr""))"),"")</f>
        <v/>
      </c>
    </row>
    <row r="201" spans="2:2">
      <c r="B201" s="3" t="str">
        <f ca="1">IFERROR(__xludf.DUMMYFUNCTION("IF(ISBLANK(A201),"""",GOOGLETRANSLATE(A201,""en"",""fr""))"),"")</f>
        <v/>
      </c>
    </row>
    <row r="202" spans="2:2">
      <c r="B202" s="3" t="str">
        <f ca="1">IFERROR(__xludf.DUMMYFUNCTION("IF(ISBLANK(A202),"""",GOOGLETRANSLATE(A202,""en"",""fr""))"),"")</f>
        <v/>
      </c>
    </row>
    <row r="203" spans="2:2">
      <c r="B203" s="3" t="str">
        <f ca="1">IFERROR(__xludf.DUMMYFUNCTION("IF(ISBLANK(A203),"""",GOOGLETRANSLATE(A203,""en"",""fr""))"),"")</f>
        <v/>
      </c>
    </row>
    <row r="204" spans="2:2">
      <c r="B204" s="3" t="str">
        <f ca="1">IFERROR(__xludf.DUMMYFUNCTION("IF(ISBLANK(A204),"""",GOOGLETRANSLATE(A204,""en"",""fr""))"),"")</f>
        <v/>
      </c>
    </row>
    <row r="205" spans="2:2">
      <c r="B205" s="3" t="str">
        <f ca="1">IFERROR(__xludf.DUMMYFUNCTION("IF(ISBLANK(A205),"""",GOOGLETRANSLATE(A205,""en"",""fr""))"),"")</f>
        <v/>
      </c>
    </row>
    <row r="206" spans="2:2">
      <c r="B206" s="3" t="str">
        <f ca="1">IFERROR(__xludf.DUMMYFUNCTION("IF(ISBLANK(A206),"""",GOOGLETRANSLATE(A206,""en"",""fr""))"),"")</f>
        <v/>
      </c>
    </row>
    <row r="207" spans="2:2">
      <c r="B207" s="3" t="str">
        <f ca="1">IFERROR(__xludf.DUMMYFUNCTION("IF(ISBLANK(A207),"""",GOOGLETRANSLATE(A207,""en"",""fr""))"),"")</f>
        <v/>
      </c>
    </row>
    <row r="208" spans="2:2">
      <c r="B208" s="3" t="str">
        <f ca="1">IFERROR(__xludf.DUMMYFUNCTION("IF(ISBLANK(A208),"""",GOOGLETRANSLATE(A208,""en"",""fr""))"),"")</f>
        <v/>
      </c>
    </row>
    <row r="209" spans="2:2">
      <c r="B209" s="3" t="str">
        <f ca="1">IFERROR(__xludf.DUMMYFUNCTION("IF(ISBLANK(A209),"""",GOOGLETRANSLATE(A209,""en"",""fr""))"),"")</f>
        <v/>
      </c>
    </row>
    <row r="210" spans="2:2">
      <c r="B210" s="3" t="str">
        <f ca="1">IFERROR(__xludf.DUMMYFUNCTION("IF(ISBLANK(A210),"""",GOOGLETRANSLATE(A210,""en"",""fr""))"),"")</f>
        <v/>
      </c>
    </row>
    <row r="211" spans="2:2">
      <c r="B211" s="3" t="str">
        <f ca="1">IFERROR(__xludf.DUMMYFUNCTION("IF(ISBLANK(A211),"""",GOOGLETRANSLATE(A211,""en"",""fr""))"),"")</f>
        <v/>
      </c>
    </row>
    <row r="212" spans="2:2">
      <c r="B212" s="3" t="str">
        <f ca="1">IFERROR(__xludf.DUMMYFUNCTION("IF(ISBLANK(A212),"""",GOOGLETRANSLATE(A212,""en"",""fr""))"),"")</f>
        <v/>
      </c>
    </row>
    <row r="213" spans="2:2">
      <c r="B213" s="3" t="str">
        <f ca="1">IFERROR(__xludf.DUMMYFUNCTION("IF(ISBLANK(A213),"""",GOOGLETRANSLATE(A213,""en"",""fr""))"),"")</f>
        <v/>
      </c>
    </row>
    <row r="214" spans="2:2">
      <c r="B214" s="3" t="str">
        <f ca="1">IFERROR(__xludf.DUMMYFUNCTION("IF(ISBLANK(A214),"""",GOOGLETRANSLATE(A214,""en"",""fr""))"),"")</f>
        <v/>
      </c>
    </row>
    <row r="215" spans="2:2">
      <c r="B215" s="3" t="str">
        <f ca="1">IFERROR(__xludf.DUMMYFUNCTION("IF(ISBLANK(A215),"""",GOOGLETRANSLATE(A215,""en"",""fr""))"),"")</f>
        <v/>
      </c>
    </row>
    <row r="216" spans="2:2">
      <c r="B216" s="3" t="str">
        <f ca="1">IFERROR(__xludf.DUMMYFUNCTION("IF(ISBLANK(A216),"""",GOOGLETRANSLATE(A216,""en"",""fr""))"),"")</f>
        <v/>
      </c>
    </row>
    <row r="217" spans="2:2">
      <c r="B217" s="3" t="str">
        <f ca="1">IFERROR(__xludf.DUMMYFUNCTION("IF(ISBLANK(A217),"""",GOOGLETRANSLATE(A217,""en"",""fr""))"),"")</f>
        <v/>
      </c>
    </row>
    <row r="218" spans="2:2">
      <c r="B218" s="3" t="str">
        <f ca="1">IFERROR(__xludf.DUMMYFUNCTION("IF(ISBLANK(A218),"""",GOOGLETRANSLATE(A218,""en"",""fr""))"),"")</f>
        <v/>
      </c>
    </row>
    <row r="219" spans="2:2">
      <c r="B219" s="3" t="str">
        <f ca="1">IFERROR(__xludf.DUMMYFUNCTION("IF(ISBLANK(A219),"""",GOOGLETRANSLATE(A219,""en"",""fr""))"),"")</f>
        <v/>
      </c>
    </row>
    <row r="220" spans="2:2">
      <c r="B220" s="3" t="str">
        <f ca="1">IFERROR(__xludf.DUMMYFUNCTION("IF(ISBLANK(A220),"""",GOOGLETRANSLATE(A220,""en"",""fr""))"),"")</f>
        <v/>
      </c>
    </row>
    <row r="221" spans="2:2">
      <c r="B221" s="3" t="str">
        <f ca="1">IFERROR(__xludf.DUMMYFUNCTION("IF(ISBLANK(A221),"""",GOOGLETRANSLATE(A221,""en"",""fr""))"),"")</f>
        <v/>
      </c>
    </row>
    <row r="222" spans="2:2">
      <c r="B222" s="3" t="str">
        <f ca="1">IFERROR(__xludf.DUMMYFUNCTION("IF(ISBLANK(A222),"""",GOOGLETRANSLATE(A222,""en"",""fr""))"),"")</f>
        <v/>
      </c>
    </row>
    <row r="223" spans="2:2">
      <c r="B223" s="3" t="str">
        <f ca="1">IFERROR(__xludf.DUMMYFUNCTION("IF(ISBLANK(A223),"""",GOOGLETRANSLATE(A223,""en"",""fr""))"),"")</f>
        <v/>
      </c>
    </row>
    <row r="224" spans="2:2">
      <c r="B224" s="3" t="str">
        <f ca="1">IFERROR(__xludf.DUMMYFUNCTION("IF(ISBLANK(A224),"""",GOOGLETRANSLATE(A224,""en"",""fr""))"),"")</f>
        <v/>
      </c>
    </row>
    <row r="225" spans="2:2">
      <c r="B225" s="3" t="str">
        <f ca="1">IFERROR(__xludf.DUMMYFUNCTION("IF(ISBLANK(A225),"""",GOOGLETRANSLATE(A225,""en"",""fr""))"),"")</f>
        <v/>
      </c>
    </row>
    <row r="226" spans="2:2">
      <c r="B226" s="3" t="str">
        <f ca="1">IFERROR(__xludf.DUMMYFUNCTION("IF(ISBLANK(A226),"""",GOOGLETRANSLATE(A226,""en"",""fr""))"),"")</f>
        <v/>
      </c>
    </row>
    <row r="227" spans="2:2">
      <c r="B227" s="3" t="str">
        <f ca="1">IFERROR(__xludf.DUMMYFUNCTION("IF(ISBLANK(A227),"""",GOOGLETRANSLATE(A227,""en"",""fr""))"),"")</f>
        <v/>
      </c>
    </row>
    <row r="228" spans="2:2">
      <c r="B228" s="3" t="str">
        <f ca="1">IFERROR(__xludf.DUMMYFUNCTION("IF(ISBLANK(A228),"""",GOOGLETRANSLATE(A228,""en"",""fr""))"),"")</f>
        <v/>
      </c>
    </row>
    <row r="229" spans="2:2">
      <c r="B229" s="3" t="str">
        <f ca="1">IFERROR(__xludf.DUMMYFUNCTION("IF(ISBLANK(A229),"""",GOOGLETRANSLATE(A229,""en"",""fr""))"),"")</f>
        <v/>
      </c>
    </row>
    <row r="230" spans="2:2">
      <c r="B230" s="3" t="str">
        <f ca="1">IFERROR(__xludf.DUMMYFUNCTION("IF(ISBLANK(A230),"""",GOOGLETRANSLATE(A230,""en"",""fr""))"),"")</f>
        <v/>
      </c>
    </row>
    <row r="231" spans="2:2">
      <c r="B231" s="3" t="str">
        <f ca="1">IFERROR(__xludf.DUMMYFUNCTION("IF(ISBLANK(A231),"""",GOOGLETRANSLATE(A231,""en"",""fr""))"),"")</f>
        <v/>
      </c>
    </row>
    <row r="232" spans="2:2">
      <c r="B232" s="3" t="str">
        <f ca="1">IFERROR(__xludf.DUMMYFUNCTION("IF(ISBLANK(A232),"""",GOOGLETRANSLATE(A232,""en"",""fr""))"),"")</f>
        <v/>
      </c>
    </row>
    <row r="233" spans="2:2">
      <c r="B233" s="3" t="str">
        <f ca="1">IFERROR(__xludf.DUMMYFUNCTION("IF(ISBLANK(A233),"""",GOOGLETRANSLATE(A233,""en"",""fr""))"),"")</f>
        <v/>
      </c>
    </row>
    <row r="234" spans="2:2">
      <c r="B234" s="3" t="str">
        <f ca="1">IFERROR(__xludf.DUMMYFUNCTION("IF(ISBLANK(A234),"""",GOOGLETRANSLATE(A234,""en"",""fr""))"),"")</f>
        <v/>
      </c>
    </row>
    <row r="235" spans="2:2">
      <c r="B235" s="3" t="str">
        <f ca="1">IFERROR(__xludf.DUMMYFUNCTION("IF(ISBLANK(A235),"""",GOOGLETRANSLATE(A235,""en"",""fr""))"),"")</f>
        <v/>
      </c>
    </row>
    <row r="236" spans="2:2">
      <c r="B236" s="3" t="str">
        <f ca="1">IFERROR(__xludf.DUMMYFUNCTION("IF(ISBLANK(A236),"""",GOOGLETRANSLATE(A236,""en"",""fr""))"),"")</f>
        <v/>
      </c>
    </row>
    <row r="237" spans="2:2">
      <c r="B237" s="3" t="str">
        <f ca="1">IFERROR(__xludf.DUMMYFUNCTION("IF(ISBLANK(A237),"""",GOOGLETRANSLATE(A237,""en"",""fr""))"),"")</f>
        <v/>
      </c>
    </row>
    <row r="238" spans="2:2">
      <c r="B238" s="3" t="str">
        <f ca="1">IFERROR(__xludf.DUMMYFUNCTION("IF(ISBLANK(A238),"""",GOOGLETRANSLATE(A238,""en"",""fr""))"),"")</f>
        <v/>
      </c>
    </row>
    <row r="239" spans="2:2">
      <c r="B239" s="3" t="str">
        <f ca="1">IFERROR(__xludf.DUMMYFUNCTION("IF(ISBLANK(A239),"""",GOOGLETRANSLATE(A239,""en"",""fr""))"),"")</f>
        <v/>
      </c>
    </row>
    <row r="240" spans="2:2">
      <c r="B240" s="3" t="str">
        <f ca="1">IFERROR(__xludf.DUMMYFUNCTION("IF(ISBLANK(A240),"""",GOOGLETRANSLATE(A240,""en"",""fr""))"),"")</f>
        <v/>
      </c>
    </row>
    <row r="241" spans="2:2">
      <c r="B241" s="3" t="str">
        <f ca="1">IFERROR(__xludf.DUMMYFUNCTION("IF(ISBLANK(A241),"""",GOOGLETRANSLATE(A241,""en"",""fr""))"),"")</f>
        <v/>
      </c>
    </row>
    <row r="242" spans="2:2">
      <c r="B242" s="3" t="str">
        <f ca="1">IFERROR(__xludf.DUMMYFUNCTION("IF(ISBLANK(A242),"""",GOOGLETRANSLATE(A242,""en"",""fr""))"),"")</f>
        <v/>
      </c>
    </row>
    <row r="243" spans="2:2">
      <c r="B243" s="3" t="str">
        <f ca="1">IFERROR(__xludf.DUMMYFUNCTION("IF(ISBLANK(A243),"""",GOOGLETRANSLATE(A243,""en"",""fr""))"),"")</f>
        <v/>
      </c>
    </row>
    <row r="244" spans="2:2">
      <c r="B244" s="3" t="str">
        <f ca="1">IFERROR(__xludf.DUMMYFUNCTION("IF(ISBLANK(A244),"""",GOOGLETRANSLATE(A244,""en"",""fr""))"),"")</f>
        <v/>
      </c>
    </row>
    <row r="245" spans="2:2">
      <c r="B245" s="3" t="str">
        <f ca="1">IFERROR(__xludf.DUMMYFUNCTION("IF(ISBLANK(A245),"""",GOOGLETRANSLATE(A245,""en"",""fr""))"),"")</f>
        <v/>
      </c>
    </row>
    <row r="246" spans="2:2">
      <c r="B246" s="3" t="str">
        <f ca="1">IFERROR(__xludf.DUMMYFUNCTION("IF(ISBLANK(A246),"""",GOOGLETRANSLATE(A246,""en"",""fr""))"),"")</f>
        <v/>
      </c>
    </row>
    <row r="247" spans="2:2">
      <c r="B247" s="3" t="str">
        <f ca="1">IFERROR(__xludf.DUMMYFUNCTION("IF(ISBLANK(A247),"""",GOOGLETRANSLATE(A247,""en"",""fr""))"),"")</f>
        <v/>
      </c>
    </row>
    <row r="248" spans="2:2">
      <c r="B248" s="3" t="str">
        <f ca="1">IFERROR(__xludf.DUMMYFUNCTION("IF(ISBLANK(A248),"""",GOOGLETRANSLATE(A248,""en"",""fr""))"),"")</f>
        <v/>
      </c>
    </row>
    <row r="249" spans="2:2">
      <c r="B249" s="3" t="str">
        <f ca="1">IFERROR(__xludf.DUMMYFUNCTION("IF(ISBLANK(A249),"""",GOOGLETRANSLATE(A249,""en"",""fr""))"),"")</f>
        <v/>
      </c>
    </row>
    <row r="250" spans="2:2">
      <c r="B250" s="3" t="str">
        <f ca="1">IFERROR(__xludf.DUMMYFUNCTION("IF(ISBLANK(A250),"""",GOOGLETRANSLATE(A250,""en"",""fr""))"),"")</f>
        <v/>
      </c>
    </row>
    <row r="251" spans="2:2">
      <c r="B251" s="3" t="str">
        <f ca="1">IFERROR(__xludf.DUMMYFUNCTION("IF(ISBLANK(A251),"""",GOOGLETRANSLATE(A251,""en"",""fr""))"),"")</f>
        <v/>
      </c>
    </row>
    <row r="252" spans="2:2">
      <c r="B252" s="3" t="str">
        <f ca="1">IFERROR(__xludf.DUMMYFUNCTION("IF(ISBLANK(A252),"""",GOOGLETRANSLATE(A252,""en"",""fr""))"),"")</f>
        <v/>
      </c>
    </row>
    <row r="253" spans="2:2">
      <c r="B253" s="3" t="str">
        <f ca="1">IFERROR(__xludf.DUMMYFUNCTION("IF(ISBLANK(A253),"""",GOOGLETRANSLATE(A253,""en"",""fr""))"),"")</f>
        <v/>
      </c>
    </row>
    <row r="254" spans="2:2">
      <c r="B254" s="3" t="str">
        <f ca="1">IFERROR(__xludf.DUMMYFUNCTION("IF(ISBLANK(A254),"""",GOOGLETRANSLATE(A254,""en"",""fr""))"),"")</f>
        <v/>
      </c>
    </row>
    <row r="255" spans="2:2">
      <c r="B255" s="3" t="str">
        <f ca="1">IFERROR(__xludf.DUMMYFUNCTION("IF(ISBLANK(A255),"""",GOOGLETRANSLATE(A255,""en"",""fr""))"),"")</f>
        <v/>
      </c>
    </row>
    <row r="256" spans="2:2">
      <c r="B256" s="3" t="str">
        <f ca="1">IFERROR(__xludf.DUMMYFUNCTION("IF(ISBLANK(A256),"""",GOOGLETRANSLATE(A256,""en"",""fr""))"),"")</f>
        <v/>
      </c>
    </row>
    <row r="257" spans="2:2">
      <c r="B257" s="3" t="str">
        <f ca="1">IFERROR(__xludf.DUMMYFUNCTION("IF(ISBLANK(A257),"""",GOOGLETRANSLATE(A257,""en"",""fr""))"),"")</f>
        <v/>
      </c>
    </row>
    <row r="258" spans="2:2">
      <c r="B258" s="3" t="str">
        <f ca="1">IFERROR(__xludf.DUMMYFUNCTION("IF(ISBLANK(A258),"""",GOOGLETRANSLATE(A258,""en"",""fr""))"),"")</f>
        <v/>
      </c>
    </row>
    <row r="259" spans="2:2">
      <c r="B259" s="3" t="str">
        <f ca="1">IFERROR(__xludf.DUMMYFUNCTION("IF(ISBLANK(A259),"""",GOOGLETRANSLATE(A259,""en"",""fr""))"),"")</f>
        <v/>
      </c>
    </row>
    <row r="260" spans="2:2">
      <c r="B260" s="3" t="str">
        <f ca="1">IFERROR(__xludf.DUMMYFUNCTION("IF(ISBLANK(A260),"""",GOOGLETRANSLATE(A260,""en"",""fr""))"),"")</f>
        <v/>
      </c>
    </row>
    <row r="261" spans="2:2">
      <c r="B261" s="3" t="str">
        <f ca="1">IFERROR(__xludf.DUMMYFUNCTION("IF(ISBLANK(A261),"""",GOOGLETRANSLATE(A261,""en"",""fr""))"),"")</f>
        <v/>
      </c>
    </row>
    <row r="262" spans="2:2">
      <c r="B262" s="3" t="str">
        <f ca="1">IFERROR(__xludf.DUMMYFUNCTION("IF(ISBLANK(A262),"""",GOOGLETRANSLATE(A262,""en"",""fr""))"),"")</f>
        <v/>
      </c>
    </row>
    <row r="263" spans="2:2">
      <c r="B263" s="3" t="str">
        <f ca="1">IFERROR(__xludf.DUMMYFUNCTION("IF(ISBLANK(A263),"""",GOOGLETRANSLATE(A263,""en"",""fr""))"),"")</f>
        <v/>
      </c>
    </row>
    <row r="264" spans="2:2">
      <c r="B264" s="3" t="str">
        <f ca="1">IFERROR(__xludf.DUMMYFUNCTION("IF(ISBLANK(A264),"""",GOOGLETRANSLATE(A264,""en"",""fr""))"),"")</f>
        <v/>
      </c>
    </row>
    <row r="265" spans="2:2">
      <c r="B265" s="3" t="str">
        <f ca="1">IFERROR(__xludf.DUMMYFUNCTION("IF(ISBLANK(A265),"""",GOOGLETRANSLATE(A265,""en"",""fr""))"),"")</f>
        <v/>
      </c>
    </row>
    <row r="266" spans="2:2">
      <c r="B266" s="3" t="str">
        <f ca="1">IFERROR(__xludf.DUMMYFUNCTION("IF(ISBLANK(A266),"""",GOOGLETRANSLATE(A266,""en"",""fr""))"),"")</f>
        <v/>
      </c>
    </row>
    <row r="267" spans="2:2">
      <c r="B267" s="3" t="str">
        <f ca="1">IFERROR(__xludf.DUMMYFUNCTION("IF(ISBLANK(A267),"""",GOOGLETRANSLATE(A267,""en"",""fr""))"),"")</f>
        <v/>
      </c>
    </row>
    <row r="268" spans="2:2">
      <c r="B268" s="3" t="str">
        <f ca="1">IFERROR(__xludf.DUMMYFUNCTION("IF(ISBLANK(A268),"""",GOOGLETRANSLATE(A268,""en"",""fr""))"),"")</f>
        <v/>
      </c>
    </row>
    <row r="269" spans="2:2">
      <c r="B269" s="3" t="str">
        <f ca="1">IFERROR(__xludf.DUMMYFUNCTION("IF(ISBLANK(A269),"""",GOOGLETRANSLATE(A269,""en"",""fr""))"),"")</f>
        <v/>
      </c>
    </row>
    <row r="270" spans="2:2">
      <c r="B270" s="3" t="str">
        <f ca="1">IFERROR(__xludf.DUMMYFUNCTION("IF(ISBLANK(A270),"""",GOOGLETRANSLATE(A270,""en"",""fr""))"),"")</f>
        <v/>
      </c>
    </row>
    <row r="271" spans="2:2">
      <c r="B271" s="3" t="str">
        <f ca="1">IFERROR(__xludf.DUMMYFUNCTION("IF(ISBLANK(A271),"""",GOOGLETRANSLATE(A271,""en"",""fr""))"),"")</f>
        <v/>
      </c>
    </row>
    <row r="272" spans="2:2">
      <c r="B272" s="3" t="str">
        <f ca="1">IFERROR(__xludf.DUMMYFUNCTION("IF(ISBLANK(A272),"""",GOOGLETRANSLATE(A272,""en"",""fr""))"),"")</f>
        <v/>
      </c>
    </row>
    <row r="273" spans="2:2">
      <c r="B273" s="3" t="str">
        <f ca="1">IFERROR(__xludf.DUMMYFUNCTION("IF(ISBLANK(A273),"""",GOOGLETRANSLATE(A273,""en"",""fr""))"),"")</f>
        <v/>
      </c>
    </row>
    <row r="274" spans="2:2">
      <c r="B274" s="3" t="str">
        <f ca="1">IFERROR(__xludf.DUMMYFUNCTION("IF(ISBLANK(A274),"""",GOOGLETRANSLATE(A274,""en"",""fr""))"),"")</f>
        <v/>
      </c>
    </row>
    <row r="275" spans="2:2">
      <c r="B275" s="3" t="str">
        <f ca="1">IFERROR(__xludf.DUMMYFUNCTION("IF(ISBLANK(A275),"""",GOOGLETRANSLATE(A275,""en"",""fr""))"),"")</f>
        <v/>
      </c>
    </row>
    <row r="276" spans="2:2">
      <c r="B276" s="3" t="str">
        <f ca="1">IFERROR(__xludf.DUMMYFUNCTION("IF(ISBLANK(A276),"""",GOOGLETRANSLATE(A276,""en"",""fr""))"),"")</f>
        <v/>
      </c>
    </row>
    <row r="277" spans="2:2">
      <c r="B277" s="3" t="str">
        <f ca="1">IFERROR(__xludf.DUMMYFUNCTION("IF(ISBLANK(A277),"""",GOOGLETRANSLATE(A277,""en"",""fr""))"),"")</f>
        <v/>
      </c>
    </row>
    <row r="278" spans="2:2">
      <c r="B278" s="3" t="str">
        <f ca="1">IFERROR(__xludf.DUMMYFUNCTION("IF(ISBLANK(A278),"""",GOOGLETRANSLATE(A278,""en"",""fr""))"),"")</f>
        <v/>
      </c>
    </row>
    <row r="279" spans="2:2">
      <c r="B279" s="3" t="str">
        <f ca="1">IFERROR(__xludf.DUMMYFUNCTION("IF(ISBLANK(A279),"""",GOOGLETRANSLATE(A279,""en"",""fr""))"),"")</f>
        <v/>
      </c>
    </row>
    <row r="280" spans="2:2">
      <c r="B280" s="3" t="str">
        <f ca="1">IFERROR(__xludf.DUMMYFUNCTION("IF(ISBLANK(A280),"""",GOOGLETRANSLATE(A280,""en"",""fr""))"),"")</f>
        <v/>
      </c>
    </row>
    <row r="281" spans="2:2">
      <c r="B281" s="3" t="str">
        <f ca="1">IFERROR(__xludf.DUMMYFUNCTION("IF(ISBLANK(A281),"""",GOOGLETRANSLATE(A281,""en"",""fr""))"),"")</f>
        <v/>
      </c>
    </row>
    <row r="282" spans="2:2">
      <c r="B282" s="3" t="str">
        <f ca="1">IFERROR(__xludf.DUMMYFUNCTION("IF(ISBLANK(A282),"""",GOOGLETRANSLATE(A282,""en"",""fr""))"),"")</f>
        <v/>
      </c>
    </row>
    <row r="283" spans="2:2">
      <c r="B283" s="3" t="str">
        <f ca="1">IFERROR(__xludf.DUMMYFUNCTION("IF(ISBLANK(A283),"""",GOOGLETRANSLATE(A283,""en"",""fr""))"),"")</f>
        <v/>
      </c>
    </row>
    <row r="284" spans="2:2">
      <c r="B284" s="3" t="str">
        <f ca="1">IFERROR(__xludf.DUMMYFUNCTION("IF(ISBLANK(A284),"""",GOOGLETRANSLATE(A284,""en"",""fr""))"),"")</f>
        <v/>
      </c>
    </row>
    <row r="285" spans="2:2">
      <c r="B285" s="3" t="str">
        <f ca="1">IFERROR(__xludf.DUMMYFUNCTION("IF(ISBLANK(A285),"""",GOOGLETRANSLATE(A285,""en"",""fr""))"),"")</f>
        <v/>
      </c>
    </row>
    <row r="286" spans="2:2">
      <c r="B286" s="3" t="str">
        <f ca="1">IFERROR(__xludf.DUMMYFUNCTION("IF(ISBLANK(A286),"""",GOOGLETRANSLATE(A286,""en"",""fr""))"),"")</f>
        <v/>
      </c>
    </row>
    <row r="287" spans="2:2">
      <c r="B287" s="3" t="str">
        <f ca="1">IFERROR(__xludf.DUMMYFUNCTION("IF(ISBLANK(A287),"""",GOOGLETRANSLATE(A287,""en"",""fr""))"),"")</f>
        <v/>
      </c>
    </row>
    <row r="288" spans="2:2">
      <c r="B288" s="3" t="str">
        <f ca="1">IFERROR(__xludf.DUMMYFUNCTION("IF(ISBLANK(A288),"""",GOOGLETRANSLATE(A288,""en"",""fr""))"),"")</f>
        <v/>
      </c>
    </row>
    <row r="289" spans="2:2">
      <c r="B289" s="3" t="str">
        <f ca="1">IFERROR(__xludf.DUMMYFUNCTION("IF(ISBLANK(A289),"""",GOOGLETRANSLATE(A289,""en"",""fr""))"),"")</f>
        <v/>
      </c>
    </row>
    <row r="290" spans="2:2">
      <c r="B290" s="3" t="str">
        <f ca="1">IFERROR(__xludf.DUMMYFUNCTION("IF(ISBLANK(A290),"""",GOOGLETRANSLATE(A290,""en"",""fr""))"),"")</f>
        <v/>
      </c>
    </row>
    <row r="291" spans="2:2">
      <c r="B291" s="3" t="str">
        <f ca="1">IFERROR(__xludf.DUMMYFUNCTION("IF(ISBLANK(A291),"""",GOOGLETRANSLATE(A291,""en"",""fr""))"),"")</f>
        <v/>
      </c>
    </row>
    <row r="292" spans="2:2">
      <c r="B292" s="3" t="str">
        <f ca="1">IFERROR(__xludf.DUMMYFUNCTION("IF(ISBLANK(A292),"""",GOOGLETRANSLATE(A292,""en"",""fr""))"),"")</f>
        <v/>
      </c>
    </row>
    <row r="293" spans="2:2">
      <c r="B293" s="3" t="str">
        <f ca="1">IFERROR(__xludf.DUMMYFUNCTION("IF(ISBLANK(A293),"""",GOOGLETRANSLATE(A293,""en"",""fr""))"),"")</f>
        <v/>
      </c>
    </row>
    <row r="294" spans="2:2">
      <c r="B294" s="3" t="str">
        <f ca="1">IFERROR(__xludf.DUMMYFUNCTION("IF(ISBLANK(A294),"""",GOOGLETRANSLATE(A294,""en"",""fr""))"),"")</f>
        <v/>
      </c>
    </row>
    <row r="295" spans="2:2">
      <c r="B295" s="3" t="str">
        <f ca="1">IFERROR(__xludf.DUMMYFUNCTION("IF(ISBLANK(A295),"""",GOOGLETRANSLATE(A295,""en"",""fr""))"),"")</f>
        <v/>
      </c>
    </row>
    <row r="296" spans="2:2">
      <c r="B296" s="3" t="str">
        <f ca="1">IFERROR(__xludf.DUMMYFUNCTION("IF(ISBLANK(A296),"""",GOOGLETRANSLATE(A296,""en"",""fr""))"),"")</f>
        <v/>
      </c>
    </row>
    <row r="297" spans="2:2">
      <c r="B297" s="3" t="str">
        <f ca="1">IFERROR(__xludf.DUMMYFUNCTION("IF(ISBLANK(A297),"""",GOOGLETRANSLATE(A297,""en"",""fr""))"),"")</f>
        <v/>
      </c>
    </row>
    <row r="298" spans="2:2">
      <c r="B298" s="3" t="str">
        <f ca="1">IFERROR(__xludf.DUMMYFUNCTION("IF(ISBLANK(A298),"""",GOOGLETRANSLATE(A298,""en"",""fr""))"),"")</f>
        <v/>
      </c>
    </row>
    <row r="299" spans="2:2">
      <c r="B299" s="3" t="str">
        <f ca="1">IFERROR(__xludf.DUMMYFUNCTION("IF(ISBLANK(A299),"""",GOOGLETRANSLATE(A299,""en"",""fr""))"),"")</f>
        <v/>
      </c>
    </row>
    <row r="300" spans="2:2">
      <c r="B300" s="3" t="str">
        <f ca="1">IFERROR(__xludf.DUMMYFUNCTION("IF(ISBLANK(A300),"""",GOOGLETRANSLATE(A300,""en"",""fr""))"),"")</f>
        <v/>
      </c>
    </row>
    <row r="301" spans="2:2">
      <c r="B301" s="3" t="str">
        <f ca="1">IFERROR(__xludf.DUMMYFUNCTION("IF(ISBLANK(A301),"""",GOOGLETRANSLATE(A301,""en"",""fr""))"),"")</f>
        <v/>
      </c>
    </row>
    <row r="302" spans="2:2">
      <c r="B302" s="3" t="str">
        <f ca="1">IFERROR(__xludf.DUMMYFUNCTION("IF(ISBLANK(A302),"""",GOOGLETRANSLATE(A302,""en"",""fr""))"),"")</f>
        <v/>
      </c>
    </row>
    <row r="303" spans="2:2">
      <c r="B303" s="3" t="str">
        <f ca="1">IFERROR(__xludf.DUMMYFUNCTION("IF(ISBLANK(A303),"""",GOOGLETRANSLATE(A303,""en"",""fr""))"),"")</f>
        <v/>
      </c>
    </row>
    <row r="304" spans="2:2">
      <c r="B304" s="3" t="str">
        <f ca="1">IFERROR(__xludf.DUMMYFUNCTION("IF(ISBLANK(A304),"""",GOOGLETRANSLATE(A304,""en"",""fr""))"),"")</f>
        <v/>
      </c>
    </row>
    <row r="305" spans="2:2">
      <c r="B305" s="3" t="str">
        <f ca="1">IFERROR(__xludf.DUMMYFUNCTION("IF(ISBLANK(A305),"""",GOOGLETRANSLATE(A305,""en"",""fr""))"),"")</f>
        <v/>
      </c>
    </row>
    <row r="306" spans="2:2">
      <c r="B306" s="3" t="str">
        <f ca="1">IFERROR(__xludf.DUMMYFUNCTION("IF(ISBLANK(A306),"""",GOOGLETRANSLATE(A306,""en"",""fr""))"),"")</f>
        <v/>
      </c>
    </row>
    <row r="307" spans="2:2">
      <c r="B307" s="3" t="str">
        <f ca="1">IFERROR(__xludf.DUMMYFUNCTION("IF(ISBLANK(A307),"""",GOOGLETRANSLATE(A307,""en"",""fr""))"),"")</f>
        <v/>
      </c>
    </row>
    <row r="308" spans="2:2">
      <c r="B308" s="3" t="str">
        <f ca="1">IFERROR(__xludf.DUMMYFUNCTION("IF(ISBLANK(A308),"""",GOOGLETRANSLATE(A308,""en"",""fr""))"),"")</f>
        <v/>
      </c>
    </row>
    <row r="309" spans="2:2">
      <c r="B309" s="3" t="str">
        <f ca="1">IFERROR(__xludf.DUMMYFUNCTION("IF(ISBLANK(A309),"""",GOOGLETRANSLATE(A309,""en"",""fr""))"),"")</f>
        <v/>
      </c>
    </row>
    <row r="310" spans="2:2">
      <c r="B310" s="3" t="str">
        <f ca="1">IFERROR(__xludf.DUMMYFUNCTION("IF(ISBLANK(A310),"""",GOOGLETRANSLATE(A310,""en"",""fr""))"),"")</f>
        <v/>
      </c>
    </row>
    <row r="311" spans="2:2">
      <c r="B311" s="3" t="str">
        <f ca="1">IFERROR(__xludf.DUMMYFUNCTION("IF(ISBLANK(A311),"""",GOOGLETRANSLATE(A311,""en"",""fr""))"),"")</f>
        <v/>
      </c>
    </row>
    <row r="312" spans="2:2">
      <c r="B312" s="3" t="str">
        <f ca="1">IFERROR(__xludf.DUMMYFUNCTION("IF(ISBLANK(A312),"""",GOOGLETRANSLATE(A312,""en"",""fr""))"),"")</f>
        <v/>
      </c>
    </row>
    <row r="313" spans="2:2">
      <c r="B313" s="3" t="str">
        <f ca="1">IFERROR(__xludf.DUMMYFUNCTION("IF(ISBLANK(A313),"""",GOOGLETRANSLATE(A313,""en"",""fr""))"),"")</f>
        <v/>
      </c>
    </row>
    <row r="314" spans="2:2">
      <c r="B314" s="3" t="str">
        <f ca="1">IFERROR(__xludf.DUMMYFUNCTION("IF(ISBLANK(A314),"""",GOOGLETRANSLATE(A314,""en"",""fr""))"),"")</f>
        <v/>
      </c>
    </row>
    <row r="315" spans="2:2">
      <c r="B315" s="3" t="str">
        <f ca="1">IFERROR(__xludf.DUMMYFUNCTION("IF(ISBLANK(A315),"""",GOOGLETRANSLATE(A315,""en"",""fr""))"),"")</f>
        <v/>
      </c>
    </row>
    <row r="316" spans="2:2">
      <c r="B316" s="3" t="str">
        <f ca="1">IFERROR(__xludf.DUMMYFUNCTION("IF(ISBLANK(A316),"""",GOOGLETRANSLATE(A316,""en"",""fr""))"),"")</f>
        <v/>
      </c>
    </row>
    <row r="317" spans="2:2">
      <c r="B317" s="3" t="str">
        <f ca="1">IFERROR(__xludf.DUMMYFUNCTION("IF(ISBLANK(A317),"""",GOOGLETRANSLATE(A317,""en"",""fr""))"),"")</f>
        <v/>
      </c>
    </row>
    <row r="318" spans="2:2">
      <c r="B318" s="3" t="str">
        <f ca="1">IFERROR(__xludf.DUMMYFUNCTION("IF(ISBLANK(A318),"""",GOOGLETRANSLATE(A318,""en"",""fr""))"),"")</f>
        <v/>
      </c>
    </row>
    <row r="319" spans="2:2">
      <c r="B319" s="3" t="str">
        <f ca="1">IFERROR(__xludf.DUMMYFUNCTION("IF(ISBLANK(A319),"""",GOOGLETRANSLATE(A319,""en"",""fr""))"),"")</f>
        <v/>
      </c>
    </row>
    <row r="320" spans="2:2">
      <c r="B320" s="3" t="str">
        <f ca="1">IFERROR(__xludf.DUMMYFUNCTION("IF(ISBLANK(A320),"""",GOOGLETRANSLATE(A320,""en"",""fr""))"),"")</f>
        <v/>
      </c>
    </row>
    <row r="321" spans="2:2">
      <c r="B321" s="3" t="str">
        <f ca="1">IFERROR(__xludf.DUMMYFUNCTION("IF(ISBLANK(A321),"""",GOOGLETRANSLATE(A321,""en"",""fr""))"),"")</f>
        <v/>
      </c>
    </row>
    <row r="322" spans="2:2">
      <c r="B322" s="3" t="str">
        <f ca="1">IFERROR(__xludf.DUMMYFUNCTION("IF(ISBLANK(A322),"""",GOOGLETRANSLATE(A322,""en"",""fr""))"),"")</f>
        <v/>
      </c>
    </row>
    <row r="323" spans="2:2">
      <c r="B323" s="3" t="str">
        <f ca="1">IFERROR(__xludf.DUMMYFUNCTION("IF(ISBLANK(A323),"""",GOOGLETRANSLATE(A323,""en"",""fr""))"),"")</f>
        <v/>
      </c>
    </row>
    <row r="324" spans="2:2">
      <c r="B324" s="3" t="str">
        <f ca="1">IFERROR(__xludf.DUMMYFUNCTION("IF(ISBLANK(A324),"""",GOOGLETRANSLATE(A324,""en"",""fr""))"),"")</f>
        <v/>
      </c>
    </row>
    <row r="325" spans="2:2">
      <c r="B325" s="3" t="str">
        <f ca="1">IFERROR(__xludf.DUMMYFUNCTION("IF(ISBLANK(A325),"""",GOOGLETRANSLATE(A325,""en"",""fr""))"),"")</f>
        <v/>
      </c>
    </row>
    <row r="326" spans="2:2">
      <c r="B326" s="3" t="str">
        <f ca="1">IFERROR(__xludf.DUMMYFUNCTION("IF(ISBLANK(A326),"""",GOOGLETRANSLATE(A326,""en"",""fr""))"),"")</f>
        <v/>
      </c>
    </row>
    <row r="327" spans="2:2">
      <c r="B327" s="3" t="str">
        <f ca="1">IFERROR(__xludf.DUMMYFUNCTION("IF(ISBLANK(A327),"""",GOOGLETRANSLATE(A327,""en"",""fr""))"),"")</f>
        <v/>
      </c>
    </row>
    <row r="328" spans="2:2">
      <c r="B328" s="3" t="str">
        <f ca="1">IFERROR(__xludf.DUMMYFUNCTION("IF(ISBLANK(A328),"""",GOOGLETRANSLATE(A328,""en"",""fr""))"),"")</f>
        <v/>
      </c>
    </row>
    <row r="329" spans="2:2">
      <c r="B329" s="3" t="str">
        <f ca="1">IFERROR(__xludf.DUMMYFUNCTION("IF(ISBLANK(A329),"""",GOOGLETRANSLATE(A329,""en"",""fr""))"),"")</f>
        <v/>
      </c>
    </row>
    <row r="330" spans="2:2">
      <c r="B330" s="3" t="str">
        <f ca="1">IFERROR(__xludf.DUMMYFUNCTION("IF(ISBLANK(A330),"""",GOOGLETRANSLATE(A330,""en"",""fr""))"),"")</f>
        <v/>
      </c>
    </row>
    <row r="331" spans="2:2">
      <c r="B331" s="3" t="str">
        <f ca="1">IFERROR(__xludf.DUMMYFUNCTION("IF(ISBLANK(A331),"""",GOOGLETRANSLATE(A331,""en"",""fr""))"),"")</f>
        <v/>
      </c>
    </row>
    <row r="332" spans="2:2">
      <c r="B332" s="3" t="str">
        <f ca="1">IFERROR(__xludf.DUMMYFUNCTION("IF(ISBLANK(A332),"""",GOOGLETRANSLATE(A332,""en"",""fr""))"),"")</f>
        <v/>
      </c>
    </row>
    <row r="333" spans="2:2">
      <c r="B333" s="3" t="str">
        <f ca="1">IFERROR(__xludf.DUMMYFUNCTION("IF(ISBLANK(A333),"""",GOOGLETRANSLATE(A333,""en"",""fr""))"),"")</f>
        <v/>
      </c>
    </row>
    <row r="334" spans="2:2">
      <c r="B334" s="3" t="str">
        <f ca="1">IFERROR(__xludf.DUMMYFUNCTION("IF(ISBLANK(A334),"""",GOOGLETRANSLATE(A334,""en"",""fr""))"),"")</f>
        <v/>
      </c>
    </row>
    <row r="335" spans="2:2">
      <c r="B335" s="3" t="str">
        <f ca="1">IFERROR(__xludf.DUMMYFUNCTION("IF(ISBLANK(A335),"""",GOOGLETRANSLATE(A335,""en"",""fr""))"),"")</f>
        <v/>
      </c>
    </row>
    <row r="336" spans="2:2">
      <c r="B336" s="3" t="str">
        <f ca="1">IFERROR(__xludf.DUMMYFUNCTION("IF(ISBLANK(A336),"""",GOOGLETRANSLATE(A336,""en"",""fr""))"),"")</f>
        <v/>
      </c>
    </row>
    <row r="337" spans="2:2">
      <c r="B337" s="3" t="str">
        <f ca="1">IFERROR(__xludf.DUMMYFUNCTION("IF(ISBLANK(A337),"""",GOOGLETRANSLATE(A337,""en"",""fr""))"),"")</f>
        <v/>
      </c>
    </row>
    <row r="338" spans="2:2">
      <c r="B338" s="3" t="str">
        <f ca="1">IFERROR(__xludf.DUMMYFUNCTION("IF(ISBLANK(A338),"""",GOOGLETRANSLATE(A338,""en"",""fr""))"),"")</f>
        <v/>
      </c>
    </row>
    <row r="339" spans="2:2">
      <c r="B339" s="3" t="str">
        <f ca="1">IFERROR(__xludf.DUMMYFUNCTION("IF(ISBLANK(A339),"""",GOOGLETRANSLATE(A339,""en"",""fr""))"),"")</f>
        <v/>
      </c>
    </row>
    <row r="340" spans="2:2">
      <c r="B340" s="3" t="str">
        <f ca="1">IFERROR(__xludf.DUMMYFUNCTION("IF(ISBLANK(A340),"""",GOOGLETRANSLATE(A340,""en"",""fr""))"),"")</f>
        <v/>
      </c>
    </row>
    <row r="341" spans="2:2">
      <c r="B341" s="3" t="str">
        <f ca="1">IFERROR(__xludf.DUMMYFUNCTION("IF(ISBLANK(A341),"""",GOOGLETRANSLATE(A341,""en"",""fr""))"),"")</f>
        <v/>
      </c>
    </row>
    <row r="342" spans="2:2">
      <c r="B342" s="3" t="str">
        <f ca="1">IFERROR(__xludf.DUMMYFUNCTION("IF(ISBLANK(A342),"""",GOOGLETRANSLATE(A342,""en"",""fr""))"),"")</f>
        <v/>
      </c>
    </row>
    <row r="343" spans="2:2">
      <c r="B343" s="3" t="str">
        <f ca="1">IFERROR(__xludf.DUMMYFUNCTION("IF(ISBLANK(A343),"""",GOOGLETRANSLATE(A343,""en"",""fr""))"),"")</f>
        <v/>
      </c>
    </row>
    <row r="344" spans="2:2">
      <c r="B344" s="3" t="str">
        <f ca="1">IFERROR(__xludf.DUMMYFUNCTION("IF(ISBLANK(A344),"""",GOOGLETRANSLATE(A344,""en"",""fr""))"),"")</f>
        <v/>
      </c>
    </row>
    <row r="345" spans="2:2">
      <c r="B345" s="3" t="str">
        <f ca="1">IFERROR(__xludf.DUMMYFUNCTION("IF(ISBLANK(A345),"""",GOOGLETRANSLATE(A345,""en"",""fr""))"),"")</f>
        <v/>
      </c>
    </row>
    <row r="346" spans="2:2">
      <c r="B346" s="3" t="str">
        <f ca="1">IFERROR(__xludf.DUMMYFUNCTION("IF(ISBLANK(A346),"""",GOOGLETRANSLATE(A346,""en"",""fr""))"),"")</f>
        <v/>
      </c>
    </row>
    <row r="347" spans="2:2">
      <c r="B347" s="3" t="str">
        <f ca="1">IFERROR(__xludf.DUMMYFUNCTION("IF(ISBLANK(A347),"""",GOOGLETRANSLATE(A347,""en"",""fr""))"),"")</f>
        <v/>
      </c>
    </row>
    <row r="348" spans="2:2">
      <c r="B348" s="3" t="str">
        <f ca="1">IFERROR(__xludf.DUMMYFUNCTION("IF(ISBLANK(A348),"""",GOOGLETRANSLATE(A348,""en"",""fr""))"),"")</f>
        <v/>
      </c>
    </row>
    <row r="349" spans="2:2">
      <c r="B349" s="3" t="str">
        <f ca="1">IFERROR(__xludf.DUMMYFUNCTION("IF(ISBLANK(A349),"""",GOOGLETRANSLATE(A349,""en"",""fr""))"),"")</f>
        <v/>
      </c>
    </row>
    <row r="350" spans="2:2">
      <c r="B350" s="3" t="str">
        <f ca="1">IFERROR(__xludf.DUMMYFUNCTION("IF(ISBLANK(A350),"""",GOOGLETRANSLATE(A350,""en"",""fr""))"),"")</f>
        <v/>
      </c>
    </row>
    <row r="351" spans="2:2">
      <c r="B351" s="3" t="str">
        <f ca="1">IFERROR(__xludf.DUMMYFUNCTION("IF(ISBLANK(A351),"""",GOOGLETRANSLATE(A351,""en"",""fr""))"),"")</f>
        <v/>
      </c>
    </row>
    <row r="352" spans="2:2">
      <c r="B352" s="3" t="str">
        <f ca="1">IFERROR(__xludf.DUMMYFUNCTION("IF(ISBLANK(A352),"""",GOOGLETRANSLATE(A352,""en"",""fr""))"),"")</f>
        <v/>
      </c>
    </row>
    <row r="353" spans="2:2">
      <c r="B353" s="3" t="str">
        <f ca="1">IFERROR(__xludf.DUMMYFUNCTION("IF(ISBLANK(A353),"""",GOOGLETRANSLATE(A353,""en"",""fr""))"),"")</f>
        <v/>
      </c>
    </row>
    <row r="354" spans="2:2">
      <c r="B354" s="3" t="str">
        <f ca="1">IFERROR(__xludf.DUMMYFUNCTION("IF(ISBLANK(A354),"""",GOOGLETRANSLATE(A354,""en"",""fr""))"),"")</f>
        <v/>
      </c>
    </row>
    <row r="355" spans="2:2">
      <c r="B355" s="3" t="str">
        <f ca="1">IFERROR(__xludf.DUMMYFUNCTION("IF(ISBLANK(A355),"""",GOOGLETRANSLATE(A355,""en"",""fr""))"),"")</f>
        <v/>
      </c>
    </row>
    <row r="356" spans="2:2">
      <c r="B356" s="3" t="str">
        <f ca="1">IFERROR(__xludf.DUMMYFUNCTION("IF(ISBLANK(A356),"""",GOOGLETRANSLATE(A356,""en"",""fr""))"),"")</f>
        <v/>
      </c>
    </row>
    <row r="357" spans="2:2">
      <c r="B357" s="3" t="str">
        <f ca="1">IFERROR(__xludf.DUMMYFUNCTION("IF(ISBLANK(A357),"""",GOOGLETRANSLATE(A357,""en"",""fr""))"),"")</f>
        <v/>
      </c>
    </row>
    <row r="358" spans="2:2">
      <c r="B358" s="3" t="str">
        <f ca="1">IFERROR(__xludf.DUMMYFUNCTION("IF(ISBLANK(A358),"""",GOOGLETRANSLATE(A358,""en"",""fr""))"),"")</f>
        <v/>
      </c>
    </row>
    <row r="359" spans="2:2">
      <c r="B359" s="3" t="str">
        <f ca="1">IFERROR(__xludf.DUMMYFUNCTION("IF(ISBLANK(A359),"""",GOOGLETRANSLATE(A359,""en"",""fr""))"),"")</f>
        <v/>
      </c>
    </row>
    <row r="360" spans="2:2">
      <c r="B360" s="3" t="str">
        <f ca="1">IFERROR(__xludf.DUMMYFUNCTION("IF(ISBLANK(A360),"""",GOOGLETRANSLATE(A360,""en"",""fr""))"),"")</f>
        <v/>
      </c>
    </row>
    <row r="361" spans="2:2">
      <c r="B361" s="3" t="str">
        <f ca="1">IFERROR(__xludf.DUMMYFUNCTION("IF(ISBLANK(A361),"""",GOOGLETRANSLATE(A361,""en"",""fr""))"),"")</f>
        <v/>
      </c>
    </row>
    <row r="362" spans="2:2">
      <c r="B362" s="3" t="str">
        <f ca="1">IFERROR(__xludf.DUMMYFUNCTION("IF(ISBLANK(A362),"""",GOOGLETRANSLATE(A362,""en"",""fr""))"),"")</f>
        <v/>
      </c>
    </row>
    <row r="363" spans="2:2">
      <c r="B363" s="3" t="str">
        <f ca="1">IFERROR(__xludf.DUMMYFUNCTION("IF(ISBLANK(A363),"""",GOOGLETRANSLATE(A363,""en"",""fr""))"),"")</f>
        <v/>
      </c>
    </row>
    <row r="364" spans="2:2">
      <c r="B364" s="3" t="str">
        <f ca="1">IFERROR(__xludf.DUMMYFUNCTION("IF(ISBLANK(A364),"""",GOOGLETRANSLATE(A364,""en"",""fr""))"),"")</f>
        <v/>
      </c>
    </row>
    <row r="365" spans="2:2">
      <c r="B365" s="3" t="str">
        <f ca="1">IFERROR(__xludf.DUMMYFUNCTION("IF(ISBLANK(A365),"""",GOOGLETRANSLATE(A365,""en"",""fr""))"),"")</f>
        <v/>
      </c>
    </row>
    <row r="366" spans="2:2">
      <c r="B366" s="3" t="str">
        <f ca="1">IFERROR(__xludf.DUMMYFUNCTION("IF(ISBLANK(A366),"""",GOOGLETRANSLATE(A366,""en"",""fr""))"),"")</f>
        <v/>
      </c>
    </row>
    <row r="367" spans="2:2">
      <c r="B367" s="3" t="str">
        <f ca="1">IFERROR(__xludf.DUMMYFUNCTION("IF(ISBLANK(A367),"""",GOOGLETRANSLATE(A367,""en"",""fr""))"),"")</f>
        <v/>
      </c>
    </row>
    <row r="368" spans="2:2">
      <c r="B368" s="3" t="str">
        <f ca="1">IFERROR(__xludf.DUMMYFUNCTION("IF(ISBLANK(A368),"""",GOOGLETRANSLATE(A368,""en"",""fr""))"),"")</f>
        <v/>
      </c>
    </row>
    <row r="369" spans="2:2">
      <c r="B369" s="3" t="str">
        <f ca="1">IFERROR(__xludf.DUMMYFUNCTION("IF(ISBLANK(A369),"""",GOOGLETRANSLATE(A369,""en"",""fr""))"),"")</f>
        <v/>
      </c>
    </row>
    <row r="370" spans="2:2">
      <c r="B370" s="3" t="str">
        <f ca="1">IFERROR(__xludf.DUMMYFUNCTION("IF(ISBLANK(A370),"""",GOOGLETRANSLATE(A370,""en"",""fr""))"),"")</f>
        <v/>
      </c>
    </row>
    <row r="371" spans="2:2">
      <c r="B371" s="3" t="str">
        <f ca="1">IFERROR(__xludf.DUMMYFUNCTION("IF(ISBLANK(A371),"""",GOOGLETRANSLATE(A371,""en"",""fr""))"),"")</f>
        <v/>
      </c>
    </row>
    <row r="372" spans="2:2">
      <c r="B372" s="3" t="str">
        <f ca="1">IFERROR(__xludf.DUMMYFUNCTION("IF(ISBLANK(A372),"""",GOOGLETRANSLATE(A372,""en"",""fr""))"),"")</f>
        <v/>
      </c>
    </row>
    <row r="373" spans="2:2">
      <c r="B373" s="3" t="str">
        <f ca="1">IFERROR(__xludf.DUMMYFUNCTION("IF(ISBLANK(A373),"""",GOOGLETRANSLATE(A373,""en"",""fr""))"),"")</f>
        <v/>
      </c>
    </row>
    <row r="374" spans="2:2">
      <c r="B374" s="3" t="str">
        <f ca="1">IFERROR(__xludf.DUMMYFUNCTION("IF(ISBLANK(A374),"""",GOOGLETRANSLATE(A374,""en"",""fr""))"),"")</f>
        <v/>
      </c>
    </row>
    <row r="375" spans="2:2">
      <c r="B375" s="3" t="str">
        <f ca="1">IFERROR(__xludf.DUMMYFUNCTION("IF(ISBLANK(A375),"""",GOOGLETRANSLATE(A375,""en"",""fr""))"),"")</f>
        <v/>
      </c>
    </row>
    <row r="376" spans="2:2">
      <c r="B376" s="3" t="str">
        <f ca="1">IFERROR(__xludf.DUMMYFUNCTION("IF(ISBLANK(A376),"""",GOOGLETRANSLATE(A376,""en"",""fr""))"),"")</f>
        <v/>
      </c>
    </row>
    <row r="377" spans="2:2">
      <c r="B377" s="3" t="str">
        <f ca="1">IFERROR(__xludf.DUMMYFUNCTION("IF(ISBLANK(A377),"""",GOOGLETRANSLATE(A377,""en"",""fr""))"),"")</f>
        <v/>
      </c>
    </row>
    <row r="378" spans="2:2">
      <c r="B378" s="3" t="str">
        <f ca="1">IFERROR(__xludf.DUMMYFUNCTION("IF(ISBLANK(A378),"""",GOOGLETRANSLATE(A378,""en"",""fr""))"),"")</f>
        <v/>
      </c>
    </row>
    <row r="379" spans="2:2">
      <c r="B379" s="3" t="str">
        <f ca="1">IFERROR(__xludf.DUMMYFUNCTION("IF(ISBLANK(A379),"""",GOOGLETRANSLATE(A379,""en"",""fr""))"),"")</f>
        <v/>
      </c>
    </row>
    <row r="380" spans="2:2">
      <c r="B380" s="3" t="str">
        <f ca="1">IFERROR(__xludf.DUMMYFUNCTION("IF(ISBLANK(A380),"""",GOOGLETRANSLATE(A380,""en"",""fr""))"),"")</f>
        <v/>
      </c>
    </row>
    <row r="381" spans="2:2">
      <c r="B381" s="3" t="str">
        <f ca="1">IFERROR(__xludf.DUMMYFUNCTION("IF(ISBLANK(A381),"""",GOOGLETRANSLATE(A381,""en"",""fr""))"),"")</f>
        <v/>
      </c>
    </row>
    <row r="382" spans="2:2">
      <c r="B382" s="3" t="str">
        <f ca="1">IFERROR(__xludf.DUMMYFUNCTION("IF(ISBLANK(A382),"""",GOOGLETRANSLATE(A382,""en"",""fr""))"),"")</f>
        <v/>
      </c>
    </row>
    <row r="383" spans="2:2">
      <c r="B383" s="3" t="str">
        <f ca="1">IFERROR(__xludf.DUMMYFUNCTION("IF(ISBLANK(A383),"""",GOOGLETRANSLATE(A383,""en"",""fr""))"),"")</f>
        <v/>
      </c>
    </row>
    <row r="384" spans="2:2">
      <c r="B384" s="3" t="str">
        <f ca="1">IFERROR(__xludf.DUMMYFUNCTION("IF(ISBLANK(A384),"""",GOOGLETRANSLATE(A384,""en"",""fr""))"),"")</f>
        <v/>
      </c>
    </row>
    <row r="385" spans="2:2">
      <c r="B385" s="3" t="str">
        <f ca="1">IFERROR(__xludf.DUMMYFUNCTION("IF(ISBLANK(A385),"""",GOOGLETRANSLATE(A385,""en"",""fr""))"),"")</f>
        <v/>
      </c>
    </row>
    <row r="386" spans="2:2">
      <c r="B386" s="3" t="str">
        <f ca="1">IFERROR(__xludf.DUMMYFUNCTION("IF(ISBLANK(A386),"""",GOOGLETRANSLATE(A386,""en"",""fr""))"),"")</f>
        <v/>
      </c>
    </row>
    <row r="387" spans="2:2">
      <c r="B387" s="3" t="str">
        <f ca="1">IFERROR(__xludf.DUMMYFUNCTION("IF(ISBLANK(A387),"""",GOOGLETRANSLATE(A387,""en"",""fr""))"),"")</f>
        <v/>
      </c>
    </row>
    <row r="388" spans="2:2">
      <c r="B388" s="3" t="str">
        <f ca="1">IFERROR(__xludf.DUMMYFUNCTION("IF(ISBLANK(A388),"""",GOOGLETRANSLATE(A388,""en"",""fr""))"),"")</f>
        <v/>
      </c>
    </row>
    <row r="389" spans="2:2">
      <c r="B389" s="3" t="str">
        <f ca="1">IFERROR(__xludf.DUMMYFUNCTION("IF(ISBLANK(A389),"""",GOOGLETRANSLATE(A389,""en"",""fr""))"),"")</f>
        <v/>
      </c>
    </row>
    <row r="390" spans="2:2">
      <c r="B390" s="3" t="str">
        <f ca="1">IFERROR(__xludf.DUMMYFUNCTION("IF(ISBLANK(A390),"""",GOOGLETRANSLATE(A390,""en"",""fr""))"),"")</f>
        <v/>
      </c>
    </row>
    <row r="391" spans="2:2">
      <c r="B391" s="3" t="str">
        <f ca="1">IFERROR(__xludf.DUMMYFUNCTION("IF(ISBLANK(A391),"""",GOOGLETRANSLATE(A391,""en"",""fr""))"),"")</f>
        <v/>
      </c>
    </row>
    <row r="392" spans="2:2">
      <c r="B392" s="3" t="str">
        <f ca="1">IFERROR(__xludf.DUMMYFUNCTION("IF(ISBLANK(A392),"""",GOOGLETRANSLATE(A392,""en"",""fr""))"),"")</f>
        <v/>
      </c>
    </row>
    <row r="393" spans="2:2">
      <c r="B393" s="3" t="str">
        <f ca="1">IFERROR(__xludf.DUMMYFUNCTION("IF(ISBLANK(A393),"""",GOOGLETRANSLATE(A393,""en"",""fr""))"),"")</f>
        <v/>
      </c>
    </row>
    <row r="394" spans="2:2">
      <c r="B394" s="3" t="str">
        <f ca="1">IFERROR(__xludf.DUMMYFUNCTION("IF(ISBLANK(A394),"""",GOOGLETRANSLATE(A394,""en"",""fr""))"),"")</f>
        <v/>
      </c>
    </row>
    <row r="395" spans="2:2">
      <c r="B395" s="3" t="str">
        <f ca="1">IFERROR(__xludf.DUMMYFUNCTION("IF(ISBLANK(A395),"""",GOOGLETRANSLATE(A395,""en"",""fr""))"),"")</f>
        <v/>
      </c>
    </row>
    <row r="396" spans="2:2">
      <c r="B396" s="3" t="str">
        <f ca="1">IFERROR(__xludf.DUMMYFUNCTION("IF(ISBLANK(A396),"""",GOOGLETRANSLATE(A396,""en"",""fr""))"),"")</f>
        <v/>
      </c>
    </row>
    <row r="397" spans="2:2">
      <c r="B397" s="3" t="str">
        <f ca="1">IFERROR(__xludf.DUMMYFUNCTION("IF(ISBLANK(A397),"""",GOOGLETRANSLATE(A397,""en"",""fr""))"),"")</f>
        <v/>
      </c>
    </row>
    <row r="398" spans="2:2">
      <c r="B398" s="3" t="str">
        <f ca="1">IFERROR(__xludf.DUMMYFUNCTION("IF(ISBLANK(A398),"""",GOOGLETRANSLATE(A398,""en"",""fr""))"),"")</f>
        <v/>
      </c>
    </row>
    <row r="399" spans="2:2">
      <c r="B399" s="3" t="str">
        <f ca="1">IFERROR(__xludf.DUMMYFUNCTION("IF(ISBLANK(A399),"""",GOOGLETRANSLATE(A399,""en"",""fr""))"),"")</f>
        <v/>
      </c>
    </row>
    <row r="400" spans="2:2">
      <c r="B400" s="3" t="str">
        <f ca="1">IFERROR(__xludf.DUMMYFUNCTION("IF(ISBLANK(A400),"""",GOOGLETRANSLATE(A400,""en"",""fr""))"),"")</f>
        <v/>
      </c>
    </row>
    <row r="401" spans="2:2">
      <c r="B401" s="3" t="str">
        <f ca="1">IFERROR(__xludf.DUMMYFUNCTION("IF(ISBLANK(A401),"""",GOOGLETRANSLATE(A401,""en"",""fr""))"),"")</f>
        <v/>
      </c>
    </row>
    <row r="402" spans="2:2">
      <c r="B402" s="3" t="str">
        <f ca="1">IFERROR(__xludf.DUMMYFUNCTION("IF(ISBLANK(A402),"""",GOOGLETRANSLATE(A402,""en"",""fr""))"),"")</f>
        <v/>
      </c>
    </row>
    <row r="403" spans="2:2">
      <c r="B403" s="3" t="str">
        <f ca="1">IFERROR(__xludf.DUMMYFUNCTION("IF(ISBLANK(A403),"""",GOOGLETRANSLATE(A403,""en"",""fr""))"),"")</f>
        <v/>
      </c>
    </row>
    <row r="404" spans="2:2">
      <c r="B404" s="3" t="str">
        <f ca="1">IFERROR(__xludf.DUMMYFUNCTION("IF(ISBLANK(A404),"""",GOOGLETRANSLATE(A404,""en"",""fr""))"),"")</f>
        <v/>
      </c>
    </row>
    <row r="405" spans="2:2">
      <c r="B405" s="3" t="str">
        <f ca="1">IFERROR(__xludf.DUMMYFUNCTION("IF(ISBLANK(A405),"""",GOOGLETRANSLATE(A405,""en"",""fr""))"),"")</f>
        <v/>
      </c>
    </row>
    <row r="406" spans="2:2">
      <c r="B406" s="3" t="str">
        <f ca="1">IFERROR(__xludf.DUMMYFUNCTION("IF(ISBLANK(A406),"""",GOOGLETRANSLATE(A406,""en"",""fr""))"),"")</f>
        <v/>
      </c>
    </row>
    <row r="407" spans="2:2">
      <c r="B407" s="3" t="str">
        <f ca="1">IFERROR(__xludf.DUMMYFUNCTION("IF(ISBLANK(A407),"""",GOOGLETRANSLATE(A407,""en"",""fr""))"),"")</f>
        <v/>
      </c>
    </row>
    <row r="408" spans="2:2">
      <c r="B408" s="3" t="str">
        <f ca="1">IFERROR(__xludf.DUMMYFUNCTION("IF(ISBLANK(A408),"""",GOOGLETRANSLATE(A408,""en"",""fr""))"),"")</f>
        <v/>
      </c>
    </row>
    <row r="409" spans="2:2">
      <c r="B409" s="3" t="str">
        <f ca="1">IFERROR(__xludf.DUMMYFUNCTION("IF(ISBLANK(A409),"""",GOOGLETRANSLATE(A409,""en"",""fr""))"),"")</f>
        <v/>
      </c>
    </row>
    <row r="410" spans="2:2">
      <c r="B410" s="3" t="str">
        <f ca="1">IFERROR(__xludf.DUMMYFUNCTION("IF(ISBLANK(A410),"""",GOOGLETRANSLATE(A410,""en"",""fr""))"),"")</f>
        <v/>
      </c>
    </row>
    <row r="411" spans="2:2">
      <c r="B411" s="3" t="str">
        <f ca="1">IFERROR(__xludf.DUMMYFUNCTION("IF(ISBLANK(A411),"""",GOOGLETRANSLATE(A411,""en"",""fr""))"),"")</f>
        <v/>
      </c>
    </row>
    <row r="412" spans="2:2">
      <c r="B412" s="3" t="str">
        <f ca="1">IFERROR(__xludf.DUMMYFUNCTION("IF(ISBLANK(A412),"""",GOOGLETRANSLATE(A412,""en"",""fr""))"),"")</f>
        <v/>
      </c>
    </row>
    <row r="413" spans="2:2">
      <c r="B413" s="3" t="str">
        <f ca="1">IFERROR(__xludf.DUMMYFUNCTION("IF(ISBLANK(A413),"""",GOOGLETRANSLATE(A413,""en"",""fr""))"),"")</f>
        <v/>
      </c>
    </row>
    <row r="414" spans="2:2">
      <c r="B414" s="3" t="str">
        <f ca="1">IFERROR(__xludf.DUMMYFUNCTION("IF(ISBLANK(A414),"""",GOOGLETRANSLATE(A414,""en"",""fr""))"),"")</f>
        <v/>
      </c>
    </row>
    <row r="415" spans="2:2">
      <c r="B415" s="3" t="str">
        <f ca="1">IFERROR(__xludf.DUMMYFUNCTION("IF(ISBLANK(A415),"""",GOOGLETRANSLATE(A415,""en"",""fr""))"),"")</f>
        <v/>
      </c>
    </row>
    <row r="416" spans="2:2">
      <c r="B416" s="3" t="str">
        <f ca="1">IFERROR(__xludf.DUMMYFUNCTION("IF(ISBLANK(A416),"""",GOOGLETRANSLATE(A416,""en"",""fr""))"),"")</f>
        <v/>
      </c>
    </row>
    <row r="417" spans="2:2">
      <c r="B417" s="3" t="str">
        <f ca="1">IFERROR(__xludf.DUMMYFUNCTION("IF(ISBLANK(A417),"""",GOOGLETRANSLATE(A417,""en"",""fr""))"),"")</f>
        <v/>
      </c>
    </row>
    <row r="418" spans="2:2">
      <c r="B418" s="3" t="str">
        <f ca="1">IFERROR(__xludf.DUMMYFUNCTION("IF(ISBLANK(A418),"""",GOOGLETRANSLATE(A418,""en"",""fr""))"),"")</f>
        <v/>
      </c>
    </row>
    <row r="419" spans="2:2">
      <c r="B419" s="3" t="str">
        <f ca="1">IFERROR(__xludf.DUMMYFUNCTION("IF(ISBLANK(A419),"""",GOOGLETRANSLATE(A419,""en"",""fr""))"),"")</f>
        <v/>
      </c>
    </row>
    <row r="420" spans="2:2">
      <c r="B420" s="3" t="str">
        <f ca="1">IFERROR(__xludf.DUMMYFUNCTION("IF(ISBLANK(A420),"""",GOOGLETRANSLATE(A420,""en"",""fr""))"),"")</f>
        <v/>
      </c>
    </row>
    <row r="421" spans="2:2">
      <c r="B421" s="3" t="str">
        <f ca="1">IFERROR(__xludf.DUMMYFUNCTION("IF(ISBLANK(A421),"""",GOOGLETRANSLATE(A421,""en"",""fr""))"),"")</f>
        <v/>
      </c>
    </row>
    <row r="422" spans="2:2">
      <c r="B422" s="3" t="str">
        <f ca="1">IFERROR(__xludf.DUMMYFUNCTION("IF(ISBLANK(A422),"""",GOOGLETRANSLATE(A422,""en"",""fr""))"),"")</f>
        <v/>
      </c>
    </row>
    <row r="423" spans="2:2">
      <c r="B423" s="3" t="str">
        <f ca="1">IFERROR(__xludf.DUMMYFUNCTION("IF(ISBLANK(A423),"""",GOOGLETRANSLATE(A423,""en"",""fr""))"),"")</f>
        <v/>
      </c>
    </row>
    <row r="424" spans="2:2">
      <c r="B424" s="3" t="str">
        <f ca="1">IFERROR(__xludf.DUMMYFUNCTION("IF(ISBLANK(A424),"""",GOOGLETRANSLATE(A424,""en"",""fr""))"),"")</f>
        <v/>
      </c>
    </row>
    <row r="425" spans="2:2">
      <c r="B425" s="3" t="str">
        <f ca="1">IFERROR(__xludf.DUMMYFUNCTION("IF(ISBLANK(A425),"""",GOOGLETRANSLATE(A425,""en"",""fr""))"),"")</f>
        <v/>
      </c>
    </row>
    <row r="426" spans="2:2">
      <c r="B426" s="3" t="str">
        <f ca="1">IFERROR(__xludf.DUMMYFUNCTION("IF(ISBLANK(A426),"""",GOOGLETRANSLATE(A426,""en"",""fr""))"),"")</f>
        <v/>
      </c>
    </row>
    <row r="427" spans="2:2">
      <c r="B427" s="3" t="str">
        <f ca="1">IFERROR(__xludf.DUMMYFUNCTION("IF(ISBLANK(A427),"""",GOOGLETRANSLATE(A427,""en"",""fr""))"),"")</f>
        <v/>
      </c>
    </row>
    <row r="428" spans="2:2">
      <c r="B428" s="3" t="str">
        <f ca="1">IFERROR(__xludf.DUMMYFUNCTION("IF(ISBLANK(A428),"""",GOOGLETRANSLATE(A428,""en"",""fr""))"),"")</f>
        <v/>
      </c>
    </row>
    <row r="429" spans="2:2">
      <c r="B429" s="3" t="str">
        <f ca="1">IFERROR(__xludf.DUMMYFUNCTION("IF(ISBLANK(A429),"""",GOOGLETRANSLATE(A429,""en"",""fr""))"),"")</f>
        <v/>
      </c>
    </row>
    <row r="430" spans="2:2">
      <c r="B430" s="3" t="str">
        <f ca="1">IFERROR(__xludf.DUMMYFUNCTION("IF(ISBLANK(A430),"""",GOOGLETRANSLATE(A430,""en"",""fr""))"),"")</f>
        <v/>
      </c>
    </row>
    <row r="431" spans="2:2">
      <c r="B431" s="3" t="str">
        <f ca="1">IFERROR(__xludf.DUMMYFUNCTION("IF(ISBLANK(A431),"""",GOOGLETRANSLATE(A431,""en"",""fr""))"),"")</f>
        <v/>
      </c>
    </row>
    <row r="432" spans="2:2">
      <c r="B432" s="3" t="str">
        <f ca="1">IFERROR(__xludf.DUMMYFUNCTION("IF(ISBLANK(A432),"""",GOOGLETRANSLATE(A432,""en"",""fr""))"),"")</f>
        <v/>
      </c>
    </row>
    <row r="433" spans="2:2">
      <c r="B433" s="3" t="str">
        <f ca="1">IFERROR(__xludf.DUMMYFUNCTION("IF(ISBLANK(A433),"""",GOOGLETRANSLATE(A433,""en"",""fr""))"),"")</f>
        <v/>
      </c>
    </row>
    <row r="434" spans="2:2">
      <c r="B434" s="3" t="str">
        <f ca="1">IFERROR(__xludf.DUMMYFUNCTION("IF(ISBLANK(A434),"""",GOOGLETRANSLATE(A434,""en"",""fr""))"),"")</f>
        <v/>
      </c>
    </row>
    <row r="435" spans="2:2">
      <c r="B435" s="3" t="str">
        <f ca="1">IFERROR(__xludf.DUMMYFUNCTION("IF(ISBLANK(A435),"""",GOOGLETRANSLATE(A435,""en"",""fr""))"),"")</f>
        <v/>
      </c>
    </row>
    <row r="436" spans="2:2">
      <c r="B436" s="3" t="str">
        <f ca="1">IFERROR(__xludf.DUMMYFUNCTION("IF(ISBLANK(A436),"""",GOOGLETRANSLATE(A436,""en"",""fr""))"),"")</f>
        <v/>
      </c>
    </row>
    <row r="437" spans="2:2">
      <c r="B437" s="3" t="str">
        <f ca="1">IFERROR(__xludf.DUMMYFUNCTION("IF(ISBLANK(A437),"""",GOOGLETRANSLATE(A437,""en"",""fr""))"),"")</f>
        <v/>
      </c>
    </row>
    <row r="438" spans="2:2">
      <c r="B438" s="3" t="str">
        <f ca="1">IFERROR(__xludf.DUMMYFUNCTION("IF(ISBLANK(A438),"""",GOOGLETRANSLATE(A438,""en"",""fr""))"),"")</f>
        <v/>
      </c>
    </row>
    <row r="439" spans="2:2">
      <c r="B439" s="3" t="str">
        <f ca="1">IFERROR(__xludf.DUMMYFUNCTION("IF(ISBLANK(A439),"""",GOOGLETRANSLATE(A439,""en"",""fr""))"),"")</f>
        <v/>
      </c>
    </row>
    <row r="440" spans="2:2">
      <c r="B440" s="3" t="str">
        <f ca="1">IFERROR(__xludf.DUMMYFUNCTION("IF(ISBLANK(A440),"""",GOOGLETRANSLATE(A440,""en"",""fr""))"),"")</f>
        <v/>
      </c>
    </row>
    <row r="441" spans="2:2">
      <c r="B441" s="3" t="str">
        <f ca="1">IFERROR(__xludf.DUMMYFUNCTION("IF(ISBLANK(A441),"""",GOOGLETRANSLATE(A441,""en"",""fr""))"),"")</f>
        <v/>
      </c>
    </row>
    <row r="442" spans="2:2">
      <c r="B442" s="3" t="str">
        <f ca="1">IFERROR(__xludf.DUMMYFUNCTION("IF(ISBLANK(A442),"""",GOOGLETRANSLATE(A442,""en"",""fr""))"),"")</f>
        <v/>
      </c>
    </row>
    <row r="443" spans="2:2">
      <c r="B443" s="3" t="str">
        <f ca="1">IFERROR(__xludf.DUMMYFUNCTION("IF(ISBLANK(A443),"""",GOOGLETRANSLATE(A443,""en"",""fr""))"),"")</f>
        <v/>
      </c>
    </row>
    <row r="444" spans="2:2">
      <c r="B444" s="3" t="str">
        <f ca="1">IFERROR(__xludf.DUMMYFUNCTION("IF(ISBLANK(A444),"""",GOOGLETRANSLATE(A444,""en"",""fr""))"),"")</f>
        <v/>
      </c>
    </row>
    <row r="445" spans="2:2">
      <c r="B445" s="3" t="str">
        <f ca="1">IFERROR(__xludf.DUMMYFUNCTION("IF(ISBLANK(A445),"""",GOOGLETRANSLATE(A445,""en"",""fr""))"),"")</f>
        <v/>
      </c>
    </row>
    <row r="446" spans="2:2">
      <c r="B446" s="3" t="str">
        <f ca="1">IFERROR(__xludf.DUMMYFUNCTION("IF(ISBLANK(A446),"""",GOOGLETRANSLATE(A446,""en"",""fr""))"),"")</f>
        <v/>
      </c>
    </row>
    <row r="447" spans="2:2">
      <c r="B447" s="3" t="str">
        <f ca="1">IFERROR(__xludf.DUMMYFUNCTION("IF(ISBLANK(A447),"""",GOOGLETRANSLATE(A447,""en"",""fr""))"),"")</f>
        <v/>
      </c>
    </row>
    <row r="448" spans="2:2">
      <c r="B448" s="3" t="str">
        <f ca="1">IFERROR(__xludf.DUMMYFUNCTION("IF(ISBLANK(A448),"""",GOOGLETRANSLATE(A448,""en"",""fr""))"),"")</f>
        <v/>
      </c>
    </row>
    <row r="449" spans="2:2">
      <c r="B449" s="3" t="str">
        <f ca="1">IFERROR(__xludf.DUMMYFUNCTION("IF(ISBLANK(A449),"""",GOOGLETRANSLATE(A449,""en"",""fr""))"),"")</f>
        <v/>
      </c>
    </row>
    <row r="450" spans="2:2">
      <c r="B450" s="3" t="str">
        <f ca="1">IFERROR(__xludf.DUMMYFUNCTION("IF(ISBLANK(A450),"""",GOOGLETRANSLATE(A450,""en"",""fr""))"),"")</f>
        <v/>
      </c>
    </row>
    <row r="451" spans="2:2">
      <c r="B451" s="3" t="str">
        <f ca="1">IFERROR(__xludf.DUMMYFUNCTION("IF(ISBLANK(A451),"""",GOOGLETRANSLATE(A451,""en"",""fr""))"),"")</f>
        <v/>
      </c>
    </row>
    <row r="452" spans="2:2">
      <c r="B452" s="3" t="str">
        <f ca="1">IFERROR(__xludf.DUMMYFUNCTION("IF(ISBLANK(A452),"""",GOOGLETRANSLATE(A452,""en"",""fr""))"),"")</f>
        <v/>
      </c>
    </row>
    <row r="453" spans="2:2">
      <c r="B453" s="3" t="str">
        <f ca="1">IFERROR(__xludf.DUMMYFUNCTION("IF(ISBLANK(A453),"""",GOOGLETRANSLATE(A453,""en"",""fr""))"),"")</f>
        <v/>
      </c>
    </row>
    <row r="454" spans="2:2">
      <c r="B454" s="3" t="str">
        <f ca="1">IFERROR(__xludf.DUMMYFUNCTION("IF(ISBLANK(A454),"""",GOOGLETRANSLATE(A454,""en"",""fr""))"),"")</f>
        <v/>
      </c>
    </row>
    <row r="455" spans="2:2">
      <c r="B455" s="3" t="str">
        <f ca="1">IFERROR(__xludf.DUMMYFUNCTION("IF(ISBLANK(A455),"""",GOOGLETRANSLATE(A455,""en"",""fr""))"),"")</f>
        <v/>
      </c>
    </row>
    <row r="456" spans="2:2">
      <c r="B456" s="3" t="str">
        <f ca="1">IFERROR(__xludf.DUMMYFUNCTION("IF(ISBLANK(A456),"""",GOOGLETRANSLATE(A456,""en"",""fr""))"),"")</f>
        <v/>
      </c>
    </row>
    <row r="457" spans="2:2">
      <c r="B457" s="3" t="str">
        <f ca="1">IFERROR(__xludf.DUMMYFUNCTION("IF(ISBLANK(A457),"""",GOOGLETRANSLATE(A457,""en"",""fr""))"),"")</f>
        <v/>
      </c>
    </row>
    <row r="458" spans="2:2">
      <c r="B458" s="3" t="str">
        <f ca="1">IFERROR(__xludf.DUMMYFUNCTION("IF(ISBLANK(A458),"""",GOOGLETRANSLATE(A458,""en"",""fr""))"),"")</f>
        <v/>
      </c>
    </row>
    <row r="459" spans="2:2">
      <c r="B459" s="3" t="str">
        <f ca="1">IFERROR(__xludf.DUMMYFUNCTION("IF(ISBLANK(A459),"""",GOOGLETRANSLATE(A459,""en"",""fr""))"),"")</f>
        <v/>
      </c>
    </row>
    <row r="460" spans="2:2">
      <c r="B460" s="3" t="str">
        <f ca="1">IFERROR(__xludf.DUMMYFUNCTION("IF(ISBLANK(A460),"""",GOOGLETRANSLATE(A460,""en"",""fr""))"),"")</f>
        <v/>
      </c>
    </row>
    <row r="461" spans="2:2">
      <c r="B461" s="3" t="str">
        <f ca="1">IFERROR(__xludf.DUMMYFUNCTION("IF(ISBLANK(A461),"""",GOOGLETRANSLATE(A461,""en"",""fr""))"),"")</f>
        <v/>
      </c>
    </row>
    <row r="462" spans="2:2">
      <c r="B462" s="3" t="str">
        <f ca="1">IFERROR(__xludf.DUMMYFUNCTION("IF(ISBLANK(A462),"""",GOOGLETRANSLATE(A462,""en"",""fr""))"),"")</f>
        <v/>
      </c>
    </row>
    <row r="463" spans="2:2">
      <c r="B463" s="3" t="str">
        <f ca="1">IFERROR(__xludf.DUMMYFUNCTION("IF(ISBLANK(A463),"""",GOOGLETRANSLATE(A463,""en"",""fr""))"),"")</f>
        <v/>
      </c>
    </row>
    <row r="464" spans="2:2">
      <c r="B464" s="3" t="str">
        <f ca="1">IFERROR(__xludf.DUMMYFUNCTION("IF(ISBLANK(A464),"""",GOOGLETRANSLATE(A464,""en"",""fr""))"),"")</f>
        <v/>
      </c>
    </row>
    <row r="465" spans="2:2">
      <c r="B465" s="3" t="str">
        <f ca="1">IFERROR(__xludf.DUMMYFUNCTION("IF(ISBLANK(A465),"""",GOOGLETRANSLATE(A465,""en"",""fr""))"),"")</f>
        <v/>
      </c>
    </row>
    <row r="466" spans="2:2">
      <c r="B466" s="3" t="str">
        <f ca="1">IFERROR(__xludf.DUMMYFUNCTION("IF(ISBLANK(A466),"""",GOOGLETRANSLATE(A466,""en"",""fr""))"),"")</f>
        <v/>
      </c>
    </row>
    <row r="467" spans="2:2">
      <c r="B467" s="3" t="str">
        <f ca="1">IFERROR(__xludf.DUMMYFUNCTION("IF(ISBLANK(A467),"""",GOOGLETRANSLATE(A467,""en"",""fr""))"),"")</f>
        <v/>
      </c>
    </row>
    <row r="468" spans="2:2">
      <c r="B468" s="3" t="str">
        <f ca="1">IFERROR(__xludf.DUMMYFUNCTION("IF(ISBLANK(A468),"""",GOOGLETRANSLATE(A468,""en"",""fr""))"),"")</f>
        <v/>
      </c>
    </row>
    <row r="469" spans="2:2">
      <c r="B469" s="3" t="str">
        <f ca="1">IFERROR(__xludf.DUMMYFUNCTION("IF(ISBLANK(A469),"""",GOOGLETRANSLATE(A469,""en"",""fr""))"),"")</f>
        <v/>
      </c>
    </row>
    <row r="470" spans="2:2">
      <c r="B470" s="3" t="str">
        <f ca="1">IFERROR(__xludf.DUMMYFUNCTION("IF(ISBLANK(A470),"""",GOOGLETRANSLATE(A470,""en"",""fr""))"),"")</f>
        <v/>
      </c>
    </row>
    <row r="471" spans="2:2">
      <c r="B471" s="3" t="str">
        <f ca="1">IFERROR(__xludf.DUMMYFUNCTION("IF(ISBLANK(A471),"""",GOOGLETRANSLATE(A471,""en"",""fr""))"),"")</f>
        <v/>
      </c>
    </row>
    <row r="472" spans="2:2">
      <c r="B472" s="3" t="str">
        <f ca="1">IFERROR(__xludf.DUMMYFUNCTION("IF(ISBLANK(A472),"""",GOOGLETRANSLATE(A472,""en"",""fr""))"),"")</f>
        <v/>
      </c>
    </row>
    <row r="473" spans="2:2">
      <c r="B473" s="3" t="str">
        <f ca="1">IFERROR(__xludf.DUMMYFUNCTION("IF(ISBLANK(A473),"""",GOOGLETRANSLATE(A473,""en"",""fr""))"),"")</f>
        <v/>
      </c>
    </row>
    <row r="474" spans="2:2">
      <c r="B474" s="3" t="str">
        <f ca="1">IFERROR(__xludf.DUMMYFUNCTION("IF(ISBLANK(A474),"""",GOOGLETRANSLATE(A474,""en"",""fr""))"),"")</f>
        <v/>
      </c>
    </row>
    <row r="475" spans="2:2">
      <c r="B475" s="3" t="str">
        <f ca="1">IFERROR(__xludf.DUMMYFUNCTION("IF(ISBLANK(A475),"""",GOOGLETRANSLATE(A475,""en"",""fr""))"),"")</f>
        <v/>
      </c>
    </row>
    <row r="476" spans="2:2">
      <c r="B476" s="3" t="str">
        <f ca="1">IFERROR(__xludf.DUMMYFUNCTION("IF(ISBLANK(A476),"""",GOOGLETRANSLATE(A476,""en"",""fr""))"),"")</f>
        <v/>
      </c>
    </row>
    <row r="477" spans="2:2">
      <c r="B477" s="3" t="str">
        <f ca="1">IFERROR(__xludf.DUMMYFUNCTION("IF(ISBLANK(A477),"""",GOOGLETRANSLATE(A477,""en"",""fr""))"),"")</f>
        <v/>
      </c>
    </row>
    <row r="478" spans="2:2">
      <c r="B478" s="3" t="str">
        <f ca="1">IFERROR(__xludf.DUMMYFUNCTION("IF(ISBLANK(A478),"""",GOOGLETRANSLATE(A478,""en"",""fr""))"),"")</f>
        <v/>
      </c>
    </row>
    <row r="479" spans="2:2">
      <c r="B479" s="3" t="str">
        <f ca="1">IFERROR(__xludf.DUMMYFUNCTION("IF(ISBLANK(A479),"""",GOOGLETRANSLATE(A479,""en"",""fr""))"),"")</f>
        <v/>
      </c>
    </row>
    <row r="480" spans="2:2">
      <c r="B480" s="3" t="str">
        <f ca="1">IFERROR(__xludf.DUMMYFUNCTION("IF(ISBLANK(A480),"""",GOOGLETRANSLATE(A480,""en"",""fr""))"),"")</f>
        <v/>
      </c>
    </row>
    <row r="481" spans="2:2">
      <c r="B481" s="3" t="str">
        <f ca="1">IFERROR(__xludf.DUMMYFUNCTION("IF(ISBLANK(A481),"""",GOOGLETRANSLATE(A481,""en"",""fr""))"),"")</f>
        <v/>
      </c>
    </row>
    <row r="482" spans="2:2">
      <c r="B482" s="3" t="str">
        <f ca="1">IFERROR(__xludf.DUMMYFUNCTION("IF(ISBLANK(A482),"""",GOOGLETRANSLATE(A482,""en"",""fr""))"),"")</f>
        <v/>
      </c>
    </row>
    <row r="483" spans="2:2">
      <c r="B483" s="3" t="str">
        <f ca="1">IFERROR(__xludf.DUMMYFUNCTION("IF(ISBLANK(A483),"""",GOOGLETRANSLATE(A483,""en"",""fr""))"),"")</f>
        <v/>
      </c>
    </row>
    <row r="484" spans="2:2">
      <c r="B484" s="3" t="str">
        <f ca="1">IFERROR(__xludf.DUMMYFUNCTION("IF(ISBLANK(A484),"""",GOOGLETRANSLATE(A484,""en"",""fr""))"),"")</f>
        <v/>
      </c>
    </row>
    <row r="485" spans="2:2">
      <c r="B485" s="3" t="str">
        <f ca="1">IFERROR(__xludf.DUMMYFUNCTION("IF(ISBLANK(A485),"""",GOOGLETRANSLATE(A485,""en"",""fr""))"),"")</f>
        <v/>
      </c>
    </row>
    <row r="486" spans="2:2">
      <c r="B486" s="3" t="str">
        <f ca="1">IFERROR(__xludf.DUMMYFUNCTION("IF(ISBLANK(A486),"""",GOOGLETRANSLATE(A486,""en"",""fr""))"),"")</f>
        <v/>
      </c>
    </row>
    <row r="487" spans="2:2">
      <c r="B487" s="3" t="str">
        <f ca="1">IFERROR(__xludf.DUMMYFUNCTION("IF(ISBLANK(A487),"""",GOOGLETRANSLATE(A487,""en"",""fr""))"),"")</f>
        <v/>
      </c>
    </row>
    <row r="488" spans="2:2">
      <c r="B488" s="3" t="str">
        <f ca="1">IFERROR(__xludf.DUMMYFUNCTION("IF(ISBLANK(A488),"""",GOOGLETRANSLATE(A488,""en"",""fr""))"),"")</f>
        <v/>
      </c>
    </row>
    <row r="489" spans="2:2">
      <c r="B489" s="3" t="str">
        <f ca="1">IFERROR(__xludf.DUMMYFUNCTION("IF(ISBLANK(A489),"""",GOOGLETRANSLATE(A489,""en"",""fr""))"),"")</f>
        <v/>
      </c>
    </row>
    <row r="490" spans="2:2">
      <c r="B490" s="3" t="str">
        <f ca="1">IFERROR(__xludf.DUMMYFUNCTION("IF(ISBLANK(A490),"""",GOOGLETRANSLATE(A490,""en"",""fr""))"),"")</f>
        <v/>
      </c>
    </row>
    <row r="491" spans="2:2">
      <c r="B491" s="3" t="str">
        <f ca="1">IFERROR(__xludf.DUMMYFUNCTION("IF(ISBLANK(A491),"""",GOOGLETRANSLATE(A491,""en"",""fr""))"),"")</f>
        <v/>
      </c>
    </row>
    <row r="492" spans="2:2">
      <c r="B492" s="3" t="str">
        <f ca="1">IFERROR(__xludf.DUMMYFUNCTION("IF(ISBLANK(A492),"""",GOOGLETRANSLATE(A492,""en"",""fr""))"),"")</f>
        <v/>
      </c>
    </row>
    <row r="493" spans="2:2">
      <c r="B493" s="3" t="str">
        <f ca="1">IFERROR(__xludf.DUMMYFUNCTION("IF(ISBLANK(A493),"""",GOOGLETRANSLATE(A493,""en"",""fr""))"),"")</f>
        <v/>
      </c>
    </row>
    <row r="494" spans="2:2">
      <c r="B494" s="3" t="str">
        <f ca="1">IFERROR(__xludf.DUMMYFUNCTION("IF(ISBLANK(A494),"""",GOOGLETRANSLATE(A494,""en"",""fr""))"),"")</f>
        <v/>
      </c>
    </row>
    <row r="495" spans="2:2">
      <c r="B495" s="3" t="str">
        <f ca="1">IFERROR(__xludf.DUMMYFUNCTION("IF(ISBLANK(A495),"""",GOOGLETRANSLATE(A495,""en"",""fr""))"),"")</f>
        <v/>
      </c>
    </row>
    <row r="496" spans="2:2">
      <c r="B496" s="3" t="str">
        <f ca="1">IFERROR(__xludf.DUMMYFUNCTION("IF(ISBLANK(A496),"""",GOOGLETRANSLATE(A496,""en"",""fr""))"),"")</f>
        <v/>
      </c>
    </row>
    <row r="497" spans="2:2">
      <c r="B497" s="3" t="str">
        <f ca="1">IFERROR(__xludf.DUMMYFUNCTION("IF(ISBLANK(A497),"""",GOOGLETRANSLATE(A497,""en"",""fr""))"),"")</f>
        <v/>
      </c>
    </row>
    <row r="498" spans="2:2">
      <c r="B498" s="3" t="str">
        <f ca="1">IFERROR(__xludf.DUMMYFUNCTION("IF(ISBLANK(A498),"""",GOOGLETRANSLATE(A498,""en"",""fr""))"),"")</f>
        <v/>
      </c>
    </row>
    <row r="499" spans="2:2">
      <c r="B499" s="3" t="str">
        <f ca="1">IFERROR(__xludf.DUMMYFUNCTION("IF(ISBLANK(A499),"""",GOOGLETRANSLATE(A499,""en"",""fr""))"),"")</f>
        <v/>
      </c>
    </row>
    <row r="500" spans="2:2">
      <c r="B500" s="3" t="str">
        <f ca="1">IFERROR(__xludf.DUMMYFUNCTION("IF(ISBLANK(A500),"""",GOOGLETRANSLATE(A500,""en"",""fr""))"),"")</f>
        <v/>
      </c>
    </row>
    <row r="501" spans="2:2">
      <c r="B501" s="3" t="str">
        <f ca="1">IFERROR(__xludf.DUMMYFUNCTION("IF(ISBLANK(A501),"""",GOOGLETRANSLATE(A501,""en"",""fr""))"),"")</f>
        <v/>
      </c>
    </row>
    <row r="502" spans="2:2">
      <c r="B502" s="3" t="str">
        <f ca="1">IFERROR(__xludf.DUMMYFUNCTION("IF(ISBLANK(A502),"""",GOOGLETRANSLATE(A502,""en"",""fr""))"),"")</f>
        <v/>
      </c>
    </row>
    <row r="503" spans="2:2">
      <c r="B503" s="3" t="str">
        <f ca="1">IFERROR(__xludf.DUMMYFUNCTION("IF(ISBLANK(A503),"""",GOOGLETRANSLATE(A503,""en"",""fr""))"),"")</f>
        <v/>
      </c>
    </row>
    <row r="504" spans="2:2">
      <c r="B504" s="3" t="str">
        <f ca="1">IFERROR(__xludf.DUMMYFUNCTION("IF(ISBLANK(A504),"""",GOOGLETRANSLATE(A504,""en"",""fr""))"),"")</f>
        <v/>
      </c>
    </row>
    <row r="505" spans="2:2">
      <c r="B505" s="3" t="str">
        <f ca="1">IFERROR(__xludf.DUMMYFUNCTION("IF(ISBLANK(A505),"""",GOOGLETRANSLATE(A505,""en"",""fr""))"),"")</f>
        <v/>
      </c>
    </row>
    <row r="506" spans="2:2">
      <c r="B506" s="3" t="str">
        <f ca="1">IFERROR(__xludf.DUMMYFUNCTION("IF(ISBLANK(A506),"""",GOOGLETRANSLATE(A506,""en"",""fr""))"),"")</f>
        <v/>
      </c>
    </row>
    <row r="507" spans="2:2">
      <c r="B507" s="3" t="str">
        <f ca="1">IFERROR(__xludf.DUMMYFUNCTION("IF(ISBLANK(A507),"""",GOOGLETRANSLATE(A507,""en"",""fr""))"),"")</f>
        <v/>
      </c>
    </row>
    <row r="508" spans="2:2">
      <c r="B508" s="3" t="str">
        <f ca="1">IFERROR(__xludf.DUMMYFUNCTION("IF(ISBLANK(A508),"""",GOOGLETRANSLATE(A508,""en"",""fr""))"),"")</f>
        <v/>
      </c>
    </row>
    <row r="509" spans="2:2">
      <c r="B509" s="3" t="str">
        <f ca="1">IFERROR(__xludf.DUMMYFUNCTION("IF(ISBLANK(A509),"""",GOOGLETRANSLATE(A509,""en"",""fr""))"),"")</f>
        <v/>
      </c>
    </row>
    <row r="510" spans="2:2">
      <c r="B510" s="3" t="str">
        <f ca="1">IFERROR(__xludf.DUMMYFUNCTION("IF(ISBLANK(A510),"""",GOOGLETRANSLATE(A510,""en"",""fr""))"),"")</f>
        <v/>
      </c>
    </row>
    <row r="511" spans="2:2">
      <c r="B511" s="3" t="str">
        <f ca="1">IFERROR(__xludf.DUMMYFUNCTION("IF(ISBLANK(A511),"""",GOOGLETRANSLATE(A511,""en"",""fr""))"),"")</f>
        <v/>
      </c>
    </row>
    <row r="512" spans="2:2">
      <c r="B512" s="3" t="str">
        <f ca="1">IFERROR(__xludf.DUMMYFUNCTION("IF(ISBLANK(A512),"""",GOOGLETRANSLATE(A512,""en"",""fr""))"),"")</f>
        <v/>
      </c>
    </row>
    <row r="513" spans="2:2">
      <c r="B513" s="3" t="str">
        <f ca="1">IFERROR(__xludf.DUMMYFUNCTION("IF(ISBLANK(A513),"""",GOOGLETRANSLATE(A513,""en"",""fr""))"),"")</f>
        <v/>
      </c>
    </row>
    <row r="514" spans="2:2">
      <c r="B514" s="3" t="str">
        <f ca="1">IFERROR(__xludf.DUMMYFUNCTION("IF(ISBLANK(A514),"""",GOOGLETRANSLATE(A514,""en"",""fr""))"),"")</f>
        <v/>
      </c>
    </row>
    <row r="515" spans="2:2">
      <c r="B515" s="3" t="str">
        <f ca="1">IFERROR(__xludf.DUMMYFUNCTION("IF(ISBLANK(A515),"""",GOOGLETRANSLATE(A515,""en"",""fr""))"),"")</f>
        <v/>
      </c>
    </row>
    <row r="516" spans="2:2">
      <c r="B516" s="3" t="str">
        <f ca="1">IFERROR(__xludf.DUMMYFUNCTION("IF(ISBLANK(A516),"""",GOOGLETRANSLATE(A516,""en"",""fr""))"),"")</f>
        <v/>
      </c>
    </row>
    <row r="517" spans="2:2">
      <c r="B517" s="3" t="str">
        <f ca="1">IFERROR(__xludf.DUMMYFUNCTION("IF(ISBLANK(A517),"""",GOOGLETRANSLATE(A517,""en"",""fr""))"),"")</f>
        <v/>
      </c>
    </row>
    <row r="518" spans="2:2">
      <c r="B518" s="3" t="str">
        <f ca="1">IFERROR(__xludf.DUMMYFUNCTION("IF(ISBLANK(A518),"""",GOOGLETRANSLATE(A518,""en"",""fr""))"),"")</f>
        <v/>
      </c>
    </row>
    <row r="519" spans="2:2">
      <c r="B519" s="3" t="str">
        <f ca="1">IFERROR(__xludf.DUMMYFUNCTION("IF(ISBLANK(A519),"""",GOOGLETRANSLATE(A519,""en"",""fr""))"),"")</f>
        <v/>
      </c>
    </row>
    <row r="520" spans="2:2">
      <c r="B520" s="3" t="str">
        <f ca="1">IFERROR(__xludf.DUMMYFUNCTION("IF(ISBLANK(A520),"""",GOOGLETRANSLATE(A520,""en"",""fr""))"),"")</f>
        <v/>
      </c>
    </row>
    <row r="521" spans="2:2">
      <c r="B521" s="3" t="str">
        <f ca="1">IFERROR(__xludf.DUMMYFUNCTION("IF(ISBLANK(A521),"""",GOOGLETRANSLATE(A521,""en"",""fr""))"),"")</f>
        <v/>
      </c>
    </row>
    <row r="522" spans="2:2">
      <c r="B522" s="3" t="str">
        <f ca="1">IFERROR(__xludf.DUMMYFUNCTION("IF(ISBLANK(A522),"""",GOOGLETRANSLATE(A522,""en"",""fr""))"),"")</f>
        <v/>
      </c>
    </row>
    <row r="523" spans="2:2">
      <c r="B523" s="3" t="str">
        <f ca="1">IFERROR(__xludf.DUMMYFUNCTION("IF(ISBLANK(A523),"""",GOOGLETRANSLATE(A523,""en"",""fr""))"),"")</f>
        <v/>
      </c>
    </row>
    <row r="524" spans="2:2">
      <c r="B524" s="3" t="str">
        <f ca="1">IFERROR(__xludf.DUMMYFUNCTION("IF(ISBLANK(A524),"""",GOOGLETRANSLATE(A524,""en"",""fr""))"),"")</f>
        <v/>
      </c>
    </row>
    <row r="525" spans="2:2">
      <c r="B525" s="3" t="str">
        <f ca="1">IFERROR(__xludf.DUMMYFUNCTION("IF(ISBLANK(A525),"""",GOOGLETRANSLATE(A525,""en"",""fr""))"),"")</f>
        <v/>
      </c>
    </row>
    <row r="526" spans="2:2">
      <c r="B526" s="3" t="str">
        <f ca="1">IFERROR(__xludf.DUMMYFUNCTION("IF(ISBLANK(A526),"""",GOOGLETRANSLATE(A526,""en"",""fr""))"),"")</f>
        <v/>
      </c>
    </row>
    <row r="527" spans="2:2">
      <c r="B527" s="3" t="str">
        <f ca="1">IFERROR(__xludf.DUMMYFUNCTION("IF(ISBLANK(A527),"""",GOOGLETRANSLATE(A527,""en"",""fr""))"),"")</f>
        <v/>
      </c>
    </row>
    <row r="528" spans="2:2">
      <c r="B528" s="3" t="str">
        <f ca="1">IFERROR(__xludf.DUMMYFUNCTION("IF(ISBLANK(A528),"""",GOOGLETRANSLATE(A528,""en"",""fr""))"),"")</f>
        <v/>
      </c>
    </row>
    <row r="529" spans="2:2">
      <c r="B529" s="3" t="str">
        <f ca="1">IFERROR(__xludf.DUMMYFUNCTION("IF(ISBLANK(A529),"""",GOOGLETRANSLATE(A529,""en"",""fr""))"),"")</f>
        <v/>
      </c>
    </row>
    <row r="530" spans="2:2">
      <c r="B530" s="3" t="str">
        <f ca="1">IFERROR(__xludf.DUMMYFUNCTION("IF(ISBLANK(A530),"""",GOOGLETRANSLATE(A530,""en"",""fr""))"),"")</f>
        <v/>
      </c>
    </row>
    <row r="531" spans="2:2">
      <c r="B531" s="3" t="str">
        <f ca="1">IFERROR(__xludf.DUMMYFUNCTION("IF(ISBLANK(A531),"""",GOOGLETRANSLATE(A531,""en"",""fr""))"),"")</f>
        <v/>
      </c>
    </row>
    <row r="532" spans="2:2">
      <c r="B532" s="3" t="str">
        <f ca="1">IFERROR(__xludf.DUMMYFUNCTION("IF(ISBLANK(A532),"""",GOOGLETRANSLATE(A532,""en"",""fr""))"),"")</f>
        <v/>
      </c>
    </row>
    <row r="533" spans="2:2">
      <c r="B533" s="3" t="str">
        <f ca="1">IFERROR(__xludf.DUMMYFUNCTION("IF(ISBLANK(A533),"""",GOOGLETRANSLATE(A533,""en"",""fr""))"),"")</f>
        <v/>
      </c>
    </row>
    <row r="534" spans="2:2">
      <c r="B534" s="3" t="str">
        <f ca="1">IFERROR(__xludf.DUMMYFUNCTION("IF(ISBLANK(A534),"""",GOOGLETRANSLATE(A534,""en"",""fr""))"),"")</f>
        <v/>
      </c>
    </row>
    <row r="535" spans="2:2">
      <c r="B535" s="3" t="str">
        <f ca="1">IFERROR(__xludf.DUMMYFUNCTION("IF(ISBLANK(A535),"""",GOOGLETRANSLATE(A535,""en"",""fr""))"),"")</f>
        <v/>
      </c>
    </row>
    <row r="536" spans="2:2">
      <c r="B536" s="3" t="str">
        <f ca="1">IFERROR(__xludf.DUMMYFUNCTION("IF(ISBLANK(A536),"""",GOOGLETRANSLATE(A536,""en"",""fr""))"),"")</f>
        <v/>
      </c>
    </row>
    <row r="537" spans="2:2">
      <c r="B537" s="3" t="str">
        <f ca="1">IFERROR(__xludf.DUMMYFUNCTION("IF(ISBLANK(A537),"""",GOOGLETRANSLATE(A537,""en"",""fr""))"),"")</f>
        <v/>
      </c>
    </row>
    <row r="538" spans="2:2">
      <c r="B538" s="3" t="str">
        <f ca="1">IFERROR(__xludf.DUMMYFUNCTION("IF(ISBLANK(A538),"""",GOOGLETRANSLATE(A538,""en"",""fr""))"),"")</f>
        <v/>
      </c>
    </row>
    <row r="539" spans="2:2">
      <c r="B539" s="3" t="str">
        <f ca="1">IFERROR(__xludf.DUMMYFUNCTION("IF(ISBLANK(A539),"""",GOOGLETRANSLATE(A539,""en"",""fr""))"),"")</f>
        <v/>
      </c>
    </row>
    <row r="540" spans="2:2">
      <c r="B540" s="3" t="str">
        <f ca="1">IFERROR(__xludf.DUMMYFUNCTION("IF(ISBLANK(A540),"""",GOOGLETRANSLATE(A540,""en"",""fr""))"),"")</f>
        <v/>
      </c>
    </row>
    <row r="541" spans="2:2">
      <c r="B541" s="3" t="str">
        <f ca="1">IFERROR(__xludf.DUMMYFUNCTION("IF(ISBLANK(A541),"""",GOOGLETRANSLATE(A541,""en"",""fr""))"),"")</f>
        <v/>
      </c>
    </row>
    <row r="542" spans="2:2">
      <c r="B542" s="3" t="str">
        <f ca="1">IFERROR(__xludf.DUMMYFUNCTION("IF(ISBLANK(A542),"""",GOOGLETRANSLATE(A542,""en"",""fr""))"),"")</f>
        <v/>
      </c>
    </row>
    <row r="543" spans="2:2">
      <c r="B543" s="3" t="str">
        <f ca="1">IFERROR(__xludf.DUMMYFUNCTION("IF(ISBLANK(A543),"""",GOOGLETRANSLATE(A543,""en"",""fr""))"),"")</f>
        <v/>
      </c>
    </row>
    <row r="544" spans="2:2">
      <c r="B544" s="3" t="str">
        <f ca="1">IFERROR(__xludf.DUMMYFUNCTION("IF(ISBLANK(A544),"""",GOOGLETRANSLATE(A544,""en"",""fr""))"),"")</f>
        <v/>
      </c>
    </row>
    <row r="545" spans="2:2">
      <c r="B545" s="3" t="str">
        <f ca="1">IFERROR(__xludf.DUMMYFUNCTION("IF(ISBLANK(A545),"""",GOOGLETRANSLATE(A545,""en"",""fr""))"),"")</f>
        <v/>
      </c>
    </row>
    <row r="546" spans="2:2">
      <c r="B546" s="3" t="str">
        <f ca="1">IFERROR(__xludf.DUMMYFUNCTION("IF(ISBLANK(A546),"""",GOOGLETRANSLATE(A546,""en"",""fr""))"),"")</f>
        <v/>
      </c>
    </row>
    <row r="547" spans="2:2">
      <c r="B547" s="3" t="str">
        <f ca="1">IFERROR(__xludf.DUMMYFUNCTION("IF(ISBLANK(A547),"""",GOOGLETRANSLATE(A547,""en"",""fr""))"),"")</f>
        <v/>
      </c>
    </row>
    <row r="548" spans="2:2">
      <c r="B548" s="3" t="str">
        <f ca="1">IFERROR(__xludf.DUMMYFUNCTION("IF(ISBLANK(A548),"""",GOOGLETRANSLATE(A548,""en"",""fr""))"),"")</f>
        <v/>
      </c>
    </row>
    <row r="549" spans="2:2">
      <c r="B549" s="3" t="str">
        <f ca="1">IFERROR(__xludf.DUMMYFUNCTION("IF(ISBLANK(A549),"""",GOOGLETRANSLATE(A549,""en"",""fr""))"),"")</f>
        <v/>
      </c>
    </row>
    <row r="550" spans="2:2">
      <c r="B550" s="3" t="str">
        <f ca="1">IFERROR(__xludf.DUMMYFUNCTION("IF(ISBLANK(A550),"""",GOOGLETRANSLATE(A550,""en"",""fr""))"),"")</f>
        <v/>
      </c>
    </row>
    <row r="551" spans="2:2">
      <c r="B551" s="3" t="str">
        <f ca="1">IFERROR(__xludf.DUMMYFUNCTION("IF(ISBLANK(A551),"""",GOOGLETRANSLATE(A551,""en"",""fr""))"),"")</f>
        <v/>
      </c>
    </row>
    <row r="552" spans="2:2">
      <c r="B552" s="3" t="str">
        <f ca="1">IFERROR(__xludf.DUMMYFUNCTION("IF(ISBLANK(A552),"""",GOOGLETRANSLATE(A552,""en"",""fr""))"),"")</f>
        <v/>
      </c>
    </row>
    <row r="553" spans="2:2">
      <c r="B553" s="3" t="str">
        <f ca="1">IFERROR(__xludf.DUMMYFUNCTION("IF(ISBLANK(A553),"""",GOOGLETRANSLATE(A553,""en"",""fr""))"),"")</f>
        <v/>
      </c>
    </row>
    <row r="554" spans="2:2">
      <c r="B554" s="3" t="str">
        <f ca="1">IFERROR(__xludf.DUMMYFUNCTION("IF(ISBLANK(A554),"""",GOOGLETRANSLATE(A554,""en"",""fr""))"),"")</f>
        <v/>
      </c>
    </row>
    <row r="555" spans="2:2">
      <c r="B555" s="3" t="str">
        <f ca="1">IFERROR(__xludf.DUMMYFUNCTION("IF(ISBLANK(A555),"""",GOOGLETRANSLATE(A555,""en"",""fr""))"),"")</f>
        <v/>
      </c>
    </row>
    <row r="556" spans="2:2">
      <c r="B556" s="3" t="str">
        <f ca="1">IFERROR(__xludf.DUMMYFUNCTION("IF(ISBLANK(A556),"""",GOOGLETRANSLATE(A556,""en"",""fr""))"),"")</f>
        <v/>
      </c>
    </row>
    <row r="557" spans="2:2">
      <c r="B557" s="3" t="str">
        <f ca="1">IFERROR(__xludf.DUMMYFUNCTION("IF(ISBLANK(A557),"""",GOOGLETRANSLATE(A557,""en"",""fr""))"),"")</f>
        <v/>
      </c>
    </row>
    <row r="558" spans="2:2">
      <c r="B558" s="3" t="str">
        <f ca="1">IFERROR(__xludf.DUMMYFUNCTION("IF(ISBLANK(A558),"""",GOOGLETRANSLATE(A558,""en"",""fr""))"),"")</f>
        <v/>
      </c>
    </row>
    <row r="559" spans="2:2">
      <c r="B559" s="3" t="str">
        <f ca="1">IFERROR(__xludf.DUMMYFUNCTION("IF(ISBLANK(A559),"""",GOOGLETRANSLATE(A559,""en"",""fr""))"),"")</f>
        <v/>
      </c>
    </row>
    <row r="560" spans="2:2">
      <c r="B560" s="3" t="str">
        <f ca="1">IFERROR(__xludf.DUMMYFUNCTION("IF(ISBLANK(A560),"""",GOOGLETRANSLATE(A560,""en"",""fr""))"),"")</f>
        <v/>
      </c>
    </row>
    <row r="561" spans="2:2">
      <c r="B561" s="3" t="str">
        <f ca="1">IFERROR(__xludf.DUMMYFUNCTION("IF(ISBLANK(A561),"""",GOOGLETRANSLATE(A561,""en"",""fr""))"),"")</f>
        <v/>
      </c>
    </row>
    <row r="562" spans="2:2">
      <c r="B562" s="3" t="str">
        <f ca="1">IFERROR(__xludf.DUMMYFUNCTION("IF(ISBLANK(A562),"""",GOOGLETRANSLATE(A562,""en"",""fr""))"),"")</f>
        <v/>
      </c>
    </row>
    <row r="563" spans="2:2">
      <c r="B563" s="3" t="str">
        <f ca="1">IFERROR(__xludf.DUMMYFUNCTION("IF(ISBLANK(A563),"""",GOOGLETRANSLATE(A563,""en"",""fr""))"),"")</f>
        <v/>
      </c>
    </row>
    <row r="564" spans="2:2">
      <c r="B564" s="3" t="str">
        <f ca="1">IFERROR(__xludf.DUMMYFUNCTION("IF(ISBLANK(A564),"""",GOOGLETRANSLATE(A564,""en"",""fr""))"),"")</f>
        <v/>
      </c>
    </row>
    <row r="565" spans="2:2">
      <c r="B565" s="3" t="str">
        <f ca="1">IFERROR(__xludf.DUMMYFUNCTION("IF(ISBLANK(A565),"""",GOOGLETRANSLATE(A565,""en"",""fr""))"),"")</f>
        <v/>
      </c>
    </row>
    <row r="566" spans="2:2">
      <c r="B566" s="3" t="str">
        <f ca="1">IFERROR(__xludf.DUMMYFUNCTION("IF(ISBLANK(A566),"""",GOOGLETRANSLATE(A566,""en"",""fr""))"),"")</f>
        <v/>
      </c>
    </row>
    <row r="567" spans="2:2">
      <c r="B567" s="3" t="str">
        <f ca="1">IFERROR(__xludf.DUMMYFUNCTION("IF(ISBLANK(A567),"""",GOOGLETRANSLATE(A567,""en"",""fr""))"),"")</f>
        <v/>
      </c>
    </row>
    <row r="568" spans="2:2">
      <c r="B568" s="3" t="str">
        <f ca="1">IFERROR(__xludf.DUMMYFUNCTION("IF(ISBLANK(A568),"""",GOOGLETRANSLATE(A568,""en"",""fr""))"),"")</f>
        <v/>
      </c>
    </row>
    <row r="569" spans="2:2">
      <c r="B569" s="3" t="str">
        <f ca="1">IFERROR(__xludf.DUMMYFUNCTION("IF(ISBLANK(A569),"""",GOOGLETRANSLATE(A569,""en"",""fr""))"),"")</f>
        <v/>
      </c>
    </row>
    <row r="570" spans="2:2">
      <c r="B570" s="3" t="str">
        <f ca="1">IFERROR(__xludf.DUMMYFUNCTION("IF(ISBLANK(A570),"""",GOOGLETRANSLATE(A570,""en"",""fr""))"),"")</f>
        <v/>
      </c>
    </row>
    <row r="571" spans="2:2">
      <c r="B571" s="3" t="str">
        <f ca="1">IFERROR(__xludf.DUMMYFUNCTION("IF(ISBLANK(A571),"""",GOOGLETRANSLATE(A571,""en"",""fr""))"),"")</f>
        <v/>
      </c>
    </row>
    <row r="572" spans="2:2">
      <c r="B572" s="3" t="str">
        <f ca="1">IFERROR(__xludf.DUMMYFUNCTION("IF(ISBLANK(A572),"""",GOOGLETRANSLATE(A572,""en"",""fr""))"),"")</f>
        <v/>
      </c>
    </row>
    <row r="573" spans="2:2">
      <c r="B573" s="3" t="str">
        <f ca="1">IFERROR(__xludf.DUMMYFUNCTION("IF(ISBLANK(A573),"""",GOOGLETRANSLATE(A573,""en"",""fr""))"),"")</f>
        <v/>
      </c>
    </row>
    <row r="574" spans="2:2">
      <c r="B574" s="3" t="str">
        <f ca="1">IFERROR(__xludf.DUMMYFUNCTION("IF(ISBLANK(A574),"""",GOOGLETRANSLATE(A574,""en"",""fr""))"),"")</f>
        <v/>
      </c>
    </row>
    <row r="575" spans="2:2">
      <c r="B575" s="3" t="str">
        <f ca="1">IFERROR(__xludf.DUMMYFUNCTION("IF(ISBLANK(A575),"""",GOOGLETRANSLATE(A575,""en"",""fr""))"),"")</f>
        <v/>
      </c>
    </row>
    <row r="576" spans="2:2">
      <c r="B576" s="3" t="str">
        <f ca="1">IFERROR(__xludf.DUMMYFUNCTION("IF(ISBLANK(A576),"""",GOOGLETRANSLATE(A576,""en"",""fr""))"),"")</f>
        <v/>
      </c>
    </row>
    <row r="577" spans="2:2">
      <c r="B577" s="3" t="str">
        <f ca="1">IFERROR(__xludf.DUMMYFUNCTION("IF(ISBLANK(A577),"""",GOOGLETRANSLATE(A577,""en"",""fr""))"),"")</f>
        <v/>
      </c>
    </row>
    <row r="578" spans="2:2">
      <c r="B578" s="3" t="str">
        <f ca="1">IFERROR(__xludf.DUMMYFUNCTION("IF(ISBLANK(A578),"""",GOOGLETRANSLATE(A578,""en"",""fr""))"),"")</f>
        <v/>
      </c>
    </row>
    <row r="579" spans="2:2">
      <c r="B579" s="3" t="str">
        <f ca="1">IFERROR(__xludf.DUMMYFUNCTION("IF(ISBLANK(A579),"""",GOOGLETRANSLATE(A579,""en"",""fr""))"),"")</f>
        <v/>
      </c>
    </row>
    <row r="580" spans="2:2">
      <c r="B580" s="3" t="str">
        <f ca="1">IFERROR(__xludf.DUMMYFUNCTION("IF(ISBLANK(A580),"""",GOOGLETRANSLATE(A580,""en"",""fr""))"),"")</f>
        <v/>
      </c>
    </row>
    <row r="581" spans="2:2">
      <c r="B581" s="3" t="str">
        <f ca="1">IFERROR(__xludf.DUMMYFUNCTION("IF(ISBLANK(A581),"""",GOOGLETRANSLATE(A581,""en"",""fr""))"),"")</f>
        <v/>
      </c>
    </row>
    <row r="582" spans="2:2">
      <c r="B582" s="3" t="str">
        <f ca="1">IFERROR(__xludf.DUMMYFUNCTION("IF(ISBLANK(A582),"""",GOOGLETRANSLATE(A582,""en"",""fr""))"),"")</f>
        <v/>
      </c>
    </row>
    <row r="583" spans="2:2">
      <c r="B583" s="3" t="str">
        <f ca="1">IFERROR(__xludf.DUMMYFUNCTION("IF(ISBLANK(A583),"""",GOOGLETRANSLATE(A583,""en"",""fr""))"),"")</f>
        <v/>
      </c>
    </row>
    <row r="584" spans="2:2">
      <c r="B584" s="3" t="str">
        <f ca="1">IFERROR(__xludf.DUMMYFUNCTION("IF(ISBLANK(A584),"""",GOOGLETRANSLATE(A584,""en"",""fr""))"),"")</f>
        <v/>
      </c>
    </row>
    <row r="585" spans="2:2">
      <c r="B585" s="3" t="str">
        <f ca="1">IFERROR(__xludf.DUMMYFUNCTION("IF(ISBLANK(A585),"""",GOOGLETRANSLATE(A585,""en"",""fr""))"),"")</f>
        <v/>
      </c>
    </row>
    <row r="586" spans="2:2">
      <c r="B586" s="3" t="str">
        <f ca="1">IFERROR(__xludf.DUMMYFUNCTION("IF(ISBLANK(A586),"""",GOOGLETRANSLATE(A586,""en"",""fr""))"),"")</f>
        <v/>
      </c>
    </row>
    <row r="587" spans="2:2">
      <c r="B587" s="3" t="str">
        <f ca="1">IFERROR(__xludf.DUMMYFUNCTION("IF(ISBLANK(A587),"""",GOOGLETRANSLATE(A587,""en"",""fr""))"),"")</f>
        <v/>
      </c>
    </row>
    <row r="588" spans="2:2">
      <c r="B588" s="3" t="str">
        <f ca="1">IFERROR(__xludf.DUMMYFUNCTION("IF(ISBLANK(A588),"""",GOOGLETRANSLATE(A588,""en"",""fr""))"),"")</f>
        <v/>
      </c>
    </row>
    <row r="589" spans="2:2">
      <c r="B589" s="3" t="str">
        <f ca="1">IFERROR(__xludf.DUMMYFUNCTION("IF(ISBLANK(A589),"""",GOOGLETRANSLATE(A589,""en"",""fr""))"),"")</f>
        <v/>
      </c>
    </row>
    <row r="590" spans="2:2">
      <c r="B590" s="3" t="str">
        <f ca="1">IFERROR(__xludf.DUMMYFUNCTION("IF(ISBLANK(A590),"""",GOOGLETRANSLATE(A590,""en"",""fr""))"),"")</f>
        <v/>
      </c>
    </row>
    <row r="591" spans="2:2">
      <c r="B591" s="3" t="str">
        <f ca="1">IFERROR(__xludf.DUMMYFUNCTION("IF(ISBLANK(A591),"""",GOOGLETRANSLATE(A591,""en"",""fr""))"),"")</f>
        <v/>
      </c>
    </row>
    <row r="592" spans="2:2">
      <c r="B592" s="3" t="str">
        <f ca="1">IFERROR(__xludf.DUMMYFUNCTION("IF(ISBLANK(A592),"""",GOOGLETRANSLATE(A592,""en"",""fr""))"),"")</f>
        <v/>
      </c>
    </row>
    <row r="593" spans="2:2">
      <c r="B593" s="3" t="str">
        <f ca="1">IFERROR(__xludf.DUMMYFUNCTION("IF(ISBLANK(A593),"""",GOOGLETRANSLATE(A593,""en"",""fr""))"),"")</f>
        <v/>
      </c>
    </row>
    <row r="594" spans="2:2">
      <c r="B594" s="3" t="str">
        <f ca="1">IFERROR(__xludf.DUMMYFUNCTION("IF(ISBLANK(A594),"""",GOOGLETRANSLATE(A594,""en"",""fr""))"),"")</f>
        <v/>
      </c>
    </row>
    <row r="595" spans="2:2">
      <c r="B595" s="3" t="str">
        <f ca="1">IFERROR(__xludf.DUMMYFUNCTION("IF(ISBLANK(A595),"""",GOOGLETRANSLATE(A595,""en"",""fr""))"),"")</f>
        <v/>
      </c>
    </row>
    <row r="596" spans="2:2">
      <c r="B596" s="3" t="str">
        <f ca="1">IFERROR(__xludf.DUMMYFUNCTION("IF(ISBLANK(A596),"""",GOOGLETRANSLATE(A596,""en"",""fr""))"),"")</f>
        <v/>
      </c>
    </row>
    <row r="597" spans="2:2">
      <c r="B597" s="3" t="str">
        <f ca="1">IFERROR(__xludf.DUMMYFUNCTION("IF(ISBLANK(A597),"""",GOOGLETRANSLATE(A597,""en"",""fr""))"),"")</f>
        <v/>
      </c>
    </row>
    <row r="598" spans="2:2">
      <c r="B598" s="3" t="str">
        <f ca="1">IFERROR(__xludf.DUMMYFUNCTION("IF(ISBLANK(A598),"""",GOOGLETRANSLATE(A598,""en"",""fr""))"),"")</f>
        <v/>
      </c>
    </row>
    <row r="599" spans="2:2">
      <c r="B599" s="3" t="str">
        <f ca="1">IFERROR(__xludf.DUMMYFUNCTION("IF(ISBLANK(A599),"""",GOOGLETRANSLATE(A599,""en"",""fr""))"),"")</f>
        <v/>
      </c>
    </row>
    <row r="600" spans="2:2">
      <c r="B600" s="3" t="str">
        <f ca="1">IFERROR(__xludf.DUMMYFUNCTION("IF(ISBLANK(A600),"""",GOOGLETRANSLATE(A600,""en"",""fr""))"),"")</f>
        <v/>
      </c>
    </row>
    <row r="601" spans="2:2">
      <c r="B601" s="3" t="str">
        <f ca="1">IFERROR(__xludf.DUMMYFUNCTION("IF(ISBLANK(A601),"""",GOOGLETRANSLATE(A601,""en"",""fr""))"),"")</f>
        <v/>
      </c>
    </row>
    <row r="602" spans="2:2">
      <c r="B602" s="3" t="str">
        <f ca="1">IFERROR(__xludf.DUMMYFUNCTION("IF(ISBLANK(A602),"""",GOOGLETRANSLATE(A602,""en"",""fr""))"),"")</f>
        <v/>
      </c>
    </row>
    <row r="603" spans="2:2">
      <c r="B603" s="3" t="str">
        <f ca="1">IFERROR(__xludf.DUMMYFUNCTION("IF(ISBLANK(A603),"""",GOOGLETRANSLATE(A603,""en"",""fr""))"),"")</f>
        <v/>
      </c>
    </row>
    <row r="604" spans="2:2">
      <c r="B604" s="3" t="str">
        <f ca="1">IFERROR(__xludf.DUMMYFUNCTION("IF(ISBLANK(A604),"""",GOOGLETRANSLATE(A604,""en"",""fr""))"),"")</f>
        <v/>
      </c>
    </row>
    <row r="605" spans="2:2">
      <c r="B605" s="3" t="str">
        <f ca="1">IFERROR(__xludf.DUMMYFUNCTION("IF(ISBLANK(A605),"""",GOOGLETRANSLATE(A605,""en"",""fr""))"),"")</f>
        <v/>
      </c>
    </row>
    <row r="606" spans="2:2">
      <c r="B606" s="3" t="str">
        <f ca="1">IFERROR(__xludf.DUMMYFUNCTION("IF(ISBLANK(A606),"""",GOOGLETRANSLATE(A606,""en"",""fr""))"),"")</f>
        <v/>
      </c>
    </row>
    <row r="607" spans="2:2">
      <c r="B607" s="3" t="str">
        <f ca="1">IFERROR(__xludf.DUMMYFUNCTION("IF(ISBLANK(A607),"""",GOOGLETRANSLATE(A607,""en"",""fr""))"),"")</f>
        <v/>
      </c>
    </row>
    <row r="608" spans="2:2">
      <c r="B608" s="3" t="str">
        <f ca="1">IFERROR(__xludf.DUMMYFUNCTION("IF(ISBLANK(A608),"""",GOOGLETRANSLATE(A608,""en"",""fr""))"),"")</f>
        <v/>
      </c>
    </row>
    <row r="609" spans="2:2">
      <c r="B609" s="3" t="str">
        <f ca="1">IFERROR(__xludf.DUMMYFUNCTION("IF(ISBLANK(A609),"""",GOOGLETRANSLATE(A609,""en"",""fr""))"),"")</f>
        <v/>
      </c>
    </row>
    <row r="610" spans="2:2">
      <c r="B610" s="3" t="str">
        <f ca="1">IFERROR(__xludf.DUMMYFUNCTION("IF(ISBLANK(A610),"""",GOOGLETRANSLATE(A610,""en"",""fr""))"),"")</f>
        <v/>
      </c>
    </row>
    <row r="611" spans="2:2">
      <c r="B611" s="3" t="str">
        <f ca="1">IFERROR(__xludf.DUMMYFUNCTION("IF(ISBLANK(A611),"""",GOOGLETRANSLATE(A611,""en"",""fr""))"),"")</f>
        <v/>
      </c>
    </row>
    <row r="612" spans="2:2">
      <c r="B612" s="3" t="str">
        <f ca="1">IFERROR(__xludf.DUMMYFUNCTION("IF(ISBLANK(A612),"""",GOOGLETRANSLATE(A612,""en"",""fr""))"),"")</f>
        <v/>
      </c>
    </row>
    <row r="613" spans="2:2">
      <c r="B613" s="3" t="str">
        <f ca="1">IFERROR(__xludf.DUMMYFUNCTION("IF(ISBLANK(A613),"""",GOOGLETRANSLATE(A613,""en"",""fr""))"),"")</f>
        <v/>
      </c>
    </row>
    <row r="614" spans="2:2">
      <c r="B614" s="3" t="str">
        <f ca="1">IFERROR(__xludf.DUMMYFUNCTION("IF(ISBLANK(A614),"""",GOOGLETRANSLATE(A614,""en"",""fr""))"),"")</f>
        <v/>
      </c>
    </row>
    <row r="615" spans="2:2">
      <c r="B615" s="3" t="str">
        <f ca="1">IFERROR(__xludf.DUMMYFUNCTION("IF(ISBLANK(A615),"""",GOOGLETRANSLATE(A615,""en"",""fr""))"),"")</f>
        <v/>
      </c>
    </row>
    <row r="616" spans="2:2">
      <c r="B616" s="3" t="str">
        <f ca="1">IFERROR(__xludf.DUMMYFUNCTION("IF(ISBLANK(A616),"""",GOOGLETRANSLATE(A616,""en"",""fr""))"),"")</f>
        <v/>
      </c>
    </row>
    <row r="617" spans="2:2">
      <c r="B617" s="3" t="str">
        <f ca="1">IFERROR(__xludf.DUMMYFUNCTION("IF(ISBLANK(A617),"""",GOOGLETRANSLATE(A617,""en"",""fr""))"),"")</f>
        <v/>
      </c>
    </row>
    <row r="618" spans="2:2">
      <c r="B618" s="3" t="str">
        <f ca="1">IFERROR(__xludf.DUMMYFUNCTION("IF(ISBLANK(A618),"""",GOOGLETRANSLATE(A618,""en"",""fr""))"),"")</f>
        <v/>
      </c>
    </row>
    <row r="619" spans="2:2">
      <c r="B619" s="3" t="str">
        <f ca="1">IFERROR(__xludf.DUMMYFUNCTION("IF(ISBLANK(A619),"""",GOOGLETRANSLATE(A619,""en"",""fr""))"),"")</f>
        <v/>
      </c>
    </row>
    <row r="620" spans="2:2">
      <c r="B620" s="3" t="str">
        <f ca="1">IFERROR(__xludf.DUMMYFUNCTION("IF(ISBLANK(A620),"""",GOOGLETRANSLATE(A620,""en"",""fr""))"),"")</f>
        <v/>
      </c>
    </row>
    <row r="621" spans="2:2">
      <c r="B621" s="3" t="str">
        <f ca="1">IFERROR(__xludf.DUMMYFUNCTION("IF(ISBLANK(A621),"""",GOOGLETRANSLATE(A621,""en"",""fr""))"),"")</f>
        <v/>
      </c>
    </row>
    <row r="622" spans="2:2">
      <c r="B622" s="3" t="str">
        <f ca="1">IFERROR(__xludf.DUMMYFUNCTION("IF(ISBLANK(A622),"""",GOOGLETRANSLATE(A622,""en"",""fr""))"),"")</f>
        <v/>
      </c>
    </row>
    <row r="623" spans="2:2">
      <c r="B623" s="3" t="str">
        <f ca="1">IFERROR(__xludf.DUMMYFUNCTION("IF(ISBLANK(A623),"""",GOOGLETRANSLATE(A623,""en"",""fr""))"),"")</f>
        <v/>
      </c>
    </row>
    <row r="624" spans="2:2">
      <c r="B624" s="3" t="str">
        <f ca="1">IFERROR(__xludf.DUMMYFUNCTION("IF(ISBLANK(A624),"""",GOOGLETRANSLATE(A624,""en"",""fr""))"),"")</f>
        <v/>
      </c>
    </row>
    <row r="625" spans="2:2">
      <c r="B625" s="3" t="str">
        <f ca="1">IFERROR(__xludf.DUMMYFUNCTION("IF(ISBLANK(A625),"""",GOOGLETRANSLATE(A625,""en"",""fr""))"),"")</f>
        <v/>
      </c>
    </row>
    <row r="626" spans="2:2">
      <c r="B626" s="3" t="str">
        <f ca="1">IFERROR(__xludf.DUMMYFUNCTION("IF(ISBLANK(A626),"""",GOOGLETRANSLATE(A626,""en"",""fr""))"),"")</f>
        <v/>
      </c>
    </row>
    <row r="627" spans="2:2">
      <c r="B627" s="3" t="str">
        <f ca="1">IFERROR(__xludf.DUMMYFUNCTION("IF(ISBLANK(A627),"""",GOOGLETRANSLATE(A627,""en"",""fr""))"),"")</f>
        <v/>
      </c>
    </row>
    <row r="628" spans="2:2">
      <c r="B628" s="3" t="str">
        <f ca="1">IFERROR(__xludf.DUMMYFUNCTION("IF(ISBLANK(A628),"""",GOOGLETRANSLATE(A628,""en"",""fr""))"),"")</f>
        <v/>
      </c>
    </row>
    <row r="629" spans="2:2">
      <c r="B629" s="3" t="str">
        <f ca="1">IFERROR(__xludf.DUMMYFUNCTION("IF(ISBLANK(A629),"""",GOOGLETRANSLATE(A629,""en"",""fr""))"),"")</f>
        <v/>
      </c>
    </row>
    <row r="630" spans="2:2">
      <c r="B630" s="3" t="str">
        <f ca="1">IFERROR(__xludf.DUMMYFUNCTION("IF(ISBLANK(A630),"""",GOOGLETRANSLATE(A630,""en"",""fr""))"),"")</f>
        <v/>
      </c>
    </row>
    <row r="631" spans="2:2">
      <c r="B631" s="3" t="str">
        <f ca="1">IFERROR(__xludf.DUMMYFUNCTION("IF(ISBLANK(A631),"""",GOOGLETRANSLATE(A631,""en"",""fr""))"),"")</f>
        <v/>
      </c>
    </row>
    <row r="632" spans="2:2">
      <c r="B632" s="3" t="str">
        <f ca="1">IFERROR(__xludf.DUMMYFUNCTION("IF(ISBLANK(A632),"""",GOOGLETRANSLATE(A632,""en"",""fr""))"),"")</f>
        <v/>
      </c>
    </row>
    <row r="633" spans="2:2">
      <c r="B633" s="3" t="str">
        <f ca="1">IFERROR(__xludf.DUMMYFUNCTION("IF(ISBLANK(A633),"""",GOOGLETRANSLATE(A633,""en"",""fr""))"),"")</f>
        <v/>
      </c>
    </row>
    <row r="634" spans="2:2">
      <c r="B634" s="3" t="str">
        <f ca="1">IFERROR(__xludf.DUMMYFUNCTION("IF(ISBLANK(A634),"""",GOOGLETRANSLATE(A634,""en"",""fr""))"),"")</f>
        <v/>
      </c>
    </row>
    <row r="635" spans="2:2">
      <c r="B635" s="3" t="str">
        <f ca="1">IFERROR(__xludf.DUMMYFUNCTION("IF(ISBLANK(A635),"""",GOOGLETRANSLATE(A635,""en"",""fr""))"),"")</f>
        <v/>
      </c>
    </row>
    <row r="636" spans="2:2">
      <c r="B636" s="3" t="str">
        <f ca="1">IFERROR(__xludf.DUMMYFUNCTION("IF(ISBLANK(A636),"""",GOOGLETRANSLATE(A636,""en"",""fr""))"),"")</f>
        <v/>
      </c>
    </row>
    <row r="637" spans="2:2">
      <c r="B637" s="3" t="str">
        <f ca="1">IFERROR(__xludf.DUMMYFUNCTION("IF(ISBLANK(A637),"""",GOOGLETRANSLATE(A637,""en"",""fr""))"),"")</f>
        <v/>
      </c>
    </row>
    <row r="638" spans="2:2">
      <c r="B638" s="3" t="str">
        <f ca="1">IFERROR(__xludf.DUMMYFUNCTION("IF(ISBLANK(A638),"""",GOOGLETRANSLATE(A638,""en"",""fr""))"),"")</f>
        <v/>
      </c>
    </row>
    <row r="639" spans="2:2">
      <c r="B639" s="3" t="str">
        <f ca="1">IFERROR(__xludf.DUMMYFUNCTION("IF(ISBLANK(A639),"""",GOOGLETRANSLATE(A639,""en"",""fr""))"),"")</f>
        <v/>
      </c>
    </row>
    <row r="640" spans="2:2">
      <c r="B640" s="3" t="str">
        <f ca="1">IFERROR(__xludf.DUMMYFUNCTION("IF(ISBLANK(A640),"""",GOOGLETRANSLATE(A640,""en"",""fr""))"),"")</f>
        <v/>
      </c>
    </row>
    <row r="641" spans="2:2">
      <c r="B641" s="3" t="str">
        <f ca="1">IFERROR(__xludf.DUMMYFUNCTION("IF(ISBLANK(A641),"""",GOOGLETRANSLATE(A641,""en"",""fr""))"),"")</f>
        <v/>
      </c>
    </row>
    <row r="642" spans="2:2">
      <c r="B642" s="3" t="str">
        <f ca="1">IFERROR(__xludf.DUMMYFUNCTION("IF(ISBLANK(A642),"""",GOOGLETRANSLATE(A642,""en"",""fr""))"),"")</f>
        <v/>
      </c>
    </row>
    <row r="643" spans="2:2">
      <c r="B643" s="3" t="str">
        <f ca="1">IFERROR(__xludf.DUMMYFUNCTION("IF(ISBLANK(A643),"""",GOOGLETRANSLATE(A643,""en"",""fr""))"),"")</f>
        <v/>
      </c>
    </row>
    <row r="644" spans="2:2">
      <c r="B644" s="3" t="str">
        <f ca="1">IFERROR(__xludf.DUMMYFUNCTION("IF(ISBLANK(A644),"""",GOOGLETRANSLATE(A644,""en"",""fr""))"),"")</f>
        <v/>
      </c>
    </row>
    <row r="645" spans="2:2">
      <c r="B645" s="3" t="str">
        <f ca="1">IFERROR(__xludf.DUMMYFUNCTION("IF(ISBLANK(A645),"""",GOOGLETRANSLATE(A645,""en"",""fr""))"),"")</f>
        <v/>
      </c>
    </row>
    <row r="646" spans="2:2">
      <c r="B646" s="3" t="str">
        <f ca="1">IFERROR(__xludf.DUMMYFUNCTION("IF(ISBLANK(A646),"""",GOOGLETRANSLATE(A646,""en"",""fr""))"),"")</f>
        <v/>
      </c>
    </row>
    <row r="647" spans="2:2">
      <c r="B647" s="3" t="str">
        <f ca="1">IFERROR(__xludf.DUMMYFUNCTION("IF(ISBLANK(A647),"""",GOOGLETRANSLATE(A647,""en"",""fr""))"),"")</f>
        <v/>
      </c>
    </row>
    <row r="648" spans="2:2">
      <c r="B648" s="3" t="str">
        <f ca="1">IFERROR(__xludf.DUMMYFUNCTION("IF(ISBLANK(A648),"""",GOOGLETRANSLATE(A648,""en"",""fr""))"),"")</f>
        <v/>
      </c>
    </row>
    <row r="649" spans="2:2">
      <c r="B649" s="3" t="str">
        <f ca="1">IFERROR(__xludf.DUMMYFUNCTION("IF(ISBLANK(A649),"""",GOOGLETRANSLATE(A649,""en"",""fr""))"),"")</f>
        <v/>
      </c>
    </row>
    <row r="650" spans="2:2">
      <c r="B650" s="3" t="str">
        <f ca="1">IFERROR(__xludf.DUMMYFUNCTION("IF(ISBLANK(A650),"""",GOOGLETRANSLATE(A650,""en"",""fr""))"),"")</f>
        <v/>
      </c>
    </row>
    <row r="651" spans="2:2">
      <c r="B651" s="3" t="str">
        <f ca="1">IFERROR(__xludf.DUMMYFUNCTION("IF(ISBLANK(A651),"""",GOOGLETRANSLATE(A651,""en"",""fr""))"),"")</f>
        <v/>
      </c>
    </row>
    <row r="652" spans="2:2">
      <c r="B652" s="3" t="str">
        <f ca="1">IFERROR(__xludf.DUMMYFUNCTION("IF(ISBLANK(A652),"""",GOOGLETRANSLATE(A652,""en"",""fr""))"),"")</f>
        <v/>
      </c>
    </row>
    <row r="653" spans="2:2">
      <c r="B653" s="3" t="str">
        <f ca="1">IFERROR(__xludf.DUMMYFUNCTION("IF(ISBLANK(A653),"""",GOOGLETRANSLATE(A653,""en"",""fr""))"),"")</f>
        <v/>
      </c>
    </row>
    <row r="654" spans="2:2">
      <c r="B654" s="3" t="str">
        <f ca="1">IFERROR(__xludf.DUMMYFUNCTION("IF(ISBLANK(A654),"""",GOOGLETRANSLATE(A654,""en"",""fr""))"),"")</f>
        <v/>
      </c>
    </row>
    <row r="655" spans="2:2">
      <c r="B655" s="3" t="str">
        <f ca="1">IFERROR(__xludf.DUMMYFUNCTION("IF(ISBLANK(A655),"""",GOOGLETRANSLATE(A655,""en"",""fr""))"),"")</f>
        <v/>
      </c>
    </row>
    <row r="656" spans="2:2">
      <c r="B656" s="3" t="str">
        <f ca="1">IFERROR(__xludf.DUMMYFUNCTION("IF(ISBLANK(A656),"""",GOOGLETRANSLATE(A656,""en"",""fr""))"),"")</f>
        <v/>
      </c>
    </row>
    <row r="657" spans="2:2">
      <c r="B657" s="3" t="str">
        <f ca="1">IFERROR(__xludf.DUMMYFUNCTION("IF(ISBLANK(A657),"""",GOOGLETRANSLATE(A657,""en"",""fr""))"),"")</f>
        <v/>
      </c>
    </row>
    <row r="658" spans="2:2">
      <c r="B658" s="3" t="str">
        <f ca="1">IFERROR(__xludf.DUMMYFUNCTION("IF(ISBLANK(A658),"""",GOOGLETRANSLATE(A658,""en"",""fr""))"),"")</f>
        <v/>
      </c>
    </row>
    <row r="659" spans="2:2">
      <c r="B659" s="3" t="str">
        <f ca="1">IFERROR(__xludf.DUMMYFUNCTION("IF(ISBLANK(A659),"""",GOOGLETRANSLATE(A659,""en"",""fr""))"),"")</f>
        <v/>
      </c>
    </row>
    <row r="660" spans="2:2">
      <c r="B660" s="3" t="str">
        <f ca="1">IFERROR(__xludf.DUMMYFUNCTION("IF(ISBLANK(A660),"""",GOOGLETRANSLATE(A660,""en"",""fr""))"),"")</f>
        <v/>
      </c>
    </row>
    <row r="661" spans="2:2">
      <c r="B661" s="3" t="str">
        <f ca="1">IFERROR(__xludf.DUMMYFUNCTION("IF(ISBLANK(A661),"""",GOOGLETRANSLATE(A661,""en"",""fr""))"),"")</f>
        <v/>
      </c>
    </row>
    <row r="662" spans="2:2">
      <c r="B662" s="3" t="str">
        <f ca="1">IFERROR(__xludf.DUMMYFUNCTION("IF(ISBLANK(A662),"""",GOOGLETRANSLATE(A662,""en"",""fr""))"),"")</f>
        <v/>
      </c>
    </row>
    <row r="663" spans="2:2">
      <c r="B663" s="3" t="str">
        <f ca="1">IFERROR(__xludf.DUMMYFUNCTION("IF(ISBLANK(A663),"""",GOOGLETRANSLATE(A663,""en"",""fr""))"),"")</f>
        <v/>
      </c>
    </row>
    <row r="664" spans="2:2">
      <c r="B664" s="3" t="str">
        <f ca="1">IFERROR(__xludf.DUMMYFUNCTION("IF(ISBLANK(A664),"""",GOOGLETRANSLATE(A664,""en"",""fr""))"),"")</f>
        <v/>
      </c>
    </row>
    <row r="665" spans="2:2">
      <c r="B665" s="3" t="str">
        <f ca="1">IFERROR(__xludf.DUMMYFUNCTION("IF(ISBLANK(A665),"""",GOOGLETRANSLATE(A665,""en"",""fr""))"),"")</f>
        <v/>
      </c>
    </row>
    <row r="666" spans="2:2">
      <c r="B666" s="3" t="str">
        <f ca="1">IFERROR(__xludf.DUMMYFUNCTION("IF(ISBLANK(A666),"""",GOOGLETRANSLATE(A666,""en"",""fr""))"),"")</f>
        <v/>
      </c>
    </row>
    <row r="667" spans="2:2">
      <c r="B667" s="3" t="str">
        <f ca="1">IFERROR(__xludf.DUMMYFUNCTION("IF(ISBLANK(A667),"""",GOOGLETRANSLATE(A667,""en"",""fr""))"),"")</f>
        <v/>
      </c>
    </row>
    <row r="668" spans="2:2">
      <c r="B668" s="3" t="str">
        <f ca="1">IFERROR(__xludf.DUMMYFUNCTION("IF(ISBLANK(A668),"""",GOOGLETRANSLATE(A668,""en"",""fr""))"),"")</f>
        <v/>
      </c>
    </row>
    <row r="669" spans="2:2">
      <c r="B669" s="3" t="str">
        <f ca="1">IFERROR(__xludf.DUMMYFUNCTION("IF(ISBLANK(A669),"""",GOOGLETRANSLATE(A669,""en"",""fr""))"),"")</f>
        <v/>
      </c>
    </row>
    <row r="670" spans="2:2">
      <c r="B670" s="3" t="str">
        <f ca="1">IFERROR(__xludf.DUMMYFUNCTION("IF(ISBLANK(A670),"""",GOOGLETRANSLATE(A670,""en"",""fr""))"),"")</f>
        <v/>
      </c>
    </row>
    <row r="671" spans="2:2">
      <c r="B671" s="3" t="str">
        <f ca="1">IFERROR(__xludf.DUMMYFUNCTION("IF(ISBLANK(A671),"""",GOOGLETRANSLATE(A671,""en"",""fr""))"),"")</f>
        <v/>
      </c>
    </row>
    <row r="672" spans="2:2">
      <c r="B672" s="3" t="str">
        <f ca="1">IFERROR(__xludf.DUMMYFUNCTION("IF(ISBLANK(A672),"""",GOOGLETRANSLATE(A672,""en"",""fr""))"),"")</f>
        <v/>
      </c>
    </row>
    <row r="673" spans="2:2">
      <c r="B673" s="3" t="str">
        <f ca="1">IFERROR(__xludf.DUMMYFUNCTION("IF(ISBLANK(A673),"""",GOOGLETRANSLATE(A673,""en"",""fr""))"),"")</f>
        <v/>
      </c>
    </row>
    <row r="674" spans="2:2">
      <c r="B674" s="3" t="str">
        <f ca="1">IFERROR(__xludf.DUMMYFUNCTION("IF(ISBLANK(A674),"""",GOOGLETRANSLATE(A674,""en"",""fr""))"),"")</f>
        <v/>
      </c>
    </row>
    <row r="675" spans="2:2">
      <c r="B675" s="3" t="str">
        <f ca="1">IFERROR(__xludf.DUMMYFUNCTION("IF(ISBLANK(A675),"""",GOOGLETRANSLATE(A675,""en"",""fr""))"),"")</f>
        <v/>
      </c>
    </row>
    <row r="676" spans="2:2">
      <c r="B676" s="3" t="str">
        <f ca="1">IFERROR(__xludf.DUMMYFUNCTION("IF(ISBLANK(A676),"""",GOOGLETRANSLATE(A676,""en"",""fr""))"),"")</f>
        <v/>
      </c>
    </row>
    <row r="677" spans="2:2">
      <c r="B677" s="3" t="str">
        <f ca="1">IFERROR(__xludf.DUMMYFUNCTION("IF(ISBLANK(A677),"""",GOOGLETRANSLATE(A677,""en"",""fr""))"),"")</f>
        <v/>
      </c>
    </row>
    <row r="678" spans="2:2">
      <c r="B678" s="3" t="str">
        <f ca="1">IFERROR(__xludf.DUMMYFUNCTION("IF(ISBLANK(A678),"""",GOOGLETRANSLATE(A678,""en"",""fr""))"),"")</f>
        <v/>
      </c>
    </row>
    <row r="679" spans="2:2">
      <c r="B679" s="3" t="str">
        <f ca="1">IFERROR(__xludf.DUMMYFUNCTION("IF(ISBLANK(A679),"""",GOOGLETRANSLATE(A679,""en"",""fr""))"),"")</f>
        <v/>
      </c>
    </row>
    <row r="680" spans="2:2">
      <c r="B680" s="3" t="str">
        <f ca="1">IFERROR(__xludf.DUMMYFUNCTION("IF(ISBLANK(A680),"""",GOOGLETRANSLATE(A680,""en"",""fr""))"),"")</f>
        <v/>
      </c>
    </row>
    <row r="681" spans="2:2">
      <c r="B681" s="3" t="str">
        <f ca="1">IFERROR(__xludf.DUMMYFUNCTION("IF(ISBLANK(A681),"""",GOOGLETRANSLATE(A681,""en"",""fr""))"),"")</f>
        <v/>
      </c>
    </row>
    <row r="682" spans="2:2">
      <c r="B682" s="3" t="str">
        <f ca="1">IFERROR(__xludf.DUMMYFUNCTION("IF(ISBLANK(A682),"""",GOOGLETRANSLATE(A682,""en"",""fr""))"),"")</f>
        <v/>
      </c>
    </row>
    <row r="683" spans="2:2">
      <c r="B683" s="3" t="str">
        <f ca="1">IFERROR(__xludf.DUMMYFUNCTION("IF(ISBLANK(A683),"""",GOOGLETRANSLATE(A683,""en"",""fr""))"),"")</f>
        <v/>
      </c>
    </row>
    <row r="684" spans="2:2">
      <c r="B684" s="3" t="str">
        <f ca="1">IFERROR(__xludf.DUMMYFUNCTION("IF(ISBLANK(A684),"""",GOOGLETRANSLATE(A684,""en"",""fr""))"),"")</f>
        <v/>
      </c>
    </row>
    <row r="685" spans="2:2">
      <c r="B685" s="3" t="str">
        <f ca="1">IFERROR(__xludf.DUMMYFUNCTION("IF(ISBLANK(A685),"""",GOOGLETRANSLATE(A685,""en"",""fr""))"),"")</f>
        <v/>
      </c>
    </row>
    <row r="686" spans="2:2">
      <c r="B686" s="3" t="str">
        <f ca="1">IFERROR(__xludf.DUMMYFUNCTION("IF(ISBLANK(A686),"""",GOOGLETRANSLATE(A686,""en"",""fr""))"),"")</f>
        <v/>
      </c>
    </row>
    <row r="687" spans="2:2">
      <c r="B687" s="3" t="str">
        <f ca="1">IFERROR(__xludf.DUMMYFUNCTION("IF(ISBLANK(A687),"""",GOOGLETRANSLATE(A687,""en"",""fr""))"),"")</f>
        <v/>
      </c>
    </row>
    <row r="688" spans="2:2">
      <c r="B688" s="3" t="str">
        <f ca="1">IFERROR(__xludf.DUMMYFUNCTION("IF(ISBLANK(A688),"""",GOOGLETRANSLATE(A688,""en"",""fr""))"),"")</f>
        <v/>
      </c>
    </row>
    <row r="689" spans="2:2">
      <c r="B689" s="3" t="str">
        <f ca="1">IFERROR(__xludf.DUMMYFUNCTION("IF(ISBLANK(A689),"""",GOOGLETRANSLATE(A689,""en"",""fr""))"),"")</f>
        <v/>
      </c>
    </row>
    <row r="690" spans="2:2">
      <c r="B690" s="3" t="str">
        <f ca="1">IFERROR(__xludf.DUMMYFUNCTION("IF(ISBLANK(A690),"""",GOOGLETRANSLATE(A690,""en"",""fr""))"),"")</f>
        <v/>
      </c>
    </row>
    <row r="691" spans="2:2">
      <c r="B691" s="3" t="str">
        <f ca="1">IFERROR(__xludf.DUMMYFUNCTION("IF(ISBLANK(A691),"""",GOOGLETRANSLATE(A691,""en"",""fr""))"),"")</f>
        <v/>
      </c>
    </row>
    <row r="692" spans="2:2">
      <c r="B692" s="3" t="str">
        <f ca="1">IFERROR(__xludf.DUMMYFUNCTION("IF(ISBLANK(A692),"""",GOOGLETRANSLATE(A692,""en"",""fr""))"),"")</f>
        <v/>
      </c>
    </row>
    <row r="693" spans="2:2">
      <c r="B693" s="3" t="str">
        <f ca="1">IFERROR(__xludf.DUMMYFUNCTION("IF(ISBLANK(A693),"""",GOOGLETRANSLATE(A693,""en"",""fr""))"),"")</f>
        <v/>
      </c>
    </row>
    <row r="694" spans="2:2">
      <c r="B694" s="3" t="str">
        <f ca="1">IFERROR(__xludf.DUMMYFUNCTION("IF(ISBLANK(A694),"""",GOOGLETRANSLATE(A694,""en"",""fr""))"),"")</f>
        <v/>
      </c>
    </row>
    <row r="695" spans="2:2">
      <c r="B695" s="3" t="str">
        <f ca="1">IFERROR(__xludf.DUMMYFUNCTION("IF(ISBLANK(A695),"""",GOOGLETRANSLATE(A695,""en"",""fr""))"),"")</f>
        <v/>
      </c>
    </row>
    <row r="696" spans="2:2">
      <c r="B696" s="3" t="str">
        <f ca="1">IFERROR(__xludf.DUMMYFUNCTION("IF(ISBLANK(A696),"""",GOOGLETRANSLATE(A696,""en"",""fr""))"),"")</f>
        <v/>
      </c>
    </row>
    <row r="697" spans="2:2">
      <c r="B697" s="3" t="str">
        <f ca="1">IFERROR(__xludf.DUMMYFUNCTION("IF(ISBLANK(A697),"""",GOOGLETRANSLATE(A697,""en"",""fr""))"),"")</f>
        <v/>
      </c>
    </row>
    <row r="698" spans="2:2">
      <c r="B698" s="3" t="str">
        <f ca="1">IFERROR(__xludf.DUMMYFUNCTION("IF(ISBLANK(A698),"""",GOOGLETRANSLATE(A698,""en"",""fr""))"),"")</f>
        <v/>
      </c>
    </row>
    <row r="699" spans="2:2">
      <c r="B699" s="3" t="str">
        <f ca="1">IFERROR(__xludf.DUMMYFUNCTION("IF(ISBLANK(A699),"""",GOOGLETRANSLATE(A699,""en"",""fr""))"),"")</f>
        <v/>
      </c>
    </row>
    <row r="700" spans="2:2">
      <c r="B700" s="3" t="str">
        <f ca="1">IFERROR(__xludf.DUMMYFUNCTION("IF(ISBLANK(A700),"""",GOOGLETRANSLATE(A700,""en"",""fr""))"),"")</f>
        <v/>
      </c>
    </row>
    <row r="701" spans="2:2">
      <c r="B701" s="3" t="str">
        <f ca="1">IFERROR(__xludf.DUMMYFUNCTION("IF(ISBLANK(A701),"""",GOOGLETRANSLATE(A701,""en"",""fr""))"),"")</f>
        <v/>
      </c>
    </row>
    <row r="702" spans="2:2">
      <c r="B702" s="3" t="str">
        <f ca="1">IFERROR(__xludf.DUMMYFUNCTION("IF(ISBLANK(A702),"""",GOOGLETRANSLATE(A702,""en"",""fr""))"),"")</f>
        <v/>
      </c>
    </row>
    <row r="703" spans="2:2">
      <c r="B703" s="3" t="str">
        <f ca="1">IFERROR(__xludf.DUMMYFUNCTION("IF(ISBLANK(A703),"""",GOOGLETRANSLATE(A703,""en"",""fr""))"),"")</f>
        <v/>
      </c>
    </row>
    <row r="704" spans="2:2">
      <c r="B704" s="3" t="str">
        <f ca="1">IFERROR(__xludf.DUMMYFUNCTION("IF(ISBLANK(A704),"""",GOOGLETRANSLATE(A704,""en"",""fr""))"),"")</f>
        <v/>
      </c>
    </row>
    <row r="705" spans="2:2">
      <c r="B705" s="3" t="str">
        <f ca="1">IFERROR(__xludf.DUMMYFUNCTION("IF(ISBLANK(A705),"""",GOOGLETRANSLATE(A705,""en"",""fr""))"),"")</f>
        <v/>
      </c>
    </row>
    <row r="706" spans="2:2">
      <c r="B706" s="3" t="str">
        <f ca="1">IFERROR(__xludf.DUMMYFUNCTION("IF(ISBLANK(A706),"""",GOOGLETRANSLATE(A706,""en"",""fr""))"),"")</f>
        <v/>
      </c>
    </row>
    <row r="707" spans="2:2">
      <c r="B707" s="3" t="str">
        <f ca="1">IFERROR(__xludf.DUMMYFUNCTION("IF(ISBLANK(A707),"""",GOOGLETRANSLATE(A707,""en"",""fr""))"),"")</f>
        <v/>
      </c>
    </row>
    <row r="708" spans="2:2">
      <c r="B708" s="3" t="str">
        <f ca="1">IFERROR(__xludf.DUMMYFUNCTION("IF(ISBLANK(A708),"""",GOOGLETRANSLATE(A708,""en"",""fr""))"),"")</f>
        <v/>
      </c>
    </row>
    <row r="709" spans="2:2">
      <c r="B709" s="3" t="str">
        <f ca="1">IFERROR(__xludf.DUMMYFUNCTION("IF(ISBLANK(A709),"""",GOOGLETRANSLATE(A709,""en"",""fr""))"),"")</f>
        <v/>
      </c>
    </row>
    <row r="710" spans="2:2">
      <c r="B710" s="3" t="str">
        <f ca="1">IFERROR(__xludf.DUMMYFUNCTION("IF(ISBLANK(A710),"""",GOOGLETRANSLATE(A710,""en"",""fr""))"),"")</f>
        <v/>
      </c>
    </row>
    <row r="711" spans="2:2">
      <c r="B711" s="3" t="str">
        <f ca="1">IFERROR(__xludf.DUMMYFUNCTION("IF(ISBLANK(A711),"""",GOOGLETRANSLATE(A711,""en"",""fr""))"),"")</f>
        <v/>
      </c>
    </row>
    <row r="712" spans="2:2">
      <c r="B712" s="3" t="str">
        <f ca="1">IFERROR(__xludf.DUMMYFUNCTION("IF(ISBLANK(A712),"""",GOOGLETRANSLATE(A712,""en"",""fr""))"),"")</f>
        <v/>
      </c>
    </row>
    <row r="713" spans="2:2">
      <c r="B713" s="3" t="str">
        <f ca="1">IFERROR(__xludf.DUMMYFUNCTION("IF(ISBLANK(A713),"""",GOOGLETRANSLATE(A713,""en"",""fr""))"),"")</f>
        <v/>
      </c>
    </row>
    <row r="714" spans="2:2">
      <c r="B714" s="3" t="str">
        <f ca="1">IFERROR(__xludf.DUMMYFUNCTION("IF(ISBLANK(A714),"""",GOOGLETRANSLATE(A714,""en"",""fr""))"),"")</f>
        <v/>
      </c>
    </row>
    <row r="715" spans="2:2">
      <c r="B715" s="3" t="str">
        <f ca="1">IFERROR(__xludf.DUMMYFUNCTION("IF(ISBLANK(A715),"""",GOOGLETRANSLATE(A715,""en"",""fr""))"),"")</f>
        <v/>
      </c>
    </row>
    <row r="716" spans="2:2">
      <c r="B716" s="3" t="str">
        <f ca="1">IFERROR(__xludf.DUMMYFUNCTION("IF(ISBLANK(A716),"""",GOOGLETRANSLATE(A716,""en"",""fr""))"),"")</f>
        <v/>
      </c>
    </row>
    <row r="717" spans="2:2">
      <c r="B717" s="3" t="str">
        <f ca="1">IFERROR(__xludf.DUMMYFUNCTION("IF(ISBLANK(A717),"""",GOOGLETRANSLATE(A717,""en"",""fr""))"),"")</f>
        <v/>
      </c>
    </row>
    <row r="718" spans="2:2">
      <c r="B718" s="3" t="str">
        <f ca="1">IFERROR(__xludf.DUMMYFUNCTION("IF(ISBLANK(A718),"""",GOOGLETRANSLATE(A718,""en"",""fr""))"),"")</f>
        <v/>
      </c>
    </row>
    <row r="719" spans="2:2">
      <c r="B719" s="3" t="str">
        <f ca="1">IFERROR(__xludf.DUMMYFUNCTION("IF(ISBLANK(A719),"""",GOOGLETRANSLATE(A719,""en"",""fr""))"),"")</f>
        <v/>
      </c>
    </row>
    <row r="720" spans="2:2">
      <c r="B720" s="3" t="str">
        <f ca="1">IFERROR(__xludf.DUMMYFUNCTION("IF(ISBLANK(A720),"""",GOOGLETRANSLATE(A720,""en"",""fr""))"),"")</f>
        <v/>
      </c>
    </row>
    <row r="721" spans="2:2">
      <c r="B721" s="3" t="str">
        <f ca="1">IFERROR(__xludf.DUMMYFUNCTION("IF(ISBLANK(A721),"""",GOOGLETRANSLATE(A721,""en"",""fr""))"),"")</f>
        <v/>
      </c>
    </row>
    <row r="722" spans="2:2">
      <c r="B722" s="3" t="str">
        <f ca="1">IFERROR(__xludf.DUMMYFUNCTION("IF(ISBLANK(A722),"""",GOOGLETRANSLATE(A722,""en"",""fr""))"),"")</f>
        <v/>
      </c>
    </row>
    <row r="723" spans="2:2">
      <c r="B723" s="3" t="str">
        <f ca="1">IFERROR(__xludf.DUMMYFUNCTION("IF(ISBLANK(A723),"""",GOOGLETRANSLATE(A723,""en"",""fr""))"),"")</f>
        <v/>
      </c>
    </row>
    <row r="724" spans="2:2">
      <c r="B724" s="3" t="str">
        <f ca="1">IFERROR(__xludf.DUMMYFUNCTION("IF(ISBLANK(A724),"""",GOOGLETRANSLATE(A724,""en"",""fr""))"),"")</f>
        <v/>
      </c>
    </row>
    <row r="725" spans="2:2">
      <c r="B725" s="3" t="str">
        <f ca="1">IFERROR(__xludf.DUMMYFUNCTION("IF(ISBLANK(A725),"""",GOOGLETRANSLATE(A725,""en"",""fr""))"),"")</f>
        <v/>
      </c>
    </row>
    <row r="726" spans="2:2">
      <c r="B726" s="3" t="str">
        <f ca="1">IFERROR(__xludf.DUMMYFUNCTION("IF(ISBLANK(A726),"""",GOOGLETRANSLATE(A726,""en"",""fr""))"),"")</f>
        <v/>
      </c>
    </row>
    <row r="727" spans="2:2">
      <c r="B727" s="3" t="str">
        <f ca="1">IFERROR(__xludf.DUMMYFUNCTION("IF(ISBLANK(A727),"""",GOOGLETRANSLATE(A727,""en"",""fr""))"),"")</f>
        <v/>
      </c>
    </row>
    <row r="728" spans="2:2">
      <c r="B728" s="3" t="str">
        <f ca="1">IFERROR(__xludf.DUMMYFUNCTION("IF(ISBLANK(A728),"""",GOOGLETRANSLATE(A728,""en"",""fr""))"),"")</f>
        <v/>
      </c>
    </row>
    <row r="729" spans="2:2">
      <c r="B729" s="3" t="str">
        <f ca="1">IFERROR(__xludf.DUMMYFUNCTION("IF(ISBLANK(A729),"""",GOOGLETRANSLATE(A729,""en"",""fr""))"),"")</f>
        <v/>
      </c>
    </row>
    <row r="730" spans="2:2">
      <c r="B730" s="3" t="str">
        <f ca="1">IFERROR(__xludf.DUMMYFUNCTION("IF(ISBLANK(A730),"""",GOOGLETRANSLATE(A730,""en"",""fr""))"),"")</f>
        <v/>
      </c>
    </row>
    <row r="731" spans="2:2">
      <c r="B731" s="3" t="str">
        <f ca="1">IFERROR(__xludf.DUMMYFUNCTION("IF(ISBLANK(A731),"""",GOOGLETRANSLATE(A731,""en"",""fr""))"),"")</f>
        <v/>
      </c>
    </row>
    <row r="732" spans="2:2">
      <c r="B732" s="3" t="str">
        <f ca="1">IFERROR(__xludf.DUMMYFUNCTION("IF(ISBLANK(A732),"""",GOOGLETRANSLATE(A732,""en"",""fr""))"),"")</f>
        <v/>
      </c>
    </row>
    <row r="733" spans="2:2">
      <c r="B733" s="3" t="str">
        <f ca="1">IFERROR(__xludf.DUMMYFUNCTION("IF(ISBLANK(A733),"""",GOOGLETRANSLATE(A733,""en"",""fr""))"),"")</f>
        <v/>
      </c>
    </row>
    <row r="734" spans="2:2">
      <c r="B734" s="3" t="str">
        <f ca="1">IFERROR(__xludf.DUMMYFUNCTION("IF(ISBLANK(A734),"""",GOOGLETRANSLATE(A734,""en"",""fr""))"),"")</f>
        <v/>
      </c>
    </row>
    <row r="735" spans="2:2">
      <c r="B735" s="3" t="str">
        <f ca="1">IFERROR(__xludf.DUMMYFUNCTION("IF(ISBLANK(A735),"""",GOOGLETRANSLATE(A735,""en"",""fr""))"),"")</f>
        <v/>
      </c>
    </row>
    <row r="736" spans="2:2">
      <c r="B736" s="3" t="str">
        <f ca="1">IFERROR(__xludf.DUMMYFUNCTION("IF(ISBLANK(A736),"""",GOOGLETRANSLATE(A736,""en"",""fr""))"),"")</f>
        <v/>
      </c>
    </row>
    <row r="737" spans="2:2">
      <c r="B737" s="3" t="str">
        <f ca="1">IFERROR(__xludf.DUMMYFUNCTION("IF(ISBLANK(A737),"""",GOOGLETRANSLATE(A737,""en"",""fr""))"),"")</f>
        <v/>
      </c>
    </row>
    <row r="738" spans="2:2">
      <c r="B738" s="3" t="str">
        <f ca="1">IFERROR(__xludf.DUMMYFUNCTION("IF(ISBLANK(A738),"""",GOOGLETRANSLATE(A738,""en"",""fr""))"),"")</f>
        <v/>
      </c>
    </row>
    <row r="739" spans="2:2">
      <c r="B739" s="3" t="str">
        <f ca="1">IFERROR(__xludf.DUMMYFUNCTION("IF(ISBLANK(A739),"""",GOOGLETRANSLATE(A739,""en"",""fr""))"),"")</f>
        <v/>
      </c>
    </row>
    <row r="740" spans="2:2">
      <c r="B740" s="3" t="str">
        <f ca="1">IFERROR(__xludf.DUMMYFUNCTION("IF(ISBLANK(A740),"""",GOOGLETRANSLATE(A740,""en"",""fr""))"),"")</f>
        <v/>
      </c>
    </row>
    <row r="741" spans="2:2">
      <c r="B741" s="3" t="str">
        <f ca="1">IFERROR(__xludf.DUMMYFUNCTION("IF(ISBLANK(A741),"""",GOOGLETRANSLATE(A741,""en"",""fr""))"),"")</f>
        <v/>
      </c>
    </row>
    <row r="742" spans="2:2">
      <c r="B742" s="3" t="str">
        <f ca="1">IFERROR(__xludf.DUMMYFUNCTION("IF(ISBLANK(A742),"""",GOOGLETRANSLATE(A742,""en"",""fr""))"),"")</f>
        <v/>
      </c>
    </row>
    <row r="743" spans="2:2">
      <c r="B743" s="3" t="str">
        <f ca="1">IFERROR(__xludf.DUMMYFUNCTION("IF(ISBLANK(A743),"""",GOOGLETRANSLATE(A743,""en"",""fr""))"),"")</f>
        <v/>
      </c>
    </row>
    <row r="744" spans="2:2">
      <c r="B744" s="3" t="str">
        <f ca="1">IFERROR(__xludf.DUMMYFUNCTION("IF(ISBLANK(A744),"""",GOOGLETRANSLATE(A744,""en"",""fr""))"),"")</f>
        <v/>
      </c>
    </row>
    <row r="745" spans="2:2">
      <c r="B745" s="3" t="str">
        <f ca="1">IFERROR(__xludf.DUMMYFUNCTION("IF(ISBLANK(A745),"""",GOOGLETRANSLATE(A745,""en"",""fr""))"),"")</f>
        <v/>
      </c>
    </row>
    <row r="746" spans="2:2">
      <c r="B746" s="3" t="str">
        <f ca="1">IFERROR(__xludf.DUMMYFUNCTION("IF(ISBLANK(A746),"""",GOOGLETRANSLATE(A746,""en"",""fr""))"),"")</f>
        <v/>
      </c>
    </row>
    <row r="747" spans="2:2">
      <c r="B747" s="3" t="str">
        <f ca="1">IFERROR(__xludf.DUMMYFUNCTION("IF(ISBLANK(A747),"""",GOOGLETRANSLATE(A747,""en"",""fr""))"),"")</f>
        <v/>
      </c>
    </row>
    <row r="748" spans="2:2">
      <c r="B748" s="3" t="str">
        <f ca="1">IFERROR(__xludf.DUMMYFUNCTION("IF(ISBLANK(A748),"""",GOOGLETRANSLATE(A748,""en"",""fr""))"),"")</f>
        <v/>
      </c>
    </row>
    <row r="749" spans="2:2">
      <c r="B749" s="3" t="str">
        <f ca="1">IFERROR(__xludf.DUMMYFUNCTION("IF(ISBLANK(A749),"""",GOOGLETRANSLATE(A749,""en"",""fr""))"),"")</f>
        <v/>
      </c>
    </row>
    <row r="750" spans="2:2">
      <c r="B750" s="3" t="str">
        <f ca="1">IFERROR(__xludf.DUMMYFUNCTION("IF(ISBLANK(A750),"""",GOOGLETRANSLATE(A750,""en"",""fr""))"),"")</f>
        <v/>
      </c>
    </row>
    <row r="751" spans="2:2">
      <c r="B751" s="3" t="str">
        <f ca="1">IFERROR(__xludf.DUMMYFUNCTION("IF(ISBLANK(A751),"""",GOOGLETRANSLATE(A751,""en"",""fr""))"),"")</f>
        <v/>
      </c>
    </row>
    <row r="752" spans="2:2">
      <c r="B752" s="3" t="str">
        <f ca="1">IFERROR(__xludf.DUMMYFUNCTION("IF(ISBLANK(A752),"""",GOOGLETRANSLATE(A752,""en"",""fr""))"),"")</f>
        <v/>
      </c>
    </row>
    <row r="753" spans="2:2">
      <c r="B753" s="3" t="str">
        <f ca="1">IFERROR(__xludf.DUMMYFUNCTION("IF(ISBLANK(A753),"""",GOOGLETRANSLATE(A753,""en"",""fr""))"),"")</f>
        <v/>
      </c>
    </row>
    <row r="754" spans="2:2">
      <c r="B754" s="3" t="str">
        <f ca="1">IFERROR(__xludf.DUMMYFUNCTION("IF(ISBLANK(A754),"""",GOOGLETRANSLATE(A754,""en"",""fr""))"),"")</f>
        <v/>
      </c>
    </row>
    <row r="755" spans="2:2">
      <c r="B755" s="3" t="str">
        <f ca="1">IFERROR(__xludf.DUMMYFUNCTION("IF(ISBLANK(A755),"""",GOOGLETRANSLATE(A755,""en"",""fr""))"),"")</f>
        <v/>
      </c>
    </row>
    <row r="756" spans="2:2">
      <c r="B756" s="3" t="str">
        <f ca="1">IFERROR(__xludf.DUMMYFUNCTION("IF(ISBLANK(A756),"""",GOOGLETRANSLATE(A756,""en"",""fr""))"),"")</f>
        <v/>
      </c>
    </row>
    <row r="757" spans="2:2">
      <c r="B757" s="3" t="str">
        <f ca="1">IFERROR(__xludf.DUMMYFUNCTION("IF(ISBLANK(A757),"""",GOOGLETRANSLATE(A757,""en"",""fr""))"),"")</f>
        <v/>
      </c>
    </row>
    <row r="758" spans="2:2">
      <c r="B758" s="3" t="str">
        <f ca="1">IFERROR(__xludf.DUMMYFUNCTION("IF(ISBLANK(A758),"""",GOOGLETRANSLATE(A758,""en"",""fr""))"),"")</f>
        <v/>
      </c>
    </row>
    <row r="759" spans="2:2">
      <c r="B759" s="3" t="str">
        <f ca="1">IFERROR(__xludf.DUMMYFUNCTION("IF(ISBLANK(A759),"""",GOOGLETRANSLATE(A759,""en"",""fr""))"),"")</f>
        <v/>
      </c>
    </row>
    <row r="760" spans="2:2">
      <c r="B760" s="3" t="str">
        <f ca="1">IFERROR(__xludf.DUMMYFUNCTION("IF(ISBLANK(A760),"""",GOOGLETRANSLATE(A760,""en"",""fr""))"),"")</f>
        <v/>
      </c>
    </row>
    <row r="761" spans="2:2">
      <c r="B761" s="3" t="str">
        <f ca="1">IFERROR(__xludf.DUMMYFUNCTION("IF(ISBLANK(A761),"""",GOOGLETRANSLATE(A761,""en"",""fr""))"),"")</f>
        <v/>
      </c>
    </row>
    <row r="762" spans="2:2">
      <c r="B762" s="3" t="str">
        <f ca="1">IFERROR(__xludf.DUMMYFUNCTION("IF(ISBLANK(A762),"""",GOOGLETRANSLATE(A762,""en"",""fr""))"),"")</f>
        <v/>
      </c>
    </row>
    <row r="763" spans="2:2">
      <c r="B763" s="3" t="str">
        <f ca="1">IFERROR(__xludf.DUMMYFUNCTION("IF(ISBLANK(A763),"""",GOOGLETRANSLATE(A763,""en"",""fr""))"),"")</f>
        <v/>
      </c>
    </row>
    <row r="764" spans="2:2">
      <c r="B764" s="3" t="str">
        <f ca="1">IFERROR(__xludf.DUMMYFUNCTION("IF(ISBLANK(A764),"""",GOOGLETRANSLATE(A764,""en"",""fr""))"),"")</f>
        <v/>
      </c>
    </row>
    <row r="765" spans="2:2">
      <c r="B765" s="3" t="str">
        <f ca="1">IFERROR(__xludf.DUMMYFUNCTION("IF(ISBLANK(A765),"""",GOOGLETRANSLATE(A765,""en"",""fr""))"),"")</f>
        <v/>
      </c>
    </row>
    <row r="766" spans="2:2">
      <c r="B766" s="3" t="str">
        <f ca="1">IFERROR(__xludf.DUMMYFUNCTION("IF(ISBLANK(A766),"""",GOOGLETRANSLATE(A766,""en"",""fr""))"),"")</f>
        <v/>
      </c>
    </row>
    <row r="767" spans="2:2">
      <c r="B767" s="3" t="str">
        <f ca="1">IFERROR(__xludf.DUMMYFUNCTION("IF(ISBLANK(A767),"""",GOOGLETRANSLATE(A767,""en"",""fr""))"),"")</f>
        <v/>
      </c>
    </row>
    <row r="768" spans="2:2">
      <c r="B768" s="3" t="str">
        <f ca="1">IFERROR(__xludf.DUMMYFUNCTION("IF(ISBLANK(A768),"""",GOOGLETRANSLATE(A768,""en"",""fr""))"),"")</f>
        <v/>
      </c>
    </row>
    <row r="769" spans="2:2">
      <c r="B769" s="3" t="str">
        <f ca="1">IFERROR(__xludf.DUMMYFUNCTION("IF(ISBLANK(A769),"""",GOOGLETRANSLATE(A769,""en"",""fr""))"),"")</f>
        <v/>
      </c>
    </row>
    <row r="770" spans="2:2">
      <c r="B770" s="3" t="str">
        <f ca="1">IFERROR(__xludf.DUMMYFUNCTION("IF(ISBLANK(A770),"""",GOOGLETRANSLATE(A770,""en"",""fr""))"),"")</f>
        <v/>
      </c>
    </row>
    <row r="771" spans="2:2">
      <c r="B771" s="3" t="str">
        <f ca="1">IFERROR(__xludf.DUMMYFUNCTION("IF(ISBLANK(A771),"""",GOOGLETRANSLATE(A771,""en"",""fr""))"),"")</f>
        <v/>
      </c>
    </row>
    <row r="772" spans="2:2">
      <c r="B772" s="3" t="str">
        <f ca="1">IFERROR(__xludf.DUMMYFUNCTION("IF(ISBLANK(A772),"""",GOOGLETRANSLATE(A772,""en"",""fr""))"),"")</f>
        <v/>
      </c>
    </row>
    <row r="773" spans="2:2">
      <c r="B773" s="3" t="str">
        <f ca="1">IFERROR(__xludf.DUMMYFUNCTION("IF(ISBLANK(A773),"""",GOOGLETRANSLATE(A773,""en"",""fr""))"),"")</f>
        <v/>
      </c>
    </row>
    <row r="774" spans="2:2">
      <c r="B774" s="3" t="str">
        <f ca="1">IFERROR(__xludf.DUMMYFUNCTION("IF(ISBLANK(A774),"""",GOOGLETRANSLATE(A774,""en"",""fr""))"),"")</f>
        <v/>
      </c>
    </row>
    <row r="775" spans="2:2">
      <c r="B775" s="3" t="str">
        <f ca="1">IFERROR(__xludf.DUMMYFUNCTION("IF(ISBLANK(A775),"""",GOOGLETRANSLATE(A775,""en"",""fr""))"),"")</f>
        <v/>
      </c>
    </row>
    <row r="776" spans="2:2">
      <c r="B776" s="3" t="str">
        <f ca="1">IFERROR(__xludf.DUMMYFUNCTION("IF(ISBLANK(A776),"""",GOOGLETRANSLATE(A776,""en"",""fr""))"),"")</f>
        <v/>
      </c>
    </row>
    <row r="777" spans="2:2">
      <c r="B777" s="3" t="str">
        <f ca="1">IFERROR(__xludf.DUMMYFUNCTION("IF(ISBLANK(A777),"""",GOOGLETRANSLATE(A777,""en"",""fr""))"),"")</f>
        <v/>
      </c>
    </row>
    <row r="778" spans="2:2">
      <c r="B778" s="3" t="str">
        <f ca="1">IFERROR(__xludf.DUMMYFUNCTION("IF(ISBLANK(A778),"""",GOOGLETRANSLATE(A778,""en"",""fr""))"),"")</f>
        <v/>
      </c>
    </row>
    <row r="779" spans="2:2">
      <c r="B779" s="3" t="str">
        <f ca="1">IFERROR(__xludf.DUMMYFUNCTION("IF(ISBLANK(A779),"""",GOOGLETRANSLATE(A779,""en"",""fr""))"),"")</f>
        <v/>
      </c>
    </row>
    <row r="780" spans="2:2">
      <c r="B780" s="3" t="str">
        <f ca="1">IFERROR(__xludf.DUMMYFUNCTION("IF(ISBLANK(A780),"""",GOOGLETRANSLATE(A780,""en"",""fr""))"),"")</f>
        <v/>
      </c>
    </row>
    <row r="781" spans="2:2">
      <c r="B781" s="3" t="str">
        <f ca="1">IFERROR(__xludf.DUMMYFUNCTION("IF(ISBLANK(A781),"""",GOOGLETRANSLATE(A781,""en"",""fr""))"),"")</f>
        <v/>
      </c>
    </row>
    <row r="782" spans="2:2">
      <c r="B782" s="3" t="str">
        <f ca="1">IFERROR(__xludf.DUMMYFUNCTION("IF(ISBLANK(A782),"""",GOOGLETRANSLATE(A782,""en"",""fr""))"),"")</f>
        <v/>
      </c>
    </row>
    <row r="783" spans="2:2">
      <c r="B783" s="3" t="str">
        <f ca="1">IFERROR(__xludf.DUMMYFUNCTION("IF(ISBLANK(A783),"""",GOOGLETRANSLATE(A783,""en"",""fr""))"),"")</f>
        <v/>
      </c>
    </row>
    <row r="784" spans="2:2">
      <c r="B784" s="3" t="str">
        <f ca="1">IFERROR(__xludf.DUMMYFUNCTION("IF(ISBLANK(A784),"""",GOOGLETRANSLATE(A784,""en"",""fr""))"),"")</f>
        <v/>
      </c>
    </row>
    <row r="785" spans="2:2">
      <c r="B785" s="3" t="str">
        <f ca="1">IFERROR(__xludf.DUMMYFUNCTION("IF(ISBLANK(A785),"""",GOOGLETRANSLATE(A785,""en"",""fr""))"),"")</f>
        <v/>
      </c>
    </row>
    <row r="786" spans="2:2">
      <c r="B786" s="3" t="str">
        <f ca="1">IFERROR(__xludf.DUMMYFUNCTION("IF(ISBLANK(A786),"""",GOOGLETRANSLATE(A786,""en"",""fr""))"),"")</f>
        <v/>
      </c>
    </row>
    <row r="787" spans="2:2">
      <c r="B787" s="3" t="str">
        <f ca="1">IFERROR(__xludf.DUMMYFUNCTION("IF(ISBLANK(A787),"""",GOOGLETRANSLATE(A787,""en"",""fr""))"),"")</f>
        <v/>
      </c>
    </row>
    <row r="788" spans="2:2">
      <c r="B788" s="3" t="str">
        <f ca="1">IFERROR(__xludf.DUMMYFUNCTION("IF(ISBLANK(A788),"""",GOOGLETRANSLATE(A788,""en"",""fr""))"),"")</f>
        <v/>
      </c>
    </row>
    <row r="789" spans="2:2">
      <c r="B789" s="3" t="str">
        <f ca="1">IFERROR(__xludf.DUMMYFUNCTION("IF(ISBLANK(A789),"""",GOOGLETRANSLATE(A789,""en"",""fr""))"),"")</f>
        <v/>
      </c>
    </row>
    <row r="790" spans="2:2">
      <c r="B790" s="3" t="str">
        <f ca="1">IFERROR(__xludf.DUMMYFUNCTION("IF(ISBLANK(A790),"""",GOOGLETRANSLATE(A790,""en"",""fr""))"),"")</f>
        <v/>
      </c>
    </row>
    <row r="791" spans="2:2">
      <c r="B791" s="3" t="str">
        <f ca="1">IFERROR(__xludf.DUMMYFUNCTION("IF(ISBLANK(A791),"""",GOOGLETRANSLATE(A791,""en"",""fr""))"),"")</f>
        <v/>
      </c>
    </row>
    <row r="792" spans="2:2">
      <c r="B792" s="3" t="str">
        <f ca="1">IFERROR(__xludf.DUMMYFUNCTION("IF(ISBLANK(A792),"""",GOOGLETRANSLATE(A792,""en"",""fr""))"),"")</f>
        <v/>
      </c>
    </row>
    <row r="793" spans="2:2">
      <c r="B793" s="3" t="str">
        <f ca="1">IFERROR(__xludf.DUMMYFUNCTION("IF(ISBLANK(A793),"""",GOOGLETRANSLATE(A793,""en"",""fr""))"),"")</f>
        <v/>
      </c>
    </row>
    <row r="794" spans="2:2">
      <c r="B794" s="3" t="str">
        <f ca="1">IFERROR(__xludf.DUMMYFUNCTION("IF(ISBLANK(A794),"""",GOOGLETRANSLATE(A794,""en"",""fr""))"),"")</f>
        <v/>
      </c>
    </row>
    <row r="795" spans="2:2">
      <c r="B795" s="3" t="str">
        <f ca="1">IFERROR(__xludf.DUMMYFUNCTION("IF(ISBLANK(A795),"""",GOOGLETRANSLATE(A795,""en"",""fr""))"),"")</f>
        <v/>
      </c>
    </row>
    <row r="796" spans="2:2">
      <c r="B796" s="3" t="str">
        <f ca="1">IFERROR(__xludf.DUMMYFUNCTION("IF(ISBLANK(A796),"""",GOOGLETRANSLATE(A796,""en"",""fr""))"),"")</f>
        <v/>
      </c>
    </row>
    <row r="797" spans="2:2">
      <c r="B797" s="3" t="str">
        <f ca="1">IFERROR(__xludf.DUMMYFUNCTION("IF(ISBLANK(A797),"""",GOOGLETRANSLATE(A797,""en"",""fr""))"),"")</f>
        <v/>
      </c>
    </row>
    <row r="798" spans="2:2">
      <c r="B798" s="3" t="str">
        <f ca="1">IFERROR(__xludf.DUMMYFUNCTION("IF(ISBLANK(A798),"""",GOOGLETRANSLATE(A798,""en"",""fr""))"),"")</f>
        <v/>
      </c>
    </row>
    <row r="799" spans="2:2">
      <c r="B799" s="3" t="str">
        <f ca="1">IFERROR(__xludf.DUMMYFUNCTION("IF(ISBLANK(A799),"""",GOOGLETRANSLATE(A799,""en"",""fr""))"),"")</f>
        <v/>
      </c>
    </row>
    <row r="800" spans="2:2">
      <c r="B800" s="3" t="str">
        <f ca="1">IFERROR(__xludf.DUMMYFUNCTION("IF(ISBLANK(A800),"""",GOOGLETRANSLATE(A800,""en"",""fr""))"),"")</f>
        <v/>
      </c>
    </row>
    <row r="801" spans="2:2">
      <c r="B801" s="3" t="str">
        <f ca="1">IFERROR(__xludf.DUMMYFUNCTION("IF(ISBLANK(A801),"""",GOOGLETRANSLATE(A801,""en"",""fr""))"),"")</f>
        <v/>
      </c>
    </row>
    <row r="802" spans="2:2">
      <c r="B802" s="3" t="str">
        <f ca="1">IFERROR(__xludf.DUMMYFUNCTION("IF(ISBLANK(A802),"""",GOOGLETRANSLATE(A802,""en"",""fr""))"),"")</f>
        <v/>
      </c>
    </row>
    <row r="803" spans="2:2">
      <c r="B803" s="3" t="str">
        <f ca="1">IFERROR(__xludf.DUMMYFUNCTION("IF(ISBLANK(A803),"""",GOOGLETRANSLATE(A803,""en"",""fr""))"),"")</f>
        <v/>
      </c>
    </row>
    <row r="804" spans="2:2">
      <c r="B804" s="3" t="str">
        <f ca="1">IFERROR(__xludf.DUMMYFUNCTION("IF(ISBLANK(A804),"""",GOOGLETRANSLATE(A804,""en"",""fr""))"),"")</f>
        <v/>
      </c>
    </row>
    <row r="805" spans="2:2">
      <c r="B805" s="3" t="str">
        <f ca="1">IFERROR(__xludf.DUMMYFUNCTION("IF(ISBLANK(A805),"""",GOOGLETRANSLATE(A805,""en"",""fr""))"),"")</f>
        <v/>
      </c>
    </row>
    <row r="806" spans="2:2">
      <c r="B806" s="3" t="str">
        <f ca="1">IFERROR(__xludf.DUMMYFUNCTION("IF(ISBLANK(A806),"""",GOOGLETRANSLATE(A806,""en"",""fr""))"),"")</f>
        <v/>
      </c>
    </row>
    <row r="807" spans="2:2">
      <c r="B807" s="3" t="str">
        <f ca="1">IFERROR(__xludf.DUMMYFUNCTION("IF(ISBLANK(A807),"""",GOOGLETRANSLATE(A807,""en"",""fr""))"),"")</f>
        <v/>
      </c>
    </row>
    <row r="808" spans="2:2">
      <c r="B808" s="3" t="str">
        <f ca="1">IFERROR(__xludf.DUMMYFUNCTION("IF(ISBLANK(A808),"""",GOOGLETRANSLATE(A808,""en"",""fr""))"),"")</f>
        <v/>
      </c>
    </row>
    <row r="809" spans="2:2">
      <c r="B809" s="3" t="str">
        <f ca="1">IFERROR(__xludf.DUMMYFUNCTION("IF(ISBLANK(A809),"""",GOOGLETRANSLATE(A809,""en"",""fr""))"),"")</f>
        <v/>
      </c>
    </row>
    <row r="810" spans="2:2">
      <c r="B810" s="3" t="str">
        <f ca="1">IFERROR(__xludf.DUMMYFUNCTION("IF(ISBLANK(A810),"""",GOOGLETRANSLATE(A810,""en"",""fr""))"),"")</f>
        <v/>
      </c>
    </row>
    <row r="811" spans="2:2">
      <c r="B811" s="3" t="str">
        <f ca="1">IFERROR(__xludf.DUMMYFUNCTION("IF(ISBLANK(A811),"""",GOOGLETRANSLATE(A811,""en"",""fr""))"),"")</f>
        <v/>
      </c>
    </row>
    <row r="812" spans="2:2">
      <c r="B812" s="3" t="str">
        <f ca="1">IFERROR(__xludf.DUMMYFUNCTION("IF(ISBLANK(A812),"""",GOOGLETRANSLATE(A812,""en"",""fr""))"),"")</f>
        <v/>
      </c>
    </row>
    <row r="813" spans="2:2">
      <c r="B813" s="3" t="str">
        <f ca="1">IFERROR(__xludf.DUMMYFUNCTION("IF(ISBLANK(A813),"""",GOOGLETRANSLATE(A813,""en"",""fr""))"),"")</f>
        <v/>
      </c>
    </row>
    <row r="814" spans="2:2">
      <c r="B814" s="3" t="str">
        <f ca="1">IFERROR(__xludf.DUMMYFUNCTION("IF(ISBLANK(A814),"""",GOOGLETRANSLATE(A814,""en"",""fr""))"),"")</f>
        <v/>
      </c>
    </row>
    <row r="815" spans="2:2">
      <c r="B815" s="3" t="str">
        <f ca="1">IFERROR(__xludf.DUMMYFUNCTION("IF(ISBLANK(A815),"""",GOOGLETRANSLATE(A815,""en"",""fr""))"),"")</f>
        <v/>
      </c>
    </row>
    <row r="816" spans="2:2">
      <c r="B816" s="3" t="str">
        <f ca="1">IFERROR(__xludf.DUMMYFUNCTION("IF(ISBLANK(A816),"""",GOOGLETRANSLATE(A816,""en"",""fr""))"),"")</f>
        <v/>
      </c>
    </row>
    <row r="817" spans="2:2">
      <c r="B817" s="3" t="str">
        <f ca="1">IFERROR(__xludf.DUMMYFUNCTION("IF(ISBLANK(A817),"""",GOOGLETRANSLATE(A817,""en"",""fr""))"),"")</f>
        <v/>
      </c>
    </row>
    <row r="818" spans="2:2">
      <c r="B818" s="3" t="str">
        <f ca="1">IFERROR(__xludf.DUMMYFUNCTION("IF(ISBLANK(A818),"""",GOOGLETRANSLATE(A818,""en"",""fr""))"),"")</f>
        <v/>
      </c>
    </row>
    <row r="819" spans="2:2">
      <c r="B819" s="3" t="str">
        <f ca="1">IFERROR(__xludf.DUMMYFUNCTION("IF(ISBLANK(A819),"""",GOOGLETRANSLATE(A819,""en"",""fr""))"),"")</f>
        <v/>
      </c>
    </row>
    <row r="820" spans="2:2">
      <c r="B820" s="3" t="str">
        <f ca="1">IFERROR(__xludf.DUMMYFUNCTION("IF(ISBLANK(A820),"""",GOOGLETRANSLATE(A820,""en"",""fr""))"),"")</f>
        <v/>
      </c>
    </row>
    <row r="821" spans="2:2">
      <c r="B821" s="3" t="str">
        <f ca="1">IFERROR(__xludf.DUMMYFUNCTION("IF(ISBLANK(A821),"""",GOOGLETRANSLATE(A821,""en"",""fr""))"),"")</f>
        <v/>
      </c>
    </row>
    <row r="822" spans="2:2">
      <c r="B822" s="3" t="str">
        <f ca="1">IFERROR(__xludf.DUMMYFUNCTION("IF(ISBLANK(A822),"""",GOOGLETRANSLATE(A822,""en"",""fr""))"),"")</f>
        <v/>
      </c>
    </row>
    <row r="823" spans="2:2">
      <c r="B823" s="3" t="str">
        <f ca="1">IFERROR(__xludf.DUMMYFUNCTION("IF(ISBLANK(A823),"""",GOOGLETRANSLATE(A823,""en"",""fr""))"),"")</f>
        <v/>
      </c>
    </row>
    <row r="824" spans="2:2">
      <c r="B824" s="3" t="str">
        <f ca="1">IFERROR(__xludf.DUMMYFUNCTION("IF(ISBLANK(A824),"""",GOOGLETRANSLATE(A824,""en"",""fr""))"),"")</f>
        <v/>
      </c>
    </row>
    <row r="825" spans="2:2">
      <c r="B825" s="3" t="str">
        <f ca="1">IFERROR(__xludf.DUMMYFUNCTION("IF(ISBLANK(A825),"""",GOOGLETRANSLATE(A825,""en"",""fr""))"),"")</f>
        <v/>
      </c>
    </row>
    <row r="826" spans="2:2">
      <c r="B826" s="3" t="str">
        <f ca="1">IFERROR(__xludf.DUMMYFUNCTION("IF(ISBLANK(A826),"""",GOOGLETRANSLATE(A826,""en"",""fr""))"),"")</f>
        <v/>
      </c>
    </row>
    <row r="827" spans="2:2">
      <c r="B827" s="3" t="str">
        <f ca="1">IFERROR(__xludf.DUMMYFUNCTION("IF(ISBLANK(A827),"""",GOOGLETRANSLATE(A827,""en"",""fr""))"),"")</f>
        <v/>
      </c>
    </row>
    <row r="828" spans="2:2">
      <c r="B828" s="3" t="str">
        <f ca="1">IFERROR(__xludf.DUMMYFUNCTION("IF(ISBLANK(A828),"""",GOOGLETRANSLATE(A828,""en"",""fr""))"),"")</f>
        <v/>
      </c>
    </row>
    <row r="829" spans="2:2">
      <c r="B829" s="3" t="str">
        <f ca="1">IFERROR(__xludf.DUMMYFUNCTION("IF(ISBLANK(A829),"""",GOOGLETRANSLATE(A829,""en"",""fr""))"),"")</f>
        <v/>
      </c>
    </row>
    <row r="830" spans="2:2">
      <c r="B830" s="3" t="str">
        <f ca="1">IFERROR(__xludf.DUMMYFUNCTION("IF(ISBLANK(A830),"""",GOOGLETRANSLATE(A830,""en"",""fr""))"),"")</f>
        <v/>
      </c>
    </row>
    <row r="831" spans="2:2">
      <c r="B831" s="3" t="str">
        <f ca="1">IFERROR(__xludf.DUMMYFUNCTION("IF(ISBLANK(A831),"""",GOOGLETRANSLATE(A831,""en"",""fr""))"),"")</f>
        <v/>
      </c>
    </row>
    <row r="832" spans="2:2">
      <c r="B832" s="3" t="str">
        <f ca="1">IFERROR(__xludf.DUMMYFUNCTION("IF(ISBLANK(A832),"""",GOOGLETRANSLATE(A832,""en"",""fr""))"),"")</f>
        <v/>
      </c>
    </row>
    <row r="833" spans="2:2">
      <c r="B833" s="3" t="str">
        <f ca="1">IFERROR(__xludf.DUMMYFUNCTION("IF(ISBLANK(A833),"""",GOOGLETRANSLATE(A833,""en"",""fr""))"),"")</f>
        <v/>
      </c>
    </row>
    <row r="834" spans="2:2">
      <c r="B834" s="3" t="str">
        <f ca="1">IFERROR(__xludf.DUMMYFUNCTION("IF(ISBLANK(A834),"""",GOOGLETRANSLATE(A834,""en"",""fr""))"),"")</f>
        <v/>
      </c>
    </row>
    <row r="835" spans="2:2">
      <c r="B835" s="3" t="str">
        <f ca="1">IFERROR(__xludf.DUMMYFUNCTION("IF(ISBLANK(A835),"""",GOOGLETRANSLATE(A835,""en"",""fr""))"),"")</f>
        <v/>
      </c>
    </row>
    <row r="836" spans="2:2">
      <c r="B836" s="3" t="str">
        <f ca="1">IFERROR(__xludf.DUMMYFUNCTION("IF(ISBLANK(A836),"""",GOOGLETRANSLATE(A836,""en"",""fr""))"),"")</f>
        <v/>
      </c>
    </row>
    <row r="837" spans="2:2">
      <c r="B837" s="3" t="str">
        <f ca="1">IFERROR(__xludf.DUMMYFUNCTION("IF(ISBLANK(A837),"""",GOOGLETRANSLATE(A837,""en"",""fr""))"),"")</f>
        <v/>
      </c>
    </row>
    <row r="838" spans="2:2">
      <c r="B838" s="3" t="str">
        <f ca="1">IFERROR(__xludf.DUMMYFUNCTION("IF(ISBLANK(A838),"""",GOOGLETRANSLATE(A838,""en"",""fr""))"),"")</f>
        <v/>
      </c>
    </row>
    <row r="839" spans="2:2">
      <c r="B839" s="3" t="str">
        <f ca="1">IFERROR(__xludf.DUMMYFUNCTION("IF(ISBLANK(A839),"""",GOOGLETRANSLATE(A839,""en"",""fr""))"),"")</f>
        <v/>
      </c>
    </row>
    <row r="840" spans="2:2">
      <c r="B840" s="3" t="str">
        <f ca="1">IFERROR(__xludf.DUMMYFUNCTION("IF(ISBLANK(A840),"""",GOOGLETRANSLATE(A840,""en"",""fr""))"),"")</f>
        <v/>
      </c>
    </row>
    <row r="841" spans="2:2">
      <c r="B841" s="3" t="str">
        <f ca="1">IFERROR(__xludf.DUMMYFUNCTION("IF(ISBLANK(A841),"""",GOOGLETRANSLATE(A841,""en"",""fr""))"),"")</f>
        <v/>
      </c>
    </row>
    <row r="842" spans="2:2">
      <c r="B842" s="3" t="str">
        <f ca="1">IFERROR(__xludf.DUMMYFUNCTION("IF(ISBLANK(A842),"""",GOOGLETRANSLATE(A842,""en"",""fr""))"),"")</f>
        <v/>
      </c>
    </row>
    <row r="843" spans="2:2">
      <c r="B843" s="3" t="str">
        <f ca="1">IFERROR(__xludf.DUMMYFUNCTION("IF(ISBLANK(A843),"""",GOOGLETRANSLATE(A843,""en"",""fr""))"),"")</f>
        <v/>
      </c>
    </row>
    <row r="844" spans="2:2">
      <c r="B844" s="3" t="str">
        <f ca="1">IFERROR(__xludf.DUMMYFUNCTION("IF(ISBLANK(A844),"""",GOOGLETRANSLATE(A844,""en"",""fr""))"),"")</f>
        <v/>
      </c>
    </row>
    <row r="845" spans="2:2">
      <c r="B845" s="3" t="str">
        <f ca="1">IFERROR(__xludf.DUMMYFUNCTION("IF(ISBLANK(A845),"""",GOOGLETRANSLATE(A845,""en"",""fr""))"),"")</f>
        <v/>
      </c>
    </row>
    <row r="846" spans="2:2">
      <c r="B846" s="3" t="str">
        <f ca="1">IFERROR(__xludf.DUMMYFUNCTION("IF(ISBLANK(A846),"""",GOOGLETRANSLATE(A846,""en"",""fr""))"),"")</f>
        <v/>
      </c>
    </row>
    <row r="847" spans="2:2">
      <c r="B847" s="3" t="str">
        <f ca="1">IFERROR(__xludf.DUMMYFUNCTION("IF(ISBLANK(A847),"""",GOOGLETRANSLATE(A847,""en"",""fr""))"),"")</f>
        <v/>
      </c>
    </row>
    <row r="848" spans="2:2">
      <c r="B848" s="3" t="str">
        <f ca="1">IFERROR(__xludf.DUMMYFUNCTION("IF(ISBLANK(A848),"""",GOOGLETRANSLATE(A848,""en"",""fr""))"),"")</f>
        <v/>
      </c>
    </row>
    <row r="849" spans="2:2">
      <c r="B849" s="3" t="str">
        <f ca="1">IFERROR(__xludf.DUMMYFUNCTION("IF(ISBLANK(A849),"""",GOOGLETRANSLATE(A849,""en"",""fr""))"),"")</f>
        <v/>
      </c>
    </row>
    <row r="850" spans="2:2">
      <c r="B850" s="3" t="str">
        <f ca="1">IFERROR(__xludf.DUMMYFUNCTION("IF(ISBLANK(A850),"""",GOOGLETRANSLATE(A850,""en"",""fr""))"),"")</f>
        <v/>
      </c>
    </row>
    <row r="851" spans="2:2">
      <c r="B851" s="3" t="str">
        <f ca="1">IFERROR(__xludf.DUMMYFUNCTION("IF(ISBLANK(A851),"""",GOOGLETRANSLATE(A851,""en"",""fr""))"),"")</f>
        <v/>
      </c>
    </row>
    <row r="852" spans="2:2">
      <c r="B852" s="3" t="str">
        <f ca="1">IFERROR(__xludf.DUMMYFUNCTION("IF(ISBLANK(A852),"""",GOOGLETRANSLATE(A852,""en"",""fr""))"),"")</f>
        <v/>
      </c>
    </row>
    <row r="853" spans="2:2">
      <c r="B853" s="3" t="str">
        <f ca="1">IFERROR(__xludf.DUMMYFUNCTION("IF(ISBLANK(A853),"""",GOOGLETRANSLATE(A853,""en"",""fr""))"),"")</f>
        <v/>
      </c>
    </row>
    <row r="854" spans="2:2">
      <c r="B854" s="3" t="str">
        <f ca="1">IFERROR(__xludf.DUMMYFUNCTION("IF(ISBLANK(A854),"""",GOOGLETRANSLATE(A854,""en"",""fr""))"),"")</f>
        <v/>
      </c>
    </row>
    <row r="855" spans="2:2">
      <c r="B855" s="3" t="str">
        <f ca="1">IFERROR(__xludf.DUMMYFUNCTION("IF(ISBLANK(A855),"""",GOOGLETRANSLATE(A855,""en"",""fr""))"),"")</f>
        <v/>
      </c>
    </row>
    <row r="856" spans="2:2">
      <c r="B856" s="3" t="str">
        <f ca="1">IFERROR(__xludf.DUMMYFUNCTION("IF(ISBLANK(A856),"""",GOOGLETRANSLATE(A856,""en"",""fr""))"),"")</f>
        <v/>
      </c>
    </row>
    <row r="857" spans="2:2">
      <c r="B857" s="3" t="str">
        <f ca="1">IFERROR(__xludf.DUMMYFUNCTION("IF(ISBLANK(A857),"""",GOOGLETRANSLATE(A857,""en"",""fr""))"),"")</f>
        <v/>
      </c>
    </row>
    <row r="858" spans="2:2">
      <c r="B858" s="3" t="str">
        <f ca="1">IFERROR(__xludf.DUMMYFUNCTION("IF(ISBLANK(A858),"""",GOOGLETRANSLATE(A858,""en"",""fr""))"),"")</f>
        <v/>
      </c>
    </row>
    <row r="859" spans="2:2">
      <c r="B859" s="3" t="str">
        <f ca="1">IFERROR(__xludf.DUMMYFUNCTION("IF(ISBLANK(A859),"""",GOOGLETRANSLATE(A859,""en"",""fr""))"),"")</f>
        <v/>
      </c>
    </row>
    <row r="860" spans="2:2">
      <c r="B860" s="3" t="str">
        <f ca="1">IFERROR(__xludf.DUMMYFUNCTION("IF(ISBLANK(A860),"""",GOOGLETRANSLATE(A860,""en"",""fr""))"),"")</f>
        <v/>
      </c>
    </row>
    <row r="861" spans="2:2">
      <c r="B861" s="3" t="str">
        <f ca="1">IFERROR(__xludf.DUMMYFUNCTION("IF(ISBLANK(A861),"""",GOOGLETRANSLATE(A861,""en"",""fr""))"),"")</f>
        <v/>
      </c>
    </row>
    <row r="862" spans="2:2">
      <c r="B862" s="3" t="str">
        <f ca="1">IFERROR(__xludf.DUMMYFUNCTION("IF(ISBLANK(A862),"""",GOOGLETRANSLATE(A862,""en"",""fr""))"),"")</f>
        <v/>
      </c>
    </row>
    <row r="863" spans="2:2">
      <c r="B863" s="3" t="str">
        <f ca="1">IFERROR(__xludf.DUMMYFUNCTION("IF(ISBLANK(A863),"""",GOOGLETRANSLATE(A863,""en"",""fr""))"),"")</f>
        <v/>
      </c>
    </row>
    <row r="864" spans="2:2">
      <c r="B864" s="3" t="str">
        <f ca="1">IFERROR(__xludf.DUMMYFUNCTION("IF(ISBLANK(A864),"""",GOOGLETRANSLATE(A864,""en"",""fr""))"),"")</f>
        <v/>
      </c>
    </row>
    <row r="865" spans="2:2">
      <c r="B865" s="3" t="str">
        <f ca="1">IFERROR(__xludf.DUMMYFUNCTION("IF(ISBLANK(A865),"""",GOOGLETRANSLATE(A865,""en"",""fr""))"),"")</f>
        <v/>
      </c>
    </row>
    <row r="866" spans="2:2">
      <c r="B866" s="3" t="str">
        <f ca="1">IFERROR(__xludf.DUMMYFUNCTION("IF(ISBLANK(A866),"""",GOOGLETRANSLATE(A866,""en"",""fr""))"),"")</f>
        <v/>
      </c>
    </row>
    <row r="867" spans="2:2">
      <c r="B867" s="3" t="str">
        <f ca="1">IFERROR(__xludf.DUMMYFUNCTION("IF(ISBLANK(A867),"""",GOOGLETRANSLATE(A867,""en"",""fr""))"),"")</f>
        <v/>
      </c>
    </row>
    <row r="868" spans="2:2">
      <c r="B868" s="3" t="str">
        <f ca="1">IFERROR(__xludf.DUMMYFUNCTION("IF(ISBLANK(A868),"""",GOOGLETRANSLATE(A868,""en"",""fr""))"),"")</f>
        <v/>
      </c>
    </row>
    <row r="869" spans="2:2">
      <c r="B869" s="3" t="str">
        <f ca="1">IFERROR(__xludf.DUMMYFUNCTION("IF(ISBLANK(A869),"""",GOOGLETRANSLATE(A869,""en"",""fr""))"),"")</f>
        <v/>
      </c>
    </row>
    <row r="870" spans="2:2">
      <c r="B870" s="3" t="str">
        <f ca="1">IFERROR(__xludf.DUMMYFUNCTION("IF(ISBLANK(A870),"""",GOOGLETRANSLATE(A870,""en"",""fr""))"),"")</f>
        <v/>
      </c>
    </row>
    <row r="871" spans="2:2">
      <c r="B871" s="3" t="str">
        <f ca="1">IFERROR(__xludf.DUMMYFUNCTION("IF(ISBLANK(A871),"""",GOOGLETRANSLATE(A871,""en"",""fr""))"),"")</f>
        <v/>
      </c>
    </row>
    <row r="872" spans="2:2">
      <c r="B872" s="3" t="str">
        <f ca="1">IFERROR(__xludf.DUMMYFUNCTION("IF(ISBLANK(A872),"""",GOOGLETRANSLATE(A872,""en"",""fr""))"),"")</f>
        <v/>
      </c>
    </row>
    <row r="873" spans="2:2">
      <c r="B873" s="3" t="str">
        <f ca="1">IFERROR(__xludf.DUMMYFUNCTION("IF(ISBLANK(A873),"""",GOOGLETRANSLATE(A873,""en"",""fr""))"),"")</f>
        <v/>
      </c>
    </row>
    <row r="874" spans="2:2">
      <c r="B874" s="3" t="str">
        <f ca="1">IFERROR(__xludf.DUMMYFUNCTION("IF(ISBLANK(A874),"""",GOOGLETRANSLATE(A874,""en"",""fr""))"),"")</f>
        <v/>
      </c>
    </row>
    <row r="875" spans="2:2">
      <c r="B875" s="3" t="str">
        <f ca="1">IFERROR(__xludf.DUMMYFUNCTION("IF(ISBLANK(A875),"""",GOOGLETRANSLATE(A875,""en"",""fr""))"),"")</f>
        <v/>
      </c>
    </row>
    <row r="876" spans="2:2">
      <c r="B876" s="3" t="str">
        <f ca="1">IFERROR(__xludf.DUMMYFUNCTION("IF(ISBLANK(A876),"""",GOOGLETRANSLATE(A876,""en"",""fr""))"),"")</f>
        <v/>
      </c>
    </row>
    <row r="877" spans="2:2">
      <c r="B877" s="3" t="str">
        <f ca="1">IFERROR(__xludf.DUMMYFUNCTION("IF(ISBLANK(A877),"""",GOOGLETRANSLATE(A877,""en"",""fr""))"),"")</f>
        <v/>
      </c>
    </row>
    <row r="878" spans="2:2">
      <c r="B878" s="3" t="str">
        <f ca="1">IFERROR(__xludf.DUMMYFUNCTION("IF(ISBLANK(A878),"""",GOOGLETRANSLATE(A878,""en"",""fr""))"),"")</f>
        <v/>
      </c>
    </row>
    <row r="879" spans="2:2">
      <c r="B879" s="3" t="str">
        <f ca="1">IFERROR(__xludf.DUMMYFUNCTION("IF(ISBLANK(A879),"""",GOOGLETRANSLATE(A879,""en"",""fr""))"),"")</f>
        <v/>
      </c>
    </row>
    <row r="880" spans="2:2">
      <c r="B880" s="3" t="str">
        <f ca="1">IFERROR(__xludf.DUMMYFUNCTION("IF(ISBLANK(A880),"""",GOOGLETRANSLATE(A880,""en"",""fr""))"),"")</f>
        <v/>
      </c>
    </row>
    <row r="881" spans="2:2">
      <c r="B881" s="3" t="str">
        <f ca="1">IFERROR(__xludf.DUMMYFUNCTION("IF(ISBLANK(A881),"""",GOOGLETRANSLATE(A881,""en"",""fr""))"),"")</f>
        <v/>
      </c>
    </row>
    <row r="882" spans="2:2">
      <c r="B882" s="3" t="str">
        <f ca="1">IFERROR(__xludf.DUMMYFUNCTION("IF(ISBLANK(A882),"""",GOOGLETRANSLATE(A882,""en"",""fr""))"),"")</f>
        <v/>
      </c>
    </row>
    <row r="883" spans="2:2">
      <c r="B883" s="3" t="str">
        <f ca="1">IFERROR(__xludf.DUMMYFUNCTION("IF(ISBLANK(A883),"""",GOOGLETRANSLATE(A883,""en"",""fr""))"),"")</f>
        <v/>
      </c>
    </row>
    <row r="884" spans="2:2">
      <c r="B884" s="3" t="str">
        <f ca="1">IFERROR(__xludf.DUMMYFUNCTION("IF(ISBLANK(A884),"""",GOOGLETRANSLATE(A884,""en"",""fr""))"),"")</f>
        <v/>
      </c>
    </row>
    <row r="885" spans="2:2">
      <c r="B885" s="3" t="str">
        <f ca="1">IFERROR(__xludf.DUMMYFUNCTION("IF(ISBLANK(A885),"""",GOOGLETRANSLATE(A885,""en"",""fr""))"),"")</f>
        <v/>
      </c>
    </row>
    <row r="886" spans="2:2">
      <c r="B886" s="3" t="str">
        <f ca="1">IFERROR(__xludf.DUMMYFUNCTION("IF(ISBLANK(A886),"""",GOOGLETRANSLATE(A886,""en"",""fr""))"),"")</f>
        <v/>
      </c>
    </row>
    <row r="887" spans="2:2">
      <c r="B887" s="3" t="str">
        <f ca="1">IFERROR(__xludf.DUMMYFUNCTION("IF(ISBLANK(A887),"""",GOOGLETRANSLATE(A887,""en"",""fr""))"),"")</f>
        <v/>
      </c>
    </row>
    <row r="888" spans="2:2">
      <c r="B888" s="3" t="str">
        <f ca="1">IFERROR(__xludf.DUMMYFUNCTION("IF(ISBLANK(A888),"""",GOOGLETRANSLATE(A888,""en"",""fr""))"),"")</f>
        <v/>
      </c>
    </row>
    <row r="889" spans="2:2">
      <c r="B889" s="3" t="str">
        <f ca="1">IFERROR(__xludf.DUMMYFUNCTION("IF(ISBLANK(A889),"""",GOOGLETRANSLATE(A889,""en"",""fr""))"),"")</f>
        <v/>
      </c>
    </row>
    <row r="890" spans="2:2">
      <c r="B890" s="3" t="str">
        <f ca="1">IFERROR(__xludf.DUMMYFUNCTION("IF(ISBLANK(A890),"""",GOOGLETRANSLATE(A890,""en"",""fr""))"),"")</f>
        <v/>
      </c>
    </row>
    <row r="891" spans="2:2">
      <c r="B891" s="3" t="str">
        <f ca="1">IFERROR(__xludf.DUMMYFUNCTION("IF(ISBLANK(A891),"""",GOOGLETRANSLATE(A891,""en"",""fr""))"),"")</f>
        <v/>
      </c>
    </row>
    <row r="892" spans="2:2">
      <c r="B892" s="3" t="str">
        <f ca="1">IFERROR(__xludf.DUMMYFUNCTION("IF(ISBLANK(A892),"""",GOOGLETRANSLATE(A892,""en"",""fr""))"),"")</f>
        <v/>
      </c>
    </row>
    <row r="893" spans="2:2">
      <c r="B893" s="3" t="str">
        <f ca="1">IFERROR(__xludf.DUMMYFUNCTION("IF(ISBLANK(A893),"""",GOOGLETRANSLATE(A893,""en"",""fr""))"),"")</f>
        <v/>
      </c>
    </row>
    <row r="894" spans="2:2">
      <c r="B894" s="3" t="str">
        <f ca="1">IFERROR(__xludf.DUMMYFUNCTION("IF(ISBLANK(A894),"""",GOOGLETRANSLATE(A894,""en"",""fr""))"),"")</f>
        <v/>
      </c>
    </row>
    <row r="895" spans="2:2">
      <c r="B895" s="3" t="str">
        <f ca="1">IFERROR(__xludf.DUMMYFUNCTION("IF(ISBLANK(A895),"""",GOOGLETRANSLATE(A895,""en"",""fr""))"),"")</f>
        <v/>
      </c>
    </row>
    <row r="896" spans="2:2">
      <c r="B896" s="3" t="str">
        <f ca="1">IFERROR(__xludf.DUMMYFUNCTION("IF(ISBLANK(A896),"""",GOOGLETRANSLATE(A896,""en"",""fr""))"),"")</f>
        <v/>
      </c>
    </row>
    <row r="897" spans="2:2">
      <c r="B897" s="3" t="str">
        <f ca="1">IFERROR(__xludf.DUMMYFUNCTION("IF(ISBLANK(A897),"""",GOOGLETRANSLATE(A897,""en"",""fr""))"),"")</f>
        <v/>
      </c>
    </row>
    <row r="898" spans="2:2">
      <c r="B898" s="3" t="str">
        <f ca="1">IFERROR(__xludf.DUMMYFUNCTION("IF(ISBLANK(A898),"""",GOOGLETRANSLATE(A898,""en"",""fr""))"),"")</f>
        <v/>
      </c>
    </row>
    <row r="899" spans="2:2">
      <c r="B899" s="3" t="str">
        <f ca="1">IFERROR(__xludf.DUMMYFUNCTION("IF(ISBLANK(A899),"""",GOOGLETRANSLATE(A899,""en"",""fr""))"),"")</f>
        <v/>
      </c>
    </row>
    <row r="900" spans="2:2">
      <c r="B900" s="3" t="str">
        <f ca="1">IFERROR(__xludf.DUMMYFUNCTION("IF(ISBLANK(A900),"""",GOOGLETRANSLATE(A900,""en"",""fr""))"),"")</f>
        <v/>
      </c>
    </row>
    <row r="901" spans="2:2">
      <c r="B901" s="3" t="str">
        <f ca="1">IFERROR(__xludf.DUMMYFUNCTION("IF(ISBLANK(A901),"""",GOOGLETRANSLATE(A901,""en"",""fr""))"),"")</f>
        <v/>
      </c>
    </row>
    <row r="902" spans="2:2">
      <c r="B902" s="3" t="str">
        <f ca="1">IFERROR(__xludf.DUMMYFUNCTION("IF(ISBLANK(A902),"""",GOOGLETRANSLATE(A902,""en"",""fr""))"),"")</f>
        <v/>
      </c>
    </row>
    <row r="903" spans="2:2">
      <c r="B903" s="3" t="str">
        <f ca="1">IFERROR(__xludf.DUMMYFUNCTION("IF(ISBLANK(A903),"""",GOOGLETRANSLATE(A903,""en"",""fr""))"),"")</f>
        <v/>
      </c>
    </row>
    <row r="904" spans="2:2">
      <c r="B904" s="3" t="str">
        <f ca="1">IFERROR(__xludf.DUMMYFUNCTION("IF(ISBLANK(A904),"""",GOOGLETRANSLATE(A904,""en"",""fr""))"),"")</f>
        <v/>
      </c>
    </row>
    <row r="905" spans="2:2">
      <c r="B905" s="3" t="str">
        <f ca="1">IFERROR(__xludf.DUMMYFUNCTION("IF(ISBLANK(A905),"""",GOOGLETRANSLATE(A905,""en"",""fr""))"),"")</f>
        <v/>
      </c>
    </row>
    <row r="906" spans="2:2">
      <c r="B906" s="3" t="str">
        <f ca="1">IFERROR(__xludf.DUMMYFUNCTION("IF(ISBLANK(A906),"""",GOOGLETRANSLATE(A906,""en"",""fr""))"),"")</f>
        <v/>
      </c>
    </row>
    <row r="907" spans="2:2">
      <c r="B907" s="3" t="str">
        <f ca="1">IFERROR(__xludf.DUMMYFUNCTION("IF(ISBLANK(A907),"""",GOOGLETRANSLATE(A907,""en"",""fr""))"),"")</f>
        <v/>
      </c>
    </row>
    <row r="908" spans="2:2">
      <c r="B908" s="3" t="str">
        <f ca="1">IFERROR(__xludf.DUMMYFUNCTION("IF(ISBLANK(A908),"""",GOOGLETRANSLATE(A908,""en"",""fr""))"),"")</f>
        <v/>
      </c>
    </row>
    <row r="909" spans="2:2">
      <c r="B909" s="3" t="str">
        <f ca="1">IFERROR(__xludf.DUMMYFUNCTION("IF(ISBLANK(A909),"""",GOOGLETRANSLATE(A909,""en"",""fr""))"),"")</f>
        <v/>
      </c>
    </row>
    <row r="910" spans="2:2">
      <c r="B910" s="3" t="str">
        <f ca="1">IFERROR(__xludf.DUMMYFUNCTION("IF(ISBLANK(A910),"""",GOOGLETRANSLATE(A910,""en"",""fr""))"),"")</f>
        <v/>
      </c>
    </row>
    <row r="911" spans="2:2">
      <c r="B911" s="3" t="str">
        <f ca="1">IFERROR(__xludf.DUMMYFUNCTION("IF(ISBLANK(A911),"""",GOOGLETRANSLATE(A911,""en"",""fr""))"),"")</f>
        <v/>
      </c>
    </row>
    <row r="912" spans="2:2">
      <c r="B912" s="3" t="str">
        <f ca="1">IFERROR(__xludf.DUMMYFUNCTION("IF(ISBLANK(A912),"""",GOOGLETRANSLATE(A912,""en"",""fr""))"),"")</f>
        <v/>
      </c>
    </row>
    <row r="913" spans="2:2">
      <c r="B913" s="3" t="str">
        <f ca="1">IFERROR(__xludf.DUMMYFUNCTION("IF(ISBLANK(A913),"""",GOOGLETRANSLATE(A913,""en"",""fr""))"),"")</f>
        <v/>
      </c>
    </row>
    <row r="914" spans="2:2">
      <c r="B914" s="3" t="str">
        <f ca="1">IFERROR(__xludf.DUMMYFUNCTION("IF(ISBLANK(A914),"""",GOOGLETRANSLATE(A914,""en"",""fr""))"),"")</f>
        <v/>
      </c>
    </row>
    <row r="915" spans="2:2">
      <c r="B915" s="3" t="str">
        <f ca="1">IFERROR(__xludf.DUMMYFUNCTION("IF(ISBLANK(A915),"""",GOOGLETRANSLATE(A915,""en"",""fr""))"),"")</f>
        <v/>
      </c>
    </row>
    <row r="916" spans="2:2">
      <c r="B916" s="3" t="str">
        <f ca="1">IFERROR(__xludf.DUMMYFUNCTION("IF(ISBLANK(A916),"""",GOOGLETRANSLATE(A916,""en"",""fr""))"),"")</f>
        <v/>
      </c>
    </row>
    <row r="917" spans="2:2">
      <c r="B917" s="3" t="str">
        <f ca="1">IFERROR(__xludf.DUMMYFUNCTION("IF(ISBLANK(A917),"""",GOOGLETRANSLATE(A917,""en"",""fr""))"),"")</f>
        <v/>
      </c>
    </row>
    <row r="918" spans="2:2">
      <c r="B918" s="3" t="str">
        <f ca="1">IFERROR(__xludf.DUMMYFUNCTION("IF(ISBLANK(A918),"""",GOOGLETRANSLATE(A918,""en"",""fr""))"),"")</f>
        <v/>
      </c>
    </row>
    <row r="919" spans="2:2">
      <c r="B919" s="3" t="str">
        <f ca="1">IFERROR(__xludf.DUMMYFUNCTION("IF(ISBLANK(A919),"""",GOOGLETRANSLATE(A919,""en"",""fr""))"),"")</f>
        <v/>
      </c>
    </row>
    <row r="920" spans="2:2">
      <c r="B920" s="3" t="str">
        <f ca="1">IFERROR(__xludf.DUMMYFUNCTION("IF(ISBLANK(A920),"""",GOOGLETRANSLATE(A920,""en"",""fr""))"),"")</f>
        <v/>
      </c>
    </row>
    <row r="921" spans="2:2">
      <c r="B921" s="3" t="str">
        <f ca="1">IFERROR(__xludf.DUMMYFUNCTION("IF(ISBLANK(A921),"""",GOOGLETRANSLATE(A921,""en"",""fr""))"),"")</f>
        <v/>
      </c>
    </row>
    <row r="922" spans="2:2">
      <c r="B922" s="3" t="str">
        <f ca="1">IFERROR(__xludf.DUMMYFUNCTION("IF(ISBLANK(A922),"""",GOOGLETRANSLATE(A922,""en"",""fr""))"),"")</f>
        <v/>
      </c>
    </row>
    <row r="923" spans="2:2">
      <c r="B923" s="3" t="str">
        <f ca="1">IFERROR(__xludf.DUMMYFUNCTION("IF(ISBLANK(A923),"""",GOOGLETRANSLATE(A923,""en"",""fr""))"),"")</f>
        <v/>
      </c>
    </row>
    <row r="924" spans="2:2">
      <c r="B924" s="3" t="str">
        <f ca="1">IFERROR(__xludf.DUMMYFUNCTION("IF(ISBLANK(A924),"""",GOOGLETRANSLATE(A924,""en"",""fr""))"),"")</f>
        <v/>
      </c>
    </row>
    <row r="925" spans="2:2">
      <c r="B925" s="3" t="str">
        <f ca="1">IFERROR(__xludf.DUMMYFUNCTION("IF(ISBLANK(A925),"""",GOOGLETRANSLATE(A925,""en"",""fr""))"),"")</f>
        <v/>
      </c>
    </row>
    <row r="926" spans="2:2">
      <c r="B926" s="3" t="str">
        <f ca="1">IFERROR(__xludf.DUMMYFUNCTION("IF(ISBLANK(A926),"""",GOOGLETRANSLATE(A926,""en"",""fr""))"),"")</f>
        <v/>
      </c>
    </row>
    <row r="927" spans="2:2">
      <c r="B927" s="3" t="str">
        <f ca="1">IFERROR(__xludf.DUMMYFUNCTION("IF(ISBLANK(A927),"""",GOOGLETRANSLATE(A927,""en"",""fr""))"),"")</f>
        <v/>
      </c>
    </row>
    <row r="928" spans="2:2">
      <c r="B928" s="3" t="str">
        <f ca="1">IFERROR(__xludf.DUMMYFUNCTION("IF(ISBLANK(A928),"""",GOOGLETRANSLATE(A928,""en"",""fr""))"),"")</f>
        <v/>
      </c>
    </row>
    <row r="929" spans="2:2">
      <c r="B929" s="3" t="str">
        <f ca="1">IFERROR(__xludf.DUMMYFUNCTION("IF(ISBLANK(A929),"""",GOOGLETRANSLATE(A929,""en"",""fr""))"),"")</f>
        <v/>
      </c>
    </row>
    <row r="930" spans="2:2">
      <c r="B930" s="3" t="str">
        <f ca="1">IFERROR(__xludf.DUMMYFUNCTION("IF(ISBLANK(A930),"""",GOOGLETRANSLATE(A930,""en"",""fr""))"),"")</f>
        <v/>
      </c>
    </row>
    <row r="931" spans="2:2">
      <c r="B931" s="3" t="str">
        <f ca="1">IFERROR(__xludf.DUMMYFUNCTION("IF(ISBLANK(A931),"""",GOOGLETRANSLATE(A931,""en"",""fr""))"),"")</f>
        <v/>
      </c>
    </row>
    <row r="932" spans="2:2">
      <c r="B932" s="3" t="str">
        <f ca="1">IFERROR(__xludf.DUMMYFUNCTION("IF(ISBLANK(A932),"""",GOOGLETRANSLATE(A932,""en"",""fr""))"),"")</f>
        <v/>
      </c>
    </row>
    <row r="933" spans="2:2">
      <c r="B933" s="3" t="str">
        <f ca="1">IFERROR(__xludf.DUMMYFUNCTION("IF(ISBLANK(A933),"""",GOOGLETRANSLATE(A933,""en"",""fr""))"),"")</f>
        <v/>
      </c>
    </row>
    <row r="934" spans="2:2">
      <c r="B934" s="3" t="str">
        <f ca="1">IFERROR(__xludf.DUMMYFUNCTION("IF(ISBLANK(A934),"""",GOOGLETRANSLATE(A934,""en"",""fr""))"),"")</f>
        <v/>
      </c>
    </row>
    <row r="935" spans="2:2">
      <c r="B935" s="3" t="str">
        <f ca="1">IFERROR(__xludf.DUMMYFUNCTION("IF(ISBLANK(A935),"""",GOOGLETRANSLATE(A935,""en"",""fr""))"),"")</f>
        <v/>
      </c>
    </row>
    <row r="936" spans="2:2">
      <c r="B936" s="3" t="str">
        <f ca="1">IFERROR(__xludf.DUMMYFUNCTION("IF(ISBLANK(A936),"""",GOOGLETRANSLATE(A936,""en"",""fr""))"),"")</f>
        <v/>
      </c>
    </row>
    <row r="937" spans="2:2">
      <c r="B937" s="3" t="str">
        <f ca="1">IFERROR(__xludf.DUMMYFUNCTION("IF(ISBLANK(A937),"""",GOOGLETRANSLATE(A937,""en"",""fr""))"),"")</f>
        <v/>
      </c>
    </row>
    <row r="938" spans="2:2">
      <c r="B938" s="3" t="str">
        <f ca="1">IFERROR(__xludf.DUMMYFUNCTION("IF(ISBLANK(A938),"""",GOOGLETRANSLATE(A938,""en"",""fr""))"),"")</f>
        <v/>
      </c>
    </row>
    <row r="939" spans="2:2">
      <c r="B939" s="3" t="str">
        <f ca="1">IFERROR(__xludf.DUMMYFUNCTION("IF(ISBLANK(A939),"""",GOOGLETRANSLATE(A939,""en"",""fr""))"),"")</f>
        <v/>
      </c>
    </row>
    <row r="940" spans="2:2">
      <c r="B940" s="3" t="str">
        <f ca="1">IFERROR(__xludf.DUMMYFUNCTION("IF(ISBLANK(A940),"""",GOOGLETRANSLATE(A940,""en"",""fr""))"),"")</f>
        <v/>
      </c>
    </row>
    <row r="941" spans="2:2">
      <c r="B941" s="3" t="str">
        <f ca="1">IFERROR(__xludf.DUMMYFUNCTION("IF(ISBLANK(A941),"""",GOOGLETRANSLATE(A941,""en"",""fr""))"),"")</f>
        <v/>
      </c>
    </row>
    <row r="942" spans="2:2">
      <c r="B942" s="3" t="str">
        <f ca="1">IFERROR(__xludf.DUMMYFUNCTION("IF(ISBLANK(A942),"""",GOOGLETRANSLATE(A942,""en"",""fr""))"),"")</f>
        <v/>
      </c>
    </row>
    <row r="943" spans="2:2">
      <c r="B943" s="3" t="str">
        <f ca="1">IFERROR(__xludf.DUMMYFUNCTION("IF(ISBLANK(A943),"""",GOOGLETRANSLATE(A943,""en"",""fr""))"),"")</f>
        <v/>
      </c>
    </row>
    <row r="944" spans="2:2">
      <c r="B944" s="3" t="str">
        <f ca="1">IFERROR(__xludf.DUMMYFUNCTION("IF(ISBLANK(A944),"""",GOOGLETRANSLATE(A944,""en"",""fr""))"),"")</f>
        <v/>
      </c>
    </row>
    <row r="945" spans="2:2">
      <c r="B945" s="3" t="str">
        <f ca="1">IFERROR(__xludf.DUMMYFUNCTION("IF(ISBLANK(A945),"""",GOOGLETRANSLATE(A945,""en"",""fr""))"),"")</f>
        <v/>
      </c>
    </row>
    <row r="946" spans="2:2">
      <c r="B946" s="3" t="str">
        <f ca="1">IFERROR(__xludf.DUMMYFUNCTION("IF(ISBLANK(A946),"""",GOOGLETRANSLATE(A946,""en"",""fr""))"),"")</f>
        <v/>
      </c>
    </row>
    <row r="947" spans="2:2">
      <c r="B947" s="3" t="str">
        <f ca="1">IFERROR(__xludf.DUMMYFUNCTION("IF(ISBLANK(A947),"""",GOOGLETRANSLATE(A947,""en"",""fr""))"),"")</f>
        <v/>
      </c>
    </row>
    <row r="948" spans="2:2">
      <c r="B948" s="3" t="str">
        <f ca="1">IFERROR(__xludf.DUMMYFUNCTION("IF(ISBLANK(A948),"""",GOOGLETRANSLATE(A948,""en"",""fr""))"),"")</f>
        <v/>
      </c>
    </row>
    <row r="949" spans="2:2">
      <c r="B949" s="3" t="str">
        <f ca="1">IFERROR(__xludf.DUMMYFUNCTION("IF(ISBLANK(A949),"""",GOOGLETRANSLATE(A949,""en"",""fr""))"),"")</f>
        <v/>
      </c>
    </row>
    <row r="950" spans="2:2">
      <c r="B950" s="3" t="str">
        <f ca="1">IFERROR(__xludf.DUMMYFUNCTION("IF(ISBLANK(A950),"""",GOOGLETRANSLATE(A950,""en"",""fr""))"),"")</f>
        <v/>
      </c>
    </row>
    <row r="951" spans="2:2">
      <c r="B951" s="3" t="str">
        <f ca="1">IFERROR(__xludf.DUMMYFUNCTION("IF(ISBLANK(A951),"""",GOOGLETRANSLATE(A951,""en"",""fr""))"),"")</f>
        <v/>
      </c>
    </row>
    <row r="952" spans="2:2">
      <c r="B952" s="3" t="str">
        <f ca="1">IFERROR(__xludf.DUMMYFUNCTION("IF(ISBLANK(A952),"""",GOOGLETRANSLATE(A952,""en"",""fr""))"),"")</f>
        <v/>
      </c>
    </row>
    <row r="953" spans="2:2">
      <c r="B953" s="3" t="str">
        <f ca="1">IFERROR(__xludf.DUMMYFUNCTION("IF(ISBLANK(A953),"""",GOOGLETRANSLATE(A953,""en"",""fr""))"),"")</f>
        <v/>
      </c>
    </row>
    <row r="954" spans="2:2">
      <c r="B954" s="3" t="str">
        <f ca="1">IFERROR(__xludf.DUMMYFUNCTION("IF(ISBLANK(A954),"""",GOOGLETRANSLATE(A954,""en"",""fr""))"),"")</f>
        <v/>
      </c>
    </row>
    <row r="955" spans="2:2">
      <c r="B955" s="3" t="str">
        <f ca="1">IFERROR(__xludf.DUMMYFUNCTION("IF(ISBLANK(A955),"""",GOOGLETRANSLATE(A955,""en"",""fr""))"),"")</f>
        <v/>
      </c>
    </row>
    <row r="956" spans="2:2">
      <c r="B956" s="3" t="str">
        <f ca="1">IFERROR(__xludf.DUMMYFUNCTION("IF(ISBLANK(A956),"""",GOOGLETRANSLATE(A956,""en"",""fr""))"),"")</f>
        <v/>
      </c>
    </row>
    <row r="957" spans="2:2">
      <c r="B957" s="3" t="str">
        <f ca="1">IFERROR(__xludf.DUMMYFUNCTION("IF(ISBLANK(A957),"""",GOOGLETRANSLATE(A957,""en"",""fr""))"),"")</f>
        <v/>
      </c>
    </row>
    <row r="958" spans="2:2">
      <c r="B958" s="3" t="str">
        <f ca="1">IFERROR(__xludf.DUMMYFUNCTION("IF(ISBLANK(A958),"""",GOOGLETRANSLATE(A958,""en"",""fr""))"),"")</f>
        <v/>
      </c>
    </row>
    <row r="959" spans="2:2">
      <c r="B959" s="3" t="str">
        <f ca="1">IFERROR(__xludf.DUMMYFUNCTION("IF(ISBLANK(A959),"""",GOOGLETRANSLATE(A959,""en"",""fr""))"),"")</f>
        <v/>
      </c>
    </row>
    <row r="960" spans="2:2">
      <c r="B960" s="3" t="str">
        <f ca="1">IFERROR(__xludf.DUMMYFUNCTION("IF(ISBLANK(A960),"""",GOOGLETRANSLATE(A960,""en"",""fr""))"),"")</f>
        <v/>
      </c>
    </row>
    <row r="961" spans="2:2">
      <c r="B961" s="3" t="str">
        <f ca="1">IFERROR(__xludf.DUMMYFUNCTION("IF(ISBLANK(A961),"""",GOOGLETRANSLATE(A961,""en"",""fr""))"),"")</f>
        <v/>
      </c>
    </row>
    <row r="962" spans="2:2">
      <c r="B962" s="3" t="str">
        <f ca="1">IFERROR(__xludf.DUMMYFUNCTION("IF(ISBLANK(A962),"""",GOOGLETRANSLATE(A962,""en"",""fr""))"),"")</f>
        <v/>
      </c>
    </row>
    <row r="963" spans="2:2">
      <c r="B963" s="3" t="str">
        <f ca="1">IFERROR(__xludf.DUMMYFUNCTION("IF(ISBLANK(A963),"""",GOOGLETRANSLATE(A963,""en"",""fr""))"),"")</f>
        <v/>
      </c>
    </row>
    <row r="964" spans="2:2">
      <c r="B964" s="3" t="str">
        <f ca="1">IFERROR(__xludf.DUMMYFUNCTION("IF(ISBLANK(A964),"""",GOOGLETRANSLATE(A964,""en"",""fr""))"),"")</f>
        <v/>
      </c>
    </row>
    <row r="965" spans="2:2">
      <c r="B965" s="3" t="str">
        <f ca="1">IFERROR(__xludf.DUMMYFUNCTION("IF(ISBLANK(A965),"""",GOOGLETRANSLATE(A965,""en"",""fr""))"),"")</f>
        <v/>
      </c>
    </row>
    <row r="966" spans="2:2">
      <c r="B966" s="3" t="str">
        <f ca="1">IFERROR(__xludf.DUMMYFUNCTION("IF(ISBLANK(A966),"""",GOOGLETRANSLATE(A966,""en"",""fr""))"),"")</f>
        <v/>
      </c>
    </row>
    <row r="967" spans="2:2">
      <c r="B967" s="3" t="str">
        <f ca="1">IFERROR(__xludf.DUMMYFUNCTION("IF(ISBLANK(A967),"""",GOOGLETRANSLATE(A967,""en"",""fr""))"),"")</f>
        <v/>
      </c>
    </row>
    <row r="968" spans="2:2">
      <c r="B968" s="3" t="str">
        <f ca="1">IFERROR(__xludf.DUMMYFUNCTION("IF(ISBLANK(A968),"""",GOOGLETRANSLATE(A968,""en"",""fr""))"),"")</f>
        <v/>
      </c>
    </row>
    <row r="969" spans="2:2">
      <c r="B969" s="3" t="str">
        <f ca="1">IFERROR(__xludf.DUMMYFUNCTION("IF(ISBLANK(A969),"""",GOOGLETRANSLATE(A969,""en"",""fr""))"),"")</f>
        <v/>
      </c>
    </row>
    <row r="970" spans="2:2">
      <c r="B970" s="3" t="str">
        <f ca="1">IFERROR(__xludf.DUMMYFUNCTION("IF(ISBLANK(A970),"""",GOOGLETRANSLATE(A970,""en"",""fr""))"),"")</f>
        <v/>
      </c>
    </row>
    <row r="971" spans="2:2">
      <c r="B971" s="3" t="str">
        <f ca="1">IFERROR(__xludf.DUMMYFUNCTION("IF(ISBLANK(A971),"""",GOOGLETRANSLATE(A971,""en"",""fr""))"),"")</f>
        <v/>
      </c>
    </row>
    <row r="972" spans="2:2">
      <c r="B972" s="3" t="str">
        <f ca="1">IFERROR(__xludf.DUMMYFUNCTION("IF(ISBLANK(A972),"""",GOOGLETRANSLATE(A972,""en"",""fr""))"),"")</f>
        <v/>
      </c>
    </row>
    <row r="973" spans="2:2">
      <c r="B973" s="3" t="str">
        <f ca="1">IFERROR(__xludf.DUMMYFUNCTION("IF(ISBLANK(A973),"""",GOOGLETRANSLATE(A973,""en"",""fr""))"),"")</f>
        <v/>
      </c>
    </row>
    <row r="974" spans="2:2">
      <c r="B974" s="3" t="str">
        <f ca="1">IFERROR(__xludf.DUMMYFUNCTION("IF(ISBLANK(A974),"""",GOOGLETRANSLATE(A974,""en"",""fr""))"),"")</f>
        <v/>
      </c>
    </row>
    <row r="975" spans="2:2">
      <c r="B975" s="3" t="str">
        <f ca="1">IFERROR(__xludf.DUMMYFUNCTION("IF(ISBLANK(A975),"""",GOOGLETRANSLATE(A975,""en"",""fr""))"),"")</f>
        <v/>
      </c>
    </row>
    <row r="976" spans="2:2">
      <c r="B976" s="3" t="str">
        <f ca="1">IFERROR(__xludf.DUMMYFUNCTION("IF(ISBLANK(A976),"""",GOOGLETRANSLATE(A976,""en"",""fr""))"),"")</f>
        <v/>
      </c>
    </row>
    <row r="977" spans="2:2">
      <c r="B977" s="3" t="str">
        <f ca="1">IFERROR(__xludf.DUMMYFUNCTION("IF(ISBLANK(A977),"""",GOOGLETRANSLATE(A977,""en"",""fr""))"),"")</f>
        <v/>
      </c>
    </row>
    <row r="978" spans="2:2">
      <c r="B978" s="3" t="str">
        <f ca="1">IFERROR(__xludf.DUMMYFUNCTION("IF(ISBLANK(A978),"""",GOOGLETRANSLATE(A978,""en"",""fr""))"),"")</f>
        <v/>
      </c>
    </row>
    <row r="979" spans="2:2">
      <c r="B979" s="3" t="str">
        <f ca="1">IFERROR(__xludf.DUMMYFUNCTION("IF(ISBLANK(A979),"""",GOOGLETRANSLATE(A979,""en"",""fr""))"),"")</f>
        <v/>
      </c>
    </row>
    <row r="980" spans="2:2">
      <c r="B980" s="3" t="str">
        <f ca="1">IFERROR(__xludf.DUMMYFUNCTION("IF(ISBLANK(A980),"""",GOOGLETRANSLATE(A980,""en"",""fr""))"),"")</f>
        <v/>
      </c>
    </row>
    <row r="981" spans="2:2">
      <c r="B981" s="3" t="str">
        <f ca="1">IFERROR(__xludf.DUMMYFUNCTION("IF(ISBLANK(A981),"""",GOOGLETRANSLATE(A981,""en"",""fr""))"),"")</f>
        <v/>
      </c>
    </row>
    <row r="982" spans="2:2">
      <c r="B982" s="3" t="str">
        <f ca="1">IFERROR(__xludf.DUMMYFUNCTION("IF(ISBLANK(A982),"""",GOOGLETRANSLATE(A982,""en"",""fr""))"),"")</f>
        <v/>
      </c>
    </row>
    <row r="983" spans="2:2">
      <c r="B983" s="3" t="str">
        <f ca="1">IFERROR(__xludf.DUMMYFUNCTION("IF(ISBLANK(A983),"""",GOOGLETRANSLATE(A983,""en"",""fr""))"),"")</f>
        <v/>
      </c>
    </row>
    <row r="984" spans="2:2">
      <c r="B984" s="3" t="str">
        <f ca="1">IFERROR(__xludf.DUMMYFUNCTION("IF(ISBLANK(A984),"""",GOOGLETRANSLATE(A984,""en"",""fr""))"),"")</f>
        <v/>
      </c>
    </row>
    <row r="985" spans="2:2">
      <c r="B985" s="3" t="str">
        <f ca="1">IFERROR(__xludf.DUMMYFUNCTION("IF(ISBLANK(A985),"""",GOOGLETRANSLATE(A985,""en"",""fr""))"),"")</f>
        <v/>
      </c>
    </row>
    <row r="986" spans="2:2">
      <c r="B986" s="3" t="str">
        <f ca="1">IFERROR(__xludf.DUMMYFUNCTION("IF(ISBLANK(A986),"""",GOOGLETRANSLATE(A986,""en"",""fr""))"),"")</f>
        <v/>
      </c>
    </row>
    <row r="987" spans="2:2">
      <c r="B987" s="3" t="str">
        <f ca="1">IFERROR(__xludf.DUMMYFUNCTION("IF(ISBLANK(A987),"""",GOOGLETRANSLATE(A987,""en"",""fr""))"),"")</f>
        <v/>
      </c>
    </row>
    <row r="988" spans="2:2">
      <c r="B988" s="3" t="str">
        <f ca="1">IFERROR(__xludf.DUMMYFUNCTION("IF(ISBLANK(A988),"""",GOOGLETRANSLATE(A988,""en"",""fr""))"),"")</f>
        <v/>
      </c>
    </row>
    <row r="989" spans="2:2">
      <c r="B989" s="3" t="str">
        <f ca="1">IFERROR(__xludf.DUMMYFUNCTION("IF(ISBLANK(A989),"""",GOOGLETRANSLATE(A989,""en"",""fr""))"),"")</f>
        <v/>
      </c>
    </row>
    <row r="990" spans="2:2">
      <c r="B990" s="3" t="str">
        <f ca="1">IFERROR(__xludf.DUMMYFUNCTION("IF(ISBLANK(A990),"""",GOOGLETRANSLATE(A990,""en"",""fr""))"),"")</f>
        <v/>
      </c>
    </row>
    <row r="991" spans="2:2">
      <c r="B991" s="3" t="str">
        <f ca="1">IFERROR(__xludf.DUMMYFUNCTION("IF(ISBLANK(A991),"""",GOOGLETRANSLATE(A991,""en"",""fr""))"),"")</f>
        <v/>
      </c>
    </row>
    <row r="992" spans="2:2">
      <c r="B992" s="3" t="str">
        <f ca="1">IFERROR(__xludf.DUMMYFUNCTION("IF(ISBLANK(A992),"""",GOOGLETRANSLATE(A992,""en"",""fr""))"),"")</f>
        <v/>
      </c>
    </row>
    <row r="993" spans="2:2">
      <c r="B993" s="3" t="str">
        <f ca="1">IFERROR(__xludf.DUMMYFUNCTION("IF(ISBLANK(A993),"""",GOOGLETRANSLATE(A993,""en"",""fr""))"),"")</f>
        <v/>
      </c>
    </row>
    <row r="994" spans="2:2">
      <c r="B994" s="3" t="str">
        <f ca="1">IFERROR(__xludf.DUMMYFUNCTION("IF(ISBLANK(A994),"""",GOOGLETRANSLATE(A994,""en"",""fr""))"),"")</f>
        <v/>
      </c>
    </row>
    <row r="995" spans="2:2">
      <c r="B995" s="3" t="str">
        <f ca="1">IFERROR(__xludf.DUMMYFUNCTION("IF(ISBLANK(A995),"""",GOOGLETRANSLATE(A995,""en"",""fr""))"),"")</f>
        <v/>
      </c>
    </row>
    <row r="996" spans="2:2">
      <c r="B996" s="3" t="str">
        <f ca="1">IFERROR(__xludf.DUMMYFUNCTION("IF(ISBLANK(A996),"""",GOOGLETRANSLATE(A996,""en"",""fr""))"),"")</f>
        <v/>
      </c>
    </row>
    <row r="997" spans="2:2">
      <c r="B997" s="3" t="str">
        <f ca="1">IFERROR(__xludf.DUMMYFUNCTION("IF(ISBLANK(A997),"""",GOOGLETRANSLATE(A997,""en"",""fr""))"),"")</f>
        <v/>
      </c>
    </row>
    <row r="998" spans="2:2">
      <c r="B998" s="3" t="str">
        <f ca="1">IFERROR(__xludf.DUMMYFUNCTION("IF(ISBLANK(A998),"""",GOOGLETRANSLATE(A998,""en"",""fr""))"),"")</f>
        <v/>
      </c>
    </row>
    <row r="999" spans="2:2">
      <c r="B999" s="3" t="str">
        <f ca="1">IFERROR(__xludf.DUMMYFUNCTION("IF(ISBLANK(A999),"""",GOOGLETRANSLATE(A999,""en"",""fr""))"),"")</f>
        <v/>
      </c>
    </row>
    <row r="1000" spans="2:2">
      <c r="B1000" s="3" t="str">
        <f ca="1">IFERROR(__xludf.DUMMYFUNCTION("IF(ISBLANK(A1000),"""",GOOGLETRANSLATE(A1000,""en"",""fr""))"),"")</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B1000"/>
  <sheetViews>
    <sheetView topLeftCell="A58" workbookViewId="0"/>
  </sheetViews>
  <sheetFormatPr defaultColWidth="12.6640625" defaultRowHeight="15.75" customHeight="1"/>
  <cols>
    <col min="1" max="1" width="126.109375" customWidth="1"/>
  </cols>
  <sheetData>
    <row r="1" spans="1:2">
      <c r="A1" s="1" t="s">
        <v>0</v>
      </c>
      <c r="B1" s="1"/>
    </row>
    <row r="2" spans="1:2">
      <c r="A2" s="12" t="s">
        <v>58</v>
      </c>
      <c r="B2" s="3" t="str">
        <f ca="1">IFERROR(__xludf.DUMMYFUNCTION("IF(ISBLANK(A2),"""",GOOGLETRANSLATE(A2,""en"",""fr""))"),"Sécurité de l'information")</f>
        <v>Sécurité de l'information</v>
      </c>
    </row>
    <row r="3" spans="1:2">
      <c r="A3" s="3" t="s">
        <v>475</v>
      </c>
      <c r="B3" s="3" t="str">
        <f ca="1">IFERROR(__xludf.DUMMYFUNCTION("IF(ISBLANK(A3),"""",GOOGLETRANSLATE(A3,""en"",""fr""))"),"Services avancés de sécurité de l'information")</f>
        <v>Services avancés de sécurité de l'information</v>
      </c>
    </row>
    <row r="4" spans="1:2">
      <c r="A4" s="3" t="s">
        <v>476</v>
      </c>
      <c r="B4" s="3" t="str">
        <f ca="1">IFERROR(__xludf.DUMMYFUNCTION("IF(ISBLANK(A4),"""",GOOGLETRANSLATE(A4,""en"",""fr""))"),"Sécurisez votre monde numérique grâce à une technologie de protection contre les menaces basée sur l'IA.")</f>
        <v>Sécurisez votre monde numérique grâce à une technologie de protection contre les menaces basée sur l'IA.</v>
      </c>
    </row>
    <row r="5" spans="1:2">
      <c r="A5" s="3" t="s">
        <v>70</v>
      </c>
      <c r="B5" s="3" t="str">
        <f ca="1">IFERROR(__xludf.DUMMYFUNCTION("IF(ISBLANK(A5),"""",GOOGLETRANSLATE(A5,""en"",""fr""))"),"Connectez-vous avec nous")</f>
        <v>Connectez-vous avec nous</v>
      </c>
    </row>
    <row r="6" spans="1:2">
      <c r="A6" s="3" t="s">
        <v>14</v>
      </c>
      <c r="B6" s="3" t="str">
        <f ca="1">IFERROR(__xludf.DUMMYFUNCTION("IF(ISBLANK(A6),"""",GOOGLETRANSLATE(A6,""en"",""fr""))"),"Les plus grandes marques mondiales sont propulsées par NETSOL")</f>
        <v>Les plus grandes marques mondiales sont propulsées par NETSOL</v>
      </c>
    </row>
    <row r="7" spans="1:2">
      <c r="A7" s="3" t="s">
        <v>477</v>
      </c>
      <c r="B7" s="3" t="str">
        <f ca="1">IFERROR(__xludf.DUMMYFUNCTION("IF(ISBLANK(A7),"""",GOOGLETRANSLATE(A7,""en"",""fr""))"),"Protégez votre entreprise contre les menaces numériques grâce à la sécurité de l'information.")</f>
        <v>Protégez votre entreprise contre les menaces numériques grâce à la sécurité de l'information.</v>
      </c>
    </row>
    <row r="8" spans="1:2">
      <c r="A8" s="3" t="s">
        <v>478</v>
      </c>
      <c r="B8" s="3" t="str">
        <f ca="1">IFERROR(__xludf.DUMMYFUNCTION("IF(ISBLANK(A8),"""",GOOGLETRANSLATE(A8,""en"",""fr""))"),"NETSOL propose des stratégies de sécurité axées sur les risques pour protéger vos données, garantir la conformité et améliorer l'agilité opérationnelle.")</f>
        <v>NETSOL propose des stratégies de sécurité axées sur les risques pour protéger vos données, garantir la conformité et améliorer l'agilité opérationnelle.</v>
      </c>
    </row>
    <row r="9" spans="1:2">
      <c r="A9" s="3" t="s">
        <v>479</v>
      </c>
      <c r="B9" s="3" t="str">
        <f ca="1">IFERROR(__xludf.DUMMYFUNCTION("IF(ISBLANK(A9),"""",GOOGLETRANSLATE(A9,""en"",""fr""))"),"Augmentation des rançongiciels")</f>
        <v>Augmentation des rançongiciels</v>
      </c>
    </row>
    <row r="10" spans="1:2">
      <c r="A10" s="3" t="s">
        <v>480</v>
      </c>
      <c r="B10" s="3" t="str">
        <f ca="1">IFERROR(__xludf.DUMMYFUNCTION("IF(ISBLANK(A10),"""",GOOGLETRANSLATE(A10,""en"",""fr""))"),"2 809 attaques de ransomware ont été enregistrées en 2022, un chiffre qui a grimpé à 5 070 en 2023, soit une augmentation substantielle de 55 %.")</f>
        <v>2 809 attaques de ransomware ont été enregistrées en 2022, un chiffre qui a grimpé à 5 070 en 2023, soit une augmentation substantielle de 55 %.</v>
      </c>
    </row>
    <row r="11" spans="1:2">
      <c r="A11" s="3" t="s">
        <v>481</v>
      </c>
      <c r="B11" s="3" t="str">
        <f ca="1">IFERROR(__xludf.DUMMYFUNCTION("IF(ISBLANK(A11),"""",GOOGLETRANSLATE(A11,""en"",""fr""))"),"Coûts de la cybersécurité")</f>
        <v>Coûts de la cybersécurité</v>
      </c>
    </row>
    <row r="12" spans="1:2">
      <c r="A12" s="3" t="s">
        <v>482</v>
      </c>
      <c r="B12" s="3" t="str">
        <f ca="1">IFERROR(__xludf.DUMMYFUNCTION("IF(ISBLANK(A12),"""",GOOGLETRANSLATE(A12,""en"",""fr""))"),"Sans services de sécurité robustes en matière de sécurité informatique, les entreprises perdent des millions chaque année à cause des cyberattaques.")</f>
        <v>Sans services de sécurité robustes en matière de sécurité informatique, les entreprises perdent des millions chaque année à cause des cyberattaques.</v>
      </c>
    </row>
    <row r="13" spans="1:2">
      <c r="A13" s="3" t="s">
        <v>483</v>
      </c>
      <c r="B13" s="3" t="str">
        <f ca="1">IFERROR(__xludf.DUMMYFUNCTION("IF(ISBLANK(A13),"""",GOOGLETRANSLATE(A13,""en"",""fr""))"),"coûts liés aux violations de données")</f>
        <v>coûts liés aux violations de données</v>
      </c>
    </row>
    <row r="14" spans="1:2">
      <c r="A14" s="3" t="s">
        <v>484</v>
      </c>
      <c r="B14" s="3" t="str">
        <f ca="1">IFERROR(__xludf.DUMMYFUNCTION("IF(ISBLANK(A14),"""",GOOGLETRANSLATE(A14,""en"",""fr""))"),"Le coût moyen mondial des violations de données a atteint un niveau record de 4,45 milliards de dollars en 2023, soit une augmentation de 15 % en trois ans.")</f>
        <v>Le coût moyen mondial des violations de données a atteint un niveau record de 4,45 milliards de dollars en 2023, soit une augmentation de 15 % en trois ans.</v>
      </c>
    </row>
    <row r="15" spans="1:2">
      <c r="A15" s="3" t="s">
        <v>485</v>
      </c>
      <c r="B15" s="3" t="str">
        <f ca="1">IFERROR(__xludf.DUMMYFUNCTION("IF(ISBLANK(A15),"""",GOOGLETRANSLATE(A15,""en"",""fr""))"),"L'IA défait les menaces")</f>
        <v>L'IA défait les menaces</v>
      </c>
    </row>
    <row r="16" spans="1:2">
      <c r="A16" s="3" t="s">
        <v>486</v>
      </c>
      <c r="B16" s="3" t="str">
        <f ca="1">IFERROR(__xludf.DUMMYFUNCTION("IF(ISBLANK(A16),"""",GOOGLETRANSLATE(A16,""en"",""fr""))"),"66 % des utilisateurs d'IA ont confirmé que l'IA générative les avait aidés à prédire les attaques zero-day et à réduire les faux positifs.")</f>
        <v>66 % des utilisateurs d'IA ont confirmé que l'IA générative les avait aidés à prédire les attaques zero-day et à réduire les faux positifs.</v>
      </c>
    </row>
    <row r="17" spans="1:2">
      <c r="A17" s="3" t="s">
        <v>487</v>
      </c>
      <c r="B17" s="3" t="str">
        <f ca="1">IFERROR(__xludf.DUMMYFUNCTION("IF(ISBLANK(A17),"""",GOOGLETRANSLATE(A17,""en"",""fr""))"),"Informations alimentées par l'IA sur les services de sécurité de l'information")</f>
        <v>Informations alimentées par l'IA sur les services de sécurité de l'information</v>
      </c>
    </row>
    <row r="18" spans="1:2">
      <c r="A18" s="3" t="s">
        <v>478</v>
      </c>
      <c r="B18" s="3" t="str">
        <f ca="1">IFERROR(__xludf.DUMMYFUNCTION("IF(ISBLANK(A18),"""",GOOGLETRANSLATE(A18,""en"",""fr""))"),"NETSOL propose des stratégies de sécurité axées sur les risques pour protéger vos données, garantir la conformité et améliorer l'agilité opérationnelle.")</f>
        <v>NETSOL propose des stratégies de sécurité axées sur les risques pour protéger vos données, garantir la conformité et améliorer l'agilité opérationnelle.</v>
      </c>
    </row>
    <row r="19" spans="1:2">
      <c r="B19" s="3" t="str">
        <f ca="1">IFERROR(__xludf.DUMMYFUNCTION("IF(ISBLANK(A19),"""",GOOGLETRANSLATE(A19,""en"",""fr""))"),"")</f>
        <v/>
      </c>
    </row>
    <row r="20" spans="1:2">
      <c r="A20" s="3" t="s">
        <v>488</v>
      </c>
      <c r="B20" s="3" t="str">
        <f ca="1">IFERROR(__xludf.DUMMYFUNCTION("IF(ISBLANK(A20),"""",GOOGLETRANSLATE(A20,""en"",""fr""))"),"80% de réussite en plus")</f>
        <v>80% de réussite en plus</v>
      </c>
    </row>
    <row r="21" spans="1:2">
      <c r="A21" s="3" t="s">
        <v>489</v>
      </c>
      <c r="B21" s="3" t="str">
        <f ca="1">IFERROR(__xludf.DUMMYFUNCTION("IF(ISBLANK(A21),"""",GOOGLETRANSLATE(A21,""en"",""fr""))"),"Plus de 40 % des organisations ont signalé un taux de réussite supérieur à 80 % pour leurs outils de cybersécurité basés sur l'IA")</f>
        <v>Plus de 40 % des organisations ont signalé un taux de réussite supérieur à 80 % pour leurs outils de cybersécurité basés sur l'IA</v>
      </c>
    </row>
    <row r="22" spans="1:2">
      <c r="A22" s="3" t="s">
        <v>490</v>
      </c>
      <c r="B22" s="3" t="str">
        <f ca="1">IFERROR(__xludf.DUMMYFUNCTION("IF(ISBLANK(A22),"""",GOOGLETRANSLATE(A22,""en"",""fr""))"),"48 % plus crucial")</f>
        <v>48 % plus crucial</v>
      </c>
    </row>
    <row r="23" spans="1:2">
      <c r="A23" s="3" t="s">
        <v>491</v>
      </c>
      <c r="B23" s="3" t="str">
        <f ca="1">IFERROR(__xludf.DUMMYFUNCTION("IF(ISBLANK(A23),"""",GOOGLETRANSLATE(A23,""en"",""fr""))"),"Les PME et les grandes entreprises estiment désormais que l’IA sera essentielle pour se protéger contre les risques et les menaces de cybersécurité.")</f>
        <v>Les PME et les grandes entreprises estiment désormais que l’IA sera essentielle pour se protéger contre les risques et les menaces de cybersécurité.</v>
      </c>
    </row>
    <row r="24" spans="1:2">
      <c r="A24" s="3" t="s">
        <v>492</v>
      </c>
      <c r="B24" s="3" t="str">
        <f ca="1">IFERROR(__xludf.DUMMYFUNCTION("IF(ISBLANK(A24),"""",GOOGLETRANSLATE(A24,""en"",""fr""))"),"2,09 millions de dollars économisés par entreprise")</f>
        <v>2,09 millions de dollars économisés par entreprise</v>
      </c>
    </row>
    <row r="25" spans="1:2">
      <c r="A25" s="3" t="s">
        <v>493</v>
      </c>
      <c r="B25" s="3" t="str">
        <f ca="1">IFERROR(__xludf.DUMMYFUNCTION("IF(ISBLANK(A25),"""",GOOGLETRANSLATE(A25,""en"",""fr""))"),"Les outils de cybersécurité soutenus par l’IA peuvent générer des économies de plus de 2,09 millions de dollars par entreprise aux États-Unis.")</f>
        <v>Les outils de cybersécurité soutenus par l’IA peuvent générer des économies de plus de 2,09 millions de dollars par entreprise aux États-Unis.</v>
      </c>
    </row>
    <row r="26" spans="1:2">
      <c r="A26" s="3" t="s">
        <v>494</v>
      </c>
      <c r="B26" s="3" t="str">
        <f ca="1">IFERROR(__xludf.DUMMYFUNCTION("IF(ISBLANK(A26),"""",GOOGLETRANSLATE(A26,""en"",""fr""))"),"Résoudre les problèmes réels de sécurité de l'information grâce à des mécanismes de sécurité rigoureux")</f>
        <v>Résoudre les problèmes réels de sécurité de l'information grâce à des mécanismes de sécurité rigoureux</v>
      </c>
    </row>
    <row r="27" spans="1:2">
      <c r="A27" s="3" t="s">
        <v>495</v>
      </c>
      <c r="B27" s="3" t="str">
        <f ca="1">IFERROR(__xludf.DUMMYFUNCTION("IF(ISBLANK(A27),"""",GOOGLETRANSLATE(A27,""en"",""fr""))"),"Évaluation et identification")</f>
        <v>Évaluation et identification</v>
      </c>
    </row>
    <row r="28" spans="1:2">
      <c r="A28" s="3" t="s">
        <v>496</v>
      </c>
      <c r="B28" s="3" t="str">
        <f ca="1">IFERROR(__xludf.DUMMYFUNCTION("IF(ISBLANK(A28),"""",GOOGLETRANSLATE(A28,""en"",""fr""))"),"L'évaluation des risques et l'identification des vulnérabilités sont essentielles dans le secteur de la sécurité de l'information. Elles permettent d'évaluer les menaces financières au sein de l'écosystème informatique, d'identifier les dangers potentiels"&amp;", les sanctions en matière de non-conformité et les pertes commerciales possibles.")</f>
        <v>L'évaluation des risques et l'identification des vulnérabilités sont essentielles dans le secteur de la sécurité de l'information. Elles permettent d'évaluer les menaces financières au sein de l'écosystème informatique, d'identifier les dangers potentiels, les sanctions en matière de non-conformité et les pertes commerciales possibles.</v>
      </c>
    </row>
    <row r="29" spans="1:2">
      <c r="A29" s="3" t="s">
        <v>497</v>
      </c>
      <c r="B29" s="3" t="str">
        <f ca="1">IFERROR(__xludf.DUMMYFUNCTION("IF(ISBLANK(A29),"""",GOOGLETRANSLATE(A29,""en"",""fr""))"),"Sécurité de l'entreprise et risque informatique")</f>
        <v>Sécurité de l'entreprise et risque informatique</v>
      </c>
    </row>
    <row r="30" spans="1:2">
      <c r="A30" s="3" t="s">
        <v>498</v>
      </c>
      <c r="B30" s="3" t="str">
        <f ca="1">IFERROR(__xludf.DUMMYFUNCTION("IF(ISBLANK(A30),"""",GOOGLETRANSLATE(A30,""en"",""fr""))"),"Les audits de sécurité d’entreprise et les évaluations des risques informatiques sont les premiers mécanismes de défense pour protéger les données critiques et les actifs informatiques, aidant les organisations à identifier les vulnérabilités et à mettre "&amp;"en œuvre des contrôles adéquats pour atténuer les menaces potentielles.")</f>
        <v>Les audits de sécurité d’entreprise et les évaluations des risques informatiques sont les premiers mécanismes de défense pour protéger les données critiques et les actifs informatiques, aidant les organisations à identifier les vulnérabilités et à mettre en œuvre des contrôles adéquats pour atténuer les menaces potentielles.</v>
      </c>
    </row>
    <row r="31" spans="1:2">
      <c r="A31" s="3" t="s">
        <v>499</v>
      </c>
      <c r="B31" s="3" t="str">
        <f ca="1">IFERROR(__xludf.DUMMYFUNCTION("IF(ISBLANK(A31),"""",GOOGLETRANSLATE(A31,""en"",""fr""))"),"Prévention et surveillance")</f>
        <v>Prévention et surveillance</v>
      </c>
    </row>
    <row r="32" spans="1:2">
      <c r="A32" s="3" t="s">
        <v>500</v>
      </c>
      <c r="B32" s="3" t="str">
        <f ca="1">IFERROR(__xludf.DUMMYFUNCTION("IF(ISBLANK(A32),"""",GOOGLETRANSLATE(A32,""en"",""fr""))"),"Les mesures de sécurité traditionnelles peinent souvent à suivre le rythme des cybermenaces sophistiquées, entraînant des pertes de plusieurs millions de dollars. NETSOL vous aide à prévenir et à surveiller votre écosystème, garantissant ainsi sa fiabilit"&amp;"é et une défense solide contre les attaques malveillantes.")</f>
        <v>Les mesures de sécurité traditionnelles peinent souvent à suivre le rythme des cybermenaces sophistiquées, entraînant des pertes de plusieurs millions de dollars. NETSOL vous aide à prévenir et à surveiller votre écosystème, garantissant ainsi sa fiabilité et une défense solide contre les attaques malveillantes.</v>
      </c>
    </row>
    <row r="33" spans="1:2">
      <c r="A33" s="3" t="s">
        <v>501</v>
      </c>
      <c r="B33" s="3" t="str">
        <f ca="1">IFERROR(__xludf.DUMMYFUNCTION("IF(ISBLANK(A33),"""",GOOGLETRANSLATE(A33,""en"",""fr""))"),"Implémentations SIEM et SOAR")</f>
        <v>Implémentations SIEM et SOAR</v>
      </c>
    </row>
    <row r="34" spans="1:2">
      <c r="A34" s="3" t="s">
        <v>502</v>
      </c>
      <c r="B34" s="3" t="str">
        <f ca="1">IFERROR(__xludf.DUMMYFUNCTION("IF(ISBLANK(A34),"""",GOOGLETRANSLATE(A34,""en"",""fr""))"),"Les SIEM et SOAR optimisent les centres d'opérations de sécurité en améliorant leurs capacités de détection, d'analyse, de réponse et de prévention des incidents de cybersécurité. Grâce à l'IA en sécurité de l'information, les entreprises peuvent optimise"&amp;"r la détection des menaces et déployer des réponses dynamiques contre les attaques malveillantes.")</f>
        <v>Les SIEM et SOAR optimisent les centres d'opérations de sécurité en améliorant leurs capacités de détection, d'analyse, de réponse et de prévention des incidents de cybersécurité. Grâce à l'IA en sécurité de l'information, les entreprises peuvent optimiser la détection des menaces et déployer des réponses dynamiques contre les attaques malveillantes.</v>
      </c>
    </row>
    <row r="35" spans="1:2">
      <c r="A35" s="3" t="s">
        <v>503</v>
      </c>
      <c r="B35" s="3" t="str">
        <f ca="1">IFERROR(__xludf.DUMMYFUNCTION("IF(ISBLANK(A35),"""",GOOGLETRANSLATE(A35,""en"",""fr""))"),"Géré (SoC)")</f>
        <v>Géré (SoC)</v>
      </c>
    </row>
    <row r="36" spans="1:2">
      <c r="A36" s="3" t="s">
        <v>504</v>
      </c>
      <c r="B36" s="3" t="str">
        <f ca="1">IFERROR(__xludf.DUMMYFUNCTION("IF(ISBLANK(A36),"""",GOOGLETRANSLATE(A36,""en"",""fr""))"),"Contrairement aux SOC internes traditionnels, les SOC gérés offrent une sécurité complète, incluant une surveillance et une réponse aux incidents 24h/24 et 7j/7. Grâce à des outils d'IA de pointe, nous aidons les entreprises à automatiser la réponse aux m"&amp;"enaces et à améliorer leurs capacités de prédiction.")</f>
        <v>Contrairement aux SOC internes traditionnels, les SOC gérés offrent une sécurité complète, incluant une surveillance et une réponse aux incidents 24h/24 et 7j/7. Grâce à des outils d'IA de pointe, nous aidons les entreprises à automatiser la réponse aux menaces et à améliorer leurs capacités de prédiction.</v>
      </c>
    </row>
    <row r="37" spans="1:2">
      <c r="A37" s="3" t="s">
        <v>505</v>
      </c>
      <c r="B37" s="3" t="str">
        <f ca="1">IFERROR(__xludf.DUMMYFUNCTION("IF(ISBLANK(A37),"""",GOOGLETRANSLATE(A37,""en"",""fr""))"),"Sécurité du cloud")</f>
        <v>Sécurité du cloud</v>
      </c>
    </row>
    <row r="38" spans="1:2">
      <c r="A38" s="3" t="s">
        <v>506</v>
      </c>
      <c r="B38" s="3" t="str">
        <f ca="1">IFERROR(__xludf.DUMMYFUNCTION("IF(ISBLANK(A38),"""",GOOGLETRANSLATE(A38,""en"",""fr""))"),"Les entreprises migrent de plus en plus leurs opérations vers des environnements cloud, ce qui entraîne des défis uniques en matière de protection des données, des applications et des infrastructures contre les cybermenaces. Il est donc nécessaire d'adopt"&amp;"er des solutions de sécurité informatique avancées.")</f>
        <v>Les entreprises migrent de plus en plus leurs opérations vers des environnements cloud, ce qui entraîne des défis uniques en matière de protection des données, des applications et des infrastructures contre les cybermenaces. Il est donc nécessaire d'adopter des solutions de sécurité informatique avancées.</v>
      </c>
    </row>
    <row r="39" spans="1:2">
      <c r="A39" s="3" t="s">
        <v>106</v>
      </c>
      <c r="B39" s="3" t="str">
        <f ca="1">IFERROR(__xludf.DUMMYFUNCTION("IF(ISBLANK(A39),"""",GOOGLETRANSLATE(A39,""en"",""fr""))"),"Parlons de la suite")</f>
        <v>Parlons de la suite</v>
      </c>
    </row>
    <row r="40" spans="1:2">
      <c r="A40" s="3" t="s">
        <v>107</v>
      </c>
      <c r="B40" s="3" t="str">
        <f ca="1">IFERROR(__xludf.DUMMYFUNCTION("IF(ISBLANK(A40),"""",GOOGLETRANSLATE(A40,""en"",""fr""))"),"Repensez ce que votre entreprise peut faire avec le bon partenaire à vos côtés.")</f>
        <v>Repensez ce que votre entreprise peut faire avec le bon partenaire à vos côtés.</v>
      </c>
    </row>
    <row r="41" spans="1:2">
      <c r="B41" s="3" t="str">
        <f ca="1">IFERROR(__xludf.DUMMYFUNCTION("IF(ISBLANK(A41),"""",GOOGLETRANSLATE(A41,""en"",""fr""))"),"")</f>
        <v/>
      </c>
    </row>
    <row r="42" spans="1:2">
      <c r="A42" s="3" t="s">
        <v>94</v>
      </c>
      <c r="B42" s="3" t="str">
        <f ca="1">IFERROR(__xludf.DUMMYFUNCTION("IF(ISBLANK(A42),"""",GOOGLETRANSLATE(A42,""en"",""fr""))"),"Lectures et idées en vedette")</f>
        <v>Lectures et idées en vedette</v>
      </c>
    </row>
    <row r="43" spans="1:2">
      <c r="A43" s="10" t="s">
        <v>95</v>
      </c>
      <c r="B43" s="3" t="str">
        <f ca="1">IFERROR(__xludf.DUMMYFUNCTION("IF(ISBLANK(A43),"""",GOOGLETRANSLATE(A43,""en"",""fr""))"),"Restez informé des dernières actualités de NETSOL. Réflexions stratégiques, mises à jour produits, perspectives sectorielles et actualités de l'entreprise, tout est réuni au même endroit.")</f>
        <v>Restez informé des dernières actualités de NETSOL. Réflexions stratégiques, mises à jour produits, perspectives sectorielles et actualités de l'entreprise, tout est réuni au même endroit.</v>
      </c>
    </row>
    <row r="44" spans="1:2">
      <c r="A44" s="3" t="s">
        <v>96</v>
      </c>
      <c r="B44" s="3" t="str">
        <f ca="1">IFERROR(__xludf.DUMMYFUNCTION("IF(ISBLANK(A44),"""",GOOGLETRANSLATE(A44,""en"",""fr""))"),"Blog")</f>
        <v>Blog</v>
      </c>
    </row>
    <row r="45" spans="1:2">
      <c r="A45" s="3" t="s">
        <v>97</v>
      </c>
      <c r="B45" s="3" t="str">
        <f ca="1">IFERROR(__xludf.DUMMYFUNCTION("IF(ISBLANK(A45),"""",GOOGLETRANSLATE(A45,""en"",""fr""))"),"Au-delà du DMS : pourquoi l’avenir du commerce automobile repose sur les API")</f>
        <v>Au-delà du DMS : pourquoi l’avenir du commerce automobile repose sur les API</v>
      </c>
    </row>
    <row r="46" spans="1:2">
      <c r="A46" s="3" t="s">
        <v>23</v>
      </c>
      <c r="B46" s="3" t="str">
        <f ca="1">IFERROR(__xludf.DUMMYFUNCTION("IF(ISBLANK(A46),"""",GOOGLETRANSLATE(A46,""en"",""fr""))"),"Apprendre encore plus")</f>
        <v>Apprendre encore plus</v>
      </c>
    </row>
    <row r="47" spans="1:2">
      <c r="B47" s="3" t="str">
        <f ca="1">IFERROR(__xludf.DUMMYFUNCTION("IF(ISBLANK(A47),"""",GOOGLETRANSLATE(A47,""en"",""fr""))"),"")</f>
        <v/>
      </c>
    </row>
    <row r="48" spans="1:2">
      <c r="A48" s="3" t="s">
        <v>98</v>
      </c>
      <c r="B48" s="3" t="str">
        <f ca="1">IFERROR(__xludf.DUMMYFUNCTION("IF(ISBLANK(A48),"""",GOOGLETRANSLATE(A48,""en"",""fr""))"),"NETSOL est présent à la conférence et aux prix GlobalData Automotive Europe 2025.")</f>
        <v>NETSOL est présent à la conférence et aux prix GlobalData Automotive Europe 2025.</v>
      </c>
    </row>
    <row r="49" spans="1:2">
      <c r="B49" s="3" t="str">
        <f ca="1">IFERROR(__xludf.DUMMYFUNCTION("IF(ISBLANK(A49),"""",GOOGLETRANSLATE(A49,""en"",""fr""))"),"")</f>
        <v/>
      </c>
    </row>
    <row r="50" spans="1:2">
      <c r="B50" s="3" t="str">
        <f ca="1">IFERROR(__xludf.DUMMYFUNCTION("IF(ISBLANK(A50),"""",GOOGLETRANSLATE(A50,""en"",""fr""))"),"")</f>
        <v/>
      </c>
    </row>
    <row r="51" spans="1:2">
      <c r="A51" s="3" t="s">
        <v>99</v>
      </c>
      <c r="B51" s="3" t="str">
        <f ca="1">IFERROR(__xludf.DUMMYFUNCTION("IF(ISBLANK(A51),"""",GOOGLETRANSLATE(A51,""en"",""fr""))"),"NETSOL participe au 25e Sommet annuel du financement automobile : Piloter l'avenir du financement automobile")</f>
        <v>NETSOL participe au 25e Sommet annuel du financement automobile : Piloter l'avenir du financement automobile</v>
      </c>
    </row>
    <row r="52" spans="1:2">
      <c r="B52" s="3" t="str">
        <f ca="1">IFERROR(__xludf.DUMMYFUNCTION("IF(ISBLANK(A52),"""",GOOGLETRANSLATE(A52,""en"",""fr""))"),"")</f>
        <v/>
      </c>
    </row>
    <row r="53" spans="1:2">
      <c r="B53" s="3" t="str">
        <f ca="1">IFERROR(__xludf.DUMMYFUNCTION("IF(ISBLANK(A53),"""",GOOGLETRANSLATE(A53,""en"",""fr""))"),"")</f>
        <v/>
      </c>
    </row>
    <row r="54" spans="1:2">
      <c r="A54" s="3" t="s">
        <v>100</v>
      </c>
      <c r="B54" s="3" t="str">
        <f ca="1">IFERROR(__xludf.DUMMYFUNCTION("IF(ISBLANK(A54),"""",GOOGLETRANSLATE(A54,""en"",""fr""))"),"NETSOL est présent à Digital Dealer 2025 : façonner l’avenir de la vente automobile")</f>
        <v>NETSOL est présent à Digital Dealer 2025 : façonner l’avenir de la vente automobile</v>
      </c>
    </row>
    <row r="55" spans="1:2">
      <c r="B55" s="3" t="str">
        <f ca="1">IFERROR(__xludf.DUMMYFUNCTION("IF(ISBLANK(A55),"""",GOOGLETRANSLATE(A55,""en"",""fr""))"),"")</f>
        <v/>
      </c>
    </row>
    <row r="56" spans="1:2">
      <c r="B56" s="3" t="str">
        <f ca="1">IFERROR(__xludf.DUMMYFUNCTION("IF(ISBLANK(A56),"""",GOOGLETRANSLATE(A56,""en"",""fr""))"),"")</f>
        <v/>
      </c>
    </row>
    <row r="57" spans="1:2">
      <c r="A57" s="6" t="s">
        <v>101</v>
      </c>
      <c r="B57" s="3" t="str">
        <f ca="1">IFERROR(__xludf.DUMMYFUNCTION("IF(ISBLANK(A57),"""",GOOGLETRANSLATE(A57,""en"",""fr""))"),"L'IA dans le secteur des services financiers et de l'investissement : révolutionner la gestion des risques")</f>
        <v>L'IA dans le secteur des services financiers et de l'investissement : révolutionner la gestion des risques</v>
      </c>
    </row>
    <row r="58" spans="1:2">
      <c r="B58" s="3" t="str">
        <f ca="1">IFERROR(__xludf.DUMMYFUNCTION("IF(ISBLANK(A58),"""",GOOGLETRANSLATE(A58,""en"",""fr""))"),"")</f>
        <v/>
      </c>
    </row>
    <row r="59" spans="1:2">
      <c r="B59" s="3" t="str">
        <f ca="1">IFERROR(__xludf.DUMMYFUNCTION("IF(ISBLANK(A59),"""",GOOGLETRANSLATE(A59,""en"",""fr""))"),"")</f>
        <v/>
      </c>
    </row>
    <row r="60" spans="1:2">
      <c r="A60" s="3" t="s">
        <v>102</v>
      </c>
      <c r="B60" s="3" t="str">
        <f ca="1">IFERROR(__xludf.DUMMYFUNCTION("IF(ISBLANK(A60),"""",GOOGLETRANSLATE(A60,""en"",""fr""))"),"L'importance de la personnalisation du service client : adapter la gestion des paiements et des litiges aux besoins des clients")</f>
        <v>L'importance de la personnalisation du service client : adapter la gestion des paiements et des litiges aux besoins des clients</v>
      </c>
    </row>
    <row r="61" spans="1:2">
      <c r="B61" s="3" t="str">
        <f ca="1">IFERROR(__xludf.DUMMYFUNCTION("IF(ISBLANK(A61),"""",GOOGLETRANSLATE(A61,""en"",""fr""))"),"")</f>
        <v/>
      </c>
    </row>
    <row r="62" spans="1:2">
      <c r="B62" s="3" t="str">
        <f ca="1">IFERROR(__xludf.DUMMYFUNCTION("IF(ISBLANK(A62),"""",GOOGLETRANSLATE(A62,""en"",""fr""))"),"")</f>
        <v/>
      </c>
    </row>
    <row r="63" spans="1:2">
      <c r="A63" s="3" t="s">
        <v>103</v>
      </c>
      <c r="B63" s="3" t="str">
        <f ca="1">IFERROR(__xludf.DUMMYFUNCTION("IF(ISBLANK(A63),"""",GOOGLETRANSLATE(A63,""en"",""fr""))"),"Le véritable coût des systèmes déconnectés dans le commerce de détail automobile")</f>
        <v>Le véritable coût des systèmes déconnectés dans le commerce de détail automobile</v>
      </c>
    </row>
    <row r="64" spans="1:2">
      <c r="B64" s="3" t="str">
        <f ca="1">IFERROR(__xludf.DUMMYFUNCTION("IF(ISBLANK(A64),"""",GOOGLETRANSLATE(A64,""en"",""fr""))"),"")</f>
        <v/>
      </c>
    </row>
    <row r="65" spans="1:2">
      <c r="B65" s="3" t="str">
        <f ca="1">IFERROR(__xludf.DUMMYFUNCTION("IF(ISBLANK(A65),"""",GOOGLETRANSLATE(A65,""en"",""fr""))"),"")</f>
        <v/>
      </c>
    </row>
    <row r="66" spans="1:2">
      <c r="A66" s="3" t="s">
        <v>104</v>
      </c>
      <c r="B66" s="3" t="str">
        <f ca="1">IFERROR(__xludf.DUMMYFUNCTION("IF(ISBLANK(A66),"""",GOOGLETRANSLATE(A66,""en"",""fr""))"),"Captive du futur : Comment la technologie redéfinit les opérations financières des captives - Points clés du webinaire de l'AFSA")</f>
        <v>Captive du futur : Comment la technologie redéfinit les opérations financières des captives - Points clés du webinaire de l'AFSA</v>
      </c>
    </row>
    <row r="67" spans="1:2">
      <c r="B67" s="3" t="str">
        <f ca="1">IFERROR(__xludf.DUMMYFUNCTION("IF(ISBLANK(A67),"""",GOOGLETRANSLATE(A67,""en"",""fr""))"),"")</f>
        <v/>
      </c>
    </row>
    <row r="68" spans="1:2">
      <c r="B68" s="3" t="str">
        <f ca="1">IFERROR(__xludf.DUMMYFUNCTION("IF(ISBLANK(A68),"""",GOOGLETRANSLATE(A68,""en"",""fr""))"),"")</f>
        <v/>
      </c>
    </row>
    <row r="69" spans="1:2">
      <c r="A69" s="3" t="s">
        <v>105</v>
      </c>
      <c r="B69" s="3" t="str">
        <f ca="1">IFERROR(__xludf.DUMMYFUNCTION("IF(ISBLANK(A69),"""",GOOGLETRANSLATE(A69,""en"",""fr""))"),"Lutte contre la fraude dans le secteur financier de gros : exploiter la technologie pour une détection précoce et une atténuation des risques")</f>
        <v>Lutte contre la fraude dans le secteur financier de gros : exploiter la technologie pour une détection précoce et une atténuation des risques</v>
      </c>
    </row>
    <row r="70" spans="1:2">
      <c r="B70" s="3" t="str">
        <f ca="1">IFERROR(__xludf.DUMMYFUNCTION("IF(ISBLANK(A70),"""",GOOGLETRANSLATE(A70,""en"",""fr""))"),"")</f>
        <v/>
      </c>
    </row>
    <row r="71" spans="1:2">
      <c r="A71" s="3" t="s">
        <v>108</v>
      </c>
      <c r="B71" s="3" t="str">
        <f ca="1">IFERROR(__xludf.DUMMYFUNCTION("IF(ISBLANK(A71),"""",GOOGLETRANSLATE(A71,""en"",""fr""))"),"Abonnez-vous à notre newsletter pour recevoir les dernières nouvelles dans votre boîte mail.")</f>
        <v>Abonnez-vous à notre newsletter pour recevoir les dernières nouvelles dans votre boîte mail.</v>
      </c>
    </row>
    <row r="72" spans="1:2">
      <c r="A72" s="3" t="s">
        <v>109</v>
      </c>
      <c r="B72" s="3" t="str">
        <f ca="1">IFERROR(__xludf.DUMMYFUNCTION("IF(ISBLANK(A72),"""",GOOGLETRANSLATE(A72,""en"",""fr""))"),"abc@exemple.com")</f>
        <v>abc@exemple.com</v>
      </c>
    </row>
    <row r="73" spans="1:2">
      <c r="A73" s="3" t="s">
        <v>110</v>
      </c>
      <c r="B73" s="3" t="str">
        <f ca="1">IFERROR(__xludf.DUMMYFUNCTION("IF(ISBLANK(A73),"""",GOOGLETRANSLATE(A73,""en"",""fr""))"),"S'abonner ")</f>
        <v xml:space="preserve">S'abonner </v>
      </c>
    </row>
    <row r="74" spans="1:2">
      <c r="B74" s="3" t="str">
        <f ca="1">IFERROR(__xludf.DUMMYFUNCTION("IF(ISBLANK(A74),"""",GOOGLETRANSLATE(A74,""en"",""fr""))"),"")</f>
        <v/>
      </c>
    </row>
    <row r="75" spans="1:2">
      <c r="B75" s="3" t="str">
        <f ca="1">IFERROR(__xludf.DUMMYFUNCTION("IF(ISBLANK(A75),"""",GOOGLETRANSLATE(A75,""en"",""fr""))"),"")</f>
        <v/>
      </c>
    </row>
    <row r="76" spans="1:2">
      <c r="B76" s="3" t="str">
        <f ca="1">IFERROR(__xludf.DUMMYFUNCTION("IF(ISBLANK(A76),"""",GOOGLETRANSLATE(A76,""en"",""fr""))"),"")</f>
        <v/>
      </c>
    </row>
    <row r="77" spans="1:2">
      <c r="B77" s="3" t="str">
        <f ca="1">IFERROR(__xludf.DUMMYFUNCTION("IF(ISBLANK(A77),"""",GOOGLETRANSLATE(A77,""en"",""fr""))"),"")</f>
        <v/>
      </c>
    </row>
    <row r="78" spans="1:2">
      <c r="B78" s="3" t="str">
        <f ca="1">IFERROR(__xludf.DUMMYFUNCTION("IF(ISBLANK(A78),"""",GOOGLETRANSLATE(A78,""en"",""fr""))"),"")</f>
        <v/>
      </c>
    </row>
    <row r="79" spans="1:2">
      <c r="B79" s="3" t="str">
        <f ca="1">IFERROR(__xludf.DUMMYFUNCTION("IF(ISBLANK(A79),"""",GOOGLETRANSLATE(A79,""en"",""fr""))"),"")</f>
        <v/>
      </c>
    </row>
    <row r="80" spans="1:2">
      <c r="B80" s="3" t="str">
        <f ca="1">IFERROR(__xludf.DUMMYFUNCTION("IF(ISBLANK(A80),"""",GOOGLETRANSLATE(A80,""en"",""fr""))"),"")</f>
        <v/>
      </c>
    </row>
    <row r="81" spans="2:2">
      <c r="B81" s="3" t="str">
        <f ca="1">IFERROR(__xludf.DUMMYFUNCTION("IF(ISBLANK(A81),"""",GOOGLETRANSLATE(A81,""en"",""fr""))"),"")</f>
        <v/>
      </c>
    </row>
    <row r="82" spans="2:2">
      <c r="B82" s="3" t="str">
        <f ca="1">IFERROR(__xludf.DUMMYFUNCTION("IF(ISBLANK(A82),"""",GOOGLETRANSLATE(A82,""en"",""fr""))"),"")</f>
        <v/>
      </c>
    </row>
    <row r="83" spans="2:2">
      <c r="B83" s="3" t="str">
        <f ca="1">IFERROR(__xludf.DUMMYFUNCTION("IF(ISBLANK(A83),"""",GOOGLETRANSLATE(A83,""en"",""fr""))"),"")</f>
        <v/>
      </c>
    </row>
    <row r="84" spans="2:2">
      <c r="B84" s="3" t="str">
        <f ca="1">IFERROR(__xludf.DUMMYFUNCTION("IF(ISBLANK(A84),"""",GOOGLETRANSLATE(A84,""en"",""fr""))"),"")</f>
        <v/>
      </c>
    </row>
    <row r="85" spans="2:2">
      <c r="B85" s="3" t="str">
        <f ca="1">IFERROR(__xludf.DUMMYFUNCTION("IF(ISBLANK(A85),"""",GOOGLETRANSLATE(A85,""en"",""fr""))"),"")</f>
        <v/>
      </c>
    </row>
    <row r="86" spans="2:2">
      <c r="B86" s="3" t="str">
        <f ca="1">IFERROR(__xludf.DUMMYFUNCTION("IF(ISBLANK(A86),"""",GOOGLETRANSLATE(A86,""en"",""fr""))"),"")</f>
        <v/>
      </c>
    </row>
    <row r="87" spans="2:2">
      <c r="B87" s="3" t="str">
        <f ca="1">IFERROR(__xludf.DUMMYFUNCTION("IF(ISBLANK(A87),"""",GOOGLETRANSLATE(A87,""en"",""fr""))"),"")</f>
        <v/>
      </c>
    </row>
    <row r="88" spans="2:2">
      <c r="B88" s="3" t="str">
        <f ca="1">IFERROR(__xludf.DUMMYFUNCTION("IF(ISBLANK(A88),"""",GOOGLETRANSLATE(A88,""en"",""fr""))"),"")</f>
        <v/>
      </c>
    </row>
    <row r="89" spans="2:2">
      <c r="B89" s="3" t="str">
        <f ca="1">IFERROR(__xludf.DUMMYFUNCTION("IF(ISBLANK(A89),"""",GOOGLETRANSLATE(A89,""en"",""fr""))"),"")</f>
        <v/>
      </c>
    </row>
    <row r="90" spans="2:2">
      <c r="B90" s="3" t="str">
        <f ca="1">IFERROR(__xludf.DUMMYFUNCTION("IF(ISBLANK(A90),"""",GOOGLETRANSLATE(A90,""en"",""fr""))"),"")</f>
        <v/>
      </c>
    </row>
    <row r="91" spans="2:2">
      <c r="B91" s="3" t="str">
        <f ca="1">IFERROR(__xludf.DUMMYFUNCTION("IF(ISBLANK(A91),"""",GOOGLETRANSLATE(A91,""en"",""fr""))"),"")</f>
        <v/>
      </c>
    </row>
    <row r="92" spans="2:2">
      <c r="B92" s="3" t="str">
        <f ca="1">IFERROR(__xludf.DUMMYFUNCTION("IF(ISBLANK(A92),"""",GOOGLETRANSLATE(A92,""en"",""fr""))"),"")</f>
        <v/>
      </c>
    </row>
    <row r="93" spans="2:2">
      <c r="B93" s="3" t="str">
        <f ca="1">IFERROR(__xludf.DUMMYFUNCTION("IF(ISBLANK(A93),"""",GOOGLETRANSLATE(A93,""en"",""fr""))"),"")</f>
        <v/>
      </c>
    </row>
    <row r="94" spans="2:2">
      <c r="B94" s="3" t="str">
        <f ca="1">IFERROR(__xludf.DUMMYFUNCTION("IF(ISBLANK(A94),"""",GOOGLETRANSLATE(A94,""en"",""fr""))"),"")</f>
        <v/>
      </c>
    </row>
    <row r="95" spans="2:2">
      <c r="B95" s="3" t="str">
        <f ca="1">IFERROR(__xludf.DUMMYFUNCTION("IF(ISBLANK(A95),"""",GOOGLETRANSLATE(A95,""en"",""fr""))"),"")</f>
        <v/>
      </c>
    </row>
    <row r="96" spans="2:2">
      <c r="B96" s="3" t="str">
        <f ca="1">IFERROR(__xludf.DUMMYFUNCTION("IF(ISBLANK(A96),"""",GOOGLETRANSLATE(A96,""en"",""fr""))"),"")</f>
        <v/>
      </c>
    </row>
    <row r="97" spans="2:2">
      <c r="B97" s="3" t="str">
        <f ca="1">IFERROR(__xludf.DUMMYFUNCTION("IF(ISBLANK(A97),"""",GOOGLETRANSLATE(A97,""en"",""fr""))"),"")</f>
        <v/>
      </c>
    </row>
    <row r="98" spans="2:2">
      <c r="B98" s="3" t="str">
        <f ca="1">IFERROR(__xludf.DUMMYFUNCTION("IF(ISBLANK(A98),"""",GOOGLETRANSLATE(A98,""en"",""fr""))"),"")</f>
        <v/>
      </c>
    </row>
    <row r="99" spans="2:2">
      <c r="B99" s="3" t="str">
        <f ca="1">IFERROR(__xludf.DUMMYFUNCTION("IF(ISBLANK(A99),"""",GOOGLETRANSLATE(A99,""en"",""fr""))"),"")</f>
        <v/>
      </c>
    </row>
    <row r="100" spans="2:2">
      <c r="B100" s="3" t="str">
        <f ca="1">IFERROR(__xludf.DUMMYFUNCTION("IF(ISBLANK(A100),"""",GOOGLETRANSLATE(A100,""en"",""fr""))"),"")</f>
        <v/>
      </c>
    </row>
    <row r="101" spans="2:2">
      <c r="B101" s="3" t="str">
        <f ca="1">IFERROR(__xludf.DUMMYFUNCTION("IF(ISBLANK(A101),"""",GOOGLETRANSLATE(A101,""en"",""fr""))"),"")</f>
        <v/>
      </c>
    </row>
    <row r="102" spans="2:2">
      <c r="B102" s="3" t="str">
        <f ca="1">IFERROR(__xludf.DUMMYFUNCTION("IF(ISBLANK(A102),"""",GOOGLETRANSLATE(A102,""en"",""fr""))"),"")</f>
        <v/>
      </c>
    </row>
    <row r="103" spans="2:2">
      <c r="B103" s="3" t="str">
        <f ca="1">IFERROR(__xludf.DUMMYFUNCTION("IF(ISBLANK(A103),"""",GOOGLETRANSLATE(A103,""en"",""fr""))"),"")</f>
        <v/>
      </c>
    </row>
    <row r="104" spans="2:2">
      <c r="B104" s="3" t="str">
        <f ca="1">IFERROR(__xludf.DUMMYFUNCTION("IF(ISBLANK(A104),"""",GOOGLETRANSLATE(A104,""en"",""fr""))"),"")</f>
        <v/>
      </c>
    </row>
    <row r="105" spans="2:2">
      <c r="B105" s="3" t="str">
        <f ca="1">IFERROR(__xludf.DUMMYFUNCTION("IF(ISBLANK(A105),"""",GOOGLETRANSLATE(A105,""en"",""fr""))"),"")</f>
        <v/>
      </c>
    </row>
    <row r="106" spans="2:2">
      <c r="B106" s="3" t="str">
        <f ca="1">IFERROR(__xludf.DUMMYFUNCTION("IF(ISBLANK(A106),"""",GOOGLETRANSLATE(A106,""en"",""fr""))"),"")</f>
        <v/>
      </c>
    </row>
    <row r="107" spans="2:2">
      <c r="B107" s="3" t="str">
        <f ca="1">IFERROR(__xludf.DUMMYFUNCTION("IF(ISBLANK(A107),"""",GOOGLETRANSLATE(A107,""en"",""fr""))"),"")</f>
        <v/>
      </c>
    </row>
    <row r="108" spans="2:2">
      <c r="B108" s="3" t="str">
        <f ca="1">IFERROR(__xludf.DUMMYFUNCTION("IF(ISBLANK(A108),"""",GOOGLETRANSLATE(A108,""en"",""fr""))"),"")</f>
        <v/>
      </c>
    </row>
    <row r="109" spans="2:2">
      <c r="B109" s="3" t="str">
        <f ca="1">IFERROR(__xludf.DUMMYFUNCTION("IF(ISBLANK(A109),"""",GOOGLETRANSLATE(A109,""en"",""fr""))"),"")</f>
        <v/>
      </c>
    </row>
    <row r="110" spans="2:2">
      <c r="B110" s="3" t="str">
        <f ca="1">IFERROR(__xludf.DUMMYFUNCTION("IF(ISBLANK(A110),"""",GOOGLETRANSLATE(A110,""en"",""fr""))"),"")</f>
        <v/>
      </c>
    </row>
    <row r="111" spans="2:2">
      <c r="B111" s="3" t="str">
        <f ca="1">IFERROR(__xludf.DUMMYFUNCTION("IF(ISBLANK(A111),"""",GOOGLETRANSLATE(A111,""en"",""fr""))"),"")</f>
        <v/>
      </c>
    </row>
    <row r="112" spans="2:2">
      <c r="B112" s="3" t="str">
        <f ca="1">IFERROR(__xludf.DUMMYFUNCTION("IF(ISBLANK(A112),"""",GOOGLETRANSLATE(A112,""en"",""fr""))"),"")</f>
        <v/>
      </c>
    </row>
    <row r="113" spans="2:2">
      <c r="B113" s="3" t="str">
        <f ca="1">IFERROR(__xludf.DUMMYFUNCTION("IF(ISBLANK(A113),"""",GOOGLETRANSLATE(A113,""en"",""fr""))"),"")</f>
        <v/>
      </c>
    </row>
    <row r="114" spans="2:2">
      <c r="B114" s="3" t="str">
        <f ca="1">IFERROR(__xludf.DUMMYFUNCTION("IF(ISBLANK(A114),"""",GOOGLETRANSLATE(A114,""en"",""fr""))"),"")</f>
        <v/>
      </c>
    </row>
    <row r="115" spans="2:2">
      <c r="B115" s="3" t="str">
        <f ca="1">IFERROR(__xludf.DUMMYFUNCTION("IF(ISBLANK(A115),"""",GOOGLETRANSLATE(A115,""en"",""fr""))"),"")</f>
        <v/>
      </c>
    </row>
    <row r="116" spans="2:2">
      <c r="B116" s="3" t="str">
        <f ca="1">IFERROR(__xludf.DUMMYFUNCTION("IF(ISBLANK(A116),"""",GOOGLETRANSLATE(A116,""en"",""fr""))"),"")</f>
        <v/>
      </c>
    </row>
    <row r="117" spans="2:2">
      <c r="B117" s="3" t="str">
        <f ca="1">IFERROR(__xludf.DUMMYFUNCTION("IF(ISBLANK(A117),"""",GOOGLETRANSLATE(A117,""en"",""fr""))"),"")</f>
        <v/>
      </c>
    </row>
    <row r="118" spans="2:2">
      <c r="B118" s="3" t="str">
        <f ca="1">IFERROR(__xludf.DUMMYFUNCTION("IF(ISBLANK(A118),"""",GOOGLETRANSLATE(A118,""en"",""fr""))"),"")</f>
        <v/>
      </c>
    </row>
    <row r="119" spans="2:2">
      <c r="B119" s="3" t="str">
        <f ca="1">IFERROR(__xludf.DUMMYFUNCTION("IF(ISBLANK(A119),"""",GOOGLETRANSLATE(A119,""en"",""fr""))"),"")</f>
        <v/>
      </c>
    </row>
    <row r="120" spans="2:2">
      <c r="B120" s="3" t="str">
        <f ca="1">IFERROR(__xludf.DUMMYFUNCTION("IF(ISBLANK(A120),"""",GOOGLETRANSLATE(A120,""en"",""fr""))"),"")</f>
        <v/>
      </c>
    </row>
    <row r="121" spans="2:2">
      <c r="B121" s="3" t="str">
        <f ca="1">IFERROR(__xludf.DUMMYFUNCTION("IF(ISBLANK(A121),"""",GOOGLETRANSLATE(A121,""en"",""fr""))"),"")</f>
        <v/>
      </c>
    </row>
    <row r="122" spans="2:2">
      <c r="B122" s="3" t="str">
        <f ca="1">IFERROR(__xludf.DUMMYFUNCTION("IF(ISBLANK(A122),"""",GOOGLETRANSLATE(A122,""en"",""fr""))"),"")</f>
        <v/>
      </c>
    </row>
    <row r="123" spans="2:2">
      <c r="B123" s="3" t="str">
        <f ca="1">IFERROR(__xludf.DUMMYFUNCTION("IF(ISBLANK(A123),"""",GOOGLETRANSLATE(A123,""en"",""fr""))"),"")</f>
        <v/>
      </c>
    </row>
    <row r="124" spans="2:2">
      <c r="B124" s="3" t="str">
        <f ca="1">IFERROR(__xludf.DUMMYFUNCTION("IF(ISBLANK(A124),"""",GOOGLETRANSLATE(A124,""en"",""fr""))"),"")</f>
        <v/>
      </c>
    </row>
    <row r="125" spans="2:2">
      <c r="B125" s="3" t="str">
        <f ca="1">IFERROR(__xludf.DUMMYFUNCTION("IF(ISBLANK(A125),"""",GOOGLETRANSLATE(A125,""en"",""fr""))"),"")</f>
        <v/>
      </c>
    </row>
    <row r="126" spans="2:2">
      <c r="B126" s="3" t="str">
        <f ca="1">IFERROR(__xludf.DUMMYFUNCTION("IF(ISBLANK(A126),"""",GOOGLETRANSLATE(A126,""en"",""fr""))"),"")</f>
        <v/>
      </c>
    </row>
    <row r="127" spans="2:2">
      <c r="B127" s="3" t="str">
        <f ca="1">IFERROR(__xludf.DUMMYFUNCTION("IF(ISBLANK(A127),"""",GOOGLETRANSLATE(A127,""en"",""fr""))"),"")</f>
        <v/>
      </c>
    </row>
    <row r="128" spans="2:2">
      <c r="B128" s="3" t="str">
        <f ca="1">IFERROR(__xludf.DUMMYFUNCTION("IF(ISBLANK(A128),"""",GOOGLETRANSLATE(A128,""en"",""fr""))"),"")</f>
        <v/>
      </c>
    </row>
    <row r="129" spans="2:2">
      <c r="B129" s="3" t="str">
        <f ca="1">IFERROR(__xludf.DUMMYFUNCTION("IF(ISBLANK(A129),"""",GOOGLETRANSLATE(A129,""en"",""fr""))"),"")</f>
        <v/>
      </c>
    </row>
    <row r="130" spans="2:2">
      <c r="B130" s="3" t="str">
        <f ca="1">IFERROR(__xludf.DUMMYFUNCTION("IF(ISBLANK(A130),"""",GOOGLETRANSLATE(A130,""en"",""fr""))"),"")</f>
        <v/>
      </c>
    </row>
    <row r="131" spans="2:2">
      <c r="B131" s="3" t="str">
        <f ca="1">IFERROR(__xludf.DUMMYFUNCTION("IF(ISBLANK(A131),"""",GOOGLETRANSLATE(A131,""en"",""fr""))"),"")</f>
        <v/>
      </c>
    </row>
    <row r="132" spans="2:2">
      <c r="B132" s="3" t="str">
        <f ca="1">IFERROR(__xludf.DUMMYFUNCTION("IF(ISBLANK(A132),"""",GOOGLETRANSLATE(A132,""en"",""fr""))"),"")</f>
        <v/>
      </c>
    </row>
    <row r="133" spans="2:2">
      <c r="B133" s="3" t="str">
        <f ca="1">IFERROR(__xludf.DUMMYFUNCTION("IF(ISBLANK(A133),"""",GOOGLETRANSLATE(A133,""en"",""fr""))"),"")</f>
        <v/>
      </c>
    </row>
    <row r="134" spans="2:2">
      <c r="B134" s="3" t="str">
        <f ca="1">IFERROR(__xludf.DUMMYFUNCTION("IF(ISBLANK(A134),"""",GOOGLETRANSLATE(A134,""en"",""fr""))"),"")</f>
        <v/>
      </c>
    </row>
    <row r="135" spans="2:2">
      <c r="B135" s="3" t="str">
        <f ca="1">IFERROR(__xludf.DUMMYFUNCTION("IF(ISBLANK(A135),"""",GOOGLETRANSLATE(A135,""en"",""fr""))"),"")</f>
        <v/>
      </c>
    </row>
    <row r="136" spans="2:2">
      <c r="B136" s="3" t="str">
        <f ca="1">IFERROR(__xludf.DUMMYFUNCTION("IF(ISBLANK(A136),"""",GOOGLETRANSLATE(A136,""en"",""fr""))"),"")</f>
        <v/>
      </c>
    </row>
    <row r="137" spans="2:2">
      <c r="B137" s="3" t="str">
        <f ca="1">IFERROR(__xludf.DUMMYFUNCTION("IF(ISBLANK(A137),"""",GOOGLETRANSLATE(A137,""en"",""fr""))"),"")</f>
        <v/>
      </c>
    </row>
    <row r="138" spans="2:2">
      <c r="B138" s="3" t="str">
        <f ca="1">IFERROR(__xludf.DUMMYFUNCTION("IF(ISBLANK(A138),"""",GOOGLETRANSLATE(A138,""en"",""fr""))"),"")</f>
        <v/>
      </c>
    </row>
    <row r="139" spans="2:2">
      <c r="B139" s="3" t="str">
        <f ca="1">IFERROR(__xludf.DUMMYFUNCTION("IF(ISBLANK(A139),"""",GOOGLETRANSLATE(A139,""en"",""fr""))"),"")</f>
        <v/>
      </c>
    </row>
    <row r="140" spans="2:2">
      <c r="B140" s="3" t="str">
        <f ca="1">IFERROR(__xludf.DUMMYFUNCTION("IF(ISBLANK(A140),"""",GOOGLETRANSLATE(A140,""en"",""fr""))"),"")</f>
        <v/>
      </c>
    </row>
    <row r="141" spans="2:2">
      <c r="B141" s="3" t="str">
        <f ca="1">IFERROR(__xludf.DUMMYFUNCTION("IF(ISBLANK(A141),"""",GOOGLETRANSLATE(A141,""en"",""fr""))"),"")</f>
        <v/>
      </c>
    </row>
    <row r="142" spans="2:2">
      <c r="B142" s="3" t="str">
        <f ca="1">IFERROR(__xludf.DUMMYFUNCTION("IF(ISBLANK(A142),"""",GOOGLETRANSLATE(A142,""en"",""fr""))"),"")</f>
        <v/>
      </c>
    </row>
    <row r="143" spans="2:2">
      <c r="B143" s="3" t="str">
        <f ca="1">IFERROR(__xludf.DUMMYFUNCTION("IF(ISBLANK(A143),"""",GOOGLETRANSLATE(A143,""en"",""fr""))"),"")</f>
        <v/>
      </c>
    </row>
    <row r="144" spans="2:2">
      <c r="B144" s="3" t="str">
        <f ca="1">IFERROR(__xludf.DUMMYFUNCTION("IF(ISBLANK(A144),"""",GOOGLETRANSLATE(A144,""en"",""fr""))"),"")</f>
        <v/>
      </c>
    </row>
    <row r="145" spans="2:2">
      <c r="B145" s="3" t="str">
        <f ca="1">IFERROR(__xludf.DUMMYFUNCTION("IF(ISBLANK(A145),"""",GOOGLETRANSLATE(A145,""en"",""fr""))"),"")</f>
        <v/>
      </c>
    </row>
    <row r="146" spans="2:2">
      <c r="B146" s="3" t="str">
        <f ca="1">IFERROR(__xludf.DUMMYFUNCTION("IF(ISBLANK(A146),"""",GOOGLETRANSLATE(A146,""en"",""fr""))"),"")</f>
        <v/>
      </c>
    </row>
    <row r="147" spans="2:2">
      <c r="B147" s="3" t="str">
        <f ca="1">IFERROR(__xludf.DUMMYFUNCTION("IF(ISBLANK(A147),"""",GOOGLETRANSLATE(A147,""en"",""fr""))"),"")</f>
        <v/>
      </c>
    </row>
    <row r="148" spans="2:2">
      <c r="B148" s="3" t="str">
        <f ca="1">IFERROR(__xludf.DUMMYFUNCTION("IF(ISBLANK(A148),"""",GOOGLETRANSLATE(A148,""en"",""fr""))"),"")</f>
        <v/>
      </c>
    </row>
    <row r="149" spans="2:2">
      <c r="B149" s="3" t="str">
        <f ca="1">IFERROR(__xludf.DUMMYFUNCTION("IF(ISBLANK(A149),"""",GOOGLETRANSLATE(A149,""en"",""fr""))"),"")</f>
        <v/>
      </c>
    </row>
    <row r="150" spans="2:2">
      <c r="B150" s="3" t="str">
        <f ca="1">IFERROR(__xludf.DUMMYFUNCTION("IF(ISBLANK(A150),"""",GOOGLETRANSLATE(A150,""en"",""fr""))"),"")</f>
        <v/>
      </c>
    </row>
    <row r="151" spans="2:2">
      <c r="B151" s="3" t="str">
        <f ca="1">IFERROR(__xludf.DUMMYFUNCTION("IF(ISBLANK(A151),"""",GOOGLETRANSLATE(A151,""en"",""fr""))"),"")</f>
        <v/>
      </c>
    </row>
    <row r="152" spans="2:2">
      <c r="B152" s="3" t="str">
        <f ca="1">IFERROR(__xludf.DUMMYFUNCTION("IF(ISBLANK(A152),"""",GOOGLETRANSLATE(A152,""en"",""fr""))"),"")</f>
        <v/>
      </c>
    </row>
    <row r="153" spans="2:2">
      <c r="B153" s="3" t="str">
        <f ca="1">IFERROR(__xludf.DUMMYFUNCTION("IF(ISBLANK(A153),"""",GOOGLETRANSLATE(A153,""en"",""fr""))"),"")</f>
        <v/>
      </c>
    </row>
    <row r="154" spans="2:2">
      <c r="B154" s="3" t="str">
        <f ca="1">IFERROR(__xludf.DUMMYFUNCTION("IF(ISBLANK(A154),"""",GOOGLETRANSLATE(A154,""en"",""fr""))"),"")</f>
        <v/>
      </c>
    </row>
    <row r="155" spans="2:2">
      <c r="B155" s="3" t="str">
        <f ca="1">IFERROR(__xludf.DUMMYFUNCTION("IF(ISBLANK(A155),"""",GOOGLETRANSLATE(A155,""en"",""fr""))"),"")</f>
        <v/>
      </c>
    </row>
    <row r="156" spans="2:2">
      <c r="B156" s="3" t="str">
        <f ca="1">IFERROR(__xludf.DUMMYFUNCTION("IF(ISBLANK(A156),"""",GOOGLETRANSLATE(A156,""en"",""fr""))"),"")</f>
        <v/>
      </c>
    </row>
    <row r="157" spans="2:2">
      <c r="B157" s="3" t="str">
        <f ca="1">IFERROR(__xludf.DUMMYFUNCTION("IF(ISBLANK(A157),"""",GOOGLETRANSLATE(A157,""en"",""fr""))"),"")</f>
        <v/>
      </c>
    </row>
    <row r="158" spans="2:2">
      <c r="B158" s="3" t="str">
        <f ca="1">IFERROR(__xludf.DUMMYFUNCTION("IF(ISBLANK(A158),"""",GOOGLETRANSLATE(A158,""en"",""fr""))"),"")</f>
        <v/>
      </c>
    </row>
    <row r="159" spans="2:2">
      <c r="B159" s="3" t="str">
        <f ca="1">IFERROR(__xludf.DUMMYFUNCTION("IF(ISBLANK(A159),"""",GOOGLETRANSLATE(A159,""en"",""fr""))"),"")</f>
        <v/>
      </c>
    </row>
    <row r="160" spans="2:2">
      <c r="B160" s="3" t="str">
        <f ca="1">IFERROR(__xludf.DUMMYFUNCTION("IF(ISBLANK(A160),"""",GOOGLETRANSLATE(A160,""en"",""fr""))"),"")</f>
        <v/>
      </c>
    </row>
    <row r="161" spans="2:2">
      <c r="B161" s="3" t="str">
        <f ca="1">IFERROR(__xludf.DUMMYFUNCTION("IF(ISBLANK(A161),"""",GOOGLETRANSLATE(A161,""en"",""fr""))"),"")</f>
        <v/>
      </c>
    </row>
    <row r="162" spans="2:2">
      <c r="B162" s="3" t="str">
        <f ca="1">IFERROR(__xludf.DUMMYFUNCTION("IF(ISBLANK(A162),"""",GOOGLETRANSLATE(A162,""en"",""fr""))"),"")</f>
        <v/>
      </c>
    </row>
    <row r="163" spans="2:2">
      <c r="B163" s="3" t="str">
        <f ca="1">IFERROR(__xludf.DUMMYFUNCTION("IF(ISBLANK(A163),"""",GOOGLETRANSLATE(A163,""en"",""fr""))"),"")</f>
        <v/>
      </c>
    </row>
    <row r="164" spans="2:2">
      <c r="B164" s="3" t="str">
        <f ca="1">IFERROR(__xludf.DUMMYFUNCTION("IF(ISBLANK(A164),"""",GOOGLETRANSLATE(A164,""en"",""fr""))"),"")</f>
        <v/>
      </c>
    </row>
    <row r="165" spans="2:2">
      <c r="B165" s="3" t="str">
        <f ca="1">IFERROR(__xludf.DUMMYFUNCTION("IF(ISBLANK(A165),"""",GOOGLETRANSLATE(A165,""en"",""fr""))"),"")</f>
        <v/>
      </c>
    </row>
    <row r="166" spans="2:2">
      <c r="B166" s="3" t="str">
        <f ca="1">IFERROR(__xludf.DUMMYFUNCTION("IF(ISBLANK(A166),"""",GOOGLETRANSLATE(A166,""en"",""fr""))"),"")</f>
        <v/>
      </c>
    </row>
    <row r="167" spans="2:2">
      <c r="B167" s="3" t="str">
        <f ca="1">IFERROR(__xludf.DUMMYFUNCTION("IF(ISBLANK(A167),"""",GOOGLETRANSLATE(A167,""en"",""fr""))"),"")</f>
        <v/>
      </c>
    </row>
    <row r="168" spans="2:2">
      <c r="B168" s="3" t="str">
        <f ca="1">IFERROR(__xludf.DUMMYFUNCTION("IF(ISBLANK(A168),"""",GOOGLETRANSLATE(A168,""en"",""fr""))"),"")</f>
        <v/>
      </c>
    </row>
    <row r="169" spans="2:2">
      <c r="B169" s="3" t="str">
        <f ca="1">IFERROR(__xludf.DUMMYFUNCTION("IF(ISBLANK(A169),"""",GOOGLETRANSLATE(A169,""en"",""fr""))"),"")</f>
        <v/>
      </c>
    </row>
    <row r="170" spans="2:2">
      <c r="B170" s="3" t="str">
        <f ca="1">IFERROR(__xludf.DUMMYFUNCTION("IF(ISBLANK(A170),"""",GOOGLETRANSLATE(A170,""en"",""fr""))"),"")</f>
        <v/>
      </c>
    </row>
    <row r="171" spans="2:2">
      <c r="B171" s="3" t="str">
        <f ca="1">IFERROR(__xludf.DUMMYFUNCTION("IF(ISBLANK(A171),"""",GOOGLETRANSLATE(A171,""en"",""fr""))"),"")</f>
        <v/>
      </c>
    </row>
    <row r="172" spans="2:2">
      <c r="B172" s="3" t="str">
        <f ca="1">IFERROR(__xludf.DUMMYFUNCTION("IF(ISBLANK(A172),"""",GOOGLETRANSLATE(A172,""en"",""fr""))"),"")</f>
        <v/>
      </c>
    </row>
    <row r="173" spans="2:2">
      <c r="B173" s="3" t="str">
        <f ca="1">IFERROR(__xludf.DUMMYFUNCTION("IF(ISBLANK(A173),"""",GOOGLETRANSLATE(A173,""en"",""fr""))"),"")</f>
        <v/>
      </c>
    </row>
    <row r="174" spans="2:2">
      <c r="B174" s="3" t="str">
        <f ca="1">IFERROR(__xludf.DUMMYFUNCTION("IF(ISBLANK(A174),"""",GOOGLETRANSLATE(A174,""en"",""fr""))"),"")</f>
        <v/>
      </c>
    </row>
    <row r="175" spans="2:2">
      <c r="B175" s="3" t="str">
        <f ca="1">IFERROR(__xludf.DUMMYFUNCTION("IF(ISBLANK(A175),"""",GOOGLETRANSLATE(A175,""en"",""fr""))"),"")</f>
        <v/>
      </c>
    </row>
    <row r="176" spans="2:2">
      <c r="B176" s="3" t="str">
        <f ca="1">IFERROR(__xludf.DUMMYFUNCTION("IF(ISBLANK(A176),"""",GOOGLETRANSLATE(A176,""en"",""fr""))"),"")</f>
        <v/>
      </c>
    </row>
    <row r="177" spans="2:2">
      <c r="B177" s="3" t="str">
        <f ca="1">IFERROR(__xludf.DUMMYFUNCTION("IF(ISBLANK(A177),"""",GOOGLETRANSLATE(A177,""en"",""fr""))"),"")</f>
        <v/>
      </c>
    </row>
    <row r="178" spans="2:2">
      <c r="B178" s="3" t="str">
        <f ca="1">IFERROR(__xludf.DUMMYFUNCTION("IF(ISBLANK(A178),"""",GOOGLETRANSLATE(A178,""en"",""fr""))"),"")</f>
        <v/>
      </c>
    </row>
    <row r="179" spans="2:2">
      <c r="B179" s="3" t="str">
        <f ca="1">IFERROR(__xludf.DUMMYFUNCTION("IF(ISBLANK(A179),"""",GOOGLETRANSLATE(A179,""en"",""fr""))"),"")</f>
        <v/>
      </c>
    </row>
    <row r="180" spans="2:2">
      <c r="B180" s="3" t="str">
        <f ca="1">IFERROR(__xludf.DUMMYFUNCTION("IF(ISBLANK(A180),"""",GOOGLETRANSLATE(A180,""en"",""fr""))"),"")</f>
        <v/>
      </c>
    </row>
    <row r="181" spans="2:2">
      <c r="B181" s="3" t="str">
        <f ca="1">IFERROR(__xludf.DUMMYFUNCTION("IF(ISBLANK(A181),"""",GOOGLETRANSLATE(A181,""en"",""fr""))"),"")</f>
        <v/>
      </c>
    </row>
    <row r="182" spans="2:2">
      <c r="B182" s="3" t="str">
        <f ca="1">IFERROR(__xludf.DUMMYFUNCTION("IF(ISBLANK(A182),"""",GOOGLETRANSLATE(A182,""en"",""fr""))"),"")</f>
        <v/>
      </c>
    </row>
    <row r="183" spans="2:2">
      <c r="B183" s="3" t="str">
        <f ca="1">IFERROR(__xludf.DUMMYFUNCTION("IF(ISBLANK(A183),"""",GOOGLETRANSLATE(A183,""en"",""fr""))"),"")</f>
        <v/>
      </c>
    </row>
    <row r="184" spans="2:2">
      <c r="B184" s="3" t="str">
        <f ca="1">IFERROR(__xludf.DUMMYFUNCTION("IF(ISBLANK(A184),"""",GOOGLETRANSLATE(A184,""en"",""fr""))"),"")</f>
        <v/>
      </c>
    </row>
    <row r="185" spans="2:2">
      <c r="B185" s="3" t="str">
        <f ca="1">IFERROR(__xludf.DUMMYFUNCTION("IF(ISBLANK(A185),"""",GOOGLETRANSLATE(A185,""en"",""fr""))"),"")</f>
        <v/>
      </c>
    </row>
    <row r="186" spans="2:2">
      <c r="B186" s="3" t="str">
        <f ca="1">IFERROR(__xludf.DUMMYFUNCTION("IF(ISBLANK(A186),"""",GOOGLETRANSLATE(A186,""en"",""fr""))"),"")</f>
        <v/>
      </c>
    </row>
    <row r="187" spans="2:2">
      <c r="B187" s="3" t="str">
        <f ca="1">IFERROR(__xludf.DUMMYFUNCTION("IF(ISBLANK(A187),"""",GOOGLETRANSLATE(A187,""en"",""fr""))"),"")</f>
        <v/>
      </c>
    </row>
    <row r="188" spans="2:2">
      <c r="B188" s="3" t="str">
        <f ca="1">IFERROR(__xludf.DUMMYFUNCTION("IF(ISBLANK(A188),"""",GOOGLETRANSLATE(A188,""en"",""fr""))"),"")</f>
        <v/>
      </c>
    </row>
    <row r="189" spans="2:2">
      <c r="B189" s="3" t="str">
        <f ca="1">IFERROR(__xludf.DUMMYFUNCTION("IF(ISBLANK(A189),"""",GOOGLETRANSLATE(A189,""en"",""fr""))"),"")</f>
        <v/>
      </c>
    </row>
    <row r="190" spans="2:2">
      <c r="B190" s="3" t="str">
        <f ca="1">IFERROR(__xludf.DUMMYFUNCTION("IF(ISBLANK(A190),"""",GOOGLETRANSLATE(A190,""en"",""fr""))"),"")</f>
        <v/>
      </c>
    </row>
    <row r="191" spans="2:2">
      <c r="B191" s="3" t="str">
        <f ca="1">IFERROR(__xludf.DUMMYFUNCTION("IF(ISBLANK(A191),"""",GOOGLETRANSLATE(A191,""en"",""fr""))"),"")</f>
        <v/>
      </c>
    </row>
    <row r="192" spans="2:2">
      <c r="B192" s="3" t="str">
        <f ca="1">IFERROR(__xludf.DUMMYFUNCTION("IF(ISBLANK(A192),"""",GOOGLETRANSLATE(A192,""en"",""fr""))"),"")</f>
        <v/>
      </c>
    </row>
    <row r="193" spans="2:2">
      <c r="B193" s="3" t="str">
        <f ca="1">IFERROR(__xludf.DUMMYFUNCTION("IF(ISBLANK(A193),"""",GOOGLETRANSLATE(A193,""en"",""fr""))"),"")</f>
        <v/>
      </c>
    </row>
    <row r="194" spans="2:2">
      <c r="B194" s="3" t="str">
        <f ca="1">IFERROR(__xludf.DUMMYFUNCTION("IF(ISBLANK(A194),"""",GOOGLETRANSLATE(A194,""en"",""fr""))"),"")</f>
        <v/>
      </c>
    </row>
    <row r="195" spans="2:2">
      <c r="B195" s="3" t="str">
        <f ca="1">IFERROR(__xludf.DUMMYFUNCTION("IF(ISBLANK(A195),"""",GOOGLETRANSLATE(A195,""en"",""fr""))"),"")</f>
        <v/>
      </c>
    </row>
    <row r="196" spans="2:2">
      <c r="B196" s="3" t="str">
        <f ca="1">IFERROR(__xludf.DUMMYFUNCTION("IF(ISBLANK(A196),"""",GOOGLETRANSLATE(A196,""en"",""fr""))"),"")</f>
        <v/>
      </c>
    </row>
    <row r="197" spans="2:2">
      <c r="B197" s="3" t="str">
        <f ca="1">IFERROR(__xludf.DUMMYFUNCTION("IF(ISBLANK(A197),"""",GOOGLETRANSLATE(A197,""en"",""fr""))"),"")</f>
        <v/>
      </c>
    </row>
    <row r="198" spans="2:2">
      <c r="B198" s="3" t="str">
        <f ca="1">IFERROR(__xludf.DUMMYFUNCTION("IF(ISBLANK(A198),"""",GOOGLETRANSLATE(A198,""en"",""fr""))"),"")</f>
        <v/>
      </c>
    </row>
    <row r="199" spans="2:2">
      <c r="B199" s="3" t="str">
        <f ca="1">IFERROR(__xludf.DUMMYFUNCTION("IF(ISBLANK(A199),"""",GOOGLETRANSLATE(A199,""en"",""fr""))"),"")</f>
        <v/>
      </c>
    </row>
    <row r="200" spans="2:2">
      <c r="B200" s="3" t="str">
        <f ca="1">IFERROR(__xludf.DUMMYFUNCTION("IF(ISBLANK(A200),"""",GOOGLETRANSLATE(A200,""en"",""fr""))"),"")</f>
        <v/>
      </c>
    </row>
    <row r="201" spans="2:2">
      <c r="B201" s="3" t="str">
        <f ca="1">IFERROR(__xludf.DUMMYFUNCTION("IF(ISBLANK(A201),"""",GOOGLETRANSLATE(A201,""en"",""fr""))"),"")</f>
        <v/>
      </c>
    </row>
    <row r="202" spans="2:2">
      <c r="B202" s="3" t="str">
        <f ca="1">IFERROR(__xludf.DUMMYFUNCTION("IF(ISBLANK(A202),"""",GOOGLETRANSLATE(A202,""en"",""fr""))"),"")</f>
        <v/>
      </c>
    </row>
    <row r="203" spans="2:2">
      <c r="B203" s="3" t="str">
        <f ca="1">IFERROR(__xludf.DUMMYFUNCTION("IF(ISBLANK(A203),"""",GOOGLETRANSLATE(A203,""en"",""fr""))"),"")</f>
        <v/>
      </c>
    </row>
    <row r="204" spans="2:2">
      <c r="B204" s="3" t="str">
        <f ca="1">IFERROR(__xludf.DUMMYFUNCTION("IF(ISBLANK(A204),"""",GOOGLETRANSLATE(A204,""en"",""fr""))"),"")</f>
        <v/>
      </c>
    </row>
    <row r="205" spans="2:2">
      <c r="B205" s="3" t="str">
        <f ca="1">IFERROR(__xludf.DUMMYFUNCTION("IF(ISBLANK(A205),"""",GOOGLETRANSLATE(A205,""en"",""fr""))"),"")</f>
        <v/>
      </c>
    </row>
    <row r="206" spans="2:2">
      <c r="B206" s="3" t="str">
        <f ca="1">IFERROR(__xludf.DUMMYFUNCTION("IF(ISBLANK(A206),"""",GOOGLETRANSLATE(A206,""en"",""fr""))"),"")</f>
        <v/>
      </c>
    </row>
    <row r="207" spans="2:2">
      <c r="B207" s="3" t="str">
        <f ca="1">IFERROR(__xludf.DUMMYFUNCTION("IF(ISBLANK(A207),"""",GOOGLETRANSLATE(A207,""en"",""fr""))"),"")</f>
        <v/>
      </c>
    </row>
    <row r="208" spans="2:2">
      <c r="B208" s="3" t="str">
        <f ca="1">IFERROR(__xludf.DUMMYFUNCTION("IF(ISBLANK(A208),"""",GOOGLETRANSLATE(A208,""en"",""fr""))"),"")</f>
        <v/>
      </c>
    </row>
    <row r="209" spans="2:2">
      <c r="B209" s="3" t="str">
        <f ca="1">IFERROR(__xludf.DUMMYFUNCTION("IF(ISBLANK(A209),"""",GOOGLETRANSLATE(A209,""en"",""fr""))"),"")</f>
        <v/>
      </c>
    </row>
    <row r="210" spans="2:2">
      <c r="B210" s="3" t="str">
        <f ca="1">IFERROR(__xludf.DUMMYFUNCTION("IF(ISBLANK(A210),"""",GOOGLETRANSLATE(A210,""en"",""fr""))"),"")</f>
        <v/>
      </c>
    </row>
    <row r="211" spans="2:2">
      <c r="B211" s="3" t="str">
        <f ca="1">IFERROR(__xludf.DUMMYFUNCTION("IF(ISBLANK(A211),"""",GOOGLETRANSLATE(A211,""en"",""fr""))"),"")</f>
        <v/>
      </c>
    </row>
    <row r="212" spans="2:2">
      <c r="B212" s="3" t="str">
        <f ca="1">IFERROR(__xludf.DUMMYFUNCTION("IF(ISBLANK(A212),"""",GOOGLETRANSLATE(A212,""en"",""fr""))"),"")</f>
        <v/>
      </c>
    </row>
    <row r="213" spans="2:2">
      <c r="B213" s="3" t="str">
        <f ca="1">IFERROR(__xludf.DUMMYFUNCTION("IF(ISBLANK(A213),"""",GOOGLETRANSLATE(A213,""en"",""fr""))"),"")</f>
        <v/>
      </c>
    </row>
    <row r="214" spans="2:2">
      <c r="B214" s="3" t="str">
        <f ca="1">IFERROR(__xludf.DUMMYFUNCTION("IF(ISBLANK(A214),"""",GOOGLETRANSLATE(A214,""en"",""fr""))"),"")</f>
        <v/>
      </c>
    </row>
    <row r="215" spans="2:2">
      <c r="B215" s="3" t="str">
        <f ca="1">IFERROR(__xludf.DUMMYFUNCTION("IF(ISBLANK(A215),"""",GOOGLETRANSLATE(A215,""en"",""fr""))"),"")</f>
        <v/>
      </c>
    </row>
    <row r="216" spans="2:2">
      <c r="B216" s="3" t="str">
        <f ca="1">IFERROR(__xludf.DUMMYFUNCTION("IF(ISBLANK(A216),"""",GOOGLETRANSLATE(A216,""en"",""fr""))"),"")</f>
        <v/>
      </c>
    </row>
    <row r="217" spans="2:2">
      <c r="B217" s="3" t="str">
        <f ca="1">IFERROR(__xludf.DUMMYFUNCTION("IF(ISBLANK(A217),"""",GOOGLETRANSLATE(A217,""en"",""fr""))"),"")</f>
        <v/>
      </c>
    </row>
    <row r="218" spans="2:2">
      <c r="B218" s="3" t="str">
        <f ca="1">IFERROR(__xludf.DUMMYFUNCTION("IF(ISBLANK(A218),"""",GOOGLETRANSLATE(A218,""en"",""fr""))"),"")</f>
        <v/>
      </c>
    </row>
    <row r="219" spans="2:2">
      <c r="B219" s="3" t="str">
        <f ca="1">IFERROR(__xludf.DUMMYFUNCTION("IF(ISBLANK(A219),"""",GOOGLETRANSLATE(A219,""en"",""fr""))"),"")</f>
        <v/>
      </c>
    </row>
    <row r="220" spans="2:2">
      <c r="B220" s="3" t="str">
        <f ca="1">IFERROR(__xludf.DUMMYFUNCTION("IF(ISBLANK(A220),"""",GOOGLETRANSLATE(A220,""en"",""fr""))"),"")</f>
        <v/>
      </c>
    </row>
    <row r="221" spans="2:2">
      <c r="B221" s="3" t="str">
        <f ca="1">IFERROR(__xludf.DUMMYFUNCTION("IF(ISBLANK(A221),"""",GOOGLETRANSLATE(A221,""en"",""fr""))"),"")</f>
        <v/>
      </c>
    </row>
    <row r="222" spans="2:2">
      <c r="B222" s="3" t="str">
        <f ca="1">IFERROR(__xludf.DUMMYFUNCTION("IF(ISBLANK(A222),"""",GOOGLETRANSLATE(A222,""en"",""fr""))"),"")</f>
        <v/>
      </c>
    </row>
    <row r="223" spans="2:2">
      <c r="B223" s="3" t="str">
        <f ca="1">IFERROR(__xludf.DUMMYFUNCTION("IF(ISBLANK(A223),"""",GOOGLETRANSLATE(A223,""en"",""fr""))"),"")</f>
        <v/>
      </c>
    </row>
    <row r="224" spans="2:2">
      <c r="B224" s="3" t="str">
        <f ca="1">IFERROR(__xludf.DUMMYFUNCTION("IF(ISBLANK(A224),"""",GOOGLETRANSLATE(A224,""en"",""fr""))"),"")</f>
        <v/>
      </c>
    </row>
    <row r="225" spans="2:2">
      <c r="B225" s="3" t="str">
        <f ca="1">IFERROR(__xludf.DUMMYFUNCTION("IF(ISBLANK(A225),"""",GOOGLETRANSLATE(A225,""en"",""fr""))"),"")</f>
        <v/>
      </c>
    </row>
    <row r="226" spans="2:2">
      <c r="B226" s="3" t="str">
        <f ca="1">IFERROR(__xludf.DUMMYFUNCTION("IF(ISBLANK(A226),"""",GOOGLETRANSLATE(A226,""en"",""fr""))"),"")</f>
        <v/>
      </c>
    </row>
    <row r="227" spans="2:2">
      <c r="B227" s="3" t="str">
        <f ca="1">IFERROR(__xludf.DUMMYFUNCTION("IF(ISBLANK(A227),"""",GOOGLETRANSLATE(A227,""en"",""fr""))"),"")</f>
        <v/>
      </c>
    </row>
    <row r="228" spans="2:2">
      <c r="B228" s="3" t="str">
        <f ca="1">IFERROR(__xludf.DUMMYFUNCTION("IF(ISBLANK(A228),"""",GOOGLETRANSLATE(A228,""en"",""fr""))"),"")</f>
        <v/>
      </c>
    </row>
    <row r="229" spans="2:2">
      <c r="B229" s="3" t="str">
        <f ca="1">IFERROR(__xludf.DUMMYFUNCTION("IF(ISBLANK(A229),"""",GOOGLETRANSLATE(A229,""en"",""fr""))"),"")</f>
        <v/>
      </c>
    </row>
    <row r="230" spans="2:2">
      <c r="B230" s="3" t="str">
        <f ca="1">IFERROR(__xludf.DUMMYFUNCTION("IF(ISBLANK(A230),"""",GOOGLETRANSLATE(A230,""en"",""fr""))"),"")</f>
        <v/>
      </c>
    </row>
    <row r="231" spans="2:2">
      <c r="B231" s="3" t="str">
        <f ca="1">IFERROR(__xludf.DUMMYFUNCTION("IF(ISBLANK(A231),"""",GOOGLETRANSLATE(A231,""en"",""fr""))"),"")</f>
        <v/>
      </c>
    </row>
    <row r="232" spans="2:2">
      <c r="B232" s="3" t="str">
        <f ca="1">IFERROR(__xludf.DUMMYFUNCTION("IF(ISBLANK(A232),"""",GOOGLETRANSLATE(A232,""en"",""fr""))"),"")</f>
        <v/>
      </c>
    </row>
    <row r="233" spans="2:2">
      <c r="B233" s="3" t="str">
        <f ca="1">IFERROR(__xludf.DUMMYFUNCTION("IF(ISBLANK(A233),"""",GOOGLETRANSLATE(A233,""en"",""fr""))"),"")</f>
        <v/>
      </c>
    </row>
    <row r="234" spans="2:2">
      <c r="B234" s="3" t="str">
        <f ca="1">IFERROR(__xludf.DUMMYFUNCTION("IF(ISBLANK(A234),"""",GOOGLETRANSLATE(A234,""en"",""fr""))"),"")</f>
        <v/>
      </c>
    </row>
    <row r="235" spans="2:2">
      <c r="B235" s="3" t="str">
        <f ca="1">IFERROR(__xludf.DUMMYFUNCTION("IF(ISBLANK(A235),"""",GOOGLETRANSLATE(A235,""en"",""fr""))"),"")</f>
        <v/>
      </c>
    </row>
    <row r="236" spans="2:2">
      <c r="B236" s="3" t="str">
        <f ca="1">IFERROR(__xludf.DUMMYFUNCTION("IF(ISBLANK(A236),"""",GOOGLETRANSLATE(A236,""en"",""fr""))"),"")</f>
        <v/>
      </c>
    </row>
    <row r="237" spans="2:2">
      <c r="B237" s="3" t="str">
        <f ca="1">IFERROR(__xludf.DUMMYFUNCTION("IF(ISBLANK(A237),"""",GOOGLETRANSLATE(A237,""en"",""fr""))"),"")</f>
        <v/>
      </c>
    </row>
    <row r="238" spans="2:2">
      <c r="B238" s="3" t="str">
        <f ca="1">IFERROR(__xludf.DUMMYFUNCTION("IF(ISBLANK(A238),"""",GOOGLETRANSLATE(A238,""en"",""fr""))"),"")</f>
        <v/>
      </c>
    </row>
    <row r="239" spans="2:2">
      <c r="B239" s="3" t="str">
        <f ca="1">IFERROR(__xludf.DUMMYFUNCTION("IF(ISBLANK(A239),"""",GOOGLETRANSLATE(A239,""en"",""fr""))"),"")</f>
        <v/>
      </c>
    </row>
    <row r="240" spans="2:2">
      <c r="B240" s="3" t="str">
        <f ca="1">IFERROR(__xludf.DUMMYFUNCTION("IF(ISBLANK(A240),"""",GOOGLETRANSLATE(A240,""en"",""fr""))"),"")</f>
        <v/>
      </c>
    </row>
    <row r="241" spans="2:2">
      <c r="B241" s="3" t="str">
        <f ca="1">IFERROR(__xludf.DUMMYFUNCTION("IF(ISBLANK(A241),"""",GOOGLETRANSLATE(A241,""en"",""fr""))"),"")</f>
        <v/>
      </c>
    </row>
    <row r="242" spans="2:2">
      <c r="B242" s="3" t="str">
        <f ca="1">IFERROR(__xludf.DUMMYFUNCTION("IF(ISBLANK(A242),"""",GOOGLETRANSLATE(A242,""en"",""fr""))"),"")</f>
        <v/>
      </c>
    </row>
    <row r="243" spans="2:2">
      <c r="B243" s="3" t="str">
        <f ca="1">IFERROR(__xludf.DUMMYFUNCTION("IF(ISBLANK(A243),"""",GOOGLETRANSLATE(A243,""en"",""fr""))"),"")</f>
        <v/>
      </c>
    </row>
    <row r="244" spans="2:2">
      <c r="B244" s="3" t="str">
        <f ca="1">IFERROR(__xludf.DUMMYFUNCTION("IF(ISBLANK(A244),"""",GOOGLETRANSLATE(A244,""en"",""fr""))"),"")</f>
        <v/>
      </c>
    </row>
    <row r="245" spans="2:2">
      <c r="B245" s="3" t="str">
        <f ca="1">IFERROR(__xludf.DUMMYFUNCTION("IF(ISBLANK(A245),"""",GOOGLETRANSLATE(A245,""en"",""fr""))"),"")</f>
        <v/>
      </c>
    </row>
    <row r="246" spans="2:2">
      <c r="B246" s="3" t="str">
        <f ca="1">IFERROR(__xludf.DUMMYFUNCTION("IF(ISBLANK(A246),"""",GOOGLETRANSLATE(A246,""en"",""fr""))"),"")</f>
        <v/>
      </c>
    </row>
    <row r="247" spans="2:2">
      <c r="B247" s="3" t="str">
        <f ca="1">IFERROR(__xludf.DUMMYFUNCTION("IF(ISBLANK(A247),"""",GOOGLETRANSLATE(A247,""en"",""fr""))"),"")</f>
        <v/>
      </c>
    </row>
    <row r="248" spans="2:2">
      <c r="B248" s="3" t="str">
        <f ca="1">IFERROR(__xludf.DUMMYFUNCTION("IF(ISBLANK(A248),"""",GOOGLETRANSLATE(A248,""en"",""fr""))"),"")</f>
        <v/>
      </c>
    </row>
    <row r="249" spans="2:2">
      <c r="B249" s="3" t="str">
        <f ca="1">IFERROR(__xludf.DUMMYFUNCTION("IF(ISBLANK(A249),"""",GOOGLETRANSLATE(A249,""en"",""fr""))"),"")</f>
        <v/>
      </c>
    </row>
    <row r="250" spans="2:2">
      <c r="B250" s="3" t="str">
        <f ca="1">IFERROR(__xludf.DUMMYFUNCTION("IF(ISBLANK(A250),"""",GOOGLETRANSLATE(A250,""en"",""fr""))"),"")</f>
        <v/>
      </c>
    </row>
    <row r="251" spans="2:2">
      <c r="B251" s="3" t="str">
        <f ca="1">IFERROR(__xludf.DUMMYFUNCTION("IF(ISBLANK(A251),"""",GOOGLETRANSLATE(A251,""en"",""fr""))"),"")</f>
        <v/>
      </c>
    </row>
    <row r="252" spans="2:2">
      <c r="B252" s="3" t="str">
        <f ca="1">IFERROR(__xludf.DUMMYFUNCTION("IF(ISBLANK(A252),"""",GOOGLETRANSLATE(A252,""en"",""fr""))"),"")</f>
        <v/>
      </c>
    </row>
    <row r="253" spans="2:2">
      <c r="B253" s="3" t="str">
        <f ca="1">IFERROR(__xludf.DUMMYFUNCTION("IF(ISBLANK(A253),"""",GOOGLETRANSLATE(A253,""en"",""fr""))"),"")</f>
        <v/>
      </c>
    </row>
    <row r="254" spans="2:2">
      <c r="B254" s="3" t="str">
        <f ca="1">IFERROR(__xludf.DUMMYFUNCTION("IF(ISBLANK(A254),"""",GOOGLETRANSLATE(A254,""en"",""fr""))"),"")</f>
        <v/>
      </c>
    </row>
    <row r="255" spans="2:2">
      <c r="B255" s="3" t="str">
        <f ca="1">IFERROR(__xludf.DUMMYFUNCTION("IF(ISBLANK(A255),"""",GOOGLETRANSLATE(A255,""en"",""fr""))"),"")</f>
        <v/>
      </c>
    </row>
    <row r="256" spans="2:2">
      <c r="B256" s="3" t="str">
        <f ca="1">IFERROR(__xludf.DUMMYFUNCTION("IF(ISBLANK(A256),"""",GOOGLETRANSLATE(A256,""en"",""fr""))"),"")</f>
        <v/>
      </c>
    </row>
    <row r="257" spans="2:2">
      <c r="B257" s="3" t="str">
        <f ca="1">IFERROR(__xludf.DUMMYFUNCTION("IF(ISBLANK(A257),"""",GOOGLETRANSLATE(A257,""en"",""fr""))"),"")</f>
        <v/>
      </c>
    </row>
    <row r="258" spans="2:2">
      <c r="B258" s="3" t="str">
        <f ca="1">IFERROR(__xludf.DUMMYFUNCTION("IF(ISBLANK(A258),"""",GOOGLETRANSLATE(A258,""en"",""fr""))"),"")</f>
        <v/>
      </c>
    </row>
    <row r="259" spans="2:2">
      <c r="B259" s="3" t="str">
        <f ca="1">IFERROR(__xludf.DUMMYFUNCTION("IF(ISBLANK(A259),"""",GOOGLETRANSLATE(A259,""en"",""fr""))"),"")</f>
        <v/>
      </c>
    </row>
    <row r="260" spans="2:2">
      <c r="B260" s="3" t="str">
        <f ca="1">IFERROR(__xludf.DUMMYFUNCTION("IF(ISBLANK(A260),"""",GOOGLETRANSLATE(A260,""en"",""fr""))"),"")</f>
        <v/>
      </c>
    </row>
    <row r="261" spans="2:2">
      <c r="B261" s="3" t="str">
        <f ca="1">IFERROR(__xludf.DUMMYFUNCTION("IF(ISBLANK(A261),"""",GOOGLETRANSLATE(A261,""en"",""fr""))"),"")</f>
        <v/>
      </c>
    </row>
    <row r="262" spans="2:2">
      <c r="B262" s="3" t="str">
        <f ca="1">IFERROR(__xludf.DUMMYFUNCTION("IF(ISBLANK(A262),"""",GOOGLETRANSLATE(A262,""en"",""fr""))"),"")</f>
        <v/>
      </c>
    </row>
    <row r="263" spans="2:2">
      <c r="B263" s="3" t="str">
        <f ca="1">IFERROR(__xludf.DUMMYFUNCTION("IF(ISBLANK(A263),"""",GOOGLETRANSLATE(A263,""en"",""fr""))"),"")</f>
        <v/>
      </c>
    </row>
    <row r="264" spans="2:2">
      <c r="B264" s="3" t="str">
        <f ca="1">IFERROR(__xludf.DUMMYFUNCTION("IF(ISBLANK(A264),"""",GOOGLETRANSLATE(A264,""en"",""fr""))"),"")</f>
        <v/>
      </c>
    </row>
    <row r="265" spans="2:2">
      <c r="B265" s="3" t="str">
        <f ca="1">IFERROR(__xludf.DUMMYFUNCTION("IF(ISBLANK(A265),"""",GOOGLETRANSLATE(A265,""en"",""fr""))"),"")</f>
        <v/>
      </c>
    </row>
    <row r="266" spans="2:2">
      <c r="B266" s="3" t="str">
        <f ca="1">IFERROR(__xludf.DUMMYFUNCTION("IF(ISBLANK(A266),"""",GOOGLETRANSLATE(A266,""en"",""fr""))"),"")</f>
        <v/>
      </c>
    </row>
    <row r="267" spans="2:2">
      <c r="B267" s="3" t="str">
        <f ca="1">IFERROR(__xludf.DUMMYFUNCTION("IF(ISBLANK(A267),"""",GOOGLETRANSLATE(A267,""en"",""fr""))"),"")</f>
        <v/>
      </c>
    </row>
    <row r="268" spans="2:2">
      <c r="B268" s="3" t="str">
        <f ca="1">IFERROR(__xludf.DUMMYFUNCTION("IF(ISBLANK(A268),"""",GOOGLETRANSLATE(A268,""en"",""fr""))"),"")</f>
        <v/>
      </c>
    </row>
    <row r="269" spans="2:2">
      <c r="B269" s="3" t="str">
        <f ca="1">IFERROR(__xludf.DUMMYFUNCTION("IF(ISBLANK(A269),"""",GOOGLETRANSLATE(A269,""en"",""fr""))"),"")</f>
        <v/>
      </c>
    </row>
    <row r="270" spans="2:2">
      <c r="B270" s="3" t="str">
        <f ca="1">IFERROR(__xludf.DUMMYFUNCTION("IF(ISBLANK(A270),"""",GOOGLETRANSLATE(A270,""en"",""fr""))"),"")</f>
        <v/>
      </c>
    </row>
    <row r="271" spans="2:2">
      <c r="B271" s="3" t="str">
        <f ca="1">IFERROR(__xludf.DUMMYFUNCTION("IF(ISBLANK(A271),"""",GOOGLETRANSLATE(A271,""en"",""fr""))"),"")</f>
        <v/>
      </c>
    </row>
    <row r="272" spans="2:2">
      <c r="B272" s="3" t="str">
        <f ca="1">IFERROR(__xludf.DUMMYFUNCTION("IF(ISBLANK(A272),"""",GOOGLETRANSLATE(A272,""en"",""fr""))"),"")</f>
        <v/>
      </c>
    </row>
    <row r="273" spans="2:2">
      <c r="B273" s="3" t="str">
        <f ca="1">IFERROR(__xludf.DUMMYFUNCTION("IF(ISBLANK(A273),"""",GOOGLETRANSLATE(A273,""en"",""fr""))"),"")</f>
        <v/>
      </c>
    </row>
    <row r="274" spans="2:2">
      <c r="B274" s="3" t="str">
        <f ca="1">IFERROR(__xludf.DUMMYFUNCTION("IF(ISBLANK(A274),"""",GOOGLETRANSLATE(A274,""en"",""fr""))"),"")</f>
        <v/>
      </c>
    </row>
    <row r="275" spans="2:2">
      <c r="B275" s="3" t="str">
        <f ca="1">IFERROR(__xludf.DUMMYFUNCTION("IF(ISBLANK(A275),"""",GOOGLETRANSLATE(A275,""en"",""fr""))"),"")</f>
        <v/>
      </c>
    </row>
    <row r="276" spans="2:2">
      <c r="B276" s="3" t="str">
        <f ca="1">IFERROR(__xludf.DUMMYFUNCTION("IF(ISBLANK(A276),"""",GOOGLETRANSLATE(A276,""en"",""fr""))"),"")</f>
        <v/>
      </c>
    </row>
    <row r="277" spans="2:2">
      <c r="B277" s="3" t="str">
        <f ca="1">IFERROR(__xludf.DUMMYFUNCTION("IF(ISBLANK(A277),"""",GOOGLETRANSLATE(A277,""en"",""fr""))"),"")</f>
        <v/>
      </c>
    </row>
    <row r="278" spans="2:2">
      <c r="B278" s="3" t="str">
        <f ca="1">IFERROR(__xludf.DUMMYFUNCTION("IF(ISBLANK(A278),"""",GOOGLETRANSLATE(A278,""en"",""fr""))"),"")</f>
        <v/>
      </c>
    </row>
    <row r="279" spans="2:2">
      <c r="B279" s="3" t="str">
        <f ca="1">IFERROR(__xludf.DUMMYFUNCTION("IF(ISBLANK(A279),"""",GOOGLETRANSLATE(A279,""en"",""fr""))"),"")</f>
        <v/>
      </c>
    </row>
    <row r="280" spans="2:2">
      <c r="B280" s="3" t="str">
        <f ca="1">IFERROR(__xludf.DUMMYFUNCTION("IF(ISBLANK(A280),"""",GOOGLETRANSLATE(A280,""en"",""fr""))"),"")</f>
        <v/>
      </c>
    </row>
    <row r="281" spans="2:2">
      <c r="B281" s="3" t="str">
        <f ca="1">IFERROR(__xludf.DUMMYFUNCTION("IF(ISBLANK(A281),"""",GOOGLETRANSLATE(A281,""en"",""fr""))"),"")</f>
        <v/>
      </c>
    </row>
    <row r="282" spans="2:2">
      <c r="B282" s="3" t="str">
        <f ca="1">IFERROR(__xludf.DUMMYFUNCTION("IF(ISBLANK(A282),"""",GOOGLETRANSLATE(A282,""en"",""fr""))"),"")</f>
        <v/>
      </c>
    </row>
    <row r="283" spans="2:2">
      <c r="B283" s="3" t="str">
        <f ca="1">IFERROR(__xludf.DUMMYFUNCTION("IF(ISBLANK(A283),"""",GOOGLETRANSLATE(A283,""en"",""fr""))"),"")</f>
        <v/>
      </c>
    </row>
    <row r="284" spans="2:2">
      <c r="B284" s="3" t="str">
        <f ca="1">IFERROR(__xludf.DUMMYFUNCTION("IF(ISBLANK(A284),"""",GOOGLETRANSLATE(A284,""en"",""fr""))"),"")</f>
        <v/>
      </c>
    </row>
    <row r="285" spans="2:2">
      <c r="B285" s="3" t="str">
        <f ca="1">IFERROR(__xludf.DUMMYFUNCTION("IF(ISBLANK(A285),"""",GOOGLETRANSLATE(A285,""en"",""fr""))"),"")</f>
        <v/>
      </c>
    </row>
    <row r="286" spans="2:2">
      <c r="B286" s="3" t="str">
        <f ca="1">IFERROR(__xludf.DUMMYFUNCTION("IF(ISBLANK(A286),"""",GOOGLETRANSLATE(A286,""en"",""fr""))"),"")</f>
        <v/>
      </c>
    </row>
    <row r="287" spans="2:2">
      <c r="B287" s="3" t="str">
        <f ca="1">IFERROR(__xludf.DUMMYFUNCTION("IF(ISBLANK(A287),"""",GOOGLETRANSLATE(A287,""en"",""fr""))"),"")</f>
        <v/>
      </c>
    </row>
    <row r="288" spans="2:2">
      <c r="B288" s="3" t="str">
        <f ca="1">IFERROR(__xludf.DUMMYFUNCTION("IF(ISBLANK(A288),"""",GOOGLETRANSLATE(A288,""en"",""fr""))"),"")</f>
        <v/>
      </c>
    </row>
    <row r="289" spans="2:2">
      <c r="B289" s="3" t="str">
        <f ca="1">IFERROR(__xludf.DUMMYFUNCTION("IF(ISBLANK(A289),"""",GOOGLETRANSLATE(A289,""en"",""fr""))"),"")</f>
        <v/>
      </c>
    </row>
    <row r="290" spans="2:2">
      <c r="B290" s="3" t="str">
        <f ca="1">IFERROR(__xludf.DUMMYFUNCTION("IF(ISBLANK(A290),"""",GOOGLETRANSLATE(A290,""en"",""fr""))"),"")</f>
        <v/>
      </c>
    </row>
    <row r="291" spans="2:2">
      <c r="B291" s="3" t="str">
        <f ca="1">IFERROR(__xludf.DUMMYFUNCTION("IF(ISBLANK(A291),"""",GOOGLETRANSLATE(A291,""en"",""fr""))"),"")</f>
        <v/>
      </c>
    </row>
    <row r="292" spans="2:2">
      <c r="B292" s="3" t="str">
        <f ca="1">IFERROR(__xludf.DUMMYFUNCTION("IF(ISBLANK(A292),"""",GOOGLETRANSLATE(A292,""en"",""fr""))"),"")</f>
        <v/>
      </c>
    </row>
    <row r="293" spans="2:2">
      <c r="B293" s="3" t="str">
        <f ca="1">IFERROR(__xludf.DUMMYFUNCTION("IF(ISBLANK(A293),"""",GOOGLETRANSLATE(A293,""en"",""fr""))"),"")</f>
        <v/>
      </c>
    </row>
    <row r="294" spans="2:2">
      <c r="B294" s="3" t="str">
        <f ca="1">IFERROR(__xludf.DUMMYFUNCTION("IF(ISBLANK(A294),"""",GOOGLETRANSLATE(A294,""en"",""fr""))"),"")</f>
        <v/>
      </c>
    </row>
    <row r="295" spans="2:2">
      <c r="B295" s="3" t="str">
        <f ca="1">IFERROR(__xludf.DUMMYFUNCTION("IF(ISBLANK(A295),"""",GOOGLETRANSLATE(A295,""en"",""fr""))"),"")</f>
        <v/>
      </c>
    </row>
    <row r="296" spans="2:2">
      <c r="B296" s="3" t="str">
        <f ca="1">IFERROR(__xludf.DUMMYFUNCTION("IF(ISBLANK(A296),"""",GOOGLETRANSLATE(A296,""en"",""fr""))"),"")</f>
        <v/>
      </c>
    </row>
    <row r="297" spans="2:2">
      <c r="B297" s="3" t="str">
        <f ca="1">IFERROR(__xludf.DUMMYFUNCTION("IF(ISBLANK(A297),"""",GOOGLETRANSLATE(A297,""en"",""fr""))"),"")</f>
        <v/>
      </c>
    </row>
    <row r="298" spans="2:2">
      <c r="B298" s="3" t="str">
        <f ca="1">IFERROR(__xludf.DUMMYFUNCTION("IF(ISBLANK(A298),"""",GOOGLETRANSLATE(A298,""en"",""fr""))"),"")</f>
        <v/>
      </c>
    </row>
    <row r="299" spans="2:2">
      <c r="B299" s="3" t="str">
        <f ca="1">IFERROR(__xludf.DUMMYFUNCTION("IF(ISBLANK(A299),"""",GOOGLETRANSLATE(A299,""en"",""fr""))"),"")</f>
        <v/>
      </c>
    </row>
    <row r="300" spans="2:2">
      <c r="B300" s="3" t="str">
        <f ca="1">IFERROR(__xludf.DUMMYFUNCTION("IF(ISBLANK(A300),"""",GOOGLETRANSLATE(A300,""en"",""fr""))"),"")</f>
        <v/>
      </c>
    </row>
    <row r="301" spans="2:2">
      <c r="B301" s="3" t="str">
        <f ca="1">IFERROR(__xludf.DUMMYFUNCTION("IF(ISBLANK(A301),"""",GOOGLETRANSLATE(A301,""en"",""fr""))"),"")</f>
        <v/>
      </c>
    </row>
    <row r="302" spans="2:2">
      <c r="B302" s="3" t="str">
        <f ca="1">IFERROR(__xludf.DUMMYFUNCTION("IF(ISBLANK(A302),"""",GOOGLETRANSLATE(A302,""en"",""fr""))"),"")</f>
        <v/>
      </c>
    </row>
    <row r="303" spans="2:2">
      <c r="B303" s="3" t="str">
        <f ca="1">IFERROR(__xludf.DUMMYFUNCTION("IF(ISBLANK(A303),"""",GOOGLETRANSLATE(A303,""en"",""fr""))"),"")</f>
        <v/>
      </c>
    </row>
    <row r="304" spans="2:2">
      <c r="B304" s="3" t="str">
        <f ca="1">IFERROR(__xludf.DUMMYFUNCTION("IF(ISBLANK(A304),"""",GOOGLETRANSLATE(A304,""en"",""fr""))"),"")</f>
        <v/>
      </c>
    </row>
    <row r="305" spans="2:2">
      <c r="B305" s="3" t="str">
        <f ca="1">IFERROR(__xludf.DUMMYFUNCTION("IF(ISBLANK(A305),"""",GOOGLETRANSLATE(A305,""en"",""fr""))"),"")</f>
        <v/>
      </c>
    </row>
    <row r="306" spans="2:2">
      <c r="B306" s="3" t="str">
        <f ca="1">IFERROR(__xludf.DUMMYFUNCTION("IF(ISBLANK(A306),"""",GOOGLETRANSLATE(A306,""en"",""fr""))"),"")</f>
        <v/>
      </c>
    </row>
    <row r="307" spans="2:2">
      <c r="B307" s="3" t="str">
        <f ca="1">IFERROR(__xludf.DUMMYFUNCTION("IF(ISBLANK(A307),"""",GOOGLETRANSLATE(A307,""en"",""fr""))"),"")</f>
        <v/>
      </c>
    </row>
    <row r="308" spans="2:2">
      <c r="B308" s="3" t="str">
        <f ca="1">IFERROR(__xludf.DUMMYFUNCTION("IF(ISBLANK(A308),"""",GOOGLETRANSLATE(A308,""en"",""fr""))"),"")</f>
        <v/>
      </c>
    </row>
    <row r="309" spans="2:2">
      <c r="B309" s="3" t="str">
        <f ca="1">IFERROR(__xludf.DUMMYFUNCTION("IF(ISBLANK(A309),"""",GOOGLETRANSLATE(A309,""en"",""fr""))"),"")</f>
        <v/>
      </c>
    </row>
    <row r="310" spans="2:2">
      <c r="B310" s="3" t="str">
        <f ca="1">IFERROR(__xludf.DUMMYFUNCTION("IF(ISBLANK(A310),"""",GOOGLETRANSLATE(A310,""en"",""fr""))"),"")</f>
        <v/>
      </c>
    </row>
    <row r="311" spans="2:2">
      <c r="B311" s="3" t="str">
        <f ca="1">IFERROR(__xludf.DUMMYFUNCTION("IF(ISBLANK(A311),"""",GOOGLETRANSLATE(A311,""en"",""fr""))"),"")</f>
        <v/>
      </c>
    </row>
    <row r="312" spans="2:2">
      <c r="B312" s="3" t="str">
        <f ca="1">IFERROR(__xludf.DUMMYFUNCTION("IF(ISBLANK(A312),"""",GOOGLETRANSLATE(A312,""en"",""fr""))"),"")</f>
        <v/>
      </c>
    </row>
    <row r="313" spans="2:2">
      <c r="B313" s="3" t="str">
        <f ca="1">IFERROR(__xludf.DUMMYFUNCTION("IF(ISBLANK(A313),"""",GOOGLETRANSLATE(A313,""en"",""fr""))"),"")</f>
        <v/>
      </c>
    </row>
    <row r="314" spans="2:2">
      <c r="B314" s="3" t="str">
        <f ca="1">IFERROR(__xludf.DUMMYFUNCTION("IF(ISBLANK(A314),"""",GOOGLETRANSLATE(A314,""en"",""fr""))"),"")</f>
        <v/>
      </c>
    </row>
    <row r="315" spans="2:2">
      <c r="B315" s="3" t="str">
        <f ca="1">IFERROR(__xludf.DUMMYFUNCTION("IF(ISBLANK(A315),"""",GOOGLETRANSLATE(A315,""en"",""fr""))"),"")</f>
        <v/>
      </c>
    </row>
    <row r="316" spans="2:2">
      <c r="B316" s="3" t="str">
        <f ca="1">IFERROR(__xludf.DUMMYFUNCTION("IF(ISBLANK(A316),"""",GOOGLETRANSLATE(A316,""en"",""fr""))"),"")</f>
        <v/>
      </c>
    </row>
    <row r="317" spans="2:2">
      <c r="B317" s="3" t="str">
        <f ca="1">IFERROR(__xludf.DUMMYFUNCTION("IF(ISBLANK(A317),"""",GOOGLETRANSLATE(A317,""en"",""fr""))"),"")</f>
        <v/>
      </c>
    </row>
    <row r="318" spans="2:2">
      <c r="B318" s="3" t="str">
        <f ca="1">IFERROR(__xludf.DUMMYFUNCTION("IF(ISBLANK(A318),"""",GOOGLETRANSLATE(A318,""en"",""fr""))"),"")</f>
        <v/>
      </c>
    </row>
    <row r="319" spans="2:2">
      <c r="B319" s="3" t="str">
        <f ca="1">IFERROR(__xludf.DUMMYFUNCTION("IF(ISBLANK(A319),"""",GOOGLETRANSLATE(A319,""en"",""fr""))"),"")</f>
        <v/>
      </c>
    </row>
    <row r="320" spans="2:2">
      <c r="B320" s="3" t="str">
        <f ca="1">IFERROR(__xludf.DUMMYFUNCTION("IF(ISBLANK(A320),"""",GOOGLETRANSLATE(A320,""en"",""fr""))"),"")</f>
        <v/>
      </c>
    </row>
    <row r="321" spans="2:2">
      <c r="B321" s="3" t="str">
        <f ca="1">IFERROR(__xludf.DUMMYFUNCTION("IF(ISBLANK(A321),"""",GOOGLETRANSLATE(A321,""en"",""fr""))"),"")</f>
        <v/>
      </c>
    </row>
    <row r="322" spans="2:2">
      <c r="B322" s="3" t="str">
        <f ca="1">IFERROR(__xludf.DUMMYFUNCTION("IF(ISBLANK(A322),"""",GOOGLETRANSLATE(A322,""en"",""fr""))"),"")</f>
        <v/>
      </c>
    </row>
    <row r="323" spans="2:2">
      <c r="B323" s="3" t="str">
        <f ca="1">IFERROR(__xludf.DUMMYFUNCTION("IF(ISBLANK(A323),"""",GOOGLETRANSLATE(A323,""en"",""fr""))"),"")</f>
        <v/>
      </c>
    </row>
    <row r="324" spans="2:2">
      <c r="B324" s="3" t="str">
        <f ca="1">IFERROR(__xludf.DUMMYFUNCTION("IF(ISBLANK(A324),"""",GOOGLETRANSLATE(A324,""en"",""fr""))"),"")</f>
        <v/>
      </c>
    </row>
    <row r="325" spans="2:2">
      <c r="B325" s="3" t="str">
        <f ca="1">IFERROR(__xludf.DUMMYFUNCTION("IF(ISBLANK(A325),"""",GOOGLETRANSLATE(A325,""en"",""fr""))"),"")</f>
        <v/>
      </c>
    </row>
    <row r="326" spans="2:2">
      <c r="B326" s="3" t="str">
        <f ca="1">IFERROR(__xludf.DUMMYFUNCTION("IF(ISBLANK(A326),"""",GOOGLETRANSLATE(A326,""en"",""fr""))"),"")</f>
        <v/>
      </c>
    </row>
    <row r="327" spans="2:2">
      <c r="B327" s="3" t="str">
        <f ca="1">IFERROR(__xludf.DUMMYFUNCTION("IF(ISBLANK(A327),"""",GOOGLETRANSLATE(A327,""en"",""fr""))"),"")</f>
        <v/>
      </c>
    </row>
    <row r="328" spans="2:2">
      <c r="B328" s="3" t="str">
        <f ca="1">IFERROR(__xludf.DUMMYFUNCTION("IF(ISBLANK(A328),"""",GOOGLETRANSLATE(A328,""en"",""fr""))"),"")</f>
        <v/>
      </c>
    </row>
    <row r="329" spans="2:2">
      <c r="B329" s="3" t="str">
        <f ca="1">IFERROR(__xludf.DUMMYFUNCTION("IF(ISBLANK(A329),"""",GOOGLETRANSLATE(A329,""en"",""fr""))"),"")</f>
        <v/>
      </c>
    </row>
    <row r="330" spans="2:2">
      <c r="B330" s="3" t="str">
        <f ca="1">IFERROR(__xludf.DUMMYFUNCTION("IF(ISBLANK(A330),"""",GOOGLETRANSLATE(A330,""en"",""fr""))"),"")</f>
        <v/>
      </c>
    </row>
    <row r="331" spans="2:2">
      <c r="B331" s="3" t="str">
        <f ca="1">IFERROR(__xludf.DUMMYFUNCTION("IF(ISBLANK(A331),"""",GOOGLETRANSLATE(A331,""en"",""fr""))"),"")</f>
        <v/>
      </c>
    </row>
    <row r="332" spans="2:2">
      <c r="B332" s="3" t="str">
        <f ca="1">IFERROR(__xludf.DUMMYFUNCTION("IF(ISBLANK(A332),"""",GOOGLETRANSLATE(A332,""en"",""fr""))"),"")</f>
        <v/>
      </c>
    </row>
    <row r="333" spans="2:2">
      <c r="B333" s="3" t="str">
        <f ca="1">IFERROR(__xludf.DUMMYFUNCTION("IF(ISBLANK(A333),"""",GOOGLETRANSLATE(A333,""en"",""fr""))"),"")</f>
        <v/>
      </c>
    </row>
    <row r="334" spans="2:2">
      <c r="B334" s="3" t="str">
        <f ca="1">IFERROR(__xludf.DUMMYFUNCTION("IF(ISBLANK(A334),"""",GOOGLETRANSLATE(A334,""en"",""fr""))"),"")</f>
        <v/>
      </c>
    </row>
    <row r="335" spans="2:2">
      <c r="B335" s="3" t="str">
        <f ca="1">IFERROR(__xludf.DUMMYFUNCTION("IF(ISBLANK(A335),"""",GOOGLETRANSLATE(A335,""en"",""fr""))"),"")</f>
        <v/>
      </c>
    </row>
    <row r="336" spans="2:2">
      <c r="B336" s="3" t="str">
        <f ca="1">IFERROR(__xludf.DUMMYFUNCTION("IF(ISBLANK(A336),"""",GOOGLETRANSLATE(A336,""en"",""fr""))"),"")</f>
        <v/>
      </c>
    </row>
    <row r="337" spans="2:2">
      <c r="B337" s="3" t="str">
        <f ca="1">IFERROR(__xludf.DUMMYFUNCTION("IF(ISBLANK(A337),"""",GOOGLETRANSLATE(A337,""en"",""fr""))"),"")</f>
        <v/>
      </c>
    </row>
    <row r="338" spans="2:2">
      <c r="B338" s="3" t="str">
        <f ca="1">IFERROR(__xludf.DUMMYFUNCTION("IF(ISBLANK(A338),"""",GOOGLETRANSLATE(A338,""en"",""fr""))"),"")</f>
        <v/>
      </c>
    </row>
    <row r="339" spans="2:2">
      <c r="B339" s="3" t="str">
        <f ca="1">IFERROR(__xludf.DUMMYFUNCTION("IF(ISBLANK(A339),"""",GOOGLETRANSLATE(A339,""en"",""fr""))"),"")</f>
        <v/>
      </c>
    </row>
    <row r="340" spans="2:2">
      <c r="B340" s="3" t="str">
        <f ca="1">IFERROR(__xludf.DUMMYFUNCTION("IF(ISBLANK(A340),"""",GOOGLETRANSLATE(A340,""en"",""fr""))"),"")</f>
        <v/>
      </c>
    </row>
    <row r="341" spans="2:2">
      <c r="B341" s="3" t="str">
        <f ca="1">IFERROR(__xludf.DUMMYFUNCTION("IF(ISBLANK(A341),"""",GOOGLETRANSLATE(A341,""en"",""fr""))"),"")</f>
        <v/>
      </c>
    </row>
    <row r="342" spans="2:2">
      <c r="B342" s="3" t="str">
        <f ca="1">IFERROR(__xludf.DUMMYFUNCTION("IF(ISBLANK(A342),"""",GOOGLETRANSLATE(A342,""en"",""fr""))"),"")</f>
        <v/>
      </c>
    </row>
    <row r="343" spans="2:2">
      <c r="B343" s="3" t="str">
        <f ca="1">IFERROR(__xludf.DUMMYFUNCTION("IF(ISBLANK(A343),"""",GOOGLETRANSLATE(A343,""en"",""fr""))"),"")</f>
        <v/>
      </c>
    </row>
    <row r="344" spans="2:2">
      <c r="B344" s="3" t="str">
        <f ca="1">IFERROR(__xludf.DUMMYFUNCTION("IF(ISBLANK(A344),"""",GOOGLETRANSLATE(A344,""en"",""fr""))"),"")</f>
        <v/>
      </c>
    </row>
    <row r="345" spans="2:2">
      <c r="B345" s="3" t="str">
        <f ca="1">IFERROR(__xludf.DUMMYFUNCTION("IF(ISBLANK(A345),"""",GOOGLETRANSLATE(A345,""en"",""fr""))"),"")</f>
        <v/>
      </c>
    </row>
    <row r="346" spans="2:2">
      <c r="B346" s="3" t="str">
        <f ca="1">IFERROR(__xludf.DUMMYFUNCTION("IF(ISBLANK(A346),"""",GOOGLETRANSLATE(A346,""en"",""fr""))"),"")</f>
        <v/>
      </c>
    </row>
    <row r="347" spans="2:2">
      <c r="B347" s="3" t="str">
        <f ca="1">IFERROR(__xludf.DUMMYFUNCTION("IF(ISBLANK(A347),"""",GOOGLETRANSLATE(A347,""en"",""fr""))"),"")</f>
        <v/>
      </c>
    </row>
    <row r="348" spans="2:2">
      <c r="B348" s="3" t="str">
        <f ca="1">IFERROR(__xludf.DUMMYFUNCTION("IF(ISBLANK(A348),"""",GOOGLETRANSLATE(A348,""en"",""fr""))"),"")</f>
        <v/>
      </c>
    </row>
    <row r="349" spans="2:2">
      <c r="B349" s="3" t="str">
        <f ca="1">IFERROR(__xludf.DUMMYFUNCTION("IF(ISBLANK(A349),"""",GOOGLETRANSLATE(A349,""en"",""fr""))"),"")</f>
        <v/>
      </c>
    </row>
    <row r="350" spans="2:2">
      <c r="B350" s="3" t="str">
        <f ca="1">IFERROR(__xludf.DUMMYFUNCTION("IF(ISBLANK(A350),"""",GOOGLETRANSLATE(A350,""en"",""fr""))"),"")</f>
        <v/>
      </c>
    </row>
    <row r="351" spans="2:2">
      <c r="B351" s="3" t="str">
        <f ca="1">IFERROR(__xludf.DUMMYFUNCTION("IF(ISBLANK(A351),"""",GOOGLETRANSLATE(A351,""en"",""fr""))"),"")</f>
        <v/>
      </c>
    </row>
    <row r="352" spans="2:2">
      <c r="B352" s="3" t="str">
        <f ca="1">IFERROR(__xludf.DUMMYFUNCTION("IF(ISBLANK(A352),"""",GOOGLETRANSLATE(A352,""en"",""fr""))"),"")</f>
        <v/>
      </c>
    </row>
    <row r="353" spans="2:2">
      <c r="B353" s="3" t="str">
        <f ca="1">IFERROR(__xludf.DUMMYFUNCTION("IF(ISBLANK(A353),"""",GOOGLETRANSLATE(A353,""en"",""fr""))"),"")</f>
        <v/>
      </c>
    </row>
    <row r="354" spans="2:2">
      <c r="B354" s="3" t="str">
        <f ca="1">IFERROR(__xludf.DUMMYFUNCTION("IF(ISBLANK(A354),"""",GOOGLETRANSLATE(A354,""en"",""fr""))"),"")</f>
        <v/>
      </c>
    </row>
    <row r="355" spans="2:2">
      <c r="B355" s="3" t="str">
        <f ca="1">IFERROR(__xludf.DUMMYFUNCTION("IF(ISBLANK(A355),"""",GOOGLETRANSLATE(A355,""en"",""fr""))"),"")</f>
        <v/>
      </c>
    </row>
    <row r="356" spans="2:2">
      <c r="B356" s="3" t="str">
        <f ca="1">IFERROR(__xludf.DUMMYFUNCTION("IF(ISBLANK(A356),"""",GOOGLETRANSLATE(A356,""en"",""fr""))"),"")</f>
        <v/>
      </c>
    </row>
    <row r="357" spans="2:2">
      <c r="B357" s="3" t="str">
        <f ca="1">IFERROR(__xludf.DUMMYFUNCTION("IF(ISBLANK(A357),"""",GOOGLETRANSLATE(A357,""en"",""fr""))"),"")</f>
        <v/>
      </c>
    </row>
    <row r="358" spans="2:2">
      <c r="B358" s="3" t="str">
        <f ca="1">IFERROR(__xludf.DUMMYFUNCTION("IF(ISBLANK(A358),"""",GOOGLETRANSLATE(A358,""en"",""fr""))"),"")</f>
        <v/>
      </c>
    </row>
    <row r="359" spans="2:2">
      <c r="B359" s="3" t="str">
        <f ca="1">IFERROR(__xludf.DUMMYFUNCTION("IF(ISBLANK(A359),"""",GOOGLETRANSLATE(A359,""en"",""fr""))"),"")</f>
        <v/>
      </c>
    </row>
    <row r="360" spans="2:2">
      <c r="B360" s="3" t="str">
        <f ca="1">IFERROR(__xludf.DUMMYFUNCTION("IF(ISBLANK(A360),"""",GOOGLETRANSLATE(A360,""en"",""fr""))"),"")</f>
        <v/>
      </c>
    </row>
    <row r="361" spans="2:2">
      <c r="B361" s="3" t="str">
        <f ca="1">IFERROR(__xludf.DUMMYFUNCTION("IF(ISBLANK(A361),"""",GOOGLETRANSLATE(A361,""en"",""fr""))"),"")</f>
        <v/>
      </c>
    </row>
    <row r="362" spans="2:2">
      <c r="B362" s="3" t="str">
        <f ca="1">IFERROR(__xludf.DUMMYFUNCTION("IF(ISBLANK(A362),"""",GOOGLETRANSLATE(A362,""en"",""fr""))"),"")</f>
        <v/>
      </c>
    </row>
    <row r="363" spans="2:2">
      <c r="B363" s="3" t="str">
        <f ca="1">IFERROR(__xludf.DUMMYFUNCTION("IF(ISBLANK(A363),"""",GOOGLETRANSLATE(A363,""en"",""fr""))"),"")</f>
        <v/>
      </c>
    </row>
    <row r="364" spans="2:2">
      <c r="B364" s="3" t="str">
        <f ca="1">IFERROR(__xludf.DUMMYFUNCTION("IF(ISBLANK(A364),"""",GOOGLETRANSLATE(A364,""en"",""fr""))"),"")</f>
        <v/>
      </c>
    </row>
    <row r="365" spans="2:2">
      <c r="B365" s="3" t="str">
        <f ca="1">IFERROR(__xludf.DUMMYFUNCTION("IF(ISBLANK(A365),"""",GOOGLETRANSLATE(A365,""en"",""fr""))"),"")</f>
        <v/>
      </c>
    </row>
    <row r="366" spans="2:2">
      <c r="B366" s="3" t="str">
        <f ca="1">IFERROR(__xludf.DUMMYFUNCTION("IF(ISBLANK(A366),"""",GOOGLETRANSLATE(A366,""en"",""fr""))"),"")</f>
        <v/>
      </c>
    </row>
    <row r="367" spans="2:2">
      <c r="B367" s="3" t="str">
        <f ca="1">IFERROR(__xludf.DUMMYFUNCTION("IF(ISBLANK(A367),"""",GOOGLETRANSLATE(A367,""en"",""fr""))"),"")</f>
        <v/>
      </c>
    </row>
    <row r="368" spans="2:2">
      <c r="B368" s="3" t="str">
        <f ca="1">IFERROR(__xludf.DUMMYFUNCTION("IF(ISBLANK(A368),"""",GOOGLETRANSLATE(A368,""en"",""fr""))"),"")</f>
        <v/>
      </c>
    </row>
    <row r="369" spans="2:2">
      <c r="B369" s="3" t="str">
        <f ca="1">IFERROR(__xludf.DUMMYFUNCTION("IF(ISBLANK(A369),"""",GOOGLETRANSLATE(A369,""en"",""fr""))"),"")</f>
        <v/>
      </c>
    </row>
    <row r="370" spans="2:2">
      <c r="B370" s="3" t="str">
        <f ca="1">IFERROR(__xludf.DUMMYFUNCTION("IF(ISBLANK(A370),"""",GOOGLETRANSLATE(A370,""en"",""fr""))"),"")</f>
        <v/>
      </c>
    </row>
    <row r="371" spans="2:2">
      <c r="B371" s="3" t="str">
        <f ca="1">IFERROR(__xludf.DUMMYFUNCTION("IF(ISBLANK(A371),"""",GOOGLETRANSLATE(A371,""en"",""fr""))"),"")</f>
        <v/>
      </c>
    </row>
    <row r="372" spans="2:2">
      <c r="B372" s="3" t="str">
        <f ca="1">IFERROR(__xludf.DUMMYFUNCTION("IF(ISBLANK(A372),"""",GOOGLETRANSLATE(A372,""en"",""fr""))"),"")</f>
        <v/>
      </c>
    </row>
    <row r="373" spans="2:2">
      <c r="B373" s="3" t="str">
        <f ca="1">IFERROR(__xludf.DUMMYFUNCTION("IF(ISBLANK(A373),"""",GOOGLETRANSLATE(A373,""en"",""fr""))"),"")</f>
        <v/>
      </c>
    </row>
    <row r="374" spans="2:2">
      <c r="B374" s="3" t="str">
        <f ca="1">IFERROR(__xludf.DUMMYFUNCTION("IF(ISBLANK(A374),"""",GOOGLETRANSLATE(A374,""en"",""fr""))"),"")</f>
        <v/>
      </c>
    </row>
    <row r="375" spans="2:2">
      <c r="B375" s="3" t="str">
        <f ca="1">IFERROR(__xludf.DUMMYFUNCTION("IF(ISBLANK(A375),"""",GOOGLETRANSLATE(A375,""en"",""fr""))"),"")</f>
        <v/>
      </c>
    </row>
    <row r="376" spans="2:2">
      <c r="B376" s="3" t="str">
        <f ca="1">IFERROR(__xludf.DUMMYFUNCTION("IF(ISBLANK(A376),"""",GOOGLETRANSLATE(A376,""en"",""fr""))"),"")</f>
        <v/>
      </c>
    </row>
    <row r="377" spans="2:2">
      <c r="B377" s="3" t="str">
        <f ca="1">IFERROR(__xludf.DUMMYFUNCTION("IF(ISBLANK(A377),"""",GOOGLETRANSLATE(A377,""en"",""fr""))"),"")</f>
        <v/>
      </c>
    </row>
    <row r="378" spans="2:2">
      <c r="B378" s="3" t="str">
        <f ca="1">IFERROR(__xludf.DUMMYFUNCTION("IF(ISBLANK(A378),"""",GOOGLETRANSLATE(A378,""en"",""fr""))"),"")</f>
        <v/>
      </c>
    </row>
    <row r="379" spans="2:2">
      <c r="B379" s="3" t="str">
        <f ca="1">IFERROR(__xludf.DUMMYFUNCTION("IF(ISBLANK(A379),"""",GOOGLETRANSLATE(A379,""en"",""fr""))"),"")</f>
        <v/>
      </c>
    </row>
    <row r="380" spans="2:2">
      <c r="B380" s="3" t="str">
        <f ca="1">IFERROR(__xludf.DUMMYFUNCTION("IF(ISBLANK(A380),"""",GOOGLETRANSLATE(A380,""en"",""fr""))"),"")</f>
        <v/>
      </c>
    </row>
    <row r="381" spans="2:2">
      <c r="B381" s="3" t="str">
        <f ca="1">IFERROR(__xludf.DUMMYFUNCTION("IF(ISBLANK(A381),"""",GOOGLETRANSLATE(A381,""en"",""fr""))"),"")</f>
        <v/>
      </c>
    </row>
    <row r="382" spans="2:2">
      <c r="B382" s="3" t="str">
        <f ca="1">IFERROR(__xludf.DUMMYFUNCTION("IF(ISBLANK(A382),"""",GOOGLETRANSLATE(A382,""en"",""fr""))"),"")</f>
        <v/>
      </c>
    </row>
    <row r="383" spans="2:2">
      <c r="B383" s="3" t="str">
        <f ca="1">IFERROR(__xludf.DUMMYFUNCTION("IF(ISBLANK(A383),"""",GOOGLETRANSLATE(A383,""en"",""fr""))"),"")</f>
        <v/>
      </c>
    </row>
    <row r="384" spans="2:2">
      <c r="B384" s="3" t="str">
        <f ca="1">IFERROR(__xludf.DUMMYFUNCTION("IF(ISBLANK(A384),"""",GOOGLETRANSLATE(A384,""en"",""fr""))"),"")</f>
        <v/>
      </c>
    </row>
    <row r="385" spans="2:2">
      <c r="B385" s="3" t="str">
        <f ca="1">IFERROR(__xludf.DUMMYFUNCTION("IF(ISBLANK(A385),"""",GOOGLETRANSLATE(A385,""en"",""fr""))"),"")</f>
        <v/>
      </c>
    </row>
    <row r="386" spans="2:2">
      <c r="B386" s="3" t="str">
        <f ca="1">IFERROR(__xludf.DUMMYFUNCTION("IF(ISBLANK(A386),"""",GOOGLETRANSLATE(A386,""en"",""fr""))"),"")</f>
        <v/>
      </c>
    </row>
    <row r="387" spans="2:2">
      <c r="B387" s="3" t="str">
        <f ca="1">IFERROR(__xludf.DUMMYFUNCTION("IF(ISBLANK(A387),"""",GOOGLETRANSLATE(A387,""en"",""fr""))"),"")</f>
        <v/>
      </c>
    </row>
    <row r="388" spans="2:2">
      <c r="B388" s="3" t="str">
        <f ca="1">IFERROR(__xludf.DUMMYFUNCTION("IF(ISBLANK(A388),"""",GOOGLETRANSLATE(A388,""en"",""fr""))"),"")</f>
        <v/>
      </c>
    </row>
    <row r="389" spans="2:2">
      <c r="B389" s="3" t="str">
        <f ca="1">IFERROR(__xludf.DUMMYFUNCTION("IF(ISBLANK(A389),"""",GOOGLETRANSLATE(A389,""en"",""fr""))"),"")</f>
        <v/>
      </c>
    </row>
    <row r="390" spans="2:2">
      <c r="B390" s="3" t="str">
        <f ca="1">IFERROR(__xludf.DUMMYFUNCTION("IF(ISBLANK(A390),"""",GOOGLETRANSLATE(A390,""en"",""fr""))"),"")</f>
        <v/>
      </c>
    </row>
    <row r="391" spans="2:2">
      <c r="B391" s="3" t="str">
        <f ca="1">IFERROR(__xludf.DUMMYFUNCTION("IF(ISBLANK(A391),"""",GOOGLETRANSLATE(A391,""en"",""fr""))"),"")</f>
        <v/>
      </c>
    </row>
    <row r="392" spans="2:2">
      <c r="B392" s="3" t="str">
        <f ca="1">IFERROR(__xludf.DUMMYFUNCTION("IF(ISBLANK(A392),"""",GOOGLETRANSLATE(A392,""en"",""fr""))"),"")</f>
        <v/>
      </c>
    </row>
    <row r="393" spans="2:2">
      <c r="B393" s="3" t="str">
        <f ca="1">IFERROR(__xludf.DUMMYFUNCTION("IF(ISBLANK(A393),"""",GOOGLETRANSLATE(A393,""en"",""fr""))"),"")</f>
        <v/>
      </c>
    </row>
    <row r="394" spans="2:2">
      <c r="B394" s="3" t="str">
        <f ca="1">IFERROR(__xludf.DUMMYFUNCTION("IF(ISBLANK(A394),"""",GOOGLETRANSLATE(A394,""en"",""fr""))"),"")</f>
        <v/>
      </c>
    </row>
    <row r="395" spans="2:2">
      <c r="B395" s="3" t="str">
        <f ca="1">IFERROR(__xludf.DUMMYFUNCTION("IF(ISBLANK(A395),"""",GOOGLETRANSLATE(A395,""en"",""fr""))"),"")</f>
        <v/>
      </c>
    </row>
    <row r="396" spans="2:2">
      <c r="B396" s="3" t="str">
        <f ca="1">IFERROR(__xludf.DUMMYFUNCTION("IF(ISBLANK(A396),"""",GOOGLETRANSLATE(A396,""en"",""fr""))"),"")</f>
        <v/>
      </c>
    </row>
    <row r="397" spans="2:2">
      <c r="B397" s="3" t="str">
        <f ca="1">IFERROR(__xludf.DUMMYFUNCTION("IF(ISBLANK(A397),"""",GOOGLETRANSLATE(A397,""en"",""fr""))"),"")</f>
        <v/>
      </c>
    </row>
    <row r="398" spans="2:2">
      <c r="B398" s="3" t="str">
        <f ca="1">IFERROR(__xludf.DUMMYFUNCTION("IF(ISBLANK(A398),"""",GOOGLETRANSLATE(A398,""en"",""fr""))"),"")</f>
        <v/>
      </c>
    </row>
    <row r="399" spans="2:2">
      <c r="B399" s="3" t="str">
        <f ca="1">IFERROR(__xludf.DUMMYFUNCTION("IF(ISBLANK(A399),"""",GOOGLETRANSLATE(A399,""en"",""fr""))"),"")</f>
        <v/>
      </c>
    </row>
    <row r="400" spans="2:2">
      <c r="B400" s="3" t="str">
        <f ca="1">IFERROR(__xludf.DUMMYFUNCTION("IF(ISBLANK(A400),"""",GOOGLETRANSLATE(A400,""en"",""fr""))"),"")</f>
        <v/>
      </c>
    </row>
    <row r="401" spans="2:2">
      <c r="B401" s="3" t="str">
        <f ca="1">IFERROR(__xludf.DUMMYFUNCTION("IF(ISBLANK(A401),"""",GOOGLETRANSLATE(A401,""en"",""fr""))"),"")</f>
        <v/>
      </c>
    </row>
    <row r="402" spans="2:2">
      <c r="B402" s="3" t="str">
        <f ca="1">IFERROR(__xludf.DUMMYFUNCTION("IF(ISBLANK(A402),"""",GOOGLETRANSLATE(A402,""en"",""fr""))"),"")</f>
        <v/>
      </c>
    </row>
    <row r="403" spans="2:2">
      <c r="B403" s="3" t="str">
        <f ca="1">IFERROR(__xludf.DUMMYFUNCTION("IF(ISBLANK(A403),"""",GOOGLETRANSLATE(A403,""en"",""fr""))"),"")</f>
        <v/>
      </c>
    </row>
    <row r="404" spans="2:2">
      <c r="B404" s="3" t="str">
        <f ca="1">IFERROR(__xludf.DUMMYFUNCTION("IF(ISBLANK(A404),"""",GOOGLETRANSLATE(A404,""en"",""fr""))"),"")</f>
        <v/>
      </c>
    </row>
    <row r="405" spans="2:2">
      <c r="B405" s="3" t="str">
        <f ca="1">IFERROR(__xludf.DUMMYFUNCTION("IF(ISBLANK(A405),"""",GOOGLETRANSLATE(A405,""en"",""fr""))"),"")</f>
        <v/>
      </c>
    </row>
    <row r="406" spans="2:2">
      <c r="B406" s="3" t="str">
        <f ca="1">IFERROR(__xludf.DUMMYFUNCTION("IF(ISBLANK(A406),"""",GOOGLETRANSLATE(A406,""en"",""fr""))"),"")</f>
        <v/>
      </c>
    </row>
    <row r="407" spans="2:2">
      <c r="B407" s="3" t="str">
        <f ca="1">IFERROR(__xludf.DUMMYFUNCTION("IF(ISBLANK(A407),"""",GOOGLETRANSLATE(A407,""en"",""fr""))"),"")</f>
        <v/>
      </c>
    </row>
    <row r="408" spans="2:2">
      <c r="B408" s="3" t="str">
        <f ca="1">IFERROR(__xludf.DUMMYFUNCTION("IF(ISBLANK(A408),"""",GOOGLETRANSLATE(A408,""en"",""fr""))"),"")</f>
        <v/>
      </c>
    </row>
    <row r="409" spans="2:2">
      <c r="B409" s="3" t="str">
        <f ca="1">IFERROR(__xludf.DUMMYFUNCTION("IF(ISBLANK(A409),"""",GOOGLETRANSLATE(A409,""en"",""fr""))"),"")</f>
        <v/>
      </c>
    </row>
    <row r="410" spans="2:2">
      <c r="B410" s="3" t="str">
        <f ca="1">IFERROR(__xludf.DUMMYFUNCTION("IF(ISBLANK(A410),"""",GOOGLETRANSLATE(A410,""en"",""fr""))"),"")</f>
        <v/>
      </c>
    </row>
    <row r="411" spans="2:2">
      <c r="B411" s="3" t="str">
        <f ca="1">IFERROR(__xludf.DUMMYFUNCTION("IF(ISBLANK(A411),"""",GOOGLETRANSLATE(A411,""en"",""fr""))"),"")</f>
        <v/>
      </c>
    </row>
    <row r="412" spans="2:2">
      <c r="B412" s="3" t="str">
        <f ca="1">IFERROR(__xludf.DUMMYFUNCTION("IF(ISBLANK(A412),"""",GOOGLETRANSLATE(A412,""en"",""fr""))"),"")</f>
        <v/>
      </c>
    </row>
    <row r="413" spans="2:2">
      <c r="B413" s="3" t="str">
        <f ca="1">IFERROR(__xludf.DUMMYFUNCTION("IF(ISBLANK(A413),"""",GOOGLETRANSLATE(A413,""en"",""fr""))"),"")</f>
        <v/>
      </c>
    </row>
    <row r="414" spans="2:2">
      <c r="B414" s="3" t="str">
        <f ca="1">IFERROR(__xludf.DUMMYFUNCTION("IF(ISBLANK(A414),"""",GOOGLETRANSLATE(A414,""en"",""fr""))"),"")</f>
        <v/>
      </c>
    </row>
    <row r="415" spans="2:2">
      <c r="B415" s="3" t="str">
        <f ca="1">IFERROR(__xludf.DUMMYFUNCTION("IF(ISBLANK(A415),"""",GOOGLETRANSLATE(A415,""en"",""fr""))"),"")</f>
        <v/>
      </c>
    </row>
    <row r="416" spans="2:2">
      <c r="B416" s="3" t="str">
        <f ca="1">IFERROR(__xludf.DUMMYFUNCTION("IF(ISBLANK(A416),"""",GOOGLETRANSLATE(A416,""en"",""fr""))"),"")</f>
        <v/>
      </c>
    </row>
    <row r="417" spans="2:2">
      <c r="B417" s="3" t="str">
        <f ca="1">IFERROR(__xludf.DUMMYFUNCTION("IF(ISBLANK(A417),"""",GOOGLETRANSLATE(A417,""en"",""fr""))"),"")</f>
        <v/>
      </c>
    </row>
    <row r="418" spans="2:2">
      <c r="B418" s="3" t="str">
        <f ca="1">IFERROR(__xludf.DUMMYFUNCTION("IF(ISBLANK(A418),"""",GOOGLETRANSLATE(A418,""en"",""fr""))"),"")</f>
        <v/>
      </c>
    </row>
    <row r="419" spans="2:2">
      <c r="B419" s="3" t="str">
        <f ca="1">IFERROR(__xludf.DUMMYFUNCTION("IF(ISBLANK(A419),"""",GOOGLETRANSLATE(A419,""en"",""fr""))"),"")</f>
        <v/>
      </c>
    </row>
    <row r="420" spans="2:2">
      <c r="B420" s="3" t="str">
        <f ca="1">IFERROR(__xludf.DUMMYFUNCTION("IF(ISBLANK(A420),"""",GOOGLETRANSLATE(A420,""en"",""fr""))"),"")</f>
        <v/>
      </c>
    </row>
    <row r="421" spans="2:2">
      <c r="B421" s="3" t="str">
        <f ca="1">IFERROR(__xludf.DUMMYFUNCTION("IF(ISBLANK(A421),"""",GOOGLETRANSLATE(A421,""en"",""fr""))"),"")</f>
        <v/>
      </c>
    </row>
    <row r="422" spans="2:2">
      <c r="B422" s="3" t="str">
        <f ca="1">IFERROR(__xludf.DUMMYFUNCTION("IF(ISBLANK(A422),"""",GOOGLETRANSLATE(A422,""en"",""fr""))"),"")</f>
        <v/>
      </c>
    </row>
    <row r="423" spans="2:2">
      <c r="B423" s="3" t="str">
        <f ca="1">IFERROR(__xludf.DUMMYFUNCTION("IF(ISBLANK(A423),"""",GOOGLETRANSLATE(A423,""en"",""fr""))"),"")</f>
        <v/>
      </c>
    </row>
    <row r="424" spans="2:2">
      <c r="B424" s="3" t="str">
        <f ca="1">IFERROR(__xludf.DUMMYFUNCTION("IF(ISBLANK(A424),"""",GOOGLETRANSLATE(A424,""en"",""fr""))"),"")</f>
        <v/>
      </c>
    </row>
    <row r="425" spans="2:2">
      <c r="B425" s="3" t="str">
        <f ca="1">IFERROR(__xludf.DUMMYFUNCTION("IF(ISBLANK(A425),"""",GOOGLETRANSLATE(A425,""en"",""fr""))"),"")</f>
        <v/>
      </c>
    </row>
    <row r="426" spans="2:2">
      <c r="B426" s="3" t="str">
        <f ca="1">IFERROR(__xludf.DUMMYFUNCTION("IF(ISBLANK(A426),"""",GOOGLETRANSLATE(A426,""en"",""fr""))"),"")</f>
        <v/>
      </c>
    </row>
    <row r="427" spans="2:2">
      <c r="B427" s="3" t="str">
        <f ca="1">IFERROR(__xludf.DUMMYFUNCTION("IF(ISBLANK(A427),"""",GOOGLETRANSLATE(A427,""en"",""fr""))"),"")</f>
        <v/>
      </c>
    </row>
    <row r="428" spans="2:2">
      <c r="B428" s="3" t="str">
        <f ca="1">IFERROR(__xludf.DUMMYFUNCTION("IF(ISBLANK(A428),"""",GOOGLETRANSLATE(A428,""en"",""fr""))"),"")</f>
        <v/>
      </c>
    </row>
    <row r="429" spans="2:2">
      <c r="B429" s="3" t="str">
        <f ca="1">IFERROR(__xludf.DUMMYFUNCTION("IF(ISBLANK(A429),"""",GOOGLETRANSLATE(A429,""en"",""fr""))"),"")</f>
        <v/>
      </c>
    </row>
    <row r="430" spans="2:2">
      <c r="B430" s="3" t="str">
        <f ca="1">IFERROR(__xludf.DUMMYFUNCTION("IF(ISBLANK(A430),"""",GOOGLETRANSLATE(A430,""en"",""fr""))"),"")</f>
        <v/>
      </c>
    </row>
    <row r="431" spans="2:2">
      <c r="B431" s="3" t="str">
        <f ca="1">IFERROR(__xludf.DUMMYFUNCTION("IF(ISBLANK(A431),"""",GOOGLETRANSLATE(A431,""en"",""fr""))"),"")</f>
        <v/>
      </c>
    </row>
    <row r="432" spans="2:2">
      <c r="B432" s="3" t="str">
        <f ca="1">IFERROR(__xludf.DUMMYFUNCTION("IF(ISBLANK(A432),"""",GOOGLETRANSLATE(A432,""en"",""fr""))"),"")</f>
        <v/>
      </c>
    </row>
    <row r="433" spans="2:2">
      <c r="B433" s="3" t="str">
        <f ca="1">IFERROR(__xludf.DUMMYFUNCTION("IF(ISBLANK(A433),"""",GOOGLETRANSLATE(A433,""en"",""fr""))"),"")</f>
        <v/>
      </c>
    </row>
    <row r="434" spans="2:2">
      <c r="B434" s="3" t="str">
        <f ca="1">IFERROR(__xludf.DUMMYFUNCTION("IF(ISBLANK(A434),"""",GOOGLETRANSLATE(A434,""en"",""fr""))"),"")</f>
        <v/>
      </c>
    </row>
    <row r="435" spans="2:2">
      <c r="B435" s="3" t="str">
        <f ca="1">IFERROR(__xludf.DUMMYFUNCTION("IF(ISBLANK(A435),"""",GOOGLETRANSLATE(A435,""en"",""fr""))"),"")</f>
        <v/>
      </c>
    </row>
    <row r="436" spans="2:2">
      <c r="B436" s="3" t="str">
        <f ca="1">IFERROR(__xludf.DUMMYFUNCTION("IF(ISBLANK(A436),"""",GOOGLETRANSLATE(A436,""en"",""fr""))"),"")</f>
        <v/>
      </c>
    </row>
    <row r="437" spans="2:2">
      <c r="B437" s="3" t="str">
        <f ca="1">IFERROR(__xludf.DUMMYFUNCTION("IF(ISBLANK(A437),"""",GOOGLETRANSLATE(A437,""en"",""fr""))"),"")</f>
        <v/>
      </c>
    </row>
    <row r="438" spans="2:2">
      <c r="B438" s="3" t="str">
        <f ca="1">IFERROR(__xludf.DUMMYFUNCTION("IF(ISBLANK(A438),"""",GOOGLETRANSLATE(A438,""en"",""fr""))"),"")</f>
        <v/>
      </c>
    </row>
    <row r="439" spans="2:2">
      <c r="B439" s="3" t="str">
        <f ca="1">IFERROR(__xludf.DUMMYFUNCTION("IF(ISBLANK(A439),"""",GOOGLETRANSLATE(A439,""en"",""fr""))"),"")</f>
        <v/>
      </c>
    </row>
    <row r="440" spans="2:2">
      <c r="B440" s="3" t="str">
        <f ca="1">IFERROR(__xludf.DUMMYFUNCTION("IF(ISBLANK(A440),"""",GOOGLETRANSLATE(A440,""en"",""fr""))"),"")</f>
        <v/>
      </c>
    </row>
    <row r="441" spans="2:2">
      <c r="B441" s="3" t="str">
        <f ca="1">IFERROR(__xludf.DUMMYFUNCTION("IF(ISBLANK(A441),"""",GOOGLETRANSLATE(A441,""en"",""fr""))"),"")</f>
        <v/>
      </c>
    </row>
    <row r="442" spans="2:2">
      <c r="B442" s="3" t="str">
        <f ca="1">IFERROR(__xludf.DUMMYFUNCTION("IF(ISBLANK(A442),"""",GOOGLETRANSLATE(A442,""en"",""fr""))"),"")</f>
        <v/>
      </c>
    </row>
    <row r="443" spans="2:2">
      <c r="B443" s="3" t="str">
        <f ca="1">IFERROR(__xludf.DUMMYFUNCTION("IF(ISBLANK(A443),"""",GOOGLETRANSLATE(A443,""en"",""fr""))"),"")</f>
        <v/>
      </c>
    </row>
    <row r="444" spans="2:2">
      <c r="B444" s="3" t="str">
        <f ca="1">IFERROR(__xludf.DUMMYFUNCTION("IF(ISBLANK(A444),"""",GOOGLETRANSLATE(A444,""en"",""fr""))"),"")</f>
        <v/>
      </c>
    </row>
    <row r="445" spans="2:2">
      <c r="B445" s="3" t="str">
        <f ca="1">IFERROR(__xludf.DUMMYFUNCTION("IF(ISBLANK(A445),"""",GOOGLETRANSLATE(A445,""en"",""fr""))"),"")</f>
        <v/>
      </c>
    </row>
    <row r="446" spans="2:2">
      <c r="B446" s="3" t="str">
        <f ca="1">IFERROR(__xludf.DUMMYFUNCTION("IF(ISBLANK(A446),"""",GOOGLETRANSLATE(A446,""en"",""fr""))"),"")</f>
        <v/>
      </c>
    </row>
    <row r="447" spans="2:2">
      <c r="B447" s="3" t="str">
        <f ca="1">IFERROR(__xludf.DUMMYFUNCTION("IF(ISBLANK(A447),"""",GOOGLETRANSLATE(A447,""en"",""fr""))"),"")</f>
        <v/>
      </c>
    </row>
    <row r="448" spans="2:2">
      <c r="B448" s="3" t="str">
        <f ca="1">IFERROR(__xludf.DUMMYFUNCTION("IF(ISBLANK(A448),"""",GOOGLETRANSLATE(A448,""en"",""fr""))"),"")</f>
        <v/>
      </c>
    </row>
    <row r="449" spans="2:2">
      <c r="B449" s="3" t="str">
        <f ca="1">IFERROR(__xludf.DUMMYFUNCTION("IF(ISBLANK(A449),"""",GOOGLETRANSLATE(A449,""en"",""fr""))"),"")</f>
        <v/>
      </c>
    </row>
    <row r="450" spans="2:2">
      <c r="B450" s="3" t="str">
        <f ca="1">IFERROR(__xludf.DUMMYFUNCTION("IF(ISBLANK(A450),"""",GOOGLETRANSLATE(A450,""en"",""fr""))"),"")</f>
        <v/>
      </c>
    </row>
    <row r="451" spans="2:2">
      <c r="B451" s="3" t="str">
        <f ca="1">IFERROR(__xludf.DUMMYFUNCTION("IF(ISBLANK(A451),"""",GOOGLETRANSLATE(A451,""en"",""fr""))"),"")</f>
        <v/>
      </c>
    </row>
    <row r="452" spans="2:2">
      <c r="B452" s="3" t="str">
        <f ca="1">IFERROR(__xludf.DUMMYFUNCTION("IF(ISBLANK(A452),"""",GOOGLETRANSLATE(A452,""en"",""fr""))"),"")</f>
        <v/>
      </c>
    </row>
    <row r="453" spans="2:2">
      <c r="B453" s="3" t="str">
        <f ca="1">IFERROR(__xludf.DUMMYFUNCTION("IF(ISBLANK(A453),"""",GOOGLETRANSLATE(A453,""en"",""fr""))"),"")</f>
        <v/>
      </c>
    </row>
    <row r="454" spans="2:2">
      <c r="B454" s="3" t="str">
        <f ca="1">IFERROR(__xludf.DUMMYFUNCTION("IF(ISBLANK(A454),"""",GOOGLETRANSLATE(A454,""en"",""fr""))"),"")</f>
        <v/>
      </c>
    </row>
    <row r="455" spans="2:2">
      <c r="B455" s="3" t="str">
        <f ca="1">IFERROR(__xludf.DUMMYFUNCTION("IF(ISBLANK(A455),"""",GOOGLETRANSLATE(A455,""en"",""fr""))"),"")</f>
        <v/>
      </c>
    </row>
    <row r="456" spans="2:2">
      <c r="B456" s="3" t="str">
        <f ca="1">IFERROR(__xludf.DUMMYFUNCTION("IF(ISBLANK(A456),"""",GOOGLETRANSLATE(A456,""en"",""fr""))"),"")</f>
        <v/>
      </c>
    </row>
    <row r="457" spans="2:2">
      <c r="B457" s="3" t="str">
        <f ca="1">IFERROR(__xludf.DUMMYFUNCTION("IF(ISBLANK(A457),"""",GOOGLETRANSLATE(A457,""en"",""fr""))"),"")</f>
        <v/>
      </c>
    </row>
    <row r="458" spans="2:2">
      <c r="B458" s="3" t="str">
        <f ca="1">IFERROR(__xludf.DUMMYFUNCTION("IF(ISBLANK(A458),"""",GOOGLETRANSLATE(A458,""en"",""fr""))"),"")</f>
        <v/>
      </c>
    </row>
    <row r="459" spans="2:2">
      <c r="B459" s="3" t="str">
        <f ca="1">IFERROR(__xludf.DUMMYFUNCTION("IF(ISBLANK(A459),"""",GOOGLETRANSLATE(A459,""en"",""fr""))"),"")</f>
        <v/>
      </c>
    </row>
    <row r="460" spans="2:2">
      <c r="B460" s="3" t="str">
        <f ca="1">IFERROR(__xludf.DUMMYFUNCTION("IF(ISBLANK(A460),"""",GOOGLETRANSLATE(A460,""en"",""fr""))"),"")</f>
        <v/>
      </c>
    </row>
    <row r="461" spans="2:2">
      <c r="B461" s="3" t="str">
        <f ca="1">IFERROR(__xludf.DUMMYFUNCTION("IF(ISBLANK(A461),"""",GOOGLETRANSLATE(A461,""en"",""fr""))"),"")</f>
        <v/>
      </c>
    </row>
    <row r="462" spans="2:2">
      <c r="B462" s="3" t="str">
        <f ca="1">IFERROR(__xludf.DUMMYFUNCTION("IF(ISBLANK(A462),"""",GOOGLETRANSLATE(A462,""en"",""fr""))"),"")</f>
        <v/>
      </c>
    </row>
    <row r="463" spans="2:2">
      <c r="B463" s="3" t="str">
        <f ca="1">IFERROR(__xludf.DUMMYFUNCTION("IF(ISBLANK(A463),"""",GOOGLETRANSLATE(A463,""en"",""fr""))"),"")</f>
        <v/>
      </c>
    </row>
    <row r="464" spans="2:2">
      <c r="B464" s="3" t="str">
        <f ca="1">IFERROR(__xludf.DUMMYFUNCTION("IF(ISBLANK(A464),"""",GOOGLETRANSLATE(A464,""en"",""fr""))"),"")</f>
        <v/>
      </c>
    </row>
    <row r="465" spans="2:2">
      <c r="B465" s="3" t="str">
        <f ca="1">IFERROR(__xludf.DUMMYFUNCTION("IF(ISBLANK(A465),"""",GOOGLETRANSLATE(A465,""en"",""fr""))"),"")</f>
        <v/>
      </c>
    </row>
    <row r="466" spans="2:2">
      <c r="B466" s="3" t="str">
        <f ca="1">IFERROR(__xludf.DUMMYFUNCTION("IF(ISBLANK(A466),"""",GOOGLETRANSLATE(A466,""en"",""fr""))"),"")</f>
        <v/>
      </c>
    </row>
    <row r="467" spans="2:2">
      <c r="B467" s="3" t="str">
        <f ca="1">IFERROR(__xludf.DUMMYFUNCTION("IF(ISBLANK(A467),"""",GOOGLETRANSLATE(A467,""en"",""fr""))"),"")</f>
        <v/>
      </c>
    </row>
    <row r="468" spans="2:2">
      <c r="B468" s="3" t="str">
        <f ca="1">IFERROR(__xludf.DUMMYFUNCTION("IF(ISBLANK(A468),"""",GOOGLETRANSLATE(A468,""en"",""fr""))"),"")</f>
        <v/>
      </c>
    </row>
    <row r="469" spans="2:2">
      <c r="B469" s="3" t="str">
        <f ca="1">IFERROR(__xludf.DUMMYFUNCTION("IF(ISBLANK(A469),"""",GOOGLETRANSLATE(A469,""en"",""fr""))"),"")</f>
        <v/>
      </c>
    </row>
    <row r="470" spans="2:2">
      <c r="B470" s="3" t="str">
        <f ca="1">IFERROR(__xludf.DUMMYFUNCTION("IF(ISBLANK(A470),"""",GOOGLETRANSLATE(A470,""en"",""fr""))"),"")</f>
        <v/>
      </c>
    </row>
    <row r="471" spans="2:2">
      <c r="B471" s="3" t="str">
        <f ca="1">IFERROR(__xludf.DUMMYFUNCTION("IF(ISBLANK(A471),"""",GOOGLETRANSLATE(A471,""en"",""fr""))"),"")</f>
        <v/>
      </c>
    </row>
    <row r="472" spans="2:2">
      <c r="B472" s="3" t="str">
        <f ca="1">IFERROR(__xludf.DUMMYFUNCTION("IF(ISBLANK(A472),"""",GOOGLETRANSLATE(A472,""en"",""fr""))"),"")</f>
        <v/>
      </c>
    </row>
    <row r="473" spans="2:2">
      <c r="B473" s="3" t="str">
        <f ca="1">IFERROR(__xludf.DUMMYFUNCTION("IF(ISBLANK(A473),"""",GOOGLETRANSLATE(A473,""en"",""fr""))"),"")</f>
        <v/>
      </c>
    </row>
    <row r="474" spans="2:2">
      <c r="B474" s="3" t="str">
        <f ca="1">IFERROR(__xludf.DUMMYFUNCTION("IF(ISBLANK(A474),"""",GOOGLETRANSLATE(A474,""en"",""fr""))"),"")</f>
        <v/>
      </c>
    </row>
    <row r="475" spans="2:2">
      <c r="B475" s="3" t="str">
        <f ca="1">IFERROR(__xludf.DUMMYFUNCTION("IF(ISBLANK(A475),"""",GOOGLETRANSLATE(A475,""en"",""fr""))"),"")</f>
        <v/>
      </c>
    </row>
    <row r="476" spans="2:2">
      <c r="B476" s="3" t="str">
        <f ca="1">IFERROR(__xludf.DUMMYFUNCTION("IF(ISBLANK(A476),"""",GOOGLETRANSLATE(A476,""en"",""fr""))"),"")</f>
        <v/>
      </c>
    </row>
    <row r="477" spans="2:2">
      <c r="B477" s="3" t="str">
        <f ca="1">IFERROR(__xludf.DUMMYFUNCTION("IF(ISBLANK(A477),"""",GOOGLETRANSLATE(A477,""en"",""fr""))"),"")</f>
        <v/>
      </c>
    </row>
    <row r="478" spans="2:2">
      <c r="B478" s="3" t="str">
        <f ca="1">IFERROR(__xludf.DUMMYFUNCTION("IF(ISBLANK(A478),"""",GOOGLETRANSLATE(A478,""en"",""fr""))"),"")</f>
        <v/>
      </c>
    </row>
    <row r="479" spans="2:2">
      <c r="B479" s="3" t="str">
        <f ca="1">IFERROR(__xludf.DUMMYFUNCTION("IF(ISBLANK(A479),"""",GOOGLETRANSLATE(A479,""en"",""fr""))"),"")</f>
        <v/>
      </c>
    </row>
    <row r="480" spans="2:2">
      <c r="B480" s="3" t="str">
        <f ca="1">IFERROR(__xludf.DUMMYFUNCTION("IF(ISBLANK(A480),"""",GOOGLETRANSLATE(A480,""en"",""fr""))"),"")</f>
        <v/>
      </c>
    </row>
    <row r="481" spans="2:2">
      <c r="B481" s="3" t="str">
        <f ca="1">IFERROR(__xludf.DUMMYFUNCTION("IF(ISBLANK(A481),"""",GOOGLETRANSLATE(A481,""en"",""fr""))"),"")</f>
        <v/>
      </c>
    </row>
    <row r="482" spans="2:2">
      <c r="B482" s="3" t="str">
        <f ca="1">IFERROR(__xludf.DUMMYFUNCTION("IF(ISBLANK(A482),"""",GOOGLETRANSLATE(A482,""en"",""fr""))"),"")</f>
        <v/>
      </c>
    </row>
    <row r="483" spans="2:2">
      <c r="B483" s="3" t="str">
        <f ca="1">IFERROR(__xludf.DUMMYFUNCTION("IF(ISBLANK(A483),"""",GOOGLETRANSLATE(A483,""en"",""fr""))"),"")</f>
        <v/>
      </c>
    </row>
    <row r="484" spans="2:2">
      <c r="B484" s="3" t="str">
        <f ca="1">IFERROR(__xludf.DUMMYFUNCTION("IF(ISBLANK(A484),"""",GOOGLETRANSLATE(A484,""en"",""fr""))"),"")</f>
        <v/>
      </c>
    </row>
    <row r="485" spans="2:2">
      <c r="B485" s="3" t="str">
        <f ca="1">IFERROR(__xludf.DUMMYFUNCTION("IF(ISBLANK(A485),"""",GOOGLETRANSLATE(A485,""en"",""fr""))"),"")</f>
        <v/>
      </c>
    </row>
    <row r="486" spans="2:2">
      <c r="B486" s="3" t="str">
        <f ca="1">IFERROR(__xludf.DUMMYFUNCTION("IF(ISBLANK(A486),"""",GOOGLETRANSLATE(A486,""en"",""fr""))"),"")</f>
        <v/>
      </c>
    </row>
    <row r="487" spans="2:2">
      <c r="B487" s="3" t="str">
        <f ca="1">IFERROR(__xludf.DUMMYFUNCTION("IF(ISBLANK(A487),"""",GOOGLETRANSLATE(A487,""en"",""fr""))"),"")</f>
        <v/>
      </c>
    </row>
    <row r="488" spans="2:2">
      <c r="B488" s="3" t="str">
        <f ca="1">IFERROR(__xludf.DUMMYFUNCTION("IF(ISBLANK(A488),"""",GOOGLETRANSLATE(A488,""en"",""fr""))"),"")</f>
        <v/>
      </c>
    </row>
    <row r="489" spans="2:2">
      <c r="B489" s="3" t="str">
        <f ca="1">IFERROR(__xludf.DUMMYFUNCTION("IF(ISBLANK(A489),"""",GOOGLETRANSLATE(A489,""en"",""fr""))"),"")</f>
        <v/>
      </c>
    </row>
    <row r="490" spans="2:2">
      <c r="B490" s="3" t="str">
        <f ca="1">IFERROR(__xludf.DUMMYFUNCTION("IF(ISBLANK(A490),"""",GOOGLETRANSLATE(A490,""en"",""fr""))"),"")</f>
        <v/>
      </c>
    </row>
    <row r="491" spans="2:2">
      <c r="B491" s="3" t="str">
        <f ca="1">IFERROR(__xludf.DUMMYFUNCTION("IF(ISBLANK(A491),"""",GOOGLETRANSLATE(A491,""en"",""fr""))"),"")</f>
        <v/>
      </c>
    </row>
    <row r="492" spans="2:2">
      <c r="B492" s="3" t="str">
        <f ca="1">IFERROR(__xludf.DUMMYFUNCTION("IF(ISBLANK(A492),"""",GOOGLETRANSLATE(A492,""en"",""fr""))"),"")</f>
        <v/>
      </c>
    </row>
    <row r="493" spans="2:2">
      <c r="B493" s="3" t="str">
        <f ca="1">IFERROR(__xludf.DUMMYFUNCTION("IF(ISBLANK(A493),"""",GOOGLETRANSLATE(A493,""en"",""fr""))"),"")</f>
        <v/>
      </c>
    </row>
    <row r="494" spans="2:2">
      <c r="B494" s="3" t="str">
        <f ca="1">IFERROR(__xludf.DUMMYFUNCTION("IF(ISBLANK(A494),"""",GOOGLETRANSLATE(A494,""en"",""fr""))"),"")</f>
        <v/>
      </c>
    </row>
    <row r="495" spans="2:2">
      <c r="B495" s="3" t="str">
        <f ca="1">IFERROR(__xludf.DUMMYFUNCTION("IF(ISBLANK(A495),"""",GOOGLETRANSLATE(A495,""en"",""fr""))"),"")</f>
        <v/>
      </c>
    </row>
    <row r="496" spans="2:2">
      <c r="B496" s="3" t="str">
        <f ca="1">IFERROR(__xludf.DUMMYFUNCTION("IF(ISBLANK(A496),"""",GOOGLETRANSLATE(A496,""en"",""fr""))"),"")</f>
        <v/>
      </c>
    </row>
    <row r="497" spans="2:2">
      <c r="B497" s="3" t="str">
        <f ca="1">IFERROR(__xludf.DUMMYFUNCTION("IF(ISBLANK(A497),"""",GOOGLETRANSLATE(A497,""en"",""fr""))"),"")</f>
        <v/>
      </c>
    </row>
    <row r="498" spans="2:2">
      <c r="B498" s="3" t="str">
        <f ca="1">IFERROR(__xludf.DUMMYFUNCTION("IF(ISBLANK(A498),"""",GOOGLETRANSLATE(A498,""en"",""fr""))"),"")</f>
        <v/>
      </c>
    </row>
    <row r="499" spans="2:2">
      <c r="B499" s="3" t="str">
        <f ca="1">IFERROR(__xludf.DUMMYFUNCTION("IF(ISBLANK(A499),"""",GOOGLETRANSLATE(A499,""en"",""fr""))"),"")</f>
        <v/>
      </c>
    </row>
    <row r="500" spans="2:2">
      <c r="B500" s="3" t="str">
        <f ca="1">IFERROR(__xludf.DUMMYFUNCTION("IF(ISBLANK(A500),"""",GOOGLETRANSLATE(A500,""en"",""fr""))"),"")</f>
        <v/>
      </c>
    </row>
    <row r="501" spans="2:2">
      <c r="B501" s="3" t="str">
        <f ca="1">IFERROR(__xludf.DUMMYFUNCTION("IF(ISBLANK(A501),"""",GOOGLETRANSLATE(A501,""en"",""fr""))"),"")</f>
        <v/>
      </c>
    </row>
    <row r="502" spans="2:2">
      <c r="B502" s="3" t="str">
        <f ca="1">IFERROR(__xludf.DUMMYFUNCTION("IF(ISBLANK(A502),"""",GOOGLETRANSLATE(A502,""en"",""fr""))"),"")</f>
        <v/>
      </c>
    </row>
    <row r="503" spans="2:2">
      <c r="B503" s="3" t="str">
        <f ca="1">IFERROR(__xludf.DUMMYFUNCTION("IF(ISBLANK(A503),"""",GOOGLETRANSLATE(A503,""en"",""fr""))"),"")</f>
        <v/>
      </c>
    </row>
    <row r="504" spans="2:2">
      <c r="B504" s="3" t="str">
        <f ca="1">IFERROR(__xludf.DUMMYFUNCTION("IF(ISBLANK(A504),"""",GOOGLETRANSLATE(A504,""en"",""fr""))"),"")</f>
        <v/>
      </c>
    </row>
    <row r="505" spans="2:2">
      <c r="B505" s="3" t="str">
        <f ca="1">IFERROR(__xludf.DUMMYFUNCTION("IF(ISBLANK(A505),"""",GOOGLETRANSLATE(A505,""en"",""fr""))"),"")</f>
        <v/>
      </c>
    </row>
    <row r="506" spans="2:2">
      <c r="B506" s="3" t="str">
        <f ca="1">IFERROR(__xludf.DUMMYFUNCTION("IF(ISBLANK(A506),"""",GOOGLETRANSLATE(A506,""en"",""fr""))"),"")</f>
        <v/>
      </c>
    </row>
    <row r="507" spans="2:2">
      <c r="B507" s="3" t="str">
        <f ca="1">IFERROR(__xludf.DUMMYFUNCTION("IF(ISBLANK(A507),"""",GOOGLETRANSLATE(A507,""en"",""fr""))"),"")</f>
        <v/>
      </c>
    </row>
    <row r="508" spans="2:2">
      <c r="B508" s="3" t="str">
        <f ca="1">IFERROR(__xludf.DUMMYFUNCTION("IF(ISBLANK(A508),"""",GOOGLETRANSLATE(A508,""en"",""fr""))"),"")</f>
        <v/>
      </c>
    </row>
    <row r="509" spans="2:2">
      <c r="B509" s="3" t="str">
        <f ca="1">IFERROR(__xludf.DUMMYFUNCTION("IF(ISBLANK(A509),"""",GOOGLETRANSLATE(A509,""en"",""fr""))"),"")</f>
        <v/>
      </c>
    </row>
    <row r="510" spans="2:2">
      <c r="B510" s="3" t="str">
        <f ca="1">IFERROR(__xludf.DUMMYFUNCTION("IF(ISBLANK(A510),"""",GOOGLETRANSLATE(A510,""en"",""fr""))"),"")</f>
        <v/>
      </c>
    </row>
    <row r="511" spans="2:2">
      <c r="B511" s="3" t="str">
        <f ca="1">IFERROR(__xludf.DUMMYFUNCTION("IF(ISBLANK(A511),"""",GOOGLETRANSLATE(A511,""en"",""fr""))"),"")</f>
        <v/>
      </c>
    </row>
    <row r="512" spans="2:2">
      <c r="B512" s="3" t="str">
        <f ca="1">IFERROR(__xludf.DUMMYFUNCTION("IF(ISBLANK(A512),"""",GOOGLETRANSLATE(A512,""en"",""fr""))"),"")</f>
        <v/>
      </c>
    </row>
    <row r="513" spans="2:2">
      <c r="B513" s="3" t="str">
        <f ca="1">IFERROR(__xludf.DUMMYFUNCTION("IF(ISBLANK(A513),"""",GOOGLETRANSLATE(A513,""en"",""fr""))"),"")</f>
        <v/>
      </c>
    </row>
    <row r="514" spans="2:2">
      <c r="B514" s="3" t="str">
        <f ca="1">IFERROR(__xludf.DUMMYFUNCTION("IF(ISBLANK(A514),"""",GOOGLETRANSLATE(A514,""en"",""fr""))"),"")</f>
        <v/>
      </c>
    </row>
    <row r="515" spans="2:2">
      <c r="B515" s="3" t="str">
        <f ca="1">IFERROR(__xludf.DUMMYFUNCTION("IF(ISBLANK(A515),"""",GOOGLETRANSLATE(A515,""en"",""fr""))"),"")</f>
        <v/>
      </c>
    </row>
    <row r="516" spans="2:2">
      <c r="B516" s="3" t="str">
        <f ca="1">IFERROR(__xludf.DUMMYFUNCTION("IF(ISBLANK(A516),"""",GOOGLETRANSLATE(A516,""en"",""fr""))"),"")</f>
        <v/>
      </c>
    </row>
    <row r="517" spans="2:2">
      <c r="B517" s="3" t="str">
        <f ca="1">IFERROR(__xludf.DUMMYFUNCTION("IF(ISBLANK(A517),"""",GOOGLETRANSLATE(A517,""en"",""fr""))"),"")</f>
        <v/>
      </c>
    </row>
    <row r="518" spans="2:2">
      <c r="B518" s="3" t="str">
        <f ca="1">IFERROR(__xludf.DUMMYFUNCTION("IF(ISBLANK(A518),"""",GOOGLETRANSLATE(A518,""en"",""fr""))"),"")</f>
        <v/>
      </c>
    </row>
    <row r="519" spans="2:2">
      <c r="B519" s="3" t="str">
        <f ca="1">IFERROR(__xludf.DUMMYFUNCTION("IF(ISBLANK(A519),"""",GOOGLETRANSLATE(A519,""en"",""fr""))"),"")</f>
        <v/>
      </c>
    </row>
    <row r="520" spans="2:2">
      <c r="B520" s="3" t="str">
        <f ca="1">IFERROR(__xludf.DUMMYFUNCTION("IF(ISBLANK(A520),"""",GOOGLETRANSLATE(A520,""en"",""fr""))"),"")</f>
        <v/>
      </c>
    </row>
    <row r="521" spans="2:2">
      <c r="B521" s="3" t="str">
        <f ca="1">IFERROR(__xludf.DUMMYFUNCTION("IF(ISBLANK(A521),"""",GOOGLETRANSLATE(A521,""en"",""fr""))"),"")</f>
        <v/>
      </c>
    </row>
    <row r="522" spans="2:2">
      <c r="B522" s="3" t="str">
        <f ca="1">IFERROR(__xludf.DUMMYFUNCTION("IF(ISBLANK(A522),"""",GOOGLETRANSLATE(A522,""en"",""fr""))"),"")</f>
        <v/>
      </c>
    </row>
    <row r="523" spans="2:2">
      <c r="B523" s="3" t="str">
        <f ca="1">IFERROR(__xludf.DUMMYFUNCTION("IF(ISBLANK(A523),"""",GOOGLETRANSLATE(A523,""en"",""fr""))"),"")</f>
        <v/>
      </c>
    </row>
    <row r="524" spans="2:2">
      <c r="B524" s="3" t="str">
        <f ca="1">IFERROR(__xludf.DUMMYFUNCTION("IF(ISBLANK(A524),"""",GOOGLETRANSLATE(A524,""en"",""fr""))"),"")</f>
        <v/>
      </c>
    </row>
    <row r="525" spans="2:2">
      <c r="B525" s="3" t="str">
        <f ca="1">IFERROR(__xludf.DUMMYFUNCTION("IF(ISBLANK(A525),"""",GOOGLETRANSLATE(A525,""en"",""fr""))"),"")</f>
        <v/>
      </c>
    </row>
    <row r="526" spans="2:2">
      <c r="B526" s="3" t="str">
        <f ca="1">IFERROR(__xludf.DUMMYFUNCTION("IF(ISBLANK(A526),"""",GOOGLETRANSLATE(A526,""en"",""fr""))"),"")</f>
        <v/>
      </c>
    </row>
    <row r="527" spans="2:2">
      <c r="B527" s="3" t="str">
        <f ca="1">IFERROR(__xludf.DUMMYFUNCTION("IF(ISBLANK(A527),"""",GOOGLETRANSLATE(A527,""en"",""fr""))"),"")</f>
        <v/>
      </c>
    </row>
    <row r="528" spans="2:2">
      <c r="B528" s="3" t="str">
        <f ca="1">IFERROR(__xludf.DUMMYFUNCTION("IF(ISBLANK(A528),"""",GOOGLETRANSLATE(A528,""en"",""fr""))"),"")</f>
        <v/>
      </c>
    </row>
    <row r="529" spans="2:2">
      <c r="B529" s="3" t="str">
        <f ca="1">IFERROR(__xludf.DUMMYFUNCTION("IF(ISBLANK(A529),"""",GOOGLETRANSLATE(A529,""en"",""fr""))"),"")</f>
        <v/>
      </c>
    </row>
    <row r="530" spans="2:2">
      <c r="B530" s="3" t="str">
        <f ca="1">IFERROR(__xludf.DUMMYFUNCTION("IF(ISBLANK(A530),"""",GOOGLETRANSLATE(A530,""en"",""fr""))"),"")</f>
        <v/>
      </c>
    </row>
    <row r="531" spans="2:2">
      <c r="B531" s="3" t="str">
        <f ca="1">IFERROR(__xludf.DUMMYFUNCTION("IF(ISBLANK(A531),"""",GOOGLETRANSLATE(A531,""en"",""fr""))"),"")</f>
        <v/>
      </c>
    </row>
    <row r="532" spans="2:2">
      <c r="B532" s="3" t="str">
        <f ca="1">IFERROR(__xludf.DUMMYFUNCTION("IF(ISBLANK(A532),"""",GOOGLETRANSLATE(A532,""en"",""fr""))"),"")</f>
        <v/>
      </c>
    </row>
    <row r="533" spans="2:2">
      <c r="B533" s="3" t="str">
        <f ca="1">IFERROR(__xludf.DUMMYFUNCTION("IF(ISBLANK(A533),"""",GOOGLETRANSLATE(A533,""en"",""fr""))"),"")</f>
        <v/>
      </c>
    </row>
    <row r="534" spans="2:2">
      <c r="B534" s="3" t="str">
        <f ca="1">IFERROR(__xludf.DUMMYFUNCTION("IF(ISBLANK(A534),"""",GOOGLETRANSLATE(A534,""en"",""fr""))"),"")</f>
        <v/>
      </c>
    </row>
    <row r="535" spans="2:2">
      <c r="B535" s="3" t="str">
        <f ca="1">IFERROR(__xludf.DUMMYFUNCTION("IF(ISBLANK(A535),"""",GOOGLETRANSLATE(A535,""en"",""fr""))"),"")</f>
        <v/>
      </c>
    </row>
    <row r="536" spans="2:2">
      <c r="B536" s="3" t="str">
        <f ca="1">IFERROR(__xludf.DUMMYFUNCTION("IF(ISBLANK(A536),"""",GOOGLETRANSLATE(A536,""en"",""fr""))"),"")</f>
        <v/>
      </c>
    </row>
    <row r="537" spans="2:2">
      <c r="B537" s="3" t="str">
        <f ca="1">IFERROR(__xludf.DUMMYFUNCTION("IF(ISBLANK(A537),"""",GOOGLETRANSLATE(A537,""en"",""fr""))"),"")</f>
        <v/>
      </c>
    </row>
    <row r="538" spans="2:2">
      <c r="B538" s="3" t="str">
        <f ca="1">IFERROR(__xludf.DUMMYFUNCTION("IF(ISBLANK(A538),"""",GOOGLETRANSLATE(A538,""en"",""fr""))"),"")</f>
        <v/>
      </c>
    </row>
    <row r="539" spans="2:2">
      <c r="B539" s="3" t="str">
        <f ca="1">IFERROR(__xludf.DUMMYFUNCTION("IF(ISBLANK(A539),"""",GOOGLETRANSLATE(A539,""en"",""fr""))"),"")</f>
        <v/>
      </c>
    </row>
    <row r="540" spans="2:2">
      <c r="B540" s="3" t="str">
        <f ca="1">IFERROR(__xludf.DUMMYFUNCTION("IF(ISBLANK(A540),"""",GOOGLETRANSLATE(A540,""en"",""fr""))"),"")</f>
        <v/>
      </c>
    </row>
    <row r="541" spans="2:2">
      <c r="B541" s="3" t="str">
        <f ca="1">IFERROR(__xludf.DUMMYFUNCTION("IF(ISBLANK(A541),"""",GOOGLETRANSLATE(A541,""en"",""fr""))"),"")</f>
        <v/>
      </c>
    </row>
    <row r="542" spans="2:2">
      <c r="B542" s="3" t="str">
        <f ca="1">IFERROR(__xludf.DUMMYFUNCTION("IF(ISBLANK(A542),"""",GOOGLETRANSLATE(A542,""en"",""fr""))"),"")</f>
        <v/>
      </c>
    </row>
    <row r="543" spans="2:2">
      <c r="B543" s="3" t="str">
        <f ca="1">IFERROR(__xludf.DUMMYFUNCTION("IF(ISBLANK(A543),"""",GOOGLETRANSLATE(A543,""en"",""fr""))"),"")</f>
        <v/>
      </c>
    </row>
    <row r="544" spans="2:2">
      <c r="B544" s="3" t="str">
        <f ca="1">IFERROR(__xludf.DUMMYFUNCTION("IF(ISBLANK(A544),"""",GOOGLETRANSLATE(A544,""en"",""fr""))"),"")</f>
        <v/>
      </c>
    </row>
    <row r="545" spans="2:2">
      <c r="B545" s="3" t="str">
        <f ca="1">IFERROR(__xludf.DUMMYFUNCTION("IF(ISBLANK(A545),"""",GOOGLETRANSLATE(A545,""en"",""fr""))"),"")</f>
        <v/>
      </c>
    </row>
    <row r="546" spans="2:2">
      <c r="B546" s="3" t="str">
        <f ca="1">IFERROR(__xludf.DUMMYFUNCTION("IF(ISBLANK(A546),"""",GOOGLETRANSLATE(A546,""en"",""fr""))"),"")</f>
        <v/>
      </c>
    </row>
    <row r="547" spans="2:2">
      <c r="B547" s="3" t="str">
        <f ca="1">IFERROR(__xludf.DUMMYFUNCTION("IF(ISBLANK(A547),"""",GOOGLETRANSLATE(A547,""en"",""fr""))"),"")</f>
        <v/>
      </c>
    </row>
    <row r="548" spans="2:2">
      <c r="B548" s="3" t="str">
        <f ca="1">IFERROR(__xludf.DUMMYFUNCTION("IF(ISBLANK(A548),"""",GOOGLETRANSLATE(A548,""en"",""fr""))"),"")</f>
        <v/>
      </c>
    </row>
    <row r="549" spans="2:2">
      <c r="B549" s="3" t="str">
        <f ca="1">IFERROR(__xludf.DUMMYFUNCTION("IF(ISBLANK(A549),"""",GOOGLETRANSLATE(A549,""en"",""fr""))"),"")</f>
        <v/>
      </c>
    </row>
    <row r="550" spans="2:2">
      <c r="B550" s="3" t="str">
        <f ca="1">IFERROR(__xludf.DUMMYFUNCTION("IF(ISBLANK(A550),"""",GOOGLETRANSLATE(A550,""en"",""fr""))"),"")</f>
        <v/>
      </c>
    </row>
    <row r="551" spans="2:2">
      <c r="B551" s="3" t="str">
        <f ca="1">IFERROR(__xludf.DUMMYFUNCTION("IF(ISBLANK(A551),"""",GOOGLETRANSLATE(A551,""en"",""fr""))"),"")</f>
        <v/>
      </c>
    </row>
    <row r="552" spans="2:2">
      <c r="B552" s="3" t="str">
        <f ca="1">IFERROR(__xludf.DUMMYFUNCTION("IF(ISBLANK(A552),"""",GOOGLETRANSLATE(A552,""en"",""fr""))"),"")</f>
        <v/>
      </c>
    </row>
    <row r="553" spans="2:2">
      <c r="B553" s="3" t="str">
        <f ca="1">IFERROR(__xludf.DUMMYFUNCTION("IF(ISBLANK(A553),"""",GOOGLETRANSLATE(A553,""en"",""fr""))"),"")</f>
        <v/>
      </c>
    </row>
    <row r="554" spans="2:2">
      <c r="B554" s="3" t="str">
        <f ca="1">IFERROR(__xludf.DUMMYFUNCTION("IF(ISBLANK(A554),"""",GOOGLETRANSLATE(A554,""en"",""fr""))"),"")</f>
        <v/>
      </c>
    </row>
    <row r="555" spans="2:2">
      <c r="B555" s="3" t="str">
        <f ca="1">IFERROR(__xludf.DUMMYFUNCTION("IF(ISBLANK(A555),"""",GOOGLETRANSLATE(A555,""en"",""fr""))"),"")</f>
        <v/>
      </c>
    </row>
    <row r="556" spans="2:2">
      <c r="B556" s="3" t="str">
        <f ca="1">IFERROR(__xludf.DUMMYFUNCTION("IF(ISBLANK(A556),"""",GOOGLETRANSLATE(A556,""en"",""fr""))"),"")</f>
        <v/>
      </c>
    </row>
    <row r="557" spans="2:2">
      <c r="B557" s="3" t="str">
        <f ca="1">IFERROR(__xludf.DUMMYFUNCTION("IF(ISBLANK(A557),"""",GOOGLETRANSLATE(A557,""en"",""fr""))"),"")</f>
        <v/>
      </c>
    </row>
    <row r="558" spans="2:2">
      <c r="B558" s="3" t="str">
        <f ca="1">IFERROR(__xludf.DUMMYFUNCTION("IF(ISBLANK(A558),"""",GOOGLETRANSLATE(A558,""en"",""fr""))"),"")</f>
        <v/>
      </c>
    </row>
    <row r="559" spans="2:2">
      <c r="B559" s="3" t="str">
        <f ca="1">IFERROR(__xludf.DUMMYFUNCTION("IF(ISBLANK(A559),"""",GOOGLETRANSLATE(A559,""en"",""fr""))"),"")</f>
        <v/>
      </c>
    </row>
    <row r="560" spans="2:2">
      <c r="B560" s="3" t="str">
        <f ca="1">IFERROR(__xludf.DUMMYFUNCTION("IF(ISBLANK(A560),"""",GOOGLETRANSLATE(A560,""en"",""fr""))"),"")</f>
        <v/>
      </c>
    </row>
    <row r="561" spans="2:2">
      <c r="B561" s="3" t="str">
        <f ca="1">IFERROR(__xludf.DUMMYFUNCTION("IF(ISBLANK(A561),"""",GOOGLETRANSLATE(A561,""en"",""fr""))"),"")</f>
        <v/>
      </c>
    </row>
    <row r="562" spans="2:2">
      <c r="B562" s="3" t="str">
        <f ca="1">IFERROR(__xludf.DUMMYFUNCTION("IF(ISBLANK(A562),"""",GOOGLETRANSLATE(A562,""en"",""fr""))"),"")</f>
        <v/>
      </c>
    </row>
    <row r="563" spans="2:2">
      <c r="B563" s="3" t="str">
        <f ca="1">IFERROR(__xludf.DUMMYFUNCTION("IF(ISBLANK(A563),"""",GOOGLETRANSLATE(A563,""en"",""fr""))"),"")</f>
        <v/>
      </c>
    </row>
    <row r="564" spans="2:2">
      <c r="B564" s="3" t="str">
        <f ca="1">IFERROR(__xludf.DUMMYFUNCTION("IF(ISBLANK(A564),"""",GOOGLETRANSLATE(A564,""en"",""fr""))"),"")</f>
        <v/>
      </c>
    </row>
    <row r="565" spans="2:2">
      <c r="B565" s="3" t="str">
        <f ca="1">IFERROR(__xludf.DUMMYFUNCTION("IF(ISBLANK(A565),"""",GOOGLETRANSLATE(A565,""en"",""fr""))"),"")</f>
        <v/>
      </c>
    </row>
    <row r="566" spans="2:2">
      <c r="B566" s="3" t="str">
        <f ca="1">IFERROR(__xludf.DUMMYFUNCTION("IF(ISBLANK(A566),"""",GOOGLETRANSLATE(A566,""en"",""fr""))"),"")</f>
        <v/>
      </c>
    </row>
    <row r="567" spans="2:2">
      <c r="B567" s="3" t="str">
        <f ca="1">IFERROR(__xludf.DUMMYFUNCTION("IF(ISBLANK(A567),"""",GOOGLETRANSLATE(A567,""en"",""fr""))"),"")</f>
        <v/>
      </c>
    </row>
    <row r="568" spans="2:2">
      <c r="B568" s="3" t="str">
        <f ca="1">IFERROR(__xludf.DUMMYFUNCTION("IF(ISBLANK(A568),"""",GOOGLETRANSLATE(A568,""en"",""fr""))"),"")</f>
        <v/>
      </c>
    </row>
    <row r="569" spans="2:2">
      <c r="B569" s="3" t="str">
        <f ca="1">IFERROR(__xludf.DUMMYFUNCTION("IF(ISBLANK(A569),"""",GOOGLETRANSLATE(A569,""en"",""fr""))"),"")</f>
        <v/>
      </c>
    </row>
    <row r="570" spans="2:2">
      <c r="B570" s="3" t="str">
        <f ca="1">IFERROR(__xludf.DUMMYFUNCTION("IF(ISBLANK(A570),"""",GOOGLETRANSLATE(A570,""en"",""fr""))"),"")</f>
        <v/>
      </c>
    </row>
    <row r="571" spans="2:2">
      <c r="B571" s="3" t="str">
        <f ca="1">IFERROR(__xludf.DUMMYFUNCTION("IF(ISBLANK(A571),"""",GOOGLETRANSLATE(A571,""en"",""fr""))"),"")</f>
        <v/>
      </c>
    </row>
    <row r="572" spans="2:2">
      <c r="B572" s="3" t="str">
        <f ca="1">IFERROR(__xludf.DUMMYFUNCTION("IF(ISBLANK(A572),"""",GOOGLETRANSLATE(A572,""en"",""fr""))"),"")</f>
        <v/>
      </c>
    </row>
    <row r="573" spans="2:2">
      <c r="B573" s="3" t="str">
        <f ca="1">IFERROR(__xludf.DUMMYFUNCTION("IF(ISBLANK(A573),"""",GOOGLETRANSLATE(A573,""en"",""fr""))"),"")</f>
        <v/>
      </c>
    </row>
    <row r="574" spans="2:2">
      <c r="B574" s="3" t="str">
        <f ca="1">IFERROR(__xludf.DUMMYFUNCTION("IF(ISBLANK(A574),"""",GOOGLETRANSLATE(A574,""en"",""fr""))"),"")</f>
        <v/>
      </c>
    </row>
    <row r="575" spans="2:2">
      <c r="B575" s="3" t="str">
        <f ca="1">IFERROR(__xludf.DUMMYFUNCTION("IF(ISBLANK(A575),"""",GOOGLETRANSLATE(A575,""en"",""fr""))"),"")</f>
        <v/>
      </c>
    </row>
    <row r="576" spans="2:2">
      <c r="B576" s="3" t="str">
        <f ca="1">IFERROR(__xludf.DUMMYFUNCTION("IF(ISBLANK(A576),"""",GOOGLETRANSLATE(A576,""en"",""fr""))"),"")</f>
        <v/>
      </c>
    </row>
    <row r="577" spans="2:2">
      <c r="B577" s="3" t="str">
        <f ca="1">IFERROR(__xludf.DUMMYFUNCTION("IF(ISBLANK(A577),"""",GOOGLETRANSLATE(A577,""en"",""fr""))"),"")</f>
        <v/>
      </c>
    </row>
    <row r="578" spans="2:2">
      <c r="B578" s="3" t="str">
        <f ca="1">IFERROR(__xludf.DUMMYFUNCTION("IF(ISBLANK(A578),"""",GOOGLETRANSLATE(A578,""en"",""fr""))"),"")</f>
        <v/>
      </c>
    </row>
    <row r="579" spans="2:2">
      <c r="B579" s="3" t="str">
        <f ca="1">IFERROR(__xludf.DUMMYFUNCTION("IF(ISBLANK(A579),"""",GOOGLETRANSLATE(A579,""en"",""fr""))"),"")</f>
        <v/>
      </c>
    </row>
    <row r="580" spans="2:2">
      <c r="B580" s="3" t="str">
        <f ca="1">IFERROR(__xludf.DUMMYFUNCTION("IF(ISBLANK(A580),"""",GOOGLETRANSLATE(A580,""en"",""fr""))"),"")</f>
        <v/>
      </c>
    </row>
    <row r="581" spans="2:2">
      <c r="B581" s="3" t="str">
        <f ca="1">IFERROR(__xludf.DUMMYFUNCTION("IF(ISBLANK(A581),"""",GOOGLETRANSLATE(A581,""en"",""fr""))"),"")</f>
        <v/>
      </c>
    </row>
    <row r="582" spans="2:2">
      <c r="B582" s="3" t="str">
        <f ca="1">IFERROR(__xludf.DUMMYFUNCTION("IF(ISBLANK(A582),"""",GOOGLETRANSLATE(A582,""en"",""fr""))"),"")</f>
        <v/>
      </c>
    </row>
    <row r="583" spans="2:2">
      <c r="B583" s="3" t="str">
        <f ca="1">IFERROR(__xludf.DUMMYFUNCTION("IF(ISBLANK(A583),"""",GOOGLETRANSLATE(A583,""en"",""fr""))"),"")</f>
        <v/>
      </c>
    </row>
    <row r="584" spans="2:2">
      <c r="B584" s="3" t="str">
        <f ca="1">IFERROR(__xludf.DUMMYFUNCTION("IF(ISBLANK(A584),"""",GOOGLETRANSLATE(A584,""en"",""fr""))"),"")</f>
        <v/>
      </c>
    </row>
    <row r="585" spans="2:2">
      <c r="B585" s="3" t="str">
        <f ca="1">IFERROR(__xludf.DUMMYFUNCTION("IF(ISBLANK(A585),"""",GOOGLETRANSLATE(A585,""en"",""fr""))"),"")</f>
        <v/>
      </c>
    </row>
    <row r="586" spans="2:2">
      <c r="B586" s="3" t="str">
        <f ca="1">IFERROR(__xludf.DUMMYFUNCTION("IF(ISBLANK(A586),"""",GOOGLETRANSLATE(A586,""en"",""fr""))"),"")</f>
        <v/>
      </c>
    </row>
    <row r="587" spans="2:2">
      <c r="B587" s="3" t="str">
        <f ca="1">IFERROR(__xludf.DUMMYFUNCTION("IF(ISBLANK(A587),"""",GOOGLETRANSLATE(A587,""en"",""fr""))"),"")</f>
        <v/>
      </c>
    </row>
    <row r="588" spans="2:2">
      <c r="B588" s="3" t="str">
        <f ca="1">IFERROR(__xludf.DUMMYFUNCTION("IF(ISBLANK(A588),"""",GOOGLETRANSLATE(A588,""en"",""fr""))"),"")</f>
        <v/>
      </c>
    </row>
    <row r="589" spans="2:2">
      <c r="B589" s="3" t="str">
        <f ca="1">IFERROR(__xludf.DUMMYFUNCTION("IF(ISBLANK(A589),"""",GOOGLETRANSLATE(A589,""en"",""fr""))"),"")</f>
        <v/>
      </c>
    </row>
    <row r="590" spans="2:2">
      <c r="B590" s="3" t="str">
        <f ca="1">IFERROR(__xludf.DUMMYFUNCTION("IF(ISBLANK(A590),"""",GOOGLETRANSLATE(A590,""en"",""fr""))"),"")</f>
        <v/>
      </c>
    </row>
    <row r="591" spans="2:2">
      <c r="B591" s="3" t="str">
        <f ca="1">IFERROR(__xludf.DUMMYFUNCTION("IF(ISBLANK(A591),"""",GOOGLETRANSLATE(A591,""en"",""fr""))"),"")</f>
        <v/>
      </c>
    </row>
    <row r="592" spans="2:2">
      <c r="B592" s="3" t="str">
        <f ca="1">IFERROR(__xludf.DUMMYFUNCTION("IF(ISBLANK(A592),"""",GOOGLETRANSLATE(A592,""en"",""fr""))"),"")</f>
        <v/>
      </c>
    </row>
    <row r="593" spans="2:2">
      <c r="B593" s="3" t="str">
        <f ca="1">IFERROR(__xludf.DUMMYFUNCTION("IF(ISBLANK(A593),"""",GOOGLETRANSLATE(A593,""en"",""fr""))"),"")</f>
        <v/>
      </c>
    </row>
    <row r="594" spans="2:2">
      <c r="B594" s="3" t="str">
        <f ca="1">IFERROR(__xludf.DUMMYFUNCTION("IF(ISBLANK(A594),"""",GOOGLETRANSLATE(A594,""en"",""fr""))"),"")</f>
        <v/>
      </c>
    </row>
    <row r="595" spans="2:2">
      <c r="B595" s="3" t="str">
        <f ca="1">IFERROR(__xludf.DUMMYFUNCTION("IF(ISBLANK(A595),"""",GOOGLETRANSLATE(A595,""en"",""fr""))"),"")</f>
        <v/>
      </c>
    </row>
    <row r="596" spans="2:2">
      <c r="B596" s="3" t="str">
        <f ca="1">IFERROR(__xludf.DUMMYFUNCTION("IF(ISBLANK(A596),"""",GOOGLETRANSLATE(A596,""en"",""fr""))"),"")</f>
        <v/>
      </c>
    </row>
    <row r="597" spans="2:2">
      <c r="B597" s="3" t="str">
        <f ca="1">IFERROR(__xludf.DUMMYFUNCTION("IF(ISBLANK(A597),"""",GOOGLETRANSLATE(A597,""en"",""fr""))"),"")</f>
        <v/>
      </c>
    </row>
    <row r="598" spans="2:2">
      <c r="B598" s="3" t="str">
        <f ca="1">IFERROR(__xludf.DUMMYFUNCTION("IF(ISBLANK(A598),"""",GOOGLETRANSLATE(A598,""en"",""fr""))"),"")</f>
        <v/>
      </c>
    </row>
    <row r="599" spans="2:2">
      <c r="B599" s="3" t="str">
        <f ca="1">IFERROR(__xludf.DUMMYFUNCTION("IF(ISBLANK(A599),"""",GOOGLETRANSLATE(A599,""en"",""fr""))"),"")</f>
        <v/>
      </c>
    </row>
    <row r="600" spans="2:2">
      <c r="B600" s="3" t="str">
        <f ca="1">IFERROR(__xludf.DUMMYFUNCTION("IF(ISBLANK(A600),"""",GOOGLETRANSLATE(A600,""en"",""fr""))"),"")</f>
        <v/>
      </c>
    </row>
    <row r="601" spans="2:2">
      <c r="B601" s="3" t="str">
        <f ca="1">IFERROR(__xludf.DUMMYFUNCTION("IF(ISBLANK(A601),"""",GOOGLETRANSLATE(A601,""en"",""fr""))"),"")</f>
        <v/>
      </c>
    </row>
    <row r="602" spans="2:2">
      <c r="B602" s="3" t="str">
        <f ca="1">IFERROR(__xludf.DUMMYFUNCTION("IF(ISBLANK(A602),"""",GOOGLETRANSLATE(A602,""en"",""fr""))"),"")</f>
        <v/>
      </c>
    </row>
    <row r="603" spans="2:2">
      <c r="B603" s="3" t="str">
        <f ca="1">IFERROR(__xludf.DUMMYFUNCTION("IF(ISBLANK(A603),"""",GOOGLETRANSLATE(A603,""en"",""fr""))"),"")</f>
        <v/>
      </c>
    </row>
    <row r="604" spans="2:2">
      <c r="B604" s="3" t="str">
        <f ca="1">IFERROR(__xludf.DUMMYFUNCTION("IF(ISBLANK(A604),"""",GOOGLETRANSLATE(A604,""en"",""fr""))"),"")</f>
        <v/>
      </c>
    </row>
    <row r="605" spans="2:2">
      <c r="B605" s="3" t="str">
        <f ca="1">IFERROR(__xludf.DUMMYFUNCTION("IF(ISBLANK(A605),"""",GOOGLETRANSLATE(A605,""en"",""fr""))"),"")</f>
        <v/>
      </c>
    </row>
    <row r="606" spans="2:2">
      <c r="B606" s="3" t="str">
        <f ca="1">IFERROR(__xludf.DUMMYFUNCTION("IF(ISBLANK(A606),"""",GOOGLETRANSLATE(A606,""en"",""fr""))"),"")</f>
        <v/>
      </c>
    </row>
    <row r="607" spans="2:2">
      <c r="B607" s="3" t="str">
        <f ca="1">IFERROR(__xludf.DUMMYFUNCTION("IF(ISBLANK(A607),"""",GOOGLETRANSLATE(A607,""en"",""fr""))"),"")</f>
        <v/>
      </c>
    </row>
    <row r="608" spans="2:2">
      <c r="B608" s="3" t="str">
        <f ca="1">IFERROR(__xludf.DUMMYFUNCTION("IF(ISBLANK(A608),"""",GOOGLETRANSLATE(A608,""en"",""fr""))"),"")</f>
        <v/>
      </c>
    </row>
    <row r="609" spans="2:2">
      <c r="B609" s="3" t="str">
        <f ca="1">IFERROR(__xludf.DUMMYFUNCTION("IF(ISBLANK(A609),"""",GOOGLETRANSLATE(A609,""en"",""fr""))"),"")</f>
        <v/>
      </c>
    </row>
    <row r="610" spans="2:2">
      <c r="B610" s="3" t="str">
        <f ca="1">IFERROR(__xludf.DUMMYFUNCTION("IF(ISBLANK(A610),"""",GOOGLETRANSLATE(A610,""en"",""fr""))"),"")</f>
        <v/>
      </c>
    </row>
    <row r="611" spans="2:2">
      <c r="B611" s="3" t="str">
        <f ca="1">IFERROR(__xludf.DUMMYFUNCTION("IF(ISBLANK(A611),"""",GOOGLETRANSLATE(A611,""en"",""fr""))"),"")</f>
        <v/>
      </c>
    </row>
    <row r="612" spans="2:2">
      <c r="B612" s="3" t="str">
        <f ca="1">IFERROR(__xludf.DUMMYFUNCTION("IF(ISBLANK(A612),"""",GOOGLETRANSLATE(A612,""en"",""fr""))"),"")</f>
        <v/>
      </c>
    </row>
    <row r="613" spans="2:2">
      <c r="B613" s="3" t="str">
        <f ca="1">IFERROR(__xludf.DUMMYFUNCTION("IF(ISBLANK(A613),"""",GOOGLETRANSLATE(A613,""en"",""fr""))"),"")</f>
        <v/>
      </c>
    </row>
    <row r="614" spans="2:2">
      <c r="B614" s="3" t="str">
        <f ca="1">IFERROR(__xludf.DUMMYFUNCTION("IF(ISBLANK(A614),"""",GOOGLETRANSLATE(A614,""en"",""fr""))"),"")</f>
        <v/>
      </c>
    </row>
    <row r="615" spans="2:2">
      <c r="B615" s="3" t="str">
        <f ca="1">IFERROR(__xludf.DUMMYFUNCTION("IF(ISBLANK(A615),"""",GOOGLETRANSLATE(A615,""en"",""fr""))"),"")</f>
        <v/>
      </c>
    </row>
    <row r="616" spans="2:2">
      <c r="B616" s="3" t="str">
        <f ca="1">IFERROR(__xludf.DUMMYFUNCTION("IF(ISBLANK(A616),"""",GOOGLETRANSLATE(A616,""en"",""fr""))"),"")</f>
        <v/>
      </c>
    </row>
    <row r="617" spans="2:2">
      <c r="B617" s="3" t="str">
        <f ca="1">IFERROR(__xludf.DUMMYFUNCTION("IF(ISBLANK(A617),"""",GOOGLETRANSLATE(A617,""en"",""fr""))"),"")</f>
        <v/>
      </c>
    </row>
    <row r="618" spans="2:2">
      <c r="B618" s="3" t="str">
        <f ca="1">IFERROR(__xludf.DUMMYFUNCTION("IF(ISBLANK(A618),"""",GOOGLETRANSLATE(A618,""en"",""fr""))"),"")</f>
        <v/>
      </c>
    </row>
    <row r="619" spans="2:2">
      <c r="B619" s="3" t="str">
        <f ca="1">IFERROR(__xludf.DUMMYFUNCTION("IF(ISBLANK(A619),"""",GOOGLETRANSLATE(A619,""en"",""fr""))"),"")</f>
        <v/>
      </c>
    </row>
    <row r="620" spans="2:2">
      <c r="B620" s="3" t="str">
        <f ca="1">IFERROR(__xludf.DUMMYFUNCTION("IF(ISBLANK(A620),"""",GOOGLETRANSLATE(A620,""en"",""fr""))"),"")</f>
        <v/>
      </c>
    </row>
    <row r="621" spans="2:2">
      <c r="B621" s="3" t="str">
        <f ca="1">IFERROR(__xludf.DUMMYFUNCTION("IF(ISBLANK(A621),"""",GOOGLETRANSLATE(A621,""en"",""fr""))"),"")</f>
        <v/>
      </c>
    </row>
    <row r="622" spans="2:2">
      <c r="B622" s="3" t="str">
        <f ca="1">IFERROR(__xludf.DUMMYFUNCTION("IF(ISBLANK(A622),"""",GOOGLETRANSLATE(A622,""en"",""fr""))"),"")</f>
        <v/>
      </c>
    </row>
    <row r="623" spans="2:2">
      <c r="B623" s="3" t="str">
        <f ca="1">IFERROR(__xludf.DUMMYFUNCTION("IF(ISBLANK(A623),"""",GOOGLETRANSLATE(A623,""en"",""fr""))"),"")</f>
        <v/>
      </c>
    </row>
    <row r="624" spans="2:2">
      <c r="B624" s="3" t="str">
        <f ca="1">IFERROR(__xludf.DUMMYFUNCTION("IF(ISBLANK(A624),"""",GOOGLETRANSLATE(A624,""en"",""fr""))"),"")</f>
        <v/>
      </c>
    </row>
    <row r="625" spans="2:2">
      <c r="B625" s="3" t="str">
        <f ca="1">IFERROR(__xludf.DUMMYFUNCTION("IF(ISBLANK(A625),"""",GOOGLETRANSLATE(A625,""en"",""fr""))"),"")</f>
        <v/>
      </c>
    </row>
    <row r="626" spans="2:2">
      <c r="B626" s="3" t="str">
        <f ca="1">IFERROR(__xludf.DUMMYFUNCTION("IF(ISBLANK(A626),"""",GOOGLETRANSLATE(A626,""en"",""fr""))"),"")</f>
        <v/>
      </c>
    </row>
    <row r="627" spans="2:2">
      <c r="B627" s="3" t="str">
        <f ca="1">IFERROR(__xludf.DUMMYFUNCTION("IF(ISBLANK(A627),"""",GOOGLETRANSLATE(A627,""en"",""fr""))"),"")</f>
        <v/>
      </c>
    </row>
    <row r="628" spans="2:2">
      <c r="B628" s="3" t="str">
        <f ca="1">IFERROR(__xludf.DUMMYFUNCTION("IF(ISBLANK(A628),"""",GOOGLETRANSLATE(A628,""en"",""fr""))"),"")</f>
        <v/>
      </c>
    </row>
    <row r="629" spans="2:2">
      <c r="B629" s="3" t="str">
        <f ca="1">IFERROR(__xludf.DUMMYFUNCTION("IF(ISBLANK(A629),"""",GOOGLETRANSLATE(A629,""en"",""fr""))"),"")</f>
        <v/>
      </c>
    </row>
    <row r="630" spans="2:2">
      <c r="B630" s="3" t="str">
        <f ca="1">IFERROR(__xludf.DUMMYFUNCTION("IF(ISBLANK(A630),"""",GOOGLETRANSLATE(A630,""en"",""fr""))"),"")</f>
        <v/>
      </c>
    </row>
    <row r="631" spans="2:2">
      <c r="B631" s="3" t="str">
        <f ca="1">IFERROR(__xludf.DUMMYFUNCTION("IF(ISBLANK(A631),"""",GOOGLETRANSLATE(A631,""en"",""fr""))"),"")</f>
        <v/>
      </c>
    </row>
    <row r="632" spans="2:2">
      <c r="B632" s="3" t="str">
        <f ca="1">IFERROR(__xludf.DUMMYFUNCTION("IF(ISBLANK(A632),"""",GOOGLETRANSLATE(A632,""en"",""fr""))"),"")</f>
        <v/>
      </c>
    </row>
    <row r="633" spans="2:2">
      <c r="B633" s="3" t="str">
        <f ca="1">IFERROR(__xludf.DUMMYFUNCTION("IF(ISBLANK(A633),"""",GOOGLETRANSLATE(A633,""en"",""fr""))"),"")</f>
        <v/>
      </c>
    </row>
    <row r="634" spans="2:2">
      <c r="B634" s="3" t="str">
        <f ca="1">IFERROR(__xludf.DUMMYFUNCTION("IF(ISBLANK(A634),"""",GOOGLETRANSLATE(A634,""en"",""fr""))"),"")</f>
        <v/>
      </c>
    </row>
    <row r="635" spans="2:2">
      <c r="B635" s="3" t="str">
        <f ca="1">IFERROR(__xludf.DUMMYFUNCTION("IF(ISBLANK(A635),"""",GOOGLETRANSLATE(A635,""en"",""fr""))"),"")</f>
        <v/>
      </c>
    </row>
    <row r="636" spans="2:2">
      <c r="B636" s="3" t="str">
        <f ca="1">IFERROR(__xludf.DUMMYFUNCTION("IF(ISBLANK(A636),"""",GOOGLETRANSLATE(A636,""en"",""fr""))"),"")</f>
        <v/>
      </c>
    </row>
    <row r="637" spans="2:2">
      <c r="B637" s="3" t="str">
        <f ca="1">IFERROR(__xludf.DUMMYFUNCTION("IF(ISBLANK(A637),"""",GOOGLETRANSLATE(A637,""en"",""fr""))"),"")</f>
        <v/>
      </c>
    </row>
    <row r="638" spans="2:2">
      <c r="B638" s="3" t="str">
        <f ca="1">IFERROR(__xludf.DUMMYFUNCTION("IF(ISBLANK(A638),"""",GOOGLETRANSLATE(A638,""en"",""fr""))"),"")</f>
        <v/>
      </c>
    </row>
    <row r="639" spans="2:2">
      <c r="B639" s="3" t="str">
        <f ca="1">IFERROR(__xludf.DUMMYFUNCTION("IF(ISBLANK(A639),"""",GOOGLETRANSLATE(A639,""en"",""fr""))"),"")</f>
        <v/>
      </c>
    </row>
    <row r="640" spans="2:2">
      <c r="B640" s="3" t="str">
        <f ca="1">IFERROR(__xludf.DUMMYFUNCTION("IF(ISBLANK(A640),"""",GOOGLETRANSLATE(A640,""en"",""fr""))"),"")</f>
        <v/>
      </c>
    </row>
    <row r="641" spans="2:2">
      <c r="B641" s="3" t="str">
        <f ca="1">IFERROR(__xludf.DUMMYFUNCTION("IF(ISBLANK(A641),"""",GOOGLETRANSLATE(A641,""en"",""fr""))"),"")</f>
        <v/>
      </c>
    </row>
    <row r="642" spans="2:2">
      <c r="B642" s="3" t="str">
        <f ca="1">IFERROR(__xludf.DUMMYFUNCTION("IF(ISBLANK(A642),"""",GOOGLETRANSLATE(A642,""en"",""fr""))"),"")</f>
        <v/>
      </c>
    </row>
    <row r="643" spans="2:2">
      <c r="B643" s="3" t="str">
        <f ca="1">IFERROR(__xludf.DUMMYFUNCTION("IF(ISBLANK(A643),"""",GOOGLETRANSLATE(A643,""en"",""fr""))"),"")</f>
        <v/>
      </c>
    </row>
    <row r="644" spans="2:2">
      <c r="B644" s="3" t="str">
        <f ca="1">IFERROR(__xludf.DUMMYFUNCTION("IF(ISBLANK(A644),"""",GOOGLETRANSLATE(A644,""en"",""fr""))"),"")</f>
        <v/>
      </c>
    </row>
    <row r="645" spans="2:2">
      <c r="B645" s="3" t="str">
        <f ca="1">IFERROR(__xludf.DUMMYFUNCTION("IF(ISBLANK(A645),"""",GOOGLETRANSLATE(A645,""en"",""fr""))"),"")</f>
        <v/>
      </c>
    </row>
    <row r="646" spans="2:2">
      <c r="B646" s="3" t="str">
        <f ca="1">IFERROR(__xludf.DUMMYFUNCTION("IF(ISBLANK(A646),"""",GOOGLETRANSLATE(A646,""en"",""fr""))"),"")</f>
        <v/>
      </c>
    </row>
    <row r="647" spans="2:2">
      <c r="B647" s="3" t="str">
        <f ca="1">IFERROR(__xludf.DUMMYFUNCTION("IF(ISBLANK(A647),"""",GOOGLETRANSLATE(A647,""en"",""fr""))"),"")</f>
        <v/>
      </c>
    </row>
    <row r="648" spans="2:2">
      <c r="B648" s="3" t="str">
        <f ca="1">IFERROR(__xludf.DUMMYFUNCTION("IF(ISBLANK(A648),"""",GOOGLETRANSLATE(A648,""en"",""fr""))"),"")</f>
        <v/>
      </c>
    </row>
    <row r="649" spans="2:2">
      <c r="B649" s="3" t="str">
        <f ca="1">IFERROR(__xludf.DUMMYFUNCTION("IF(ISBLANK(A649),"""",GOOGLETRANSLATE(A649,""en"",""fr""))"),"")</f>
        <v/>
      </c>
    </row>
    <row r="650" spans="2:2">
      <c r="B650" s="3" t="str">
        <f ca="1">IFERROR(__xludf.DUMMYFUNCTION("IF(ISBLANK(A650),"""",GOOGLETRANSLATE(A650,""en"",""fr""))"),"")</f>
        <v/>
      </c>
    </row>
    <row r="651" spans="2:2">
      <c r="B651" s="3" t="str">
        <f ca="1">IFERROR(__xludf.DUMMYFUNCTION("IF(ISBLANK(A651),"""",GOOGLETRANSLATE(A651,""en"",""fr""))"),"")</f>
        <v/>
      </c>
    </row>
    <row r="652" spans="2:2">
      <c r="B652" s="3" t="str">
        <f ca="1">IFERROR(__xludf.DUMMYFUNCTION("IF(ISBLANK(A652),"""",GOOGLETRANSLATE(A652,""en"",""fr""))"),"")</f>
        <v/>
      </c>
    </row>
    <row r="653" spans="2:2">
      <c r="B653" s="3" t="str">
        <f ca="1">IFERROR(__xludf.DUMMYFUNCTION("IF(ISBLANK(A653),"""",GOOGLETRANSLATE(A653,""en"",""fr""))"),"")</f>
        <v/>
      </c>
    </row>
    <row r="654" spans="2:2">
      <c r="B654" s="3" t="str">
        <f ca="1">IFERROR(__xludf.DUMMYFUNCTION("IF(ISBLANK(A654),"""",GOOGLETRANSLATE(A654,""en"",""fr""))"),"")</f>
        <v/>
      </c>
    </row>
    <row r="655" spans="2:2">
      <c r="B655" s="3" t="str">
        <f ca="1">IFERROR(__xludf.DUMMYFUNCTION("IF(ISBLANK(A655),"""",GOOGLETRANSLATE(A655,""en"",""fr""))"),"")</f>
        <v/>
      </c>
    </row>
    <row r="656" spans="2:2">
      <c r="B656" s="3" t="str">
        <f ca="1">IFERROR(__xludf.DUMMYFUNCTION("IF(ISBLANK(A656),"""",GOOGLETRANSLATE(A656,""en"",""fr""))"),"")</f>
        <v/>
      </c>
    </row>
    <row r="657" spans="2:2">
      <c r="B657" s="3" t="str">
        <f ca="1">IFERROR(__xludf.DUMMYFUNCTION("IF(ISBLANK(A657),"""",GOOGLETRANSLATE(A657,""en"",""fr""))"),"")</f>
        <v/>
      </c>
    </row>
    <row r="658" spans="2:2">
      <c r="B658" s="3" t="str">
        <f ca="1">IFERROR(__xludf.DUMMYFUNCTION("IF(ISBLANK(A658),"""",GOOGLETRANSLATE(A658,""en"",""fr""))"),"")</f>
        <v/>
      </c>
    </row>
    <row r="659" spans="2:2">
      <c r="B659" s="3" t="str">
        <f ca="1">IFERROR(__xludf.DUMMYFUNCTION("IF(ISBLANK(A659),"""",GOOGLETRANSLATE(A659,""en"",""fr""))"),"")</f>
        <v/>
      </c>
    </row>
    <row r="660" spans="2:2">
      <c r="B660" s="3" t="str">
        <f ca="1">IFERROR(__xludf.DUMMYFUNCTION("IF(ISBLANK(A660),"""",GOOGLETRANSLATE(A660,""en"",""fr""))"),"")</f>
        <v/>
      </c>
    </row>
    <row r="661" spans="2:2">
      <c r="B661" s="3" t="str">
        <f ca="1">IFERROR(__xludf.DUMMYFUNCTION("IF(ISBLANK(A661),"""",GOOGLETRANSLATE(A661,""en"",""fr""))"),"")</f>
        <v/>
      </c>
    </row>
    <row r="662" spans="2:2">
      <c r="B662" s="3" t="str">
        <f ca="1">IFERROR(__xludf.DUMMYFUNCTION("IF(ISBLANK(A662),"""",GOOGLETRANSLATE(A662,""en"",""fr""))"),"")</f>
        <v/>
      </c>
    </row>
    <row r="663" spans="2:2">
      <c r="B663" s="3" t="str">
        <f ca="1">IFERROR(__xludf.DUMMYFUNCTION("IF(ISBLANK(A663),"""",GOOGLETRANSLATE(A663,""en"",""fr""))"),"")</f>
        <v/>
      </c>
    </row>
    <row r="664" spans="2:2">
      <c r="B664" s="3" t="str">
        <f ca="1">IFERROR(__xludf.DUMMYFUNCTION("IF(ISBLANK(A664),"""",GOOGLETRANSLATE(A664,""en"",""fr""))"),"")</f>
        <v/>
      </c>
    </row>
    <row r="665" spans="2:2">
      <c r="B665" s="3" t="str">
        <f ca="1">IFERROR(__xludf.DUMMYFUNCTION("IF(ISBLANK(A665),"""",GOOGLETRANSLATE(A665,""en"",""fr""))"),"")</f>
        <v/>
      </c>
    </row>
    <row r="666" spans="2:2">
      <c r="B666" s="3" t="str">
        <f ca="1">IFERROR(__xludf.DUMMYFUNCTION("IF(ISBLANK(A666),"""",GOOGLETRANSLATE(A666,""en"",""fr""))"),"")</f>
        <v/>
      </c>
    </row>
    <row r="667" spans="2:2">
      <c r="B667" s="3" t="str">
        <f ca="1">IFERROR(__xludf.DUMMYFUNCTION("IF(ISBLANK(A667),"""",GOOGLETRANSLATE(A667,""en"",""fr""))"),"")</f>
        <v/>
      </c>
    </row>
    <row r="668" spans="2:2">
      <c r="B668" s="3" t="str">
        <f ca="1">IFERROR(__xludf.DUMMYFUNCTION("IF(ISBLANK(A668),"""",GOOGLETRANSLATE(A668,""en"",""fr""))"),"")</f>
        <v/>
      </c>
    </row>
    <row r="669" spans="2:2">
      <c r="B669" s="3" t="str">
        <f ca="1">IFERROR(__xludf.DUMMYFUNCTION("IF(ISBLANK(A669),"""",GOOGLETRANSLATE(A669,""en"",""fr""))"),"")</f>
        <v/>
      </c>
    </row>
    <row r="670" spans="2:2">
      <c r="B670" s="3" t="str">
        <f ca="1">IFERROR(__xludf.DUMMYFUNCTION("IF(ISBLANK(A670),"""",GOOGLETRANSLATE(A670,""en"",""fr""))"),"")</f>
        <v/>
      </c>
    </row>
    <row r="671" spans="2:2">
      <c r="B671" s="3" t="str">
        <f ca="1">IFERROR(__xludf.DUMMYFUNCTION("IF(ISBLANK(A671),"""",GOOGLETRANSLATE(A671,""en"",""fr""))"),"")</f>
        <v/>
      </c>
    </row>
    <row r="672" spans="2:2">
      <c r="B672" s="3" t="str">
        <f ca="1">IFERROR(__xludf.DUMMYFUNCTION("IF(ISBLANK(A672),"""",GOOGLETRANSLATE(A672,""en"",""fr""))"),"")</f>
        <v/>
      </c>
    </row>
    <row r="673" spans="2:2">
      <c r="B673" s="3" t="str">
        <f ca="1">IFERROR(__xludf.DUMMYFUNCTION("IF(ISBLANK(A673),"""",GOOGLETRANSLATE(A673,""en"",""fr""))"),"")</f>
        <v/>
      </c>
    </row>
    <row r="674" spans="2:2">
      <c r="B674" s="3" t="str">
        <f ca="1">IFERROR(__xludf.DUMMYFUNCTION("IF(ISBLANK(A674),"""",GOOGLETRANSLATE(A674,""en"",""fr""))"),"")</f>
        <v/>
      </c>
    </row>
    <row r="675" spans="2:2">
      <c r="B675" s="3" t="str">
        <f ca="1">IFERROR(__xludf.DUMMYFUNCTION("IF(ISBLANK(A675),"""",GOOGLETRANSLATE(A675,""en"",""fr""))"),"")</f>
        <v/>
      </c>
    </row>
    <row r="676" spans="2:2">
      <c r="B676" s="3" t="str">
        <f ca="1">IFERROR(__xludf.DUMMYFUNCTION("IF(ISBLANK(A676),"""",GOOGLETRANSLATE(A676,""en"",""fr""))"),"")</f>
        <v/>
      </c>
    </row>
    <row r="677" spans="2:2">
      <c r="B677" s="3" t="str">
        <f ca="1">IFERROR(__xludf.DUMMYFUNCTION("IF(ISBLANK(A677),"""",GOOGLETRANSLATE(A677,""en"",""fr""))"),"")</f>
        <v/>
      </c>
    </row>
    <row r="678" spans="2:2">
      <c r="B678" s="3" t="str">
        <f ca="1">IFERROR(__xludf.DUMMYFUNCTION("IF(ISBLANK(A678),"""",GOOGLETRANSLATE(A678,""en"",""fr""))"),"")</f>
        <v/>
      </c>
    </row>
    <row r="679" spans="2:2">
      <c r="B679" s="3" t="str">
        <f ca="1">IFERROR(__xludf.DUMMYFUNCTION("IF(ISBLANK(A679),"""",GOOGLETRANSLATE(A679,""en"",""fr""))"),"")</f>
        <v/>
      </c>
    </row>
    <row r="680" spans="2:2">
      <c r="B680" s="3" t="str">
        <f ca="1">IFERROR(__xludf.DUMMYFUNCTION("IF(ISBLANK(A680),"""",GOOGLETRANSLATE(A680,""en"",""fr""))"),"")</f>
        <v/>
      </c>
    </row>
    <row r="681" spans="2:2">
      <c r="B681" s="3" t="str">
        <f ca="1">IFERROR(__xludf.DUMMYFUNCTION("IF(ISBLANK(A681),"""",GOOGLETRANSLATE(A681,""en"",""fr""))"),"")</f>
        <v/>
      </c>
    </row>
    <row r="682" spans="2:2">
      <c r="B682" s="3" t="str">
        <f ca="1">IFERROR(__xludf.DUMMYFUNCTION("IF(ISBLANK(A682),"""",GOOGLETRANSLATE(A682,""en"",""fr""))"),"")</f>
        <v/>
      </c>
    </row>
    <row r="683" spans="2:2">
      <c r="B683" s="3" t="str">
        <f ca="1">IFERROR(__xludf.DUMMYFUNCTION("IF(ISBLANK(A683),"""",GOOGLETRANSLATE(A683,""en"",""fr""))"),"")</f>
        <v/>
      </c>
    </row>
    <row r="684" spans="2:2">
      <c r="B684" s="3" t="str">
        <f ca="1">IFERROR(__xludf.DUMMYFUNCTION("IF(ISBLANK(A684),"""",GOOGLETRANSLATE(A684,""en"",""fr""))"),"")</f>
        <v/>
      </c>
    </row>
    <row r="685" spans="2:2">
      <c r="B685" s="3" t="str">
        <f ca="1">IFERROR(__xludf.DUMMYFUNCTION("IF(ISBLANK(A685),"""",GOOGLETRANSLATE(A685,""en"",""fr""))"),"")</f>
        <v/>
      </c>
    </row>
    <row r="686" spans="2:2">
      <c r="B686" s="3" t="str">
        <f ca="1">IFERROR(__xludf.DUMMYFUNCTION("IF(ISBLANK(A686),"""",GOOGLETRANSLATE(A686,""en"",""fr""))"),"")</f>
        <v/>
      </c>
    </row>
    <row r="687" spans="2:2">
      <c r="B687" s="3" t="str">
        <f ca="1">IFERROR(__xludf.DUMMYFUNCTION("IF(ISBLANK(A687),"""",GOOGLETRANSLATE(A687,""en"",""fr""))"),"")</f>
        <v/>
      </c>
    </row>
    <row r="688" spans="2:2">
      <c r="B688" s="3" t="str">
        <f ca="1">IFERROR(__xludf.DUMMYFUNCTION("IF(ISBLANK(A688),"""",GOOGLETRANSLATE(A688,""en"",""fr""))"),"")</f>
        <v/>
      </c>
    </row>
    <row r="689" spans="2:2">
      <c r="B689" s="3" t="str">
        <f ca="1">IFERROR(__xludf.DUMMYFUNCTION("IF(ISBLANK(A689),"""",GOOGLETRANSLATE(A689,""en"",""fr""))"),"")</f>
        <v/>
      </c>
    </row>
    <row r="690" spans="2:2">
      <c r="B690" s="3" t="str">
        <f ca="1">IFERROR(__xludf.DUMMYFUNCTION("IF(ISBLANK(A690),"""",GOOGLETRANSLATE(A690,""en"",""fr""))"),"")</f>
        <v/>
      </c>
    </row>
    <row r="691" spans="2:2">
      <c r="B691" s="3" t="str">
        <f ca="1">IFERROR(__xludf.DUMMYFUNCTION("IF(ISBLANK(A691),"""",GOOGLETRANSLATE(A691,""en"",""fr""))"),"")</f>
        <v/>
      </c>
    </row>
    <row r="692" spans="2:2">
      <c r="B692" s="3" t="str">
        <f ca="1">IFERROR(__xludf.DUMMYFUNCTION("IF(ISBLANK(A692),"""",GOOGLETRANSLATE(A692,""en"",""fr""))"),"")</f>
        <v/>
      </c>
    </row>
    <row r="693" spans="2:2">
      <c r="B693" s="3" t="str">
        <f ca="1">IFERROR(__xludf.DUMMYFUNCTION("IF(ISBLANK(A693),"""",GOOGLETRANSLATE(A693,""en"",""fr""))"),"")</f>
        <v/>
      </c>
    </row>
    <row r="694" spans="2:2">
      <c r="B694" s="3" t="str">
        <f ca="1">IFERROR(__xludf.DUMMYFUNCTION("IF(ISBLANK(A694),"""",GOOGLETRANSLATE(A694,""en"",""fr""))"),"")</f>
        <v/>
      </c>
    </row>
    <row r="695" spans="2:2">
      <c r="B695" s="3" t="str">
        <f ca="1">IFERROR(__xludf.DUMMYFUNCTION("IF(ISBLANK(A695),"""",GOOGLETRANSLATE(A695,""en"",""fr""))"),"")</f>
        <v/>
      </c>
    </row>
    <row r="696" spans="2:2">
      <c r="B696" s="3" t="str">
        <f ca="1">IFERROR(__xludf.DUMMYFUNCTION("IF(ISBLANK(A696),"""",GOOGLETRANSLATE(A696,""en"",""fr""))"),"")</f>
        <v/>
      </c>
    </row>
    <row r="697" spans="2:2">
      <c r="B697" s="3" t="str">
        <f ca="1">IFERROR(__xludf.DUMMYFUNCTION("IF(ISBLANK(A697),"""",GOOGLETRANSLATE(A697,""en"",""fr""))"),"")</f>
        <v/>
      </c>
    </row>
    <row r="698" spans="2:2">
      <c r="B698" s="3" t="str">
        <f ca="1">IFERROR(__xludf.DUMMYFUNCTION("IF(ISBLANK(A698),"""",GOOGLETRANSLATE(A698,""en"",""fr""))"),"")</f>
        <v/>
      </c>
    </row>
    <row r="699" spans="2:2">
      <c r="B699" s="3" t="str">
        <f ca="1">IFERROR(__xludf.DUMMYFUNCTION("IF(ISBLANK(A699),"""",GOOGLETRANSLATE(A699,""en"",""fr""))"),"")</f>
        <v/>
      </c>
    </row>
    <row r="700" spans="2:2">
      <c r="B700" s="3" t="str">
        <f ca="1">IFERROR(__xludf.DUMMYFUNCTION("IF(ISBLANK(A700),"""",GOOGLETRANSLATE(A700,""en"",""fr""))"),"")</f>
        <v/>
      </c>
    </row>
    <row r="701" spans="2:2">
      <c r="B701" s="3" t="str">
        <f ca="1">IFERROR(__xludf.DUMMYFUNCTION("IF(ISBLANK(A701),"""",GOOGLETRANSLATE(A701,""en"",""fr""))"),"")</f>
        <v/>
      </c>
    </row>
    <row r="702" spans="2:2">
      <c r="B702" s="3" t="str">
        <f ca="1">IFERROR(__xludf.DUMMYFUNCTION("IF(ISBLANK(A702),"""",GOOGLETRANSLATE(A702,""en"",""fr""))"),"")</f>
        <v/>
      </c>
    </row>
    <row r="703" spans="2:2">
      <c r="B703" s="3" t="str">
        <f ca="1">IFERROR(__xludf.DUMMYFUNCTION("IF(ISBLANK(A703),"""",GOOGLETRANSLATE(A703,""en"",""fr""))"),"")</f>
        <v/>
      </c>
    </row>
    <row r="704" spans="2:2">
      <c r="B704" s="3" t="str">
        <f ca="1">IFERROR(__xludf.DUMMYFUNCTION("IF(ISBLANK(A704),"""",GOOGLETRANSLATE(A704,""en"",""fr""))"),"")</f>
        <v/>
      </c>
    </row>
    <row r="705" spans="2:2">
      <c r="B705" s="3" t="str">
        <f ca="1">IFERROR(__xludf.DUMMYFUNCTION("IF(ISBLANK(A705),"""",GOOGLETRANSLATE(A705,""en"",""fr""))"),"")</f>
        <v/>
      </c>
    </row>
    <row r="706" spans="2:2">
      <c r="B706" s="3" t="str">
        <f ca="1">IFERROR(__xludf.DUMMYFUNCTION("IF(ISBLANK(A706),"""",GOOGLETRANSLATE(A706,""en"",""fr""))"),"")</f>
        <v/>
      </c>
    </row>
    <row r="707" spans="2:2">
      <c r="B707" s="3" t="str">
        <f ca="1">IFERROR(__xludf.DUMMYFUNCTION("IF(ISBLANK(A707),"""",GOOGLETRANSLATE(A707,""en"",""fr""))"),"")</f>
        <v/>
      </c>
    </row>
    <row r="708" spans="2:2">
      <c r="B708" s="3" t="str">
        <f ca="1">IFERROR(__xludf.DUMMYFUNCTION("IF(ISBLANK(A708),"""",GOOGLETRANSLATE(A708,""en"",""fr""))"),"")</f>
        <v/>
      </c>
    </row>
    <row r="709" spans="2:2">
      <c r="B709" s="3" t="str">
        <f ca="1">IFERROR(__xludf.DUMMYFUNCTION("IF(ISBLANK(A709),"""",GOOGLETRANSLATE(A709,""en"",""fr""))"),"")</f>
        <v/>
      </c>
    </row>
    <row r="710" spans="2:2">
      <c r="B710" s="3" t="str">
        <f ca="1">IFERROR(__xludf.DUMMYFUNCTION("IF(ISBLANK(A710),"""",GOOGLETRANSLATE(A710,""en"",""fr""))"),"")</f>
        <v/>
      </c>
    </row>
    <row r="711" spans="2:2">
      <c r="B711" s="3" t="str">
        <f ca="1">IFERROR(__xludf.DUMMYFUNCTION("IF(ISBLANK(A711),"""",GOOGLETRANSLATE(A711,""en"",""fr""))"),"")</f>
        <v/>
      </c>
    </row>
    <row r="712" spans="2:2">
      <c r="B712" s="3" t="str">
        <f ca="1">IFERROR(__xludf.DUMMYFUNCTION("IF(ISBLANK(A712),"""",GOOGLETRANSLATE(A712,""en"",""fr""))"),"")</f>
        <v/>
      </c>
    </row>
    <row r="713" spans="2:2">
      <c r="B713" s="3" t="str">
        <f ca="1">IFERROR(__xludf.DUMMYFUNCTION("IF(ISBLANK(A713),"""",GOOGLETRANSLATE(A713,""en"",""fr""))"),"")</f>
        <v/>
      </c>
    </row>
    <row r="714" spans="2:2">
      <c r="B714" s="3" t="str">
        <f ca="1">IFERROR(__xludf.DUMMYFUNCTION("IF(ISBLANK(A714),"""",GOOGLETRANSLATE(A714,""en"",""fr""))"),"")</f>
        <v/>
      </c>
    </row>
    <row r="715" spans="2:2">
      <c r="B715" s="3" t="str">
        <f ca="1">IFERROR(__xludf.DUMMYFUNCTION("IF(ISBLANK(A715),"""",GOOGLETRANSLATE(A715,""en"",""fr""))"),"")</f>
        <v/>
      </c>
    </row>
    <row r="716" spans="2:2">
      <c r="B716" s="3" t="str">
        <f ca="1">IFERROR(__xludf.DUMMYFUNCTION("IF(ISBLANK(A716),"""",GOOGLETRANSLATE(A716,""en"",""fr""))"),"")</f>
        <v/>
      </c>
    </row>
    <row r="717" spans="2:2">
      <c r="B717" s="3" t="str">
        <f ca="1">IFERROR(__xludf.DUMMYFUNCTION("IF(ISBLANK(A717),"""",GOOGLETRANSLATE(A717,""en"",""fr""))"),"")</f>
        <v/>
      </c>
    </row>
    <row r="718" spans="2:2">
      <c r="B718" s="3" t="str">
        <f ca="1">IFERROR(__xludf.DUMMYFUNCTION("IF(ISBLANK(A718),"""",GOOGLETRANSLATE(A718,""en"",""fr""))"),"")</f>
        <v/>
      </c>
    </row>
    <row r="719" spans="2:2">
      <c r="B719" s="3" t="str">
        <f ca="1">IFERROR(__xludf.DUMMYFUNCTION("IF(ISBLANK(A719),"""",GOOGLETRANSLATE(A719,""en"",""fr""))"),"")</f>
        <v/>
      </c>
    </row>
    <row r="720" spans="2:2">
      <c r="B720" s="3" t="str">
        <f ca="1">IFERROR(__xludf.DUMMYFUNCTION("IF(ISBLANK(A720),"""",GOOGLETRANSLATE(A720,""en"",""fr""))"),"")</f>
        <v/>
      </c>
    </row>
    <row r="721" spans="2:2">
      <c r="B721" s="3" t="str">
        <f ca="1">IFERROR(__xludf.DUMMYFUNCTION("IF(ISBLANK(A721),"""",GOOGLETRANSLATE(A721,""en"",""fr""))"),"")</f>
        <v/>
      </c>
    </row>
    <row r="722" spans="2:2">
      <c r="B722" s="3" t="str">
        <f ca="1">IFERROR(__xludf.DUMMYFUNCTION("IF(ISBLANK(A722),"""",GOOGLETRANSLATE(A722,""en"",""fr""))"),"")</f>
        <v/>
      </c>
    </row>
    <row r="723" spans="2:2">
      <c r="B723" s="3" t="str">
        <f ca="1">IFERROR(__xludf.DUMMYFUNCTION("IF(ISBLANK(A723),"""",GOOGLETRANSLATE(A723,""en"",""fr""))"),"")</f>
        <v/>
      </c>
    </row>
    <row r="724" spans="2:2">
      <c r="B724" s="3" t="str">
        <f ca="1">IFERROR(__xludf.DUMMYFUNCTION("IF(ISBLANK(A724),"""",GOOGLETRANSLATE(A724,""en"",""fr""))"),"")</f>
        <v/>
      </c>
    </row>
    <row r="725" spans="2:2">
      <c r="B725" s="3" t="str">
        <f ca="1">IFERROR(__xludf.DUMMYFUNCTION("IF(ISBLANK(A725),"""",GOOGLETRANSLATE(A725,""en"",""fr""))"),"")</f>
        <v/>
      </c>
    </row>
    <row r="726" spans="2:2">
      <c r="B726" s="3" t="str">
        <f ca="1">IFERROR(__xludf.DUMMYFUNCTION("IF(ISBLANK(A726),"""",GOOGLETRANSLATE(A726,""en"",""fr""))"),"")</f>
        <v/>
      </c>
    </row>
    <row r="727" spans="2:2">
      <c r="B727" s="3" t="str">
        <f ca="1">IFERROR(__xludf.DUMMYFUNCTION("IF(ISBLANK(A727),"""",GOOGLETRANSLATE(A727,""en"",""fr""))"),"")</f>
        <v/>
      </c>
    </row>
    <row r="728" spans="2:2">
      <c r="B728" s="3" t="str">
        <f ca="1">IFERROR(__xludf.DUMMYFUNCTION("IF(ISBLANK(A728),"""",GOOGLETRANSLATE(A728,""en"",""fr""))"),"")</f>
        <v/>
      </c>
    </row>
    <row r="729" spans="2:2">
      <c r="B729" s="3" t="str">
        <f ca="1">IFERROR(__xludf.DUMMYFUNCTION("IF(ISBLANK(A729),"""",GOOGLETRANSLATE(A729,""en"",""fr""))"),"")</f>
        <v/>
      </c>
    </row>
    <row r="730" spans="2:2">
      <c r="B730" s="3" t="str">
        <f ca="1">IFERROR(__xludf.DUMMYFUNCTION("IF(ISBLANK(A730),"""",GOOGLETRANSLATE(A730,""en"",""fr""))"),"")</f>
        <v/>
      </c>
    </row>
    <row r="731" spans="2:2">
      <c r="B731" s="3" t="str">
        <f ca="1">IFERROR(__xludf.DUMMYFUNCTION("IF(ISBLANK(A731),"""",GOOGLETRANSLATE(A731,""en"",""fr""))"),"")</f>
        <v/>
      </c>
    </row>
    <row r="732" spans="2:2">
      <c r="B732" s="3" t="str">
        <f ca="1">IFERROR(__xludf.DUMMYFUNCTION("IF(ISBLANK(A732),"""",GOOGLETRANSLATE(A732,""en"",""fr""))"),"")</f>
        <v/>
      </c>
    </row>
    <row r="733" spans="2:2">
      <c r="B733" s="3" t="str">
        <f ca="1">IFERROR(__xludf.DUMMYFUNCTION("IF(ISBLANK(A733),"""",GOOGLETRANSLATE(A733,""en"",""fr""))"),"")</f>
        <v/>
      </c>
    </row>
    <row r="734" spans="2:2">
      <c r="B734" s="3" t="str">
        <f ca="1">IFERROR(__xludf.DUMMYFUNCTION("IF(ISBLANK(A734),"""",GOOGLETRANSLATE(A734,""en"",""fr""))"),"")</f>
        <v/>
      </c>
    </row>
    <row r="735" spans="2:2">
      <c r="B735" s="3" t="str">
        <f ca="1">IFERROR(__xludf.DUMMYFUNCTION("IF(ISBLANK(A735),"""",GOOGLETRANSLATE(A735,""en"",""fr""))"),"")</f>
        <v/>
      </c>
    </row>
    <row r="736" spans="2:2">
      <c r="B736" s="3" t="str">
        <f ca="1">IFERROR(__xludf.DUMMYFUNCTION("IF(ISBLANK(A736),"""",GOOGLETRANSLATE(A736,""en"",""fr""))"),"")</f>
        <v/>
      </c>
    </row>
    <row r="737" spans="2:2">
      <c r="B737" s="3" t="str">
        <f ca="1">IFERROR(__xludf.DUMMYFUNCTION("IF(ISBLANK(A737),"""",GOOGLETRANSLATE(A737,""en"",""fr""))"),"")</f>
        <v/>
      </c>
    </row>
    <row r="738" spans="2:2">
      <c r="B738" s="3" t="str">
        <f ca="1">IFERROR(__xludf.DUMMYFUNCTION("IF(ISBLANK(A738),"""",GOOGLETRANSLATE(A738,""en"",""fr""))"),"")</f>
        <v/>
      </c>
    </row>
    <row r="739" spans="2:2">
      <c r="B739" s="3" t="str">
        <f ca="1">IFERROR(__xludf.DUMMYFUNCTION("IF(ISBLANK(A739),"""",GOOGLETRANSLATE(A739,""en"",""fr""))"),"")</f>
        <v/>
      </c>
    </row>
    <row r="740" spans="2:2">
      <c r="B740" s="3" t="str">
        <f ca="1">IFERROR(__xludf.DUMMYFUNCTION("IF(ISBLANK(A740),"""",GOOGLETRANSLATE(A740,""en"",""fr""))"),"")</f>
        <v/>
      </c>
    </row>
    <row r="741" spans="2:2">
      <c r="B741" s="3" t="str">
        <f ca="1">IFERROR(__xludf.DUMMYFUNCTION("IF(ISBLANK(A741),"""",GOOGLETRANSLATE(A741,""en"",""fr""))"),"")</f>
        <v/>
      </c>
    </row>
    <row r="742" spans="2:2">
      <c r="B742" s="3" t="str">
        <f ca="1">IFERROR(__xludf.DUMMYFUNCTION("IF(ISBLANK(A742),"""",GOOGLETRANSLATE(A742,""en"",""fr""))"),"")</f>
        <v/>
      </c>
    </row>
    <row r="743" spans="2:2">
      <c r="B743" s="3" t="str">
        <f ca="1">IFERROR(__xludf.DUMMYFUNCTION("IF(ISBLANK(A743),"""",GOOGLETRANSLATE(A743,""en"",""fr""))"),"")</f>
        <v/>
      </c>
    </row>
    <row r="744" spans="2:2">
      <c r="B744" s="3" t="str">
        <f ca="1">IFERROR(__xludf.DUMMYFUNCTION("IF(ISBLANK(A744),"""",GOOGLETRANSLATE(A744,""en"",""fr""))"),"")</f>
        <v/>
      </c>
    </row>
    <row r="745" spans="2:2">
      <c r="B745" s="3" t="str">
        <f ca="1">IFERROR(__xludf.DUMMYFUNCTION("IF(ISBLANK(A745),"""",GOOGLETRANSLATE(A745,""en"",""fr""))"),"")</f>
        <v/>
      </c>
    </row>
    <row r="746" spans="2:2">
      <c r="B746" s="3" t="str">
        <f ca="1">IFERROR(__xludf.DUMMYFUNCTION("IF(ISBLANK(A746),"""",GOOGLETRANSLATE(A746,""en"",""fr""))"),"")</f>
        <v/>
      </c>
    </row>
    <row r="747" spans="2:2">
      <c r="B747" s="3" t="str">
        <f ca="1">IFERROR(__xludf.DUMMYFUNCTION("IF(ISBLANK(A747),"""",GOOGLETRANSLATE(A747,""en"",""fr""))"),"")</f>
        <v/>
      </c>
    </row>
    <row r="748" spans="2:2">
      <c r="B748" s="3" t="str">
        <f ca="1">IFERROR(__xludf.DUMMYFUNCTION("IF(ISBLANK(A748),"""",GOOGLETRANSLATE(A748,""en"",""fr""))"),"")</f>
        <v/>
      </c>
    </row>
    <row r="749" spans="2:2">
      <c r="B749" s="3" t="str">
        <f ca="1">IFERROR(__xludf.DUMMYFUNCTION("IF(ISBLANK(A749),"""",GOOGLETRANSLATE(A749,""en"",""fr""))"),"")</f>
        <v/>
      </c>
    </row>
    <row r="750" spans="2:2">
      <c r="B750" s="3" t="str">
        <f ca="1">IFERROR(__xludf.DUMMYFUNCTION("IF(ISBLANK(A750),"""",GOOGLETRANSLATE(A750,""en"",""fr""))"),"")</f>
        <v/>
      </c>
    </row>
    <row r="751" spans="2:2">
      <c r="B751" s="3" t="str">
        <f ca="1">IFERROR(__xludf.DUMMYFUNCTION("IF(ISBLANK(A751),"""",GOOGLETRANSLATE(A751,""en"",""fr""))"),"")</f>
        <v/>
      </c>
    </row>
    <row r="752" spans="2:2">
      <c r="B752" s="3" t="str">
        <f ca="1">IFERROR(__xludf.DUMMYFUNCTION("IF(ISBLANK(A752),"""",GOOGLETRANSLATE(A752,""en"",""fr""))"),"")</f>
        <v/>
      </c>
    </row>
    <row r="753" spans="2:2">
      <c r="B753" s="3" t="str">
        <f ca="1">IFERROR(__xludf.DUMMYFUNCTION("IF(ISBLANK(A753),"""",GOOGLETRANSLATE(A753,""en"",""fr""))"),"")</f>
        <v/>
      </c>
    </row>
    <row r="754" spans="2:2">
      <c r="B754" s="3" t="str">
        <f ca="1">IFERROR(__xludf.DUMMYFUNCTION("IF(ISBLANK(A754),"""",GOOGLETRANSLATE(A754,""en"",""fr""))"),"")</f>
        <v/>
      </c>
    </row>
    <row r="755" spans="2:2">
      <c r="B755" s="3" t="str">
        <f ca="1">IFERROR(__xludf.DUMMYFUNCTION("IF(ISBLANK(A755),"""",GOOGLETRANSLATE(A755,""en"",""fr""))"),"")</f>
        <v/>
      </c>
    </row>
    <row r="756" spans="2:2">
      <c r="B756" s="3" t="str">
        <f ca="1">IFERROR(__xludf.DUMMYFUNCTION("IF(ISBLANK(A756),"""",GOOGLETRANSLATE(A756,""en"",""fr""))"),"")</f>
        <v/>
      </c>
    </row>
    <row r="757" spans="2:2">
      <c r="B757" s="3" t="str">
        <f ca="1">IFERROR(__xludf.DUMMYFUNCTION("IF(ISBLANK(A757),"""",GOOGLETRANSLATE(A757,""en"",""fr""))"),"")</f>
        <v/>
      </c>
    </row>
    <row r="758" spans="2:2">
      <c r="B758" s="3" t="str">
        <f ca="1">IFERROR(__xludf.DUMMYFUNCTION("IF(ISBLANK(A758),"""",GOOGLETRANSLATE(A758,""en"",""fr""))"),"")</f>
        <v/>
      </c>
    </row>
    <row r="759" spans="2:2">
      <c r="B759" s="3" t="str">
        <f ca="1">IFERROR(__xludf.DUMMYFUNCTION("IF(ISBLANK(A759),"""",GOOGLETRANSLATE(A759,""en"",""fr""))"),"")</f>
        <v/>
      </c>
    </row>
    <row r="760" spans="2:2">
      <c r="B760" s="3" t="str">
        <f ca="1">IFERROR(__xludf.DUMMYFUNCTION("IF(ISBLANK(A760),"""",GOOGLETRANSLATE(A760,""en"",""fr""))"),"")</f>
        <v/>
      </c>
    </row>
    <row r="761" spans="2:2">
      <c r="B761" s="3" t="str">
        <f ca="1">IFERROR(__xludf.DUMMYFUNCTION("IF(ISBLANK(A761),"""",GOOGLETRANSLATE(A761,""en"",""fr""))"),"")</f>
        <v/>
      </c>
    </row>
    <row r="762" spans="2:2">
      <c r="B762" s="3" t="str">
        <f ca="1">IFERROR(__xludf.DUMMYFUNCTION("IF(ISBLANK(A762),"""",GOOGLETRANSLATE(A762,""en"",""fr""))"),"")</f>
        <v/>
      </c>
    </row>
    <row r="763" spans="2:2">
      <c r="B763" s="3" t="str">
        <f ca="1">IFERROR(__xludf.DUMMYFUNCTION("IF(ISBLANK(A763),"""",GOOGLETRANSLATE(A763,""en"",""fr""))"),"")</f>
        <v/>
      </c>
    </row>
    <row r="764" spans="2:2">
      <c r="B764" s="3" t="str">
        <f ca="1">IFERROR(__xludf.DUMMYFUNCTION("IF(ISBLANK(A764),"""",GOOGLETRANSLATE(A764,""en"",""fr""))"),"")</f>
        <v/>
      </c>
    </row>
    <row r="765" spans="2:2">
      <c r="B765" s="3" t="str">
        <f ca="1">IFERROR(__xludf.DUMMYFUNCTION("IF(ISBLANK(A765),"""",GOOGLETRANSLATE(A765,""en"",""fr""))"),"")</f>
        <v/>
      </c>
    </row>
    <row r="766" spans="2:2">
      <c r="B766" s="3" t="str">
        <f ca="1">IFERROR(__xludf.DUMMYFUNCTION("IF(ISBLANK(A766),"""",GOOGLETRANSLATE(A766,""en"",""fr""))"),"")</f>
        <v/>
      </c>
    </row>
    <row r="767" spans="2:2">
      <c r="B767" s="3" t="str">
        <f ca="1">IFERROR(__xludf.DUMMYFUNCTION("IF(ISBLANK(A767),"""",GOOGLETRANSLATE(A767,""en"",""fr""))"),"")</f>
        <v/>
      </c>
    </row>
    <row r="768" spans="2:2">
      <c r="B768" s="3" t="str">
        <f ca="1">IFERROR(__xludf.DUMMYFUNCTION("IF(ISBLANK(A768),"""",GOOGLETRANSLATE(A768,""en"",""fr""))"),"")</f>
        <v/>
      </c>
    </row>
    <row r="769" spans="2:2">
      <c r="B769" s="3" t="str">
        <f ca="1">IFERROR(__xludf.DUMMYFUNCTION("IF(ISBLANK(A769),"""",GOOGLETRANSLATE(A769,""en"",""fr""))"),"")</f>
        <v/>
      </c>
    </row>
    <row r="770" spans="2:2">
      <c r="B770" s="3" t="str">
        <f ca="1">IFERROR(__xludf.DUMMYFUNCTION("IF(ISBLANK(A770),"""",GOOGLETRANSLATE(A770,""en"",""fr""))"),"")</f>
        <v/>
      </c>
    </row>
    <row r="771" spans="2:2">
      <c r="B771" s="3" t="str">
        <f ca="1">IFERROR(__xludf.DUMMYFUNCTION("IF(ISBLANK(A771),"""",GOOGLETRANSLATE(A771,""en"",""fr""))"),"")</f>
        <v/>
      </c>
    </row>
    <row r="772" spans="2:2">
      <c r="B772" s="3" t="str">
        <f ca="1">IFERROR(__xludf.DUMMYFUNCTION("IF(ISBLANK(A772),"""",GOOGLETRANSLATE(A772,""en"",""fr""))"),"")</f>
        <v/>
      </c>
    </row>
    <row r="773" spans="2:2">
      <c r="B773" s="3" t="str">
        <f ca="1">IFERROR(__xludf.DUMMYFUNCTION("IF(ISBLANK(A773),"""",GOOGLETRANSLATE(A773,""en"",""fr""))"),"")</f>
        <v/>
      </c>
    </row>
    <row r="774" spans="2:2">
      <c r="B774" s="3" t="str">
        <f ca="1">IFERROR(__xludf.DUMMYFUNCTION("IF(ISBLANK(A774),"""",GOOGLETRANSLATE(A774,""en"",""fr""))"),"")</f>
        <v/>
      </c>
    </row>
    <row r="775" spans="2:2">
      <c r="B775" s="3" t="str">
        <f ca="1">IFERROR(__xludf.DUMMYFUNCTION("IF(ISBLANK(A775),"""",GOOGLETRANSLATE(A775,""en"",""fr""))"),"")</f>
        <v/>
      </c>
    </row>
    <row r="776" spans="2:2">
      <c r="B776" s="3" t="str">
        <f ca="1">IFERROR(__xludf.DUMMYFUNCTION("IF(ISBLANK(A776),"""",GOOGLETRANSLATE(A776,""en"",""fr""))"),"")</f>
        <v/>
      </c>
    </row>
    <row r="777" spans="2:2">
      <c r="B777" s="3" t="str">
        <f ca="1">IFERROR(__xludf.DUMMYFUNCTION("IF(ISBLANK(A777),"""",GOOGLETRANSLATE(A777,""en"",""fr""))"),"")</f>
        <v/>
      </c>
    </row>
    <row r="778" spans="2:2">
      <c r="B778" s="3" t="str">
        <f ca="1">IFERROR(__xludf.DUMMYFUNCTION("IF(ISBLANK(A778),"""",GOOGLETRANSLATE(A778,""en"",""fr""))"),"")</f>
        <v/>
      </c>
    </row>
    <row r="779" spans="2:2">
      <c r="B779" s="3" t="str">
        <f ca="1">IFERROR(__xludf.DUMMYFUNCTION("IF(ISBLANK(A779),"""",GOOGLETRANSLATE(A779,""en"",""fr""))"),"")</f>
        <v/>
      </c>
    </row>
    <row r="780" spans="2:2">
      <c r="B780" s="3" t="str">
        <f ca="1">IFERROR(__xludf.DUMMYFUNCTION("IF(ISBLANK(A780),"""",GOOGLETRANSLATE(A780,""en"",""fr""))"),"")</f>
        <v/>
      </c>
    </row>
    <row r="781" spans="2:2">
      <c r="B781" s="3" t="str">
        <f ca="1">IFERROR(__xludf.DUMMYFUNCTION("IF(ISBLANK(A781),"""",GOOGLETRANSLATE(A781,""en"",""fr""))"),"")</f>
        <v/>
      </c>
    </row>
    <row r="782" spans="2:2">
      <c r="B782" s="3" t="str">
        <f ca="1">IFERROR(__xludf.DUMMYFUNCTION("IF(ISBLANK(A782),"""",GOOGLETRANSLATE(A782,""en"",""fr""))"),"")</f>
        <v/>
      </c>
    </row>
    <row r="783" spans="2:2">
      <c r="B783" s="3" t="str">
        <f ca="1">IFERROR(__xludf.DUMMYFUNCTION("IF(ISBLANK(A783),"""",GOOGLETRANSLATE(A783,""en"",""fr""))"),"")</f>
        <v/>
      </c>
    </row>
    <row r="784" spans="2:2">
      <c r="B784" s="3" t="str">
        <f ca="1">IFERROR(__xludf.DUMMYFUNCTION("IF(ISBLANK(A784),"""",GOOGLETRANSLATE(A784,""en"",""fr""))"),"")</f>
        <v/>
      </c>
    </row>
    <row r="785" spans="2:2">
      <c r="B785" s="3" t="str">
        <f ca="1">IFERROR(__xludf.DUMMYFUNCTION("IF(ISBLANK(A785),"""",GOOGLETRANSLATE(A785,""en"",""fr""))"),"")</f>
        <v/>
      </c>
    </row>
    <row r="786" spans="2:2">
      <c r="B786" s="3" t="str">
        <f ca="1">IFERROR(__xludf.DUMMYFUNCTION("IF(ISBLANK(A786),"""",GOOGLETRANSLATE(A786,""en"",""fr""))"),"")</f>
        <v/>
      </c>
    </row>
    <row r="787" spans="2:2">
      <c r="B787" s="3" t="str">
        <f ca="1">IFERROR(__xludf.DUMMYFUNCTION("IF(ISBLANK(A787),"""",GOOGLETRANSLATE(A787,""en"",""fr""))"),"")</f>
        <v/>
      </c>
    </row>
    <row r="788" spans="2:2">
      <c r="B788" s="3" t="str">
        <f ca="1">IFERROR(__xludf.DUMMYFUNCTION("IF(ISBLANK(A788),"""",GOOGLETRANSLATE(A788,""en"",""fr""))"),"")</f>
        <v/>
      </c>
    </row>
    <row r="789" spans="2:2">
      <c r="B789" s="3" t="str">
        <f ca="1">IFERROR(__xludf.DUMMYFUNCTION("IF(ISBLANK(A789),"""",GOOGLETRANSLATE(A789,""en"",""fr""))"),"")</f>
        <v/>
      </c>
    </row>
    <row r="790" spans="2:2">
      <c r="B790" s="3" t="str">
        <f ca="1">IFERROR(__xludf.DUMMYFUNCTION("IF(ISBLANK(A790),"""",GOOGLETRANSLATE(A790,""en"",""fr""))"),"")</f>
        <v/>
      </c>
    </row>
    <row r="791" spans="2:2">
      <c r="B791" s="3" t="str">
        <f ca="1">IFERROR(__xludf.DUMMYFUNCTION("IF(ISBLANK(A791),"""",GOOGLETRANSLATE(A791,""en"",""fr""))"),"")</f>
        <v/>
      </c>
    </row>
    <row r="792" spans="2:2">
      <c r="B792" s="3" t="str">
        <f ca="1">IFERROR(__xludf.DUMMYFUNCTION("IF(ISBLANK(A792),"""",GOOGLETRANSLATE(A792,""en"",""fr""))"),"")</f>
        <v/>
      </c>
    </row>
    <row r="793" spans="2:2">
      <c r="B793" s="3" t="str">
        <f ca="1">IFERROR(__xludf.DUMMYFUNCTION("IF(ISBLANK(A793),"""",GOOGLETRANSLATE(A793,""en"",""fr""))"),"")</f>
        <v/>
      </c>
    </row>
    <row r="794" spans="2:2">
      <c r="B794" s="3" t="str">
        <f ca="1">IFERROR(__xludf.DUMMYFUNCTION("IF(ISBLANK(A794),"""",GOOGLETRANSLATE(A794,""en"",""fr""))"),"")</f>
        <v/>
      </c>
    </row>
    <row r="795" spans="2:2">
      <c r="B795" s="3" t="str">
        <f ca="1">IFERROR(__xludf.DUMMYFUNCTION("IF(ISBLANK(A795),"""",GOOGLETRANSLATE(A795,""en"",""fr""))"),"")</f>
        <v/>
      </c>
    </row>
    <row r="796" spans="2:2">
      <c r="B796" s="3" t="str">
        <f ca="1">IFERROR(__xludf.DUMMYFUNCTION("IF(ISBLANK(A796),"""",GOOGLETRANSLATE(A796,""en"",""fr""))"),"")</f>
        <v/>
      </c>
    </row>
    <row r="797" spans="2:2">
      <c r="B797" s="3" t="str">
        <f ca="1">IFERROR(__xludf.DUMMYFUNCTION("IF(ISBLANK(A797),"""",GOOGLETRANSLATE(A797,""en"",""fr""))"),"")</f>
        <v/>
      </c>
    </row>
    <row r="798" spans="2:2">
      <c r="B798" s="3" t="str">
        <f ca="1">IFERROR(__xludf.DUMMYFUNCTION("IF(ISBLANK(A798),"""",GOOGLETRANSLATE(A798,""en"",""fr""))"),"")</f>
        <v/>
      </c>
    </row>
    <row r="799" spans="2:2">
      <c r="B799" s="3" t="str">
        <f ca="1">IFERROR(__xludf.DUMMYFUNCTION("IF(ISBLANK(A799),"""",GOOGLETRANSLATE(A799,""en"",""fr""))"),"")</f>
        <v/>
      </c>
    </row>
    <row r="800" spans="2:2">
      <c r="B800" s="3" t="str">
        <f ca="1">IFERROR(__xludf.DUMMYFUNCTION("IF(ISBLANK(A800),"""",GOOGLETRANSLATE(A800,""en"",""fr""))"),"")</f>
        <v/>
      </c>
    </row>
    <row r="801" spans="2:2">
      <c r="B801" s="3" t="str">
        <f ca="1">IFERROR(__xludf.DUMMYFUNCTION("IF(ISBLANK(A801),"""",GOOGLETRANSLATE(A801,""en"",""fr""))"),"")</f>
        <v/>
      </c>
    </row>
    <row r="802" spans="2:2">
      <c r="B802" s="3" t="str">
        <f ca="1">IFERROR(__xludf.DUMMYFUNCTION("IF(ISBLANK(A802),"""",GOOGLETRANSLATE(A802,""en"",""fr""))"),"")</f>
        <v/>
      </c>
    </row>
    <row r="803" spans="2:2">
      <c r="B803" s="3" t="str">
        <f ca="1">IFERROR(__xludf.DUMMYFUNCTION("IF(ISBLANK(A803),"""",GOOGLETRANSLATE(A803,""en"",""fr""))"),"")</f>
        <v/>
      </c>
    </row>
    <row r="804" spans="2:2">
      <c r="B804" s="3" t="str">
        <f ca="1">IFERROR(__xludf.DUMMYFUNCTION("IF(ISBLANK(A804),"""",GOOGLETRANSLATE(A804,""en"",""fr""))"),"")</f>
        <v/>
      </c>
    </row>
    <row r="805" spans="2:2">
      <c r="B805" s="3" t="str">
        <f ca="1">IFERROR(__xludf.DUMMYFUNCTION("IF(ISBLANK(A805),"""",GOOGLETRANSLATE(A805,""en"",""fr""))"),"")</f>
        <v/>
      </c>
    </row>
    <row r="806" spans="2:2">
      <c r="B806" s="3" t="str">
        <f ca="1">IFERROR(__xludf.DUMMYFUNCTION("IF(ISBLANK(A806),"""",GOOGLETRANSLATE(A806,""en"",""fr""))"),"")</f>
        <v/>
      </c>
    </row>
    <row r="807" spans="2:2">
      <c r="B807" s="3" t="str">
        <f ca="1">IFERROR(__xludf.DUMMYFUNCTION("IF(ISBLANK(A807),"""",GOOGLETRANSLATE(A807,""en"",""fr""))"),"")</f>
        <v/>
      </c>
    </row>
    <row r="808" spans="2:2">
      <c r="B808" s="3" t="str">
        <f ca="1">IFERROR(__xludf.DUMMYFUNCTION("IF(ISBLANK(A808),"""",GOOGLETRANSLATE(A808,""en"",""fr""))"),"")</f>
        <v/>
      </c>
    </row>
    <row r="809" spans="2:2">
      <c r="B809" s="3" t="str">
        <f ca="1">IFERROR(__xludf.DUMMYFUNCTION("IF(ISBLANK(A809),"""",GOOGLETRANSLATE(A809,""en"",""fr""))"),"")</f>
        <v/>
      </c>
    </row>
    <row r="810" spans="2:2">
      <c r="B810" s="3" t="str">
        <f ca="1">IFERROR(__xludf.DUMMYFUNCTION("IF(ISBLANK(A810),"""",GOOGLETRANSLATE(A810,""en"",""fr""))"),"")</f>
        <v/>
      </c>
    </row>
    <row r="811" spans="2:2">
      <c r="B811" s="3" t="str">
        <f ca="1">IFERROR(__xludf.DUMMYFUNCTION("IF(ISBLANK(A811),"""",GOOGLETRANSLATE(A811,""en"",""fr""))"),"")</f>
        <v/>
      </c>
    </row>
    <row r="812" spans="2:2">
      <c r="B812" s="3" t="str">
        <f ca="1">IFERROR(__xludf.DUMMYFUNCTION("IF(ISBLANK(A812),"""",GOOGLETRANSLATE(A812,""en"",""fr""))"),"")</f>
        <v/>
      </c>
    </row>
    <row r="813" spans="2:2">
      <c r="B813" s="3" t="str">
        <f ca="1">IFERROR(__xludf.DUMMYFUNCTION("IF(ISBLANK(A813),"""",GOOGLETRANSLATE(A813,""en"",""fr""))"),"")</f>
        <v/>
      </c>
    </row>
    <row r="814" spans="2:2">
      <c r="B814" s="3" t="str">
        <f ca="1">IFERROR(__xludf.DUMMYFUNCTION("IF(ISBLANK(A814),"""",GOOGLETRANSLATE(A814,""en"",""fr""))"),"")</f>
        <v/>
      </c>
    </row>
    <row r="815" spans="2:2">
      <c r="B815" s="3" t="str">
        <f ca="1">IFERROR(__xludf.DUMMYFUNCTION("IF(ISBLANK(A815),"""",GOOGLETRANSLATE(A815,""en"",""fr""))"),"")</f>
        <v/>
      </c>
    </row>
    <row r="816" spans="2:2">
      <c r="B816" s="3" t="str">
        <f ca="1">IFERROR(__xludf.DUMMYFUNCTION("IF(ISBLANK(A816),"""",GOOGLETRANSLATE(A816,""en"",""fr""))"),"")</f>
        <v/>
      </c>
    </row>
    <row r="817" spans="2:2">
      <c r="B817" s="3" t="str">
        <f ca="1">IFERROR(__xludf.DUMMYFUNCTION("IF(ISBLANK(A817),"""",GOOGLETRANSLATE(A817,""en"",""fr""))"),"")</f>
        <v/>
      </c>
    </row>
    <row r="818" spans="2:2">
      <c r="B818" s="3" t="str">
        <f ca="1">IFERROR(__xludf.DUMMYFUNCTION("IF(ISBLANK(A818),"""",GOOGLETRANSLATE(A818,""en"",""fr""))"),"")</f>
        <v/>
      </c>
    </row>
    <row r="819" spans="2:2">
      <c r="B819" s="3" t="str">
        <f ca="1">IFERROR(__xludf.DUMMYFUNCTION("IF(ISBLANK(A819),"""",GOOGLETRANSLATE(A819,""en"",""fr""))"),"")</f>
        <v/>
      </c>
    </row>
    <row r="820" spans="2:2">
      <c r="B820" s="3" t="str">
        <f ca="1">IFERROR(__xludf.DUMMYFUNCTION("IF(ISBLANK(A820),"""",GOOGLETRANSLATE(A820,""en"",""fr""))"),"")</f>
        <v/>
      </c>
    </row>
    <row r="821" spans="2:2">
      <c r="B821" s="3" t="str">
        <f ca="1">IFERROR(__xludf.DUMMYFUNCTION("IF(ISBLANK(A821),"""",GOOGLETRANSLATE(A821,""en"",""fr""))"),"")</f>
        <v/>
      </c>
    </row>
    <row r="822" spans="2:2">
      <c r="B822" s="3" t="str">
        <f ca="1">IFERROR(__xludf.DUMMYFUNCTION("IF(ISBLANK(A822),"""",GOOGLETRANSLATE(A822,""en"",""fr""))"),"")</f>
        <v/>
      </c>
    </row>
    <row r="823" spans="2:2">
      <c r="B823" s="3" t="str">
        <f ca="1">IFERROR(__xludf.DUMMYFUNCTION("IF(ISBLANK(A823),"""",GOOGLETRANSLATE(A823,""en"",""fr""))"),"")</f>
        <v/>
      </c>
    </row>
    <row r="824" spans="2:2">
      <c r="B824" s="3" t="str">
        <f ca="1">IFERROR(__xludf.DUMMYFUNCTION("IF(ISBLANK(A824),"""",GOOGLETRANSLATE(A824,""en"",""fr""))"),"")</f>
        <v/>
      </c>
    </row>
    <row r="825" spans="2:2">
      <c r="B825" s="3" t="str">
        <f ca="1">IFERROR(__xludf.DUMMYFUNCTION("IF(ISBLANK(A825),"""",GOOGLETRANSLATE(A825,""en"",""fr""))"),"")</f>
        <v/>
      </c>
    </row>
    <row r="826" spans="2:2">
      <c r="B826" s="3" t="str">
        <f ca="1">IFERROR(__xludf.DUMMYFUNCTION("IF(ISBLANK(A826),"""",GOOGLETRANSLATE(A826,""en"",""fr""))"),"")</f>
        <v/>
      </c>
    </row>
    <row r="827" spans="2:2">
      <c r="B827" s="3" t="str">
        <f ca="1">IFERROR(__xludf.DUMMYFUNCTION("IF(ISBLANK(A827),"""",GOOGLETRANSLATE(A827,""en"",""fr""))"),"")</f>
        <v/>
      </c>
    </row>
    <row r="828" spans="2:2">
      <c r="B828" s="3" t="str">
        <f ca="1">IFERROR(__xludf.DUMMYFUNCTION("IF(ISBLANK(A828),"""",GOOGLETRANSLATE(A828,""en"",""fr""))"),"")</f>
        <v/>
      </c>
    </row>
    <row r="829" spans="2:2">
      <c r="B829" s="3" t="str">
        <f ca="1">IFERROR(__xludf.DUMMYFUNCTION("IF(ISBLANK(A829),"""",GOOGLETRANSLATE(A829,""en"",""fr""))"),"")</f>
        <v/>
      </c>
    </row>
    <row r="830" spans="2:2">
      <c r="B830" s="3" t="str">
        <f ca="1">IFERROR(__xludf.DUMMYFUNCTION("IF(ISBLANK(A830),"""",GOOGLETRANSLATE(A830,""en"",""fr""))"),"")</f>
        <v/>
      </c>
    </row>
    <row r="831" spans="2:2">
      <c r="B831" s="3" t="str">
        <f ca="1">IFERROR(__xludf.DUMMYFUNCTION("IF(ISBLANK(A831),"""",GOOGLETRANSLATE(A831,""en"",""fr""))"),"")</f>
        <v/>
      </c>
    </row>
    <row r="832" spans="2:2">
      <c r="B832" s="3" t="str">
        <f ca="1">IFERROR(__xludf.DUMMYFUNCTION("IF(ISBLANK(A832),"""",GOOGLETRANSLATE(A832,""en"",""fr""))"),"")</f>
        <v/>
      </c>
    </row>
    <row r="833" spans="2:2">
      <c r="B833" s="3" t="str">
        <f ca="1">IFERROR(__xludf.DUMMYFUNCTION("IF(ISBLANK(A833),"""",GOOGLETRANSLATE(A833,""en"",""fr""))"),"")</f>
        <v/>
      </c>
    </row>
    <row r="834" spans="2:2">
      <c r="B834" s="3" t="str">
        <f ca="1">IFERROR(__xludf.DUMMYFUNCTION("IF(ISBLANK(A834),"""",GOOGLETRANSLATE(A834,""en"",""fr""))"),"")</f>
        <v/>
      </c>
    </row>
    <row r="835" spans="2:2">
      <c r="B835" s="3" t="str">
        <f ca="1">IFERROR(__xludf.DUMMYFUNCTION("IF(ISBLANK(A835),"""",GOOGLETRANSLATE(A835,""en"",""fr""))"),"")</f>
        <v/>
      </c>
    </row>
    <row r="836" spans="2:2">
      <c r="B836" s="3" t="str">
        <f ca="1">IFERROR(__xludf.DUMMYFUNCTION("IF(ISBLANK(A836),"""",GOOGLETRANSLATE(A836,""en"",""fr""))"),"")</f>
        <v/>
      </c>
    </row>
    <row r="837" spans="2:2">
      <c r="B837" s="3" t="str">
        <f ca="1">IFERROR(__xludf.DUMMYFUNCTION("IF(ISBLANK(A837),"""",GOOGLETRANSLATE(A837,""en"",""fr""))"),"")</f>
        <v/>
      </c>
    </row>
    <row r="838" spans="2:2">
      <c r="B838" s="3" t="str">
        <f ca="1">IFERROR(__xludf.DUMMYFUNCTION("IF(ISBLANK(A838),"""",GOOGLETRANSLATE(A838,""en"",""fr""))"),"")</f>
        <v/>
      </c>
    </row>
    <row r="839" spans="2:2">
      <c r="B839" s="3" t="str">
        <f ca="1">IFERROR(__xludf.DUMMYFUNCTION("IF(ISBLANK(A839),"""",GOOGLETRANSLATE(A839,""en"",""fr""))"),"")</f>
        <v/>
      </c>
    </row>
    <row r="840" spans="2:2">
      <c r="B840" s="3" t="str">
        <f ca="1">IFERROR(__xludf.DUMMYFUNCTION("IF(ISBLANK(A840),"""",GOOGLETRANSLATE(A840,""en"",""fr""))"),"")</f>
        <v/>
      </c>
    </row>
    <row r="841" spans="2:2">
      <c r="B841" s="3" t="str">
        <f ca="1">IFERROR(__xludf.DUMMYFUNCTION("IF(ISBLANK(A841),"""",GOOGLETRANSLATE(A841,""en"",""fr""))"),"")</f>
        <v/>
      </c>
    </row>
    <row r="842" spans="2:2">
      <c r="B842" s="3" t="str">
        <f ca="1">IFERROR(__xludf.DUMMYFUNCTION("IF(ISBLANK(A842),"""",GOOGLETRANSLATE(A842,""en"",""fr""))"),"")</f>
        <v/>
      </c>
    </row>
    <row r="843" spans="2:2">
      <c r="B843" s="3" t="str">
        <f ca="1">IFERROR(__xludf.DUMMYFUNCTION("IF(ISBLANK(A843),"""",GOOGLETRANSLATE(A843,""en"",""fr""))"),"")</f>
        <v/>
      </c>
    </row>
    <row r="844" spans="2:2">
      <c r="B844" s="3" t="str">
        <f ca="1">IFERROR(__xludf.DUMMYFUNCTION("IF(ISBLANK(A844),"""",GOOGLETRANSLATE(A844,""en"",""fr""))"),"")</f>
        <v/>
      </c>
    </row>
    <row r="845" spans="2:2">
      <c r="B845" s="3" t="str">
        <f ca="1">IFERROR(__xludf.DUMMYFUNCTION("IF(ISBLANK(A845),"""",GOOGLETRANSLATE(A845,""en"",""fr""))"),"")</f>
        <v/>
      </c>
    </row>
    <row r="846" spans="2:2">
      <c r="B846" s="3" t="str">
        <f ca="1">IFERROR(__xludf.DUMMYFUNCTION("IF(ISBLANK(A846),"""",GOOGLETRANSLATE(A846,""en"",""fr""))"),"")</f>
        <v/>
      </c>
    </row>
    <row r="847" spans="2:2">
      <c r="B847" s="3" t="str">
        <f ca="1">IFERROR(__xludf.DUMMYFUNCTION("IF(ISBLANK(A847),"""",GOOGLETRANSLATE(A847,""en"",""fr""))"),"")</f>
        <v/>
      </c>
    </row>
    <row r="848" spans="2:2">
      <c r="B848" s="3" t="str">
        <f ca="1">IFERROR(__xludf.DUMMYFUNCTION("IF(ISBLANK(A848),"""",GOOGLETRANSLATE(A848,""en"",""fr""))"),"")</f>
        <v/>
      </c>
    </row>
    <row r="849" spans="2:2">
      <c r="B849" s="3" t="str">
        <f ca="1">IFERROR(__xludf.DUMMYFUNCTION("IF(ISBLANK(A849),"""",GOOGLETRANSLATE(A849,""en"",""fr""))"),"")</f>
        <v/>
      </c>
    </row>
    <row r="850" spans="2:2">
      <c r="B850" s="3" t="str">
        <f ca="1">IFERROR(__xludf.DUMMYFUNCTION("IF(ISBLANK(A850),"""",GOOGLETRANSLATE(A850,""en"",""fr""))"),"")</f>
        <v/>
      </c>
    </row>
    <row r="851" spans="2:2">
      <c r="B851" s="3" t="str">
        <f ca="1">IFERROR(__xludf.DUMMYFUNCTION("IF(ISBLANK(A851),"""",GOOGLETRANSLATE(A851,""en"",""fr""))"),"")</f>
        <v/>
      </c>
    </row>
    <row r="852" spans="2:2">
      <c r="B852" s="3" t="str">
        <f ca="1">IFERROR(__xludf.DUMMYFUNCTION("IF(ISBLANK(A852),"""",GOOGLETRANSLATE(A852,""en"",""fr""))"),"")</f>
        <v/>
      </c>
    </row>
    <row r="853" spans="2:2">
      <c r="B853" s="3" t="str">
        <f ca="1">IFERROR(__xludf.DUMMYFUNCTION("IF(ISBLANK(A853),"""",GOOGLETRANSLATE(A853,""en"",""fr""))"),"")</f>
        <v/>
      </c>
    </row>
    <row r="854" spans="2:2">
      <c r="B854" s="3" t="str">
        <f ca="1">IFERROR(__xludf.DUMMYFUNCTION("IF(ISBLANK(A854),"""",GOOGLETRANSLATE(A854,""en"",""fr""))"),"")</f>
        <v/>
      </c>
    </row>
    <row r="855" spans="2:2">
      <c r="B855" s="3" t="str">
        <f ca="1">IFERROR(__xludf.DUMMYFUNCTION("IF(ISBLANK(A855),"""",GOOGLETRANSLATE(A855,""en"",""fr""))"),"")</f>
        <v/>
      </c>
    </row>
    <row r="856" spans="2:2">
      <c r="B856" s="3" t="str">
        <f ca="1">IFERROR(__xludf.DUMMYFUNCTION("IF(ISBLANK(A856),"""",GOOGLETRANSLATE(A856,""en"",""fr""))"),"")</f>
        <v/>
      </c>
    </row>
    <row r="857" spans="2:2">
      <c r="B857" s="3" t="str">
        <f ca="1">IFERROR(__xludf.DUMMYFUNCTION("IF(ISBLANK(A857),"""",GOOGLETRANSLATE(A857,""en"",""fr""))"),"")</f>
        <v/>
      </c>
    </row>
    <row r="858" spans="2:2">
      <c r="B858" s="3" t="str">
        <f ca="1">IFERROR(__xludf.DUMMYFUNCTION("IF(ISBLANK(A858),"""",GOOGLETRANSLATE(A858,""en"",""fr""))"),"")</f>
        <v/>
      </c>
    </row>
    <row r="859" spans="2:2">
      <c r="B859" s="3" t="str">
        <f ca="1">IFERROR(__xludf.DUMMYFUNCTION("IF(ISBLANK(A859),"""",GOOGLETRANSLATE(A859,""en"",""fr""))"),"")</f>
        <v/>
      </c>
    </row>
    <row r="860" spans="2:2">
      <c r="B860" s="3" t="str">
        <f ca="1">IFERROR(__xludf.DUMMYFUNCTION("IF(ISBLANK(A860),"""",GOOGLETRANSLATE(A860,""en"",""fr""))"),"")</f>
        <v/>
      </c>
    </row>
    <row r="861" spans="2:2">
      <c r="B861" s="3" t="str">
        <f ca="1">IFERROR(__xludf.DUMMYFUNCTION("IF(ISBLANK(A861),"""",GOOGLETRANSLATE(A861,""en"",""fr""))"),"")</f>
        <v/>
      </c>
    </row>
    <row r="862" spans="2:2">
      <c r="B862" s="3" t="str">
        <f ca="1">IFERROR(__xludf.DUMMYFUNCTION("IF(ISBLANK(A862),"""",GOOGLETRANSLATE(A862,""en"",""fr""))"),"")</f>
        <v/>
      </c>
    </row>
    <row r="863" spans="2:2">
      <c r="B863" s="3" t="str">
        <f ca="1">IFERROR(__xludf.DUMMYFUNCTION("IF(ISBLANK(A863),"""",GOOGLETRANSLATE(A863,""en"",""fr""))"),"")</f>
        <v/>
      </c>
    </row>
    <row r="864" spans="2:2">
      <c r="B864" s="3" t="str">
        <f ca="1">IFERROR(__xludf.DUMMYFUNCTION("IF(ISBLANK(A864),"""",GOOGLETRANSLATE(A864,""en"",""fr""))"),"")</f>
        <v/>
      </c>
    </row>
    <row r="865" spans="2:2">
      <c r="B865" s="3" t="str">
        <f ca="1">IFERROR(__xludf.DUMMYFUNCTION("IF(ISBLANK(A865),"""",GOOGLETRANSLATE(A865,""en"",""fr""))"),"")</f>
        <v/>
      </c>
    </row>
    <row r="866" spans="2:2">
      <c r="B866" s="3" t="str">
        <f ca="1">IFERROR(__xludf.DUMMYFUNCTION("IF(ISBLANK(A866),"""",GOOGLETRANSLATE(A866,""en"",""fr""))"),"")</f>
        <v/>
      </c>
    </row>
    <row r="867" spans="2:2">
      <c r="B867" s="3" t="str">
        <f ca="1">IFERROR(__xludf.DUMMYFUNCTION("IF(ISBLANK(A867),"""",GOOGLETRANSLATE(A867,""en"",""fr""))"),"")</f>
        <v/>
      </c>
    </row>
    <row r="868" spans="2:2">
      <c r="B868" s="3" t="str">
        <f ca="1">IFERROR(__xludf.DUMMYFUNCTION("IF(ISBLANK(A868),"""",GOOGLETRANSLATE(A868,""en"",""fr""))"),"")</f>
        <v/>
      </c>
    </row>
    <row r="869" spans="2:2">
      <c r="B869" s="3" t="str">
        <f ca="1">IFERROR(__xludf.DUMMYFUNCTION("IF(ISBLANK(A869),"""",GOOGLETRANSLATE(A869,""en"",""fr""))"),"")</f>
        <v/>
      </c>
    </row>
    <row r="870" spans="2:2">
      <c r="B870" s="3" t="str">
        <f ca="1">IFERROR(__xludf.DUMMYFUNCTION("IF(ISBLANK(A870),"""",GOOGLETRANSLATE(A870,""en"",""fr""))"),"")</f>
        <v/>
      </c>
    </row>
    <row r="871" spans="2:2">
      <c r="B871" s="3" t="str">
        <f ca="1">IFERROR(__xludf.DUMMYFUNCTION("IF(ISBLANK(A871),"""",GOOGLETRANSLATE(A871,""en"",""fr""))"),"")</f>
        <v/>
      </c>
    </row>
    <row r="872" spans="2:2">
      <c r="B872" s="3" t="str">
        <f ca="1">IFERROR(__xludf.DUMMYFUNCTION("IF(ISBLANK(A872),"""",GOOGLETRANSLATE(A872,""en"",""fr""))"),"")</f>
        <v/>
      </c>
    </row>
    <row r="873" spans="2:2">
      <c r="B873" s="3" t="str">
        <f ca="1">IFERROR(__xludf.DUMMYFUNCTION("IF(ISBLANK(A873),"""",GOOGLETRANSLATE(A873,""en"",""fr""))"),"")</f>
        <v/>
      </c>
    </row>
    <row r="874" spans="2:2">
      <c r="B874" s="3" t="str">
        <f ca="1">IFERROR(__xludf.DUMMYFUNCTION("IF(ISBLANK(A874),"""",GOOGLETRANSLATE(A874,""en"",""fr""))"),"")</f>
        <v/>
      </c>
    </row>
    <row r="875" spans="2:2">
      <c r="B875" s="3" t="str">
        <f ca="1">IFERROR(__xludf.DUMMYFUNCTION("IF(ISBLANK(A875),"""",GOOGLETRANSLATE(A875,""en"",""fr""))"),"")</f>
        <v/>
      </c>
    </row>
    <row r="876" spans="2:2">
      <c r="B876" s="3" t="str">
        <f ca="1">IFERROR(__xludf.DUMMYFUNCTION("IF(ISBLANK(A876),"""",GOOGLETRANSLATE(A876,""en"",""fr""))"),"")</f>
        <v/>
      </c>
    </row>
    <row r="877" spans="2:2">
      <c r="B877" s="3" t="str">
        <f ca="1">IFERROR(__xludf.DUMMYFUNCTION("IF(ISBLANK(A877),"""",GOOGLETRANSLATE(A877,""en"",""fr""))"),"")</f>
        <v/>
      </c>
    </row>
    <row r="878" spans="2:2">
      <c r="B878" s="3" t="str">
        <f ca="1">IFERROR(__xludf.DUMMYFUNCTION("IF(ISBLANK(A878),"""",GOOGLETRANSLATE(A878,""en"",""fr""))"),"")</f>
        <v/>
      </c>
    </row>
    <row r="879" spans="2:2">
      <c r="B879" s="3" t="str">
        <f ca="1">IFERROR(__xludf.DUMMYFUNCTION("IF(ISBLANK(A879),"""",GOOGLETRANSLATE(A879,""en"",""fr""))"),"")</f>
        <v/>
      </c>
    </row>
    <row r="880" spans="2:2">
      <c r="B880" s="3" t="str">
        <f ca="1">IFERROR(__xludf.DUMMYFUNCTION("IF(ISBLANK(A880),"""",GOOGLETRANSLATE(A880,""en"",""fr""))"),"")</f>
        <v/>
      </c>
    </row>
    <row r="881" spans="2:2">
      <c r="B881" s="3" t="str">
        <f ca="1">IFERROR(__xludf.DUMMYFUNCTION("IF(ISBLANK(A881),"""",GOOGLETRANSLATE(A881,""en"",""fr""))"),"")</f>
        <v/>
      </c>
    </row>
    <row r="882" spans="2:2">
      <c r="B882" s="3" t="str">
        <f ca="1">IFERROR(__xludf.DUMMYFUNCTION("IF(ISBLANK(A882),"""",GOOGLETRANSLATE(A882,""en"",""fr""))"),"")</f>
        <v/>
      </c>
    </row>
    <row r="883" spans="2:2">
      <c r="B883" s="3" t="str">
        <f ca="1">IFERROR(__xludf.DUMMYFUNCTION("IF(ISBLANK(A883),"""",GOOGLETRANSLATE(A883,""en"",""fr""))"),"")</f>
        <v/>
      </c>
    </row>
    <row r="884" spans="2:2">
      <c r="B884" s="3" t="str">
        <f ca="1">IFERROR(__xludf.DUMMYFUNCTION("IF(ISBLANK(A884),"""",GOOGLETRANSLATE(A884,""en"",""fr""))"),"")</f>
        <v/>
      </c>
    </row>
    <row r="885" spans="2:2">
      <c r="B885" s="3" t="str">
        <f ca="1">IFERROR(__xludf.DUMMYFUNCTION("IF(ISBLANK(A885),"""",GOOGLETRANSLATE(A885,""en"",""fr""))"),"")</f>
        <v/>
      </c>
    </row>
    <row r="886" spans="2:2">
      <c r="B886" s="3" t="str">
        <f ca="1">IFERROR(__xludf.DUMMYFUNCTION("IF(ISBLANK(A886),"""",GOOGLETRANSLATE(A886,""en"",""fr""))"),"")</f>
        <v/>
      </c>
    </row>
    <row r="887" spans="2:2">
      <c r="B887" s="3" t="str">
        <f ca="1">IFERROR(__xludf.DUMMYFUNCTION("IF(ISBLANK(A887),"""",GOOGLETRANSLATE(A887,""en"",""fr""))"),"")</f>
        <v/>
      </c>
    </row>
    <row r="888" spans="2:2">
      <c r="B888" s="3" t="str">
        <f ca="1">IFERROR(__xludf.DUMMYFUNCTION("IF(ISBLANK(A888),"""",GOOGLETRANSLATE(A888,""en"",""fr""))"),"")</f>
        <v/>
      </c>
    </row>
    <row r="889" spans="2:2">
      <c r="B889" s="3" t="str">
        <f ca="1">IFERROR(__xludf.DUMMYFUNCTION("IF(ISBLANK(A889),"""",GOOGLETRANSLATE(A889,""en"",""fr""))"),"")</f>
        <v/>
      </c>
    </row>
    <row r="890" spans="2:2">
      <c r="B890" s="3" t="str">
        <f ca="1">IFERROR(__xludf.DUMMYFUNCTION("IF(ISBLANK(A890),"""",GOOGLETRANSLATE(A890,""en"",""fr""))"),"")</f>
        <v/>
      </c>
    </row>
    <row r="891" spans="2:2">
      <c r="B891" s="3" t="str">
        <f ca="1">IFERROR(__xludf.DUMMYFUNCTION("IF(ISBLANK(A891),"""",GOOGLETRANSLATE(A891,""en"",""fr""))"),"")</f>
        <v/>
      </c>
    </row>
    <row r="892" spans="2:2">
      <c r="B892" s="3" t="str">
        <f ca="1">IFERROR(__xludf.DUMMYFUNCTION("IF(ISBLANK(A892),"""",GOOGLETRANSLATE(A892,""en"",""fr""))"),"")</f>
        <v/>
      </c>
    </row>
    <row r="893" spans="2:2">
      <c r="B893" s="3" t="str">
        <f ca="1">IFERROR(__xludf.DUMMYFUNCTION("IF(ISBLANK(A893),"""",GOOGLETRANSLATE(A893,""en"",""fr""))"),"")</f>
        <v/>
      </c>
    </row>
    <row r="894" spans="2:2">
      <c r="B894" s="3" t="str">
        <f ca="1">IFERROR(__xludf.DUMMYFUNCTION("IF(ISBLANK(A894),"""",GOOGLETRANSLATE(A894,""en"",""fr""))"),"")</f>
        <v/>
      </c>
    </row>
    <row r="895" spans="2:2">
      <c r="B895" s="3" t="str">
        <f ca="1">IFERROR(__xludf.DUMMYFUNCTION("IF(ISBLANK(A895),"""",GOOGLETRANSLATE(A895,""en"",""fr""))"),"")</f>
        <v/>
      </c>
    </row>
    <row r="896" spans="2:2">
      <c r="B896" s="3" t="str">
        <f ca="1">IFERROR(__xludf.DUMMYFUNCTION("IF(ISBLANK(A896),"""",GOOGLETRANSLATE(A896,""en"",""fr""))"),"")</f>
        <v/>
      </c>
    </row>
    <row r="897" spans="2:2">
      <c r="B897" s="3" t="str">
        <f ca="1">IFERROR(__xludf.DUMMYFUNCTION("IF(ISBLANK(A897),"""",GOOGLETRANSLATE(A897,""en"",""fr""))"),"")</f>
        <v/>
      </c>
    </row>
    <row r="898" spans="2:2">
      <c r="B898" s="3" t="str">
        <f ca="1">IFERROR(__xludf.DUMMYFUNCTION("IF(ISBLANK(A898),"""",GOOGLETRANSLATE(A898,""en"",""fr""))"),"")</f>
        <v/>
      </c>
    </row>
    <row r="899" spans="2:2">
      <c r="B899" s="3" t="str">
        <f ca="1">IFERROR(__xludf.DUMMYFUNCTION("IF(ISBLANK(A899),"""",GOOGLETRANSLATE(A899,""en"",""fr""))"),"")</f>
        <v/>
      </c>
    </row>
    <row r="900" spans="2:2">
      <c r="B900" s="3" t="str">
        <f ca="1">IFERROR(__xludf.DUMMYFUNCTION("IF(ISBLANK(A900),"""",GOOGLETRANSLATE(A900,""en"",""fr""))"),"")</f>
        <v/>
      </c>
    </row>
    <row r="901" spans="2:2">
      <c r="B901" s="3" t="str">
        <f ca="1">IFERROR(__xludf.DUMMYFUNCTION("IF(ISBLANK(A901),"""",GOOGLETRANSLATE(A901,""en"",""fr""))"),"")</f>
        <v/>
      </c>
    </row>
    <row r="902" spans="2:2">
      <c r="B902" s="3" t="str">
        <f ca="1">IFERROR(__xludf.DUMMYFUNCTION("IF(ISBLANK(A902),"""",GOOGLETRANSLATE(A902,""en"",""fr""))"),"")</f>
        <v/>
      </c>
    </row>
    <row r="903" spans="2:2">
      <c r="B903" s="3" t="str">
        <f ca="1">IFERROR(__xludf.DUMMYFUNCTION("IF(ISBLANK(A903),"""",GOOGLETRANSLATE(A903,""en"",""fr""))"),"")</f>
        <v/>
      </c>
    </row>
    <row r="904" spans="2:2">
      <c r="B904" s="3" t="str">
        <f ca="1">IFERROR(__xludf.DUMMYFUNCTION("IF(ISBLANK(A904),"""",GOOGLETRANSLATE(A904,""en"",""fr""))"),"")</f>
        <v/>
      </c>
    </row>
    <row r="905" spans="2:2">
      <c r="B905" s="3" t="str">
        <f ca="1">IFERROR(__xludf.DUMMYFUNCTION("IF(ISBLANK(A905),"""",GOOGLETRANSLATE(A905,""en"",""fr""))"),"")</f>
        <v/>
      </c>
    </row>
    <row r="906" spans="2:2">
      <c r="B906" s="3" t="str">
        <f ca="1">IFERROR(__xludf.DUMMYFUNCTION("IF(ISBLANK(A906),"""",GOOGLETRANSLATE(A906,""en"",""fr""))"),"")</f>
        <v/>
      </c>
    </row>
    <row r="907" spans="2:2">
      <c r="B907" s="3" t="str">
        <f ca="1">IFERROR(__xludf.DUMMYFUNCTION("IF(ISBLANK(A907),"""",GOOGLETRANSLATE(A907,""en"",""fr""))"),"")</f>
        <v/>
      </c>
    </row>
    <row r="908" spans="2:2">
      <c r="B908" s="3" t="str">
        <f ca="1">IFERROR(__xludf.DUMMYFUNCTION("IF(ISBLANK(A908),"""",GOOGLETRANSLATE(A908,""en"",""fr""))"),"")</f>
        <v/>
      </c>
    </row>
    <row r="909" spans="2:2">
      <c r="B909" s="3" t="str">
        <f ca="1">IFERROR(__xludf.DUMMYFUNCTION("IF(ISBLANK(A909),"""",GOOGLETRANSLATE(A909,""en"",""fr""))"),"")</f>
        <v/>
      </c>
    </row>
    <row r="910" spans="2:2">
      <c r="B910" s="3" t="str">
        <f ca="1">IFERROR(__xludf.DUMMYFUNCTION("IF(ISBLANK(A910),"""",GOOGLETRANSLATE(A910,""en"",""fr""))"),"")</f>
        <v/>
      </c>
    </row>
    <row r="911" spans="2:2">
      <c r="B911" s="3" t="str">
        <f ca="1">IFERROR(__xludf.DUMMYFUNCTION("IF(ISBLANK(A911),"""",GOOGLETRANSLATE(A911,""en"",""fr""))"),"")</f>
        <v/>
      </c>
    </row>
    <row r="912" spans="2:2">
      <c r="B912" s="3" t="str">
        <f ca="1">IFERROR(__xludf.DUMMYFUNCTION("IF(ISBLANK(A912),"""",GOOGLETRANSLATE(A912,""en"",""fr""))"),"")</f>
        <v/>
      </c>
    </row>
    <row r="913" spans="2:2">
      <c r="B913" s="3" t="str">
        <f ca="1">IFERROR(__xludf.DUMMYFUNCTION("IF(ISBLANK(A913),"""",GOOGLETRANSLATE(A913,""en"",""fr""))"),"")</f>
        <v/>
      </c>
    </row>
    <row r="914" spans="2:2">
      <c r="B914" s="3" t="str">
        <f ca="1">IFERROR(__xludf.DUMMYFUNCTION("IF(ISBLANK(A914),"""",GOOGLETRANSLATE(A914,""en"",""fr""))"),"")</f>
        <v/>
      </c>
    </row>
    <row r="915" spans="2:2">
      <c r="B915" s="3" t="str">
        <f ca="1">IFERROR(__xludf.DUMMYFUNCTION("IF(ISBLANK(A915),"""",GOOGLETRANSLATE(A915,""en"",""fr""))"),"")</f>
        <v/>
      </c>
    </row>
    <row r="916" spans="2:2">
      <c r="B916" s="3" t="str">
        <f ca="1">IFERROR(__xludf.DUMMYFUNCTION("IF(ISBLANK(A916),"""",GOOGLETRANSLATE(A916,""en"",""fr""))"),"")</f>
        <v/>
      </c>
    </row>
    <row r="917" spans="2:2">
      <c r="B917" s="3" t="str">
        <f ca="1">IFERROR(__xludf.DUMMYFUNCTION("IF(ISBLANK(A917),"""",GOOGLETRANSLATE(A917,""en"",""fr""))"),"")</f>
        <v/>
      </c>
    </row>
    <row r="918" spans="2:2">
      <c r="B918" s="3" t="str">
        <f ca="1">IFERROR(__xludf.DUMMYFUNCTION("IF(ISBLANK(A918),"""",GOOGLETRANSLATE(A918,""en"",""fr""))"),"")</f>
        <v/>
      </c>
    </row>
    <row r="919" spans="2:2">
      <c r="B919" s="3" t="str">
        <f ca="1">IFERROR(__xludf.DUMMYFUNCTION("IF(ISBLANK(A919),"""",GOOGLETRANSLATE(A919,""en"",""fr""))"),"")</f>
        <v/>
      </c>
    </row>
    <row r="920" spans="2:2">
      <c r="B920" s="3" t="str">
        <f ca="1">IFERROR(__xludf.DUMMYFUNCTION("IF(ISBLANK(A920),"""",GOOGLETRANSLATE(A920,""en"",""fr""))"),"")</f>
        <v/>
      </c>
    </row>
    <row r="921" spans="2:2">
      <c r="B921" s="3" t="str">
        <f ca="1">IFERROR(__xludf.DUMMYFUNCTION("IF(ISBLANK(A921),"""",GOOGLETRANSLATE(A921,""en"",""fr""))"),"")</f>
        <v/>
      </c>
    </row>
    <row r="922" spans="2:2">
      <c r="B922" s="3" t="str">
        <f ca="1">IFERROR(__xludf.DUMMYFUNCTION("IF(ISBLANK(A922),"""",GOOGLETRANSLATE(A922,""en"",""fr""))"),"")</f>
        <v/>
      </c>
    </row>
    <row r="923" spans="2:2">
      <c r="B923" s="3" t="str">
        <f ca="1">IFERROR(__xludf.DUMMYFUNCTION("IF(ISBLANK(A923),"""",GOOGLETRANSLATE(A923,""en"",""fr""))"),"")</f>
        <v/>
      </c>
    </row>
    <row r="924" spans="2:2">
      <c r="B924" s="3" t="str">
        <f ca="1">IFERROR(__xludf.DUMMYFUNCTION("IF(ISBLANK(A924),"""",GOOGLETRANSLATE(A924,""en"",""fr""))"),"")</f>
        <v/>
      </c>
    </row>
    <row r="925" spans="2:2">
      <c r="B925" s="3" t="str">
        <f ca="1">IFERROR(__xludf.DUMMYFUNCTION("IF(ISBLANK(A925),"""",GOOGLETRANSLATE(A925,""en"",""fr""))"),"")</f>
        <v/>
      </c>
    </row>
    <row r="926" spans="2:2">
      <c r="B926" s="3" t="str">
        <f ca="1">IFERROR(__xludf.DUMMYFUNCTION("IF(ISBLANK(A926),"""",GOOGLETRANSLATE(A926,""en"",""fr""))"),"")</f>
        <v/>
      </c>
    </row>
    <row r="927" spans="2:2">
      <c r="B927" s="3" t="str">
        <f ca="1">IFERROR(__xludf.DUMMYFUNCTION("IF(ISBLANK(A927),"""",GOOGLETRANSLATE(A927,""en"",""fr""))"),"")</f>
        <v/>
      </c>
    </row>
    <row r="928" spans="2:2">
      <c r="B928" s="3" t="str">
        <f ca="1">IFERROR(__xludf.DUMMYFUNCTION("IF(ISBLANK(A928),"""",GOOGLETRANSLATE(A928,""en"",""fr""))"),"")</f>
        <v/>
      </c>
    </row>
    <row r="929" spans="2:2">
      <c r="B929" s="3" t="str">
        <f ca="1">IFERROR(__xludf.DUMMYFUNCTION("IF(ISBLANK(A929),"""",GOOGLETRANSLATE(A929,""en"",""fr""))"),"")</f>
        <v/>
      </c>
    </row>
    <row r="930" spans="2:2">
      <c r="B930" s="3" t="str">
        <f ca="1">IFERROR(__xludf.DUMMYFUNCTION("IF(ISBLANK(A930),"""",GOOGLETRANSLATE(A930,""en"",""fr""))"),"")</f>
        <v/>
      </c>
    </row>
    <row r="931" spans="2:2">
      <c r="B931" s="3" t="str">
        <f ca="1">IFERROR(__xludf.DUMMYFUNCTION("IF(ISBLANK(A931),"""",GOOGLETRANSLATE(A931,""en"",""fr""))"),"")</f>
        <v/>
      </c>
    </row>
    <row r="932" spans="2:2">
      <c r="B932" s="3" t="str">
        <f ca="1">IFERROR(__xludf.DUMMYFUNCTION("IF(ISBLANK(A932),"""",GOOGLETRANSLATE(A932,""en"",""fr""))"),"")</f>
        <v/>
      </c>
    </row>
    <row r="933" spans="2:2">
      <c r="B933" s="3" t="str">
        <f ca="1">IFERROR(__xludf.DUMMYFUNCTION("IF(ISBLANK(A933),"""",GOOGLETRANSLATE(A933,""en"",""fr""))"),"")</f>
        <v/>
      </c>
    </row>
    <row r="934" spans="2:2">
      <c r="B934" s="3" t="str">
        <f ca="1">IFERROR(__xludf.DUMMYFUNCTION("IF(ISBLANK(A934),"""",GOOGLETRANSLATE(A934,""en"",""fr""))"),"")</f>
        <v/>
      </c>
    </row>
    <row r="935" spans="2:2">
      <c r="B935" s="3" t="str">
        <f ca="1">IFERROR(__xludf.DUMMYFUNCTION("IF(ISBLANK(A935),"""",GOOGLETRANSLATE(A935,""en"",""fr""))"),"")</f>
        <v/>
      </c>
    </row>
    <row r="936" spans="2:2">
      <c r="B936" s="3" t="str">
        <f ca="1">IFERROR(__xludf.DUMMYFUNCTION("IF(ISBLANK(A936),"""",GOOGLETRANSLATE(A936,""en"",""fr""))"),"")</f>
        <v/>
      </c>
    </row>
    <row r="937" spans="2:2">
      <c r="B937" s="3" t="str">
        <f ca="1">IFERROR(__xludf.DUMMYFUNCTION("IF(ISBLANK(A937),"""",GOOGLETRANSLATE(A937,""en"",""fr""))"),"")</f>
        <v/>
      </c>
    </row>
    <row r="938" spans="2:2">
      <c r="B938" s="3" t="str">
        <f ca="1">IFERROR(__xludf.DUMMYFUNCTION("IF(ISBLANK(A938),"""",GOOGLETRANSLATE(A938,""en"",""fr""))"),"")</f>
        <v/>
      </c>
    </row>
    <row r="939" spans="2:2">
      <c r="B939" s="3" t="str">
        <f ca="1">IFERROR(__xludf.DUMMYFUNCTION("IF(ISBLANK(A939),"""",GOOGLETRANSLATE(A939,""en"",""fr""))"),"")</f>
        <v/>
      </c>
    </row>
    <row r="940" spans="2:2">
      <c r="B940" s="3" t="str">
        <f ca="1">IFERROR(__xludf.DUMMYFUNCTION("IF(ISBLANK(A940),"""",GOOGLETRANSLATE(A940,""en"",""fr""))"),"")</f>
        <v/>
      </c>
    </row>
    <row r="941" spans="2:2">
      <c r="B941" s="3" t="str">
        <f ca="1">IFERROR(__xludf.DUMMYFUNCTION("IF(ISBLANK(A941),"""",GOOGLETRANSLATE(A941,""en"",""fr""))"),"")</f>
        <v/>
      </c>
    </row>
    <row r="942" spans="2:2">
      <c r="B942" s="3" t="str">
        <f ca="1">IFERROR(__xludf.DUMMYFUNCTION("IF(ISBLANK(A942),"""",GOOGLETRANSLATE(A942,""en"",""fr""))"),"")</f>
        <v/>
      </c>
    </row>
    <row r="943" spans="2:2">
      <c r="B943" s="3" t="str">
        <f ca="1">IFERROR(__xludf.DUMMYFUNCTION("IF(ISBLANK(A943),"""",GOOGLETRANSLATE(A943,""en"",""fr""))"),"")</f>
        <v/>
      </c>
    </row>
    <row r="944" spans="2:2">
      <c r="B944" s="3" t="str">
        <f ca="1">IFERROR(__xludf.DUMMYFUNCTION("IF(ISBLANK(A944),"""",GOOGLETRANSLATE(A944,""en"",""fr""))"),"")</f>
        <v/>
      </c>
    </row>
    <row r="945" spans="2:2">
      <c r="B945" s="3" t="str">
        <f ca="1">IFERROR(__xludf.DUMMYFUNCTION("IF(ISBLANK(A945),"""",GOOGLETRANSLATE(A945,""en"",""fr""))"),"")</f>
        <v/>
      </c>
    </row>
    <row r="946" spans="2:2">
      <c r="B946" s="3" t="str">
        <f ca="1">IFERROR(__xludf.DUMMYFUNCTION("IF(ISBLANK(A946),"""",GOOGLETRANSLATE(A946,""en"",""fr""))"),"")</f>
        <v/>
      </c>
    </row>
    <row r="947" spans="2:2">
      <c r="B947" s="3" t="str">
        <f ca="1">IFERROR(__xludf.DUMMYFUNCTION("IF(ISBLANK(A947),"""",GOOGLETRANSLATE(A947,""en"",""fr""))"),"")</f>
        <v/>
      </c>
    </row>
    <row r="948" spans="2:2">
      <c r="B948" s="3" t="str">
        <f ca="1">IFERROR(__xludf.DUMMYFUNCTION("IF(ISBLANK(A948),"""",GOOGLETRANSLATE(A948,""en"",""fr""))"),"")</f>
        <v/>
      </c>
    </row>
    <row r="949" spans="2:2">
      <c r="B949" s="3" t="str">
        <f ca="1">IFERROR(__xludf.DUMMYFUNCTION("IF(ISBLANK(A949),"""",GOOGLETRANSLATE(A949,""en"",""fr""))"),"")</f>
        <v/>
      </c>
    </row>
    <row r="950" spans="2:2">
      <c r="B950" s="3" t="str">
        <f ca="1">IFERROR(__xludf.DUMMYFUNCTION("IF(ISBLANK(A950),"""",GOOGLETRANSLATE(A950,""en"",""fr""))"),"")</f>
        <v/>
      </c>
    </row>
    <row r="951" spans="2:2">
      <c r="B951" s="3" t="str">
        <f ca="1">IFERROR(__xludf.DUMMYFUNCTION("IF(ISBLANK(A951),"""",GOOGLETRANSLATE(A951,""en"",""fr""))"),"")</f>
        <v/>
      </c>
    </row>
    <row r="952" spans="2:2">
      <c r="B952" s="3" t="str">
        <f ca="1">IFERROR(__xludf.DUMMYFUNCTION("IF(ISBLANK(A952),"""",GOOGLETRANSLATE(A952,""en"",""fr""))"),"")</f>
        <v/>
      </c>
    </row>
    <row r="953" spans="2:2">
      <c r="B953" s="3" t="str">
        <f ca="1">IFERROR(__xludf.DUMMYFUNCTION("IF(ISBLANK(A953),"""",GOOGLETRANSLATE(A953,""en"",""fr""))"),"")</f>
        <v/>
      </c>
    </row>
    <row r="954" spans="2:2">
      <c r="B954" s="3" t="str">
        <f ca="1">IFERROR(__xludf.DUMMYFUNCTION("IF(ISBLANK(A954),"""",GOOGLETRANSLATE(A954,""en"",""fr""))"),"")</f>
        <v/>
      </c>
    </row>
    <row r="955" spans="2:2">
      <c r="B955" s="3" t="str">
        <f ca="1">IFERROR(__xludf.DUMMYFUNCTION("IF(ISBLANK(A955),"""",GOOGLETRANSLATE(A955,""en"",""fr""))"),"")</f>
        <v/>
      </c>
    </row>
    <row r="956" spans="2:2">
      <c r="B956" s="3" t="str">
        <f ca="1">IFERROR(__xludf.DUMMYFUNCTION("IF(ISBLANK(A956),"""",GOOGLETRANSLATE(A956,""en"",""fr""))"),"")</f>
        <v/>
      </c>
    </row>
    <row r="957" spans="2:2">
      <c r="B957" s="3" t="str">
        <f ca="1">IFERROR(__xludf.DUMMYFUNCTION("IF(ISBLANK(A957),"""",GOOGLETRANSLATE(A957,""en"",""fr""))"),"")</f>
        <v/>
      </c>
    </row>
    <row r="958" spans="2:2">
      <c r="B958" s="3" t="str">
        <f ca="1">IFERROR(__xludf.DUMMYFUNCTION("IF(ISBLANK(A958),"""",GOOGLETRANSLATE(A958,""en"",""fr""))"),"")</f>
        <v/>
      </c>
    </row>
    <row r="959" spans="2:2">
      <c r="B959" s="3" t="str">
        <f ca="1">IFERROR(__xludf.DUMMYFUNCTION("IF(ISBLANK(A959),"""",GOOGLETRANSLATE(A959,""en"",""fr""))"),"")</f>
        <v/>
      </c>
    </row>
    <row r="960" spans="2:2">
      <c r="B960" s="3" t="str">
        <f ca="1">IFERROR(__xludf.DUMMYFUNCTION("IF(ISBLANK(A960),"""",GOOGLETRANSLATE(A960,""en"",""fr""))"),"")</f>
        <v/>
      </c>
    </row>
    <row r="961" spans="2:2">
      <c r="B961" s="3" t="str">
        <f ca="1">IFERROR(__xludf.DUMMYFUNCTION("IF(ISBLANK(A961),"""",GOOGLETRANSLATE(A961,""en"",""fr""))"),"")</f>
        <v/>
      </c>
    </row>
    <row r="962" spans="2:2">
      <c r="B962" s="3" t="str">
        <f ca="1">IFERROR(__xludf.DUMMYFUNCTION("IF(ISBLANK(A962),"""",GOOGLETRANSLATE(A962,""en"",""fr""))"),"")</f>
        <v/>
      </c>
    </row>
    <row r="963" spans="2:2">
      <c r="B963" s="3" t="str">
        <f ca="1">IFERROR(__xludf.DUMMYFUNCTION("IF(ISBLANK(A963),"""",GOOGLETRANSLATE(A963,""en"",""fr""))"),"")</f>
        <v/>
      </c>
    </row>
    <row r="964" spans="2:2">
      <c r="B964" s="3" t="str">
        <f ca="1">IFERROR(__xludf.DUMMYFUNCTION("IF(ISBLANK(A964),"""",GOOGLETRANSLATE(A964,""en"",""fr""))"),"")</f>
        <v/>
      </c>
    </row>
    <row r="965" spans="2:2">
      <c r="B965" s="3" t="str">
        <f ca="1">IFERROR(__xludf.DUMMYFUNCTION("IF(ISBLANK(A965),"""",GOOGLETRANSLATE(A965,""en"",""fr""))"),"")</f>
        <v/>
      </c>
    </row>
    <row r="966" spans="2:2">
      <c r="B966" s="3" t="str">
        <f ca="1">IFERROR(__xludf.DUMMYFUNCTION("IF(ISBLANK(A966),"""",GOOGLETRANSLATE(A966,""en"",""fr""))"),"")</f>
        <v/>
      </c>
    </row>
    <row r="967" spans="2:2">
      <c r="B967" s="3" t="str">
        <f ca="1">IFERROR(__xludf.DUMMYFUNCTION("IF(ISBLANK(A967),"""",GOOGLETRANSLATE(A967,""en"",""fr""))"),"")</f>
        <v/>
      </c>
    </row>
    <row r="968" spans="2:2">
      <c r="B968" s="3" t="str">
        <f ca="1">IFERROR(__xludf.DUMMYFUNCTION("IF(ISBLANK(A968),"""",GOOGLETRANSLATE(A968,""en"",""fr""))"),"")</f>
        <v/>
      </c>
    </row>
    <row r="969" spans="2:2">
      <c r="B969" s="3" t="str">
        <f ca="1">IFERROR(__xludf.DUMMYFUNCTION("IF(ISBLANK(A969),"""",GOOGLETRANSLATE(A969,""en"",""fr""))"),"")</f>
        <v/>
      </c>
    </row>
    <row r="970" spans="2:2">
      <c r="B970" s="3" t="str">
        <f ca="1">IFERROR(__xludf.DUMMYFUNCTION("IF(ISBLANK(A970),"""",GOOGLETRANSLATE(A970,""en"",""fr""))"),"")</f>
        <v/>
      </c>
    </row>
    <row r="971" spans="2:2">
      <c r="B971" s="3" t="str">
        <f ca="1">IFERROR(__xludf.DUMMYFUNCTION("IF(ISBLANK(A971),"""",GOOGLETRANSLATE(A971,""en"",""fr""))"),"")</f>
        <v/>
      </c>
    </row>
    <row r="972" spans="2:2">
      <c r="B972" s="3" t="str">
        <f ca="1">IFERROR(__xludf.DUMMYFUNCTION("IF(ISBLANK(A972),"""",GOOGLETRANSLATE(A972,""en"",""fr""))"),"")</f>
        <v/>
      </c>
    </row>
    <row r="973" spans="2:2">
      <c r="B973" s="3" t="str">
        <f ca="1">IFERROR(__xludf.DUMMYFUNCTION("IF(ISBLANK(A973),"""",GOOGLETRANSLATE(A973,""en"",""fr""))"),"")</f>
        <v/>
      </c>
    </row>
    <row r="974" spans="2:2">
      <c r="B974" s="3" t="str">
        <f ca="1">IFERROR(__xludf.DUMMYFUNCTION("IF(ISBLANK(A974),"""",GOOGLETRANSLATE(A974,""en"",""fr""))"),"")</f>
        <v/>
      </c>
    </row>
    <row r="975" spans="2:2">
      <c r="B975" s="3" t="str">
        <f ca="1">IFERROR(__xludf.DUMMYFUNCTION("IF(ISBLANK(A975),"""",GOOGLETRANSLATE(A975,""en"",""fr""))"),"")</f>
        <v/>
      </c>
    </row>
    <row r="976" spans="2:2">
      <c r="B976" s="3" t="str">
        <f ca="1">IFERROR(__xludf.DUMMYFUNCTION("IF(ISBLANK(A976),"""",GOOGLETRANSLATE(A976,""en"",""fr""))"),"")</f>
        <v/>
      </c>
    </row>
    <row r="977" spans="2:2">
      <c r="B977" s="3" t="str">
        <f ca="1">IFERROR(__xludf.DUMMYFUNCTION("IF(ISBLANK(A977),"""",GOOGLETRANSLATE(A977,""en"",""fr""))"),"")</f>
        <v/>
      </c>
    </row>
    <row r="978" spans="2:2">
      <c r="B978" s="3" t="str">
        <f ca="1">IFERROR(__xludf.DUMMYFUNCTION("IF(ISBLANK(A978),"""",GOOGLETRANSLATE(A978,""en"",""fr""))"),"")</f>
        <v/>
      </c>
    </row>
    <row r="979" spans="2:2">
      <c r="B979" s="3" t="str">
        <f ca="1">IFERROR(__xludf.DUMMYFUNCTION("IF(ISBLANK(A979),"""",GOOGLETRANSLATE(A979,""en"",""fr""))"),"")</f>
        <v/>
      </c>
    </row>
    <row r="980" spans="2:2">
      <c r="B980" s="3" t="str">
        <f ca="1">IFERROR(__xludf.DUMMYFUNCTION("IF(ISBLANK(A980),"""",GOOGLETRANSLATE(A980,""en"",""fr""))"),"")</f>
        <v/>
      </c>
    </row>
    <row r="981" spans="2:2">
      <c r="B981" s="3" t="str">
        <f ca="1">IFERROR(__xludf.DUMMYFUNCTION("IF(ISBLANK(A981),"""",GOOGLETRANSLATE(A981,""en"",""fr""))"),"")</f>
        <v/>
      </c>
    </row>
    <row r="982" spans="2:2">
      <c r="B982" s="3" t="str">
        <f ca="1">IFERROR(__xludf.DUMMYFUNCTION("IF(ISBLANK(A982),"""",GOOGLETRANSLATE(A982,""en"",""fr""))"),"")</f>
        <v/>
      </c>
    </row>
    <row r="983" spans="2:2">
      <c r="B983" s="3" t="str">
        <f ca="1">IFERROR(__xludf.DUMMYFUNCTION("IF(ISBLANK(A983),"""",GOOGLETRANSLATE(A983,""en"",""fr""))"),"")</f>
        <v/>
      </c>
    </row>
    <row r="984" spans="2:2">
      <c r="B984" s="3" t="str">
        <f ca="1">IFERROR(__xludf.DUMMYFUNCTION("IF(ISBLANK(A984),"""",GOOGLETRANSLATE(A984,""en"",""fr""))"),"")</f>
        <v/>
      </c>
    </row>
    <row r="985" spans="2:2">
      <c r="B985" s="3" t="str">
        <f ca="1">IFERROR(__xludf.DUMMYFUNCTION("IF(ISBLANK(A985),"""",GOOGLETRANSLATE(A985,""en"",""fr""))"),"")</f>
        <v/>
      </c>
    </row>
    <row r="986" spans="2:2">
      <c r="B986" s="3" t="str">
        <f ca="1">IFERROR(__xludf.DUMMYFUNCTION("IF(ISBLANK(A986),"""",GOOGLETRANSLATE(A986,""en"",""fr""))"),"")</f>
        <v/>
      </c>
    </row>
    <row r="987" spans="2:2">
      <c r="B987" s="3" t="str">
        <f ca="1">IFERROR(__xludf.DUMMYFUNCTION("IF(ISBLANK(A987),"""",GOOGLETRANSLATE(A987,""en"",""fr""))"),"")</f>
        <v/>
      </c>
    </row>
    <row r="988" spans="2:2">
      <c r="B988" s="3" t="str">
        <f ca="1">IFERROR(__xludf.DUMMYFUNCTION("IF(ISBLANK(A988),"""",GOOGLETRANSLATE(A988,""en"",""fr""))"),"")</f>
        <v/>
      </c>
    </row>
    <row r="989" spans="2:2">
      <c r="B989" s="3" t="str">
        <f ca="1">IFERROR(__xludf.DUMMYFUNCTION("IF(ISBLANK(A989),"""",GOOGLETRANSLATE(A989,""en"",""fr""))"),"")</f>
        <v/>
      </c>
    </row>
    <row r="990" spans="2:2">
      <c r="B990" s="3" t="str">
        <f ca="1">IFERROR(__xludf.DUMMYFUNCTION("IF(ISBLANK(A990),"""",GOOGLETRANSLATE(A990,""en"",""fr""))"),"")</f>
        <v/>
      </c>
    </row>
    <row r="991" spans="2:2">
      <c r="B991" s="3" t="str">
        <f ca="1">IFERROR(__xludf.DUMMYFUNCTION("IF(ISBLANK(A991),"""",GOOGLETRANSLATE(A991,""en"",""fr""))"),"")</f>
        <v/>
      </c>
    </row>
    <row r="992" spans="2:2">
      <c r="B992" s="3" t="str">
        <f ca="1">IFERROR(__xludf.DUMMYFUNCTION("IF(ISBLANK(A992),"""",GOOGLETRANSLATE(A992,""en"",""fr""))"),"")</f>
        <v/>
      </c>
    </row>
    <row r="993" spans="2:2">
      <c r="B993" s="3" t="str">
        <f ca="1">IFERROR(__xludf.DUMMYFUNCTION("IF(ISBLANK(A993),"""",GOOGLETRANSLATE(A993,""en"",""fr""))"),"")</f>
        <v/>
      </c>
    </row>
    <row r="994" spans="2:2">
      <c r="B994" s="3" t="str">
        <f ca="1">IFERROR(__xludf.DUMMYFUNCTION("IF(ISBLANK(A994),"""",GOOGLETRANSLATE(A994,""en"",""fr""))"),"")</f>
        <v/>
      </c>
    </row>
    <row r="995" spans="2:2">
      <c r="B995" s="3" t="str">
        <f ca="1">IFERROR(__xludf.DUMMYFUNCTION("IF(ISBLANK(A995),"""",GOOGLETRANSLATE(A995,""en"",""fr""))"),"")</f>
        <v/>
      </c>
    </row>
    <row r="996" spans="2:2">
      <c r="B996" s="3" t="str">
        <f ca="1">IFERROR(__xludf.DUMMYFUNCTION("IF(ISBLANK(A996),"""",GOOGLETRANSLATE(A996,""en"",""fr""))"),"")</f>
        <v/>
      </c>
    </row>
    <row r="997" spans="2:2">
      <c r="B997" s="3" t="str">
        <f ca="1">IFERROR(__xludf.DUMMYFUNCTION("IF(ISBLANK(A997),"""",GOOGLETRANSLATE(A997,""en"",""fr""))"),"")</f>
        <v/>
      </c>
    </row>
    <row r="998" spans="2:2">
      <c r="B998" s="3" t="str">
        <f ca="1">IFERROR(__xludf.DUMMYFUNCTION("IF(ISBLANK(A998),"""",GOOGLETRANSLATE(A998,""en"",""fr""))"),"")</f>
        <v/>
      </c>
    </row>
    <row r="999" spans="2:2">
      <c r="B999" s="3" t="str">
        <f ca="1">IFERROR(__xludf.DUMMYFUNCTION("IF(ISBLANK(A999),"""",GOOGLETRANSLATE(A999,""en"",""fr""))"),"")</f>
        <v/>
      </c>
    </row>
    <row r="1000" spans="2:2">
      <c r="B1000" s="3" t="str">
        <f ca="1">IFERROR(__xludf.DUMMYFUNCTION("IF(ISBLANK(A1000),"""",GOOGLETRANSLATE(A1000,""en"",""fr""))"),"")</f>
        <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B1000"/>
  <sheetViews>
    <sheetView topLeftCell="A22" workbookViewId="0">
      <selection activeCell="B37" sqref="B37"/>
    </sheetView>
  </sheetViews>
  <sheetFormatPr defaultColWidth="12.6640625" defaultRowHeight="15.75" customHeight="1"/>
  <cols>
    <col min="1" max="1" width="113.44140625" customWidth="1"/>
  </cols>
  <sheetData>
    <row r="1" spans="1:2">
      <c r="A1" s="1" t="s">
        <v>0</v>
      </c>
      <c r="B1" s="1"/>
    </row>
    <row r="2" spans="1:2">
      <c r="A2" s="3" t="s">
        <v>131</v>
      </c>
      <c r="B2" s="3" t="s">
        <v>1080</v>
      </c>
    </row>
    <row r="3" spans="1:2">
      <c r="A3" s="3" t="s">
        <v>507</v>
      </c>
      <c r="B3" s="3" t="s">
        <v>1081</v>
      </c>
    </row>
    <row r="4" spans="1:2">
      <c r="A4" s="3" t="s">
        <v>508</v>
      </c>
      <c r="B4" s="3" t="s">
        <v>1082</v>
      </c>
    </row>
    <row r="5" spans="1:2">
      <c r="A5" s="3" t="s">
        <v>70</v>
      </c>
      <c r="B5" s="3" t="s">
        <v>1083</v>
      </c>
    </row>
    <row r="6" spans="1:2">
      <c r="A6" s="3" t="s">
        <v>14</v>
      </c>
      <c r="B6" s="3" t="s">
        <v>1084</v>
      </c>
    </row>
    <row r="7" spans="1:2">
      <c r="A7" s="3" t="s">
        <v>509</v>
      </c>
      <c r="B7" s="3" t="s">
        <v>1085</v>
      </c>
    </row>
    <row r="8" spans="1:2">
      <c r="B8" s="3"/>
    </row>
    <row r="9" spans="1:2">
      <c r="A9" s="3" t="s">
        <v>510</v>
      </c>
      <c r="B9" s="3" t="s">
        <v>1086</v>
      </c>
    </row>
    <row r="10" spans="1:2">
      <c r="A10" s="3" t="s">
        <v>511</v>
      </c>
      <c r="B10" s="3" t="s">
        <v>1087</v>
      </c>
    </row>
    <row r="11" spans="1:2">
      <c r="A11" s="3" t="s">
        <v>512</v>
      </c>
      <c r="B11" s="3" t="s">
        <v>1088</v>
      </c>
    </row>
    <row r="12" spans="1:2">
      <c r="A12" s="3" t="s">
        <v>513</v>
      </c>
      <c r="B12" s="3" t="s">
        <v>1089</v>
      </c>
    </row>
    <row r="13" spans="1:2">
      <c r="A13" s="3" t="s">
        <v>514</v>
      </c>
      <c r="B13" s="3" t="s">
        <v>1090</v>
      </c>
    </row>
    <row r="14" spans="1:2">
      <c r="A14" s="3" t="s">
        <v>515</v>
      </c>
      <c r="B14" s="3" t="s">
        <v>1091</v>
      </c>
    </row>
    <row r="15" spans="1:2">
      <c r="A15" s="3" t="s">
        <v>516</v>
      </c>
      <c r="B15" s="3" t="s">
        <v>1092</v>
      </c>
    </row>
    <row r="16" spans="1:2">
      <c r="A16" s="3" t="s">
        <v>517</v>
      </c>
      <c r="B16" s="3" t="s">
        <v>1093</v>
      </c>
    </row>
    <row r="17" spans="1:2">
      <c r="A17" s="3" t="s">
        <v>518</v>
      </c>
      <c r="B17" s="3" t="s">
        <v>1094</v>
      </c>
    </row>
    <row r="18" spans="1:2">
      <c r="A18" s="3" t="s">
        <v>519</v>
      </c>
      <c r="B18" s="3" t="s">
        <v>1095</v>
      </c>
    </row>
    <row r="19" spans="1:2">
      <c r="A19" s="3" t="s">
        <v>520</v>
      </c>
      <c r="B19" s="3" t="s">
        <v>1096</v>
      </c>
    </row>
    <row r="20" spans="1:2">
      <c r="A20" s="3" t="s">
        <v>478</v>
      </c>
      <c r="B20" s="3" t="s">
        <v>1097</v>
      </c>
    </row>
    <row r="21" spans="1:2">
      <c r="B21" s="3"/>
    </row>
    <row r="22" spans="1:2">
      <c r="A22" s="3" t="s">
        <v>521</v>
      </c>
      <c r="B22" s="3" t="s">
        <v>1098</v>
      </c>
    </row>
    <row r="23" spans="1:2">
      <c r="A23" s="3" t="s">
        <v>522</v>
      </c>
      <c r="B23" s="3" t="s">
        <v>1099</v>
      </c>
    </row>
    <row r="24" spans="1:2">
      <c r="A24" s="3" t="s">
        <v>523</v>
      </c>
      <c r="B24" s="3" t="s">
        <v>1100</v>
      </c>
    </row>
    <row r="25" spans="1:2">
      <c r="A25" s="3" t="s">
        <v>524</v>
      </c>
      <c r="B25" s="3" t="s">
        <v>1101</v>
      </c>
    </row>
    <row r="26" spans="1:2">
      <c r="A26" s="3" t="s">
        <v>525</v>
      </c>
      <c r="B26" s="3" t="s">
        <v>1102</v>
      </c>
    </row>
    <row r="27" spans="1:2">
      <c r="A27" s="3" t="s">
        <v>526</v>
      </c>
      <c r="B27" s="3" t="s">
        <v>1103</v>
      </c>
    </row>
    <row r="28" spans="1:2">
      <c r="A28" s="3" t="s">
        <v>527</v>
      </c>
      <c r="B28" s="3" t="s">
        <v>1104</v>
      </c>
    </row>
    <row r="29" spans="1:2">
      <c r="A29" s="3" t="s">
        <v>528</v>
      </c>
      <c r="B29" s="3" t="s">
        <v>1105</v>
      </c>
    </row>
    <row r="30" spans="1:2">
      <c r="A30" s="3" t="s">
        <v>529</v>
      </c>
      <c r="B30" s="3" t="s">
        <v>1106</v>
      </c>
    </row>
    <row r="31" spans="1:2">
      <c r="A31" s="3" t="s">
        <v>530</v>
      </c>
      <c r="B31" s="3" t="s">
        <v>1107</v>
      </c>
    </row>
    <row r="32" spans="1:2">
      <c r="A32" s="3" t="s">
        <v>531</v>
      </c>
      <c r="B32" s="3" t="s">
        <v>1108</v>
      </c>
    </row>
    <row r="33" spans="1:2">
      <c r="A33" s="3" t="s">
        <v>532</v>
      </c>
      <c r="B33" s="3" t="s">
        <v>1109</v>
      </c>
    </row>
    <row r="34" spans="1:2">
      <c r="A34" s="3" t="s">
        <v>533</v>
      </c>
      <c r="B34" s="3" t="s">
        <v>1110</v>
      </c>
    </row>
    <row r="35" spans="1:2">
      <c r="A35" s="3" t="s">
        <v>534</v>
      </c>
      <c r="B35" s="3" t="s">
        <v>1111</v>
      </c>
    </row>
    <row r="36" spans="1:2">
      <c r="A36" s="3" t="s">
        <v>535</v>
      </c>
      <c r="B36" s="3" t="s">
        <v>1112</v>
      </c>
    </row>
    <row r="37" spans="1:2">
      <c r="A37" s="3" t="s">
        <v>536</v>
      </c>
      <c r="B37" s="3" t="s">
        <v>1113</v>
      </c>
    </row>
    <row r="38" spans="1:2">
      <c r="A38" s="3" t="s">
        <v>537</v>
      </c>
      <c r="B38" s="3" t="str">
        <f ca="1">IFERROR(__xludf.DUMMYFUNCTION("IF(ISBLANK(A38),"""",GOOGLETRANSLATE(A38,""en"",""fr""))"),"L'apprentissage et le développement continus sont essentiels à un système de développement performant. Créez des parcours d'apprentissage personnalisés en analysant les lacunes en compétences et en intégrant l'apprentissage adaptatif, le micro-apprentissa"&amp;"ge et la gestion des performances en temps réel avec nous.")</f>
        <v>L'apprentissage et le développement continus sont essentiels à un système de développement performant. Créez des parcours d'apprentissage personnalisés en analysant les lacunes en compétences et en intégrant l'apprentissage adaptatif, le micro-apprentissage et la gestion des performances en temps réel avec nous.</v>
      </c>
    </row>
    <row r="39" spans="1:2">
      <c r="A39" s="3" t="s">
        <v>538</v>
      </c>
      <c r="B39" s="3" t="str">
        <f ca="1">IFERROR(__xludf.DUMMYFUNCTION("IF(ISBLANK(A39),"""",GOOGLETRANSLATE(A39,""en"",""fr""))"),"Services et solutions techniques")</f>
        <v>Services et solutions techniques</v>
      </c>
    </row>
    <row r="40" spans="1:2">
      <c r="A40" s="3" t="s">
        <v>539</v>
      </c>
      <c r="B40" s="3" t="str">
        <f ca="1">IFERROR(__xludf.DUMMYFUNCTION("IF(ISBLANK(A40),"""",GOOGLETRANSLATE(A40,""en"",""fr""))"),"La gestion des services techniques exige une expertise pointue. Grâce à nos solutions de conseil et de recrutement numériques, optimisez la gestion, le développement et l'automatisation de votre infrastructure grâce à l'IA, préparez-vous à une révolution "&amp;"technologique d'avenir et bénéficiez d'une résolution de problèmes assistée par l'IA.")</f>
        <v>La gestion des services techniques exige une expertise pointue. Grâce à nos solutions de conseil et de recrutement numériques, optimisez la gestion, le développement et l'automatisation de votre infrastructure grâce à l'IA, préparez-vous à une révolution technologique d'avenir et bénéficiez d'une résolution de problèmes assistée par l'IA.</v>
      </c>
    </row>
    <row r="41" spans="1:2">
      <c r="A41" s="3" t="s">
        <v>106</v>
      </c>
      <c r="B41" s="3" t="str">
        <f ca="1">IFERROR(__xludf.DUMMYFUNCTION("IF(ISBLANK(A41),"""",GOOGLETRANSLATE(A41,""en"",""fr""))"),"Parlons de la suite")</f>
        <v>Parlons de la suite</v>
      </c>
    </row>
    <row r="42" spans="1:2">
      <c r="A42" s="3" t="s">
        <v>540</v>
      </c>
      <c r="B42" s="3" t="str">
        <f ca="1">IFERROR(__xludf.DUMMYFUNCTION("IF(ISBLANK(A42),"""",GOOGLETRANSLATE(A42,""en"",""fr""))"),"Dynamisez votre transformation numérique et libérez un potentiel illimité grâce à des partenariats stratégiques avec les talents.")</f>
        <v>Dynamisez votre transformation numérique et libérez un potentiel illimité grâce à des partenariats stratégiques avec les talents.</v>
      </c>
    </row>
    <row r="43" spans="1:2">
      <c r="B43" s="3" t="str">
        <f ca="1">IFERROR(__xludf.DUMMYFUNCTION("IF(ISBLANK(A43),"""",GOOGLETRANSLATE(A43,""en"",""fr""))"),"")</f>
        <v/>
      </c>
    </row>
    <row r="44" spans="1:2">
      <c r="A44" s="3" t="s">
        <v>94</v>
      </c>
      <c r="B44" s="3" t="str">
        <f ca="1">IFERROR(__xludf.DUMMYFUNCTION("IF(ISBLANK(A44),"""",GOOGLETRANSLATE(A44,""en"",""fr""))"),"Lectures et idées en vedette")</f>
        <v>Lectures et idées en vedette</v>
      </c>
    </row>
    <row r="45" spans="1:2">
      <c r="A45" s="10" t="s">
        <v>95</v>
      </c>
      <c r="B45" s="3" t="str">
        <f ca="1">IFERROR(__xludf.DUMMYFUNCTION("IF(ISBLANK(A45),"""",GOOGLETRANSLATE(A45,""en"",""fr""))"),"Restez informé des dernières actualités de NETSOL. Réflexions stratégiques, mises à jour produits, perspectives sectorielles et actualités de l'entreprise, tout est réuni au même endroit.")</f>
        <v>Restez informé des dernières actualités de NETSOL. Réflexions stratégiques, mises à jour produits, perspectives sectorielles et actualités de l'entreprise, tout est réuni au même endroit.</v>
      </c>
    </row>
    <row r="46" spans="1:2">
      <c r="A46" s="3" t="s">
        <v>96</v>
      </c>
      <c r="B46" s="3" t="str">
        <f ca="1">IFERROR(__xludf.DUMMYFUNCTION("IF(ISBLANK(A46),"""",GOOGLETRANSLATE(A46,""en"",""fr""))"),"Blog")</f>
        <v>Blog</v>
      </c>
    </row>
    <row r="47" spans="1:2">
      <c r="A47" s="3" t="s">
        <v>97</v>
      </c>
      <c r="B47" s="3" t="str">
        <f ca="1">IFERROR(__xludf.DUMMYFUNCTION("IF(ISBLANK(A47),"""",GOOGLETRANSLATE(A47,""en"",""fr""))"),"Au-delà du DMS : pourquoi l’avenir du commerce automobile repose sur les API")</f>
        <v>Au-delà du DMS : pourquoi l’avenir du commerce automobile repose sur les API</v>
      </c>
    </row>
    <row r="48" spans="1:2">
      <c r="A48" s="3" t="s">
        <v>23</v>
      </c>
      <c r="B48" s="3" t="str">
        <f ca="1">IFERROR(__xludf.DUMMYFUNCTION("IF(ISBLANK(A48),"""",GOOGLETRANSLATE(A48,""en"",""fr""))"),"Apprendre encore plus")</f>
        <v>Apprendre encore plus</v>
      </c>
    </row>
    <row r="49" spans="1:2">
      <c r="B49" s="3" t="str">
        <f ca="1">IFERROR(__xludf.DUMMYFUNCTION("IF(ISBLANK(A49),"""",GOOGLETRANSLATE(A49,""en"",""fr""))"),"")</f>
        <v/>
      </c>
    </row>
    <row r="50" spans="1:2">
      <c r="A50" s="3" t="s">
        <v>98</v>
      </c>
      <c r="B50" s="3" t="str">
        <f ca="1">IFERROR(__xludf.DUMMYFUNCTION("IF(ISBLANK(A50),"""",GOOGLETRANSLATE(A50,""en"",""fr""))"),"NETSOL est présent à la conférence et aux prix GlobalData Automotive Europe 2025.")</f>
        <v>NETSOL est présent à la conférence et aux prix GlobalData Automotive Europe 2025.</v>
      </c>
    </row>
    <row r="51" spans="1:2">
      <c r="B51" s="3" t="str">
        <f ca="1">IFERROR(__xludf.DUMMYFUNCTION("IF(ISBLANK(A51),"""",GOOGLETRANSLATE(A51,""en"",""fr""))"),"")</f>
        <v/>
      </c>
    </row>
    <row r="52" spans="1:2">
      <c r="B52" s="3" t="str">
        <f ca="1">IFERROR(__xludf.DUMMYFUNCTION("IF(ISBLANK(A52),"""",GOOGLETRANSLATE(A52,""en"",""fr""))"),"")</f>
        <v/>
      </c>
    </row>
    <row r="53" spans="1:2">
      <c r="A53" s="3" t="s">
        <v>99</v>
      </c>
      <c r="B53" s="3" t="str">
        <f ca="1">IFERROR(__xludf.DUMMYFUNCTION("IF(ISBLANK(A53),"""",GOOGLETRANSLATE(A53,""en"",""fr""))"),"NETSOL participe au 25e Sommet annuel du financement automobile : Piloter l'avenir du financement automobile")</f>
        <v>NETSOL participe au 25e Sommet annuel du financement automobile : Piloter l'avenir du financement automobile</v>
      </c>
    </row>
    <row r="54" spans="1:2">
      <c r="B54" s="3" t="str">
        <f ca="1">IFERROR(__xludf.DUMMYFUNCTION("IF(ISBLANK(A54),"""",GOOGLETRANSLATE(A54,""en"",""fr""))"),"")</f>
        <v/>
      </c>
    </row>
    <row r="55" spans="1:2">
      <c r="B55" s="3" t="str">
        <f ca="1">IFERROR(__xludf.DUMMYFUNCTION("IF(ISBLANK(A55),"""",GOOGLETRANSLATE(A55,""en"",""fr""))"),"")</f>
        <v/>
      </c>
    </row>
    <row r="56" spans="1:2">
      <c r="A56" s="3" t="s">
        <v>100</v>
      </c>
      <c r="B56" s="3" t="str">
        <f ca="1">IFERROR(__xludf.DUMMYFUNCTION("IF(ISBLANK(A56),"""",GOOGLETRANSLATE(A56,""en"",""fr""))"),"NETSOL est présent à Digital Dealer 2025 : façonner l’avenir de la vente automobile")</f>
        <v>NETSOL est présent à Digital Dealer 2025 : façonner l’avenir de la vente automobile</v>
      </c>
    </row>
    <row r="57" spans="1:2">
      <c r="B57" s="3" t="str">
        <f ca="1">IFERROR(__xludf.DUMMYFUNCTION("IF(ISBLANK(A57),"""",GOOGLETRANSLATE(A57,""en"",""fr""))"),"")</f>
        <v/>
      </c>
    </row>
    <row r="58" spans="1:2">
      <c r="B58" s="3" t="str">
        <f ca="1">IFERROR(__xludf.DUMMYFUNCTION("IF(ISBLANK(A58),"""",GOOGLETRANSLATE(A58,""en"",""fr""))"),"")</f>
        <v/>
      </c>
    </row>
    <row r="59" spans="1:2">
      <c r="A59" s="6" t="s">
        <v>101</v>
      </c>
      <c r="B59" s="3" t="str">
        <f ca="1">IFERROR(__xludf.DUMMYFUNCTION("IF(ISBLANK(A59),"""",GOOGLETRANSLATE(A59,""en"",""fr""))"),"L'IA dans le secteur des services financiers et de l'investissement : révolutionner la gestion des risques")</f>
        <v>L'IA dans le secteur des services financiers et de l'investissement : révolutionner la gestion des risques</v>
      </c>
    </row>
    <row r="60" spans="1:2">
      <c r="B60" s="3" t="str">
        <f ca="1">IFERROR(__xludf.DUMMYFUNCTION("IF(ISBLANK(A60),"""",GOOGLETRANSLATE(A60,""en"",""fr""))"),"")</f>
        <v/>
      </c>
    </row>
    <row r="61" spans="1:2">
      <c r="B61" s="3" t="str">
        <f ca="1">IFERROR(__xludf.DUMMYFUNCTION("IF(ISBLANK(A61),"""",GOOGLETRANSLATE(A61,""en"",""fr""))"),"")</f>
        <v/>
      </c>
    </row>
    <row r="62" spans="1:2">
      <c r="A62" s="3" t="s">
        <v>102</v>
      </c>
      <c r="B62" s="3" t="str">
        <f ca="1">IFERROR(__xludf.DUMMYFUNCTION("IF(ISBLANK(A62),"""",GOOGLETRANSLATE(A62,""en"",""fr""))"),"L'importance de la personnalisation du service client : adapter la gestion des paiements et des litiges aux besoins des clients")</f>
        <v>L'importance de la personnalisation du service client : adapter la gestion des paiements et des litiges aux besoins des clients</v>
      </c>
    </row>
    <row r="63" spans="1:2">
      <c r="B63" s="3" t="str">
        <f ca="1">IFERROR(__xludf.DUMMYFUNCTION("IF(ISBLANK(A63),"""",GOOGLETRANSLATE(A63,""en"",""fr""))"),"")</f>
        <v/>
      </c>
    </row>
    <row r="64" spans="1:2">
      <c r="B64" s="3" t="str">
        <f ca="1">IFERROR(__xludf.DUMMYFUNCTION("IF(ISBLANK(A64),"""",GOOGLETRANSLATE(A64,""en"",""fr""))"),"")</f>
        <v/>
      </c>
    </row>
    <row r="65" spans="1:2">
      <c r="A65" s="3" t="s">
        <v>103</v>
      </c>
      <c r="B65" s="3" t="str">
        <f ca="1">IFERROR(__xludf.DUMMYFUNCTION("IF(ISBLANK(A65),"""",GOOGLETRANSLATE(A65,""en"",""fr""))"),"Le véritable coût des systèmes déconnectés dans le commerce de détail automobile")</f>
        <v>Le véritable coût des systèmes déconnectés dans le commerce de détail automobile</v>
      </c>
    </row>
    <row r="66" spans="1:2">
      <c r="B66" s="3" t="str">
        <f ca="1">IFERROR(__xludf.DUMMYFUNCTION("IF(ISBLANK(A66),"""",GOOGLETRANSLATE(A66,""en"",""fr""))"),"")</f>
        <v/>
      </c>
    </row>
    <row r="67" spans="1:2">
      <c r="B67" s="3" t="str">
        <f ca="1">IFERROR(__xludf.DUMMYFUNCTION("IF(ISBLANK(A67),"""",GOOGLETRANSLATE(A67,""en"",""fr""))"),"")</f>
        <v/>
      </c>
    </row>
    <row r="68" spans="1:2">
      <c r="A68" s="3" t="s">
        <v>104</v>
      </c>
      <c r="B68" s="3" t="str">
        <f ca="1">IFERROR(__xludf.DUMMYFUNCTION("IF(ISBLANK(A68),"""",GOOGLETRANSLATE(A68,""en"",""fr""))"),"Captive du futur : Comment la technologie redéfinit les opérations financières des captives - Points clés du webinaire de l'AFSA")</f>
        <v>Captive du futur : Comment la technologie redéfinit les opérations financières des captives - Points clés du webinaire de l'AFSA</v>
      </c>
    </row>
    <row r="69" spans="1:2">
      <c r="B69" s="3" t="str">
        <f ca="1">IFERROR(__xludf.DUMMYFUNCTION("IF(ISBLANK(A69),"""",GOOGLETRANSLATE(A69,""en"",""fr""))"),"")</f>
        <v/>
      </c>
    </row>
    <row r="70" spans="1:2">
      <c r="B70" s="3" t="str">
        <f ca="1">IFERROR(__xludf.DUMMYFUNCTION("IF(ISBLANK(A70),"""",GOOGLETRANSLATE(A70,""en"",""fr""))"),"")</f>
        <v/>
      </c>
    </row>
    <row r="71" spans="1:2">
      <c r="A71" s="3" t="s">
        <v>105</v>
      </c>
      <c r="B71" s="3" t="str">
        <f ca="1">IFERROR(__xludf.DUMMYFUNCTION("IF(ISBLANK(A71),"""",GOOGLETRANSLATE(A71,""en"",""fr""))"),"Lutte contre la fraude dans le secteur financier de gros : exploiter la technologie pour une détection précoce et une atténuation des risques")</f>
        <v>Lutte contre la fraude dans le secteur financier de gros : exploiter la technologie pour une détection précoce et une atténuation des risques</v>
      </c>
    </row>
    <row r="72" spans="1:2">
      <c r="B72" s="3" t="str">
        <f ca="1">IFERROR(__xludf.DUMMYFUNCTION("IF(ISBLANK(A72),"""",GOOGLETRANSLATE(A72,""en"",""fr""))"),"")</f>
        <v/>
      </c>
    </row>
    <row r="73" spans="1:2">
      <c r="A73" s="3" t="s">
        <v>108</v>
      </c>
      <c r="B73" s="3" t="str">
        <f ca="1">IFERROR(__xludf.DUMMYFUNCTION("IF(ISBLANK(A73),"""",GOOGLETRANSLATE(A73,""en"",""fr""))"),"Abonnez-vous à notre newsletter pour recevoir les dernières nouvelles dans votre boîte mail.")</f>
        <v>Abonnez-vous à notre newsletter pour recevoir les dernières nouvelles dans votre boîte mail.</v>
      </c>
    </row>
    <row r="74" spans="1:2">
      <c r="A74" s="3" t="s">
        <v>109</v>
      </c>
      <c r="B74" s="3" t="str">
        <f ca="1">IFERROR(__xludf.DUMMYFUNCTION("IF(ISBLANK(A74),"""",GOOGLETRANSLATE(A74,""en"",""fr""))"),"abc@exemple.com")</f>
        <v>abc@exemple.com</v>
      </c>
    </row>
    <row r="75" spans="1:2">
      <c r="A75" s="3" t="s">
        <v>110</v>
      </c>
      <c r="B75" s="3" t="str">
        <f ca="1">IFERROR(__xludf.DUMMYFUNCTION("IF(ISBLANK(A75),"""",GOOGLETRANSLATE(A75,""en"",""fr""))"),"S'abonner ")</f>
        <v xml:space="preserve">S'abonner </v>
      </c>
    </row>
    <row r="76" spans="1:2">
      <c r="B76" s="3" t="str">
        <f ca="1">IFERROR(__xludf.DUMMYFUNCTION("IF(ISBLANK(A76),"""",GOOGLETRANSLATE(A76,""en"",""fr""))"),"")</f>
        <v/>
      </c>
    </row>
    <row r="77" spans="1:2">
      <c r="B77" s="3" t="str">
        <f ca="1">IFERROR(__xludf.DUMMYFUNCTION("IF(ISBLANK(A77),"""",GOOGLETRANSLATE(A77,""en"",""fr""))"),"")</f>
        <v/>
      </c>
    </row>
    <row r="78" spans="1:2">
      <c r="B78" s="3" t="str">
        <f ca="1">IFERROR(__xludf.DUMMYFUNCTION("IF(ISBLANK(A78),"""",GOOGLETRANSLATE(A78,""en"",""fr""))"),"")</f>
        <v/>
      </c>
    </row>
    <row r="79" spans="1:2">
      <c r="B79" s="3" t="str">
        <f ca="1">IFERROR(__xludf.DUMMYFUNCTION("IF(ISBLANK(A79),"""",GOOGLETRANSLATE(A79,""en"",""fr""))"),"")</f>
        <v/>
      </c>
    </row>
    <row r="80" spans="1:2">
      <c r="B80" s="3" t="str">
        <f ca="1">IFERROR(__xludf.DUMMYFUNCTION("IF(ISBLANK(A80),"""",GOOGLETRANSLATE(A80,""en"",""fr""))"),"")</f>
        <v/>
      </c>
    </row>
    <row r="81" spans="2:2">
      <c r="B81" s="3" t="str">
        <f ca="1">IFERROR(__xludf.DUMMYFUNCTION("IF(ISBLANK(A81),"""",GOOGLETRANSLATE(A81,""en"",""fr""))"),"")</f>
        <v/>
      </c>
    </row>
    <row r="82" spans="2:2">
      <c r="B82" s="3" t="str">
        <f ca="1">IFERROR(__xludf.DUMMYFUNCTION("IF(ISBLANK(A82),"""",GOOGLETRANSLATE(A82,""en"",""fr""))"),"")</f>
        <v/>
      </c>
    </row>
    <row r="83" spans="2:2">
      <c r="B83" s="3" t="str">
        <f ca="1">IFERROR(__xludf.DUMMYFUNCTION("IF(ISBLANK(A83),"""",GOOGLETRANSLATE(A83,""en"",""fr""))"),"")</f>
        <v/>
      </c>
    </row>
    <row r="84" spans="2:2">
      <c r="B84" s="3" t="str">
        <f ca="1">IFERROR(__xludf.DUMMYFUNCTION("IF(ISBLANK(A84),"""",GOOGLETRANSLATE(A84,""en"",""fr""))"),"")</f>
        <v/>
      </c>
    </row>
    <row r="85" spans="2:2">
      <c r="B85" s="3" t="str">
        <f ca="1">IFERROR(__xludf.DUMMYFUNCTION("IF(ISBLANK(A85),"""",GOOGLETRANSLATE(A85,""en"",""fr""))"),"")</f>
        <v/>
      </c>
    </row>
    <row r="86" spans="2:2">
      <c r="B86" s="3" t="str">
        <f ca="1">IFERROR(__xludf.DUMMYFUNCTION("IF(ISBLANK(A86),"""",GOOGLETRANSLATE(A86,""en"",""fr""))"),"")</f>
        <v/>
      </c>
    </row>
    <row r="87" spans="2:2">
      <c r="B87" s="3" t="str">
        <f ca="1">IFERROR(__xludf.DUMMYFUNCTION("IF(ISBLANK(A87),"""",GOOGLETRANSLATE(A87,""en"",""fr""))"),"")</f>
        <v/>
      </c>
    </row>
    <row r="88" spans="2:2">
      <c r="B88" s="3" t="str">
        <f ca="1">IFERROR(__xludf.DUMMYFUNCTION("IF(ISBLANK(A88),"""",GOOGLETRANSLATE(A88,""en"",""fr""))"),"")</f>
        <v/>
      </c>
    </row>
    <row r="89" spans="2:2">
      <c r="B89" s="3" t="str">
        <f ca="1">IFERROR(__xludf.DUMMYFUNCTION("IF(ISBLANK(A89),"""",GOOGLETRANSLATE(A89,""en"",""fr""))"),"")</f>
        <v/>
      </c>
    </row>
    <row r="90" spans="2:2">
      <c r="B90" s="3" t="str">
        <f ca="1">IFERROR(__xludf.DUMMYFUNCTION("IF(ISBLANK(A90),"""",GOOGLETRANSLATE(A90,""en"",""fr""))"),"")</f>
        <v/>
      </c>
    </row>
    <row r="91" spans="2:2">
      <c r="B91" s="3" t="str">
        <f ca="1">IFERROR(__xludf.DUMMYFUNCTION("IF(ISBLANK(A91),"""",GOOGLETRANSLATE(A91,""en"",""fr""))"),"")</f>
        <v/>
      </c>
    </row>
    <row r="92" spans="2:2">
      <c r="B92" s="3" t="str">
        <f ca="1">IFERROR(__xludf.DUMMYFUNCTION("IF(ISBLANK(A92),"""",GOOGLETRANSLATE(A92,""en"",""fr""))"),"")</f>
        <v/>
      </c>
    </row>
    <row r="93" spans="2:2">
      <c r="B93" s="3" t="str">
        <f ca="1">IFERROR(__xludf.DUMMYFUNCTION("IF(ISBLANK(A93),"""",GOOGLETRANSLATE(A93,""en"",""fr""))"),"")</f>
        <v/>
      </c>
    </row>
    <row r="94" spans="2:2">
      <c r="B94" s="3" t="str">
        <f ca="1">IFERROR(__xludf.DUMMYFUNCTION("IF(ISBLANK(A94),"""",GOOGLETRANSLATE(A94,""en"",""fr""))"),"")</f>
        <v/>
      </c>
    </row>
    <row r="95" spans="2:2">
      <c r="B95" s="3" t="str">
        <f ca="1">IFERROR(__xludf.DUMMYFUNCTION("IF(ISBLANK(A95),"""",GOOGLETRANSLATE(A95,""en"",""fr""))"),"")</f>
        <v/>
      </c>
    </row>
    <row r="96" spans="2:2">
      <c r="B96" s="3" t="str">
        <f ca="1">IFERROR(__xludf.DUMMYFUNCTION("IF(ISBLANK(A96),"""",GOOGLETRANSLATE(A96,""en"",""fr""))"),"")</f>
        <v/>
      </c>
    </row>
    <row r="97" spans="2:2">
      <c r="B97" s="3" t="str">
        <f ca="1">IFERROR(__xludf.DUMMYFUNCTION("IF(ISBLANK(A97),"""",GOOGLETRANSLATE(A97,""en"",""fr""))"),"")</f>
        <v/>
      </c>
    </row>
    <row r="98" spans="2:2">
      <c r="B98" s="3" t="str">
        <f ca="1">IFERROR(__xludf.DUMMYFUNCTION("IF(ISBLANK(A98),"""",GOOGLETRANSLATE(A98,""en"",""fr""))"),"")</f>
        <v/>
      </c>
    </row>
    <row r="99" spans="2:2">
      <c r="B99" s="3" t="str">
        <f ca="1">IFERROR(__xludf.DUMMYFUNCTION("IF(ISBLANK(A99),"""",GOOGLETRANSLATE(A99,""en"",""fr""))"),"")</f>
        <v/>
      </c>
    </row>
    <row r="100" spans="2:2">
      <c r="B100" s="3" t="str">
        <f ca="1">IFERROR(__xludf.DUMMYFUNCTION("IF(ISBLANK(A100),"""",GOOGLETRANSLATE(A100,""en"",""fr""))"),"")</f>
        <v/>
      </c>
    </row>
    <row r="101" spans="2:2">
      <c r="B101" s="3" t="str">
        <f ca="1">IFERROR(__xludf.DUMMYFUNCTION("IF(ISBLANK(A101),"""",GOOGLETRANSLATE(A101,""en"",""fr""))"),"")</f>
        <v/>
      </c>
    </row>
    <row r="102" spans="2:2">
      <c r="B102" s="3" t="str">
        <f ca="1">IFERROR(__xludf.DUMMYFUNCTION("IF(ISBLANK(A102),"""",GOOGLETRANSLATE(A102,""en"",""fr""))"),"")</f>
        <v/>
      </c>
    </row>
    <row r="103" spans="2:2">
      <c r="B103" s="3" t="str">
        <f ca="1">IFERROR(__xludf.DUMMYFUNCTION("IF(ISBLANK(A103),"""",GOOGLETRANSLATE(A103,""en"",""fr""))"),"")</f>
        <v/>
      </c>
    </row>
    <row r="104" spans="2:2">
      <c r="B104" s="3" t="str">
        <f ca="1">IFERROR(__xludf.DUMMYFUNCTION("IF(ISBLANK(A104),"""",GOOGLETRANSLATE(A104,""en"",""fr""))"),"")</f>
        <v/>
      </c>
    </row>
    <row r="105" spans="2:2">
      <c r="B105" s="3" t="str">
        <f ca="1">IFERROR(__xludf.DUMMYFUNCTION("IF(ISBLANK(A105),"""",GOOGLETRANSLATE(A105,""en"",""fr""))"),"")</f>
        <v/>
      </c>
    </row>
    <row r="106" spans="2:2">
      <c r="B106" s="3" t="str">
        <f ca="1">IFERROR(__xludf.DUMMYFUNCTION("IF(ISBLANK(A106),"""",GOOGLETRANSLATE(A106,""en"",""fr""))"),"")</f>
        <v/>
      </c>
    </row>
    <row r="107" spans="2:2">
      <c r="B107" s="3" t="str">
        <f ca="1">IFERROR(__xludf.DUMMYFUNCTION("IF(ISBLANK(A107),"""",GOOGLETRANSLATE(A107,""en"",""fr""))"),"")</f>
        <v/>
      </c>
    </row>
    <row r="108" spans="2:2">
      <c r="B108" s="3" t="str">
        <f ca="1">IFERROR(__xludf.DUMMYFUNCTION("IF(ISBLANK(A108),"""",GOOGLETRANSLATE(A108,""en"",""fr""))"),"")</f>
        <v/>
      </c>
    </row>
    <row r="109" spans="2:2">
      <c r="B109" s="3" t="str">
        <f ca="1">IFERROR(__xludf.DUMMYFUNCTION("IF(ISBLANK(A109),"""",GOOGLETRANSLATE(A109,""en"",""fr""))"),"")</f>
        <v/>
      </c>
    </row>
    <row r="110" spans="2:2">
      <c r="B110" s="3" t="str">
        <f ca="1">IFERROR(__xludf.DUMMYFUNCTION("IF(ISBLANK(A110),"""",GOOGLETRANSLATE(A110,""en"",""fr""))"),"")</f>
        <v/>
      </c>
    </row>
    <row r="111" spans="2:2">
      <c r="B111" s="3" t="str">
        <f ca="1">IFERROR(__xludf.DUMMYFUNCTION("IF(ISBLANK(A111),"""",GOOGLETRANSLATE(A111,""en"",""fr""))"),"")</f>
        <v/>
      </c>
    </row>
    <row r="112" spans="2:2">
      <c r="B112" s="3" t="str">
        <f ca="1">IFERROR(__xludf.DUMMYFUNCTION("IF(ISBLANK(A112),"""",GOOGLETRANSLATE(A112,""en"",""fr""))"),"")</f>
        <v/>
      </c>
    </row>
    <row r="113" spans="2:2">
      <c r="B113" s="3" t="str">
        <f ca="1">IFERROR(__xludf.DUMMYFUNCTION("IF(ISBLANK(A113),"""",GOOGLETRANSLATE(A113,""en"",""fr""))"),"")</f>
        <v/>
      </c>
    </row>
    <row r="114" spans="2:2">
      <c r="B114" s="3" t="str">
        <f ca="1">IFERROR(__xludf.DUMMYFUNCTION("IF(ISBLANK(A114),"""",GOOGLETRANSLATE(A114,""en"",""fr""))"),"")</f>
        <v/>
      </c>
    </row>
    <row r="115" spans="2:2">
      <c r="B115" s="3" t="str">
        <f ca="1">IFERROR(__xludf.DUMMYFUNCTION("IF(ISBLANK(A115),"""",GOOGLETRANSLATE(A115,""en"",""fr""))"),"")</f>
        <v/>
      </c>
    </row>
    <row r="116" spans="2:2">
      <c r="B116" s="3" t="str">
        <f ca="1">IFERROR(__xludf.DUMMYFUNCTION("IF(ISBLANK(A116),"""",GOOGLETRANSLATE(A116,""en"",""fr""))"),"")</f>
        <v/>
      </c>
    </row>
    <row r="117" spans="2:2">
      <c r="B117" s="3" t="str">
        <f ca="1">IFERROR(__xludf.DUMMYFUNCTION("IF(ISBLANK(A117),"""",GOOGLETRANSLATE(A117,""en"",""fr""))"),"")</f>
        <v/>
      </c>
    </row>
    <row r="118" spans="2:2">
      <c r="B118" s="3" t="str">
        <f ca="1">IFERROR(__xludf.DUMMYFUNCTION("IF(ISBLANK(A118),"""",GOOGLETRANSLATE(A118,""en"",""fr""))"),"")</f>
        <v/>
      </c>
    </row>
    <row r="119" spans="2:2">
      <c r="B119" s="3" t="str">
        <f ca="1">IFERROR(__xludf.DUMMYFUNCTION("IF(ISBLANK(A119),"""",GOOGLETRANSLATE(A119,""en"",""fr""))"),"")</f>
        <v/>
      </c>
    </row>
    <row r="120" spans="2:2">
      <c r="B120" s="3" t="str">
        <f ca="1">IFERROR(__xludf.DUMMYFUNCTION("IF(ISBLANK(A120),"""",GOOGLETRANSLATE(A120,""en"",""fr""))"),"")</f>
        <v/>
      </c>
    </row>
    <row r="121" spans="2:2">
      <c r="B121" s="3" t="str">
        <f ca="1">IFERROR(__xludf.DUMMYFUNCTION("IF(ISBLANK(A121),"""",GOOGLETRANSLATE(A121,""en"",""fr""))"),"")</f>
        <v/>
      </c>
    </row>
    <row r="122" spans="2:2">
      <c r="B122" s="3" t="str">
        <f ca="1">IFERROR(__xludf.DUMMYFUNCTION("IF(ISBLANK(A122),"""",GOOGLETRANSLATE(A122,""en"",""fr""))"),"")</f>
        <v/>
      </c>
    </row>
    <row r="123" spans="2:2">
      <c r="B123" s="3" t="str">
        <f ca="1">IFERROR(__xludf.DUMMYFUNCTION("IF(ISBLANK(A123),"""",GOOGLETRANSLATE(A123,""en"",""fr""))"),"")</f>
        <v/>
      </c>
    </row>
    <row r="124" spans="2:2">
      <c r="B124" s="3" t="str">
        <f ca="1">IFERROR(__xludf.DUMMYFUNCTION("IF(ISBLANK(A124),"""",GOOGLETRANSLATE(A124,""en"",""fr""))"),"")</f>
        <v/>
      </c>
    </row>
    <row r="125" spans="2:2">
      <c r="B125" s="3" t="str">
        <f ca="1">IFERROR(__xludf.DUMMYFUNCTION("IF(ISBLANK(A125),"""",GOOGLETRANSLATE(A125,""en"",""fr""))"),"")</f>
        <v/>
      </c>
    </row>
    <row r="126" spans="2:2">
      <c r="B126" s="3" t="str">
        <f ca="1">IFERROR(__xludf.DUMMYFUNCTION("IF(ISBLANK(A126),"""",GOOGLETRANSLATE(A126,""en"",""fr""))"),"")</f>
        <v/>
      </c>
    </row>
    <row r="127" spans="2:2">
      <c r="B127" s="3" t="str">
        <f ca="1">IFERROR(__xludf.DUMMYFUNCTION("IF(ISBLANK(A127),"""",GOOGLETRANSLATE(A127,""en"",""fr""))"),"")</f>
        <v/>
      </c>
    </row>
    <row r="128" spans="2:2">
      <c r="B128" s="3" t="str">
        <f ca="1">IFERROR(__xludf.DUMMYFUNCTION("IF(ISBLANK(A128),"""",GOOGLETRANSLATE(A128,""en"",""fr""))"),"")</f>
        <v/>
      </c>
    </row>
    <row r="129" spans="2:2">
      <c r="B129" s="3" t="str">
        <f ca="1">IFERROR(__xludf.DUMMYFUNCTION("IF(ISBLANK(A129),"""",GOOGLETRANSLATE(A129,""en"",""fr""))"),"")</f>
        <v/>
      </c>
    </row>
    <row r="130" spans="2:2">
      <c r="B130" s="3" t="str">
        <f ca="1">IFERROR(__xludf.DUMMYFUNCTION("IF(ISBLANK(A130),"""",GOOGLETRANSLATE(A130,""en"",""fr""))"),"")</f>
        <v/>
      </c>
    </row>
    <row r="131" spans="2:2">
      <c r="B131" s="3" t="str">
        <f ca="1">IFERROR(__xludf.DUMMYFUNCTION("IF(ISBLANK(A131),"""",GOOGLETRANSLATE(A131,""en"",""fr""))"),"")</f>
        <v/>
      </c>
    </row>
    <row r="132" spans="2:2">
      <c r="B132" s="3" t="str">
        <f ca="1">IFERROR(__xludf.DUMMYFUNCTION("IF(ISBLANK(A132),"""",GOOGLETRANSLATE(A132,""en"",""fr""))"),"")</f>
        <v/>
      </c>
    </row>
    <row r="133" spans="2:2">
      <c r="B133" s="3" t="str">
        <f ca="1">IFERROR(__xludf.DUMMYFUNCTION("IF(ISBLANK(A133),"""",GOOGLETRANSLATE(A133,""en"",""fr""))"),"")</f>
        <v/>
      </c>
    </row>
    <row r="134" spans="2:2">
      <c r="B134" s="3" t="str">
        <f ca="1">IFERROR(__xludf.DUMMYFUNCTION("IF(ISBLANK(A134),"""",GOOGLETRANSLATE(A134,""en"",""fr""))"),"")</f>
        <v/>
      </c>
    </row>
    <row r="135" spans="2:2">
      <c r="B135" s="3" t="str">
        <f ca="1">IFERROR(__xludf.DUMMYFUNCTION("IF(ISBLANK(A135),"""",GOOGLETRANSLATE(A135,""en"",""fr""))"),"")</f>
        <v/>
      </c>
    </row>
    <row r="136" spans="2:2">
      <c r="B136" s="3" t="str">
        <f ca="1">IFERROR(__xludf.DUMMYFUNCTION("IF(ISBLANK(A136),"""",GOOGLETRANSLATE(A136,""en"",""fr""))"),"")</f>
        <v/>
      </c>
    </row>
    <row r="137" spans="2:2">
      <c r="B137" s="3" t="str">
        <f ca="1">IFERROR(__xludf.DUMMYFUNCTION("IF(ISBLANK(A137),"""",GOOGLETRANSLATE(A137,""en"",""fr""))"),"")</f>
        <v/>
      </c>
    </row>
    <row r="138" spans="2:2">
      <c r="B138" s="3" t="str">
        <f ca="1">IFERROR(__xludf.DUMMYFUNCTION("IF(ISBLANK(A138),"""",GOOGLETRANSLATE(A138,""en"",""fr""))"),"")</f>
        <v/>
      </c>
    </row>
    <row r="139" spans="2:2">
      <c r="B139" s="3" t="str">
        <f ca="1">IFERROR(__xludf.DUMMYFUNCTION("IF(ISBLANK(A139),"""",GOOGLETRANSLATE(A139,""en"",""fr""))"),"")</f>
        <v/>
      </c>
    </row>
    <row r="140" spans="2:2">
      <c r="B140" s="3" t="str">
        <f ca="1">IFERROR(__xludf.DUMMYFUNCTION("IF(ISBLANK(A140),"""",GOOGLETRANSLATE(A140,""en"",""fr""))"),"")</f>
        <v/>
      </c>
    </row>
    <row r="141" spans="2:2">
      <c r="B141" s="3" t="str">
        <f ca="1">IFERROR(__xludf.DUMMYFUNCTION("IF(ISBLANK(A141),"""",GOOGLETRANSLATE(A141,""en"",""fr""))"),"")</f>
        <v/>
      </c>
    </row>
    <row r="142" spans="2:2">
      <c r="B142" s="3" t="str">
        <f ca="1">IFERROR(__xludf.DUMMYFUNCTION("IF(ISBLANK(A142),"""",GOOGLETRANSLATE(A142,""en"",""fr""))"),"")</f>
        <v/>
      </c>
    </row>
    <row r="143" spans="2:2">
      <c r="B143" s="3" t="str">
        <f ca="1">IFERROR(__xludf.DUMMYFUNCTION("IF(ISBLANK(A143),"""",GOOGLETRANSLATE(A143,""en"",""fr""))"),"")</f>
        <v/>
      </c>
    </row>
    <row r="144" spans="2:2">
      <c r="B144" s="3" t="str">
        <f ca="1">IFERROR(__xludf.DUMMYFUNCTION("IF(ISBLANK(A144),"""",GOOGLETRANSLATE(A144,""en"",""fr""))"),"")</f>
        <v/>
      </c>
    </row>
    <row r="145" spans="2:2">
      <c r="B145" s="3" t="str">
        <f ca="1">IFERROR(__xludf.DUMMYFUNCTION("IF(ISBLANK(A145),"""",GOOGLETRANSLATE(A145,""en"",""fr""))"),"")</f>
        <v/>
      </c>
    </row>
    <row r="146" spans="2:2">
      <c r="B146" s="3" t="str">
        <f ca="1">IFERROR(__xludf.DUMMYFUNCTION("IF(ISBLANK(A146),"""",GOOGLETRANSLATE(A146,""en"",""fr""))"),"")</f>
        <v/>
      </c>
    </row>
    <row r="147" spans="2:2">
      <c r="B147" s="3" t="str">
        <f ca="1">IFERROR(__xludf.DUMMYFUNCTION("IF(ISBLANK(A147),"""",GOOGLETRANSLATE(A147,""en"",""fr""))"),"")</f>
        <v/>
      </c>
    </row>
    <row r="148" spans="2:2">
      <c r="B148" s="3" t="str">
        <f ca="1">IFERROR(__xludf.DUMMYFUNCTION("IF(ISBLANK(A148),"""",GOOGLETRANSLATE(A148,""en"",""fr""))"),"")</f>
        <v/>
      </c>
    </row>
    <row r="149" spans="2:2">
      <c r="B149" s="3" t="str">
        <f ca="1">IFERROR(__xludf.DUMMYFUNCTION("IF(ISBLANK(A149),"""",GOOGLETRANSLATE(A149,""en"",""fr""))"),"")</f>
        <v/>
      </c>
    </row>
    <row r="150" spans="2:2">
      <c r="B150" s="3" t="str">
        <f ca="1">IFERROR(__xludf.DUMMYFUNCTION("IF(ISBLANK(A150),"""",GOOGLETRANSLATE(A150,""en"",""fr""))"),"")</f>
        <v/>
      </c>
    </row>
    <row r="151" spans="2:2">
      <c r="B151" s="3" t="str">
        <f ca="1">IFERROR(__xludf.DUMMYFUNCTION("IF(ISBLANK(A151),"""",GOOGLETRANSLATE(A151,""en"",""fr""))"),"")</f>
        <v/>
      </c>
    </row>
    <row r="152" spans="2:2">
      <c r="B152" s="3" t="str">
        <f ca="1">IFERROR(__xludf.DUMMYFUNCTION("IF(ISBLANK(A152),"""",GOOGLETRANSLATE(A152,""en"",""fr""))"),"")</f>
        <v/>
      </c>
    </row>
    <row r="153" spans="2:2">
      <c r="B153" s="3" t="str">
        <f ca="1">IFERROR(__xludf.DUMMYFUNCTION("IF(ISBLANK(A153),"""",GOOGLETRANSLATE(A153,""en"",""fr""))"),"")</f>
        <v/>
      </c>
    </row>
    <row r="154" spans="2:2">
      <c r="B154" s="3" t="str">
        <f ca="1">IFERROR(__xludf.DUMMYFUNCTION("IF(ISBLANK(A154),"""",GOOGLETRANSLATE(A154,""en"",""fr""))"),"")</f>
        <v/>
      </c>
    </row>
    <row r="155" spans="2:2">
      <c r="B155" s="3" t="str">
        <f ca="1">IFERROR(__xludf.DUMMYFUNCTION("IF(ISBLANK(A155),"""",GOOGLETRANSLATE(A155,""en"",""fr""))"),"")</f>
        <v/>
      </c>
    </row>
    <row r="156" spans="2:2">
      <c r="B156" s="3" t="str">
        <f ca="1">IFERROR(__xludf.DUMMYFUNCTION("IF(ISBLANK(A156),"""",GOOGLETRANSLATE(A156,""en"",""fr""))"),"")</f>
        <v/>
      </c>
    </row>
    <row r="157" spans="2:2">
      <c r="B157" s="3" t="str">
        <f ca="1">IFERROR(__xludf.DUMMYFUNCTION("IF(ISBLANK(A157),"""",GOOGLETRANSLATE(A157,""en"",""fr""))"),"")</f>
        <v/>
      </c>
    </row>
    <row r="158" spans="2:2">
      <c r="B158" s="3" t="str">
        <f ca="1">IFERROR(__xludf.DUMMYFUNCTION("IF(ISBLANK(A158),"""",GOOGLETRANSLATE(A158,""en"",""fr""))"),"")</f>
        <v/>
      </c>
    </row>
    <row r="159" spans="2:2">
      <c r="B159" s="3" t="str">
        <f ca="1">IFERROR(__xludf.DUMMYFUNCTION("IF(ISBLANK(A159),"""",GOOGLETRANSLATE(A159,""en"",""fr""))"),"")</f>
        <v/>
      </c>
    </row>
    <row r="160" spans="2:2">
      <c r="B160" s="3" t="str">
        <f ca="1">IFERROR(__xludf.DUMMYFUNCTION("IF(ISBLANK(A160),"""",GOOGLETRANSLATE(A160,""en"",""fr""))"),"")</f>
        <v/>
      </c>
    </row>
    <row r="161" spans="2:2">
      <c r="B161" s="3" t="str">
        <f ca="1">IFERROR(__xludf.DUMMYFUNCTION("IF(ISBLANK(A161),"""",GOOGLETRANSLATE(A161,""en"",""fr""))"),"")</f>
        <v/>
      </c>
    </row>
    <row r="162" spans="2:2">
      <c r="B162" s="3" t="str">
        <f ca="1">IFERROR(__xludf.DUMMYFUNCTION("IF(ISBLANK(A162),"""",GOOGLETRANSLATE(A162,""en"",""fr""))"),"")</f>
        <v/>
      </c>
    </row>
    <row r="163" spans="2:2">
      <c r="B163" s="3" t="str">
        <f ca="1">IFERROR(__xludf.DUMMYFUNCTION("IF(ISBLANK(A163),"""",GOOGLETRANSLATE(A163,""en"",""fr""))"),"")</f>
        <v/>
      </c>
    </row>
    <row r="164" spans="2:2">
      <c r="B164" s="3" t="str">
        <f ca="1">IFERROR(__xludf.DUMMYFUNCTION("IF(ISBLANK(A164),"""",GOOGLETRANSLATE(A164,""en"",""fr""))"),"")</f>
        <v/>
      </c>
    </row>
    <row r="165" spans="2:2">
      <c r="B165" s="3" t="str">
        <f ca="1">IFERROR(__xludf.DUMMYFUNCTION("IF(ISBLANK(A165),"""",GOOGLETRANSLATE(A165,""en"",""fr""))"),"")</f>
        <v/>
      </c>
    </row>
    <row r="166" spans="2:2">
      <c r="B166" s="3" t="str">
        <f ca="1">IFERROR(__xludf.DUMMYFUNCTION("IF(ISBLANK(A166),"""",GOOGLETRANSLATE(A166,""en"",""fr""))"),"")</f>
        <v/>
      </c>
    </row>
    <row r="167" spans="2:2">
      <c r="B167" s="3" t="str">
        <f ca="1">IFERROR(__xludf.DUMMYFUNCTION("IF(ISBLANK(A167),"""",GOOGLETRANSLATE(A167,""en"",""fr""))"),"")</f>
        <v/>
      </c>
    </row>
    <row r="168" spans="2:2">
      <c r="B168" s="3" t="str">
        <f ca="1">IFERROR(__xludf.DUMMYFUNCTION("IF(ISBLANK(A168),"""",GOOGLETRANSLATE(A168,""en"",""fr""))"),"")</f>
        <v/>
      </c>
    </row>
    <row r="169" spans="2:2">
      <c r="B169" s="3" t="str">
        <f ca="1">IFERROR(__xludf.DUMMYFUNCTION("IF(ISBLANK(A169),"""",GOOGLETRANSLATE(A169,""en"",""fr""))"),"")</f>
        <v/>
      </c>
    </row>
    <row r="170" spans="2:2">
      <c r="B170" s="3" t="str">
        <f ca="1">IFERROR(__xludf.DUMMYFUNCTION("IF(ISBLANK(A170),"""",GOOGLETRANSLATE(A170,""en"",""fr""))"),"")</f>
        <v/>
      </c>
    </row>
    <row r="171" spans="2:2">
      <c r="B171" s="3" t="str">
        <f ca="1">IFERROR(__xludf.DUMMYFUNCTION("IF(ISBLANK(A171),"""",GOOGLETRANSLATE(A171,""en"",""fr""))"),"")</f>
        <v/>
      </c>
    </row>
    <row r="172" spans="2:2">
      <c r="B172" s="3" t="str">
        <f ca="1">IFERROR(__xludf.DUMMYFUNCTION("IF(ISBLANK(A172),"""",GOOGLETRANSLATE(A172,""en"",""fr""))"),"")</f>
        <v/>
      </c>
    </row>
    <row r="173" spans="2:2">
      <c r="B173" s="3" t="str">
        <f ca="1">IFERROR(__xludf.DUMMYFUNCTION("IF(ISBLANK(A173),"""",GOOGLETRANSLATE(A173,""en"",""fr""))"),"")</f>
        <v/>
      </c>
    </row>
    <row r="174" spans="2:2">
      <c r="B174" s="3" t="str">
        <f ca="1">IFERROR(__xludf.DUMMYFUNCTION("IF(ISBLANK(A174),"""",GOOGLETRANSLATE(A174,""en"",""fr""))"),"")</f>
        <v/>
      </c>
    </row>
    <row r="175" spans="2:2">
      <c r="B175" s="3" t="str">
        <f ca="1">IFERROR(__xludf.DUMMYFUNCTION("IF(ISBLANK(A175),"""",GOOGLETRANSLATE(A175,""en"",""fr""))"),"")</f>
        <v/>
      </c>
    </row>
    <row r="176" spans="2:2">
      <c r="B176" s="3" t="str">
        <f ca="1">IFERROR(__xludf.DUMMYFUNCTION("IF(ISBLANK(A176),"""",GOOGLETRANSLATE(A176,""en"",""fr""))"),"")</f>
        <v/>
      </c>
    </row>
    <row r="177" spans="2:2">
      <c r="B177" s="3" t="str">
        <f ca="1">IFERROR(__xludf.DUMMYFUNCTION("IF(ISBLANK(A177),"""",GOOGLETRANSLATE(A177,""en"",""fr""))"),"")</f>
        <v/>
      </c>
    </row>
    <row r="178" spans="2:2">
      <c r="B178" s="3" t="str">
        <f ca="1">IFERROR(__xludf.DUMMYFUNCTION("IF(ISBLANK(A178),"""",GOOGLETRANSLATE(A178,""en"",""fr""))"),"")</f>
        <v/>
      </c>
    </row>
    <row r="179" spans="2:2">
      <c r="B179" s="3" t="str">
        <f ca="1">IFERROR(__xludf.DUMMYFUNCTION("IF(ISBLANK(A179),"""",GOOGLETRANSLATE(A179,""en"",""fr""))"),"")</f>
        <v/>
      </c>
    </row>
    <row r="180" spans="2:2">
      <c r="B180" s="3" t="str">
        <f ca="1">IFERROR(__xludf.DUMMYFUNCTION("IF(ISBLANK(A180),"""",GOOGLETRANSLATE(A180,""en"",""fr""))"),"")</f>
        <v/>
      </c>
    </row>
    <row r="181" spans="2:2">
      <c r="B181" s="3" t="str">
        <f ca="1">IFERROR(__xludf.DUMMYFUNCTION("IF(ISBLANK(A181),"""",GOOGLETRANSLATE(A181,""en"",""fr""))"),"")</f>
        <v/>
      </c>
    </row>
    <row r="182" spans="2:2">
      <c r="B182" s="3" t="str">
        <f ca="1">IFERROR(__xludf.DUMMYFUNCTION("IF(ISBLANK(A182),"""",GOOGLETRANSLATE(A182,""en"",""fr""))"),"")</f>
        <v/>
      </c>
    </row>
    <row r="183" spans="2:2">
      <c r="B183" s="3" t="str">
        <f ca="1">IFERROR(__xludf.DUMMYFUNCTION("IF(ISBLANK(A183),"""",GOOGLETRANSLATE(A183,""en"",""fr""))"),"")</f>
        <v/>
      </c>
    </row>
    <row r="184" spans="2:2">
      <c r="B184" s="3" t="str">
        <f ca="1">IFERROR(__xludf.DUMMYFUNCTION("IF(ISBLANK(A184),"""",GOOGLETRANSLATE(A184,""en"",""fr""))"),"")</f>
        <v/>
      </c>
    </row>
    <row r="185" spans="2:2">
      <c r="B185" s="3" t="str">
        <f ca="1">IFERROR(__xludf.DUMMYFUNCTION("IF(ISBLANK(A185),"""",GOOGLETRANSLATE(A185,""en"",""fr""))"),"")</f>
        <v/>
      </c>
    </row>
    <row r="186" spans="2:2">
      <c r="B186" s="3" t="str">
        <f ca="1">IFERROR(__xludf.DUMMYFUNCTION("IF(ISBLANK(A186),"""",GOOGLETRANSLATE(A186,""en"",""fr""))"),"")</f>
        <v/>
      </c>
    </row>
    <row r="187" spans="2:2">
      <c r="B187" s="3" t="str">
        <f ca="1">IFERROR(__xludf.DUMMYFUNCTION("IF(ISBLANK(A187),"""",GOOGLETRANSLATE(A187,""en"",""fr""))"),"")</f>
        <v/>
      </c>
    </row>
    <row r="188" spans="2:2">
      <c r="B188" s="3" t="str">
        <f ca="1">IFERROR(__xludf.DUMMYFUNCTION("IF(ISBLANK(A188),"""",GOOGLETRANSLATE(A188,""en"",""fr""))"),"")</f>
        <v/>
      </c>
    </row>
    <row r="189" spans="2:2">
      <c r="B189" s="3" t="str">
        <f ca="1">IFERROR(__xludf.DUMMYFUNCTION("IF(ISBLANK(A189),"""",GOOGLETRANSLATE(A189,""en"",""fr""))"),"")</f>
        <v/>
      </c>
    </row>
    <row r="190" spans="2:2">
      <c r="B190" s="3" t="str">
        <f ca="1">IFERROR(__xludf.DUMMYFUNCTION("IF(ISBLANK(A190),"""",GOOGLETRANSLATE(A190,""en"",""fr""))"),"")</f>
        <v/>
      </c>
    </row>
    <row r="191" spans="2:2">
      <c r="B191" s="3" t="str">
        <f ca="1">IFERROR(__xludf.DUMMYFUNCTION("IF(ISBLANK(A191),"""",GOOGLETRANSLATE(A191,""en"",""fr""))"),"")</f>
        <v/>
      </c>
    </row>
    <row r="192" spans="2:2">
      <c r="B192" s="3" t="str">
        <f ca="1">IFERROR(__xludf.DUMMYFUNCTION("IF(ISBLANK(A192),"""",GOOGLETRANSLATE(A192,""en"",""fr""))"),"")</f>
        <v/>
      </c>
    </row>
    <row r="193" spans="2:2">
      <c r="B193" s="3" t="str">
        <f ca="1">IFERROR(__xludf.DUMMYFUNCTION("IF(ISBLANK(A193),"""",GOOGLETRANSLATE(A193,""en"",""fr""))"),"")</f>
        <v/>
      </c>
    </row>
    <row r="194" spans="2:2">
      <c r="B194" s="3" t="str">
        <f ca="1">IFERROR(__xludf.DUMMYFUNCTION("IF(ISBLANK(A194),"""",GOOGLETRANSLATE(A194,""en"",""fr""))"),"")</f>
        <v/>
      </c>
    </row>
    <row r="195" spans="2:2">
      <c r="B195" s="3" t="str">
        <f ca="1">IFERROR(__xludf.DUMMYFUNCTION("IF(ISBLANK(A195),"""",GOOGLETRANSLATE(A195,""en"",""fr""))"),"")</f>
        <v/>
      </c>
    </row>
    <row r="196" spans="2:2">
      <c r="B196" s="3" t="str">
        <f ca="1">IFERROR(__xludf.DUMMYFUNCTION("IF(ISBLANK(A196),"""",GOOGLETRANSLATE(A196,""en"",""fr""))"),"")</f>
        <v/>
      </c>
    </row>
    <row r="197" spans="2:2">
      <c r="B197" s="3" t="str">
        <f ca="1">IFERROR(__xludf.DUMMYFUNCTION("IF(ISBLANK(A197),"""",GOOGLETRANSLATE(A197,""en"",""fr""))"),"")</f>
        <v/>
      </c>
    </row>
    <row r="198" spans="2:2">
      <c r="B198" s="3" t="str">
        <f ca="1">IFERROR(__xludf.DUMMYFUNCTION("IF(ISBLANK(A198),"""",GOOGLETRANSLATE(A198,""en"",""fr""))"),"")</f>
        <v/>
      </c>
    </row>
    <row r="199" spans="2:2">
      <c r="B199" s="3" t="str">
        <f ca="1">IFERROR(__xludf.DUMMYFUNCTION("IF(ISBLANK(A199),"""",GOOGLETRANSLATE(A199,""en"",""fr""))"),"")</f>
        <v/>
      </c>
    </row>
    <row r="200" spans="2:2">
      <c r="B200" s="3" t="str">
        <f ca="1">IFERROR(__xludf.DUMMYFUNCTION("IF(ISBLANK(A200),"""",GOOGLETRANSLATE(A200,""en"",""fr""))"),"")</f>
        <v/>
      </c>
    </row>
    <row r="201" spans="2:2">
      <c r="B201" s="3" t="str">
        <f ca="1">IFERROR(__xludf.DUMMYFUNCTION("IF(ISBLANK(A201),"""",GOOGLETRANSLATE(A201,""en"",""fr""))"),"")</f>
        <v/>
      </c>
    </row>
    <row r="202" spans="2:2">
      <c r="B202" s="3" t="str">
        <f ca="1">IFERROR(__xludf.DUMMYFUNCTION("IF(ISBLANK(A202),"""",GOOGLETRANSLATE(A202,""en"",""fr""))"),"")</f>
        <v/>
      </c>
    </row>
    <row r="203" spans="2:2">
      <c r="B203" s="3" t="str">
        <f ca="1">IFERROR(__xludf.DUMMYFUNCTION("IF(ISBLANK(A203),"""",GOOGLETRANSLATE(A203,""en"",""fr""))"),"")</f>
        <v/>
      </c>
    </row>
    <row r="204" spans="2:2">
      <c r="B204" s="3" t="str">
        <f ca="1">IFERROR(__xludf.DUMMYFUNCTION("IF(ISBLANK(A204),"""",GOOGLETRANSLATE(A204,""en"",""fr""))"),"")</f>
        <v/>
      </c>
    </row>
    <row r="205" spans="2:2">
      <c r="B205" s="3" t="str">
        <f ca="1">IFERROR(__xludf.DUMMYFUNCTION("IF(ISBLANK(A205),"""",GOOGLETRANSLATE(A205,""en"",""fr""))"),"")</f>
        <v/>
      </c>
    </row>
    <row r="206" spans="2:2">
      <c r="B206" s="3" t="str">
        <f ca="1">IFERROR(__xludf.DUMMYFUNCTION("IF(ISBLANK(A206),"""",GOOGLETRANSLATE(A206,""en"",""fr""))"),"")</f>
        <v/>
      </c>
    </row>
    <row r="207" spans="2:2">
      <c r="B207" s="3" t="str">
        <f ca="1">IFERROR(__xludf.DUMMYFUNCTION("IF(ISBLANK(A207),"""",GOOGLETRANSLATE(A207,""en"",""fr""))"),"")</f>
        <v/>
      </c>
    </row>
    <row r="208" spans="2:2">
      <c r="B208" s="3" t="str">
        <f ca="1">IFERROR(__xludf.DUMMYFUNCTION("IF(ISBLANK(A208),"""",GOOGLETRANSLATE(A208,""en"",""fr""))"),"")</f>
        <v/>
      </c>
    </row>
    <row r="209" spans="2:2">
      <c r="B209" s="3" t="str">
        <f ca="1">IFERROR(__xludf.DUMMYFUNCTION("IF(ISBLANK(A209),"""",GOOGLETRANSLATE(A209,""en"",""fr""))"),"")</f>
        <v/>
      </c>
    </row>
    <row r="210" spans="2:2">
      <c r="B210" s="3" t="str">
        <f ca="1">IFERROR(__xludf.DUMMYFUNCTION("IF(ISBLANK(A210),"""",GOOGLETRANSLATE(A210,""en"",""fr""))"),"")</f>
        <v/>
      </c>
    </row>
    <row r="211" spans="2:2">
      <c r="B211" s="3" t="str">
        <f ca="1">IFERROR(__xludf.DUMMYFUNCTION("IF(ISBLANK(A211),"""",GOOGLETRANSLATE(A211,""en"",""fr""))"),"")</f>
        <v/>
      </c>
    </row>
    <row r="212" spans="2:2">
      <c r="B212" s="3" t="str">
        <f ca="1">IFERROR(__xludf.DUMMYFUNCTION("IF(ISBLANK(A212),"""",GOOGLETRANSLATE(A212,""en"",""fr""))"),"")</f>
        <v/>
      </c>
    </row>
    <row r="213" spans="2:2">
      <c r="B213" s="3" t="str">
        <f ca="1">IFERROR(__xludf.DUMMYFUNCTION("IF(ISBLANK(A213),"""",GOOGLETRANSLATE(A213,""en"",""fr""))"),"")</f>
        <v/>
      </c>
    </row>
    <row r="214" spans="2:2">
      <c r="B214" s="3" t="str">
        <f ca="1">IFERROR(__xludf.DUMMYFUNCTION("IF(ISBLANK(A214),"""",GOOGLETRANSLATE(A214,""en"",""fr""))"),"")</f>
        <v/>
      </c>
    </row>
    <row r="215" spans="2:2">
      <c r="B215" s="3" t="str">
        <f ca="1">IFERROR(__xludf.DUMMYFUNCTION("IF(ISBLANK(A215),"""",GOOGLETRANSLATE(A215,""en"",""fr""))"),"")</f>
        <v/>
      </c>
    </row>
    <row r="216" spans="2:2">
      <c r="B216" s="3" t="str">
        <f ca="1">IFERROR(__xludf.DUMMYFUNCTION("IF(ISBLANK(A216),"""",GOOGLETRANSLATE(A216,""en"",""fr""))"),"")</f>
        <v/>
      </c>
    </row>
    <row r="217" spans="2:2">
      <c r="B217" s="3" t="str">
        <f ca="1">IFERROR(__xludf.DUMMYFUNCTION("IF(ISBLANK(A217),"""",GOOGLETRANSLATE(A217,""en"",""fr""))"),"")</f>
        <v/>
      </c>
    </row>
    <row r="218" spans="2:2">
      <c r="B218" s="3" t="str">
        <f ca="1">IFERROR(__xludf.DUMMYFUNCTION("IF(ISBLANK(A218),"""",GOOGLETRANSLATE(A218,""en"",""fr""))"),"")</f>
        <v/>
      </c>
    </row>
    <row r="219" spans="2:2">
      <c r="B219" s="3" t="str">
        <f ca="1">IFERROR(__xludf.DUMMYFUNCTION("IF(ISBLANK(A219),"""",GOOGLETRANSLATE(A219,""en"",""fr""))"),"")</f>
        <v/>
      </c>
    </row>
    <row r="220" spans="2:2">
      <c r="B220" s="3" t="str">
        <f ca="1">IFERROR(__xludf.DUMMYFUNCTION("IF(ISBLANK(A220),"""",GOOGLETRANSLATE(A220,""en"",""fr""))"),"")</f>
        <v/>
      </c>
    </row>
    <row r="221" spans="2:2">
      <c r="B221" s="3" t="str">
        <f ca="1">IFERROR(__xludf.DUMMYFUNCTION("IF(ISBLANK(A221),"""",GOOGLETRANSLATE(A221,""en"",""fr""))"),"")</f>
        <v/>
      </c>
    </row>
    <row r="222" spans="2:2">
      <c r="B222" s="3" t="str">
        <f ca="1">IFERROR(__xludf.DUMMYFUNCTION("IF(ISBLANK(A222),"""",GOOGLETRANSLATE(A222,""en"",""fr""))"),"")</f>
        <v/>
      </c>
    </row>
    <row r="223" spans="2:2">
      <c r="B223" s="3" t="str">
        <f ca="1">IFERROR(__xludf.DUMMYFUNCTION("IF(ISBLANK(A223),"""",GOOGLETRANSLATE(A223,""en"",""fr""))"),"")</f>
        <v/>
      </c>
    </row>
    <row r="224" spans="2:2">
      <c r="B224" s="3" t="str">
        <f ca="1">IFERROR(__xludf.DUMMYFUNCTION("IF(ISBLANK(A224),"""",GOOGLETRANSLATE(A224,""en"",""fr""))"),"")</f>
        <v/>
      </c>
    </row>
    <row r="225" spans="2:2">
      <c r="B225" s="3" t="str">
        <f ca="1">IFERROR(__xludf.DUMMYFUNCTION("IF(ISBLANK(A225),"""",GOOGLETRANSLATE(A225,""en"",""fr""))"),"")</f>
        <v/>
      </c>
    </row>
    <row r="226" spans="2:2">
      <c r="B226" s="3" t="str">
        <f ca="1">IFERROR(__xludf.DUMMYFUNCTION("IF(ISBLANK(A226),"""",GOOGLETRANSLATE(A226,""en"",""fr""))"),"")</f>
        <v/>
      </c>
    </row>
    <row r="227" spans="2:2">
      <c r="B227" s="3" t="str">
        <f ca="1">IFERROR(__xludf.DUMMYFUNCTION("IF(ISBLANK(A227),"""",GOOGLETRANSLATE(A227,""en"",""fr""))"),"")</f>
        <v/>
      </c>
    </row>
    <row r="228" spans="2:2">
      <c r="B228" s="3" t="str">
        <f ca="1">IFERROR(__xludf.DUMMYFUNCTION("IF(ISBLANK(A228),"""",GOOGLETRANSLATE(A228,""en"",""fr""))"),"")</f>
        <v/>
      </c>
    </row>
    <row r="229" spans="2:2">
      <c r="B229" s="3" t="str">
        <f ca="1">IFERROR(__xludf.DUMMYFUNCTION("IF(ISBLANK(A229),"""",GOOGLETRANSLATE(A229,""en"",""fr""))"),"")</f>
        <v/>
      </c>
    </row>
    <row r="230" spans="2:2">
      <c r="B230" s="3" t="str">
        <f ca="1">IFERROR(__xludf.DUMMYFUNCTION("IF(ISBLANK(A230),"""",GOOGLETRANSLATE(A230,""en"",""fr""))"),"")</f>
        <v/>
      </c>
    </row>
    <row r="231" spans="2:2">
      <c r="B231" s="3" t="str">
        <f ca="1">IFERROR(__xludf.DUMMYFUNCTION("IF(ISBLANK(A231),"""",GOOGLETRANSLATE(A231,""en"",""fr""))"),"")</f>
        <v/>
      </c>
    </row>
    <row r="232" spans="2:2">
      <c r="B232" s="3" t="str">
        <f ca="1">IFERROR(__xludf.DUMMYFUNCTION("IF(ISBLANK(A232),"""",GOOGLETRANSLATE(A232,""en"",""fr""))"),"")</f>
        <v/>
      </c>
    </row>
    <row r="233" spans="2:2">
      <c r="B233" s="3" t="str">
        <f ca="1">IFERROR(__xludf.DUMMYFUNCTION("IF(ISBLANK(A233),"""",GOOGLETRANSLATE(A233,""en"",""fr""))"),"")</f>
        <v/>
      </c>
    </row>
    <row r="234" spans="2:2">
      <c r="B234" s="3" t="str">
        <f ca="1">IFERROR(__xludf.DUMMYFUNCTION("IF(ISBLANK(A234),"""",GOOGLETRANSLATE(A234,""en"",""fr""))"),"")</f>
        <v/>
      </c>
    </row>
    <row r="235" spans="2:2">
      <c r="B235" s="3" t="str">
        <f ca="1">IFERROR(__xludf.DUMMYFUNCTION("IF(ISBLANK(A235),"""",GOOGLETRANSLATE(A235,""en"",""fr""))"),"")</f>
        <v/>
      </c>
    </row>
    <row r="236" spans="2:2">
      <c r="B236" s="3" t="str">
        <f ca="1">IFERROR(__xludf.DUMMYFUNCTION("IF(ISBLANK(A236),"""",GOOGLETRANSLATE(A236,""en"",""fr""))"),"")</f>
        <v/>
      </c>
    </row>
    <row r="237" spans="2:2">
      <c r="B237" s="3" t="str">
        <f ca="1">IFERROR(__xludf.DUMMYFUNCTION("IF(ISBLANK(A237),"""",GOOGLETRANSLATE(A237,""en"",""fr""))"),"")</f>
        <v/>
      </c>
    </row>
    <row r="238" spans="2:2">
      <c r="B238" s="3" t="str">
        <f ca="1">IFERROR(__xludf.DUMMYFUNCTION("IF(ISBLANK(A238),"""",GOOGLETRANSLATE(A238,""en"",""fr""))"),"")</f>
        <v/>
      </c>
    </row>
    <row r="239" spans="2:2">
      <c r="B239" s="3" t="str">
        <f ca="1">IFERROR(__xludf.DUMMYFUNCTION("IF(ISBLANK(A239),"""",GOOGLETRANSLATE(A239,""en"",""fr""))"),"")</f>
        <v/>
      </c>
    </row>
    <row r="240" spans="2:2">
      <c r="B240" s="3" t="str">
        <f ca="1">IFERROR(__xludf.DUMMYFUNCTION("IF(ISBLANK(A240),"""",GOOGLETRANSLATE(A240,""en"",""fr""))"),"")</f>
        <v/>
      </c>
    </row>
    <row r="241" spans="2:2">
      <c r="B241" s="3" t="str">
        <f ca="1">IFERROR(__xludf.DUMMYFUNCTION("IF(ISBLANK(A241),"""",GOOGLETRANSLATE(A241,""en"",""fr""))"),"")</f>
        <v/>
      </c>
    </row>
    <row r="242" spans="2:2">
      <c r="B242" s="3" t="str">
        <f ca="1">IFERROR(__xludf.DUMMYFUNCTION("IF(ISBLANK(A242),"""",GOOGLETRANSLATE(A242,""en"",""fr""))"),"")</f>
        <v/>
      </c>
    </row>
    <row r="243" spans="2:2">
      <c r="B243" s="3" t="str">
        <f ca="1">IFERROR(__xludf.DUMMYFUNCTION("IF(ISBLANK(A243),"""",GOOGLETRANSLATE(A243,""en"",""fr""))"),"")</f>
        <v/>
      </c>
    </row>
    <row r="244" spans="2:2">
      <c r="B244" s="3" t="str">
        <f ca="1">IFERROR(__xludf.DUMMYFUNCTION("IF(ISBLANK(A244),"""",GOOGLETRANSLATE(A244,""en"",""fr""))"),"")</f>
        <v/>
      </c>
    </row>
    <row r="245" spans="2:2">
      <c r="B245" s="3" t="str">
        <f ca="1">IFERROR(__xludf.DUMMYFUNCTION("IF(ISBLANK(A245),"""",GOOGLETRANSLATE(A245,""en"",""fr""))"),"")</f>
        <v/>
      </c>
    </row>
    <row r="246" spans="2:2">
      <c r="B246" s="3" t="str">
        <f ca="1">IFERROR(__xludf.DUMMYFUNCTION("IF(ISBLANK(A246),"""",GOOGLETRANSLATE(A246,""en"",""fr""))"),"")</f>
        <v/>
      </c>
    </row>
    <row r="247" spans="2:2">
      <c r="B247" s="3" t="str">
        <f ca="1">IFERROR(__xludf.DUMMYFUNCTION("IF(ISBLANK(A247),"""",GOOGLETRANSLATE(A247,""en"",""fr""))"),"")</f>
        <v/>
      </c>
    </row>
    <row r="248" spans="2:2">
      <c r="B248" s="3" t="str">
        <f ca="1">IFERROR(__xludf.DUMMYFUNCTION("IF(ISBLANK(A248),"""",GOOGLETRANSLATE(A248,""en"",""fr""))"),"")</f>
        <v/>
      </c>
    </row>
    <row r="249" spans="2:2">
      <c r="B249" s="3" t="str">
        <f ca="1">IFERROR(__xludf.DUMMYFUNCTION("IF(ISBLANK(A249),"""",GOOGLETRANSLATE(A249,""en"",""fr""))"),"")</f>
        <v/>
      </c>
    </row>
    <row r="250" spans="2:2">
      <c r="B250" s="3" t="str">
        <f ca="1">IFERROR(__xludf.DUMMYFUNCTION("IF(ISBLANK(A250),"""",GOOGLETRANSLATE(A250,""en"",""fr""))"),"")</f>
        <v/>
      </c>
    </row>
    <row r="251" spans="2:2">
      <c r="B251" s="3" t="str">
        <f ca="1">IFERROR(__xludf.DUMMYFUNCTION("IF(ISBLANK(A251),"""",GOOGLETRANSLATE(A251,""en"",""fr""))"),"")</f>
        <v/>
      </c>
    </row>
    <row r="252" spans="2:2">
      <c r="B252" s="3" t="str">
        <f ca="1">IFERROR(__xludf.DUMMYFUNCTION("IF(ISBLANK(A252),"""",GOOGLETRANSLATE(A252,""en"",""fr""))"),"")</f>
        <v/>
      </c>
    </row>
    <row r="253" spans="2:2">
      <c r="B253" s="3" t="str">
        <f ca="1">IFERROR(__xludf.DUMMYFUNCTION("IF(ISBLANK(A253),"""",GOOGLETRANSLATE(A253,""en"",""fr""))"),"")</f>
        <v/>
      </c>
    </row>
    <row r="254" spans="2:2">
      <c r="B254" s="3" t="str">
        <f ca="1">IFERROR(__xludf.DUMMYFUNCTION("IF(ISBLANK(A254),"""",GOOGLETRANSLATE(A254,""en"",""fr""))"),"")</f>
        <v/>
      </c>
    </row>
    <row r="255" spans="2:2">
      <c r="B255" s="3" t="str">
        <f ca="1">IFERROR(__xludf.DUMMYFUNCTION("IF(ISBLANK(A255),"""",GOOGLETRANSLATE(A255,""en"",""fr""))"),"")</f>
        <v/>
      </c>
    </row>
    <row r="256" spans="2:2">
      <c r="B256" s="3" t="str">
        <f ca="1">IFERROR(__xludf.DUMMYFUNCTION("IF(ISBLANK(A256),"""",GOOGLETRANSLATE(A256,""en"",""fr""))"),"")</f>
        <v/>
      </c>
    </row>
    <row r="257" spans="2:2">
      <c r="B257" s="3" t="str">
        <f ca="1">IFERROR(__xludf.DUMMYFUNCTION("IF(ISBLANK(A257),"""",GOOGLETRANSLATE(A257,""en"",""fr""))"),"")</f>
        <v/>
      </c>
    </row>
    <row r="258" spans="2:2">
      <c r="B258" s="3" t="str">
        <f ca="1">IFERROR(__xludf.DUMMYFUNCTION("IF(ISBLANK(A258),"""",GOOGLETRANSLATE(A258,""en"",""fr""))"),"")</f>
        <v/>
      </c>
    </row>
    <row r="259" spans="2:2">
      <c r="B259" s="3" t="str">
        <f ca="1">IFERROR(__xludf.DUMMYFUNCTION("IF(ISBLANK(A259),"""",GOOGLETRANSLATE(A259,""en"",""fr""))"),"")</f>
        <v/>
      </c>
    </row>
    <row r="260" spans="2:2">
      <c r="B260" s="3" t="str">
        <f ca="1">IFERROR(__xludf.DUMMYFUNCTION("IF(ISBLANK(A260),"""",GOOGLETRANSLATE(A260,""en"",""fr""))"),"")</f>
        <v/>
      </c>
    </row>
    <row r="261" spans="2:2">
      <c r="B261" s="3" t="str">
        <f ca="1">IFERROR(__xludf.DUMMYFUNCTION("IF(ISBLANK(A261),"""",GOOGLETRANSLATE(A261,""en"",""fr""))"),"")</f>
        <v/>
      </c>
    </row>
    <row r="262" spans="2:2">
      <c r="B262" s="3" t="str">
        <f ca="1">IFERROR(__xludf.DUMMYFUNCTION("IF(ISBLANK(A262),"""",GOOGLETRANSLATE(A262,""en"",""fr""))"),"")</f>
        <v/>
      </c>
    </row>
    <row r="263" spans="2:2">
      <c r="B263" s="3" t="str">
        <f ca="1">IFERROR(__xludf.DUMMYFUNCTION("IF(ISBLANK(A263),"""",GOOGLETRANSLATE(A263,""en"",""fr""))"),"")</f>
        <v/>
      </c>
    </row>
    <row r="264" spans="2:2">
      <c r="B264" s="3" t="str">
        <f ca="1">IFERROR(__xludf.DUMMYFUNCTION("IF(ISBLANK(A264),"""",GOOGLETRANSLATE(A264,""en"",""fr""))"),"")</f>
        <v/>
      </c>
    </row>
    <row r="265" spans="2:2">
      <c r="B265" s="3" t="str">
        <f ca="1">IFERROR(__xludf.DUMMYFUNCTION("IF(ISBLANK(A265),"""",GOOGLETRANSLATE(A265,""en"",""fr""))"),"")</f>
        <v/>
      </c>
    </row>
    <row r="266" spans="2:2">
      <c r="B266" s="3" t="str">
        <f ca="1">IFERROR(__xludf.DUMMYFUNCTION("IF(ISBLANK(A266),"""",GOOGLETRANSLATE(A266,""en"",""fr""))"),"")</f>
        <v/>
      </c>
    </row>
    <row r="267" spans="2:2">
      <c r="B267" s="3" t="str">
        <f ca="1">IFERROR(__xludf.DUMMYFUNCTION("IF(ISBLANK(A267),"""",GOOGLETRANSLATE(A267,""en"",""fr""))"),"")</f>
        <v/>
      </c>
    </row>
    <row r="268" spans="2:2">
      <c r="B268" s="3" t="str">
        <f ca="1">IFERROR(__xludf.DUMMYFUNCTION("IF(ISBLANK(A268),"""",GOOGLETRANSLATE(A268,""en"",""fr""))"),"")</f>
        <v/>
      </c>
    </row>
    <row r="269" spans="2:2">
      <c r="B269" s="3" t="str">
        <f ca="1">IFERROR(__xludf.DUMMYFUNCTION("IF(ISBLANK(A269),"""",GOOGLETRANSLATE(A269,""en"",""fr""))"),"")</f>
        <v/>
      </c>
    </row>
    <row r="270" spans="2:2">
      <c r="B270" s="3" t="str">
        <f ca="1">IFERROR(__xludf.DUMMYFUNCTION("IF(ISBLANK(A270),"""",GOOGLETRANSLATE(A270,""en"",""fr""))"),"")</f>
        <v/>
      </c>
    </row>
    <row r="271" spans="2:2">
      <c r="B271" s="3" t="str">
        <f ca="1">IFERROR(__xludf.DUMMYFUNCTION("IF(ISBLANK(A271),"""",GOOGLETRANSLATE(A271,""en"",""fr""))"),"")</f>
        <v/>
      </c>
    </row>
    <row r="272" spans="2:2">
      <c r="B272" s="3" t="str">
        <f ca="1">IFERROR(__xludf.DUMMYFUNCTION("IF(ISBLANK(A272),"""",GOOGLETRANSLATE(A272,""en"",""fr""))"),"")</f>
        <v/>
      </c>
    </row>
    <row r="273" spans="2:2">
      <c r="B273" s="3" t="str">
        <f ca="1">IFERROR(__xludf.DUMMYFUNCTION("IF(ISBLANK(A273),"""",GOOGLETRANSLATE(A273,""en"",""fr""))"),"")</f>
        <v/>
      </c>
    </row>
    <row r="274" spans="2:2">
      <c r="B274" s="3" t="str">
        <f ca="1">IFERROR(__xludf.DUMMYFUNCTION("IF(ISBLANK(A274),"""",GOOGLETRANSLATE(A274,""en"",""fr""))"),"")</f>
        <v/>
      </c>
    </row>
    <row r="275" spans="2:2">
      <c r="B275" s="3" t="str">
        <f ca="1">IFERROR(__xludf.DUMMYFUNCTION("IF(ISBLANK(A275),"""",GOOGLETRANSLATE(A275,""en"",""fr""))"),"")</f>
        <v/>
      </c>
    </row>
    <row r="276" spans="2:2">
      <c r="B276" s="3" t="str">
        <f ca="1">IFERROR(__xludf.DUMMYFUNCTION("IF(ISBLANK(A276),"""",GOOGLETRANSLATE(A276,""en"",""fr""))"),"")</f>
        <v/>
      </c>
    </row>
    <row r="277" spans="2:2">
      <c r="B277" s="3" t="str">
        <f ca="1">IFERROR(__xludf.DUMMYFUNCTION("IF(ISBLANK(A277),"""",GOOGLETRANSLATE(A277,""en"",""fr""))"),"")</f>
        <v/>
      </c>
    </row>
    <row r="278" spans="2:2">
      <c r="B278" s="3" t="str">
        <f ca="1">IFERROR(__xludf.DUMMYFUNCTION("IF(ISBLANK(A278),"""",GOOGLETRANSLATE(A278,""en"",""fr""))"),"")</f>
        <v/>
      </c>
    </row>
    <row r="279" spans="2:2">
      <c r="B279" s="3" t="str">
        <f ca="1">IFERROR(__xludf.DUMMYFUNCTION("IF(ISBLANK(A279),"""",GOOGLETRANSLATE(A279,""en"",""fr""))"),"")</f>
        <v/>
      </c>
    </row>
    <row r="280" spans="2:2">
      <c r="B280" s="3" t="str">
        <f ca="1">IFERROR(__xludf.DUMMYFUNCTION("IF(ISBLANK(A280),"""",GOOGLETRANSLATE(A280,""en"",""fr""))"),"")</f>
        <v/>
      </c>
    </row>
    <row r="281" spans="2:2">
      <c r="B281" s="3" t="str">
        <f ca="1">IFERROR(__xludf.DUMMYFUNCTION("IF(ISBLANK(A281),"""",GOOGLETRANSLATE(A281,""en"",""fr""))"),"")</f>
        <v/>
      </c>
    </row>
    <row r="282" spans="2:2">
      <c r="B282" s="3" t="str">
        <f ca="1">IFERROR(__xludf.DUMMYFUNCTION("IF(ISBLANK(A282),"""",GOOGLETRANSLATE(A282,""en"",""fr""))"),"")</f>
        <v/>
      </c>
    </row>
    <row r="283" spans="2:2">
      <c r="B283" s="3" t="str">
        <f ca="1">IFERROR(__xludf.DUMMYFUNCTION("IF(ISBLANK(A283),"""",GOOGLETRANSLATE(A283,""en"",""fr""))"),"")</f>
        <v/>
      </c>
    </row>
    <row r="284" spans="2:2">
      <c r="B284" s="3" t="str">
        <f ca="1">IFERROR(__xludf.DUMMYFUNCTION("IF(ISBLANK(A284),"""",GOOGLETRANSLATE(A284,""en"",""fr""))"),"")</f>
        <v/>
      </c>
    </row>
    <row r="285" spans="2:2">
      <c r="B285" s="3" t="str">
        <f ca="1">IFERROR(__xludf.DUMMYFUNCTION("IF(ISBLANK(A285),"""",GOOGLETRANSLATE(A285,""en"",""fr""))"),"")</f>
        <v/>
      </c>
    </row>
    <row r="286" spans="2:2">
      <c r="B286" s="3" t="str">
        <f ca="1">IFERROR(__xludf.DUMMYFUNCTION("IF(ISBLANK(A286),"""",GOOGLETRANSLATE(A286,""en"",""fr""))"),"")</f>
        <v/>
      </c>
    </row>
    <row r="287" spans="2:2">
      <c r="B287" s="3" t="str">
        <f ca="1">IFERROR(__xludf.DUMMYFUNCTION("IF(ISBLANK(A287),"""",GOOGLETRANSLATE(A287,""en"",""fr""))"),"")</f>
        <v/>
      </c>
    </row>
    <row r="288" spans="2:2">
      <c r="B288" s="3" t="str">
        <f ca="1">IFERROR(__xludf.DUMMYFUNCTION("IF(ISBLANK(A288),"""",GOOGLETRANSLATE(A288,""en"",""fr""))"),"")</f>
        <v/>
      </c>
    </row>
    <row r="289" spans="2:2">
      <c r="B289" s="3" t="str">
        <f ca="1">IFERROR(__xludf.DUMMYFUNCTION("IF(ISBLANK(A289),"""",GOOGLETRANSLATE(A289,""en"",""fr""))"),"")</f>
        <v/>
      </c>
    </row>
    <row r="290" spans="2:2">
      <c r="B290" s="3" t="str">
        <f ca="1">IFERROR(__xludf.DUMMYFUNCTION("IF(ISBLANK(A290),"""",GOOGLETRANSLATE(A290,""en"",""fr""))"),"")</f>
        <v/>
      </c>
    </row>
    <row r="291" spans="2:2">
      <c r="B291" s="3" t="str">
        <f ca="1">IFERROR(__xludf.DUMMYFUNCTION("IF(ISBLANK(A291),"""",GOOGLETRANSLATE(A291,""en"",""fr""))"),"")</f>
        <v/>
      </c>
    </row>
    <row r="292" spans="2:2">
      <c r="B292" s="3" t="str">
        <f ca="1">IFERROR(__xludf.DUMMYFUNCTION("IF(ISBLANK(A292),"""",GOOGLETRANSLATE(A292,""en"",""fr""))"),"")</f>
        <v/>
      </c>
    </row>
    <row r="293" spans="2:2">
      <c r="B293" s="3" t="str">
        <f ca="1">IFERROR(__xludf.DUMMYFUNCTION("IF(ISBLANK(A293),"""",GOOGLETRANSLATE(A293,""en"",""fr""))"),"")</f>
        <v/>
      </c>
    </row>
    <row r="294" spans="2:2">
      <c r="B294" s="3" t="str">
        <f ca="1">IFERROR(__xludf.DUMMYFUNCTION("IF(ISBLANK(A294),"""",GOOGLETRANSLATE(A294,""en"",""fr""))"),"")</f>
        <v/>
      </c>
    </row>
    <row r="295" spans="2:2">
      <c r="B295" s="3" t="str">
        <f ca="1">IFERROR(__xludf.DUMMYFUNCTION("IF(ISBLANK(A295),"""",GOOGLETRANSLATE(A295,""en"",""fr""))"),"")</f>
        <v/>
      </c>
    </row>
    <row r="296" spans="2:2">
      <c r="B296" s="3" t="str">
        <f ca="1">IFERROR(__xludf.DUMMYFUNCTION("IF(ISBLANK(A296),"""",GOOGLETRANSLATE(A296,""en"",""fr""))"),"")</f>
        <v/>
      </c>
    </row>
    <row r="297" spans="2:2">
      <c r="B297" s="3" t="str">
        <f ca="1">IFERROR(__xludf.DUMMYFUNCTION("IF(ISBLANK(A297),"""",GOOGLETRANSLATE(A297,""en"",""fr""))"),"")</f>
        <v/>
      </c>
    </row>
    <row r="298" spans="2:2">
      <c r="B298" s="3" t="str">
        <f ca="1">IFERROR(__xludf.DUMMYFUNCTION("IF(ISBLANK(A298),"""",GOOGLETRANSLATE(A298,""en"",""fr""))"),"")</f>
        <v/>
      </c>
    </row>
    <row r="299" spans="2:2">
      <c r="B299" s="3" t="str">
        <f ca="1">IFERROR(__xludf.DUMMYFUNCTION("IF(ISBLANK(A299),"""",GOOGLETRANSLATE(A299,""en"",""fr""))"),"")</f>
        <v/>
      </c>
    </row>
    <row r="300" spans="2:2">
      <c r="B300" s="3" t="str">
        <f ca="1">IFERROR(__xludf.DUMMYFUNCTION("IF(ISBLANK(A300),"""",GOOGLETRANSLATE(A300,""en"",""fr""))"),"")</f>
        <v/>
      </c>
    </row>
    <row r="301" spans="2:2">
      <c r="B301" s="3" t="str">
        <f ca="1">IFERROR(__xludf.DUMMYFUNCTION("IF(ISBLANK(A301),"""",GOOGLETRANSLATE(A301,""en"",""fr""))"),"")</f>
        <v/>
      </c>
    </row>
    <row r="302" spans="2:2">
      <c r="B302" s="3" t="str">
        <f ca="1">IFERROR(__xludf.DUMMYFUNCTION("IF(ISBLANK(A302),"""",GOOGLETRANSLATE(A302,""en"",""fr""))"),"")</f>
        <v/>
      </c>
    </row>
    <row r="303" spans="2:2">
      <c r="B303" s="3" t="str">
        <f ca="1">IFERROR(__xludf.DUMMYFUNCTION("IF(ISBLANK(A303),"""",GOOGLETRANSLATE(A303,""en"",""fr""))"),"")</f>
        <v/>
      </c>
    </row>
    <row r="304" spans="2:2">
      <c r="B304" s="3" t="str">
        <f ca="1">IFERROR(__xludf.DUMMYFUNCTION("IF(ISBLANK(A304),"""",GOOGLETRANSLATE(A304,""en"",""fr""))"),"")</f>
        <v/>
      </c>
    </row>
    <row r="305" spans="2:2">
      <c r="B305" s="3" t="str">
        <f ca="1">IFERROR(__xludf.DUMMYFUNCTION("IF(ISBLANK(A305),"""",GOOGLETRANSLATE(A305,""en"",""fr""))"),"")</f>
        <v/>
      </c>
    </row>
    <row r="306" spans="2:2">
      <c r="B306" s="3" t="str">
        <f ca="1">IFERROR(__xludf.DUMMYFUNCTION("IF(ISBLANK(A306),"""",GOOGLETRANSLATE(A306,""en"",""fr""))"),"")</f>
        <v/>
      </c>
    </row>
    <row r="307" spans="2:2">
      <c r="B307" s="3" t="str">
        <f ca="1">IFERROR(__xludf.DUMMYFUNCTION("IF(ISBLANK(A307),"""",GOOGLETRANSLATE(A307,""en"",""fr""))"),"")</f>
        <v/>
      </c>
    </row>
    <row r="308" spans="2:2">
      <c r="B308" s="3" t="str">
        <f ca="1">IFERROR(__xludf.DUMMYFUNCTION("IF(ISBLANK(A308),"""",GOOGLETRANSLATE(A308,""en"",""fr""))"),"")</f>
        <v/>
      </c>
    </row>
    <row r="309" spans="2:2">
      <c r="B309" s="3" t="str">
        <f ca="1">IFERROR(__xludf.DUMMYFUNCTION("IF(ISBLANK(A309),"""",GOOGLETRANSLATE(A309,""en"",""fr""))"),"")</f>
        <v/>
      </c>
    </row>
    <row r="310" spans="2:2">
      <c r="B310" s="3" t="str">
        <f ca="1">IFERROR(__xludf.DUMMYFUNCTION("IF(ISBLANK(A310),"""",GOOGLETRANSLATE(A310,""en"",""fr""))"),"")</f>
        <v/>
      </c>
    </row>
    <row r="311" spans="2:2">
      <c r="B311" s="3" t="str">
        <f ca="1">IFERROR(__xludf.DUMMYFUNCTION("IF(ISBLANK(A311),"""",GOOGLETRANSLATE(A311,""en"",""fr""))"),"")</f>
        <v/>
      </c>
    </row>
    <row r="312" spans="2:2">
      <c r="B312" s="3" t="str">
        <f ca="1">IFERROR(__xludf.DUMMYFUNCTION("IF(ISBLANK(A312),"""",GOOGLETRANSLATE(A312,""en"",""fr""))"),"")</f>
        <v/>
      </c>
    </row>
    <row r="313" spans="2:2">
      <c r="B313" s="3" t="str">
        <f ca="1">IFERROR(__xludf.DUMMYFUNCTION("IF(ISBLANK(A313),"""",GOOGLETRANSLATE(A313,""en"",""fr""))"),"")</f>
        <v/>
      </c>
    </row>
    <row r="314" spans="2:2">
      <c r="B314" s="3" t="str">
        <f ca="1">IFERROR(__xludf.DUMMYFUNCTION("IF(ISBLANK(A314),"""",GOOGLETRANSLATE(A314,""en"",""fr""))"),"")</f>
        <v/>
      </c>
    </row>
    <row r="315" spans="2:2">
      <c r="B315" s="3" t="str">
        <f ca="1">IFERROR(__xludf.DUMMYFUNCTION("IF(ISBLANK(A315),"""",GOOGLETRANSLATE(A315,""en"",""fr""))"),"")</f>
        <v/>
      </c>
    </row>
    <row r="316" spans="2:2">
      <c r="B316" s="3" t="str">
        <f ca="1">IFERROR(__xludf.DUMMYFUNCTION("IF(ISBLANK(A316),"""",GOOGLETRANSLATE(A316,""en"",""fr""))"),"")</f>
        <v/>
      </c>
    </row>
    <row r="317" spans="2:2">
      <c r="B317" s="3" t="str">
        <f ca="1">IFERROR(__xludf.DUMMYFUNCTION("IF(ISBLANK(A317),"""",GOOGLETRANSLATE(A317,""en"",""fr""))"),"")</f>
        <v/>
      </c>
    </row>
    <row r="318" spans="2:2">
      <c r="B318" s="3" t="str">
        <f ca="1">IFERROR(__xludf.DUMMYFUNCTION("IF(ISBLANK(A318),"""",GOOGLETRANSLATE(A318,""en"",""fr""))"),"")</f>
        <v/>
      </c>
    </row>
    <row r="319" spans="2:2">
      <c r="B319" s="3" t="str">
        <f ca="1">IFERROR(__xludf.DUMMYFUNCTION("IF(ISBLANK(A319),"""",GOOGLETRANSLATE(A319,""en"",""fr""))"),"")</f>
        <v/>
      </c>
    </row>
    <row r="320" spans="2:2">
      <c r="B320" s="3" t="str">
        <f ca="1">IFERROR(__xludf.DUMMYFUNCTION("IF(ISBLANK(A320),"""",GOOGLETRANSLATE(A320,""en"",""fr""))"),"")</f>
        <v/>
      </c>
    </row>
    <row r="321" spans="2:2">
      <c r="B321" s="3" t="str">
        <f ca="1">IFERROR(__xludf.DUMMYFUNCTION("IF(ISBLANK(A321),"""",GOOGLETRANSLATE(A321,""en"",""fr""))"),"")</f>
        <v/>
      </c>
    </row>
    <row r="322" spans="2:2">
      <c r="B322" s="3" t="str">
        <f ca="1">IFERROR(__xludf.DUMMYFUNCTION("IF(ISBLANK(A322),"""",GOOGLETRANSLATE(A322,""en"",""fr""))"),"")</f>
        <v/>
      </c>
    </row>
    <row r="323" spans="2:2">
      <c r="B323" s="3" t="str">
        <f ca="1">IFERROR(__xludf.DUMMYFUNCTION("IF(ISBLANK(A323),"""",GOOGLETRANSLATE(A323,""en"",""fr""))"),"")</f>
        <v/>
      </c>
    </row>
    <row r="324" spans="2:2">
      <c r="B324" s="3" t="str">
        <f ca="1">IFERROR(__xludf.DUMMYFUNCTION("IF(ISBLANK(A324),"""",GOOGLETRANSLATE(A324,""en"",""fr""))"),"")</f>
        <v/>
      </c>
    </row>
    <row r="325" spans="2:2">
      <c r="B325" s="3" t="str">
        <f ca="1">IFERROR(__xludf.DUMMYFUNCTION("IF(ISBLANK(A325),"""",GOOGLETRANSLATE(A325,""en"",""fr""))"),"")</f>
        <v/>
      </c>
    </row>
    <row r="326" spans="2:2">
      <c r="B326" s="3" t="str">
        <f ca="1">IFERROR(__xludf.DUMMYFUNCTION("IF(ISBLANK(A326),"""",GOOGLETRANSLATE(A326,""en"",""fr""))"),"")</f>
        <v/>
      </c>
    </row>
    <row r="327" spans="2:2">
      <c r="B327" s="3" t="str">
        <f ca="1">IFERROR(__xludf.DUMMYFUNCTION("IF(ISBLANK(A327),"""",GOOGLETRANSLATE(A327,""en"",""fr""))"),"")</f>
        <v/>
      </c>
    </row>
    <row r="328" spans="2:2">
      <c r="B328" s="3" t="str">
        <f ca="1">IFERROR(__xludf.DUMMYFUNCTION("IF(ISBLANK(A328),"""",GOOGLETRANSLATE(A328,""en"",""fr""))"),"")</f>
        <v/>
      </c>
    </row>
    <row r="329" spans="2:2">
      <c r="B329" s="3" t="str">
        <f ca="1">IFERROR(__xludf.DUMMYFUNCTION("IF(ISBLANK(A329),"""",GOOGLETRANSLATE(A329,""en"",""fr""))"),"")</f>
        <v/>
      </c>
    </row>
    <row r="330" spans="2:2">
      <c r="B330" s="3" t="str">
        <f ca="1">IFERROR(__xludf.DUMMYFUNCTION("IF(ISBLANK(A330),"""",GOOGLETRANSLATE(A330,""en"",""fr""))"),"")</f>
        <v/>
      </c>
    </row>
    <row r="331" spans="2:2">
      <c r="B331" s="3" t="str">
        <f ca="1">IFERROR(__xludf.DUMMYFUNCTION("IF(ISBLANK(A331),"""",GOOGLETRANSLATE(A331,""en"",""fr""))"),"")</f>
        <v/>
      </c>
    </row>
    <row r="332" spans="2:2">
      <c r="B332" s="3" t="str">
        <f ca="1">IFERROR(__xludf.DUMMYFUNCTION("IF(ISBLANK(A332),"""",GOOGLETRANSLATE(A332,""en"",""fr""))"),"")</f>
        <v/>
      </c>
    </row>
    <row r="333" spans="2:2">
      <c r="B333" s="3" t="str">
        <f ca="1">IFERROR(__xludf.DUMMYFUNCTION("IF(ISBLANK(A333),"""",GOOGLETRANSLATE(A333,""en"",""fr""))"),"")</f>
        <v/>
      </c>
    </row>
    <row r="334" spans="2:2">
      <c r="B334" s="3" t="str">
        <f ca="1">IFERROR(__xludf.DUMMYFUNCTION("IF(ISBLANK(A334),"""",GOOGLETRANSLATE(A334,""en"",""fr""))"),"")</f>
        <v/>
      </c>
    </row>
    <row r="335" spans="2:2">
      <c r="B335" s="3" t="str">
        <f ca="1">IFERROR(__xludf.DUMMYFUNCTION("IF(ISBLANK(A335),"""",GOOGLETRANSLATE(A335,""en"",""fr""))"),"")</f>
        <v/>
      </c>
    </row>
    <row r="336" spans="2:2">
      <c r="B336" s="3" t="str">
        <f ca="1">IFERROR(__xludf.DUMMYFUNCTION("IF(ISBLANK(A336),"""",GOOGLETRANSLATE(A336,""en"",""fr""))"),"")</f>
        <v/>
      </c>
    </row>
    <row r="337" spans="2:2">
      <c r="B337" s="3" t="str">
        <f ca="1">IFERROR(__xludf.DUMMYFUNCTION("IF(ISBLANK(A337),"""",GOOGLETRANSLATE(A337,""en"",""fr""))"),"")</f>
        <v/>
      </c>
    </row>
    <row r="338" spans="2:2">
      <c r="B338" s="3" t="str">
        <f ca="1">IFERROR(__xludf.DUMMYFUNCTION("IF(ISBLANK(A338),"""",GOOGLETRANSLATE(A338,""en"",""fr""))"),"")</f>
        <v/>
      </c>
    </row>
    <row r="339" spans="2:2">
      <c r="B339" s="3" t="str">
        <f ca="1">IFERROR(__xludf.DUMMYFUNCTION("IF(ISBLANK(A339),"""",GOOGLETRANSLATE(A339,""en"",""fr""))"),"")</f>
        <v/>
      </c>
    </row>
    <row r="340" spans="2:2">
      <c r="B340" s="3" t="str">
        <f ca="1">IFERROR(__xludf.DUMMYFUNCTION("IF(ISBLANK(A340),"""",GOOGLETRANSLATE(A340,""en"",""fr""))"),"")</f>
        <v/>
      </c>
    </row>
    <row r="341" spans="2:2">
      <c r="B341" s="3" t="str">
        <f ca="1">IFERROR(__xludf.DUMMYFUNCTION("IF(ISBLANK(A341),"""",GOOGLETRANSLATE(A341,""en"",""fr""))"),"")</f>
        <v/>
      </c>
    </row>
    <row r="342" spans="2:2">
      <c r="B342" s="3" t="str">
        <f ca="1">IFERROR(__xludf.DUMMYFUNCTION("IF(ISBLANK(A342),"""",GOOGLETRANSLATE(A342,""en"",""fr""))"),"")</f>
        <v/>
      </c>
    </row>
    <row r="343" spans="2:2">
      <c r="B343" s="3" t="str">
        <f ca="1">IFERROR(__xludf.DUMMYFUNCTION("IF(ISBLANK(A343),"""",GOOGLETRANSLATE(A343,""en"",""fr""))"),"")</f>
        <v/>
      </c>
    </row>
    <row r="344" spans="2:2">
      <c r="B344" s="3" t="str">
        <f ca="1">IFERROR(__xludf.DUMMYFUNCTION("IF(ISBLANK(A344),"""",GOOGLETRANSLATE(A344,""en"",""fr""))"),"")</f>
        <v/>
      </c>
    </row>
    <row r="345" spans="2:2">
      <c r="B345" s="3" t="str">
        <f ca="1">IFERROR(__xludf.DUMMYFUNCTION("IF(ISBLANK(A345),"""",GOOGLETRANSLATE(A345,""en"",""fr""))"),"")</f>
        <v/>
      </c>
    </row>
    <row r="346" spans="2:2">
      <c r="B346" s="3" t="str">
        <f ca="1">IFERROR(__xludf.DUMMYFUNCTION("IF(ISBLANK(A346),"""",GOOGLETRANSLATE(A346,""en"",""fr""))"),"")</f>
        <v/>
      </c>
    </row>
    <row r="347" spans="2:2">
      <c r="B347" s="3" t="str">
        <f ca="1">IFERROR(__xludf.DUMMYFUNCTION("IF(ISBLANK(A347),"""",GOOGLETRANSLATE(A347,""en"",""fr""))"),"")</f>
        <v/>
      </c>
    </row>
    <row r="348" spans="2:2">
      <c r="B348" s="3" t="str">
        <f ca="1">IFERROR(__xludf.DUMMYFUNCTION("IF(ISBLANK(A348),"""",GOOGLETRANSLATE(A348,""en"",""fr""))"),"")</f>
        <v/>
      </c>
    </row>
    <row r="349" spans="2:2">
      <c r="B349" s="3" t="str">
        <f ca="1">IFERROR(__xludf.DUMMYFUNCTION("IF(ISBLANK(A349),"""",GOOGLETRANSLATE(A349,""en"",""fr""))"),"")</f>
        <v/>
      </c>
    </row>
    <row r="350" spans="2:2">
      <c r="B350" s="3" t="str">
        <f ca="1">IFERROR(__xludf.DUMMYFUNCTION("IF(ISBLANK(A350),"""",GOOGLETRANSLATE(A350,""en"",""fr""))"),"")</f>
        <v/>
      </c>
    </row>
    <row r="351" spans="2:2">
      <c r="B351" s="3" t="str">
        <f ca="1">IFERROR(__xludf.DUMMYFUNCTION("IF(ISBLANK(A351),"""",GOOGLETRANSLATE(A351,""en"",""fr""))"),"")</f>
        <v/>
      </c>
    </row>
    <row r="352" spans="2:2">
      <c r="B352" s="3" t="str">
        <f ca="1">IFERROR(__xludf.DUMMYFUNCTION("IF(ISBLANK(A352),"""",GOOGLETRANSLATE(A352,""en"",""fr""))"),"")</f>
        <v/>
      </c>
    </row>
    <row r="353" spans="2:2">
      <c r="B353" s="3" t="str">
        <f ca="1">IFERROR(__xludf.DUMMYFUNCTION("IF(ISBLANK(A353),"""",GOOGLETRANSLATE(A353,""en"",""fr""))"),"")</f>
        <v/>
      </c>
    </row>
    <row r="354" spans="2:2">
      <c r="B354" s="3" t="str">
        <f ca="1">IFERROR(__xludf.DUMMYFUNCTION("IF(ISBLANK(A354),"""",GOOGLETRANSLATE(A354,""en"",""fr""))"),"")</f>
        <v/>
      </c>
    </row>
    <row r="355" spans="2:2">
      <c r="B355" s="3" t="str">
        <f ca="1">IFERROR(__xludf.DUMMYFUNCTION("IF(ISBLANK(A355),"""",GOOGLETRANSLATE(A355,""en"",""fr""))"),"")</f>
        <v/>
      </c>
    </row>
    <row r="356" spans="2:2">
      <c r="B356" s="3" t="str">
        <f ca="1">IFERROR(__xludf.DUMMYFUNCTION("IF(ISBLANK(A356),"""",GOOGLETRANSLATE(A356,""en"",""fr""))"),"")</f>
        <v/>
      </c>
    </row>
    <row r="357" spans="2:2">
      <c r="B357" s="3" t="str">
        <f ca="1">IFERROR(__xludf.DUMMYFUNCTION("IF(ISBLANK(A357),"""",GOOGLETRANSLATE(A357,""en"",""fr""))"),"")</f>
        <v/>
      </c>
    </row>
    <row r="358" spans="2:2">
      <c r="B358" s="3" t="str">
        <f ca="1">IFERROR(__xludf.DUMMYFUNCTION("IF(ISBLANK(A358),"""",GOOGLETRANSLATE(A358,""en"",""fr""))"),"")</f>
        <v/>
      </c>
    </row>
    <row r="359" spans="2:2">
      <c r="B359" s="3" t="str">
        <f ca="1">IFERROR(__xludf.DUMMYFUNCTION("IF(ISBLANK(A359),"""",GOOGLETRANSLATE(A359,""en"",""fr""))"),"")</f>
        <v/>
      </c>
    </row>
    <row r="360" spans="2:2">
      <c r="B360" s="3" t="str">
        <f ca="1">IFERROR(__xludf.DUMMYFUNCTION("IF(ISBLANK(A360),"""",GOOGLETRANSLATE(A360,""en"",""fr""))"),"")</f>
        <v/>
      </c>
    </row>
    <row r="361" spans="2:2">
      <c r="B361" s="3" t="str">
        <f ca="1">IFERROR(__xludf.DUMMYFUNCTION("IF(ISBLANK(A361),"""",GOOGLETRANSLATE(A361,""en"",""fr""))"),"")</f>
        <v/>
      </c>
    </row>
    <row r="362" spans="2:2">
      <c r="B362" s="3" t="str">
        <f ca="1">IFERROR(__xludf.DUMMYFUNCTION("IF(ISBLANK(A362),"""",GOOGLETRANSLATE(A362,""en"",""fr""))"),"")</f>
        <v/>
      </c>
    </row>
    <row r="363" spans="2:2">
      <c r="B363" s="3" t="str">
        <f ca="1">IFERROR(__xludf.DUMMYFUNCTION("IF(ISBLANK(A363),"""",GOOGLETRANSLATE(A363,""en"",""fr""))"),"")</f>
        <v/>
      </c>
    </row>
    <row r="364" spans="2:2">
      <c r="B364" s="3" t="str">
        <f ca="1">IFERROR(__xludf.DUMMYFUNCTION("IF(ISBLANK(A364),"""",GOOGLETRANSLATE(A364,""en"",""fr""))"),"")</f>
        <v/>
      </c>
    </row>
    <row r="365" spans="2:2">
      <c r="B365" s="3" t="str">
        <f ca="1">IFERROR(__xludf.DUMMYFUNCTION("IF(ISBLANK(A365),"""",GOOGLETRANSLATE(A365,""en"",""fr""))"),"")</f>
        <v/>
      </c>
    </row>
    <row r="366" spans="2:2">
      <c r="B366" s="3" t="str">
        <f ca="1">IFERROR(__xludf.DUMMYFUNCTION("IF(ISBLANK(A366),"""",GOOGLETRANSLATE(A366,""en"",""fr""))"),"")</f>
        <v/>
      </c>
    </row>
    <row r="367" spans="2:2">
      <c r="B367" s="3" t="str">
        <f ca="1">IFERROR(__xludf.DUMMYFUNCTION("IF(ISBLANK(A367),"""",GOOGLETRANSLATE(A367,""en"",""fr""))"),"")</f>
        <v/>
      </c>
    </row>
    <row r="368" spans="2:2">
      <c r="B368" s="3" t="str">
        <f ca="1">IFERROR(__xludf.DUMMYFUNCTION("IF(ISBLANK(A368),"""",GOOGLETRANSLATE(A368,""en"",""fr""))"),"")</f>
        <v/>
      </c>
    </row>
    <row r="369" spans="2:2">
      <c r="B369" s="3" t="str">
        <f ca="1">IFERROR(__xludf.DUMMYFUNCTION("IF(ISBLANK(A369),"""",GOOGLETRANSLATE(A369,""en"",""fr""))"),"")</f>
        <v/>
      </c>
    </row>
    <row r="370" spans="2:2">
      <c r="B370" s="3" t="str">
        <f ca="1">IFERROR(__xludf.DUMMYFUNCTION("IF(ISBLANK(A370),"""",GOOGLETRANSLATE(A370,""en"",""fr""))"),"")</f>
        <v/>
      </c>
    </row>
    <row r="371" spans="2:2">
      <c r="B371" s="3" t="str">
        <f ca="1">IFERROR(__xludf.DUMMYFUNCTION("IF(ISBLANK(A371),"""",GOOGLETRANSLATE(A371,""en"",""fr""))"),"")</f>
        <v/>
      </c>
    </row>
    <row r="372" spans="2:2">
      <c r="B372" s="3" t="str">
        <f ca="1">IFERROR(__xludf.DUMMYFUNCTION("IF(ISBLANK(A372),"""",GOOGLETRANSLATE(A372,""en"",""fr""))"),"")</f>
        <v/>
      </c>
    </row>
    <row r="373" spans="2:2">
      <c r="B373" s="3" t="str">
        <f ca="1">IFERROR(__xludf.DUMMYFUNCTION("IF(ISBLANK(A373),"""",GOOGLETRANSLATE(A373,""en"",""fr""))"),"")</f>
        <v/>
      </c>
    </row>
    <row r="374" spans="2:2">
      <c r="B374" s="3" t="str">
        <f ca="1">IFERROR(__xludf.DUMMYFUNCTION("IF(ISBLANK(A374),"""",GOOGLETRANSLATE(A374,""en"",""fr""))"),"")</f>
        <v/>
      </c>
    </row>
    <row r="375" spans="2:2">
      <c r="B375" s="3" t="str">
        <f ca="1">IFERROR(__xludf.DUMMYFUNCTION("IF(ISBLANK(A375),"""",GOOGLETRANSLATE(A375,""en"",""fr""))"),"")</f>
        <v/>
      </c>
    </row>
    <row r="376" spans="2:2">
      <c r="B376" s="3" t="str">
        <f ca="1">IFERROR(__xludf.DUMMYFUNCTION("IF(ISBLANK(A376),"""",GOOGLETRANSLATE(A376,""en"",""fr""))"),"")</f>
        <v/>
      </c>
    </row>
    <row r="377" spans="2:2">
      <c r="B377" s="3" t="str">
        <f ca="1">IFERROR(__xludf.DUMMYFUNCTION("IF(ISBLANK(A377),"""",GOOGLETRANSLATE(A377,""en"",""fr""))"),"")</f>
        <v/>
      </c>
    </row>
    <row r="378" spans="2:2">
      <c r="B378" s="3" t="str">
        <f ca="1">IFERROR(__xludf.DUMMYFUNCTION("IF(ISBLANK(A378),"""",GOOGLETRANSLATE(A378,""en"",""fr""))"),"")</f>
        <v/>
      </c>
    </row>
    <row r="379" spans="2:2">
      <c r="B379" s="3" t="str">
        <f ca="1">IFERROR(__xludf.DUMMYFUNCTION("IF(ISBLANK(A379),"""",GOOGLETRANSLATE(A379,""en"",""fr""))"),"")</f>
        <v/>
      </c>
    </row>
    <row r="380" spans="2:2">
      <c r="B380" s="3" t="str">
        <f ca="1">IFERROR(__xludf.DUMMYFUNCTION("IF(ISBLANK(A380),"""",GOOGLETRANSLATE(A380,""en"",""fr""))"),"")</f>
        <v/>
      </c>
    </row>
    <row r="381" spans="2:2">
      <c r="B381" s="3" t="str">
        <f ca="1">IFERROR(__xludf.DUMMYFUNCTION("IF(ISBLANK(A381),"""",GOOGLETRANSLATE(A381,""en"",""fr""))"),"")</f>
        <v/>
      </c>
    </row>
    <row r="382" spans="2:2">
      <c r="B382" s="3" t="str">
        <f ca="1">IFERROR(__xludf.DUMMYFUNCTION("IF(ISBLANK(A382),"""",GOOGLETRANSLATE(A382,""en"",""fr""))"),"")</f>
        <v/>
      </c>
    </row>
    <row r="383" spans="2:2">
      <c r="B383" s="3" t="str">
        <f ca="1">IFERROR(__xludf.DUMMYFUNCTION("IF(ISBLANK(A383),"""",GOOGLETRANSLATE(A383,""en"",""fr""))"),"")</f>
        <v/>
      </c>
    </row>
    <row r="384" spans="2:2">
      <c r="B384" s="3" t="str">
        <f ca="1">IFERROR(__xludf.DUMMYFUNCTION("IF(ISBLANK(A384),"""",GOOGLETRANSLATE(A384,""en"",""fr""))"),"")</f>
        <v/>
      </c>
    </row>
    <row r="385" spans="2:2">
      <c r="B385" s="3" t="str">
        <f ca="1">IFERROR(__xludf.DUMMYFUNCTION("IF(ISBLANK(A385),"""",GOOGLETRANSLATE(A385,""en"",""fr""))"),"")</f>
        <v/>
      </c>
    </row>
    <row r="386" spans="2:2">
      <c r="B386" s="3" t="str">
        <f ca="1">IFERROR(__xludf.DUMMYFUNCTION("IF(ISBLANK(A386),"""",GOOGLETRANSLATE(A386,""en"",""fr""))"),"")</f>
        <v/>
      </c>
    </row>
    <row r="387" spans="2:2">
      <c r="B387" s="3" t="str">
        <f ca="1">IFERROR(__xludf.DUMMYFUNCTION("IF(ISBLANK(A387),"""",GOOGLETRANSLATE(A387,""en"",""fr""))"),"")</f>
        <v/>
      </c>
    </row>
    <row r="388" spans="2:2">
      <c r="B388" s="3" t="str">
        <f ca="1">IFERROR(__xludf.DUMMYFUNCTION("IF(ISBLANK(A388),"""",GOOGLETRANSLATE(A388,""en"",""fr""))"),"")</f>
        <v/>
      </c>
    </row>
    <row r="389" spans="2:2">
      <c r="B389" s="3" t="str">
        <f ca="1">IFERROR(__xludf.DUMMYFUNCTION("IF(ISBLANK(A389),"""",GOOGLETRANSLATE(A389,""en"",""fr""))"),"")</f>
        <v/>
      </c>
    </row>
    <row r="390" spans="2:2">
      <c r="B390" s="3" t="str">
        <f ca="1">IFERROR(__xludf.DUMMYFUNCTION("IF(ISBLANK(A390),"""",GOOGLETRANSLATE(A390,""en"",""fr""))"),"")</f>
        <v/>
      </c>
    </row>
    <row r="391" spans="2:2">
      <c r="B391" s="3" t="str">
        <f ca="1">IFERROR(__xludf.DUMMYFUNCTION("IF(ISBLANK(A391),"""",GOOGLETRANSLATE(A391,""en"",""fr""))"),"")</f>
        <v/>
      </c>
    </row>
    <row r="392" spans="2:2">
      <c r="B392" s="3" t="str">
        <f ca="1">IFERROR(__xludf.DUMMYFUNCTION("IF(ISBLANK(A392),"""",GOOGLETRANSLATE(A392,""en"",""fr""))"),"")</f>
        <v/>
      </c>
    </row>
    <row r="393" spans="2:2">
      <c r="B393" s="3" t="str">
        <f ca="1">IFERROR(__xludf.DUMMYFUNCTION("IF(ISBLANK(A393),"""",GOOGLETRANSLATE(A393,""en"",""fr""))"),"")</f>
        <v/>
      </c>
    </row>
    <row r="394" spans="2:2">
      <c r="B394" s="3" t="str">
        <f ca="1">IFERROR(__xludf.DUMMYFUNCTION("IF(ISBLANK(A394),"""",GOOGLETRANSLATE(A394,""en"",""fr""))"),"")</f>
        <v/>
      </c>
    </row>
    <row r="395" spans="2:2">
      <c r="B395" s="3" t="str">
        <f ca="1">IFERROR(__xludf.DUMMYFUNCTION("IF(ISBLANK(A395),"""",GOOGLETRANSLATE(A395,""en"",""fr""))"),"")</f>
        <v/>
      </c>
    </row>
    <row r="396" spans="2:2">
      <c r="B396" s="3" t="str">
        <f ca="1">IFERROR(__xludf.DUMMYFUNCTION("IF(ISBLANK(A396),"""",GOOGLETRANSLATE(A396,""en"",""fr""))"),"")</f>
        <v/>
      </c>
    </row>
    <row r="397" spans="2:2">
      <c r="B397" s="3" t="str">
        <f ca="1">IFERROR(__xludf.DUMMYFUNCTION("IF(ISBLANK(A397),"""",GOOGLETRANSLATE(A397,""en"",""fr""))"),"")</f>
        <v/>
      </c>
    </row>
    <row r="398" spans="2:2">
      <c r="B398" s="3" t="str">
        <f ca="1">IFERROR(__xludf.DUMMYFUNCTION("IF(ISBLANK(A398),"""",GOOGLETRANSLATE(A398,""en"",""fr""))"),"")</f>
        <v/>
      </c>
    </row>
    <row r="399" spans="2:2">
      <c r="B399" s="3" t="str">
        <f ca="1">IFERROR(__xludf.DUMMYFUNCTION("IF(ISBLANK(A399),"""",GOOGLETRANSLATE(A399,""en"",""fr""))"),"")</f>
        <v/>
      </c>
    </row>
    <row r="400" spans="2:2">
      <c r="B400" s="3" t="str">
        <f ca="1">IFERROR(__xludf.DUMMYFUNCTION("IF(ISBLANK(A400),"""",GOOGLETRANSLATE(A400,""en"",""fr""))"),"")</f>
        <v/>
      </c>
    </row>
    <row r="401" spans="2:2">
      <c r="B401" s="3" t="str">
        <f ca="1">IFERROR(__xludf.DUMMYFUNCTION("IF(ISBLANK(A401),"""",GOOGLETRANSLATE(A401,""en"",""fr""))"),"")</f>
        <v/>
      </c>
    </row>
    <row r="402" spans="2:2">
      <c r="B402" s="3" t="str">
        <f ca="1">IFERROR(__xludf.DUMMYFUNCTION("IF(ISBLANK(A402),"""",GOOGLETRANSLATE(A402,""en"",""fr""))"),"")</f>
        <v/>
      </c>
    </row>
    <row r="403" spans="2:2">
      <c r="B403" s="3" t="str">
        <f ca="1">IFERROR(__xludf.DUMMYFUNCTION("IF(ISBLANK(A403),"""",GOOGLETRANSLATE(A403,""en"",""fr""))"),"")</f>
        <v/>
      </c>
    </row>
    <row r="404" spans="2:2">
      <c r="B404" s="3" t="str">
        <f ca="1">IFERROR(__xludf.DUMMYFUNCTION("IF(ISBLANK(A404),"""",GOOGLETRANSLATE(A404,""en"",""fr""))"),"")</f>
        <v/>
      </c>
    </row>
    <row r="405" spans="2:2">
      <c r="B405" s="3" t="str">
        <f ca="1">IFERROR(__xludf.DUMMYFUNCTION("IF(ISBLANK(A405),"""",GOOGLETRANSLATE(A405,""en"",""fr""))"),"")</f>
        <v/>
      </c>
    </row>
    <row r="406" spans="2:2">
      <c r="B406" s="3" t="str">
        <f ca="1">IFERROR(__xludf.DUMMYFUNCTION("IF(ISBLANK(A406),"""",GOOGLETRANSLATE(A406,""en"",""fr""))"),"")</f>
        <v/>
      </c>
    </row>
    <row r="407" spans="2:2">
      <c r="B407" s="3" t="str">
        <f ca="1">IFERROR(__xludf.DUMMYFUNCTION("IF(ISBLANK(A407),"""",GOOGLETRANSLATE(A407,""en"",""fr""))"),"")</f>
        <v/>
      </c>
    </row>
    <row r="408" spans="2:2">
      <c r="B408" s="3" t="str">
        <f ca="1">IFERROR(__xludf.DUMMYFUNCTION("IF(ISBLANK(A408),"""",GOOGLETRANSLATE(A408,""en"",""fr""))"),"")</f>
        <v/>
      </c>
    </row>
    <row r="409" spans="2:2">
      <c r="B409" s="3" t="str">
        <f ca="1">IFERROR(__xludf.DUMMYFUNCTION("IF(ISBLANK(A409),"""",GOOGLETRANSLATE(A409,""en"",""fr""))"),"")</f>
        <v/>
      </c>
    </row>
    <row r="410" spans="2:2">
      <c r="B410" s="3" t="str">
        <f ca="1">IFERROR(__xludf.DUMMYFUNCTION("IF(ISBLANK(A410),"""",GOOGLETRANSLATE(A410,""en"",""fr""))"),"")</f>
        <v/>
      </c>
    </row>
    <row r="411" spans="2:2">
      <c r="B411" s="3" t="str">
        <f ca="1">IFERROR(__xludf.DUMMYFUNCTION("IF(ISBLANK(A411),"""",GOOGLETRANSLATE(A411,""en"",""fr""))"),"")</f>
        <v/>
      </c>
    </row>
    <row r="412" spans="2:2">
      <c r="B412" s="3" t="str">
        <f ca="1">IFERROR(__xludf.DUMMYFUNCTION("IF(ISBLANK(A412),"""",GOOGLETRANSLATE(A412,""en"",""fr""))"),"")</f>
        <v/>
      </c>
    </row>
    <row r="413" spans="2:2">
      <c r="B413" s="3" t="str">
        <f ca="1">IFERROR(__xludf.DUMMYFUNCTION("IF(ISBLANK(A413),"""",GOOGLETRANSLATE(A413,""en"",""fr""))"),"")</f>
        <v/>
      </c>
    </row>
    <row r="414" spans="2:2">
      <c r="B414" s="3" t="str">
        <f ca="1">IFERROR(__xludf.DUMMYFUNCTION("IF(ISBLANK(A414),"""",GOOGLETRANSLATE(A414,""en"",""fr""))"),"")</f>
        <v/>
      </c>
    </row>
    <row r="415" spans="2:2">
      <c r="B415" s="3" t="str">
        <f ca="1">IFERROR(__xludf.DUMMYFUNCTION("IF(ISBLANK(A415),"""",GOOGLETRANSLATE(A415,""en"",""fr""))"),"")</f>
        <v/>
      </c>
    </row>
    <row r="416" spans="2:2">
      <c r="B416" s="3" t="str">
        <f ca="1">IFERROR(__xludf.DUMMYFUNCTION("IF(ISBLANK(A416),"""",GOOGLETRANSLATE(A416,""en"",""fr""))"),"")</f>
        <v/>
      </c>
    </row>
    <row r="417" spans="2:2">
      <c r="B417" s="3" t="str">
        <f ca="1">IFERROR(__xludf.DUMMYFUNCTION("IF(ISBLANK(A417),"""",GOOGLETRANSLATE(A417,""en"",""fr""))"),"")</f>
        <v/>
      </c>
    </row>
    <row r="418" spans="2:2">
      <c r="B418" s="3" t="str">
        <f ca="1">IFERROR(__xludf.DUMMYFUNCTION("IF(ISBLANK(A418),"""",GOOGLETRANSLATE(A418,""en"",""fr""))"),"")</f>
        <v/>
      </c>
    </row>
    <row r="419" spans="2:2">
      <c r="B419" s="3" t="str">
        <f ca="1">IFERROR(__xludf.DUMMYFUNCTION("IF(ISBLANK(A419),"""",GOOGLETRANSLATE(A419,""en"",""fr""))"),"")</f>
        <v/>
      </c>
    </row>
    <row r="420" spans="2:2">
      <c r="B420" s="3" t="str">
        <f ca="1">IFERROR(__xludf.DUMMYFUNCTION("IF(ISBLANK(A420),"""",GOOGLETRANSLATE(A420,""en"",""fr""))"),"")</f>
        <v/>
      </c>
    </row>
    <row r="421" spans="2:2">
      <c r="B421" s="3" t="str">
        <f ca="1">IFERROR(__xludf.DUMMYFUNCTION("IF(ISBLANK(A421),"""",GOOGLETRANSLATE(A421,""en"",""fr""))"),"")</f>
        <v/>
      </c>
    </row>
    <row r="422" spans="2:2">
      <c r="B422" s="3" t="str">
        <f ca="1">IFERROR(__xludf.DUMMYFUNCTION("IF(ISBLANK(A422),"""",GOOGLETRANSLATE(A422,""en"",""fr""))"),"")</f>
        <v/>
      </c>
    </row>
    <row r="423" spans="2:2">
      <c r="B423" s="3" t="str">
        <f ca="1">IFERROR(__xludf.DUMMYFUNCTION("IF(ISBLANK(A423),"""",GOOGLETRANSLATE(A423,""en"",""fr""))"),"")</f>
        <v/>
      </c>
    </row>
    <row r="424" spans="2:2">
      <c r="B424" s="3" t="str">
        <f ca="1">IFERROR(__xludf.DUMMYFUNCTION("IF(ISBLANK(A424),"""",GOOGLETRANSLATE(A424,""en"",""fr""))"),"")</f>
        <v/>
      </c>
    </row>
    <row r="425" spans="2:2">
      <c r="B425" s="3" t="str">
        <f ca="1">IFERROR(__xludf.DUMMYFUNCTION("IF(ISBLANK(A425),"""",GOOGLETRANSLATE(A425,""en"",""fr""))"),"")</f>
        <v/>
      </c>
    </row>
    <row r="426" spans="2:2">
      <c r="B426" s="3" t="str">
        <f ca="1">IFERROR(__xludf.DUMMYFUNCTION("IF(ISBLANK(A426),"""",GOOGLETRANSLATE(A426,""en"",""fr""))"),"")</f>
        <v/>
      </c>
    </row>
    <row r="427" spans="2:2">
      <c r="B427" s="3" t="str">
        <f ca="1">IFERROR(__xludf.DUMMYFUNCTION("IF(ISBLANK(A427),"""",GOOGLETRANSLATE(A427,""en"",""fr""))"),"")</f>
        <v/>
      </c>
    </row>
    <row r="428" spans="2:2">
      <c r="B428" s="3" t="str">
        <f ca="1">IFERROR(__xludf.DUMMYFUNCTION("IF(ISBLANK(A428),"""",GOOGLETRANSLATE(A428,""en"",""fr""))"),"")</f>
        <v/>
      </c>
    </row>
    <row r="429" spans="2:2">
      <c r="B429" s="3" t="str">
        <f ca="1">IFERROR(__xludf.DUMMYFUNCTION("IF(ISBLANK(A429),"""",GOOGLETRANSLATE(A429,""en"",""fr""))"),"")</f>
        <v/>
      </c>
    </row>
    <row r="430" spans="2:2">
      <c r="B430" s="3" t="str">
        <f ca="1">IFERROR(__xludf.DUMMYFUNCTION("IF(ISBLANK(A430),"""",GOOGLETRANSLATE(A430,""en"",""fr""))"),"")</f>
        <v/>
      </c>
    </row>
    <row r="431" spans="2:2">
      <c r="B431" s="3" t="str">
        <f ca="1">IFERROR(__xludf.DUMMYFUNCTION("IF(ISBLANK(A431),"""",GOOGLETRANSLATE(A431,""en"",""fr""))"),"")</f>
        <v/>
      </c>
    </row>
    <row r="432" spans="2:2">
      <c r="B432" s="3" t="str">
        <f ca="1">IFERROR(__xludf.DUMMYFUNCTION("IF(ISBLANK(A432),"""",GOOGLETRANSLATE(A432,""en"",""fr""))"),"")</f>
        <v/>
      </c>
    </row>
    <row r="433" spans="2:2">
      <c r="B433" s="3" t="str">
        <f ca="1">IFERROR(__xludf.DUMMYFUNCTION("IF(ISBLANK(A433),"""",GOOGLETRANSLATE(A433,""en"",""fr""))"),"")</f>
        <v/>
      </c>
    </row>
    <row r="434" spans="2:2">
      <c r="B434" s="3" t="str">
        <f ca="1">IFERROR(__xludf.DUMMYFUNCTION("IF(ISBLANK(A434),"""",GOOGLETRANSLATE(A434,""en"",""fr""))"),"")</f>
        <v/>
      </c>
    </row>
    <row r="435" spans="2:2">
      <c r="B435" s="3" t="str">
        <f ca="1">IFERROR(__xludf.DUMMYFUNCTION("IF(ISBLANK(A435),"""",GOOGLETRANSLATE(A435,""en"",""fr""))"),"")</f>
        <v/>
      </c>
    </row>
    <row r="436" spans="2:2">
      <c r="B436" s="3" t="str">
        <f ca="1">IFERROR(__xludf.DUMMYFUNCTION("IF(ISBLANK(A436),"""",GOOGLETRANSLATE(A436,""en"",""fr""))"),"")</f>
        <v/>
      </c>
    </row>
    <row r="437" spans="2:2">
      <c r="B437" s="3" t="str">
        <f ca="1">IFERROR(__xludf.DUMMYFUNCTION("IF(ISBLANK(A437),"""",GOOGLETRANSLATE(A437,""en"",""fr""))"),"")</f>
        <v/>
      </c>
    </row>
    <row r="438" spans="2:2">
      <c r="B438" s="3" t="str">
        <f ca="1">IFERROR(__xludf.DUMMYFUNCTION("IF(ISBLANK(A438),"""",GOOGLETRANSLATE(A438,""en"",""fr""))"),"")</f>
        <v/>
      </c>
    </row>
    <row r="439" spans="2:2">
      <c r="B439" s="3" t="str">
        <f ca="1">IFERROR(__xludf.DUMMYFUNCTION("IF(ISBLANK(A439),"""",GOOGLETRANSLATE(A439,""en"",""fr""))"),"")</f>
        <v/>
      </c>
    </row>
    <row r="440" spans="2:2">
      <c r="B440" s="3" t="str">
        <f ca="1">IFERROR(__xludf.DUMMYFUNCTION("IF(ISBLANK(A440),"""",GOOGLETRANSLATE(A440,""en"",""fr""))"),"")</f>
        <v/>
      </c>
    </row>
    <row r="441" spans="2:2">
      <c r="B441" s="3" t="str">
        <f ca="1">IFERROR(__xludf.DUMMYFUNCTION("IF(ISBLANK(A441),"""",GOOGLETRANSLATE(A441,""en"",""fr""))"),"")</f>
        <v/>
      </c>
    </row>
    <row r="442" spans="2:2">
      <c r="B442" s="3" t="str">
        <f ca="1">IFERROR(__xludf.DUMMYFUNCTION("IF(ISBLANK(A442),"""",GOOGLETRANSLATE(A442,""en"",""fr""))"),"")</f>
        <v/>
      </c>
    </row>
    <row r="443" spans="2:2">
      <c r="B443" s="3" t="str">
        <f ca="1">IFERROR(__xludf.DUMMYFUNCTION("IF(ISBLANK(A443),"""",GOOGLETRANSLATE(A443,""en"",""fr""))"),"")</f>
        <v/>
      </c>
    </row>
    <row r="444" spans="2:2">
      <c r="B444" s="3" t="str">
        <f ca="1">IFERROR(__xludf.DUMMYFUNCTION("IF(ISBLANK(A444),"""",GOOGLETRANSLATE(A444,""en"",""fr""))"),"")</f>
        <v/>
      </c>
    </row>
    <row r="445" spans="2:2">
      <c r="B445" s="3" t="str">
        <f ca="1">IFERROR(__xludf.DUMMYFUNCTION("IF(ISBLANK(A445),"""",GOOGLETRANSLATE(A445,""en"",""fr""))"),"")</f>
        <v/>
      </c>
    </row>
    <row r="446" spans="2:2">
      <c r="B446" s="3" t="str">
        <f ca="1">IFERROR(__xludf.DUMMYFUNCTION("IF(ISBLANK(A446),"""",GOOGLETRANSLATE(A446,""en"",""fr""))"),"")</f>
        <v/>
      </c>
    </row>
    <row r="447" spans="2:2">
      <c r="B447" s="3" t="str">
        <f ca="1">IFERROR(__xludf.DUMMYFUNCTION("IF(ISBLANK(A447),"""",GOOGLETRANSLATE(A447,""en"",""fr""))"),"")</f>
        <v/>
      </c>
    </row>
    <row r="448" spans="2:2">
      <c r="B448" s="3" t="str">
        <f ca="1">IFERROR(__xludf.DUMMYFUNCTION("IF(ISBLANK(A448),"""",GOOGLETRANSLATE(A448,""en"",""fr""))"),"")</f>
        <v/>
      </c>
    </row>
    <row r="449" spans="2:2">
      <c r="B449" s="3" t="str">
        <f ca="1">IFERROR(__xludf.DUMMYFUNCTION("IF(ISBLANK(A449),"""",GOOGLETRANSLATE(A449,""en"",""fr""))"),"")</f>
        <v/>
      </c>
    </row>
    <row r="450" spans="2:2">
      <c r="B450" s="3" t="str">
        <f ca="1">IFERROR(__xludf.DUMMYFUNCTION("IF(ISBLANK(A450),"""",GOOGLETRANSLATE(A450,""en"",""fr""))"),"")</f>
        <v/>
      </c>
    </row>
    <row r="451" spans="2:2">
      <c r="B451" s="3" t="str">
        <f ca="1">IFERROR(__xludf.DUMMYFUNCTION("IF(ISBLANK(A451),"""",GOOGLETRANSLATE(A451,""en"",""fr""))"),"")</f>
        <v/>
      </c>
    </row>
    <row r="452" spans="2:2">
      <c r="B452" s="3" t="str">
        <f ca="1">IFERROR(__xludf.DUMMYFUNCTION("IF(ISBLANK(A452),"""",GOOGLETRANSLATE(A452,""en"",""fr""))"),"")</f>
        <v/>
      </c>
    </row>
    <row r="453" spans="2:2">
      <c r="B453" s="3" t="str">
        <f ca="1">IFERROR(__xludf.DUMMYFUNCTION("IF(ISBLANK(A453),"""",GOOGLETRANSLATE(A453,""en"",""fr""))"),"")</f>
        <v/>
      </c>
    </row>
    <row r="454" spans="2:2">
      <c r="B454" s="3" t="str">
        <f ca="1">IFERROR(__xludf.DUMMYFUNCTION("IF(ISBLANK(A454),"""",GOOGLETRANSLATE(A454,""en"",""fr""))"),"")</f>
        <v/>
      </c>
    </row>
    <row r="455" spans="2:2">
      <c r="B455" s="3" t="str">
        <f ca="1">IFERROR(__xludf.DUMMYFUNCTION("IF(ISBLANK(A455),"""",GOOGLETRANSLATE(A455,""en"",""fr""))"),"")</f>
        <v/>
      </c>
    </row>
    <row r="456" spans="2:2">
      <c r="B456" s="3" t="str">
        <f ca="1">IFERROR(__xludf.DUMMYFUNCTION("IF(ISBLANK(A456),"""",GOOGLETRANSLATE(A456,""en"",""fr""))"),"")</f>
        <v/>
      </c>
    </row>
    <row r="457" spans="2:2">
      <c r="B457" s="3" t="str">
        <f ca="1">IFERROR(__xludf.DUMMYFUNCTION("IF(ISBLANK(A457),"""",GOOGLETRANSLATE(A457,""en"",""fr""))"),"")</f>
        <v/>
      </c>
    </row>
    <row r="458" spans="2:2">
      <c r="B458" s="3" t="str">
        <f ca="1">IFERROR(__xludf.DUMMYFUNCTION("IF(ISBLANK(A458),"""",GOOGLETRANSLATE(A458,""en"",""fr""))"),"")</f>
        <v/>
      </c>
    </row>
    <row r="459" spans="2:2">
      <c r="B459" s="3" t="str">
        <f ca="1">IFERROR(__xludf.DUMMYFUNCTION("IF(ISBLANK(A459),"""",GOOGLETRANSLATE(A459,""en"",""fr""))"),"")</f>
        <v/>
      </c>
    </row>
    <row r="460" spans="2:2">
      <c r="B460" s="3" t="str">
        <f ca="1">IFERROR(__xludf.DUMMYFUNCTION("IF(ISBLANK(A460),"""",GOOGLETRANSLATE(A460,""en"",""fr""))"),"")</f>
        <v/>
      </c>
    </row>
    <row r="461" spans="2:2">
      <c r="B461" s="3" t="str">
        <f ca="1">IFERROR(__xludf.DUMMYFUNCTION("IF(ISBLANK(A461),"""",GOOGLETRANSLATE(A461,""en"",""fr""))"),"")</f>
        <v/>
      </c>
    </row>
    <row r="462" spans="2:2">
      <c r="B462" s="3" t="str">
        <f ca="1">IFERROR(__xludf.DUMMYFUNCTION("IF(ISBLANK(A462),"""",GOOGLETRANSLATE(A462,""en"",""fr""))"),"")</f>
        <v/>
      </c>
    </row>
    <row r="463" spans="2:2">
      <c r="B463" s="3" t="str">
        <f ca="1">IFERROR(__xludf.DUMMYFUNCTION("IF(ISBLANK(A463),"""",GOOGLETRANSLATE(A463,""en"",""fr""))"),"")</f>
        <v/>
      </c>
    </row>
    <row r="464" spans="2:2">
      <c r="B464" s="3" t="str">
        <f ca="1">IFERROR(__xludf.DUMMYFUNCTION("IF(ISBLANK(A464),"""",GOOGLETRANSLATE(A464,""en"",""fr""))"),"")</f>
        <v/>
      </c>
    </row>
    <row r="465" spans="2:2">
      <c r="B465" s="3" t="str">
        <f ca="1">IFERROR(__xludf.DUMMYFUNCTION("IF(ISBLANK(A465),"""",GOOGLETRANSLATE(A465,""en"",""fr""))"),"")</f>
        <v/>
      </c>
    </row>
    <row r="466" spans="2:2">
      <c r="B466" s="3" t="str">
        <f ca="1">IFERROR(__xludf.DUMMYFUNCTION("IF(ISBLANK(A466),"""",GOOGLETRANSLATE(A466,""en"",""fr""))"),"")</f>
        <v/>
      </c>
    </row>
    <row r="467" spans="2:2">
      <c r="B467" s="3" t="str">
        <f ca="1">IFERROR(__xludf.DUMMYFUNCTION("IF(ISBLANK(A467),"""",GOOGLETRANSLATE(A467,""en"",""fr""))"),"")</f>
        <v/>
      </c>
    </row>
    <row r="468" spans="2:2">
      <c r="B468" s="3" t="str">
        <f ca="1">IFERROR(__xludf.DUMMYFUNCTION("IF(ISBLANK(A468),"""",GOOGLETRANSLATE(A468,""en"",""fr""))"),"")</f>
        <v/>
      </c>
    </row>
    <row r="469" spans="2:2">
      <c r="B469" s="3" t="str">
        <f ca="1">IFERROR(__xludf.DUMMYFUNCTION("IF(ISBLANK(A469),"""",GOOGLETRANSLATE(A469,""en"",""fr""))"),"")</f>
        <v/>
      </c>
    </row>
    <row r="470" spans="2:2">
      <c r="B470" s="3" t="str">
        <f ca="1">IFERROR(__xludf.DUMMYFUNCTION("IF(ISBLANK(A470),"""",GOOGLETRANSLATE(A470,""en"",""fr""))"),"")</f>
        <v/>
      </c>
    </row>
    <row r="471" spans="2:2">
      <c r="B471" s="3" t="str">
        <f ca="1">IFERROR(__xludf.DUMMYFUNCTION("IF(ISBLANK(A471),"""",GOOGLETRANSLATE(A471,""en"",""fr""))"),"")</f>
        <v/>
      </c>
    </row>
    <row r="472" spans="2:2">
      <c r="B472" s="3" t="str">
        <f ca="1">IFERROR(__xludf.DUMMYFUNCTION("IF(ISBLANK(A472),"""",GOOGLETRANSLATE(A472,""en"",""fr""))"),"")</f>
        <v/>
      </c>
    </row>
    <row r="473" spans="2:2">
      <c r="B473" s="3" t="str">
        <f ca="1">IFERROR(__xludf.DUMMYFUNCTION("IF(ISBLANK(A473),"""",GOOGLETRANSLATE(A473,""en"",""fr""))"),"")</f>
        <v/>
      </c>
    </row>
    <row r="474" spans="2:2">
      <c r="B474" s="3" t="str">
        <f ca="1">IFERROR(__xludf.DUMMYFUNCTION("IF(ISBLANK(A474),"""",GOOGLETRANSLATE(A474,""en"",""fr""))"),"")</f>
        <v/>
      </c>
    </row>
    <row r="475" spans="2:2">
      <c r="B475" s="3" t="str">
        <f ca="1">IFERROR(__xludf.DUMMYFUNCTION("IF(ISBLANK(A475),"""",GOOGLETRANSLATE(A475,""en"",""fr""))"),"")</f>
        <v/>
      </c>
    </row>
    <row r="476" spans="2:2">
      <c r="B476" s="3" t="str">
        <f ca="1">IFERROR(__xludf.DUMMYFUNCTION("IF(ISBLANK(A476),"""",GOOGLETRANSLATE(A476,""en"",""fr""))"),"")</f>
        <v/>
      </c>
    </row>
    <row r="477" spans="2:2">
      <c r="B477" s="3" t="str">
        <f ca="1">IFERROR(__xludf.DUMMYFUNCTION("IF(ISBLANK(A477),"""",GOOGLETRANSLATE(A477,""en"",""fr""))"),"")</f>
        <v/>
      </c>
    </row>
    <row r="478" spans="2:2">
      <c r="B478" s="3" t="str">
        <f ca="1">IFERROR(__xludf.DUMMYFUNCTION("IF(ISBLANK(A478),"""",GOOGLETRANSLATE(A478,""en"",""fr""))"),"")</f>
        <v/>
      </c>
    </row>
    <row r="479" spans="2:2">
      <c r="B479" s="3" t="str">
        <f ca="1">IFERROR(__xludf.DUMMYFUNCTION("IF(ISBLANK(A479),"""",GOOGLETRANSLATE(A479,""en"",""fr""))"),"")</f>
        <v/>
      </c>
    </row>
    <row r="480" spans="2:2">
      <c r="B480" s="3" t="str">
        <f ca="1">IFERROR(__xludf.DUMMYFUNCTION("IF(ISBLANK(A480),"""",GOOGLETRANSLATE(A480,""en"",""fr""))"),"")</f>
        <v/>
      </c>
    </row>
    <row r="481" spans="2:2">
      <c r="B481" s="3" t="str">
        <f ca="1">IFERROR(__xludf.DUMMYFUNCTION("IF(ISBLANK(A481),"""",GOOGLETRANSLATE(A481,""en"",""fr""))"),"")</f>
        <v/>
      </c>
    </row>
    <row r="482" spans="2:2">
      <c r="B482" s="3" t="str">
        <f ca="1">IFERROR(__xludf.DUMMYFUNCTION("IF(ISBLANK(A482),"""",GOOGLETRANSLATE(A482,""en"",""fr""))"),"")</f>
        <v/>
      </c>
    </row>
    <row r="483" spans="2:2">
      <c r="B483" s="3" t="str">
        <f ca="1">IFERROR(__xludf.DUMMYFUNCTION("IF(ISBLANK(A483),"""",GOOGLETRANSLATE(A483,""en"",""fr""))"),"")</f>
        <v/>
      </c>
    </row>
    <row r="484" spans="2:2">
      <c r="B484" s="3" t="str">
        <f ca="1">IFERROR(__xludf.DUMMYFUNCTION("IF(ISBLANK(A484),"""",GOOGLETRANSLATE(A484,""en"",""fr""))"),"")</f>
        <v/>
      </c>
    </row>
    <row r="485" spans="2:2">
      <c r="B485" s="3" t="str">
        <f ca="1">IFERROR(__xludf.DUMMYFUNCTION("IF(ISBLANK(A485),"""",GOOGLETRANSLATE(A485,""en"",""fr""))"),"")</f>
        <v/>
      </c>
    </row>
    <row r="486" spans="2:2">
      <c r="B486" s="3" t="str">
        <f ca="1">IFERROR(__xludf.DUMMYFUNCTION("IF(ISBLANK(A486),"""",GOOGLETRANSLATE(A486,""en"",""fr""))"),"")</f>
        <v/>
      </c>
    </row>
    <row r="487" spans="2:2">
      <c r="B487" s="3" t="str">
        <f ca="1">IFERROR(__xludf.DUMMYFUNCTION("IF(ISBLANK(A487),"""",GOOGLETRANSLATE(A487,""en"",""fr""))"),"")</f>
        <v/>
      </c>
    </row>
    <row r="488" spans="2:2">
      <c r="B488" s="3" t="str">
        <f ca="1">IFERROR(__xludf.DUMMYFUNCTION("IF(ISBLANK(A488),"""",GOOGLETRANSLATE(A488,""en"",""fr""))"),"")</f>
        <v/>
      </c>
    </row>
    <row r="489" spans="2:2">
      <c r="B489" s="3" t="str">
        <f ca="1">IFERROR(__xludf.DUMMYFUNCTION("IF(ISBLANK(A489),"""",GOOGLETRANSLATE(A489,""en"",""fr""))"),"")</f>
        <v/>
      </c>
    </row>
    <row r="490" spans="2:2">
      <c r="B490" s="3" t="str">
        <f ca="1">IFERROR(__xludf.DUMMYFUNCTION("IF(ISBLANK(A490),"""",GOOGLETRANSLATE(A490,""en"",""fr""))"),"")</f>
        <v/>
      </c>
    </row>
    <row r="491" spans="2:2">
      <c r="B491" s="3" t="str">
        <f ca="1">IFERROR(__xludf.DUMMYFUNCTION("IF(ISBLANK(A491),"""",GOOGLETRANSLATE(A491,""en"",""fr""))"),"")</f>
        <v/>
      </c>
    </row>
    <row r="492" spans="2:2">
      <c r="B492" s="3" t="str">
        <f ca="1">IFERROR(__xludf.DUMMYFUNCTION("IF(ISBLANK(A492),"""",GOOGLETRANSLATE(A492,""en"",""fr""))"),"")</f>
        <v/>
      </c>
    </row>
    <row r="493" spans="2:2">
      <c r="B493" s="3" t="str">
        <f ca="1">IFERROR(__xludf.DUMMYFUNCTION("IF(ISBLANK(A493),"""",GOOGLETRANSLATE(A493,""en"",""fr""))"),"")</f>
        <v/>
      </c>
    </row>
    <row r="494" spans="2:2">
      <c r="B494" s="3" t="str">
        <f ca="1">IFERROR(__xludf.DUMMYFUNCTION("IF(ISBLANK(A494),"""",GOOGLETRANSLATE(A494,""en"",""fr""))"),"")</f>
        <v/>
      </c>
    </row>
    <row r="495" spans="2:2">
      <c r="B495" s="3" t="str">
        <f ca="1">IFERROR(__xludf.DUMMYFUNCTION("IF(ISBLANK(A495),"""",GOOGLETRANSLATE(A495,""en"",""fr""))"),"")</f>
        <v/>
      </c>
    </row>
    <row r="496" spans="2:2">
      <c r="B496" s="3" t="str">
        <f ca="1">IFERROR(__xludf.DUMMYFUNCTION("IF(ISBLANK(A496),"""",GOOGLETRANSLATE(A496,""en"",""fr""))"),"")</f>
        <v/>
      </c>
    </row>
    <row r="497" spans="2:2">
      <c r="B497" s="3" t="str">
        <f ca="1">IFERROR(__xludf.DUMMYFUNCTION("IF(ISBLANK(A497),"""",GOOGLETRANSLATE(A497,""en"",""fr""))"),"")</f>
        <v/>
      </c>
    </row>
    <row r="498" spans="2:2">
      <c r="B498" s="3" t="str">
        <f ca="1">IFERROR(__xludf.DUMMYFUNCTION("IF(ISBLANK(A498),"""",GOOGLETRANSLATE(A498,""en"",""fr""))"),"")</f>
        <v/>
      </c>
    </row>
    <row r="499" spans="2:2">
      <c r="B499" s="3" t="str">
        <f ca="1">IFERROR(__xludf.DUMMYFUNCTION("IF(ISBLANK(A499),"""",GOOGLETRANSLATE(A499,""en"",""fr""))"),"")</f>
        <v/>
      </c>
    </row>
    <row r="500" spans="2:2">
      <c r="B500" s="3" t="str">
        <f ca="1">IFERROR(__xludf.DUMMYFUNCTION("IF(ISBLANK(A500),"""",GOOGLETRANSLATE(A500,""en"",""fr""))"),"")</f>
        <v/>
      </c>
    </row>
    <row r="501" spans="2:2">
      <c r="B501" s="3" t="str">
        <f ca="1">IFERROR(__xludf.DUMMYFUNCTION("IF(ISBLANK(A501),"""",GOOGLETRANSLATE(A501,""en"",""fr""))"),"")</f>
        <v/>
      </c>
    </row>
    <row r="502" spans="2:2">
      <c r="B502" s="3" t="str">
        <f ca="1">IFERROR(__xludf.DUMMYFUNCTION("IF(ISBLANK(A502),"""",GOOGLETRANSLATE(A502,""en"",""fr""))"),"")</f>
        <v/>
      </c>
    </row>
    <row r="503" spans="2:2">
      <c r="B503" s="3" t="str">
        <f ca="1">IFERROR(__xludf.DUMMYFUNCTION("IF(ISBLANK(A503),"""",GOOGLETRANSLATE(A503,""en"",""fr""))"),"")</f>
        <v/>
      </c>
    </row>
    <row r="504" spans="2:2">
      <c r="B504" s="3" t="str">
        <f ca="1">IFERROR(__xludf.DUMMYFUNCTION("IF(ISBLANK(A504),"""",GOOGLETRANSLATE(A504,""en"",""fr""))"),"")</f>
        <v/>
      </c>
    </row>
    <row r="505" spans="2:2">
      <c r="B505" s="3" t="str">
        <f ca="1">IFERROR(__xludf.DUMMYFUNCTION("IF(ISBLANK(A505),"""",GOOGLETRANSLATE(A505,""en"",""fr""))"),"")</f>
        <v/>
      </c>
    </row>
    <row r="506" spans="2:2">
      <c r="B506" s="3" t="str">
        <f ca="1">IFERROR(__xludf.DUMMYFUNCTION("IF(ISBLANK(A506),"""",GOOGLETRANSLATE(A506,""en"",""fr""))"),"")</f>
        <v/>
      </c>
    </row>
    <row r="507" spans="2:2">
      <c r="B507" s="3" t="str">
        <f ca="1">IFERROR(__xludf.DUMMYFUNCTION("IF(ISBLANK(A507),"""",GOOGLETRANSLATE(A507,""en"",""fr""))"),"")</f>
        <v/>
      </c>
    </row>
    <row r="508" spans="2:2">
      <c r="B508" s="3" t="str">
        <f ca="1">IFERROR(__xludf.DUMMYFUNCTION("IF(ISBLANK(A508),"""",GOOGLETRANSLATE(A508,""en"",""fr""))"),"")</f>
        <v/>
      </c>
    </row>
    <row r="509" spans="2:2">
      <c r="B509" s="3" t="str">
        <f ca="1">IFERROR(__xludf.DUMMYFUNCTION("IF(ISBLANK(A509),"""",GOOGLETRANSLATE(A509,""en"",""fr""))"),"")</f>
        <v/>
      </c>
    </row>
    <row r="510" spans="2:2">
      <c r="B510" s="3" t="str">
        <f ca="1">IFERROR(__xludf.DUMMYFUNCTION("IF(ISBLANK(A510),"""",GOOGLETRANSLATE(A510,""en"",""fr""))"),"")</f>
        <v/>
      </c>
    </row>
    <row r="511" spans="2:2">
      <c r="B511" s="3" t="str">
        <f ca="1">IFERROR(__xludf.DUMMYFUNCTION("IF(ISBLANK(A511),"""",GOOGLETRANSLATE(A511,""en"",""fr""))"),"")</f>
        <v/>
      </c>
    </row>
    <row r="512" spans="2:2">
      <c r="B512" s="3" t="str">
        <f ca="1">IFERROR(__xludf.DUMMYFUNCTION("IF(ISBLANK(A512),"""",GOOGLETRANSLATE(A512,""en"",""fr""))"),"")</f>
        <v/>
      </c>
    </row>
    <row r="513" spans="2:2">
      <c r="B513" s="3" t="str">
        <f ca="1">IFERROR(__xludf.DUMMYFUNCTION("IF(ISBLANK(A513),"""",GOOGLETRANSLATE(A513,""en"",""fr""))"),"")</f>
        <v/>
      </c>
    </row>
    <row r="514" spans="2:2">
      <c r="B514" s="3" t="str">
        <f ca="1">IFERROR(__xludf.DUMMYFUNCTION("IF(ISBLANK(A514),"""",GOOGLETRANSLATE(A514,""en"",""fr""))"),"")</f>
        <v/>
      </c>
    </row>
    <row r="515" spans="2:2">
      <c r="B515" s="3" t="str">
        <f ca="1">IFERROR(__xludf.DUMMYFUNCTION("IF(ISBLANK(A515),"""",GOOGLETRANSLATE(A515,""en"",""fr""))"),"")</f>
        <v/>
      </c>
    </row>
    <row r="516" spans="2:2">
      <c r="B516" s="3" t="str">
        <f ca="1">IFERROR(__xludf.DUMMYFUNCTION("IF(ISBLANK(A516),"""",GOOGLETRANSLATE(A516,""en"",""fr""))"),"")</f>
        <v/>
      </c>
    </row>
    <row r="517" spans="2:2">
      <c r="B517" s="3" t="str">
        <f ca="1">IFERROR(__xludf.DUMMYFUNCTION("IF(ISBLANK(A517),"""",GOOGLETRANSLATE(A517,""en"",""fr""))"),"")</f>
        <v/>
      </c>
    </row>
    <row r="518" spans="2:2">
      <c r="B518" s="3" t="str">
        <f ca="1">IFERROR(__xludf.DUMMYFUNCTION("IF(ISBLANK(A518),"""",GOOGLETRANSLATE(A518,""en"",""fr""))"),"")</f>
        <v/>
      </c>
    </row>
    <row r="519" spans="2:2">
      <c r="B519" s="3" t="str">
        <f ca="1">IFERROR(__xludf.DUMMYFUNCTION("IF(ISBLANK(A519),"""",GOOGLETRANSLATE(A519,""en"",""fr""))"),"")</f>
        <v/>
      </c>
    </row>
    <row r="520" spans="2:2">
      <c r="B520" s="3" t="str">
        <f ca="1">IFERROR(__xludf.DUMMYFUNCTION("IF(ISBLANK(A520),"""",GOOGLETRANSLATE(A520,""en"",""fr""))"),"")</f>
        <v/>
      </c>
    </row>
    <row r="521" spans="2:2">
      <c r="B521" s="3" t="str">
        <f ca="1">IFERROR(__xludf.DUMMYFUNCTION("IF(ISBLANK(A521),"""",GOOGLETRANSLATE(A521,""en"",""fr""))"),"")</f>
        <v/>
      </c>
    </row>
    <row r="522" spans="2:2">
      <c r="B522" s="3" t="str">
        <f ca="1">IFERROR(__xludf.DUMMYFUNCTION("IF(ISBLANK(A522),"""",GOOGLETRANSLATE(A522,""en"",""fr""))"),"")</f>
        <v/>
      </c>
    </row>
    <row r="523" spans="2:2">
      <c r="B523" s="3" t="str">
        <f ca="1">IFERROR(__xludf.DUMMYFUNCTION("IF(ISBLANK(A523),"""",GOOGLETRANSLATE(A523,""en"",""fr""))"),"")</f>
        <v/>
      </c>
    </row>
    <row r="524" spans="2:2">
      <c r="B524" s="3" t="str">
        <f ca="1">IFERROR(__xludf.DUMMYFUNCTION("IF(ISBLANK(A524),"""",GOOGLETRANSLATE(A524,""en"",""fr""))"),"")</f>
        <v/>
      </c>
    </row>
    <row r="525" spans="2:2">
      <c r="B525" s="3" t="str">
        <f ca="1">IFERROR(__xludf.DUMMYFUNCTION("IF(ISBLANK(A525),"""",GOOGLETRANSLATE(A525,""en"",""fr""))"),"")</f>
        <v/>
      </c>
    </row>
    <row r="526" spans="2:2">
      <c r="B526" s="3" t="str">
        <f ca="1">IFERROR(__xludf.DUMMYFUNCTION("IF(ISBLANK(A526),"""",GOOGLETRANSLATE(A526,""en"",""fr""))"),"")</f>
        <v/>
      </c>
    </row>
    <row r="527" spans="2:2">
      <c r="B527" s="3" t="str">
        <f ca="1">IFERROR(__xludf.DUMMYFUNCTION("IF(ISBLANK(A527),"""",GOOGLETRANSLATE(A527,""en"",""fr""))"),"")</f>
        <v/>
      </c>
    </row>
    <row r="528" spans="2:2">
      <c r="B528" s="3" t="str">
        <f ca="1">IFERROR(__xludf.DUMMYFUNCTION("IF(ISBLANK(A528),"""",GOOGLETRANSLATE(A528,""en"",""fr""))"),"")</f>
        <v/>
      </c>
    </row>
    <row r="529" spans="2:2">
      <c r="B529" s="3" t="str">
        <f ca="1">IFERROR(__xludf.DUMMYFUNCTION("IF(ISBLANK(A529),"""",GOOGLETRANSLATE(A529,""en"",""fr""))"),"")</f>
        <v/>
      </c>
    </row>
    <row r="530" spans="2:2">
      <c r="B530" s="3" t="str">
        <f ca="1">IFERROR(__xludf.DUMMYFUNCTION("IF(ISBLANK(A530),"""",GOOGLETRANSLATE(A530,""en"",""fr""))"),"")</f>
        <v/>
      </c>
    </row>
    <row r="531" spans="2:2">
      <c r="B531" s="3" t="str">
        <f ca="1">IFERROR(__xludf.DUMMYFUNCTION("IF(ISBLANK(A531),"""",GOOGLETRANSLATE(A531,""en"",""fr""))"),"")</f>
        <v/>
      </c>
    </row>
    <row r="532" spans="2:2">
      <c r="B532" s="3" t="str">
        <f ca="1">IFERROR(__xludf.DUMMYFUNCTION("IF(ISBLANK(A532),"""",GOOGLETRANSLATE(A532,""en"",""fr""))"),"")</f>
        <v/>
      </c>
    </row>
    <row r="533" spans="2:2">
      <c r="B533" s="3" t="str">
        <f ca="1">IFERROR(__xludf.DUMMYFUNCTION("IF(ISBLANK(A533),"""",GOOGLETRANSLATE(A533,""en"",""fr""))"),"")</f>
        <v/>
      </c>
    </row>
    <row r="534" spans="2:2">
      <c r="B534" s="3" t="str">
        <f ca="1">IFERROR(__xludf.DUMMYFUNCTION("IF(ISBLANK(A534),"""",GOOGLETRANSLATE(A534,""en"",""fr""))"),"")</f>
        <v/>
      </c>
    </row>
    <row r="535" spans="2:2">
      <c r="B535" s="3" t="str">
        <f ca="1">IFERROR(__xludf.DUMMYFUNCTION("IF(ISBLANK(A535),"""",GOOGLETRANSLATE(A535,""en"",""fr""))"),"")</f>
        <v/>
      </c>
    </row>
    <row r="536" spans="2:2">
      <c r="B536" s="3" t="str">
        <f ca="1">IFERROR(__xludf.DUMMYFUNCTION("IF(ISBLANK(A536),"""",GOOGLETRANSLATE(A536,""en"",""fr""))"),"")</f>
        <v/>
      </c>
    </row>
    <row r="537" spans="2:2">
      <c r="B537" s="3" t="str">
        <f ca="1">IFERROR(__xludf.DUMMYFUNCTION("IF(ISBLANK(A537),"""",GOOGLETRANSLATE(A537,""en"",""fr""))"),"")</f>
        <v/>
      </c>
    </row>
    <row r="538" spans="2:2">
      <c r="B538" s="3" t="str">
        <f ca="1">IFERROR(__xludf.DUMMYFUNCTION("IF(ISBLANK(A538),"""",GOOGLETRANSLATE(A538,""en"",""fr""))"),"")</f>
        <v/>
      </c>
    </row>
    <row r="539" spans="2:2">
      <c r="B539" s="3" t="str">
        <f ca="1">IFERROR(__xludf.DUMMYFUNCTION("IF(ISBLANK(A539),"""",GOOGLETRANSLATE(A539,""en"",""fr""))"),"")</f>
        <v/>
      </c>
    </row>
    <row r="540" spans="2:2">
      <c r="B540" s="3" t="str">
        <f ca="1">IFERROR(__xludf.DUMMYFUNCTION("IF(ISBLANK(A540),"""",GOOGLETRANSLATE(A540,""en"",""fr""))"),"")</f>
        <v/>
      </c>
    </row>
    <row r="541" spans="2:2">
      <c r="B541" s="3" t="str">
        <f ca="1">IFERROR(__xludf.DUMMYFUNCTION("IF(ISBLANK(A541),"""",GOOGLETRANSLATE(A541,""en"",""fr""))"),"")</f>
        <v/>
      </c>
    </row>
    <row r="542" spans="2:2">
      <c r="B542" s="3" t="str">
        <f ca="1">IFERROR(__xludf.DUMMYFUNCTION("IF(ISBLANK(A542),"""",GOOGLETRANSLATE(A542,""en"",""fr""))"),"")</f>
        <v/>
      </c>
    </row>
    <row r="543" spans="2:2">
      <c r="B543" s="3" t="str">
        <f ca="1">IFERROR(__xludf.DUMMYFUNCTION("IF(ISBLANK(A543),"""",GOOGLETRANSLATE(A543,""en"",""fr""))"),"")</f>
        <v/>
      </c>
    </row>
    <row r="544" spans="2:2">
      <c r="B544" s="3" t="str">
        <f ca="1">IFERROR(__xludf.DUMMYFUNCTION("IF(ISBLANK(A544),"""",GOOGLETRANSLATE(A544,""en"",""fr""))"),"")</f>
        <v/>
      </c>
    </row>
    <row r="545" spans="2:2">
      <c r="B545" s="3" t="str">
        <f ca="1">IFERROR(__xludf.DUMMYFUNCTION("IF(ISBLANK(A545),"""",GOOGLETRANSLATE(A545,""en"",""fr""))"),"")</f>
        <v/>
      </c>
    </row>
    <row r="546" spans="2:2">
      <c r="B546" s="3" t="str">
        <f ca="1">IFERROR(__xludf.DUMMYFUNCTION("IF(ISBLANK(A546),"""",GOOGLETRANSLATE(A546,""en"",""fr""))"),"")</f>
        <v/>
      </c>
    </row>
    <row r="547" spans="2:2">
      <c r="B547" s="3" t="str">
        <f ca="1">IFERROR(__xludf.DUMMYFUNCTION("IF(ISBLANK(A547),"""",GOOGLETRANSLATE(A547,""en"",""fr""))"),"")</f>
        <v/>
      </c>
    </row>
    <row r="548" spans="2:2">
      <c r="B548" s="3" t="str">
        <f ca="1">IFERROR(__xludf.DUMMYFUNCTION("IF(ISBLANK(A548),"""",GOOGLETRANSLATE(A548,""en"",""fr""))"),"")</f>
        <v/>
      </c>
    </row>
    <row r="549" spans="2:2">
      <c r="B549" s="3" t="str">
        <f ca="1">IFERROR(__xludf.DUMMYFUNCTION("IF(ISBLANK(A549),"""",GOOGLETRANSLATE(A549,""en"",""fr""))"),"")</f>
        <v/>
      </c>
    </row>
    <row r="550" spans="2:2">
      <c r="B550" s="3" t="str">
        <f ca="1">IFERROR(__xludf.DUMMYFUNCTION("IF(ISBLANK(A550),"""",GOOGLETRANSLATE(A550,""en"",""fr""))"),"")</f>
        <v/>
      </c>
    </row>
    <row r="551" spans="2:2">
      <c r="B551" s="3" t="str">
        <f ca="1">IFERROR(__xludf.DUMMYFUNCTION("IF(ISBLANK(A551),"""",GOOGLETRANSLATE(A551,""en"",""fr""))"),"")</f>
        <v/>
      </c>
    </row>
    <row r="552" spans="2:2">
      <c r="B552" s="3" t="str">
        <f ca="1">IFERROR(__xludf.DUMMYFUNCTION("IF(ISBLANK(A552),"""",GOOGLETRANSLATE(A552,""en"",""fr""))"),"")</f>
        <v/>
      </c>
    </row>
    <row r="553" spans="2:2">
      <c r="B553" s="3" t="str">
        <f ca="1">IFERROR(__xludf.DUMMYFUNCTION("IF(ISBLANK(A553),"""",GOOGLETRANSLATE(A553,""en"",""fr""))"),"")</f>
        <v/>
      </c>
    </row>
    <row r="554" spans="2:2">
      <c r="B554" s="3" t="str">
        <f ca="1">IFERROR(__xludf.DUMMYFUNCTION("IF(ISBLANK(A554),"""",GOOGLETRANSLATE(A554,""en"",""fr""))"),"")</f>
        <v/>
      </c>
    </row>
    <row r="555" spans="2:2">
      <c r="B555" s="3" t="str">
        <f ca="1">IFERROR(__xludf.DUMMYFUNCTION("IF(ISBLANK(A555),"""",GOOGLETRANSLATE(A555,""en"",""fr""))"),"")</f>
        <v/>
      </c>
    </row>
    <row r="556" spans="2:2">
      <c r="B556" s="3" t="str">
        <f ca="1">IFERROR(__xludf.DUMMYFUNCTION("IF(ISBLANK(A556),"""",GOOGLETRANSLATE(A556,""en"",""fr""))"),"")</f>
        <v/>
      </c>
    </row>
    <row r="557" spans="2:2">
      <c r="B557" s="3" t="str">
        <f ca="1">IFERROR(__xludf.DUMMYFUNCTION("IF(ISBLANK(A557),"""",GOOGLETRANSLATE(A557,""en"",""fr""))"),"")</f>
        <v/>
      </c>
    </row>
    <row r="558" spans="2:2">
      <c r="B558" s="3" t="str">
        <f ca="1">IFERROR(__xludf.DUMMYFUNCTION("IF(ISBLANK(A558),"""",GOOGLETRANSLATE(A558,""en"",""fr""))"),"")</f>
        <v/>
      </c>
    </row>
    <row r="559" spans="2:2">
      <c r="B559" s="3" t="str">
        <f ca="1">IFERROR(__xludf.DUMMYFUNCTION("IF(ISBLANK(A559),"""",GOOGLETRANSLATE(A559,""en"",""fr""))"),"")</f>
        <v/>
      </c>
    </row>
    <row r="560" spans="2:2">
      <c r="B560" s="3" t="str">
        <f ca="1">IFERROR(__xludf.DUMMYFUNCTION("IF(ISBLANK(A560),"""",GOOGLETRANSLATE(A560,""en"",""fr""))"),"")</f>
        <v/>
      </c>
    </row>
    <row r="561" spans="2:2">
      <c r="B561" s="3" t="str">
        <f ca="1">IFERROR(__xludf.DUMMYFUNCTION("IF(ISBLANK(A561),"""",GOOGLETRANSLATE(A561,""en"",""fr""))"),"")</f>
        <v/>
      </c>
    </row>
    <row r="562" spans="2:2">
      <c r="B562" s="3" t="str">
        <f ca="1">IFERROR(__xludf.DUMMYFUNCTION("IF(ISBLANK(A562),"""",GOOGLETRANSLATE(A562,""en"",""fr""))"),"")</f>
        <v/>
      </c>
    </row>
    <row r="563" spans="2:2">
      <c r="B563" s="3" t="str">
        <f ca="1">IFERROR(__xludf.DUMMYFUNCTION("IF(ISBLANK(A563),"""",GOOGLETRANSLATE(A563,""en"",""fr""))"),"")</f>
        <v/>
      </c>
    </row>
    <row r="564" spans="2:2">
      <c r="B564" s="3" t="str">
        <f ca="1">IFERROR(__xludf.DUMMYFUNCTION("IF(ISBLANK(A564),"""",GOOGLETRANSLATE(A564,""en"",""fr""))"),"")</f>
        <v/>
      </c>
    </row>
    <row r="565" spans="2:2">
      <c r="B565" s="3" t="str">
        <f ca="1">IFERROR(__xludf.DUMMYFUNCTION("IF(ISBLANK(A565),"""",GOOGLETRANSLATE(A565,""en"",""fr""))"),"")</f>
        <v/>
      </c>
    </row>
    <row r="566" spans="2:2">
      <c r="B566" s="3" t="str">
        <f ca="1">IFERROR(__xludf.DUMMYFUNCTION("IF(ISBLANK(A566),"""",GOOGLETRANSLATE(A566,""en"",""fr""))"),"")</f>
        <v/>
      </c>
    </row>
    <row r="567" spans="2:2">
      <c r="B567" s="3" t="str">
        <f ca="1">IFERROR(__xludf.DUMMYFUNCTION("IF(ISBLANK(A567),"""",GOOGLETRANSLATE(A567,""en"",""fr""))"),"")</f>
        <v/>
      </c>
    </row>
    <row r="568" spans="2:2">
      <c r="B568" s="3" t="str">
        <f ca="1">IFERROR(__xludf.DUMMYFUNCTION("IF(ISBLANK(A568),"""",GOOGLETRANSLATE(A568,""en"",""fr""))"),"")</f>
        <v/>
      </c>
    </row>
    <row r="569" spans="2:2">
      <c r="B569" s="3" t="str">
        <f ca="1">IFERROR(__xludf.DUMMYFUNCTION("IF(ISBLANK(A569),"""",GOOGLETRANSLATE(A569,""en"",""fr""))"),"")</f>
        <v/>
      </c>
    </row>
    <row r="570" spans="2:2">
      <c r="B570" s="3" t="str">
        <f ca="1">IFERROR(__xludf.DUMMYFUNCTION("IF(ISBLANK(A570),"""",GOOGLETRANSLATE(A570,""en"",""fr""))"),"")</f>
        <v/>
      </c>
    </row>
    <row r="571" spans="2:2">
      <c r="B571" s="3" t="str">
        <f ca="1">IFERROR(__xludf.DUMMYFUNCTION("IF(ISBLANK(A571),"""",GOOGLETRANSLATE(A571,""en"",""fr""))"),"")</f>
        <v/>
      </c>
    </row>
    <row r="572" spans="2:2">
      <c r="B572" s="3" t="str">
        <f ca="1">IFERROR(__xludf.DUMMYFUNCTION("IF(ISBLANK(A572),"""",GOOGLETRANSLATE(A572,""en"",""fr""))"),"")</f>
        <v/>
      </c>
    </row>
    <row r="573" spans="2:2">
      <c r="B573" s="3" t="str">
        <f ca="1">IFERROR(__xludf.DUMMYFUNCTION("IF(ISBLANK(A573),"""",GOOGLETRANSLATE(A573,""en"",""fr""))"),"")</f>
        <v/>
      </c>
    </row>
    <row r="574" spans="2:2">
      <c r="B574" s="3" t="str">
        <f ca="1">IFERROR(__xludf.DUMMYFUNCTION("IF(ISBLANK(A574),"""",GOOGLETRANSLATE(A574,""en"",""fr""))"),"")</f>
        <v/>
      </c>
    </row>
    <row r="575" spans="2:2">
      <c r="B575" s="3" t="str">
        <f ca="1">IFERROR(__xludf.DUMMYFUNCTION("IF(ISBLANK(A575),"""",GOOGLETRANSLATE(A575,""en"",""fr""))"),"")</f>
        <v/>
      </c>
    </row>
    <row r="576" spans="2:2">
      <c r="B576" s="3" t="str">
        <f ca="1">IFERROR(__xludf.DUMMYFUNCTION("IF(ISBLANK(A576),"""",GOOGLETRANSLATE(A576,""en"",""fr""))"),"")</f>
        <v/>
      </c>
    </row>
    <row r="577" spans="2:2">
      <c r="B577" s="3" t="str">
        <f ca="1">IFERROR(__xludf.DUMMYFUNCTION("IF(ISBLANK(A577),"""",GOOGLETRANSLATE(A577,""en"",""fr""))"),"")</f>
        <v/>
      </c>
    </row>
    <row r="578" spans="2:2">
      <c r="B578" s="3" t="str">
        <f ca="1">IFERROR(__xludf.DUMMYFUNCTION("IF(ISBLANK(A578),"""",GOOGLETRANSLATE(A578,""en"",""fr""))"),"")</f>
        <v/>
      </c>
    </row>
    <row r="579" spans="2:2">
      <c r="B579" s="3" t="str">
        <f ca="1">IFERROR(__xludf.DUMMYFUNCTION("IF(ISBLANK(A579),"""",GOOGLETRANSLATE(A579,""en"",""fr""))"),"")</f>
        <v/>
      </c>
    </row>
    <row r="580" spans="2:2">
      <c r="B580" s="3" t="str">
        <f ca="1">IFERROR(__xludf.DUMMYFUNCTION("IF(ISBLANK(A580),"""",GOOGLETRANSLATE(A580,""en"",""fr""))"),"")</f>
        <v/>
      </c>
    </row>
    <row r="581" spans="2:2">
      <c r="B581" s="3" t="str">
        <f ca="1">IFERROR(__xludf.DUMMYFUNCTION("IF(ISBLANK(A581),"""",GOOGLETRANSLATE(A581,""en"",""fr""))"),"")</f>
        <v/>
      </c>
    </row>
    <row r="582" spans="2:2">
      <c r="B582" s="3" t="str">
        <f ca="1">IFERROR(__xludf.DUMMYFUNCTION("IF(ISBLANK(A582),"""",GOOGLETRANSLATE(A582,""en"",""fr""))"),"")</f>
        <v/>
      </c>
    </row>
    <row r="583" spans="2:2">
      <c r="B583" s="3" t="str">
        <f ca="1">IFERROR(__xludf.DUMMYFUNCTION("IF(ISBLANK(A583),"""",GOOGLETRANSLATE(A583,""en"",""fr""))"),"")</f>
        <v/>
      </c>
    </row>
    <row r="584" spans="2:2">
      <c r="B584" s="3" t="str">
        <f ca="1">IFERROR(__xludf.DUMMYFUNCTION("IF(ISBLANK(A584),"""",GOOGLETRANSLATE(A584,""en"",""fr""))"),"")</f>
        <v/>
      </c>
    </row>
    <row r="585" spans="2:2">
      <c r="B585" s="3" t="str">
        <f ca="1">IFERROR(__xludf.DUMMYFUNCTION("IF(ISBLANK(A585),"""",GOOGLETRANSLATE(A585,""en"",""fr""))"),"")</f>
        <v/>
      </c>
    </row>
    <row r="586" spans="2:2">
      <c r="B586" s="3" t="str">
        <f ca="1">IFERROR(__xludf.DUMMYFUNCTION("IF(ISBLANK(A586),"""",GOOGLETRANSLATE(A586,""en"",""fr""))"),"")</f>
        <v/>
      </c>
    </row>
    <row r="587" spans="2:2">
      <c r="B587" s="3" t="str">
        <f ca="1">IFERROR(__xludf.DUMMYFUNCTION("IF(ISBLANK(A587),"""",GOOGLETRANSLATE(A587,""en"",""fr""))"),"")</f>
        <v/>
      </c>
    </row>
    <row r="588" spans="2:2">
      <c r="B588" s="3" t="str">
        <f ca="1">IFERROR(__xludf.DUMMYFUNCTION("IF(ISBLANK(A588),"""",GOOGLETRANSLATE(A588,""en"",""fr""))"),"")</f>
        <v/>
      </c>
    </row>
    <row r="589" spans="2:2">
      <c r="B589" s="3" t="str">
        <f ca="1">IFERROR(__xludf.DUMMYFUNCTION("IF(ISBLANK(A589),"""",GOOGLETRANSLATE(A589,""en"",""fr""))"),"")</f>
        <v/>
      </c>
    </row>
    <row r="590" spans="2:2">
      <c r="B590" s="3" t="str">
        <f ca="1">IFERROR(__xludf.DUMMYFUNCTION("IF(ISBLANK(A590),"""",GOOGLETRANSLATE(A590,""en"",""fr""))"),"")</f>
        <v/>
      </c>
    </row>
    <row r="591" spans="2:2">
      <c r="B591" s="3" t="str">
        <f ca="1">IFERROR(__xludf.DUMMYFUNCTION("IF(ISBLANK(A591),"""",GOOGLETRANSLATE(A591,""en"",""fr""))"),"")</f>
        <v/>
      </c>
    </row>
    <row r="592" spans="2:2">
      <c r="B592" s="3" t="str">
        <f ca="1">IFERROR(__xludf.DUMMYFUNCTION("IF(ISBLANK(A592),"""",GOOGLETRANSLATE(A592,""en"",""fr""))"),"")</f>
        <v/>
      </c>
    </row>
    <row r="593" spans="2:2">
      <c r="B593" s="3" t="str">
        <f ca="1">IFERROR(__xludf.DUMMYFUNCTION("IF(ISBLANK(A593),"""",GOOGLETRANSLATE(A593,""en"",""fr""))"),"")</f>
        <v/>
      </c>
    </row>
    <row r="594" spans="2:2">
      <c r="B594" s="3" t="str">
        <f ca="1">IFERROR(__xludf.DUMMYFUNCTION("IF(ISBLANK(A594),"""",GOOGLETRANSLATE(A594,""en"",""fr""))"),"")</f>
        <v/>
      </c>
    </row>
    <row r="595" spans="2:2">
      <c r="B595" s="3" t="str">
        <f ca="1">IFERROR(__xludf.DUMMYFUNCTION("IF(ISBLANK(A595),"""",GOOGLETRANSLATE(A595,""en"",""fr""))"),"")</f>
        <v/>
      </c>
    </row>
    <row r="596" spans="2:2">
      <c r="B596" s="3" t="str">
        <f ca="1">IFERROR(__xludf.DUMMYFUNCTION("IF(ISBLANK(A596),"""",GOOGLETRANSLATE(A596,""en"",""fr""))"),"")</f>
        <v/>
      </c>
    </row>
    <row r="597" spans="2:2">
      <c r="B597" s="3" t="str">
        <f ca="1">IFERROR(__xludf.DUMMYFUNCTION("IF(ISBLANK(A597),"""",GOOGLETRANSLATE(A597,""en"",""fr""))"),"")</f>
        <v/>
      </c>
    </row>
    <row r="598" spans="2:2">
      <c r="B598" s="3" t="str">
        <f ca="1">IFERROR(__xludf.DUMMYFUNCTION("IF(ISBLANK(A598),"""",GOOGLETRANSLATE(A598,""en"",""fr""))"),"")</f>
        <v/>
      </c>
    </row>
    <row r="599" spans="2:2">
      <c r="B599" s="3" t="str">
        <f ca="1">IFERROR(__xludf.DUMMYFUNCTION("IF(ISBLANK(A599),"""",GOOGLETRANSLATE(A599,""en"",""fr""))"),"")</f>
        <v/>
      </c>
    </row>
    <row r="600" spans="2:2">
      <c r="B600" s="3" t="str">
        <f ca="1">IFERROR(__xludf.DUMMYFUNCTION("IF(ISBLANK(A600),"""",GOOGLETRANSLATE(A600,""en"",""fr""))"),"")</f>
        <v/>
      </c>
    </row>
    <row r="601" spans="2:2">
      <c r="B601" s="3" t="str">
        <f ca="1">IFERROR(__xludf.DUMMYFUNCTION("IF(ISBLANK(A601),"""",GOOGLETRANSLATE(A601,""en"",""fr""))"),"")</f>
        <v/>
      </c>
    </row>
    <row r="602" spans="2:2">
      <c r="B602" s="3" t="str">
        <f ca="1">IFERROR(__xludf.DUMMYFUNCTION("IF(ISBLANK(A602),"""",GOOGLETRANSLATE(A602,""en"",""fr""))"),"")</f>
        <v/>
      </c>
    </row>
    <row r="603" spans="2:2">
      <c r="B603" s="3" t="str">
        <f ca="1">IFERROR(__xludf.DUMMYFUNCTION("IF(ISBLANK(A603),"""",GOOGLETRANSLATE(A603,""en"",""fr""))"),"")</f>
        <v/>
      </c>
    </row>
    <row r="604" spans="2:2">
      <c r="B604" s="3" t="str">
        <f ca="1">IFERROR(__xludf.DUMMYFUNCTION("IF(ISBLANK(A604),"""",GOOGLETRANSLATE(A604,""en"",""fr""))"),"")</f>
        <v/>
      </c>
    </row>
    <row r="605" spans="2:2">
      <c r="B605" s="3" t="str">
        <f ca="1">IFERROR(__xludf.DUMMYFUNCTION("IF(ISBLANK(A605),"""",GOOGLETRANSLATE(A605,""en"",""fr""))"),"")</f>
        <v/>
      </c>
    </row>
    <row r="606" spans="2:2">
      <c r="B606" s="3" t="str">
        <f ca="1">IFERROR(__xludf.DUMMYFUNCTION("IF(ISBLANK(A606),"""",GOOGLETRANSLATE(A606,""en"",""fr""))"),"")</f>
        <v/>
      </c>
    </row>
    <row r="607" spans="2:2">
      <c r="B607" s="3" t="str">
        <f ca="1">IFERROR(__xludf.DUMMYFUNCTION("IF(ISBLANK(A607),"""",GOOGLETRANSLATE(A607,""en"",""fr""))"),"")</f>
        <v/>
      </c>
    </row>
    <row r="608" spans="2:2">
      <c r="B608" s="3" t="str">
        <f ca="1">IFERROR(__xludf.DUMMYFUNCTION("IF(ISBLANK(A608),"""",GOOGLETRANSLATE(A608,""en"",""fr""))"),"")</f>
        <v/>
      </c>
    </row>
    <row r="609" spans="2:2">
      <c r="B609" s="3" t="str">
        <f ca="1">IFERROR(__xludf.DUMMYFUNCTION("IF(ISBLANK(A609),"""",GOOGLETRANSLATE(A609,""en"",""fr""))"),"")</f>
        <v/>
      </c>
    </row>
    <row r="610" spans="2:2">
      <c r="B610" s="3" t="str">
        <f ca="1">IFERROR(__xludf.DUMMYFUNCTION("IF(ISBLANK(A610),"""",GOOGLETRANSLATE(A610,""en"",""fr""))"),"")</f>
        <v/>
      </c>
    </row>
    <row r="611" spans="2:2">
      <c r="B611" s="3" t="str">
        <f ca="1">IFERROR(__xludf.DUMMYFUNCTION("IF(ISBLANK(A611),"""",GOOGLETRANSLATE(A611,""en"",""fr""))"),"")</f>
        <v/>
      </c>
    </row>
    <row r="612" spans="2:2">
      <c r="B612" s="3" t="str">
        <f ca="1">IFERROR(__xludf.DUMMYFUNCTION("IF(ISBLANK(A612),"""",GOOGLETRANSLATE(A612,""en"",""fr""))"),"")</f>
        <v/>
      </c>
    </row>
    <row r="613" spans="2:2">
      <c r="B613" s="3" t="str">
        <f ca="1">IFERROR(__xludf.DUMMYFUNCTION("IF(ISBLANK(A613),"""",GOOGLETRANSLATE(A613,""en"",""fr""))"),"")</f>
        <v/>
      </c>
    </row>
    <row r="614" spans="2:2">
      <c r="B614" s="3" t="str">
        <f ca="1">IFERROR(__xludf.DUMMYFUNCTION("IF(ISBLANK(A614),"""",GOOGLETRANSLATE(A614,""en"",""fr""))"),"")</f>
        <v/>
      </c>
    </row>
    <row r="615" spans="2:2">
      <c r="B615" s="3" t="str">
        <f ca="1">IFERROR(__xludf.DUMMYFUNCTION("IF(ISBLANK(A615),"""",GOOGLETRANSLATE(A615,""en"",""fr""))"),"")</f>
        <v/>
      </c>
    </row>
    <row r="616" spans="2:2">
      <c r="B616" s="3" t="str">
        <f ca="1">IFERROR(__xludf.DUMMYFUNCTION("IF(ISBLANK(A616),"""",GOOGLETRANSLATE(A616,""en"",""fr""))"),"")</f>
        <v/>
      </c>
    </row>
    <row r="617" spans="2:2">
      <c r="B617" s="3" t="str">
        <f ca="1">IFERROR(__xludf.DUMMYFUNCTION("IF(ISBLANK(A617),"""",GOOGLETRANSLATE(A617,""en"",""fr""))"),"")</f>
        <v/>
      </c>
    </row>
    <row r="618" spans="2:2">
      <c r="B618" s="3" t="str">
        <f ca="1">IFERROR(__xludf.DUMMYFUNCTION("IF(ISBLANK(A618),"""",GOOGLETRANSLATE(A618,""en"",""fr""))"),"")</f>
        <v/>
      </c>
    </row>
    <row r="619" spans="2:2">
      <c r="B619" s="3" t="str">
        <f ca="1">IFERROR(__xludf.DUMMYFUNCTION("IF(ISBLANK(A619),"""",GOOGLETRANSLATE(A619,""en"",""fr""))"),"")</f>
        <v/>
      </c>
    </row>
    <row r="620" spans="2:2">
      <c r="B620" s="3" t="str">
        <f ca="1">IFERROR(__xludf.DUMMYFUNCTION("IF(ISBLANK(A620),"""",GOOGLETRANSLATE(A620,""en"",""fr""))"),"")</f>
        <v/>
      </c>
    </row>
    <row r="621" spans="2:2">
      <c r="B621" s="3" t="str">
        <f ca="1">IFERROR(__xludf.DUMMYFUNCTION("IF(ISBLANK(A621),"""",GOOGLETRANSLATE(A621,""en"",""fr""))"),"")</f>
        <v/>
      </c>
    </row>
    <row r="622" spans="2:2">
      <c r="B622" s="3" t="str">
        <f ca="1">IFERROR(__xludf.DUMMYFUNCTION("IF(ISBLANK(A622),"""",GOOGLETRANSLATE(A622,""en"",""fr""))"),"")</f>
        <v/>
      </c>
    </row>
    <row r="623" spans="2:2">
      <c r="B623" s="3" t="str">
        <f ca="1">IFERROR(__xludf.DUMMYFUNCTION("IF(ISBLANK(A623),"""",GOOGLETRANSLATE(A623,""en"",""fr""))"),"")</f>
        <v/>
      </c>
    </row>
    <row r="624" spans="2:2">
      <c r="B624" s="3" t="str">
        <f ca="1">IFERROR(__xludf.DUMMYFUNCTION("IF(ISBLANK(A624),"""",GOOGLETRANSLATE(A624,""en"",""fr""))"),"")</f>
        <v/>
      </c>
    </row>
    <row r="625" spans="2:2">
      <c r="B625" s="3" t="str">
        <f ca="1">IFERROR(__xludf.DUMMYFUNCTION("IF(ISBLANK(A625),"""",GOOGLETRANSLATE(A625,""en"",""fr""))"),"")</f>
        <v/>
      </c>
    </row>
    <row r="626" spans="2:2">
      <c r="B626" s="3" t="str">
        <f ca="1">IFERROR(__xludf.DUMMYFUNCTION("IF(ISBLANK(A626),"""",GOOGLETRANSLATE(A626,""en"",""fr""))"),"")</f>
        <v/>
      </c>
    </row>
    <row r="627" spans="2:2">
      <c r="B627" s="3" t="str">
        <f ca="1">IFERROR(__xludf.DUMMYFUNCTION("IF(ISBLANK(A627),"""",GOOGLETRANSLATE(A627,""en"",""fr""))"),"")</f>
        <v/>
      </c>
    </row>
    <row r="628" spans="2:2">
      <c r="B628" s="3" t="str">
        <f ca="1">IFERROR(__xludf.DUMMYFUNCTION("IF(ISBLANK(A628),"""",GOOGLETRANSLATE(A628,""en"",""fr""))"),"")</f>
        <v/>
      </c>
    </row>
    <row r="629" spans="2:2">
      <c r="B629" s="3" t="str">
        <f ca="1">IFERROR(__xludf.DUMMYFUNCTION("IF(ISBLANK(A629),"""",GOOGLETRANSLATE(A629,""en"",""fr""))"),"")</f>
        <v/>
      </c>
    </row>
    <row r="630" spans="2:2">
      <c r="B630" s="3" t="str">
        <f ca="1">IFERROR(__xludf.DUMMYFUNCTION("IF(ISBLANK(A630),"""",GOOGLETRANSLATE(A630,""en"",""fr""))"),"")</f>
        <v/>
      </c>
    </row>
    <row r="631" spans="2:2">
      <c r="B631" s="3" t="str">
        <f ca="1">IFERROR(__xludf.DUMMYFUNCTION("IF(ISBLANK(A631),"""",GOOGLETRANSLATE(A631,""en"",""fr""))"),"")</f>
        <v/>
      </c>
    </row>
    <row r="632" spans="2:2">
      <c r="B632" s="3" t="str">
        <f ca="1">IFERROR(__xludf.DUMMYFUNCTION("IF(ISBLANK(A632),"""",GOOGLETRANSLATE(A632,""en"",""fr""))"),"")</f>
        <v/>
      </c>
    </row>
    <row r="633" spans="2:2">
      <c r="B633" s="3" t="str">
        <f ca="1">IFERROR(__xludf.DUMMYFUNCTION("IF(ISBLANK(A633),"""",GOOGLETRANSLATE(A633,""en"",""fr""))"),"")</f>
        <v/>
      </c>
    </row>
    <row r="634" spans="2:2">
      <c r="B634" s="3" t="str">
        <f ca="1">IFERROR(__xludf.DUMMYFUNCTION("IF(ISBLANK(A634),"""",GOOGLETRANSLATE(A634,""en"",""fr""))"),"")</f>
        <v/>
      </c>
    </row>
    <row r="635" spans="2:2">
      <c r="B635" s="3" t="str">
        <f ca="1">IFERROR(__xludf.DUMMYFUNCTION("IF(ISBLANK(A635),"""",GOOGLETRANSLATE(A635,""en"",""fr""))"),"")</f>
        <v/>
      </c>
    </row>
    <row r="636" spans="2:2">
      <c r="B636" s="3" t="str">
        <f ca="1">IFERROR(__xludf.DUMMYFUNCTION("IF(ISBLANK(A636),"""",GOOGLETRANSLATE(A636,""en"",""fr""))"),"")</f>
        <v/>
      </c>
    </row>
    <row r="637" spans="2:2">
      <c r="B637" s="3" t="str">
        <f ca="1">IFERROR(__xludf.DUMMYFUNCTION("IF(ISBLANK(A637),"""",GOOGLETRANSLATE(A637,""en"",""fr""))"),"")</f>
        <v/>
      </c>
    </row>
    <row r="638" spans="2:2">
      <c r="B638" s="3" t="str">
        <f ca="1">IFERROR(__xludf.DUMMYFUNCTION("IF(ISBLANK(A638),"""",GOOGLETRANSLATE(A638,""en"",""fr""))"),"")</f>
        <v/>
      </c>
    </row>
    <row r="639" spans="2:2">
      <c r="B639" s="3" t="str">
        <f ca="1">IFERROR(__xludf.DUMMYFUNCTION("IF(ISBLANK(A639),"""",GOOGLETRANSLATE(A639,""en"",""fr""))"),"")</f>
        <v/>
      </c>
    </row>
    <row r="640" spans="2:2">
      <c r="B640" s="3" t="str">
        <f ca="1">IFERROR(__xludf.DUMMYFUNCTION("IF(ISBLANK(A640),"""",GOOGLETRANSLATE(A640,""en"",""fr""))"),"")</f>
        <v/>
      </c>
    </row>
    <row r="641" spans="2:2">
      <c r="B641" s="3" t="str">
        <f ca="1">IFERROR(__xludf.DUMMYFUNCTION("IF(ISBLANK(A641),"""",GOOGLETRANSLATE(A641,""en"",""fr""))"),"")</f>
        <v/>
      </c>
    </row>
    <row r="642" spans="2:2">
      <c r="B642" s="3" t="str">
        <f ca="1">IFERROR(__xludf.DUMMYFUNCTION("IF(ISBLANK(A642),"""",GOOGLETRANSLATE(A642,""en"",""fr""))"),"")</f>
        <v/>
      </c>
    </row>
    <row r="643" spans="2:2">
      <c r="B643" s="3" t="str">
        <f ca="1">IFERROR(__xludf.DUMMYFUNCTION("IF(ISBLANK(A643),"""",GOOGLETRANSLATE(A643,""en"",""fr""))"),"")</f>
        <v/>
      </c>
    </row>
    <row r="644" spans="2:2">
      <c r="B644" s="3" t="str">
        <f ca="1">IFERROR(__xludf.DUMMYFUNCTION("IF(ISBLANK(A644),"""",GOOGLETRANSLATE(A644,""en"",""fr""))"),"")</f>
        <v/>
      </c>
    </row>
    <row r="645" spans="2:2">
      <c r="B645" s="3" t="str">
        <f ca="1">IFERROR(__xludf.DUMMYFUNCTION("IF(ISBLANK(A645),"""",GOOGLETRANSLATE(A645,""en"",""fr""))"),"")</f>
        <v/>
      </c>
    </row>
    <row r="646" spans="2:2">
      <c r="B646" s="3" t="str">
        <f ca="1">IFERROR(__xludf.DUMMYFUNCTION("IF(ISBLANK(A646),"""",GOOGLETRANSLATE(A646,""en"",""fr""))"),"")</f>
        <v/>
      </c>
    </row>
    <row r="647" spans="2:2">
      <c r="B647" s="3" t="str">
        <f ca="1">IFERROR(__xludf.DUMMYFUNCTION("IF(ISBLANK(A647),"""",GOOGLETRANSLATE(A647,""en"",""fr""))"),"")</f>
        <v/>
      </c>
    </row>
    <row r="648" spans="2:2">
      <c r="B648" s="3" t="str">
        <f ca="1">IFERROR(__xludf.DUMMYFUNCTION("IF(ISBLANK(A648),"""",GOOGLETRANSLATE(A648,""en"",""fr""))"),"")</f>
        <v/>
      </c>
    </row>
    <row r="649" spans="2:2">
      <c r="B649" s="3" t="str">
        <f ca="1">IFERROR(__xludf.DUMMYFUNCTION("IF(ISBLANK(A649),"""",GOOGLETRANSLATE(A649,""en"",""fr""))"),"")</f>
        <v/>
      </c>
    </row>
    <row r="650" spans="2:2">
      <c r="B650" s="3" t="str">
        <f ca="1">IFERROR(__xludf.DUMMYFUNCTION("IF(ISBLANK(A650),"""",GOOGLETRANSLATE(A650,""en"",""fr""))"),"")</f>
        <v/>
      </c>
    </row>
    <row r="651" spans="2:2">
      <c r="B651" s="3" t="str">
        <f ca="1">IFERROR(__xludf.DUMMYFUNCTION("IF(ISBLANK(A651),"""",GOOGLETRANSLATE(A651,""en"",""fr""))"),"")</f>
        <v/>
      </c>
    </row>
    <row r="652" spans="2:2">
      <c r="B652" s="3" t="str">
        <f ca="1">IFERROR(__xludf.DUMMYFUNCTION("IF(ISBLANK(A652),"""",GOOGLETRANSLATE(A652,""en"",""fr""))"),"")</f>
        <v/>
      </c>
    </row>
    <row r="653" spans="2:2">
      <c r="B653" s="3" t="str">
        <f ca="1">IFERROR(__xludf.DUMMYFUNCTION("IF(ISBLANK(A653),"""",GOOGLETRANSLATE(A653,""en"",""fr""))"),"")</f>
        <v/>
      </c>
    </row>
    <row r="654" spans="2:2">
      <c r="B654" s="3" t="str">
        <f ca="1">IFERROR(__xludf.DUMMYFUNCTION("IF(ISBLANK(A654),"""",GOOGLETRANSLATE(A654,""en"",""fr""))"),"")</f>
        <v/>
      </c>
    </row>
    <row r="655" spans="2:2">
      <c r="B655" s="3" t="str">
        <f ca="1">IFERROR(__xludf.DUMMYFUNCTION("IF(ISBLANK(A655),"""",GOOGLETRANSLATE(A655,""en"",""fr""))"),"")</f>
        <v/>
      </c>
    </row>
    <row r="656" spans="2:2">
      <c r="B656" s="3" t="str">
        <f ca="1">IFERROR(__xludf.DUMMYFUNCTION("IF(ISBLANK(A656),"""",GOOGLETRANSLATE(A656,""en"",""fr""))"),"")</f>
        <v/>
      </c>
    </row>
    <row r="657" spans="2:2">
      <c r="B657" s="3" t="str">
        <f ca="1">IFERROR(__xludf.DUMMYFUNCTION("IF(ISBLANK(A657),"""",GOOGLETRANSLATE(A657,""en"",""fr""))"),"")</f>
        <v/>
      </c>
    </row>
    <row r="658" spans="2:2">
      <c r="B658" s="3" t="str">
        <f ca="1">IFERROR(__xludf.DUMMYFUNCTION("IF(ISBLANK(A658),"""",GOOGLETRANSLATE(A658,""en"",""fr""))"),"")</f>
        <v/>
      </c>
    </row>
    <row r="659" spans="2:2">
      <c r="B659" s="3" t="str">
        <f ca="1">IFERROR(__xludf.DUMMYFUNCTION("IF(ISBLANK(A659),"""",GOOGLETRANSLATE(A659,""en"",""fr""))"),"")</f>
        <v/>
      </c>
    </row>
    <row r="660" spans="2:2">
      <c r="B660" s="3" t="str">
        <f ca="1">IFERROR(__xludf.DUMMYFUNCTION("IF(ISBLANK(A660),"""",GOOGLETRANSLATE(A660,""en"",""fr""))"),"")</f>
        <v/>
      </c>
    </row>
    <row r="661" spans="2:2">
      <c r="B661" s="3" t="str">
        <f ca="1">IFERROR(__xludf.DUMMYFUNCTION("IF(ISBLANK(A661),"""",GOOGLETRANSLATE(A661,""en"",""fr""))"),"")</f>
        <v/>
      </c>
    </row>
    <row r="662" spans="2:2">
      <c r="B662" s="3" t="str">
        <f ca="1">IFERROR(__xludf.DUMMYFUNCTION("IF(ISBLANK(A662),"""",GOOGLETRANSLATE(A662,""en"",""fr""))"),"")</f>
        <v/>
      </c>
    </row>
    <row r="663" spans="2:2">
      <c r="B663" s="3" t="str">
        <f ca="1">IFERROR(__xludf.DUMMYFUNCTION("IF(ISBLANK(A663),"""",GOOGLETRANSLATE(A663,""en"",""fr""))"),"")</f>
        <v/>
      </c>
    </row>
    <row r="664" spans="2:2">
      <c r="B664" s="3" t="str">
        <f ca="1">IFERROR(__xludf.DUMMYFUNCTION("IF(ISBLANK(A664),"""",GOOGLETRANSLATE(A664,""en"",""fr""))"),"")</f>
        <v/>
      </c>
    </row>
    <row r="665" spans="2:2">
      <c r="B665" s="3" t="str">
        <f ca="1">IFERROR(__xludf.DUMMYFUNCTION("IF(ISBLANK(A665),"""",GOOGLETRANSLATE(A665,""en"",""fr""))"),"")</f>
        <v/>
      </c>
    </row>
    <row r="666" spans="2:2">
      <c r="B666" s="3" t="str">
        <f ca="1">IFERROR(__xludf.DUMMYFUNCTION("IF(ISBLANK(A666),"""",GOOGLETRANSLATE(A666,""en"",""fr""))"),"")</f>
        <v/>
      </c>
    </row>
    <row r="667" spans="2:2">
      <c r="B667" s="3" t="str">
        <f ca="1">IFERROR(__xludf.DUMMYFUNCTION("IF(ISBLANK(A667),"""",GOOGLETRANSLATE(A667,""en"",""fr""))"),"")</f>
        <v/>
      </c>
    </row>
    <row r="668" spans="2:2">
      <c r="B668" s="3" t="str">
        <f ca="1">IFERROR(__xludf.DUMMYFUNCTION("IF(ISBLANK(A668),"""",GOOGLETRANSLATE(A668,""en"",""fr""))"),"")</f>
        <v/>
      </c>
    </row>
    <row r="669" spans="2:2">
      <c r="B669" s="3" t="str">
        <f ca="1">IFERROR(__xludf.DUMMYFUNCTION("IF(ISBLANK(A669),"""",GOOGLETRANSLATE(A669,""en"",""fr""))"),"")</f>
        <v/>
      </c>
    </row>
    <row r="670" spans="2:2">
      <c r="B670" s="3" t="str">
        <f ca="1">IFERROR(__xludf.DUMMYFUNCTION("IF(ISBLANK(A670),"""",GOOGLETRANSLATE(A670,""en"",""fr""))"),"")</f>
        <v/>
      </c>
    </row>
    <row r="671" spans="2:2">
      <c r="B671" s="3" t="str">
        <f ca="1">IFERROR(__xludf.DUMMYFUNCTION("IF(ISBLANK(A671),"""",GOOGLETRANSLATE(A671,""en"",""fr""))"),"")</f>
        <v/>
      </c>
    </row>
    <row r="672" spans="2:2">
      <c r="B672" s="3" t="str">
        <f ca="1">IFERROR(__xludf.DUMMYFUNCTION("IF(ISBLANK(A672),"""",GOOGLETRANSLATE(A672,""en"",""fr""))"),"")</f>
        <v/>
      </c>
    </row>
    <row r="673" spans="2:2">
      <c r="B673" s="3" t="str">
        <f ca="1">IFERROR(__xludf.DUMMYFUNCTION("IF(ISBLANK(A673),"""",GOOGLETRANSLATE(A673,""en"",""fr""))"),"")</f>
        <v/>
      </c>
    </row>
    <row r="674" spans="2:2">
      <c r="B674" s="3" t="str">
        <f ca="1">IFERROR(__xludf.DUMMYFUNCTION("IF(ISBLANK(A674),"""",GOOGLETRANSLATE(A674,""en"",""fr""))"),"")</f>
        <v/>
      </c>
    </row>
    <row r="675" spans="2:2">
      <c r="B675" s="3" t="str">
        <f ca="1">IFERROR(__xludf.DUMMYFUNCTION("IF(ISBLANK(A675),"""",GOOGLETRANSLATE(A675,""en"",""fr""))"),"")</f>
        <v/>
      </c>
    </row>
    <row r="676" spans="2:2">
      <c r="B676" s="3" t="str">
        <f ca="1">IFERROR(__xludf.DUMMYFUNCTION("IF(ISBLANK(A676),"""",GOOGLETRANSLATE(A676,""en"",""fr""))"),"")</f>
        <v/>
      </c>
    </row>
    <row r="677" spans="2:2">
      <c r="B677" s="3" t="str">
        <f ca="1">IFERROR(__xludf.DUMMYFUNCTION("IF(ISBLANK(A677),"""",GOOGLETRANSLATE(A677,""en"",""fr""))"),"")</f>
        <v/>
      </c>
    </row>
    <row r="678" spans="2:2">
      <c r="B678" s="3" t="str">
        <f ca="1">IFERROR(__xludf.DUMMYFUNCTION("IF(ISBLANK(A678),"""",GOOGLETRANSLATE(A678,""en"",""fr""))"),"")</f>
        <v/>
      </c>
    </row>
    <row r="679" spans="2:2">
      <c r="B679" s="3" t="str">
        <f ca="1">IFERROR(__xludf.DUMMYFUNCTION("IF(ISBLANK(A679),"""",GOOGLETRANSLATE(A679,""en"",""fr""))"),"")</f>
        <v/>
      </c>
    </row>
    <row r="680" spans="2:2">
      <c r="B680" s="3" t="str">
        <f ca="1">IFERROR(__xludf.DUMMYFUNCTION("IF(ISBLANK(A680),"""",GOOGLETRANSLATE(A680,""en"",""fr""))"),"")</f>
        <v/>
      </c>
    </row>
    <row r="681" spans="2:2">
      <c r="B681" s="3" t="str">
        <f ca="1">IFERROR(__xludf.DUMMYFUNCTION("IF(ISBLANK(A681),"""",GOOGLETRANSLATE(A681,""en"",""fr""))"),"")</f>
        <v/>
      </c>
    </row>
    <row r="682" spans="2:2">
      <c r="B682" s="3" t="str">
        <f ca="1">IFERROR(__xludf.DUMMYFUNCTION("IF(ISBLANK(A682),"""",GOOGLETRANSLATE(A682,""en"",""fr""))"),"")</f>
        <v/>
      </c>
    </row>
    <row r="683" spans="2:2">
      <c r="B683" s="3" t="str">
        <f ca="1">IFERROR(__xludf.DUMMYFUNCTION("IF(ISBLANK(A683),"""",GOOGLETRANSLATE(A683,""en"",""fr""))"),"")</f>
        <v/>
      </c>
    </row>
    <row r="684" spans="2:2">
      <c r="B684" s="3" t="str">
        <f ca="1">IFERROR(__xludf.DUMMYFUNCTION("IF(ISBLANK(A684),"""",GOOGLETRANSLATE(A684,""en"",""fr""))"),"")</f>
        <v/>
      </c>
    </row>
    <row r="685" spans="2:2">
      <c r="B685" s="3" t="str">
        <f ca="1">IFERROR(__xludf.DUMMYFUNCTION("IF(ISBLANK(A685),"""",GOOGLETRANSLATE(A685,""en"",""fr""))"),"")</f>
        <v/>
      </c>
    </row>
    <row r="686" spans="2:2">
      <c r="B686" s="3" t="str">
        <f ca="1">IFERROR(__xludf.DUMMYFUNCTION("IF(ISBLANK(A686),"""",GOOGLETRANSLATE(A686,""en"",""fr""))"),"")</f>
        <v/>
      </c>
    </row>
    <row r="687" spans="2:2">
      <c r="B687" s="3" t="str">
        <f ca="1">IFERROR(__xludf.DUMMYFUNCTION("IF(ISBLANK(A687),"""",GOOGLETRANSLATE(A687,""en"",""fr""))"),"")</f>
        <v/>
      </c>
    </row>
    <row r="688" spans="2:2">
      <c r="B688" s="3" t="str">
        <f ca="1">IFERROR(__xludf.DUMMYFUNCTION("IF(ISBLANK(A688),"""",GOOGLETRANSLATE(A688,""en"",""fr""))"),"")</f>
        <v/>
      </c>
    </row>
    <row r="689" spans="2:2">
      <c r="B689" s="3" t="str">
        <f ca="1">IFERROR(__xludf.DUMMYFUNCTION("IF(ISBLANK(A689),"""",GOOGLETRANSLATE(A689,""en"",""fr""))"),"")</f>
        <v/>
      </c>
    </row>
    <row r="690" spans="2:2">
      <c r="B690" s="3" t="str">
        <f ca="1">IFERROR(__xludf.DUMMYFUNCTION("IF(ISBLANK(A690),"""",GOOGLETRANSLATE(A690,""en"",""fr""))"),"")</f>
        <v/>
      </c>
    </row>
    <row r="691" spans="2:2">
      <c r="B691" s="3" t="str">
        <f ca="1">IFERROR(__xludf.DUMMYFUNCTION("IF(ISBLANK(A691),"""",GOOGLETRANSLATE(A691,""en"",""fr""))"),"")</f>
        <v/>
      </c>
    </row>
    <row r="692" spans="2:2">
      <c r="B692" s="3" t="str">
        <f ca="1">IFERROR(__xludf.DUMMYFUNCTION("IF(ISBLANK(A692),"""",GOOGLETRANSLATE(A692,""en"",""fr""))"),"")</f>
        <v/>
      </c>
    </row>
    <row r="693" spans="2:2">
      <c r="B693" s="3" t="str">
        <f ca="1">IFERROR(__xludf.DUMMYFUNCTION("IF(ISBLANK(A693),"""",GOOGLETRANSLATE(A693,""en"",""fr""))"),"")</f>
        <v/>
      </c>
    </row>
    <row r="694" spans="2:2">
      <c r="B694" s="3" t="str">
        <f ca="1">IFERROR(__xludf.DUMMYFUNCTION("IF(ISBLANK(A694),"""",GOOGLETRANSLATE(A694,""en"",""fr""))"),"")</f>
        <v/>
      </c>
    </row>
    <row r="695" spans="2:2">
      <c r="B695" s="3" t="str">
        <f ca="1">IFERROR(__xludf.DUMMYFUNCTION("IF(ISBLANK(A695),"""",GOOGLETRANSLATE(A695,""en"",""fr""))"),"")</f>
        <v/>
      </c>
    </row>
    <row r="696" spans="2:2">
      <c r="B696" s="3" t="str">
        <f ca="1">IFERROR(__xludf.DUMMYFUNCTION("IF(ISBLANK(A696),"""",GOOGLETRANSLATE(A696,""en"",""fr""))"),"")</f>
        <v/>
      </c>
    </row>
    <row r="697" spans="2:2">
      <c r="B697" s="3" t="str">
        <f ca="1">IFERROR(__xludf.DUMMYFUNCTION("IF(ISBLANK(A697),"""",GOOGLETRANSLATE(A697,""en"",""fr""))"),"")</f>
        <v/>
      </c>
    </row>
    <row r="698" spans="2:2">
      <c r="B698" s="3" t="str">
        <f ca="1">IFERROR(__xludf.DUMMYFUNCTION("IF(ISBLANK(A698),"""",GOOGLETRANSLATE(A698,""en"",""fr""))"),"")</f>
        <v/>
      </c>
    </row>
    <row r="699" spans="2:2">
      <c r="B699" s="3" t="str">
        <f ca="1">IFERROR(__xludf.DUMMYFUNCTION("IF(ISBLANK(A699),"""",GOOGLETRANSLATE(A699,""en"",""fr""))"),"")</f>
        <v/>
      </c>
    </row>
    <row r="700" spans="2:2">
      <c r="B700" s="3" t="str">
        <f ca="1">IFERROR(__xludf.DUMMYFUNCTION("IF(ISBLANK(A700),"""",GOOGLETRANSLATE(A700,""en"",""fr""))"),"")</f>
        <v/>
      </c>
    </row>
    <row r="701" spans="2:2">
      <c r="B701" s="3" t="str">
        <f ca="1">IFERROR(__xludf.DUMMYFUNCTION("IF(ISBLANK(A701),"""",GOOGLETRANSLATE(A701,""en"",""fr""))"),"")</f>
        <v/>
      </c>
    </row>
    <row r="702" spans="2:2">
      <c r="B702" s="3" t="str">
        <f ca="1">IFERROR(__xludf.DUMMYFUNCTION("IF(ISBLANK(A702),"""",GOOGLETRANSLATE(A702,""en"",""fr""))"),"")</f>
        <v/>
      </c>
    </row>
    <row r="703" spans="2:2">
      <c r="B703" s="3" t="str">
        <f ca="1">IFERROR(__xludf.DUMMYFUNCTION("IF(ISBLANK(A703),"""",GOOGLETRANSLATE(A703,""en"",""fr""))"),"")</f>
        <v/>
      </c>
    </row>
    <row r="704" spans="2:2">
      <c r="B704" s="3" t="str">
        <f ca="1">IFERROR(__xludf.DUMMYFUNCTION("IF(ISBLANK(A704),"""",GOOGLETRANSLATE(A704,""en"",""fr""))"),"")</f>
        <v/>
      </c>
    </row>
    <row r="705" spans="2:2">
      <c r="B705" s="3" t="str">
        <f ca="1">IFERROR(__xludf.DUMMYFUNCTION("IF(ISBLANK(A705),"""",GOOGLETRANSLATE(A705,""en"",""fr""))"),"")</f>
        <v/>
      </c>
    </row>
    <row r="706" spans="2:2">
      <c r="B706" s="3" t="str">
        <f ca="1">IFERROR(__xludf.DUMMYFUNCTION("IF(ISBLANK(A706),"""",GOOGLETRANSLATE(A706,""en"",""fr""))"),"")</f>
        <v/>
      </c>
    </row>
    <row r="707" spans="2:2">
      <c r="B707" s="3" t="str">
        <f ca="1">IFERROR(__xludf.DUMMYFUNCTION("IF(ISBLANK(A707),"""",GOOGLETRANSLATE(A707,""en"",""fr""))"),"")</f>
        <v/>
      </c>
    </row>
    <row r="708" spans="2:2">
      <c r="B708" s="3" t="str">
        <f ca="1">IFERROR(__xludf.DUMMYFUNCTION("IF(ISBLANK(A708),"""",GOOGLETRANSLATE(A708,""en"",""fr""))"),"")</f>
        <v/>
      </c>
    </row>
    <row r="709" spans="2:2">
      <c r="B709" s="3" t="str">
        <f ca="1">IFERROR(__xludf.DUMMYFUNCTION("IF(ISBLANK(A709),"""",GOOGLETRANSLATE(A709,""en"",""fr""))"),"")</f>
        <v/>
      </c>
    </row>
    <row r="710" spans="2:2">
      <c r="B710" s="3" t="str">
        <f ca="1">IFERROR(__xludf.DUMMYFUNCTION("IF(ISBLANK(A710),"""",GOOGLETRANSLATE(A710,""en"",""fr""))"),"")</f>
        <v/>
      </c>
    </row>
    <row r="711" spans="2:2">
      <c r="B711" s="3" t="str">
        <f ca="1">IFERROR(__xludf.DUMMYFUNCTION("IF(ISBLANK(A711),"""",GOOGLETRANSLATE(A711,""en"",""fr""))"),"")</f>
        <v/>
      </c>
    </row>
    <row r="712" spans="2:2">
      <c r="B712" s="3" t="str">
        <f ca="1">IFERROR(__xludf.DUMMYFUNCTION("IF(ISBLANK(A712),"""",GOOGLETRANSLATE(A712,""en"",""fr""))"),"")</f>
        <v/>
      </c>
    </row>
    <row r="713" spans="2:2">
      <c r="B713" s="3" t="str">
        <f ca="1">IFERROR(__xludf.DUMMYFUNCTION("IF(ISBLANK(A713),"""",GOOGLETRANSLATE(A713,""en"",""fr""))"),"")</f>
        <v/>
      </c>
    </row>
    <row r="714" spans="2:2">
      <c r="B714" s="3" t="str">
        <f ca="1">IFERROR(__xludf.DUMMYFUNCTION("IF(ISBLANK(A714),"""",GOOGLETRANSLATE(A714,""en"",""fr""))"),"")</f>
        <v/>
      </c>
    </row>
    <row r="715" spans="2:2">
      <c r="B715" s="3" t="str">
        <f ca="1">IFERROR(__xludf.DUMMYFUNCTION("IF(ISBLANK(A715),"""",GOOGLETRANSLATE(A715,""en"",""fr""))"),"")</f>
        <v/>
      </c>
    </row>
    <row r="716" spans="2:2">
      <c r="B716" s="3" t="str">
        <f ca="1">IFERROR(__xludf.DUMMYFUNCTION("IF(ISBLANK(A716),"""",GOOGLETRANSLATE(A716,""en"",""fr""))"),"")</f>
        <v/>
      </c>
    </row>
    <row r="717" spans="2:2">
      <c r="B717" s="3" t="str">
        <f ca="1">IFERROR(__xludf.DUMMYFUNCTION("IF(ISBLANK(A717),"""",GOOGLETRANSLATE(A717,""en"",""fr""))"),"")</f>
        <v/>
      </c>
    </row>
    <row r="718" spans="2:2">
      <c r="B718" s="3" t="str">
        <f ca="1">IFERROR(__xludf.DUMMYFUNCTION("IF(ISBLANK(A718),"""",GOOGLETRANSLATE(A718,""en"",""fr""))"),"")</f>
        <v/>
      </c>
    </row>
    <row r="719" spans="2:2">
      <c r="B719" s="3" t="str">
        <f ca="1">IFERROR(__xludf.DUMMYFUNCTION("IF(ISBLANK(A719),"""",GOOGLETRANSLATE(A719,""en"",""fr""))"),"")</f>
        <v/>
      </c>
    </row>
    <row r="720" spans="2:2">
      <c r="B720" s="3" t="str">
        <f ca="1">IFERROR(__xludf.DUMMYFUNCTION("IF(ISBLANK(A720),"""",GOOGLETRANSLATE(A720,""en"",""fr""))"),"")</f>
        <v/>
      </c>
    </row>
    <row r="721" spans="2:2">
      <c r="B721" s="3" t="str">
        <f ca="1">IFERROR(__xludf.DUMMYFUNCTION("IF(ISBLANK(A721),"""",GOOGLETRANSLATE(A721,""en"",""fr""))"),"")</f>
        <v/>
      </c>
    </row>
    <row r="722" spans="2:2">
      <c r="B722" s="3" t="str">
        <f ca="1">IFERROR(__xludf.DUMMYFUNCTION("IF(ISBLANK(A722),"""",GOOGLETRANSLATE(A722,""en"",""fr""))"),"")</f>
        <v/>
      </c>
    </row>
    <row r="723" spans="2:2">
      <c r="B723" s="3" t="str">
        <f ca="1">IFERROR(__xludf.DUMMYFUNCTION("IF(ISBLANK(A723),"""",GOOGLETRANSLATE(A723,""en"",""fr""))"),"")</f>
        <v/>
      </c>
    </row>
    <row r="724" spans="2:2">
      <c r="B724" s="3" t="str">
        <f ca="1">IFERROR(__xludf.DUMMYFUNCTION("IF(ISBLANK(A724),"""",GOOGLETRANSLATE(A724,""en"",""fr""))"),"")</f>
        <v/>
      </c>
    </row>
    <row r="725" spans="2:2">
      <c r="B725" s="3" t="str">
        <f ca="1">IFERROR(__xludf.DUMMYFUNCTION("IF(ISBLANK(A725),"""",GOOGLETRANSLATE(A725,""en"",""fr""))"),"")</f>
        <v/>
      </c>
    </row>
    <row r="726" spans="2:2">
      <c r="B726" s="3" t="str">
        <f ca="1">IFERROR(__xludf.DUMMYFUNCTION("IF(ISBLANK(A726),"""",GOOGLETRANSLATE(A726,""en"",""fr""))"),"")</f>
        <v/>
      </c>
    </row>
    <row r="727" spans="2:2">
      <c r="B727" s="3" t="str">
        <f ca="1">IFERROR(__xludf.DUMMYFUNCTION("IF(ISBLANK(A727),"""",GOOGLETRANSLATE(A727,""en"",""fr""))"),"")</f>
        <v/>
      </c>
    </row>
    <row r="728" spans="2:2">
      <c r="B728" s="3" t="str">
        <f ca="1">IFERROR(__xludf.DUMMYFUNCTION("IF(ISBLANK(A728),"""",GOOGLETRANSLATE(A728,""en"",""fr""))"),"")</f>
        <v/>
      </c>
    </row>
    <row r="729" spans="2:2">
      <c r="B729" s="3" t="str">
        <f ca="1">IFERROR(__xludf.DUMMYFUNCTION("IF(ISBLANK(A729),"""",GOOGLETRANSLATE(A729,""en"",""fr""))"),"")</f>
        <v/>
      </c>
    </row>
    <row r="730" spans="2:2">
      <c r="B730" s="3" t="str">
        <f ca="1">IFERROR(__xludf.DUMMYFUNCTION("IF(ISBLANK(A730),"""",GOOGLETRANSLATE(A730,""en"",""fr""))"),"")</f>
        <v/>
      </c>
    </row>
    <row r="731" spans="2:2">
      <c r="B731" s="3" t="str">
        <f ca="1">IFERROR(__xludf.DUMMYFUNCTION("IF(ISBLANK(A731),"""",GOOGLETRANSLATE(A731,""en"",""fr""))"),"")</f>
        <v/>
      </c>
    </row>
    <row r="732" spans="2:2">
      <c r="B732" s="3" t="str">
        <f ca="1">IFERROR(__xludf.DUMMYFUNCTION("IF(ISBLANK(A732),"""",GOOGLETRANSLATE(A732,""en"",""fr""))"),"")</f>
        <v/>
      </c>
    </row>
    <row r="733" spans="2:2">
      <c r="B733" s="3" t="str">
        <f ca="1">IFERROR(__xludf.DUMMYFUNCTION("IF(ISBLANK(A733),"""",GOOGLETRANSLATE(A733,""en"",""fr""))"),"")</f>
        <v/>
      </c>
    </row>
    <row r="734" spans="2:2">
      <c r="B734" s="3" t="str">
        <f ca="1">IFERROR(__xludf.DUMMYFUNCTION("IF(ISBLANK(A734),"""",GOOGLETRANSLATE(A734,""en"",""fr""))"),"")</f>
        <v/>
      </c>
    </row>
    <row r="735" spans="2:2">
      <c r="B735" s="3" t="str">
        <f ca="1">IFERROR(__xludf.DUMMYFUNCTION("IF(ISBLANK(A735),"""",GOOGLETRANSLATE(A735,""en"",""fr""))"),"")</f>
        <v/>
      </c>
    </row>
    <row r="736" spans="2:2">
      <c r="B736" s="3" t="str">
        <f ca="1">IFERROR(__xludf.DUMMYFUNCTION("IF(ISBLANK(A736),"""",GOOGLETRANSLATE(A736,""en"",""fr""))"),"")</f>
        <v/>
      </c>
    </row>
    <row r="737" spans="2:2">
      <c r="B737" s="3" t="str">
        <f ca="1">IFERROR(__xludf.DUMMYFUNCTION("IF(ISBLANK(A737),"""",GOOGLETRANSLATE(A737,""en"",""fr""))"),"")</f>
        <v/>
      </c>
    </row>
    <row r="738" spans="2:2">
      <c r="B738" s="3" t="str">
        <f ca="1">IFERROR(__xludf.DUMMYFUNCTION("IF(ISBLANK(A738),"""",GOOGLETRANSLATE(A738,""en"",""fr""))"),"")</f>
        <v/>
      </c>
    </row>
    <row r="739" spans="2:2">
      <c r="B739" s="3" t="str">
        <f ca="1">IFERROR(__xludf.DUMMYFUNCTION("IF(ISBLANK(A739),"""",GOOGLETRANSLATE(A739,""en"",""fr""))"),"")</f>
        <v/>
      </c>
    </row>
    <row r="740" spans="2:2">
      <c r="B740" s="3" t="str">
        <f ca="1">IFERROR(__xludf.DUMMYFUNCTION("IF(ISBLANK(A740),"""",GOOGLETRANSLATE(A740,""en"",""fr""))"),"")</f>
        <v/>
      </c>
    </row>
    <row r="741" spans="2:2">
      <c r="B741" s="3" t="str">
        <f ca="1">IFERROR(__xludf.DUMMYFUNCTION("IF(ISBLANK(A741),"""",GOOGLETRANSLATE(A741,""en"",""fr""))"),"")</f>
        <v/>
      </c>
    </row>
    <row r="742" spans="2:2">
      <c r="B742" s="3" t="str">
        <f ca="1">IFERROR(__xludf.DUMMYFUNCTION("IF(ISBLANK(A742),"""",GOOGLETRANSLATE(A742,""en"",""fr""))"),"")</f>
        <v/>
      </c>
    </row>
    <row r="743" spans="2:2">
      <c r="B743" s="3" t="str">
        <f ca="1">IFERROR(__xludf.DUMMYFUNCTION("IF(ISBLANK(A743),"""",GOOGLETRANSLATE(A743,""en"",""fr""))"),"")</f>
        <v/>
      </c>
    </row>
    <row r="744" spans="2:2">
      <c r="B744" s="3" t="str">
        <f ca="1">IFERROR(__xludf.DUMMYFUNCTION("IF(ISBLANK(A744),"""",GOOGLETRANSLATE(A744,""en"",""fr""))"),"")</f>
        <v/>
      </c>
    </row>
    <row r="745" spans="2:2">
      <c r="B745" s="3" t="str">
        <f ca="1">IFERROR(__xludf.DUMMYFUNCTION("IF(ISBLANK(A745),"""",GOOGLETRANSLATE(A745,""en"",""fr""))"),"")</f>
        <v/>
      </c>
    </row>
    <row r="746" spans="2:2">
      <c r="B746" s="3" t="str">
        <f ca="1">IFERROR(__xludf.DUMMYFUNCTION("IF(ISBLANK(A746),"""",GOOGLETRANSLATE(A746,""en"",""fr""))"),"")</f>
        <v/>
      </c>
    </row>
    <row r="747" spans="2:2">
      <c r="B747" s="3" t="str">
        <f ca="1">IFERROR(__xludf.DUMMYFUNCTION("IF(ISBLANK(A747),"""",GOOGLETRANSLATE(A747,""en"",""fr""))"),"")</f>
        <v/>
      </c>
    </row>
    <row r="748" spans="2:2">
      <c r="B748" s="3" t="str">
        <f ca="1">IFERROR(__xludf.DUMMYFUNCTION("IF(ISBLANK(A748),"""",GOOGLETRANSLATE(A748,""en"",""fr""))"),"")</f>
        <v/>
      </c>
    </row>
    <row r="749" spans="2:2">
      <c r="B749" s="3" t="str">
        <f ca="1">IFERROR(__xludf.DUMMYFUNCTION("IF(ISBLANK(A749),"""",GOOGLETRANSLATE(A749,""en"",""fr""))"),"")</f>
        <v/>
      </c>
    </row>
    <row r="750" spans="2:2">
      <c r="B750" s="3" t="str">
        <f ca="1">IFERROR(__xludf.DUMMYFUNCTION("IF(ISBLANK(A750),"""",GOOGLETRANSLATE(A750,""en"",""fr""))"),"")</f>
        <v/>
      </c>
    </row>
    <row r="751" spans="2:2">
      <c r="B751" s="3" t="str">
        <f ca="1">IFERROR(__xludf.DUMMYFUNCTION("IF(ISBLANK(A751),"""",GOOGLETRANSLATE(A751,""en"",""fr""))"),"")</f>
        <v/>
      </c>
    </row>
    <row r="752" spans="2:2">
      <c r="B752" s="3" t="str">
        <f ca="1">IFERROR(__xludf.DUMMYFUNCTION("IF(ISBLANK(A752),"""",GOOGLETRANSLATE(A752,""en"",""fr""))"),"")</f>
        <v/>
      </c>
    </row>
    <row r="753" spans="2:2">
      <c r="B753" s="3" t="str">
        <f ca="1">IFERROR(__xludf.DUMMYFUNCTION("IF(ISBLANK(A753),"""",GOOGLETRANSLATE(A753,""en"",""fr""))"),"")</f>
        <v/>
      </c>
    </row>
    <row r="754" spans="2:2">
      <c r="B754" s="3" t="str">
        <f ca="1">IFERROR(__xludf.DUMMYFUNCTION("IF(ISBLANK(A754),"""",GOOGLETRANSLATE(A754,""en"",""fr""))"),"")</f>
        <v/>
      </c>
    </row>
    <row r="755" spans="2:2">
      <c r="B755" s="3" t="str">
        <f ca="1">IFERROR(__xludf.DUMMYFUNCTION("IF(ISBLANK(A755),"""",GOOGLETRANSLATE(A755,""en"",""fr""))"),"")</f>
        <v/>
      </c>
    </row>
    <row r="756" spans="2:2">
      <c r="B756" s="3" t="str">
        <f ca="1">IFERROR(__xludf.DUMMYFUNCTION("IF(ISBLANK(A756),"""",GOOGLETRANSLATE(A756,""en"",""fr""))"),"")</f>
        <v/>
      </c>
    </row>
    <row r="757" spans="2:2">
      <c r="B757" s="3" t="str">
        <f ca="1">IFERROR(__xludf.DUMMYFUNCTION("IF(ISBLANK(A757),"""",GOOGLETRANSLATE(A757,""en"",""fr""))"),"")</f>
        <v/>
      </c>
    </row>
    <row r="758" spans="2:2">
      <c r="B758" s="3" t="str">
        <f ca="1">IFERROR(__xludf.DUMMYFUNCTION("IF(ISBLANK(A758),"""",GOOGLETRANSLATE(A758,""en"",""fr""))"),"")</f>
        <v/>
      </c>
    </row>
    <row r="759" spans="2:2">
      <c r="B759" s="3" t="str">
        <f ca="1">IFERROR(__xludf.DUMMYFUNCTION("IF(ISBLANK(A759),"""",GOOGLETRANSLATE(A759,""en"",""fr""))"),"")</f>
        <v/>
      </c>
    </row>
    <row r="760" spans="2:2">
      <c r="B760" s="3" t="str">
        <f ca="1">IFERROR(__xludf.DUMMYFUNCTION("IF(ISBLANK(A760),"""",GOOGLETRANSLATE(A760,""en"",""fr""))"),"")</f>
        <v/>
      </c>
    </row>
    <row r="761" spans="2:2">
      <c r="B761" s="3" t="str">
        <f ca="1">IFERROR(__xludf.DUMMYFUNCTION("IF(ISBLANK(A761),"""",GOOGLETRANSLATE(A761,""en"",""fr""))"),"")</f>
        <v/>
      </c>
    </row>
    <row r="762" spans="2:2">
      <c r="B762" s="3" t="str">
        <f ca="1">IFERROR(__xludf.DUMMYFUNCTION("IF(ISBLANK(A762),"""",GOOGLETRANSLATE(A762,""en"",""fr""))"),"")</f>
        <v/>
      </c>
    </row>
    <row r="763" spans="2:2">
      <c r="B763" s="3" t="str">
        <f ca="1">IFERROR(__xludf.DUMMYFUNCTION("IF(ISBLANK(A763),"""",GOOGLETRANSLATE(A763,""en"",""fr""))"),"")</f>
        <v/>
      </c>
    </row>
    <row r="764" spans="2:2">
      <c r="B764" s="3" t="str">
        <f ca="1">IFERROR(__xludf.DUMMYFUNCTION("IF(ISBLANK(A764),"""",GOOGLETRANSLATE(A764,""en"",""fr""))"),"")</f>
        <v/>
      </c>
    </row>
    <row r="765" spans="2:2">
      <c r="B765" s="3" t="str">
        <f ca="1">IFERROR(__xludf.DUMMYFUNCTION("IF(ISBLANK(A765),"""",GOOGLETRANSLATE(A765,""en"",""fr""))"),"")</f>
        <v/>
      </c>
    </row>
    <row r="766" spans="2:2">
      <c r="B766" s="3" t="str">
        <f ca="1">IFERROR(__xludf.DUMMYFUNCTION("IF(ISBLANK(A766),"""",GOOGLETRANSLATE(A766,""en"",""fr""))"),"")</f>
        <v/>
      </c>
    </row>
    <row r="767" spans="2:2">
      <c r="B767" s="3" t="str">
        <f ca="1">IFERROR(__xludf.DUMMYFUNCTION("IF(ISBLANK(A767),"""",GOOGLETRANSLATE(A767,""en"",""fr""))"),"")</f>
        <v/>
      </c>
    </row>
    <row r="768" spans="2:2">
      <c r="B768" s="3" t="str">
        <f ca="1">IFERROR(__xludf.DUMMYFUNCTION("IF(ISBLANK(A768),"""",GOOGLETRANSLATE(A768,""en"",""fr""))"),"")</f>
        <v/>
      </c>
    </row>
    <row r="769" spans="2:2">
      <c r="B769" s="3" t="str">
        <f ca="1">IFERROR(__xludf.DUMMYFUNCTION("IF(ISBLANK(A769),"""",GOOGLETRANSLATE(A769,""en"",""fr""))"),"")</f>
        <v/>
      </c>
    </row>
    <row r="770" spans="2:2">
      <c r="B770" s="3" t="str">
        <f ca="1">IFERROR(__xludf.DUMMYFUNCTION("IF(ISBLANK(A770),"""",GOOGLETRANSLATE(A770,""en"",""fr""))"),"")</f>
        <v/>
      </c>
    </row>
    <row r="771" spans="2:2">
      <c r="B771" s="3" t="str">
        <f ca="1">IFERROR(__xludf.DUMMYFUNCTION("IF(ISBLANK(A771),"""",GOOGLETRANSLATE(A771,""en"",""fr""))"),"")</f>
        <v/>
      </c>
    </row>
    <row r="772" spans="2:2">
      <c r="B772" s="3" t="str">
        <f ca="1">IFERROR(__xludf.DUMMYFUNCTION("IF(ISBLANK(A772),"""",GOOGLETRANSLATE(A772,""en"",""fr""))"),"")</f>
        <v/>
      </c>
    </row>
    <row r="773" spans="2:2">
      <c r="B773" s="3" t="str">
        <f ca="1">IFERROR(__xludf.DUMMYFUNCTION("IF(ISBLANK(A773),"""",GOOGLETRANSLATE(A773,""en"",""fr""))"),"")</f>
        <v/>
      </c>
    </row>
    <row r="774" spans="2:2">
      <c r="B774" s="3" t="str">
        <f ca="1">IFERROR(__xludf.DUMMYFUNCTION("IF(ISBLANK(A774),"""",GOOGLETRANSLATE(A774,""en"",""fr""))"),"")</f>
        <v/>
      </c>
    </row>
    <row r="775" spans="2:2">
      <c r="B775" s="3" t="str">
        <f ca="1">IFERROR(__xludf.DUMMYFUNCTION("IF(ISBLANK(A775),"""",GOOGLETRANSLATE(A775,""en"",""fr""))"),"")</f>
        <v/>
      </c>
    </row>
    <row r="776" spans="2:2">
      <c r="B776" s="3" t="str">
        <f ca="1">IFERROR(__xludf.DUMMYFUNCTION("IF(ISBLANK(A776),"""",GOOGLETRANSLATE(A776,""en"",""fr""))"),"")</f>
        <v/>
      </c>
    </row>
    <row r="777" spans="2:2">
      <c r="B777" s="3" t="str">
        <f ca="1">IFERROR(__xludf.DUMMYFUNCTION("IF(ISBLANK(A777),"""",GOOGLETRANSLATE(A777,""en"",""fr""))"),"")</f>
        <v/>
      </c>
    </row>
    <row r="778" spans="2:2">
      <c r="B778" s="3" t="str">
        <f ca="1">IFERROR(__xludf.DUMMYFUNCTION("IF(ISBLANK(A778),"""",GOOGLETRANSLATE(A778,""en"",""fr""))"),"")</f>
        <v/>
      </c>
    </row>
    <row r="779" spans="2:2">
      <c r="B779" s="3" t="str">
        <f ca="1">IFERROR(__xludf.DUMMYFUNCTION("IF(ISBLANK(A779),"""",GOOGLETRANSLATE(A779,""en"",""fr""))"),"")</f>
        <v/>
      </c>
    </row>
    <row r="780" spans="2:2">
      <c r="B780" s="3" t="str">
        <f ca="1">IFERROR(__xludf.DUMMYFUNCTION("IF(ISBLANK(A780),"""",GOOGLETRANSLATE(A780,""en"",""fr""))"),"")</f>
        <v/>
      </c>
    </row>
    <row r="781" spans="2:2">
      <c r="B781" s="3" t="str">
        <f ca="1">IFERROR(__xludf.DUMMYFUNCTION("IF(ISBLANK(A781),"""",GOOGLETRANSLATE(A781,""en"",""fr""))"),"")</f>
        <v/>
      </c>
    </row>
    <row r="782" spans="2:2">
      <c r="B782" s="3" t="str">
        <f ca="1">IFERROR(__xludf.DUMMYFUNCTION("IF(ISBLANK(A782),"""",GOOGLETRANSLATE(A782,""en"",""fr""))"),"")</f>
        <v/>
      </c>
    </row>
    <row r="783" spans="2:2">
      <c r="B783" s="3" t="str">
        <f ca="1">IFERROR(__xludf.DUMMYFUNCTION("IF(ISBLANK(A783),"""",GOOGLETRANSLATE(A783,""en"",""fr""))"),"")</f>
        <v/>
      </c>
    </row>
    <row r="784" spans="2:2">
      <c r="B784" s="3" t="str">
        <f ca="1">IFERROR(__xludf.DUMMYFUNCTION("IF(ISBLANK(A784),"""",GOOGLETRANSLATE(A784,""en"",""fr""))"),"")</f>
        <v/>
      </c>
    </row>
    <row r="785" spans="2:2">
      <c r="B785" s="3" t="str">
        <f ca="1">IFERROR(__xludf.DUMMYFUNCTION("IF(ISBLANK(A785),"""",GOOGLETRANSLATE(A785,""en"",""fr""))"),"")</f>
        <v/>
      </c>
    </row>
    <row r="786" spans="2:2">
      <c r="B786" s="3" t="str">
        <f ca="1">IFERROR(__xludf.DUMMYFUNCTION("IF(ISBLANK(A786),"""",GOOGLETRANSLATE(A786,""en"",""fr""))"),"")</f>
        <v/>
      </c>
    </row>
    <row r="787" spans="2:2">
      <c r="B787" s="3" t="str">
        <f ca="1">IFERROR(__xludf.DUMMYFUNCTION("IF(ISBLANK(A787),"""",GOOGLETRANSLATE(A787,""en"",""fr""))"),"")</f>
        <v/>
      </c>
    </row>
    <row r="788" spans="2:2">
      <c r="B788" s="3" t="str">
        <f ca="1">IFERROR(__xludf.DUMMYFUNCTION("IF(ISBLANK(A788),"""",GOOGLETRANSLATE(A788,""en"",""fr""))"),"")</f>
        <v/>
      </c>
    </row>
    <row r="789" spans="2:2">
      <c r="B789" s="3" t="str">
        <f ca="1">IFERROR(__xludf.DUMMYFUNCTION("IF(ISBLANK(A789),"""",GOOGLETRANSLATE(A789,""en"",""fr""))"),"")</f>
        <v/>
      </c>
    </row>
    <row r="790" spans="2:2">
      <c r="B790" s="3" t="str">
        <f ca="1">IFERROR(__xludf.DUMMYFUNCTION("IF(ISBLANK(A790),"""",GOOGLETRANSLATE(A790,""en"",""fr""))"),"")</f>
        <v/>
      </c>
    </row>
    <row r="791" spans="2:2">
      <c r="B791" s="3" t="str">
        <f ca="1">IFERROR(__xludf.DUMMYFUNCTION("IF(ISBLANK(A791),"""",GOOGLETRANSLATE(A791,""en"",""fr""))"),"")</f>
        <v/>
      </c>
    </row>
    <row r="792" spans="2:2">
      <c r="B792" s="3" t="str">
        <f ca="1">IFERROR(__xludf.DUMMYFUNCTION("IF(ISBLANK(A792),"""",GOOGLETRANSLATE(A792,""en"",""fr""))"),"")</f>
        <v/>
      </c>
    </row>
    <row r="793" spans="2:2">
      <c r="B793" s="3" t="str">
        <f ca="1">IFERROR(__xludf.DUMMYFUNCTION("IF(ISBLANK(A793),"""",GOOGLETRANSLATE(A793,""en"",""fr""))"),"")</f>
        <v/>
      </c>
    </row>
    <row r="794" spans="2:2">
      <c r="B794" s="3" t="str">
        <f ca="1">IFERROR(__xludf.DUMMYFUNCTION("IF(ISBLANK(A794),"""",GOOGLETRANSLATE(A794,""en"",""fr""))"),"")</f>
        <v/>
      </c>
    </row>
    <row r="795" spans="2:2">
      <c r="B795" s="3" t="str">
        <f ca="1">IFERROR(__xludf.DUMMYFUNCTION("IF(ISBLANK(A795),"""",GOOGLETRANSLATE(A795,""en"",""fr""))"),"")</f>
        <v/>
      </c>
    </row>
    <row r="796" spans="2:2">
      <c r="B796" s="3" t="str">
        <f ca="1">IFERROR(__xludf.DUMMYFUNCTION("IF(ISBLANK(A796),"""",GOOGLETRANSLATE(A796,""en"",""fr""))"),"")</f>
        <v/>
      </c>
    </row>
    <row r="797" spans="2:2">
      <c r="B797" s="3" t="str">
        <f ca="1">IFERROR(__xludf.DUMMYFUNCTION("IF(ISBLANK(A797),"""",GOOGLETRANSLATE(A797,""en"",""fr""))"),"")</f>
        <v/>
      </c>
    </row>
    <row r="798" spans="2:2">
      <c r="B798" s="3" t="str">
        <f ca="1">IFERROR(__xludf.DUMMYFUNCTION("IF(ISBLANK(A798),"""",GOOGLETRANSLATE(A798,""en"",""fr""))"),"")</f>
        <v/>
      </c>
    </row>
    <row r="799" spans="2:2">
      <c r="B799" s="3" t="str">
        <f ca="1">IFERROR(__xludf.DUMMYFUNCTION("IF(ISBLANK(A799),"""",GOOGLETRANSLATE(A799,""en"",""fr""))"),"")</f>
        <v/>
      </c>
    </row>
    <row r="800" spans="2:2">
      <c r="B800" s="3" t="str">
        <f ca="1">IFERROR(__xludf.DUMMYFUNCTION("IF(ISBLANK(A800),"""",GOOGLETRANSLATE(A800,""en"",""fr""))"),"")</f>
        <v/>
      </c>
    </row>
    <row r="801" spans="2:2">
      <c r="B801" s="3" t="str">
        <f ca="1">IFERROR(__xludf.DUMMYFUNCTION("IF(ISBLANK(A801),"""",GOOGLETRANSLATE(A801,""en"",""fr""))"),"")</f>
        <v/>
      </c>
    </row>
    <row r="802" spans="2:2">
      <c r="B802" s="3" t="str">
        <f ca="1">IFERROR(__xludf.DUMMYFUNCTION("IF(ISBLANK(A802),"""",GOOGLETRANSLATE(A802,""en"",""fr""))"),"")</f>
        <v/>
      </c>
    </row>
    <row r="803" spans="2:2">
      <c r="B803" s="3" t="str">
        <f ca="1">IFERROR(__xludf.DUMMYFUNCTION("IF(ISBLANK(A803),"""",GOOGLETRANSLATE(A803,""en"",""fr""))"),"")</f>
        <v/>
      </c>
    </row>
    <row r="804" spans="2:2">
      <c r="B804" s="3" t="str">
        <f ca="1">IFERROR(__xludf.DUMMYFUNCTION("IF(ISBLANK(A804),"""",GOOGLETRANSLATE(A804,""en"",""fr""))"),"")</f>
        <v/>
      </c>
    </row>
    <row r="805" spans="2:2">
      <c r="B805" s="3" t="str">
        <f ca="1">IFERROR(__xludf.DUMMYFUNCTION("IF(ISBLANK(A805),"""",GOOGLETRANSLATE(A805,""en"",""fr""))"),"")</f>
        <v/>
      </c>
    </row>
    <row r="806" spans="2:2">
      <c r="B806" s="3" t="str">
        <f ca="1">IFERROR(__xludf.DUMMYFUNCTION("IF(ISBLANK(A806),"""",GOOGLETRANSLATE(A806,""en"",""fr""))"),"")</f>
        <v/>
      </c>
    </row>
    <row r="807" spans="2:2">
      <c r="B807" s="3" t="str">
        <f ca="1">IFERROR(__xludf.DUMMYFUNCTION("IF(ISBLANK(A807),"""",GOOGLETRANSLATE(A807,""en"",""fr""))"),"")</f>
        <v/>
      </c>
    </row>
    <row r="808" spans="2:2">
      <c r="B808" s="3" t="str">
        <f ca="1">IFERROR(__xludf.DUMMYFUNCTION("IF(ISBLANK(A808),"""",GOOGLETRANSLATE(A808,""en"",""fr""))"),"")</f>
        <v/>
      </c>
    </row>
    <row r="809" spans="2:2">
      <c r="B809" s="3" t="str">
        <f ca="1">IFERROR(__xludf.DUMMYFUNCTION("IF(ISBLANK(A809),"""",GOOGLETRANSLATE(A809,""en"",""fr""))"),"")</f>
        <v/>
      </c>
    </row>
    <row r="810" spans="2:2">
      <c r="B810" s="3" t="str">
        <f ca="1">IFERROR(__xludf.DUMMYFUNCTION("IF(ISBLANK(A810),"""",GOOGLETRANSLATE(A810,""en"",""fr""))"),"")</f>
        <v/>
      </c>
    </row>
    <row r="811" spans="2:2">
      <c r="B811" s="3" t="str">
        <f ca="1">IFERROR(__xludf.DUMMYFUNCTION("IF(ISBLANK(A811),"""",GOOGLETRANSLATE(A811,""en"",""fr""))"),"")</f>
        <v/>
      </c>
    </row>
    <row r="812" spans="2:2">
      <c r="B812" s="3" t="str">
        <f ca="1">IFERROR(__xludf.DUMMYFUNCTION("IF(ISBLANK(A812),"""",GOOGLETRANSLATE(A812,""en"",""fr""))"),"")</f>
        <v/>
      </c>
    </row>
    <row r="813" spans="2:2">
      <c r="B813" s="3" t="str">
        <f ca="1">IFERROR(__xludf.DUMMYFUNCTION("IF(ISBLANK(A813),"""",GOOGLETRANSLATE(A813,""en"",""fr""))"),"")</f>
        <v/>
      </c>
    </row>
    <row r="814" spans="2:2">
      <c r="B814" s="3" t="str">
        <f ca="1">IFERROR(__xludf.DUMMYFUNCTION("IF(ISBLANK(A814),"""",GOOGLETRANSLATE(A814,""en"",""fr""))"),"")</f>
        <v/>
      </c>
    </row>
    <row r="815" spans="2:2">
      <c r="B815" s="3" t="str">
        <f ca="1">IFERROR(__xludf.DUMMYFUNCTION("IF(ISBLANK(A815),"""",GOOGLETRANSLATE(A815,""en"",""fr""))"),"")</f>
        <v/>
      </c>
    </row>
    <row r="816" spans="2:2">
      <c r="B816" s="3" t="str">
        <f ca="1">IFERROR(__xludf.DUMMYFUNCTION("IF(ISBLANK(A816),"""",GOOGLETRANSLATE(A816,""en"",""fr""))"),"")</f>
        <v/>
      </c>
    </row>
    <row r="817" spans="2:2">
      <c r="B817" s="3" t="str">
        <f ca="1">IFERROR(__xludf.DUMMYFUNCTION("IF(ISBLANK(A817),"""",GOOGLETRANSLATE(A817,""en"",""fr""))"),"")</f>
        <v/>
      </c>
    </row>
    <row r="818" spans="2:2">
      <c r="B818" s="3" t="str">
        <f ca="1">IFERROR(__xludf.DUMMYFUNCTION("IF(ISBLANK(A818),"""",GOOGLETRANSLATE(A818,""en"",""fr""))"),"")</f>
        <v/>
      </c>
    </row>
    <row r="819" spans="2:2">
      <c r="B819" s="3" t="str">
        <f ca="1">IFERROR(__xludf.DUMMYFUNCTION("IF(ISBLANK(A819),"""",GOOGLETRANSLATE(A819,""en"",""fr""))"),"")</f>
        <v/>
      </c>
    </row>
    <row r="820" spans="2:2">
      <c r="B820" s="3" t="str">
        <f ca="1">IFERROR(__xludf.DUMMYFUNCTION("IF(ISBLANK(A820),"""",GOOGLETRANSLATE(A820,""en"",""fr""))"),"")</f>
        <v/>
      </c>
    </row>
    <row r="821" spans="2:2">
      <c r="B821" s="3" t="str">
        <f ca="1">IFERROR(__xludf.DUMMYFUNCTION("IF(ISBLANK(A821),"""",GOOGLETRANSLATE(A821,""en"",""fr""))"),"")</f>
        <v/>
      </c>
    </row>
    <row r="822" spans="2:2">
      <c r="B822" s="3" t="str">
        <f ca="1">IFERROR(__xludf.DUMMYFUNCTION("IF(ISBLANK(A822),"""",GOOGLETRANSLATE(A822,""en"",""fr""))"),"")</f>
        <v/>
      </c>
    </row>
    <row r="823" spans="2:2">
      <c r="B823" s="3" t="str">
        <f ca="1">IFERROR(__xludf.DUMMYFUNCTION("IF(ISBLANK(A823),"""",GOOGLETRANSLATE(A823,""en"",""fr""))"),"")</f>
        <v/>
      </c>
    </row>
    <row r="824" spans="2:2">
      <c r="B824" s="3" t="str">
        <f ca="1">IFERROR(__xludf.DUMMYFUNCTION("IF(ISBLANK(A824),"""",GOOGLETRANSLATE(A824,""en"",""fr""))"),"")</f>
        <v/>
      </c>
    </row>
    <row r="825" spans="2:2">
      <c r="B825" s="3" t="str">
        <f ca="1">IFERROR(__xludf.DUMMYFUNCTION("IF(ISBLANK(A825),"""",GOOGLETRANSLATE(A825,""en"",""fr""))"),"")</f>
        <v/>
      </c>
    </row>
    <row r="826" spans="2:2">
      <c r="B826" s="3" t="str">
        <f ca="1">IFERROR(__xludf.DUMMYFUNCTION("IF(ISBLANK(A826),"""",GOOGLETRANSLATE(A826,""en"",""fr""))"),"")</f>
        <v/>
      </c>
    </row>
    <row r="827" spans="2:2">
      <c r="B827" s="3" t="str">
        <f ca="1">IFERROR(__xludf.DUMMYFUNCTION("IF(ISBLANK(A827),"""",GOOGLETRANSLATE(A827,""en"",""fr""))"),"")</f>
        <v/>
      </c>
    </row>
    <row r="828" spans="2:2">
      <c r="B828" s="3" t="str">
        <f ca="1">IFERROR(__xludf.DUMMYFUNCTION("IF(ISBLANK(A828),"""",GOOGLETRANSLATE(A828,""en"",""fr""))"),"")</f>
        <v/>
      </c>
    </row>
    <row r="829" spans="2:2">
      <c r="B829" s="3" t="str">
        <f ca="1">IFERROR(__xludf.DUMMYFUNCTION("IF(ISBLANK(A829),"""",GOOGLETRANSLATE(A829,""en"",""fr""))"),"")</f>
        <v/>
      </c>
    </row>
    <row r="830" spans="2:2">
      <c r="B830" s="3" t="str">
        <f ca="1">IFERROR(__xludf.DUMMYFUNCTION("IF(ISBLANK(A830),"""",GOOGLETRANSLATE(A830,""en"",""fr""))"),"")</f>
        <v/>
      </c>
    </row>
    <row r="831" spans="2:2">
      <c r="B831" s="3" t="str">
        <f ca="1">IFERROR(__xludf.DUMMYFUNCTION("IF(ISBLANK(A831),"""",GOOGLETRANSLATE(A831,""en"",""fr""))"),"")</f>
        <v/>
      </c>
    </row>
    <row r="832" spans="2:2">
      <c r="B832" s="3" t="str">
        <f ca="1">IFERROR(__xludf.DUMMYFUNCTION("IF(ISBLANK(A832),"""",GOOGLETRANSLATE(A832,""en"",""fr""))"),"")</f>
        <v/>
      </c>
    </row>
    <row r="833" spans="2:2">
      <c r="B833" s="3" t="str">
        <f ca="1">IFERROR(__xludf.DUMMYFUNCTION("IF(ISBLANK(A833),"""",GOOGLETRANSLATE(A833,""en"",""fr""))"),"")</f>
        <v/>
      </c>
    </row>
    <row r="834" spans="2:2">
      <c r="B834" s="3" t="str">
        <f ca="1">IFERROR(__xludf.DUMMYFUNCTION("IF(ISBLANK(A834),"""",GOOGLETRANSLATE(A834,""en"",""fr""))"),"")</f>
        <v/>
      </c>
    </row>
    <row r="835" spans="2:2">
      <c r="B835" s="3" t="str">
        <f ca="1">IFERROR(__xludf.DUMMYFUNCTION("IF(ISBLANK(A835),"""",GOOGLETRANSLATE(A835,""en"",""fr""))"),"")</f>
        <v/>
      </c>
    </row>
    <row r="836" spans="2:2">
      <c r="B836" s="3" t="str">
        <f ca="1">IFERROR(__xludf.DUMMYFUNCTION("IF(ISBLANK(A836),"""",GOOGLETRANSLATE(A836,""en"",""fr""))"),"")</f>
        <v/>
      </c>
    </row>
    <row r="837" spans="2:2">
      <c r="B837" s="3" t="str">
        <f ca="1">IFERROR(__xludf.DUMMYFUNCTION("IF(ISBLANK(A837),"""",GOOGLETRANSLATE(A837,""en"",""fr""))"),"")</f>
        <v/>
      </c>
    </row>
    <row r="838" spans="2:2">
      <c r="B838" s="3" t="str">
        <f ca="1">IFERROR(__xludf.DUMMYFUNCTION("IF(ISBLANK(A838),"""",GOOGLETRANSLATE(A838,""en"",""fr""))"),"")</f>
        <v/>
      </c>
    </row>
    <row r="839" spans="2:2">
      <c r="B839" s="3" t="str">
        <f ca="1">IFERROR(__xludf.DUMMYFUNCTION("IF(ISBLANK(A839),"""",GOOGLETRANSLATE(A839,""en"",""fr""))"),"")</f>
        <v/>
      </c>
    </row>
    <row r="840" spans="2:2">
      <c r="B840" s="3" t="str">
        <f ca="1">IFERROR(__xludf.DUMMYFUNCTION("IF(ISBLANK(A840),"""",GOOGLETRANSLATE(A840,""en"",""fr""))"),"")</f>
        <v/>
      </c>
    </row>
    <row r="841" spans="2:2">
      <c r="B841" s="3" t="str">
        <f ca="1">IFERROR(__xludf.DUMMYFUNCTION("IF(ISBLANK(A841),"""",GOOGLETRANSLATE(A841,""en"",""fr""))"),"")</f>
        <v/>
      </c>
    </row>
    <row r="842" spans="2:2">
      <c r="B842" s="3" t="str">
        <f ca="1">IFERROR(__xludf.DUMMYFUNCTION("IF(ISBLANK(A842),"""",GOOGLETRANSLATE(A842,""en"",""fr""))"),"")</f>
        <v/>
      </c>
    </row>
    <row r="843" spans="2:2">
      <c r="B843" s="3" t="str">
        <f ca="1">IFERROR(__xludf.DUMMYFUNCTION("IF(ISBLANK(A843),"""",GOOGLETRANSLATE(A843,""en"",""fr""))"),"")</f>
        <v/>
      </c>
    </row>
    <row r="844" spans="2:2">
      <c r="B844" s="3" t="str">
        <f ca="1">IFERROR(__xludf.DUMMYFUNCTION("IF(ISBLANK(A844),"""",GOOGLETRANSLATE(A844,""en"",""fr""))"),"")</f>
        <v/>
      </c>
    </row>
    <row r="845" spans="2:2">
      <c r="B845" s="3" t="str">
        <f ca="1">IFERROR(__xludf.DUMMYFUNCTION("IF(ISBLANK(A845),"""",GOOGLETRANSLATE(A845,""en"",""fr""))"),"")</f>
        <v/>
      </c>
    </row>
    <row r="846" spans="2:2">
      <c r="B846" s="3" t="str">
        <f ca="1">IFERROR(__xludf.DUMMYFUNCTION("IF(ISBLANK(A846),"""",GOOGLETRANSLATE(A846,""en"",""fr""))"),"")</f>
        <v/>
      </c>
    </row>
    <row r="847" spans="2:2">
      <c r="B847" s="3" t="str">
        <f ca="1">IFERROR(__xludf.DUMMYFUNCTION("IF(ISBLANK(A847),"""",GOOGLETRANSLATE(A847,""en"",""fr""))"),"")</f>
        <v/>
      </c>
    </row>
    <row r="848" spans="2:2">
      <c r="B848" s="3" t="str">
        <f ca="1">IFERROR(__xludf.DUMMYFUNCTION("IF(ISBLANK(A848),"""",GOOGLETRANSLATE(A848,""en"",""fr""))"),"")</f>
        <v/>
      </c>
    </row>
    <row r="849" spans="2:2">
      <c r="B849" s="3" t="str">
        <f ca="1">IFERROR(__xludf.DUMMYFUNCTION("IF(ISBLANK(A849),"""",GOOGLETRANSLATE(A849,""en"",""fr""))"),"")</f>
        <v/>
      </c>
    </row>
    <row r="850" spans="2:2">
      <c r="B850" s="3" t="str">
        <f ca="1">IFERROR(__xludf.DUMMYFUNCTION("IF(ISBLANK(A850),"""",GOOGLETRANSLATE(A850,""en"",""fr""))"),"")</f>
        <v/>
      </c>
    </row>
    <row r="851" spans="2:2">
      <c r="B851" s="3" t="str">
        <f ca="1">IFERROR(__xludf.DUMMYFUNCTION("IF(ISBLANK(A851),"""",GOOGLETRANSLATE(A851,""en"",""fr""))"),"")</f>
        <v/>
      </c>
    </row>
    <row r="852" spans="2:2">
      <c r="B852" s="3" t="str">
        <f ca="1">IFERROR(__xludf.DUMMYFUNCTION("IF(ISBLANK(A852),"""",GOOGLETRANSLATE(A852,""en"",""fr""))"),"")</f>
        <v/>
      </c>
    </row>
    <row r="853" spans="2:2">
      <c r="B853" s="3" t="str">
        <f ca="1">IFERROR(__xludf.DUMMYFUNCTION("IF(ISBLANK(A853),"""",GOOGLETRANSLATE(A853,""en"",""fr""))"),"")</f>
        <v/>
      </c>
    </row>
    <row r="854" spans="2:2">
      <c r="B854" s="3" t="str">
        <f ca="1">IFERROR(__xludf.DUMMYFUNCTION("IF(ISBLANK(A854),"""",GOOGLETRANSLATE(A854,""en"",""fr""))"),"")</f>
        <v/>
      </c>
    </row>
    <row r="855" spans="2:2">
      <c r="B855" s="3" t="str">
        <f ca="1">IFERROR(__xludf.DUMMYFUNCTION("IF(ISBLANK(A855),"""",GOOGLETRANSLATE(A855,""en"",""fr""))"),"")</f>
        <v/>
      </c>
    </row>
    <row r="856" spans="2:2">
      <c r="B856" s="3" t="str">
        <f ca="1">IFERROR(__xludf.DUMMYFUNCTION("IF(ISBLANK(A856),"""",GOOGLETRANSLATE(A856,""en"",""fr""))"),"")</f>
        <v/>
      </c>
    </row>
    <row r="857" spans="2:2">
      <c r="B857" s="3" t="str">
        <f ca="1">IFERROR(__xludf.DUMMYFUNCTION("IF(ISBLANK(A857),"""",GOOGLETRANSLATE(A857,""en"",""fr""))"),"")</f>
        <v/>
      </c>
    </row>
    <row r="858" spans="2:2">
      <c r="B858" s="3" t="str">
        <f ca="1">IFERROR(__xludf.DUMMYFUNCTION("IF(ISBLANK(A858),"""",GOOGLETRANSLATE(A858,""en"",""fr""))"),"")</f>
        <v/>
      </c>
    </row>
    <row r="859" spans="2:2">
      <c r="B859" s="3" t="str">
        <f ca="1">IFERROR(__xludf.DUMMYFUNCTION("IF(ISBLANK(A859),"""",GOOGLETRANSLATE(A859,""en"",""fr""))"),"")</f>
        <v/>
      </c>
    </row>
    <row r="860" spans="2:2">
      <c r="B860" s="3" t="str">
        <f ca="1">IFERROR(__xludf.DUMMYFUNCTION("IF(ISBLANK(A860),"""",GOOGLETRANSLATE(A860,""en"",""fr""))"),"")</f>
        <v/>
      </c>
    </row>
    <row r="861" spans="2:2">
      <c r="B861" s="3" t="str">
        <f ca="1">IFERROR(__xludf.DUMMYFUNCTION("IF(ISBLANK(A861),"""",GOOGLETRANSLATE(A861,""en"",""fr""))"),"")</f>
        <v/>
      </c>
    </row>
    <row r="862" spans="2:2">
      <c r="B862" s="3" t="str">
        <f ca="1">IFERROR(__xludf.DUMMYFUNCTION("IF(ISBLANK(A862),"""",GOOGLETRANSLATE(A862,""en"",""fr""))"),"")</f>
        <v/>
      </c>
    </row>
    <row r="863" spans="2:2">
      <c r="B863" s="3" t="str">
        <f ca="1">IFERROR(__xludf.DUMMYFUNCTION("IF(ISBLANK(A863),"""",GOOGLETRANSLATE(A863,""en"",""fr""))"),"")</f>
        <v/>
      </c>
    </row>
    <row r="864" spans="2:2">
      <c r="B864" s="3" t="str">
        <f ca="1">IFERROR(__xludf.DUMMYFUNCTION("IF(ISBLANK(A864),"""",GOOGLETRANSLATE(A864,""en"",""fr""))"),"")</f>
        <v/>
      </c>
    </row>
    <row r="865" spans="2:2">
      <c r="B865" s="3" t="str">
        <f ca="1">IFERROR(__xludf.DUMMYFUNCTION("IF(ISBLANK(A865),"""",GOOGLETRANSLATE(A865,""en"",""fr""))"),"")</f>
        <v/>
      </c>
    </row>
    <row r="866" spans="2:2">
      <c r="B866" s="3" t="str">
        <f ca="1">IFERROR(__xludf.DUMMYFUNCTION("IF(ISBLANK(A866),"""",GOOGLETRANSLATE(A866,""en"",""fr""))"),"")</f>
        <v/>
      </c>
    </row>
    <row r="867" spans="2:2">
      <c r="B867" s="3" t="str">
        <f ca="1">IFERROR(__xludf.DUMMYFUNCTION("IF(ISBLANK(A867),"""",GOOGLETRANSLATE(A867,""en"",""fr""))"),"")</f>
        <v/>
      </c>
    </row>
    <row r="868" spans="2:2">
      <c r="B868" s="3" t="str">
        <f ca="1">IFERROR(__xludf.DUMMYFUNCTION("IF(ISBLANK(A868),"""",GOOGLETRANSLATE(A868,""en"",""fr""))"),"")</f>
        <v/>
      </c>
    </row>
    <row r="869" spans="2:2">
      <c r="B869" s="3" t="str">
        <f ca="1">IFERROR(__xludf.DUMMYFUNCTION("IF(ISBLANK(A869),"""",GOOGLETRANSLATE(A869,""en"",""fr""))"),"")</f>
        <v/>
      </c>
    </row>
    <row r="870" spans="2:2">
      <c r="B870" s="3" t="str">
        <f ca="1">IFERROR(__xludf.DUMMYFUNCTION("IF(ISBLANK(A870),"""",GOOGLETRANSLATE(A870,""en"",""fr""))"),"")</f>
        <v/>
      </c>
    </row>
    <row r="871" spans="2:2">
      <c r="B871" s="3" t="str">
        <f ca="1">IFERROR(__xludf.DUMMYFUNCTION("IF(ISBLANK(A871),"""",GOOGLETRANSLATE(A871,""en"",""fr""))"),"")</f>
        <v/>
      </c>
    </row>
    <row r="872" spans="2:2">
      <c r="B872" s="3" t="str">
        <f ca="1">IFERROR(__xludf.DUMMYFUNCTION("IF(ISBLANK(A872),"""",GOOGLETRANSLATE(A872,""en"",""fr""))"),"")</f>
        <v/>
      </c>
    </row>
    <row r="873" spans="2:2">
      <c r="B873" s="3" t="str">
        <f ca="1">IFERROR(__xludf.DUMMYFUNCTION("IF(ISBLANK(A873),"""",GOOGLETRANSLATE(A873,""en"",""fr""))"),"")</f>
        <v/>
      </c>
    </row>
    <row r="874" spans="2:2">
      <c r="B874" s="3" t="str">
        <f ca="1">IFERROR(__xludf.DUMMYFUNCTION("IF(ISBLANK(A874),"""",GOOGLETRANSLATE(A874,""en"",""fr""))"),"")</f>
        <v/>
      </c>
    </row>
    <row r="875" spans="2:2">
      <c r="B875" s="3" t="str">
        <f ca="1">IFERROR(__xludf.DUMMYFUNCTION("IF(ISBLANK(A875),"""",GOOGLETRANSLATE(A875,""en"",""fr""))"),"")</f>
        <v/>
      </c>
    </row>
    <row r="876" spans="2:2">
      <c r="B876" s="3" t="str">
        <f ca="1">IFERROR(__xludf.DUMMYFUNCTION("IF(ISBLANK(A876),"""",GOOGLETRANSLATE(A876,""en"",""fr""))"),"")</f>
        <v/>
      </c>
    </row>
    <row r="877" spans="2:2">
      <c r="B877" s="3" t="str">
        <f ca="1">IFERROR(__xludf.DUMMYFUNCTION("IF(ISBLANK(A877),"""",GOOGLETRANSLATE(A877,""en"",""fr""))"),"")</f>
        <v/>
      </c>
    </row>
    <row r="878" spans="2:2">
      <c r="B878" s="3" t="str">
        <f ca="1">IFERROR(__xludf.DUMMYFUNCTION("IF(ISBLANK(A878),"""",GOOGLETRANSLATE(A878,""en"",""fr""))"),"")</f>
        <v/>
      </c>
    </row>
    <row r="879" spans="2:2">
      <c r="B879" s="3" t="str">
        <f ca="1">IFERROR(__xludf.DUMMYFUNCTION("IF(ISBLANK(A879),"""",GOOGLETRANSLATE(A879,""en"",""fr""))"),"")</f>
        <v/>
      </c>
    </row>
    <row r="880" spans="2:2">
      <c r="B880" s="3" t="str">
        <f ca="1">IFERROR(__xludf.DUMMYFUNCTION("IF(ISBLANK(A880),"""",GOOGLETRANSLATE(A880,""en"",""fr""))"),"")</f>
        <v/>
      </c>
    </row>
    <row r="881" spans="2:2">
      <c r="B881" s="3" t="str">
        <f ca="1">IFERROR(__xludf.DUMMYFUNCTION("IF(ISBLANK(A881),"""",GOOGLETRANSLATE(A881,""en"",""fr""))"),"")</f>
        <v/>
      </c>
    </row>
    <row r="882" spans="2:2">
      <c r="B882" s="3" t="str">
        <f ca="1">IFERROR(__xludf.DUMMYFUNCTION("IF(ISBLANK(A882),"""",GOOGLETRANSLATE(A882,""en"",""fr""))"),"")</f>
        <v/>
      </c>
    </row>
    <row r="883" spans="2:2">
      <c r="B883" s="3" t="str">
        <f ca="1">IFERROR(__xludf.DUMMYFUNCTION("IF(ISBLANK(A883),"""",GOOGLETRANSLATE(A883,""en"",""fr""))"),"")</f>
        <v/>
      </c>
    </row>
    <row r="884" spans="2:2">
      <c r="B884" s="3" t="str">
        <f ca="1">IFERROR(__xludf.DUMMYFUNCTION("IF(ISBLANK(A884),"""",GOOGLETRANSLATE(A884,""en"",""fr""))"),"")</f>
        <v/>
      </c>
    </row>
    <row r="885" spans="2:2">
      <c r="B885" s="3" t="str">
        <f ca="1">IFERROR(__xludf.DUMMYFUNCTION("IF(ISBLANK(A885),"""",GOOGLETRANSLATE(A885,""en"",""fr""))"),"")</f>
        <v/>
      </c>
    </row>
    <row r="886" spans="2:2">
      <c r="B886" s="3" t="str">
        <f ca="1">IFERROR(__xludf.DUMMYFUNCTION("IF(ISBLANK(A886),"""",GOOGLETRANSLATE(A886,""en"",""fr""))"),"")</f>
        <v/>
      </c>
    </row>
    <row r="887" spans="2:2">
      <c r="B887" s="3" t="str">
        <f ca="1">IFERROR(__xludf.DUMMYFUNCTION("IF(ISBLANK(A887),"""",GOOGLETRANSLATE(A887,""en"",""fr""))"),"")</f>
        <v/>
      </c>
    </row>
    <row r="888" spans="2:2">
      <c r="B888" s="3" t="str">
        <f ca="1">IFERROR(__xludf.DUMMYFUNCTION("IF(ISBLANK(A888),"""",GOOGLETRANSLATE(A888,""en"",""fr""))"),"")</f>
        <v/>
      </c>
    </row>
    <row r="889" spans="2:2">
      <c r="B889" s="3" t="str">
        <f ca="1">IFERROR(__xludf.DUMMYFUNCTION("IF(ISBLANK(A889),"""",GOOGLETRANSLATE(A889,""en"",""fr""))"),"")</f>
        <v/>
      </c>
    </row>
    <row r="890" spans="2:2">
      <c r="B890" s="3" t="str">
        <f ca="1">IFERROR(__xludf.DUMMYFUNCTION("IF(ISBLANK(A890),"""",GOOGLETRANSLATE(A890,""en"",""fr""))"),"")</f>
        <v/>
      </c>
    </row>
    <row r="891" spans="2:2">
      <c r="B891" s="3" t="str">
        <f ca="1">IFERROR(__xludf.DUMMYFUNCTION("IF(ISBLANK(A891),"""",GOOGLETRANSLATE(A891,""en"",""fr""))"),"")</f>
        <v/>
      </c>
    </row>
    <row r="892" spans="2:2">
      <c r="B892" s="3" t="str">
        <f ca="1">IFERROR(__xludf.DUMMYFUNCTION("IF(ISBLANK(A892),"""",GOOGLETRANSLATE(A892,""en"",""fr""))"),"")</f>
        <v/>
      </c>
    </row>
    <row r="893" spans="2:2">
      <c r="B893" s="3" t="str">
        <f ca="1">IFERROR(__xludf.DUMMYFUNCTION("IF(ISBLANK(A893),"""",GOOGLETRANSLATE(A893,""en"",""fr""))"),"")</f>
        <v/>
      </c>
    </row>
    <row r="894" spans="2:2">
      <c r="B894" s="3" t="str">
        <f ca="1">IFERROR(__xludf.DUMMYFUNCTION("IF(ISBLANK(A894),"""",GOOGLETRANSLATE(A894,""en"",""fr""))"),"")</f>
        <v/>
      </c>
    </row>
    <row r="895" spans="2:2">
      <c r="B895" s="3" t="str">
        <f ca="1">IFERROR(__xludf.DUMMYFUNCTION("IF(ISBLANK(A895),"""",GOOGLETRANSLATE(A895,""en"",""fr""))"),"")</f>
        <v/>
      </c>
    </row>
    <row r="896" spans="2:2">
      <c r="B896" s="3" t="str">
        <f ca="1">IFERROR(__xludf.DUMMYFUNCTION("IF(ISBLANK(A896),"""",GOOGLETRANSLATE(A896,""en"",""fr""))"),"")</f>
        <v/>
      </c>
    </row>
    <row r="897" spans="2:2">
      <c r="B897" s="3" t="str">
        <f ca="1">IFERROR(__xludf.DUMMYFUNCTION("IF(ISBLANK(A897),"""",GOOGLETRANSLATE(A897,""en"",""fr""))"),"")</f>
        <v/>
      </c>
    </row>
    <row r="898" spans="2:2">
      <c r="B898" s="3" t="str">
        <f ca="1">IFERROR(__xludf.DUMMYFUNCTION("IF(ISBLANK(A898),"""",GOOGLETRANSLATE(A898,""en"",""fr""))"),"")</f>
        <v/>
      </c>
    </row>
    <row r="899" spans="2:2">
      <c r="B899" s="3" t="str">
        <f ca="1">IFERROR(__xludf.DUMMYFUNCTION("IF(ISBLANK(A899),"""",GOOGLETRANSLATE(A899,""en"",""fr""))"),"")</f>
        <v/>
      </c>
    </row>
    <row r="900" spans="2:2">
      <c r="B900" s="3" t="str">
        <f ca="1">IFERROR(__xludf.DUMMYFUNCTION("IF(ISBLANK(A900),"""",GOOGLETRANSLATE(A900,""en"",""fr""))"),"")</f>
        <v/>
      </c>
    </row>
    <row r="901" spans="2:2">
      <c r="B901" s="3" t="str">
        <f ca="1">IFERROR(__xludf.DUMMYFUNCTION("IF(ISBLANK(A901),"""",GOOGLETRANSLATE(A901,""en"",""fr""))"),"")</f>
        <v/>
      </c>
    </row>
    <row r="902" spans="2:2">
      <c r="B902" s="3" t="str">
        <f ca="1">IFERROR(__xludf.DUMMYFUNCTION("IF(ISBLANK(A902),"""",GOOGLETRANSLATE(A902,""en"",""fr""))"),"")</f>
        <v/>
      </c>
    </row>
    <row r="903" spans="2:2">
      <c r="B903" s="3" t="str">
        <f ca="1">IFERROR(__xludf.DUMMYFUNCTION("IF(ISBLANK(A903),"""",GOOGLETRANSLATE(A903,""en"",""fr""))"),"")</f>
        <v/>
      </c>
    </row>
    <row r="904" spans="2:2">
      <c r="B904" s="3" t="str">
        <f ca="1">IFERROR(__xludf.DUMMYFUNCTION("IF(ISBLANK(A904),"""",GOOGLETRANSLATE(A904,""en"",""fr""))"),"")</f>
        <v/>
      </c>
    </row>
    <row r="905" spans="2:2">
      <c r="B905" s="3" t="str">
        <f ca="1">IFERROR(__xludf.DUMMYFUNCTION("IF(ISBLANK(A905),"""",GOOGLETRANSLATE(A905,""en"",""fr""))"),"")</f>
        <v/>
      </c>
    </row>
    <row r="906" spans="2:2">
      <c r="B906" s="3" t="str">
        <f ca="1">IFERROR(__xludf.DUMMYFUNCTION("IF(ISBLANK(A906),"""",GOOGLETRANSLATE(A906,""en"",""fr""))"),"")</f>
        <v/>
      </c>
    </row>
    <row r="907" spans="2:2">
      <c r="B907" s="3" t="str">
        <f ca="1">IFERROR(__xludf.DUMMYFUNCTION("IF(ISBLANK(A907),"""",GOOGLETRANSLATE(A907,""en"",""fr""))"),"")</f>
        <v/>
      </c>
    </row>
    <row r="908" spans="2:2">
      <c r="B908" s="3" t="str">
        <f ca="1">IFERROR(__xludf.DUMMYFUNCTION("IF(ISBLANK(A908),"""",GOOGLETRANSLATE(A908,""en"",""fr""))"),"")</f>
        <v/>
      </c>
    </row>
    <row r="909" spans="2:2">
      <c r="B909" s="3" t="str">
        <f ca="1">IFERROR(__xludf.DUMMYFUNCTION("IF(ISBLANK(A909),"""",GOOGLETRANSLATE(A909,""en"",""fr""))"),"")</f>
        <v/>
      </c>
    </row>
    <row r="910" spans="2:2">
      <c r="B910" s="3" t="str">
        <f ca="1">IFERROR(__xludf.DUMMYFUNCTION("IF(ISBLANK(A910),"""",GOOGLETRANSLATE(A910,""en"",""fr""))"),"")</f>
        <v/>
      </c>
    </row>
    <row r="911" spans="2:2">
      <c r="B911" s="3" t="str">
        <f ca="1">IFERROR(__xludf.DUMMYFUNCTION("IF(ISBLANK(A911),"""",GOOGLETRANSLATE(A911,""en"",""fr""))"),"")</f>
        <v/>
      </c>
    </row>
    <row r="912" spans="2:2">
      <c r="B912" s="3" t="str">
        <f ca="1">IFERROR(__xludf.DUMMYFUNCTION("IF(ISBLANK(A912),"""",GOOGLETRANSLATE(A912,""en"",""fr""))"),"")</f>
        <v/>
      </c>
    </row>
    <row r="913" spans="2:2">
      <c r="B913" s="3" t="str">
        <f ca="1">IFERROR(__xludf.DUMMYFUNCTION("IF(ISBLANK(A913),"""",GOOGLETRANSLATE(A913,""en"",""fr""))"),"")</f>
        <v/>
      </c>
    </row>
    <row r="914" spans="2:2">
      <c r="B914" s="3" t="str">
        <f ca="1">IFERROR(__xludf.DUMMYFUNCTION("IF(ISBLANK(A914),"""",GOOGLETRANSLATE(A914,""en"",""fr""))"),"")</f>
        <v/>
      </c>
    </row>
    <row r="915" spans="2:2">
      <c r="B915" s="3" t="str">
        <f ca="1">IFERROR(__xludf.DUMMYFUNCTION("IF(ISBLANK(A915),"""",GOOGLETRANSLATE(A915,""en"",""fr""))"),"")</f>
        <v/>
      </c>
    </row>
    <row r="916" spans="2:2">
      <c r="B916" s="3" t="str">
        <f ca="1">IFERROR(__xludf.DUMMYFUNCTION("IF(ISBLANK(A916),"""",GOOGLETRANSLATE(A916,""en"",""fr""))"),"")</f>
        <v/>
      </c>
    </row>
    <row r="917" spans="2:2">
      <c r="B917" s="3" t="str">
        <f ca="1">IFERROR(__xludf.DUMMYFUNCTION("IF(ISBLANK(A917),"""",GOOGLETRANSLATE(A917,""en"",""fr""))"),"")</f>
        <v/>
      </c>
    </row>
    <row r="918" spans="2:2">
      <c r="B918" s="3" t="str">
        <f ca="1">IFERROR(__xludf.DUMMYFUNCTION("IF(ISBLANK(A918),"""",GOOGLETRANSLATE(A918,""en"",""fr""))"),"")</f>
        <v/>
      </c>
    </row>
    <row r="919" spans="2:2">
      <c r="B919" s="3" t="str">
        <f ca="1">IFERROR(__xludf.DUMMYFUNCTION("IF(ISBLANK(A919),"""",GOOGLETRANSLATE(A919,""en"",""fr""))"),"")</f>
        <v/>
      </c>
    </row>
    <row r="920" spans="2:2">
      <c r="B920" s="3" t="str">
        <f ca="1">IFERROR(__xludf.DUMMYFUNCTION("IF(ISBLANK(A920),"""",GOOGLETRANSLATE(A920,""en"",""fr""))"),"")</f>
        <v/>
      </c>
    </row>
    <row r="921" spans="2:2">
      <c r="B921" s="3" t="str">
        <f ca="1">IFERROR(__xludf.DUMMYFUNCTION("IF(ISBLANK(A921),"""",GOOGLETRANSLATE(A921,""en"",""fr""))"),"")</f>
        <v/>
      </c>
    </row>
    <row r="922" spans="2:2">
      <c r="B922" s="3" t="str">
        <f ca="1">IFERROR(__xludf.DUMMYFUNCTION("IF(ISBLANK(A922),"""",GOOGLETRANSLATE(A922,""en"",""fr""))"),"")</f>
        <v/>
      </c>
    </row>
    <row r="923" spans="2:2">
      <c r="B923" s="3" t="str">
        <f ca="1">IFERROR(__xludf.DUMMYFUNCTION("IF(ISBLANK(A923),"""",GOOGLETRANSLATE(A923,""en"",""fr""))"),"")</f>
        <v/>
      </c>
    </row>
    <row r="924" spans="2:2">
      <c r="B924" s="3" t="str">
        <f ca="1">IFERROR(__xludf.DUMMYFUNCTION("IF(ISBLANK(A924),"""",GOOGLETRANSLATE(A924,""en"",""fr""))"),"")</f>
        <v/>
      </c>
    </row>
    <row r="925" spans="2:2">
      <c r="B925" s="3" t="str">
        <f ca="1">IFERROR(__xludf.DUMMYFUNCTION("IF(ISBLANK(A925),"""",GOOGLETRANSLATE(A925,""en"",""fr""))"),"")</f>
        <v/>
      </c>
    </row>
    <row r="926" spans="2:2">
      <c r="B926" s="3" t="str">
        <f ca="1">IFERROR(__xludf.DUMMYFUNCTION("IF(ISBLANK(A926),"""",GOOGLETRANSLATE(A926,""en"",""fr""))"),"")</f>
        <v/>
      </c>
    </row>
    <row r="927" spans="2:2">
      <c r="B927" s="3" t="str">
        <f ca="1">IFERROR(__xludf.DUMMYFUNCTION("IF(ISBLANK(A927),"""",GOOGLETRANSLATE(A927,""en"",""fr""))"),"")</f>
        <v/>
      </c>
    </row>
    <row r="928" spans="2:2">
      <c r="B928" s="3" t="str">
        <f ca="1">IFERROR(__xludf.DUMMYFUNCTION("IF(ISBLANK(A928),"""",GOOGLETRANSLATE(A928,""en"",""fr""))"),"")</f>
        <v/>
      </c>
    </row>
    <row r="929" spans="2:2">
      <c r="B929" s="3" t="str">
        <f ca="1">IFERROR(__xludf.DUMMYFUNCTION("IF(ISBLANK(A929),"""",GOOGLETRANSLATE(A929,""en"",""fr""))"),"")</f>
        <v/>
      </c>
    </row>
    <row r="930" spans="2:2">
      <c r="B930" s="3" t="str">
        <f ca="1">IFERROR(__xludf.DUMMYFUNCTION("IF(ISBLANK(A930),"""",GOOGLETRANSLATE(A930,""en"",""fr""))"),"")</f>
        <v/>
      </c>
    </row>
    <row r="931" spans="2:2">
      <c r="B931" s="3" t="str">
        <f ca="1">IFERROR(__xludf.DUMMYFUNCTION("IF(ISBLANK(A931),"""",GOOGLETRANSLATE(A931,""en"",""fr""))"),"")</f>
        <v/>
      </c>
    </row>
    <row r="932" spans="2:2">
      <c r="B932" s="3" t="str">
        <f ca="1">IFERROR(__xludf.DUMMYFUNCTION("IF(ISBLANK(A932),"""",GOOGLETRANSLATE(A932,""en"",""fr""))"),"")</f>
        <v/>
      </c>
    </row>
    <row r="933" spans="2:2">
      <c r="B933" s="3" t="str">
        <f ca="1">IFERROR(__xludf.DUMMYFUNCTION("IF(ISBLANK(A933),"""",GOOGLETRANSLATE(A933,""en"",""fr""))"),"")</f>
        <v/>
      </c>
    </row>
    <row r="934" spans="2:2">
      <c r="B934" s="3" t="str">
        <f ca="1">IFERROR(__xludf.DUMMYFUNCTION("IF(ISBLANK(A934),"""",GOOGLETRANSLATE(A934,""en"",""fr""))"),"")</f>
        <v/>
      </c>
    </row>
    <row r="935" spans="2:2">
      <c r="B935" s="3" t="str">
        <f ca="1">IFERROR(__xludf.DUMMYFUNCTION("IF(ISBLANK(A935),"""",GOOGLETRANSLATE(A935,""en"",""fr""))"),"")</f>
        <v/>
      </c>
    </row>
    <row r="936" spans="2:2">
      <c r="B936" s="3" t="str">
        <f ca="1">IFERROR(__xludf.DUMMYFUNCTION("IF(ISBLANK(A936),"""",GOOGLETRANSLATE(A936,""en"",""fr""))"),"")</f>
        <v/>
      </c>
    </row>
    <row r="937" spans="2:2">
      <c r="B937" s="3" t="str">
        <f ca="1">IFERROR(__xludf.DUMMYFUNCTION("IF(ISBLANK(A937),"""",GOOGLETRANSLATE(A937,""en"",""fr""))"),"")</f>
        <v/>
      </c>
    </row>
    <row r="938" spans="2:2">
      <c r="B938" s="3" t="str">
        <f ca="1">IFERROR(__xludf.DUMMYFUNCTION("IF(ISBLANK(A938),"""",GOOGLETRANSLATE(A938,""en"",""fr""))"),"")</f>
        <v/>
      </c>
    </row>
    <row r="939" spans="2:2">
      <c r="B939" s="3" t="str">
        <f ca="1">IFERROR(__xludf.DUMMYFUNCTION("IF(ISBLANK(A939),"""",GOOGLETRANSLATE(A939,""en"",""fr""))"),"")</f>
        <v/>
      </c>
    </row>
    <row r="940" spans="2:2">
      <c r="B940" s="3" t="str">
        <f ca="1">IFERROR(__xludf.DUMMYFUNCTION("IF(ISBLANK(A940),"""",GOOGLETRANSLATE(A940,""en"",""fr""))"),"")</f>
        <v/>
      </c>
    </row>
    <row r="941" spans="2:2">
      <c r="B941" s="3" t="str">
        <f ca="1">IFERROR(__xludf.DUMMYFUNCTION("IF(ISBLANK(A941),"""",GOOGLETRANSLATE(A941,""en"",""fr""))"),"")</f>
        <v/>
      </c>
    </row>
    <row r="942" spans="2:2">
      <c r="B942" s="3" t="str">
        <f ca="1">IFERROR(__xludf.DUMMYFUNCTION("IF(ISBLANK(A942),"""",GOOGLETRANSLATE(A942,""en"",""fr""))"),"")</f>
        <v/>
      </c>
    </row>
    <row r="943" spans="2:2">
      <c r="B943" s="3" t="str">
        <f ca="1">IFERROR(__xludf.DUMMYFUNCTION("IF(ISBLANK(A943),"""",GOOGLETRANSLATE(A943,""en"",""fr""))"),"")</f>
        <v/>
      </c>
    </row>
    <row r="944" spans="2:2">
      <c r="B944" s="3" t="str">
        <f ca="1">IFERROR(__xludf.DUMMYFUNCTION("IF(ISBLANK(A944),"""",GOOGLETRANSLATE(A944,""en"",""fr""))"),"")</f>
        <v/>
      </c>
    </row>
    <row r="945" spans="2:2">
      <c r="B945" s="3" t="str">
        <f ca="1">IFERROR(__xludf.DUMMYFUNCTION("IF(ISBLANK(A945),"""",GOOGLETRANSLATE(A945,""en"",""fr""))"),"")</f>
        <v/>
      </c>
    </row>
    <row r="946" spans="2:2">
      <c r="B946" s="3" t="str">
        <f ca="1">IFERROR(__xludf.DUMMYFUNCTION("IF(ISBLANK(A946),"""",GOOGLETRANSLATE(A946,""en"",""fr""))"),"")</f>
        <v/>
      </c>
    </row>
    <row r="947" spans="2:2">
      <c r="B947" s="3" t="str">
        <f ca="1">IFERROR(__xludf.DUMMYFUNCTION("IF(ISBLANK(A947),"""",GOOGLETRANSLATE(A947,""en"",""fr""))"),"")</f>
        <v/>
      </c>
    </row>
    <row r="948" spans="2:2">
      <c r="B948" s="3" t="str">
        <f ca="1">IFERROR(__xludf.DUMMYFUNCTION("IF(ISBLANK(A948),"""",GOOGLETRANSLATE(A948,""en"",""fr""))"),"")</f>
        <v/>
      </c>
    </row>
    <row r="949" spans="2:2">
      <c r="B949" s="3" t="str">
        <f ca="1">IFERROR(__xludf.DUMMYFUNCTION("IF(ISBLANK(A949),"""",GOOGLETRANSLATE(A949,""en"",""fr""))"),"")</f>
        <v/>
      </c>
    </row>
    <row r="950" spans="2:2">
      <c r="B950" s="3" t="str">
        <f ca="1">IFERROR(__xludf.DUMMYFUNCTION("IF(ISBLANK(A950),"""",GOOGLETRANSLATE(A950,""en"",""fr""))"),"")</f>
        <v/>
      </c>
    </row>
    <row r="951" spans="2:2">
      <c r="B951" s="3" t="str">
        <f ca="1">IFERROR(__xludf.DUMMYFUNCTION("IF(ISBLANK(A951),"""",GOOGLETRANSLATE(A951,""en"",""fr""))"),"")</f>
        <v/>
      </c>
    </row>
    <row r="952" spans="2:2">
      <c r="B952" s="3" t="str">
        <f ca="1">IFERROR(__xludf.DUMMYFUNCTION("IF(ISBLANK(A952),"""",GOOGLETRANSLATE(A952,""en"",""fr""))"),"")</f>
        <v/>
      </c>
    </row>
    <row r="953" spans="2:2">
      <c r="B953" s="3" t="str">
        <f ca="1">IFERROR(__xludf.DUMMYFUNCTION("IF(ISBLANK(A953),"""",GOOGLETRANSLATE(A953,""en"",""fr""))"),"")</f>
        <v/>
      </c>
    </row>
    <row r="954" spans="2:2">
      <c r="B954" s="3" t="str">
        <f ca="1">IFERROR(__xludf.DUMMYFUNCTION("IF(ISBLANK(A954),"""",GOOGLETRANSLATE(A954,""en"",""fr""))"),"")</f>
        <v/>
      </c>
    </row>
    <row r="955" spans="2:2">
      <c r="B955" s="3" t="str">
        <f ca="1">IFERROR(__xludf.DUMMYFUNCTION("IF(ISBLANK(A955),"""",GOOGLETRANSLATE(A955,""en"",""fr""))"),"")</f>
        <v/>
      </c>
    </row>
    <row r="956" spans="2:2">
      <c r="B956" s="3" t="str">
        <f ca="1">IFERROR(__xludf.DUMMYFUNCTION("IF(ISBLANK(A956),"""",GOOGLETRANSLATE(A956,""en"",""fr""))"),"")</f>
        <v/>
      </c>
    </row>
    <row r="957" spans="2:2">
      <c r="B957" s="3" t="str">
        <f ca="1">IFERROR(__xludf.DUMMYFUNCTION("IF(ISBLANK(A957),"""",GOOGLETRANSLATE(A957,""en"",""fr""))"),"")</f>
        <v/>
      </c>
    </row>
    <row r="958" spans="2:2">
      <c r="B958" s="3" t="str">
        <f ca="1">IFERROR(__xludf.DUMMYFUNCTION("IF(ISBLANK(A958),"""",GOOGLETRANSLATE(A958,""en"",""fr""))"),"")</f>
        <v/>
      </c>
    </row>
    <row r="959" spans="2:2">
      <c r="B959" s="3" t="str">
        <f ca="1">IFERROR(__xludf.DUMMYFUNCTION("IF(ISBLANK(A959),"""",GOOGLETRANSLATE(A959,""en"",""fr""))"),"")</f>
        <v/>
      </c>
    </row>
    <row r="960" spans="2:2">
      <c r="B960" s="3" t="str">
        <f ca="1">IFERROR(__xludf.DUMMYFUNCTION("IF(ISBLANK(A960),"""",GOOGLETRANSLATE(A960,""en"",""fr""))"),"")</f>
        <v/>
      </c>
    </row>
    <row r="961" spans="2:2">
      <c r="B961" s="3" t="str">
        <f ca="1">IFERROR(__xludf.DUMMYFUNCTION("IF(ISBLANK(A961),"""",GOOGLETRANSLATE(A961,""en"",""fr""))"),"")</f>
        <v/>
      </c>
    </row>
    <row r="962" spans="2:2">
      <c r="B962" s="3" t="str">
        <f ca="1">IFERROR(__xludf.DUMMYFUNCTION("IF(ISBLANK(A962),"""",GOOGLETRANSLATE(A962,""en"",""fr""))"),"")</f>
        <v/>
      </c>
    </row>
    <row r="963" spans="2:2">
      <c r="B963" s="3" t="str">
        <f ca="1">IFERROR(__xludf.DUMMYFUNCTION("IF(ISBLANK(A963),"""",GOOGLETRANSLATE(A963,""en"",""fr""))"),"")</f>
        <v/>
      </c>
    </row>
    <row r="964" spans="2:2">
      <c r="B964" s="3" t="str">
        <f ca="1">IFERROR(__xludf.DUMMYFUNCTION("IF(ISBLANK(A964),"""",GOOGLETRANSLATE(A964,""en"",""fr""))"),"")</f>
        <v/>
      </c>
    </row>
    <row r="965" spans="2:2">
      <c r="B965" s="3" t="str">
        <f ca="1">IFERROR(__xludf.DUMMYFUNCTION("IF(ISBLANK(A965),"""",GOOGLETRANSLATE(A965,""en"",""fr""))"),"")</f>
        <v/>
      </c>
    </row>
    <row r="966" spans="2:2">
      <c r="B966" s="3" t="str">
        <f ca="1">IFERROR(__xludf.DUMMYFUNCTION("IF(ISBLANK(A966),"""",GOOGLETRANSLATE(A966,""en"",""fr""))"),"")</f>
        <v/>
      </c>
    </row>
    <row r="967" spans="2:2">
      <c r="B967" s="3" t="str">
        <f ca="1">IFERROR(__xludf.DUMMYFUNCTION("IF(ISBLANK(A967),"""",GOOGLETRANSLATE(A967,""en"",""fr""))"),"")</f>
        <v/>
      </c>
    </row>
    <row r="968" spans="2:2">
      <c r="B968" s="3" t="str">
        <f ca="1">IFERROR(__xludf.DUMMYFUNCTION("IF(ISBLANK(A968),"""",GOOGLETRANSLATE(A968,""en"",""fr""))"),"")</f>
        <v/>
      </c>
    </row>
    <row r="969" spans="2:2">
      <c r="B969" s="3" t="str">
        <f ca="1">IFERROR(__xludf.DUMMYFUNCTION("IF(ISBLANK(A969),"""",GOOGLETRANSLATE(A969,""en"",""fr""))"),"")</f>
        <v/>
      </c>
    </row>
    <row r="970" spans="2:2">
      <c r="B970" s="3" t="str">
        <f ca="1">IFERROR(__xludf.DUMMYFUNCTION("IF(ISBLANK(A970),"""",GOOGLETRANSLATE(A970,""en"",""fr""))"),"")</f>
        <v/>
      </c>
    </row>
    <row r="971" spans="2:2">
      <c r="B971" s="3" t="str">
        <f ca="1">IFERROR(__xludf.DUMMYFUNCTION("IF(ISBLANK(A971),"""",GOOGLETRANSLATE(A971,""en"",""fr""))"),"")</f>
        <v/>
      </c>
    </row>
    <row r="972" spans="2:2">
      <c r="B972" s="3" t="str">
        <f ca="1">IFERROR(__xludf.DUMMYFUNCTION("IF(ISBLANK(A972),"""",GOOGLETRANSLATE(A972,""en"",""fr""))"),"")</f>
        <v/>
      </c>
    </row>
    <row r="973" spans="2:2">
      <c r="B973" s="3" t="str">
        <f ca="1">IFERROR(__xludf.DUMMYFUNCTION("IF(ISBLANK(A973),"""",GOOGLETRANSLATE(A973,""en"",""fr""))"),"")</f>
        <v/>
      </c>
    </row>
    <row r="974" spans="2:2">
      <c r="B974" s="3" t="str">
        <f ca="1">IFERROR(__xludf.DUMMYFUNCTION("IF(ISBLANK(A974),"""",GOOGLETRANSLATE(A974,""en"",""fr""))"),"")</f>
        <v/>
      </c>
    </row>
    <row r="975" spans="2:2">
      <c r="B975" s="3" t="str">
        <f ca="1">IFERROR(__xludf.DUMMYFUNCTION("IF(ISBLANK(A975),"""",GOOGLETRANSLATE(A975,""en"",""fr""))"),"")</f>
        <v/>
      </c>
    </row>
    <row r="976" spans="2:2">
      <c r="B976" s="3" t="str">
        <f ca="1">IFERROR(__xludf.DUMMYFUNCTION("IF(ISBLANK(A976),"""",GOOGLETRANSLATE(A976,""en"",""fr""))"),"")</f>
        <v/>
      </c>
    </row>
    <row r="977" spans="2:2">
      <c r="B977" s="3" t="str">
        <f ca="1">IFERROR(__xludf.DUMMYFUNCTION("IF(ISBLANK(A977),"""",GOOGLETRANSLATE(A977,""en"",""fr""))"),"")</f>
        <v/>
      </c>
    </row>
    <row r="978" spans="2:2">
      <c r="B978" s="3" t="str">
        <f ca="1">IFERROR(__xludf.DUMMYFUNCTION("IF(ISBLANK(A978),"""",GOOGLETRANSLATE(A978,""en"",""fr""))"),"")</f>
        <v/>
      </c>
    </row>
    <row r="979" spans="2:2">
      <c r="B979" s="3" t="str">
        <f ca="1">IFERROR(__xludf.DUMMYFUNCTION("IF(ISBLANK(A979),"""",GOOGLETRANSLATE(A979,""en"",""fr""))"),"")</f>
        <v/>
      </c>
    </row>
    <row r="980" spans="2:2">
      <c r="B980" s="3" t="str">
        <f ca="1">IFERROR(__xludf.DUMMYFUNCTION("IF(ISBLANK(A980),"""",GOOGLETRANSLATE(A980,""en"",""fr""))"),"")</f>
        <v/>
      </c>
    </row>
    <row r="981" spans="2:2">
      <c r="B981" s="3" t="str">
        <f ca="1">IFERROR(__xludf.DUMMYFUNCTION("IF(ISBLANK(A981),"""",GOOGLETRANSLATE(A981,""en"",""fr""))"),"")</f>
        <v/>
      </c>
    </row>
    <row r="982" spans="2:2">
      <c r="B982" s="3" t="str">
        <f ca="1">IFERROR(__xludf.DUMMYFUNCTION("IF(ISBLANK(A982),"""",GOOGLETRANSLATE(A982,""en"",""fr""))"),"")</f>
        <v/>
      </c>
    </row>
    <row r="983" spans="2:2">
      <c r="B983" s="3" t="str">
        <f ca="1">IFERROR(__xludf.DUMMYFUNCTION("IF(ISBLANK(A983),"""",GOOGLETRANSLATE(A983,""en"",""fr""))"),"")</f>
        <v/>
      </c>
    </row>
    <row r="984" spans="2:2">
      <c r="B984" s="3" t="str">
        <f ca="1">IFERROR(__xludf.DUMMYFUNCTION("IF(ISBLANK(A984),"""",GOOGLETRANSLATE(A984,""en"",""fr""))"),"")</f>
        <v/>
      </c>
    </row>
    <row r="985" spans="2:2">
      <c r="B985" s="3" t="str">
        <f ca="1">IFERROR(__xludf.DUMMYFUNCTION("IF(ISBLANK(A985),"""",GOOGLETRANSLATE(A985,""en"",""fr""))"),"")</f>
        <v/>
      </c>
    </row>
    <row r="986" spans="2:2">
      <c r="B986" s="3" t="str">
        <f ca="1">IFERROR(__xludf.DUMMYFUNCTION("IF(ISBLANK(A986),"""",GOOGLETRANSLATE(A986,""en"",""fr""))"),"")</f>
        <v/>
      </c>
    </row>
    <row r="987" spans="2:2">
      <c r="B987" s="3" t="str">
        <f ca="1">IFERROR(__xludf.DUMMYFUNCTION("IF(ISBLANK(A987),"""",GOOGLETRANSLATE(A987,""en"",""fr""))"),"")</f>
        <v/>
      </c>
    </row>
    <row r="988" spans="2:2">
      <c r="B988" s="3" t="str">
        <f ca="1">IFERROR(__xludf.DUMMYFUNCTION("IF(ISBLANK(A988),"""",GOOGLETRANSLATE(A988,""en"",""fr""))"),"")</f>
        <v/>
      </c>
    </row>
    <row r="989" spans="2:2">
      <c r="B989" s="3" t="str">
        <f ca="1">IFERROR(__xludf.DUMMYFUNCTION("IF(ISBLANK(A989),"""",GOOGLETRANSLATE(A989,""en"",""fr""))"),"")</f>
        <v/>
      </c>
    </row>
    <row r="990" spans="2:2">
      <c r="B990" s="3" t="str">
        <f ca="1">IFERROR(__xludf.DUMMYFUNCTION("IF(ISBLANK(A990),"""",GOOGLETRANSLATE(A990,""en"",""fr""))"),"")</f>
        <v/>
      </c>
    </row>
    <row r="991" spans="2:2">
      <c r="B991" s="3" t="str">
        <f ca="1">IFERROR(__xludf.DUMMYFUNCTION("IF(ISBLANK(A991),"""",GOOGLETRANSLATE(A991,""en"",""fr""))"),"")</f>
        <v/>
      </c>
    </row>
    <row r="992" spans="2:2">
      <c r="B992" s="3" t="str">
        <f ca="1">IFERROR(__xludf.DUMMYFUNCTION("IF(ISBLANK(A992),"""",GOOGLETRANSLATE(A992,""en"",""fr""))"),"")</f>
        <v/>
      </c>
    </row>
    <row r="993" spans="2:2">
      <c r="B993" s="3" t="str">
        <f ca="1">IFERROR(__xludf.DUMMYFUNCTION("IF(ISBLANK(A993),"""",GOOGLETRANSLATE(A993,""en"",""fr""))"),"")</f>
        <v/>
      </c>
    </row>
    <row r="994" spans="2:2">
      <c r="B994" s="3" t="str">
        <f ca="1">IFERROR(__xludf.DUMMYFUNCTION("IF(ISBLANK(A994),"""",GOOGLETRANSLATE(A994,""en"",""fr""))"),"")</f>
        <v/>
      </c>
    </row>
    <row r="995" spans="2:2">
      <c r="B995" s="3" t="str">
        <f ca="1">IFERROR(__xludf.DUMMYFUNCTION("IF(ISBLANK(A995),"""",GOOGLETRANSLATE(A995,""en"",""fr""))"),"")</f>
        <v/>
      </c>
    </row>
    <row r="996" spans="2:2">
      <c r="B996" s="3" t="str">
        <f ca="1">IFERROR(__xludf.DUMMYFUNCTION("IF(ISBLANK(A996),"""",GOOGLETRANSLATE(A996,""en"",""fr""))"),"")</f>
        <v/>
      </c>
    </row>
    <row r="997" spans="2:2">
      <c r="B997" s="3" t="str">
        <f ca="1">IFERROR(__xludf.DUMMYFUNCTION("IF(ISBLANK(A997),"""",GOOGLETRANSLATE(A997,""en"",""fr""))"),"")</f>
        <v/>
      </c>
    </row>
    <row r="998" spans="2:2">
      <c r="B998" s="3" t="str">
        <f ca="1">IFERROR(__xludf.DUMMYFUNCTION("IF(ISBLANK(A998),"""",GOOGLETRANSLATE(A998,""en"",""fr""))"),"")</f>
        <v/>
      </c>
    </row>
    <row r="999" spans="2:2">
      <c r="B999" s="3" t="str">
        <f ca="1">IFERROR(__xludf.DUMMYFUNCTION("IF(ISBLANK(A999),"""",GOOGLETRANSLATE(A999,""en"",""fr""))"),"")</f>
        <v/>
      </c>
    </row>
    <row r="1000" spans="2:2">
      <c r="B1000" s="3" t="str">
        <f ca="1">IFERROR(__xludf.DUMMYFUNCTION("IF(ISBLANK(A1000),"""",GOOGLETRANSLATE(A1000,""en"",""fr""))"),"")</f>
        <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B1000"/>
  <sheetViews>
    <sheetView topLeftCell="A17" workbookViewId="0">
      <selection activeCell="A42" sqref="A42"/>
    </sheetView>
  </sheetViews>
  <sheetFormatPr defaultColWidth="12.6640625" defaultRowHeight="15.75" customHeight="1"/>
  <cols>
    <col min="1" max="1" width="126" customWidth="1"/>
  </cols>
  <sheetData>
    <row r="1" spans="1:2">
      <c r="A1" s="1" t="s">
        <v>0</v>
      </c>
      <c r="B1" s="1"/>
    </row>
    <row r="2" spans="1:2">
      <c r="A2" s="3" t="s">
        <v>541</v>
      </c>
      <c r="B2" s="3" t="s">
        <v>1114</v>
      </c>
    </row>
    <row r="3" spans="1:2">
      <c r="A3" s="3" t="s">
        <v>542</v>
      </c>
      <c r="B3" s="3" t="s">
        <v>1115</v>
      </c>
    </row>
    <row r="4" spans="1:2">
      <c r="A4" s="3" t="s">
        <v>543</v>
      </c>
      <c r="B4" s="3" t="s">
        <v>1116</v>
      </c>
    </row>
    <row r="5" spans="1:2">
      <c r="A5" s="3" t="s">
        <v>70</v>
      </c>
      <c r="B5" s="3" t="s">
        <v>1050</v>
      </c>
    </row>
    <row r="6" spans="1:2">
      <c r="A6" s="3" t="s">
        <v>14</v>
      </c>
      <c r="B6" s="3" t="s">
        <v>1056</v>
      </c>
    </row>
    <row r="7" spans="1:2">
      <c r="A7" s="3" t="s">
        <v>544</v>
      </c>
      <c r="B7" s="3" t="s">
        <v>1117</v>
      </c>
    </row>
    <row r="8" spans="1:2">
      <c r="A8" s="3" t="s">
        <v>545</v>
      </c>
      <c r="B8" s="3" t="s">
        <v>1118</v>
      </c>
    </row>
    <row r="9" spans="1:2">
      <c r="A9" s="3" t="s">
        <v>546</v>
      </c>
      <c r="B9" s="3" t="s">
        <v>1119</v>
      </c>
    </row>
    <row r="10" spans="1:2">
      <c r="A10" s="3" t="s">
        <v>547</v>
      </c>
      <c r="B10" s="3" t="s">
        <v>1120</v>
      </c>
    </row>
    <row r="11" spans="1:2">
      <c r="A11" s="3" t="s">
        <v>548</v>
      </c>
      <c r="B11" s="3" t="s">
        <v>1121</v>
      </c>
    </row>
    <row r="12" spans="1:2">
      <c r="A12" s="3" t="s">
        <v>549</v>
      </c>
      <c r="B12" s="3" t="s">
        <v>1122</v>
      </c>
    </row>
    <row r="13" spans="1:2">
      <c r="A13" s="3" t="s">
        <v>550</v>
      </c>
      <c r="B13" s="3" t="s">
        <v>1123</v>
      </c>
    </row>
    <row r="14" spans="1:2">
      <c r="A14" s="3" t="s">
        <v>551</v>
      </c>
      <c r="B14" s="3" t="s">
        <v>1124</v>
      </c>
    </row>
    <row r="15" spans="1:2">
      <c r="A15" s="3" t="s">
        <v>552</v>
      </c>
      <c r="B15" s="3" t="s">
        <v>1125</v>
      </c>
    </row>
    <row r="16" spans="1:2">
      <c r="A16" s="3" t="s">
        <v>553</v>
      </c>
      <c r="B16" s="3" t="s">
        <v>1126</v>
      </c>
    </row>
    <row r="17" spans="1:2">
      <c r="A17" s="3" t="s">
        <v>554</v>
      </c>
      <c r="B17" s="3" t="s">
        <v>1127</v>
      </c>
    </row>
    <row r="18" spans="1:2">
      <c r="A18" s="3" t="s">
        <v>478</v>
      </c>
      <c r="B18" s="3" t="s">
        <v>1097</v>
      </c>
    </row>
    <row r="19" spans="1:2">
      <c r="B19" s="3"/>
    </row>
    <row r="20" spans="1:2">
      <c r="A20" s="3" t="s">
        <v>555</v>
      </c>
      <c r="B20" s="3" t="s">
        <v>1128</v>
      </c>
    </row>
    <row r="21" spans="1:2">
      <c r="A21" s="3" t="s">
        <v>556</v>
      </c>
      <c r="B21" s="3" t="s">
        <v>1129</v>
      </c>
    </row>
    <row r="22" spans="1:2">
      <c r="A22" s="3" t="s">
        <v>557</v>
      </c>
      <c r="B22" s="3" t="s">
        <v>1130</v>
      </c>
    </row>
    <row r="23" spans="1:2">
      <c r="A23" s="3" t="s">
        <v>558</v>
      </c>
      <c r="B23" s="3" t="s">
        <v>1131</v>
      </c>
    </row>
    <row r="24" spans="1:2">
      <c r="A24" s="3" t="s">
        <v>559</v>
      </c>
      <c r="B24" s="3" t="s">
        <v>1132</v>
      </c>
    </row>
    <row r="25" spans="1:2">
      <c r="A25" s="3" t="s">
        <v>560</v>
      </c>
      <c r="B25" s="3" t="s">
        <v>1133</v>
      </c>
    </row>
    <row r="26" spans="1:2">
      <c r="A26" s="3" t="s">
        <v>561</v>
      </c>
      <c r="B26" s="3" t="s">
        <v>1134</v>
      </c>
    </row>
    <row r="27" spans="1:2">
      <c r="A27" s="3" t="s">
        <v>562</v>
      </c>
      <c r="B27" s="3" t="s">
        <v>1135</v>
      </c>
    </row>
    <row r="28" spans="1:2">
      <c r="A28" s="3" t="s">
        <v>563</v>
      </c>
      <c r="B28" s="3" t="s">
        <v>1136</v>
      </c>
    </row>
    <row r="29" spans="1:2">
      <c r="A29" s="3" t="s">
        <v>564</v>
      </c>
      <c r="B29" s="3" t="s">
        <v>1137</v>
      </c>
    </row>
    <row r="30" spans="1:2">
      <c r="A30" s="3" t="s">
        <v>565</v>
      </c>
      <c r="B30" s="3" t="s">
        <v>1138</v>
      </c>
    </row>
    <row r="31" spans="1:2">
      <c r="A31" s="3" t="s">
        <v>566</v>
      </c>
      <c r="B31" s="3" t="s">
        <v>1139</v>
      </c>
    </row>
    <row r="32" spans="1:2">
      <c r="A32" s="3" t="s">
        <v>567</v>
      </c>
      <c r="B32" s="3" t="s">
        <v>1140</v>
      </c>
    </row>
    <row r="33" spans="1:2">
      <c r="A33" s="3" t="s">
        <v>568</v>
      </c>
      <c r="B33" s="3" t="s">
        <v>1141</v>
      </c>
    </row>
    <row r="34" spans="1:2">
      <c r="A34" s="3" t="s">
        <v>569</v>
      </c>
      <c r="B34" s="3" t="s">
        <v>1142</v>
      </c>
    </row>
    <row r="35" spans="1:2">
      <c r="A35" s="3" t="s">
        <v>106</v>
      </c>
      <c r="B35" s="3" t="str">
        <f ca="1">IFERROR(__xludf.DUMMYFUNCTION("IF(ISBLANK(A35),"""",GOOGLETRANSLATE(A35,""en"",""fr""))"),"Parlons de la suite")</f>
        <v>Parlons de la suite</v>
      </c>
    </row>
    <row r="36" spans="1:2">
      <c r="A36" s="3" t="s">
        <v>570</v>
      </c>
      <c r="B36" s="3" t="str">
        <f ca="1">IFERROR(__xludf.DUMMYFUNCTION("IF(ISBLANK(A36),"""",GOOGLETRANSLATE(A36,""en"",""fr""))"),"Découvrez comment NETSOL vous aide à libérer le véritable potentiel de vos données grâce à l'IA et au ML.")</f>
        <v>Découvrez comment NETSOL vous aide à libérer le véritable potentiel de vos données grâce à l'IA et au ML.</v>
      </c>
    </row>
    <row r="37" spans="1:2">
      <c r="B37" s="3" t="str">
        <f ca="1">IFERROR(__xludf.DUMMYFUNCTION("IF(ISBLANK(A37),"""",GOOGLETRANSLATE(A37,""en"",""fr""))"),"")</f>
        <v/>
      </c>
    </row>
    <row r="38" spans="1:2">
      <c r="A38" s="3" t="s">
        <v>94</v>
      </c>
      <c r="B38" s="3" t="str">
        <f ca="1">IFERROR(__xludf.DUMMYFUNCTION("IF(ISBLANK(A38),"""",GOOGLETRANSLATE(A38,""en"",""fr""))"),"Lectures et idées en vedette")</f>
        <v>Lectures et idées en vedette</v>
      </c>
    </row>
    <row r="39" spans="1:2">
      <c r="A39" s="10" t="s">
        <v>95</v>
      </c>
      <c r="B39" s="3" t="str">
        <f ca="1">IFERROR(__xludf.DUMMYFUNCTION("IF(ISBLANK(A39),"""",GOOGLETRANSLATE(A39,""en"",""fr""))"),"Restez informé des dernières actualités de NETSOL. Réflexions stratégiques, mises à jour produits, perspectives sectorielles et actualités de l'entreprise, tout est réuni au même endroit.")</f>
        <v>Restez informé des dernières actualités de NETSOL. Réflexions stratégiques, mises à jour produits, perspectives sectorielles et actualités de l'entreprise, tout est réuni au même endroit.</v>
      </c>
    </row>
    <row r="40" spans="1:2">
      <c r="A40" s="3" t="s">
        <v>96</v>
      </c>
      <c r="B40" s="3" t="str">
        <f ca="1">IFERROR(__xludf.DUMMYFUNCTION("IF(ISBLANK(A40),"""",GOOGLETRANSLATE(A40,""en"",""fr""))"),"Blog")</f>
        <v>Blog</v>
      </c>
    </row>
    <row r="41" spans="1:2">
      <c r="A41" s="3" t="s">
        <v>97</v>
      </c>
      <c r="B41" s="3" t="str">
        <f ca="1">IFERROR(__xludf.DUMMYFUNCTION("IF(ISBLANK(A41),"""",GOOGLETRANSLATE(A41,""en"",""fr""))"),"Au-delà du DMS : pourquoi l’avenir du commerce automobile repose sur les API")</f>
        <v>Au-delà du DMS : pourquoi l’avenir du commerce automobile repose sur les API</v>
      </c>
    </row>
    <row r="42" spans="1:2">
      <c r="A42" s="3" t="s">
        <v>23</v>
      </c>
      <c r="B42" s="3" t="str">
        <f ca="1">IFERROR(__xludf.DUMMYFUNCTION("IF(ISBLANK(A42),"""",GOOGLETRANSLATE(A42,""en"",""fr""))"),"Apprendre encore plus")</f>
        <v>Apprendre encore plus</v>
      </c>
    </row>
    <row r="43" spans="1:2">
      <c r="B43" s="3" t="str">
        <f ca="1">IFERROR(__xludf.DUMMYFUNCTION("IF(ISBLANK(A43),"""",GOOGLETRANSLATE(A43,""en"",""fr""))"),"")</f>
        <v/>
      </c>
    </row>
    <row r="44" spans="1:2">
      <c r="A44" s="3" t="s">
        <v>98</v>
      </c>
      <c r="B44" s="3" t="str">
        <f ca="1">IFERROR(__xludf.DUMMYFUNCTION("IF(ISBLANK(A44),"""",GOOGLETRANSLATE(A44,""en"",""fr""))"),"NETSOL est présent à la conférence et aux prix GlobalData Automotive Europe 2025.")</f>
        <v>NETSOL est présent à la conférence et aux prix GlobalData Automotive Europe 2025.</v>
      </c>
    </row>
    <row r="45" spans="1:2">
      <c r="B45" s="3" t="str">
        <f ca="1">IFERROR(__xludf.DUMMYFUNCTION("IF(ISBLANK(A45),"""",GOOGLETRANSLATE(A45,""en"",""fr""))"),"")</f>
        <v/>
      </c>
    </row>
    <row r="46" spans="1:2">
      <c r="B46" s="3" t="str">
        <f ca="1">IFERROR(__xludf.DUMMYFUNCTION("IF(ISBLANK(A46),"""",GOOGLETRANSLATE(A46,""en"",""fr""))"),"")</f>
        <v/>
      </c>
    </row>
    <row r="47" spans="1:2">
      <c r="A47" s="3" t="s">
        <v>99</v>
      </c>
      <c r="B47" s="3" t="str">
        <f ca="1">IFERROR(__xludf.DUMMYFUNCTION("IF(ISBLANK(A47),"""",GOOGLETRANSLATE(A47,""en"",""fr""))"),"NETSOL participe au 25e Sommet annuel du financement automobile : Piloter l'avenir du financement automobile")</f>
        <v>NETSOL participe au 25e Sommet annuel du financement automobile : Piloter l'avenir du financement automobile</v>
      </c>
    </row>
    <row r="48" spans="1:2">
      <c r="B48" s="3" t="str">
        <f ca="1">IFERROR(__xludf.DUMMYFUNCTION("IF(ISBLANK(A48),"""",GOOGLETRANSLATE(A48,""en"",""fr""))"),"")</f>
        <v/>
      </c>
    </row>
    <row r="49" spans="1:2">
      <c r="B49" s="3" t="str">
        <f ca="1">IFERROR(__xludf.DUMMYFUNCTION("IF(ISBLANK(A49),"""",GOOGLETRANSLATE(A49,""en"",""fr""))"),"")</f>
        <v/>
      </c>
    </row>
    <row r="50" spans="1:2">
      <c r="A50" s="3" t="s">
        <v>100</v>
      </c>
      <c r="B50" s="3" t="str">
        <f ca="1">IFERROR(__xludf.DUMMYFUNCTION("IF(ISBLANK(A50),"""",GOOGLETRANSLATE(A50,""en"",""fr""))"),"NETSOL est présent à Digital Dealer 2025 : façonner l’avenir de la vente automobile")</f>
        <v>NETSOL est présent à Digital Dealer 2025 : façonner l’avenir de la vente automobile</v>
      </c>
    </row>
    <row r="51" spans="1:2">
      <c r="B51" s="3" t="str">
        <f ca="1">IFERROR(__xludf.DUMMYFUNCTION("IF(ISBLANK(A51),"""",GOOGLETRANSLATE(A51,""en"",""fr""))"),"")</f>
        <v/>
      </c>
    </row>
    <row r="52" spans="1:2">
      <c r="B52" s="3" t="str">
        <f ca="1">IFERROR(__xludf.DUMMYFUNCTION("IF(ISBLANK(A52),"""",GOOGLETRANSLATE(A52,""en"",""fr""))"),"")</f>
        <v/>
      </c>
    </row>
    <row r="53" spans="1:2">
      <c r="A53" s="6" t="s">
        <v>101</v>
      </c>
      <c r="B53" s="3" t="str">
        <f ca="1">IFERROR(__xludf.DUMMYFUNCTION("IF(ISBLANK(A53),"""",GOOGLETRANSLATE(A53,""en"",""fr""))"),"L'IA dans le secteur des services financiers et de l'investissement : révolutionner la gestion des risques")</f>
        <v>L'IA dans le secteur des services financiers et de l'investissement : révolutionner la gestion des risques</v>
      </c>
    </row>
    <row r="54" spans="1:2">
      <c r="B54" s="3" t="str">
        <f ca="1">IFERROR(__xludf.DUMMYFUNCTION("IF(ISBLANK(A54),"""",GOOGLETRANSLATE(A54,""en"",""fr""))"),"")</f>
        <v/>
      </c>
    </row>
    <row r="55" spans="1:2">
      <c r="B55" s="3" t="str">
        <f ca="1">IFERROR(__xludf.DUMMYFUNCTION("IF(ISBLANK(A55),"""",GOOGLETRANSLATE(A55,""en"",""fr""))"),"")</f>
        <v/>
      </c>
    </row>
    <row r="56" spans="1:2">
      <c r="A56" s="3" t="s">
        <v>102</v>
      </c>
      <c r="B56" s="3" t="str">
        <f ca="1">IFERROR(__xludf.DUMMYFUNCTION("IF(ISBLANK(A56),"""",GOOGLETRANSLATE(A56,""en"",""fr""))"),"L'importance de la personnalisation du service client : adapter la gestion des paiements et des litiges aux besoins des clients")</f>
        <v>L'importance de la personnalisation du service client : adapter la gestion des paiements et des litiges aux besoins des clients</v>
      </c>
    </row>
    <row r="57" spans="1:2">
      <c r="B57" s="3" t="str">
        <f ca="1">IFERROR(__xludf.DUMMYFUNCTION("IF(ISBLANK(A57),"""",GOOGLETRANSLATE(A57,""en"",""fr""))"),"")</f>
        <v/>
      </c>
    </row>
    <row r="58" spans="1:2">
      <c r="B58" s="3" t="str">
        <f ca="1">IFERROR(__xludf.DUMMYFUNCTION("IF(ISBLANK(A58),"""",GOOGLETRANSLATE(A58,""en"",""fr""))"),"")</f>
        <v/>
      </c>
    </row>
    <row r="59" spans="1:2">
      <c r="A59" s="3" t="s">
        <v>103</v>
      </c>
      <c r="B59" s="3" t="str">
        <f ca="1">IFERROR(__xludf.DUMMYFUNCTION("IF(ISBLANK(A59),"""",GOOGLETRANSLATE(A59,""en"",""fr""))"),"Le véritable coût des systèmes déconnectés dans le commerce de détail automobile")</f>
        <v>Le véritable coût des systèmes déconnectés dans le commerce de détail automobile</v>
      </c>
    </row>
    <row r="60" spans="1:2">
      <c r="B60" s="3" t="str">
        <f ca="1">IFERROR(__xludf.DUMMYFUNCTION("IF(ISBLANK(A60),"""",GOOGLETRANSLATE(A60,""en"",""fr""))"),"")</f>
        <v/>
      </c>
    </row>
    <row r="61" spans="1:2">
      <c r="B61" s="3" t="str">
        <f ca="1">IFERROR(__xludf.DUMMYFUNCTION("IF(ISBLANK(A61),"""",GOOGLETRANSLATE(A61,""en"",""fr""))"),"")</f>
        <v/>
      </c>
    </row>
    <row r="62" spans="1:2">
      <c r="A62" s="3" t="s">
        <v>104</v>
      </c>
      <c r="B62" s="3" t="str">
        <f ca="1">IFERROR(__xludf.DUMMYFUNCTION("IF(ISBLANK(A62),"""",GOOGLETRANSLATE(A62,""en"",""fr""))"),"Captive du futur : Comment la technologie redéfinit les opérations financières des captives - Points clés du webinaire de l'AFSA")</f>
        <v>Captive du futur : Comment la technologie redéfinit les opérations financières des captives - Points clés du webinaire de l'AFSA</v>
      </c>
    </row>
    <row r="63" spans="1:2">
      <c r="B63" s="3" t="str">
        <f ca="1">IFERROR(__xludf.DUMMYFUNCTION("IF(ISBLANK(A63),"""",GOOGLETRANSLATE(A63,""en"",""fr""))"),"")</f>
        <v/>
      </c>
    </row>
    <row r="64" spans="1:2">
      <c r="B64" s="3" t="str">
        <f ca="1">IFERROR(__xludf.DUMMYFUNCTION("IF(ISBLANK(A64),"""",GOOGLETRANSLATE(A64,""en"",""fr""))"),"")</f>
        <v/>
      </c>
    </row>
    <row r="65" spans="1:2">
      <c r="A65" s="3" t="s">
        <v>105</v>
      </c>
      <c r="B65" s="3" t="str">
        <f ca="1">IFERROR(__xludf.DUMMYFUNCTION("IF(ISBLANK(A65),"""",GOOGLETRANSLATE(A65,""en"",""fr""))"),"Lutte contre la fraude dans le secteur financier de gros : exploiter la technologie pour une détection précoce et une atténuation des risques")</f>
        <v>Lutte contre la fraude dans le secteur financier de gros : exploiter la technologie pour une détection précoce et une atténuation des risques</v>
      </c>
    </row>
    <row r="66" spans="1:2">
      <c r="B66" s="3" t="str">
        <f ca="1">IFERROR(__xludf.DUMMYFUNCTION("IF(ISBLANK(A66),"""",GOOGLETRANSLATE(A66,""en"",""fr""))"),"")</f>
        <v/>
      </c>
    </row>
    <row r="67" spans="1:2">
      <c r="A67" s="3" t="s">
        <v>108</v>
      </c>
      <c r="B67" s="3" t="str">
        <f ca="1">IFERROR(__xludf.DUMMYFUNCTION("IF(ISBLANK(A67),"""",GOOGLETRANSLATE(A67,""en"",""fr""))"),"Abonnez-vous à notre newsletter pour recevoir les dernières nouvelles dans votre boîte mail.")</f>
        <v>Abonnez-vous à notre newsletter pour recevoir les dernières nouvelles dans votre boîte mail.</v>
      </c>
    </row>
    <row r="68" spans="1:2">
      <c r="A68" s="3" t="s">
        <v>109</v>
      </c>
      <c r="B68" s="3" t="str">
        <f ca="1">IFERROR(__xludf.DUMMYFUNCTION("IF(ISBLANK(A68),"""",GOOGLETRANSLATE(A68,""en"",""fr""))"),"abc@exemple.com")</f>
        <v>abc@exemple.com</v>
      </c>
    </row>
    <row r="69" spans="1:2">
      <c r="A69" s="3" t="s">
        <v>110</v>
      </c>
      <c r="B69" s="3" t="str">
        <f ca="1">IFERROR(__xludf.DUMMYFUNCTION("IF(ISBLANK(A69),"""",GOOGLETRANSLATE(A69,""en"",""fr""))"),"S'abonner ")</f>
        <v xml:space="preserve">S'abonner </v>
      </c>
    </row>
    <row r="70" spans="1:2">
      <c r="B70" s="3" t="str">
        <f ca="1">IFERROR(__xludf.DUMMYFUNCTION("IF(ISBLANK(A70),"""",GOOGLETRANSLATE(A70,""en"",""fr""))"),"")</f>
        <v/>
      </c>
    </row>
    <row r="71" spans="1:2">
      <c r="B71" s="3" t="str">
        <f ca="1">IFERROR(__xludf.DUMMYFUNCTION("IF(ISBLANK(A71),"""",GOOGLETRANSLATE(A71,""en"",""fr""))"),"")</f>
        <v/>
      </c>
    </row>
    <row r="72" spans="1:2">
      <c r="B72" s="3" t="str">
        <f ca="1">IFERROR(__xludf.DUMMYFUNCTION("IF(ISBLANK(A72),"""",GOOGLETRANSLATE(A72,""en"",""fr""))"),"")</f>
        <v/>
      </c>
    </row>
    <row r="73" spans="1:2">
      <c r="B73" s="3" t="str">
        <f ca="1">IFERROR(__xludf.DUMMYFUNCTION("IF(ISBLANK(A73),"""",GOOGLETRANSLATE(A73,""en"",""fr""))"),"")</f>
        <v/>
      </c>
    </row>
    <row r="74" spans="1:2">
      <c r="B74" s="3" t="str">
        <f ca="1">IFERROR(__xludf.DUMMYFUNCTION("IF(ISBLANK(A74),"""",GOOGLETRANSLATE(A74,""en"",""fr""))"),"")</f>
        <v/>
      </c>
    </row>
    <row r="75" spans="1:2">
      <c r="B75" s="3" t="str">
        <f ca="1">IFERROR(__xludf.DUMMYFUNCTION("IF(ISBLANK(A75),"""",GOOGLETRANSLATE(A75,""en"",""fr""))"),"")</f>
        <v/>
      </c>
    </row>
    <row r="76" spans="1:2">
      <c r="B76" s="3" t="str">
        <f ca="1">IFERROR(__xludf.DUMMYFUNCTION("IF(ISBLANK(A76),"""",GOOGLETRANSLATE(A76,""en"",""fr""))"),"")</f>
        <v/>
      </c>
    </row>
    <row r="77" spans="1:2">
      <c r="B77" s="3" t="str">
        <f ca="1">IFERROR(__xludf.DUMMYFUNCTION("IF(ISBLANK(A77),"""",GOOGLETRANSLATE(A77,""en"",""fr""))"),"")</f>
        <v/>
      </c>
    </row>
    <row r="78" spans="1:2">
      <c r="B78" s="3" t="str">
        <f ca="1">IFERROR(__xludf.DUMMYFUNCTION("IF(ISBLANK(A78),"""",GOOGLETRANSLATE(A78,""en"",""fr""))"),"")</f>
        <v/>
      </c>
    </row>
    <row r="79" spans="1:2">
      <c r="B79" s="3" t="str">
        <f ca="1">IFERROR(__xludf.DUMMYFUNCTION("IF(ISBLANK(A79),"""",GOOGLETRANSLATE(A79,""en"",""fr""))"),"")</f>
        <v/>
      </c>
    </row>
    <row r="80" spans="1:2">
      <c r="B80" s="3" t="str">
        <f ca="1">IFERROR(__xludf.DUMMYFUNCTION("IF(ISBLANK(A80),"""",GOOGLETRANSLATE(A80,""en"",""fr""))"),"")</f>
        <v/>
      </c>
    </row>
    <row r="81" spans="2:2">
      <c r="B81" s="3" t="str">
        <f ca="1">IFERROR(__xludf.DUMMYFUNCTION("IF(ISBLANK(A81),"""",GOOGLETRANSLATE(A81,""en"",""fr""))"),"")</f>
        <v/>
      </c>
    </row>
    <row r="82" spans="2:2">
      <c r="B82" s="3" t="str">
        <f ca="1">IFERROR(__xludf.DUMMYFUNCTION("IF(ISBLANK(A82),"""",GOOGLETRANSLATE(A82,""en"",""fr""))"),"")</f>
        <v/>
      </c>
    </row>
    <row r="83" spans="2:2">
      <c r="B83" s="3" t="str">
        <f ca="1">IFERROR(__xludf.DUMMYFUNCTION("IF(ISBLANK(A83),"""",GOOGLETRANSLATE(A83,""en"",""fr""))"),"")</f>
        <v/>
      </c>
    </row>
    <row r="84" spans="2:2">
      <c r="B84" s="3" t="str">
        <f ca="1">IFERROR(__xludf.DUMMYFUNCTION("IF(ISBLANK(A84),"""",GOOGLETRANSLATE(A84,""en"",""fr""))"),"")</f>
        <v/>
      </c>
    </row>
    <row r="85" spans="2:2">
      <c r="B85" s="3" t="str">
        <f ca="1">IFERROR(__xludf.DUMMYFUNCTION("IF(ISBLANK(A85),"""",GOOGLETRANSLATE(A85,""en"",""fr""))"),"")</f>
        <v/>
      </c>
    </row>
    <row r="86" spans="2:2">
      <c r="B86" s="3" t="str">
        <f ca="1">IFERROR(__xludf.DUMMYFUNCTION("IF(ISBLANK(A86),"""",GOOGLETRANSLATE(A86,""en"",""fr""))"),"")</f>
        <v/>
      </c>
    </row>
    <row r="87" spans="2:2">
      <c r="B87" s="3" t="str">
        <f ca="1">IFERROR(__xludf.DUMMYFUNCTION("IF(ISBLANK(A87),"""",GOOGLETRANSLATE(A87,""en"",""fr""))"),"")</f>
        <v/>
      </c>
    </row>
    <row r="88" spans="2:2">
      <c r="B88" s="3" t="str">
        <f ca="1">IFERROR(__xludf.DUMMYFUNCTION("IF(ISBLANK(A88),"""",GOOGLETRANSLATE(A88,""en"",""fr""))"),"")</f>
        <v/>
      </c>
    </row>
    <row r="89" spans="2:2">
      <c r="B89" s="3" t="str">
        <f ca="1">IFERROR(__xludf.DUMMYFUNCTION("IF(ISBLANK(A89),"""",GOOGLETRANSLATE(A89,""en"",""fr""))"),"")</f>
        <v/>
      </c>
    </row>
    <row r="90" spans="2:2">
      <c r="B90" s="3" t="str">
        <f ca="1">IFERROR(__xludf.DUMMYFUNCTION("IF(ISBLANK(A90),"""",GOOGLETRANSLATE(A90,""en"",""fr""))"),"")</f>
        <v/>
      </c>
    </row>
    <row r="91" spans="2:2">
      <c r="B91" s="3" t="str">
        <f ca="1">IFERROR(__xludf.DUMMYFUNCTION("IF(ISBLANK(A91),"""",GOOGLETRANSLATE(A91,""en"",""fr""))"),"")</f>
        <v/>
      </c>
    </row>
    <row r="92" spans="2:2">
      <c r="B92" s="3" t="str">
        <f ca="1">IFERROR(__xludf.DUMMYFUNCTION("IF(ISBLANK(A92),"""",GOOGLETRANSLATE(A92,""en"",""fr""))"),"")</f>
        <v/>
      </c>
    </row>
    <row r="93" spans="2:2">
      <c r="B93" s="3" t="str">
        <f ca="1">IFERROR(__xludf.DUMMYFUNCTION("IF(ISBLANK(A93),"""",GOOGLETRANSLATE(A93,""en"",""fr""))"),"")</f>
        <v/>
      </c>
    </row>
    <row r="94" spans="2:2">
      <c r="B94" s="3" t="str">
        <f ca="1">IFERROR(__xludf.DUMMYFUNCTION("IF(ISBLANK(A94),"""",GOOGLETRANSLATE(A94,""en"",""fr""))"),"")</f>
        <v/>
      </c>
    </row>
    <row r="95" spans="2:2">
      <c r="B95" s="3" t="str">
        <f ca="1">IFERROR(__xludf.DUMMYFUNCTION("IF(ISBLANK(A95),"""",GOOGLETRANSLATE(A95,""en"",""fr""))"),"")</f>
        <v/>
      </c>
    </row>
    <row r="96" spans="2:2">
      <c r="B96" s="3" t="str">
        <f ca="1">IFERROR(__xludf.DUMMYFUNCTION("IF(ISBLANK(A96),"""",GOOGLETRANSLATE(A96,""en"",""fr""))"),"")</f>
        <v/>
      </c>
    </row>
    <row r="97" spans="2:2">
      <c r="B97" s="3" t="str">
        <f ca="1">IFERROR(__xludf.DUMMYFUNCTION("IF(ISBLANK(A97),"""",GOOGLETRANSLATE(A97,""en"",""fr""))"),"")</f>
        <v/>
      </c>
    </row>
    <row r="98" spans="2:2">
      <c r="B98" s="3" t="str">
        <f ca="1">IFERROR(__xludf.DUMMYFUNCTION("IF(ISBLANK(A98),"""",GOOGLETRANSLATE(A98,""en"",""fr""))"),"")</f>
        <v/>
      </c>
    </row>
    <row r="99" spans="2:2">
      <c r="B99" s="3" t="str">
        <f ca="1">IFERROR(__xludf.DUMMYFUNCTION("IF(ISBLANK(A99),"""",GOOGLETRANSLATE(A99,""en"",""fr""))"),"")</f>
        <v/>
      </c>
    </row>
    <row r="100" spans="2:2">
      <c r="B100" s="3" t="str">
        <f ca="1">IFERROR(__xludf.DUMMYFUNCTION("IF(ISBLANK(A100),"""",GOOGLETRANSLATE(A100,""en"",""fr""))"),"")</f>
        <v/>
      </c>
    </row>
    <row r="101" spans="2:2">
      <c r="B101" s="3" t="str">
        <f ca="1">IFERROR(__xludf.DUMMYFUNCTION("IF(ISBLANK(A101),"""",GOOGLETRANSLATE(A101,""en"",""fr""))"),"")</f>
        <v/>
      </c>
    </row>
    <row r="102" spans="2:2">
      <c r="B102" s="3" t="str">
        <f ca="1">IFERROR(__xludf.DUMMYFUNCTION("IF(ISBLANK(A102),"""",GOOGLETRANSLATE(A102,""en"",""fr""))"),"")</f>
        <v/>
      </c>
    </row>
    <row r="103" spans="2:2">
      <c r="B103" s="3" t="str">
        <f ca="1">IFERROR(__xludf.DUMMYFUNCTION("IF(ISBLANK(A103),"""",GOOGLETRANSLATE(A103,""en"",""fr""))"),"")</f>
        <v/>
      </c>
    </row>
    <row r="104" spans="2:2">
      <c r="B104" s="3" t="str">
        <f ca="1">IFERROR(__xludf.DUMMYFUNCTION("IF(ISBLANK(A104),"""",GOOGLETRANSLATE(A104,""en"",""fr""))"),"")</f>
        <v/>
      </c>
    </row>
    <row r="105" spans="2:2">
      <c r="B105" s="3" t="str">
        <f ca="1">IFERROR(__xludf.DUMMYFUNCTION("IF(ISBLANK(A105),"""",GOOGLETRANSLATE(A105,""en"",""fr""))"),"")</f>
        <v/>
      </c>
    </row>
    <row r="106" spans="2:2">
      <c r="B106" s="3" t="str">
        <f ca="1">IFERROR(__xludf.DUMMYFUNCTION("IF(ISBLANK(A106),"""",GOOGLETRANSLATE(A106,""en"",""fr""))"),"")</f>
        <v/>
      </c>
    </row>
    <row r="107" spans="2:2">
      <c r="B107" s="3" t="str">
        <f ca="1">IFERROR(__xludf.DUMMYFUNCTION("IF(ISBLANK(A107),"""",GOOGLETRANSLATE(A107,""en"",""fr""))"),"")</f>
        <v/>
      </c>
    </row>
    <row r="108" spans="2:2">
      <c r="B108" s="3" t="str">
        <f ca="1">IFERROR(__xludf.DUMMYFUNCTION("IF(ISBLANK(A108),"""",GOOGLETRANSLATE(A108,""en"",""fr""))"),"")</f>
        <v/>
      </c>
    </row>
    <row r="109" spans="2:2">
      <c r="B109" s="3" t="str">
        <f ca="1">IFERROR(__xludf.DUMMYFUNCTION("IF(ISBLANK(A109),"""",GOOGLETRANSLATE(A109,""en"",""fr""))"),"")</f>
        <v/>
      </c>
    </row>
    <row r="110" spans="2:2">
      <c r="B110" s="3" t="str">
        <f ca="1">IFERROR(__xludf.DUMMYFUNCTION("IF(ISBLANK(A110),"""",GOOGLETRANSLATE(A110,""en"",""fr""))"),"")</f>
        <v/>
      </c>
    </row>
    <row r="111" spans="2:2">
      <c r="B111" s="3" t="str">
        <f ca="1">IFERROR(__xludf.DUMMYFUNCTION("IF(ISBLANK(A111),"""",GOOGLETRANSLATE(A111,""en"",""fr""))"),"")</f>
        <v/>
      </c>
    </row>
    <row r="112" spans="2:2">
      <c r="B112" s="3" t="str">
        <f ca="1">IFERROR(__xludf.DUMMYFUNCTION("IF(ISBLANK(A112),"""",GOOGLETRANSLATE(A112,""en"",""fr""))"),"")</f>
        <v/>
      </c>
    </row>
    <row r="113" spans="2:2">
      <c r="B113" s="3" t="str">
        <f ca="1">IFERROR(__xludf.DUMMYFUNCTION("IF(ISBLANK(A113),"""",GOOGLETRANSLATE(A113,""en"",""fr""))"),"")</f>
        <v/>
      </c>
    </row>
    <row r="114" spans="2:2">
      <c r="B114" s="3" t="str">
        <f ca="1">IFERROR(__xludf.DUMMYFUNCTION("IF(ISBLANK(A114),"""",GOOGLETRANSLATE(A114,""en"",""fr""))"),"")</f>
        <v/>
      </c>
    </row>
    <row r="115" spans="2:2">
      <c r="B115" s="3" t="str">
        <f ca="1">IFERROR(__xludf.DUMMYFUNCTION("IF(ISBLANK(A115),"""",GOOGLETRANSLATE(A115,""en"",""fr""))"),"")</f>
        <v/>
      </c>
    </row>
    <row r="116" spans="2:2">
      <c r="B116" s="3" t="str">
        <f ca="1">IFERROR(__xludf.DUMMYFUNCTION("IF(ISBLANK(A116),"""",GOOGLETRANSLATE(A116,""en"",""fr""))"),"")</f>
        <v/>
      </c>
    </row>
    <row r="117" spans="2:2">
      <c r="B117" s="3" t="str">
        <f ca="1">IFERROR(__xludf.DUMMYFUNCTION("IF(ISBLANK(A117),"""",GOOGLETRANSLATE(A117,""en"",""fr""))"),"")</f>
        <v/>
      </c>
    </row>
    <row r="118" spans="2:2">
      <c r="B118" s="3" t="str">
        <f ca="1">IFERROR(__xludf.DUMMYFUNCTION("IF(ISBLANK(A118),"""",GOOGLETRANSLATE(A118,""en"",""fr""))"),"")</f>
        <v/>
      </c>
    </row>
    <row r="119" spans="2:2">
      <c r="B119" s="3" t="str">
        <f ca="1">IFERROR(__xludf.DUMMYFUNCTION("IF(ISBLANK(A119),"""",GOOGLETRANSLATE(A119,""en"",""fr""))"),"")</f>
        <v/>
      </c>
    </row>
    <row r="120" spans="2:2">
      <c r="B120" s="3" t="str">
        <f ca="1">IFERROR(__xludf.DUMMYFUNCTION("IF(ISBLANK(A120),"""",GOOGLETRANSLATE(A120,""en"",""fr""))"),"")</f>
        <v/>
      </c>
    </row>
    <row r="121" spans="2:2">
      <c r="B121" s="3" t="str">
        <f ca="1">IFERROR(__xludf.DUMMYFUNCTION("IF(ISBLANK(A121),"""",GOOGLETRANSLATE(A121,""en"",""fr""))"),"")</f>
        <v/>
      </c>
    </row>
    <row r="122" spans="2:2">
      <c r="B122" s="3" t="str">
        <f ca="1">IFERROR(__xludf.DUMMYFUNCTION("IF(ISBLANK(A122),"""",GOOGLETRANSLATE(A122,""en"",""fr""))"),"")</f>
        <v/>
      </c>
    </row>
    <row r="123" spans="2:2">
      <c r="B123" s="3" t="str">
        <f ca="1">IFERROR(__xludf.DUMMYFUNCTION("IF(ISBLANK(A123),"""",GOOGLETRANSLATE(A123,""en"",""fr""))"),"")</f>
        <v/>
      </c>
    </row>
    <row r="124" spans="2:2">
      <c r="B124" s="3" t="str">
        <f ca="1">IFERROR(__xludf.DUMMYFUNCTION("IF(ISBLANK(A124),"""",GOOGLETRANSLATE(A124,""en"",""fr""))"),"")</f>
        <v/>
      </c>
    </row>
    <row r="125" spans="2:2">
      <c r="B125" s="3" t="str">
        <f ca="1">IFERROR(__xludf.DUMMYFUNCTION("IF(ISBLANK(A125),"""",GOOGLETRANSLATE(A125,""en"",""fr""))"),"")</f>
        <v/>
      </c>
    </row>
    <row r="126" spans="2:2">
      <c r="B126" s="3" t="str">
        <f ca="1">IFERROR(__xludf.DUMMYFUNCTION("IF(ISBLANK(A126),"""",GOOGLETRANSLATE(A126,""en"",""fr""))"),"")</f>
        <v/>
      </c>
    </row>
    <row r="127" spans="2:2">
      <c r="B127" s="3" t="str">
        <f ca="1">IFERROR(__xludf.DUMMYFUNCTION("IF(ISBLANK(A127),"""",GOOGLETRANSLATE(A127,""en"",""fr""))"),"")</f>
        <v/>
      </c>
    </row>
    <row r="128" spans="2:2">
      <c r="B128" s="3" t="str">
        <f ca="1">IFERROR(__xludf.DUMMYFUNCTION("IF(ISBLANK(A128),"""",GOOGLETRANSLATE(A128,""en"",""fr""))"),"")</f>
        <v/>
      </c>
    </row>
    <row r="129" spans="2:2">
      <c r="B129" s="3" t="str">
        <f ca="1">IFERROR(__xludf.DUMMYFUNCTION("IF(ISBLANK(A129),"""",GOOGLETRANSLATE(A129,""en"",""fr""))"),"")</f>
        <v/>
      </c>
    </row>
    <row r="130" spans="2:2">
      <c r="B130" s="3" t="str">
        <f ca="1">IFERROR(__xludf.DUMMYFUNCTION("IF(ISBLANK(A130),"""",GOOGLETRANSLATE(A130,""en"",""fr""))"),"")</f>
        <v/>
      </c>
    </row>
    <row r="131" spans="2:2">
      <c r="B131" s="3" t="str">
        <f ca="1">IFERROR(__xludf.DUMMYFUNCTION("IF(ISBLANK(A131),"""",GOOGLETRANSLATE(A131,""en"",""fr""))"),"")</f>
        <v/>
      </c>
    </row>
    <row r="132" spans="2:2">
      <c r="B132" s="3" t="str">
        <f ca="1">IFERROR(__xludf.DUMMYFUNCTION("IF(ISBLANK(A132),"""",GOOGLETRANSLATE(A132,""en"",""fr""))"),"")</f>
        <v/>
      </c>
    </row>
    <row r="133" spans="2:2">
      <c r="B133" s="3" t="str">
        <f ca="1">IFERROR(__xludf.DUMMYFUNCTION("IF(ISBLANK(A133),"""",GOOGLETRANSLATE(A133,""en"",""fr""))"),"")</f>
        <v/>
      </c>
    </row>
    <row r="134" spans="2:2">
      <c r="B134" s="3" t="str">
        <f ca="1">IFERROR(__xludf.DUMMYFUNCTION("IF(ISBLANK(A134),"""",GOOGLETRANSLATE(A134,""en"",""fr""))"),"")</f>
        <v/>
      </c>
    </row>
    <row r="135" spans="2:2">
      <c r="B135" s="3" t="str">
        <f ca="1">IFERROR(__xludf.DUMMYFUNCTION("IF(ISBLANK(A135),"""",GOOGLETRANSLATE(A135,""en"",""fr""))"),"")</f>
        <v/>
      </c>
    </row>
    <row r="136" spans="2:2">
      <c r="B136" s="3" t="str">
        <f ca="1">IFERROR(__xludf.DUMMYFUNCTION("IF(ISBLANK(A136),"""",GOOGLETRANSLATE(A136,""en"",""fr""))"),"")</f>
        <v/>
      </c>
    </row>
    <row r="137" spans="2:2">
      <c r="B137" s="3" t="str">
        <f ca="1">IFERROR(__xludf.DUMMYFUNCTION("IF(ISBLANK(A137),"""",GOOGLETRANSLATE(A137,""en"",""fr""))"),"")</f>
        <v/>
      </c>
    </row>
    <row r="138" spans="2:2">
      <c r="B138" s="3" t="str">
        <f ca="1">IFERROR(__xludf.DUMMYFUNCTION("IF(ISBLANK(A138),"""",GOOGLETRANSLATE(A138,""en"",""fr""))"),"")</f>
        <v/>
      </c>
    </row>
    <row r="139" spans="2:2">
      <c r="B139" s="3" t="str">
        <f ca="1">IFERROR(__xludf.DUMMYFUNCTION("IF(ISBLANK(A139),"""",GOOGLETRANSLATE(A139,""en"",""fr""))"),"")</f>
        <v/>
      </c>
    </row>
    <row r="140" spans="2:2">
      <c r="B140" s="3" t="str">
        <f ca="1">IFERROR(__xludf.DUMMYFUNCTION("IF(ISBLANK(A140),"""",GOOGLETRANSLATE(A140,""en"",""fr""))"),"")</f>
        <v/>
      </c>
    </row>
    <row r="141" spans="2:2">
      <c r="B141" s="3" t="str">
        <f ca="1">IFERROR(__xludf.DUMMYFUNCTION("IF(ISBLANK(A141),"""",GOOGLETRANSLATE(A141,""en"",""fr""))"),"")</f>
        <v/>
      </c>
    </row>
    <row r="142" spans="2:2">
      <c r="B142" s="3" t="str">
        <f ca="1">IFERROR(__xludf.DUMMYFUNCTION("IF(ISBLANK(A142),"""",GOOGLETRANSLATE(A142,""en"",""fr""))"),"")</f>
        <v/>
      </c>
    </row>
    <row r="143" spans="2:2">
      <c r="B143" s="3" t="str">
        <f ca="1">IFERROR(__xludf.DUMMYFUNCTION("IF(ISBLANK(A143),"""",GOOGLETRANSLATE(A143,""en"",""fr""))"),"")</f>
        <v/>
      </c>
    </row>
    <row r="144" spans="2:2">
      <c r="B144" s="3" t="str">
        <f ca="1">IFERROR(__xludf.DUMMYFUNCTION("IF(ISBLANK(A144),"""",GOOGLETRANSLATE(A144,""en"",""fr""))"),"")</f>
        <v/>
      </c>
    </row>
    <row r="145" spans="2:2">
      <c r="B145" s="3" t="str">
        <f ca="1">IFERROR(__xludf.DUMMYFUNCTION("IF(ISBLANK(A145),"""",GOOGLETRANSLATE(A145,""en"",""fr""))"),"")</f>
        <v/>
      </c>
    </row>
    <row r="146" spans="2:2">
      <c r="B146" s="3" t="str">
        <f ca="1">IFERROR(__xludf.DUMMYFUNCTION("IF(ISBLANK(A146),"""",GOOGLETRANSLATE(A146,""en"",""fr""))"),"")</f>
        <v/>
      </c>
    </row>
    <row r="147" spans="2:2">
      <c r="B147" s="3" t="str">
        <f ca="1">IFERROR(__xludf.DUMMYFUNCTION("IF(ISBLANK(A147),"""",GOOGLETRANSLATE(A147,""en"",""fr""))"),"")</f>
        <v/>
      </c>
    </row>
    <row r="148" spans="2:2">
      <c r="B148" s="3" t="str">
        <f ca="1">IFERROR(__xludf.DUMMYFUNCTION("IF(ISBLANK(A148),"""",GOOGLETRANSLATE(A148,""en"",""fr""))"),"")</f>
        <v/>
      </c>
    </row>
    <row r="149" spans="2:2">
      <c r="B149" s="3" t="str">
        <f ca="1">IFERROR(__xludf.DUMMYFUNCTION("IF(ISBLANK(A149),"""",GOOGLETRANSLATE(A149,""en"",""fr""))"),"")</f>
        <v/>
      </c>
    </row>
    <row r="150" spans="2:2">
      <c r="B150" s="3" t="str">
        <f ca="1">IFERROR(__xludf.DUMMYFUNCTION("IF(ISBLANK(A150),"""",GOOGLETRANSLATE(A150,""en"",""fr""))"),"")</f>
        <v/>
      </c>
    </row>
    <row r="151" spans="2:2">
      <c r="B151" s="3" t="str">
        <f ca="1">IFERROR(__xludf.DUMMYFUNCTION("IF(ISBLANK(A151),"""",GOOGLETRANSLATE(A151,""en"",""fr""))"),"")</f>
        <v/>
      </c>
    </row>
    <row r="152" spans="2:2">
      <c r="B152" s="3" t="str">
        <f ca="1">IFERROR(__xludf.DUMMYFUNCTION("IF(ISBLANK(A152),"""",GOOGLETRANSLATE(A152,""en"",""fr""))"),"")</f>
        <v/>
      </c>
    </row>
    <row r="153" spans="2:2">
      <c r="B153" s="3" t="str">
        <f ca="1">IFERROR(__xludf.DUMMYFUNCTION("IF(ISBLANK(A153),"""",GOOGLETRANSLATE(A153,""en"",""fr""))"),"")</f>
        <v/>
      </c>
    </row>
    <row r="154" spans="2:2">
      <c r="B154" s="3" t="str">
        <f ca="1">IFERROR(__xludf.DUMMYFUNCTION("IF(ISBLANK(A154),"""",GOOGLETRANSLATE(A154,""en"",""fr""))"),"")</f>
        <v/>
      </c>
    </row>
    <row r="155" spans="2:2">
      <c r="B155" s="3" t="str">
        <f ca="1">IFERROR(__xludf.DUMMYFUNCTION("IF(ISBLANK(A155),"""",GOOGLETRANSLATE(A155,""en"",""fr""))"),"")</f>
        <v/>
      </c>
    </row>
    <row r="156" spans="2:2">
      <c r="B156" s="3" t="str">
        <f ca="1">IFERROR(__xludf.DUMMYFUNCTION("IF(ISBLANK(A156),"""",GOOGLETRANSLATE(A156,""en"",""fr""))"),"")</f>
        <v/>
      </c>
    </row>
    <row r="157" spans="2:2">
      <c r="B157" s="3" t="str">
        <f ca="1">IFERROR(__xludf.DUMMYFUNCTION("IF(ISBLANK(A157),"""",GOOGLETRANSLATE(A157,""en"",""fr""))"),"")</f>
        <v/>
      </c>
    </row>
    <row r="158" spans="2:2">
      <c r="B158" s="3" t="str">
        <f ca="1">IFERROR(__xludf.DUMMYFUNCTION("IF(ISBLANK(A158),"""",GOOGLETRANSLATE(A158,""en"",""fr""))"),"")</f>
        <v/>
      </c>
    </row>
    <row r="159" spans="2:2">
      <c r="B159" s="3" t="str">
        <f ca="1">IFERROR(__xludf.DUMMYFUNCTION("IF(ISBLANK(A159),"""",GOOGLETRANSLATE(A159,""en"",""fr""))"),"")</f>
        <v/>
      </c>
    </row>
    <row r="160" spans="2:2">
      <c r="B160" s="3" t="str">
        <f ca="1">IFERROR(__xludf.DUMMYFUNCTION("IF(ISBLANK(A160),"""",GOOGLETRANSLATE(A160,""en"",""fr""))"),"")</f>
        <v/>
      </c>
    </row>
    <row r="161" spans="2:2">
      <c r="B161" s="3" t="str">
        <f ca="1">IFERROR(__xludf.DUMMYFUNCTION("IF(ISBLANK(A161),"""",GOOGLETRANSLATE(A161,""en"",""fr""))"),"")</f>
        <v/>
      </c>
    </row>
    <row r="162" spans="2:2">
      <c r="B162" s="3" t="str">
        <f ca="1">IFERROR(__xludf.DUMMYFUNCTION("IF(ISBLANK(A162),"""",GOOGLETRANSLATE(A162,""en"",""fr""))"),"")</f>
        <v/>
      </c>
    </row>
    <row r="163" spans="2:2">
      <c r="B163" s="3" t="str">
        <f ca="1">IFERROR(__xludf.DUMMYFUNCTION("IF(ISBLANK(A163),"""",GOOGLETRANSLATE(A163,""en"",""fr""))"),"")</f>
        <v/>
      </c>
    </row>
    <row r="164" spans="2:2">
      <c r="B164" s="3" t="str">
        <f ca="1">IFERROR(__xludf.DUMMYFUNCTION("IF(ISBLANK(A164),"""",GOOGLETRANSLATE(A164,""en"",""fr""))"),"")</f>
        <v/>
      </c>
    </row>
    <row r="165" spans="2:2">
      <c r="B165" s="3" t="str">
        <f ca="1">IFERROR(__xludf.DUMMYFUNCTION("IF(ISBLANK(A165),"""",GOOGLETRANSLATE(A165,""en"",""fr""))"),"")</f>
        <v/>
      </c>
    </row>
    <row r="166" spans="2:2">
      <c r="B166" s="3" t="str">
        <f ca="1">IFERROR(__xludf.DUMMYFUNCTION("IF(ISBLANK(A166),"""",GOOGLETRANSLATE(A166,""en"",""fr""))"),"")</f>
        <v/>
      </c>
    </row>
    <row r="167" spans="2:2">
      <c r="B167" s="3" t="str">
        <f ca="1">IFERROR(__xludf.DUMMYFUNCTION("IF(ISBLANK(A167),"""",GOOGLETRANSLATE(A167,""en"",""fr""))"),"")</f>
        <v/>
      </c>
    </row>
    <row r="168" spans="2:2">
      <c r="B168" s="3" t="str">
        <f ca="1">IFERROR(__xludf.DUMMYFUNCTION("IF(ISBLANK(A168),"""",GOOGLETRANSLATE(A168,""en"",""fr""))"),"")</f>
        <v/>
      </c>
    </row>
    <row r="169" spans="2:2">
      <c r="B169" s="3" t="str">
        <f ca="1">IFERROR(__xludf.DUMMYFUNCTION("IF(ISBLANK(A169),"""",GOOGLETRANSLATE(A169,""en"",""fr""))"),"")</f>
        <v/>
      </c>
    </row>
    <row r="170" spans="2:2">
      <c r="B170" s="3" t="str">
        <f ca="1">IFERROR(__xludf.DUMMYFUNCTION("IF(ISBLANK(A170),"""",GOOGLETRANSLATE(A170,""en"",""fr""))"),"")</f>
        <v/>
      </c>
    </row>
    <row r="171" spans="2:2">
      <c r="B171" s="3" t="str">
        <f ca="1">IFERROR(__xludf.DUMMYFUNCTION("IF(ISBLANK(A171),"""",GOOGLETRANSLATE(A171,""en"",""fr""))"),"")</f>
        <v/>
      </c>
    </row>
    <row r="172" spans="2:2">
      <c r="B172" s="3" t="str">
        <f ca="1">IFERROR(__xludf.DUMMYFUNCTION("IF(ISBLANK(A172),"""",GOOGLETRANSLATE(A172,""en"",""fr""))"),"")</f>
        <v/>
      </c>
    </row>
    <row r="173" spans="2:2">
      <c r="B173" s="3" t="str">
        <f ca="1">IFERROR(__xludf.DUMMYFUNCTION("IF(ISBLANK(A173),"""",GOOGLETRANSLATE(A173,""en"",""fr""))"),"")</f>
        <v/>
      </c>
    </row>
    <row r="174" spans="2:2">
      <c r="B174" s="3" t="str">
        <f ca="1">IFERROR(__xludf.DUMMYFUNCTION("IF(ISBLANK(A174),"""",GOOGLETRANSLATE(A174,""en"",""fr""))"),"")</f>
        <v/>
      </c>
    </row>
    <row r="175" spans="2:2">
      <c r="B175" s="3" t="str">
        <f ca="1">IFERROR(__xludf.DUMMYFUNCTION("IF(ISBLANK(A175),"""",GOOGLETRANSLATE(A175,""en"",""fr""))"),"")</f>
        <v/>
      </c>
    </row>
    <row r="176" spans="2:2">
      <c r="B176" s="3" t="str">
        <f ca="1">IFERROR(__xludf.DUMMYFUNCTION("IF(ISBLANK(A176),"""",GOOGLETRANSLATE(A176,""en"",""fr""))"),"")</f>
        <v/>
      </c>
    </row>
    <row r="177" spans="2:2">
      <c r="B177" s="3" t="str">
        <f ca="1">IFERROR(__xludf.DUMMYFUNCTION("IF(ISBLANK(A177),"""",GOOGLETRANSLATE(A177,""en"",""fr""))"),"")</f>
        <v/>
      </c>
    </row>
    <row r="178" spans="2:2">
      <c r="B178" s="3" t="str">
        <f ca="1">IFERROR(__xludf.DUMMYFUNCTION("IF(ISBLANK(A178),"""",GOOGLETRANSLATE(A178,""en"",""fr""))"),"")</f>
        <v/>
      </c>
    </row>
    <row r="179" spans="2:2">
      <c r="B179" s="3" t="str">
        <f ca="1">IFERROR(__xludf.DUMMYFUNCTION("IF(ISBLANK(A179),"""",GOOGLETRANSLATE(A179,""en"",""fr""))"),"")</f>
        <v/>
      </c>
    </row>
    <row r="180" spans="2:2">
      <c r="B180" s="3" t="str">
        <f ca="1">IFERROR(__xludf.DUMMYFUNCTION("IF(ISBLANK(A180),"""",GOOGLETRANSLATE(A180,""en"",""fr""))"),"")</f>
        <v/>
      </c>
    </row>
    <row r="181" spans="2:2">
      <c r="B181" s="3" t="str">
        <f ca="1">IFERROR(__xludf.DUMMYFUNCTION("IF(ISBLANK(A181),"""",GOOGLETRANSLATE(A181,""en"",""fr""))"),"")</f>
        <v/>
      </c>
    </row>
    <row r="182" spans="2:2">
      <c r="B182" s="3" t="str">
        <f ca="1">IFERROR(__xludf.DUMMYFUNCTION("IF(ISBLANK(A182),"""",GOOGLETRANSLATE(A182,""en"",""fr""))"),"")</f>
        <v/>
      </c>
    </row>
    <row r="183" spans="2:2">
      <c r="B183" s="3" t="str">
        <f ca="1">IFERROR(__xludf.DUMMYFUNCTION("IF(ISBLANK(A183),"""",GOOGLETRANSLATE(A183,""en"",""fr""))"),"")</f>
        <v/>
      </c>
    </row>
    <row r="184" spans="2:2">
      <c r="B184" s="3" t="str">
        <f ca="1">IFERROR(__xludf.DUMMYFUNCTION("IF(ISBLANK(A184),"""",GOOGLETRANSLATE(A184,""en"",""fr""))"),"")</f>
        <v/>
      </c>
    </row>
    <row r="185" spans="2:2">
      <c r="B185" s="3" t="str">
        <f ca="1">IFERROR(__xludf.DUMMYFUNCTION("IF(ISBLANK(A185),"""",GOOGLETRANSLATE(A185,""en"",""fr""))"),"")</f>
        <v/>
      </c>
    </row>
    <row r="186" spans="2:2">
      <c r="B186" s="3" t="str">
        <f ca="1">IFERROR(__xludf.DUMMYFUNCTION("IF(ISBLANK(A186),"""",GOOGLETRANSLATE(A186,""en"",""fr""))"),"")</f>
        <v/>
      </c>
    </row>
    <row r="187" spans="2:2">
      <c r="B187" s="3" t="str">
        <f ca="1">IFERROR(__xludf.DUMMYFUNCTION("IF(ISBLANK(A187),"""",GOOGLETRANSLATE(A187,""en"",""fr""))"),"")</f>
        <v/>
      </c>
    </row>
    <row r="188" spans="2:2">
      <c r="B188" s="3" t="str">
        <f ca="1">IFERROR(__xludf.DUMMYFUNCTION("IF(ISBLANK(A188),"""",GOOGLETRANSLATE(A188,""en"",""fr""))"),"")</f>
        <v/>
      </c>
    </row>
    <row r="189" spans="2:2">
      <c r="B189" s="3" t="str">
        <f ca="1">IFERROR(__xludf.DUMMYFUNCTION("IF(ISBLANK(A189),"""",GOOGLETRANSLATE(A189,""en"",""fr""))"),"")</f>
        <v/>
      </c>
    </row>
    <row r="190" spans="2:2">
      <c r="B190" s="3" t="str">
        <f ca="1">IFERROR(__xludf.DUMMYFUNCTION("IF(ISBLANK(A190),"""",GOOGLETRANSLATE(A190,""en"",""fr""))"),"")</f>
        <v/>
      </c>
    </row>
    <row r="191" spans="2:2">
      <c r="B191" s="3" t="str">
        <f ca="1">IFERROR(__xludf.DUMMYFUNCTION("IF(ISBLANK(A191),"""",GOOGLETRANSLATE(A191,""en"",""fr""))"),"")</f>
        <v/>
      </c>
    </row>
    <row r="192" spans="2:2">
      <c r="B192" s="3" t="str">
        <f ca="1">IFERROR(__xludf.DUMMYFUNCTION("IF(ISBLANK(A192),"""",GOOGLETRANSLATE(A192,""en"",""fr""))"),"")</f>
        <v/>
      </c>
    </row>
    <row r="193" spans="2:2">
      <c r="B193" s="3" t="str">
        <f ca="1">IFERROR(__xludf.DUMMYFUNCTION("IF(ISBLANK(A193),"""",GOOGLETRANSLATE(A193,""en"",""fr""))"),"")</f>
        <v/>
      </c>
    </row>
    <row r="194" spans="2:2">
      <c r="B194" s="3" t="str">
        <f ca="1">IFERROR(__xludf.DUMMYFUNCTION("IF(ISBLANK(A194),"""",GOOGLETRANSLATE(A194,""en"",""fr""))"),"")</f>
        <v/>
      </c>
    </row>
    <row r="195" spans="2:2">
      <c r="B195" s="3" t="str">
        <f ca="1">IFERROR(__xludf.DUMMYFUNCTION("IF(ISBLANK(A195),"""",GOOGLETRANSLATE(A195,""en"",""fr""))"),"")</f>
        <v/>
      </c>
    </row>
    <row r="196" spans="2:2">
      <c r="B196" s="3" t="str">
        <f ca="1">IFERROR(__xludf.DUMMYFUNCTION("IF(ISBLANK(A196),"""",GOOGLETRANSLATE(A196,""en"",""fr""))"),"")</f>
        <v/>
      </c>
    </row>
    <row r="197" spans="2:2">
      <c r="B197" s="3" t="str">
        <f ca="1">IFERROR(__xludf.DUMMYFUNCTION("IF(ISBLANK(A197),"""",GOOGLETRANSLATE(A197,""en"",""fr""))"),"")</f>
        <v/>
      </c>
    </row>
    <row r="198" spans="2:2">
      <c r="B198" s="3" t="str">
        <f ca="1">IFERROR(__xludf.DUMMYFUNCTION("IF(ISBLANK(A198),"""",GOOGLETRANSLATE(A198,""en"",""fr""))"),"")</f>
        <v/>
      </c>
    </row>
    <row r="199" spans="2:2">
      <c r="B199" s="3" t="str">
        <f ca="1">IFERROR(__xludf.DUMMYFUNCTION("IF(ISBLANK(A199),"""",GOOGLETRANSLATE(A199,""en"",""fr""))"),"")</f>
        <v/>
      </c>
    </row>
    <row r="200" spans="2:2">
      <c r="B200" s="3" t="str">
        <f ca="1">IFERROR(__xludf.DUMMYFUNCTION("IF(ISBLANK(A200),"""",GOOGLETRANSLATE(A200,""en"",""fr""))"),"")</f>
        <v/>
      </c>
    </row>
    <row r="201" spans="2:2">
      <c r="B201" s="3" t="str">
        <f ca="1">IFERROR(__xludf.DUMMYFUNCTION("IF(ISBLANK(A201),"""",GOOGLETRANSLATE(A201,""en"",""fr""))"),"")</f>
        <v/>
      </c>
    </row>
    <row r="202" spans="2:2">
      <c r="B202" s="3" t="str">
        <f ca="1">IFERROR(__xludf.DUMMYFUNCTION("IF(ISBLANK(A202),"""",GOOGLETRANSLATE(A202,""en"",""fr""))"),"")</f>
        <v/>
      </c>
    </row>
    <row r="203" spans="2:2">
      <c r="B203" s="3" t="str">
        <f ca="1">IFERROR(__xludf.DUMMYFUNCTION("IF(ISBLANK(A203),"""",GOOGLETRANSLATE(A203,""en"",""fr""))"),"")</f>
        <v/>
      </c>
    </row>
    <row r="204" spans="2:2">
      <c r="B204" s="3" t="str">
        <f ca="1">IFERROR(__xludf.DUMMYFUNCTION("IF(ISBLANK(A204),"""",GOOGLETRANSLATE(A204,""en"",""fr""))"),"")</f>
        <v/>
      </c>
    </row>
    <row r="205" spans="2:2">
      <c r="B205" s="3" t="str">
        <f ca="1">IFERROR(__xludf.DUMMYFUNCTION("IF(ISBLANK(A205),"""",GOOGLETRANSLATE(A205,""en"",""fr""))"),"")</f>
        <v/>
      </c>
    </row>
    <row r="206" spans="2:2">
      <c r="B206" s="3" t="str">
        <f ca="1">IFERROR(__xludf.DUMMYFUNCTION("IF(ISBLANK(A206),"""",GOOGLETRANSLATE(A206,""en"",""fr""))"),"")</f>
        <v/>
      </c>
    </row>
    <row r="207" spans="2:2">
      <c r="B207" s="3" t="str">
        <f ca="1">IFERROR(__xludf.DUMMYFUNCTION("IF(ISBLANK(A207),"""",GOOGLETRANSLATE(A207,""en"",""fr""))"),"")</f>
        <v/>
      </c>
    </row>
    <row r="208" spans="2:2">
      <c r="B208" s="3" t="str">
        <f ca="1">IFERROR(__xludf.DUMMYFUNCTION("IF(ISBLANK(A208),"""",GOOGLETRANSLATE(A208,""en"",""fr""))"),"")</f>
        <v/>
      </c>
    </row>
    <row r="209" spans="2:2">
      <c r="B209" s="3" t="str">
        <f ca="1">IFERROR(__xludf.DUMMYFUNCTION("IF(ISBLANK(A209),"""",GOOGLETRANSLATE(A209,""en"",""fr""))"),"")</f>
        <v/>
      </c>
    </row>
    <row r="210" spans="2:2">
      <c r="B210" s="3" t="str">
        <f ca="1">IFERROR(__xludf.DUMMYFUNCTION("IF(ISBLANK(A210),"""",GOOGLETRANSLATE(A210,""en"",""fr""))"),"")</f>
        <v/>
      </c>
    </row>
    <row r="211" spans="2:2">
      <c r="B211" s="3" t="str">
        <f ca="1">IFERROR(__xludf.DUMMYFUNCTION("IF(ISBLANK(A211),"""",GOOGLETRANSLATE(A211,""en"",""fr""))"),"")</f>
        <v/>
      </c>
    </row>
    <row r="212" spans="2:2">
      <c r="B212" s="3" t="str">
        <f ca="1">IFERROR(__xludf.DUMMYFUNCTION("IF(ISBLANK(A212),"""",GOOGLETRANSLATE(A212,""en"",""fr""))"),"")</f>
        <v/>
      </c>
    </row>
    <row r="213" spans="2:2">
      <c r="B213" s="3" t="str">
        <f ca="1">IFERROR(__xludf.DUMMYFUNCTION("IF(ISBLANK(A213),"""",GOOGLETRANSLATE(A213,""en"",""fr""))"),"")</f>
        <v/>
      </c>
    </row>
    <row r="214" spans="2:2">
      <c r="B214" s="3" t="str">
        <f ca="1">IFERROR(__xludf.DUMMYFUNCTION("IF(ISBLANK(A214),"""",GOOGLETRANSLATE(A214,""en"",""fr""))"),"")</f>
        <v/>
      </c>
    </row>
    <row r="215" spans="2:2">
      <c r="B215" s="3" t="str">
        <f ca="1">IFERROR(__xludf.DUMMYFUNCTION("IF(ISBLANK(A215),"""",GOOGLETRANSLATE(A215,""en"",""fr""))"),"")</f>
        <v/>
      </c>
    </row>
    <row r="216" spans="2:2">
      <c r="B216" s="3" t="str">
        <f ca="1">IFERROR(__xludf.DUMMYFUNCTION("IF(ISBLANK(A216),"""",GOOGLETRANSLATE(A216,""en"",""fr""))"),"")</f>
        <v/>
      </c>
    </row>
    <row r="217" spans="2:2">
      <c r="B217" s="3" t="str">
        <f ca="1">IFERROR(__xludf.DUMMYFUNCTION("IF(ISBLANK(A217),"""",GOOGLETRANSLATE(A217,""en"",""fr""))"),"")</f>
        <v/>
      </c>
    </row>
    <row r="218" spans="2:2">
      <c r="B218" s="3" t="str">
        <f ca="1">IFERROR(__xludf.DUMMYFUNCTION("IF(ISBLANK(A218),"""",GOOGLETRANSLATE(A218,""en"",""fr""))"),"")</f>
        <v/>
      </c>
    </row>
    <row r="219" spans="2:2">
      <c r="B219" s="3" t="str">
        <f ca="1">IFERROR(__xludf.DUMMYFUNCTION("IF(ISBLANK(A219),"""",GOOGLETRANSLATE(A219,""en"",""fr""))"),"")</f>
        <v/>
      </c>
    </row>
    <row r="220" spans="2:2">
      <c r="B220" s="3" t="str">
        <f ca="1">IFERROR(__xludf.DUMMYFUNCTION("IF(ISBLANK(A220),"""",GOOGLETRANSLATE(A220,""en"",""fr""))"),"")</f>
        <v/>
      </c>
    </row>
    <row r="221" spans="2:2">
      <c r="B221" s="3" t="str">
        <f ca="1">IFERROR(__xludf.DUMMYFUNCTION("IF(ISBLANK(A221),"""",GOOGLETRANSLATE(A221,""en"",""fr""))"),"")</f>
        <v/>
      </c>
    </row>
    <row r="222" spans="2:2">
      <c r="B222" s="3" t="str">
        <f ca="1">IFERROR(__xludf.DUMMYFUNCTION("IF(ISBLANK(A222),"""",GOOGLETRANSLATE(A222,""en"",""fr""))"),"")</f>
        <v/>
      </c>
    </row>
    <row r="223" spans="2:2">
      <c r="B223" s="3" t="str">
        <f ca="1">IFERROR(__xludf.DUMMYFUNCTION("IF(ISBLANK(A223),"""",GOOGLETRANSLATE(A223,""en"",""fr""))"),"")</f>
        <v/>
      </c>
    </row>
    <row r="224" spans="2:2">
      <c r="B224" s="3" t="str">
        <f ca="1">IFERROR(__xludf.DUMMYFUNCTION("IF(ISBLANK(A224),"""",GOOGLETRANSLATE(A224,""en"",""fr""))"),"")</f>
        <v/>
      </c>
    </row>
    <row r="225" spans="2:2">
      <c r="B225" s="3" t="str">
        <f ca="1">IFERROR(__xludf.DUMMYFUNCTION("IF(ISBLANK(A225),"""",GOOGLETRANSLATE(A225,""en"",""fr""))"),"")</f>
        <v/>
      </c>
    </row>
    <row r="226" spans="2:2">
      <c r="B226" s="3" t="str">
        <f ca="1">IFERROR(__xludf.DUMMYFUNCTION("IF(ISBLANK(A226),"""",GOOGLETRANSLATE(A226,""en"",""fr""))"),"")</f>
        <v/>
      </c>
    </row>
    <row r="227" spans="2:2">
      <c r="B227" s="3" t="str">
        <f ca="1">IFERROR(__xludf.DUMMYFUNCTION("IF(ISBLANK(A227),"""",GOOGLETRANSLATE(A227,""en"",""fr""))"),"")</f>
        <v/>
      </c>
    </row>
    <row r="228" spans="2:2">
      <c r="B228" s="3" t="str">
        <f ca="1">IFERROR(__xludf.DUMMYFUNCTION("IF(ISBLANK(A228),"""",GOOGLETRANSLATE(A228,""en"",""fr""))"),"")</f>
        <v/>
      </c>
    </row>
    <row r="229" spans="2:2">
      <c r="B229" s="3" t="str">
        <f ca="1">IFERROR(__xludf.DUMMYFUNCTION("IF(ISBLANK(A229),"""",GOOGLETRANSLATE(A229,""en"",""fr""))"),"")</f>
        <v/>
      </c>
    </row>
    <row r="230" spans="2:2">
      <c r="B230" s="3" t="str">
        <f ca="1">IFERROR(__xludf.DUMMYFUNCTION("IF(ISBLANK(A230),"""",GOOGLETRANSLATE(A230,""en"",""fr""))"),"")</f>
        <v/>
      </c>
    </row>
    <row r="231" spans="2:2">
      <c r="B231" s="3" t="str">
        <f ca="1">IFERROR(__xludf.DUMMYFUNCTION("IF(ISBLANK(A231),"""",GOOGLETRANSLATE(A231,""en"",""fr""))"),"")</f>
        <v/>
      </c>
    </row>
    <row r="232" spans="2:2">
      <c r="B232" s="3" t="str">
        <f ca="1">IFERROR(__xludf.DUMMYFUNCTION("IF(ISBLANK(A232),"""",GOOGLETRANSLATE(A232,""en"",""fr""))"),"")</f>
        <v/>
      </c>
    </row>
    <row r="233" spans="2:2">
      <c r="B233" s="3" t="str">
        <f ca="1">IFERROR(__xludf.DUMMYFUNCTION("IF(ISBLANK(A233),"""",GOOGLETRANSLATE(A233,""en"",""fr""))"),"")</f>
        <v/>
      </c>
    </row>
    <row r="234" spans="2:2">
      <c r="B234" s="3" t="str">
        <f ca="1">IFERROR(__xludf.DUMMYFUNCTION("IF(ISBLANK(A234),"""",GOOGLETRANSLATE(A234,""en"",""fr""))"),"")</f>
        <v/>
      </c>
    </row>
    <row r="235" spans="2:2">
      <c r="B235" s="3" t="str">
        <f ca="1">IFERROR(__xludf.DUMMYFUNCTION("IF(ISBLANK(A235),"""",GOOGLETRANSLATE(A235,""en"",""fr""))"),"")</f>
        <v/>
      </c>
    </row>
    <row r="236" spans="2:2">
      <c r="B236" s="3" t="str">
        <f ca="1">IFERROR(__xludf.DUMMYFUNCTION("IF(ISBLANK(A236),"""",GOOGLETRANSLATE(A236,""en"",""fr""))"),"")</f>
        <v/>
      </c>
    </row>
    <row r="237" spans="2:2">
      <c r="B237" s="3" t="str">
        <f ca="1">IFERROR(__xludf.DUMMYFUNCTION("IF(ISBLANK(A237),"""",GOOGLETRANSLATE(A237,""en"",""fr""))"),"")</f>
        <v/>
      </c>
    </row>
    <row r="238" spans="2:2">
      <c r="B238" s="3" t="str">
        <f ca="1">IFERROR(__xludf.DUMMYFUNCTION("IF(ISBLANK(A238),"""",GOOGLETRANSLATE(A238,""en"",""fr""))"),"")</f>
        <v/>
      </c>
    </row>
    <row r="239" spans="2:2">
      <c r="B239" s="3" t="str">
        <f ca="1">IFERROR(__xludf.DUMMYFUNCTION("IF(ISBLANK(A239),"""",GOOGLETRANSLATE(A239,""en"",""fr""))"),"")</f>
        <v/>
      </c>
    </row>
    <row r="240" spans="2:2">
      <c r="B240" s="3" t="str">
        <f ca="1">IFERROR(__xludf.DUMMYFUNCTION("IF(ISBLANK(A240),"""",GOOGLETRANSLATE(A240,""en"",""fr""))"),"")</f>
        <v/>
      </c>
    </row>
    <row r="241" spans="2:2">
      <c r="B241" s="3" t="str">
        <f ca="1">IFERROR(__xludf.DUMMYFUNCTION("IF(ISBLANK(A241),"""",GOOGLETRANSLATE(A241,""en"",""fr""))"),"")</f>
        <v/>
      </c>
    </row>
    <row r="242" spans="2:2">
      <c r="B242" s="3" t="str">
        <f ca="1">IFERROR(__xludf.DUMMYFUNCTION("IF(ISBLANK(A242),"""",GOOGLETRANSLATE(A242,""en"",""fr""))"),"")</f>
        <v/>
      </c>
    </row>
    <row r="243" spans="2:2">
      <c r="B243" s="3" t="str">
        <f ca="1">IFERROR(__xludf.DUMMYFUNCTION("IF(ISBLANK(A243),"""",GOOGLETRANSLATE(A243,""en"",""fr""))"),"")</f>
        <v/>
      </c>
    </row>
    <row r="244" spans="2:2">
      <c r="B244" s="3" t="str">
        <f ca="1">IFERROR(__xludf.DUMMYFUNCTION("IF(ISBLANK(A244),"""",GOOGLETRANSLATE(A244,""en"",""fr""))"),"")</f>
        <v/>
      </c>
    </row>
    <row r="245" spans="2:2">
      <c r="B245" s="3" t="str">
        <f ca="1">IFERROR(__xludf.DUMMYFUNCTION("IF(ISBLANK(A245),"""",GOOGLETRANSLATE(A245,""en"",""fr""))"),"")</f>
        <v/>
      </c>
    </row>
    <row r="246" spans="2:2">
      <c r="B246" s="3" t="str">
        <f ca="1">IFERROR(__xludf.DUMMYFUNCTION("IF(ISBLANK(A246),"""",GOOGLETRANSLATE(A246,""en"",""fr""))"),"")</f>
        <v/>
      </c>
    </row>
    <row r="247" spans="2:2">
      <c r="B247" s="3" t="str">
        <f ca="1">IFERROR(__xludf.DUMMYFUNCTION("IF(ISBLANK(A247),"""",GOOGLETRANSLATE(A247,""en"",""fr""))"),"")</f>
        <v/>
      </c>
    </row>
    <row r="248" spans="2:2">
      <c r="B248" s="3" t="str">
        <f ca="1">IFERROR(__xludf.DUMMYFUNCTION("IF(ISBLANK(A248),"""",GOOGLETRANSLATE(A248,""en"",""fr""))"),"")</f>
        <v/>
      </c>
    </row>
    <row r="249" spans="2:2">
      <c r="B249" s="3" t="str">
        <f ca="1">IFERROR(__xludf.DUMMYFUNCTION("IF(ISBLANK(A249),"""",GOOGLETRANSLATE(A249,""en"",""fr""))"),"")</f>
        <v/>
      </c>
    </row>
    <row r="250" spans="2:2">
      <c r="B250" s="3" t="str">
        <f ca="1">IFERROR(__xludf.DUMMYFUNCTION("IF(ISBLANK(A250),"""",GOOGLETRANSLATE(A250,""en"",""fr""))"),"")</f>
        <v/>
      </c>
    </row>
    <row r="251" spans="2:2">
      <c r="B251" s="3" t="str">
        <f ca="1">IFERROR(__xludf.DUMMYFUNCTION("IF(ISBLANK(A251),"""",GOOGLETRANSLATE(A251,""en"",""fr""))"),"")</f>
        <v/>
      </c>
    </row>
    <row r="252" spans="2:2">
      <c r="B252" s="3" t="str">
        <f ca="1">IFERROR(__xludf.DUMMYFUNCTION("IF(ISBLANK(A252),"""",GOOGLETRANSLATE(A252,""en"",""fr""))"),"")</f>
        <v/>
      </c>
    </row>
    <row r="253" spans="2:2">
      <c r="B253" s="3" t="str">
        <f ca="1">IFERROR(__xludf.DUMMYFUNCTION("IF(ISBLANK(A253),"""",GOOGLETRANSLATE(A253,""en"",""fr""))"),"")</f>
        <v/>
      </c>
    </row>
    <row r="254" spans="2:2">
      <c r="B254" s="3" t="str">
        <f ca="1">IFERROR(__xludf.DUMMYFUNCTION("IF(ISBLANK(A254),"""",GOOGLETRANSLATE(A254,""en"",""fr""))"),"")</f>
        <v/>
      </c>
    </row>
    <row r="255" spans="2:2">
      <c r="B255" s="3" t="str">
        <f ca="1">IFERROR(__xludf.DUMMYFUNCTION("IF(ISBLANK(A255),"""",GOOGLETRANSLATE(A255,""en"",""fr""))"),"")</f>
        <v/>
      </c>
    </row>
    <row r="256" spans="2:2">
      <c r="B256" s="3" t="str">
        <f ca="1">IFERROR(__xludf.DUMMYFUNCTION("IF(ISBLANK(A256),"""",GOOGLETRANSLATE(A256,""en"",""fr""))"),"")</f>
        <v/>
      </c>
    </row>
    <row r="257" spans="2:2">
      <c r="B257" s="3" t="str">
        <f ca="1">IFERROR(__xludf.DUMMYFUNCTION("IF(ISBLANK(A257),"""",GOOGLETRANSLATE(A257,""en"",""fr""))"),"")</f>
        <v/>
      </c>
    </row>
    <row r="258" spans="2:2">
      <c r="B258" s="3" t="str">
        <f ca="1">IFERROR(__xludf.DUMMYFUNCTION("IF(ISBLANK(A258),"""",GOOGLETRANSLATE(A258,""en"",""fr""))"),"")</f>
        <v/>
      </c>
    </row>
    <row r="259" spans="2:2">
      <c r="B259" s="3" t="str">
        <f ca="1">IFERROR(__xludf.DUMMYFUNCTION("IF(ISBLANK(A259),"""",GOOGLETRANSLATE(A259,""en"",""fr""))"),"")</f>
        <v/>
      </c>
    </row>
    <row r="260" spans="2:2">
      <c r="B260" s="3" t="str">
        <f ca="1">IFERROR(__xludf.DUMMYFUNCTION("IF(ISBLANK(A260),"""",GOOGLETRANSLATE(A260,""en"",""fr""))"),"")</f>
        <v/>
      </c>
    </row>
    <row r="261" spans="2:2">
      <c r="B261" s="3" t="str">
        <f ca="1">IFERROR(__xludf.DUMMYFUNCTION("IF(ISBLANK(A261),"""",GOOGLETRANSLATE(A261,""en"",""fr""))"),"")</f>
        <v/>
      </c>
    </row>
    <row r="262" spans="2:2">
      <c r="B262" s="3" t="str">
        <f ca="1">IFERROR(__xludf.DUMMYFUNCTION("IF(ISBLANK(A262),"""",GOOGLETRANSLATE(A262,""en"",""fr""))"),"")</f>
        <v/>
      </c>
    </row>
    <row r="263" spans="2:2">
      <c r="B263" s="3" t="str">
        <f ca="1">IFERROR(__xludf.DUMMYFUNCTION("IF(ISBLANK(A263),"""",GOOGLETRANSLATE(A263,""en"",""fr""))"),"")</f>
        <v/>
      </c>
    </row>
    <row r="264" spans="2:2">
      <c r="B264" s="3" t="str">
        <f ca="1">IFERROR(__xludf.DUMMYFUNCTION("IF(ISBLANK(A264),"""",GOOGLETRANSLATE(A264,""en"",""fr""))"),"")</f>
        <v/>
      </c>
    </row>
    <row r="265" spans="2:2">
      <c r="B265" s="3" t="str">
        <f ca="1">IFERROR(__xludf.DUMMYFUNCTION("IF(ISBLANK(A265),"""",GOOGLETRANSLATE(A265,""en"",""fr""))"),"")</f>
        <v/>
      </c>
    </row>
    <row r="266" spans="2:2">
      <c r="B266" s="3" t="str">
        <f ca="1">IFERROR(__xludf.DUMMYFUNCTION("IF(ISBLANK(A266),"""",GOOGLETRANSLATE(A266,""en"",""fr""))"),"")</f>
        <v/>
      </c>
    </row>
    <row r="267" spans="2:2">
      <c r="B267" s="3" t="str">
        <f ca="1">IFERROR(__xludf.DUMMYFUNCTION("IF(ISBLANK(A267),"""",GOOGLETRANSLATE(A267,""en"",""fr""))"),"")</f>
        <v/>
      </c>
    </row>
    <row r="268" spans="2:2">
      <c r="B268" s="3" t="str">
        <f ca="1">IFERROR(__xludf.DUMMYFUNCTION("IF(ISBLANK(A268),"""",GOOGLETRANSLATE(A268,""en"",""fr""))"),"")</f>
        <v/>
      </c>
    </row>
    <row r="269" spans="2:2">
      <c r="B269" s="3" t="str">
        <f ca="1">IFERROR(__xludf.DUMMYFUNCTION("IF(ISBLANK(A269),"""",GOOGLETRANSLATE(A269,""en"",""fr""))"),"")</f>
        <v/>
      </c>
    </row>
    <row r="270" spans="2:2">
      <c r="B270" s="3" t="str">
        <f ca="1">IFERROR(__xludf.DUMMYFUNCTION("IF(ISBLANK(A270),"""",GOOGLETRANSLATE(A270,""en"",""fr""))"),"")</f>
        <v/>
      </c>
    </row>
    <row r="271" spans="2:2">
      <c r="B271" s="3" t="str">
        <f ca="1">IFERROR(__xludf.DUMMYFUNCTION("IF(ISBLANK(A271),"""",GOOGLETRANSLATE(A271,""en"",""fr""))"),"")</f>
        <v/>
      </c>
    </row>
    <row r="272" spans="2:2">
      <c r="B272" s="3" t="str">
        <f ca="1">IFERROR(__xludf.DUMMYFUNCTION("IF(ISBLANK(A272),"""",GOOGLETRANSLATE(A272,""en"",""fr""))"),"")</f>
        <v/>
      </c>
    </row>
    <row r="273" spans="2:2">
      <c r="B273" s="3" t="str">
        <f ca="1">IFERROR(__xludf.DUMMYFUNCTION("IF(ISBLANK(A273),"""",GOOGLETRANSLATE(A273,""en"",""fr""))"),"")</f>
        <v/>
      </c>
    </row>
    <row r="274" spans="2:2">
      <c r="B274" s="3" t="str">
        <f ca="1">IFERROR(__xludf.DUMMYFUNCTION("IF(ISBLANK(A274),"""",GOOGLETRANSLATE(A274,""en"",""fr""))"),"")</f>
        <v/>
      </c>
    </row>
    <row r="275" spans="2:2">
      <c r="B275" s="3" t="str">
        <f ca="1">IFERROR(__xludf.DUMMYFUNCTION("IF(ISBLANK(A275),"""",GOOGLETRANSLATE(A275,""en"",""fr""))"),"")</f>
        <v/>
      </c>
    </row>
    <row r="276" spans="2:2">
      <c r="B276" s="3" t="str">
        <f ca="1">IFERROR(__xludf.DUMMYFUNCTION("IF(ISBLANK(A276),"""",GOOGLETRANSLATE(A276,""en"",""fr""))"),"")</f>
        <v/>
      </c>
    </row>
    <row r="277" spans="2:2">
      <c r="B277" s="3" t="str">
        <f ca="1">IFERROR(__xludf.DUMMYFUNCTION("IF(ISBLANK(A277),"""",GOOGLETRANSLATE(A277,""en"",""fr""))"),"")</f>
        <v/>
      </c>
    </row>
    <row r="278" spans="2:2">
      <c r="B278" s="3" t="str">
        <f ca="1">IFERROR(__xludf.DUMMYFUNCTION("IF(ISBLANK(A278),"""",GOOGLETRANSLATE(A278,""en"",""fr""))"),"")</f>
        <v/>
      </c>
    </row>
    <row r="279" spans="2:2">
      <c r="B279" s="3" t="str">
        <f ca="1">IFERROR(__xludf.DUMMYFUNCTION("IF(ISBLANK(A279),"""",GOOGLETRANSLATE(A279,""en"",""fr""))"),"")</f>
        <v/>
      </c>
    </row>
    <row r="280" spans="2:2">
      <c r="B280" s="3" t="str">
        <f ca="1">IFERROR(__xludf.DUMMYFUNCTION("IF(ISBLANK(A280),"""",GOOGLETRANSLATE(A280,""en"",""fr""))"),"")</f>
        <v/>
      </c>
    </row>
    <row r="281" spans="2:2">
      <c r="B281" s="3" t="str">
        <f ca="1">IFERROR(__xludf.DUMMYFUNCTION("IF(ISBLANK(A281),"""",GOOGLETRANSLATE(A281,""en"",""fr""))"),"")</f>
        <v/>
      </c>
    </row>
    <row r="282" spans="2:2">
      <c r="B282" s="3" t="str">
        <f ca="1">IFERROR(__xludf.DUMMYFUNCTION("IF(ISBLANK(A282),"""",GOOGLETRANSLATE(A282,""en"",""fr""))"),"")</f>
        <v/>
      </c>
    </row>
    <row r="283" spans="2:2">
      <c r="B283" s="3" t="str">
        <f ca="1">IFERROR(__xludf.DUMMYFUNCTION("IF(ISBLANK(A283),"""",GOOGLETRANSLATE(A283,""en"",""fr""))"),"")</f>
        <v/>
      </c>
    </row>
    <row r="284" spans="2:2">
      <c r="B284" s="3" t="str">
        <f ca="1">IFERROR(__xludf.DUMMYFUNCTION("IF(ISBLANK(A284),"""",GOOGLETRANSLATE(A284,""en"",""fr""))"),"")</f>
        <v/>
      </c>
    </row>
    <row r="285" spans="2:2">
      <c r="B285" s="3" t="str">
        <f ca="1">IFERROR(__xludf.DUMMYFUNCTION("IF(ISBLANK(A285),"""",GOOGLETRANSLATE(A285,""en"",""fr""))"),"")</f>
        <v/>
      </c>
    </row>
    <row r="286" spans="2:2">
      <c r="B286" s="3" t="str">
        <f ca="1">IFERROR(__xludf.DUMMYFUNCTION("IF(ISBLANK(A286),"""",GOOGLETRANSLATE(A286,""en"",""fr""))"),"")</f>
        <v/>
      </c>
    </row>
    <row r="287" spans="2:2">
      <c r="B287" s="3" t="str">
        <f ca="1">IFERROR(__xludf.DUMMYFUNCTION("IF(ISBLANK(A287),"""",GOOGLETRANSLATE(A287,""en"",""fr""))"),"")</f>
        <v/>
      </c>
    </row>
    <row r="288" spans="2:2">
      <c r="B288" s="3" t="str">
        <f ca="1">IFERROR(__xludf.DUMMYFUNCTION("IF(ISBLANK(A288),"""",GOOGLETRANSLATE(A288,""en"",""fr""))"),"")</f>
        <v/>
      </c>
    </row>
    <row r="289" spans="2:2">
      <c r="B289" s="3" t="str">
        <f ca="1">IFERROR(__xludf.DUMMYFUNCTION("IF(ISBLANK(A289),"""",GOOGLETRANSLATE(A289,""en"",""fr""))"),"")</f>
        <v/>
      </c>
    </row>
    <row r="290" spans="2:2">
      <c r="B290" s="3" t="str">
        <f ca="1">IFERROR(__xludf.DUMMYFUNCTION("IF(ISBLANK(A290),"""",GOOGLETRANSLATE(A290,""en"",""fr""))"),"")</f>
        <v/>
      </c>
    </row>
    <row r="291" spans="2:2">
      <c r="B291" s="3" t="str">
        <f ca="1">IFERROR(__xludf.DUMMYFUNCTION("IF(ISBLANK(A291),"""",GOOGLETRANSLATE(A291,""en"",""fr""))"),"")</f>
        <v/>
      </c>
    </row>
    <row r="292" spans="2:2">
      <c r="B292" s="3" t="str">
        <f ca="1">IFERROR(__xludf.DUMMYFUNCTION("IF(ISBLANK(A292),"""",GOOGLETRANSLATE(A292,""en"",""fr""))"),"")</f>
        <v/>
      </c>
    </row>
    <row r="293" spans="2:2">
      <c r="B293" s="3" t="str">
        <f ca="1">IFERROR(__xludf.DUMMYFUNCTION("IF(ISBLANK(A293),"""",GOOGLETRANSLATE(A293,""en"",""fr""))"),"")</f>
        <v/>
      </c>
    </row>
    <row r="294" spans="2:2">
      <c r="B294" s="3" t="str">
        <f ca="1">IFERROR(__xludf.DUMMYFUNCTION("IF(ISBLANK(A294),"""",GOOGLETRANSLATE(A294,""en"",""fr""))"),"")</f>
        <v/>
      </c>
    </row>
    <row r="295" spans="2:2">
      <c r="B295" s="3" t="str">
        <f ca="1">IFERROR(__xludf.DUMMYFUNCTION("IF(ISBLANK(A295),"""",GOOGLETRANSLATE(A295,""en"",""fr""))"),"")</f>
        <v/>
      </c>
    </row>
    <row r="296" spans="2:2">
      <c r="B296" s="3" t="str">
        <f ca="1">IFERROR(__xludf.DUMMYFUNCTION("IF(ISBLANK(A296),"""",GOOGLETRANSLATE(A296,""en"",""fr""))"),"")</f>
        <v/>
      </c>
    </row>
    <row r="297" spans="2:2">
      <c r="B297" s="3" t="str">
        <f ca="1">IFERROR(__xludf.DUMMYFUNCTION("IF(ISBLANK(A297),"""",GOOGLETRANSLATE(A297,""en"",""fr""))"),"")</f>
        <v/>
      </c>
    </row>
    <row r="298" spans="2:2">
      <c r="B298" s="3" t="str">
        <f ca="1">IFERROR(__xludf.DUMMYFUNCTION("IF(ISBLANK(A298),"""",GOOGLETRANSLATE(A298,""en"",""fr""))"),"")</f>
        <v/>
      </c>
    </row>
    <row r="299" spans="2:2">
      <c r="B299" s="3" t="str">
        <f ca="1">IFERROR(__xludf.DUMMYFUNCTION("IF(ISBLANK(A299),"""",GOOGLETRANSLATE(A299,""en"",""fr""))"),"")</f>
        <v/>
      </c>
    </row>
    <row r="300" spans="2:2">
      <c r="B300" s="3" t="str">
        <f ca="1">IFERROR(__xludf.DUMMYFUNCTION("IF(ISBLANK(A300),"""",GOOGLETRANSLATE(A300,""en"",""fr""))"),"")</f>
        <v/>
      </c>
    </row>
    <row r="301" spans="2:2">
      <c r="B301" s="3" t="str">
        <f ca="1">IFERROR(__xludf.DUMMYFUNCTION("IF(ISBLANK(A301),"""",GOOGLETRANSLATE(A301,""en"",""fr""))"),"")</f>
        <v/>
      </c>
    </row>
    <row r="302" spans="2:2">
      <c r="B302" s="3" t="str">
        <f ca="1">IFERROR(__xludf.DUMMYFUNCTION("IF(ISBLANK(A302),"""",GOOGLETRANSLATE(A302,""en"",""fr""))"),"")</f>
        <v/>
      </c>
    </row>
    <row r="303" spans="2:2">
      <c r="B303" s="3" t="str">
        <f ca="1">IFERROR(__xludf.DUMMYFUNCTION("IF(ISBLANK(A303),"""",GOOGLETRANSLATE(A303,""en"",""fr""))"),"")</f>
        <v/>
      </c>
    </row>
    <row r="304" spans="2:2">
      <c r="B304" s="3" t="str">
        <f ca="1">IFERROR(__xludf.DUMMYFUNCTION("IF(ISBLANK(A304),"""",GOOGLETRANSLATE(A304,""en"",""fr""))"),"")</f>
        <v/>
      </c>
    </row>
    <row r="305" spans="2:2">
      <c r="B305" s="3" t="str">
        <f ca="1">IFERROR(__xludf.DUMMYFUNCTION("IF(ISBLANK(A305),"""",GOOGLETRANSLATE(A305,""en"",""fr""))"),"")</f>
        <v/>
      </c>
    </row>
    <row r="306" spans="2:2">
      <c r="B306" s="3" t="str">
        <f ca="1">IFERROR(__xludf.DUMMYFUNCTION("IF(ISBLANK(A306),"""",GOOGLETRANSLATE(A306,""en"",""fr""))"),"")</f>
        <v/>
      </c>
    </row>
    <row r="307" spans="2:2">
      <c r="B307" s="3" t="str">
        <f ca="1">IFERROR(__xludf.DUMMYFUNCTION("IF(ISBLANK(A307),"""",GOOGLETRANSLATE(A307,""en"",""fr""))"),"")</f>
        <v/>
      </c>
    </row>
    <row r="308" spans="2:2">
      <c r="B308" s="3" t="str">
        <f ca="1">IFERROR(__xludf.DUMMYFUNCTION("IF(ISBLANK(A308),"""",GOOGLETRANSLATE(A308,""en"",""fr""))"),"")</f>
        <v/>
      </c>
    </row>
    <row r="309" spans="2:2">
      <c r="B309" s="3" t="str">
        <f ca="1">IFERROR(__xludf.DUMMYFUNCTION("IF(ISBLANK(A309),"""",GOOGLETRANSLATE(A309,""en"",""fr""))"),"")</f>
        <v/>
      </c>
    </row>
    <row r="310" spans="2:2">
      <c r="B310" s="3" t="str">
        <f ca="1">IFERROR(__xludf.DUMMYFUNCTION("IF(ISBLANK(A310),"""",GOOGLETRANSLATE(A310,""en"",""fr""))"),"")</f>
        <v/>
      </c>
    </row>
    <row r="311" spans="2:2">
      <c r="B311" s="3" t="str">
        <f ca="1">IFERROR(__xludf.DUMMYFUNCTION("IF(ISBLANK(A311),"""",GOOGLETRANSLATE(A311,""en"",""fr""))"),"")</f>
        <v/>
      </c>
    </row>
    <row r="312" spans="2:2">
      <c r="B312" s="3" t="str">
        <f ca="1">IFERROR(__xludf.DUMMYFUNCTION("IF(ISBLANK(A312),"""",GOOGLETRANSLATE(A312,""en"",""fr""))"),"")</f>
        <v/>
      </c>
    </row>
    <row r="313" spans="2:2">
      <c r="B313" s="3" t="str">
        <f ca="1">IFERROR(__xludf.DUMMYFUNCTION("IF(ISBLANK(A313),"""",GOOGLETRANSLATE(A313,""en"",""fr""))"),"")</f>
        <v/>
      </c>
    </row>
    <row r="314" spans="2:2">
      <c r="B314" s="3" t="str">
        <f ca="1">IFERROR(__xludf.DUMMYFUNCTION("IF(ISBLANK(A314),"""",GOOGLETRANSLATE(A314,""en"",""fr""))"),"")</f>
        <v/>
      </c>
    </row>
    <row r="315" spans="2:2">
      <c r="B315" s="3" t="str">
        <f ca="1">IFERROR(__xludf.DUMMYFUNCTION("IF(ISBLANK(A315),"""",GOOGLETRANSLATE(A315,""en"",""fr""))"),"")</f>
        <v/>
      </c>
    </row>
    <row r="316" spans="2:2">
      <c r="B316" s="3" t="str">
        <f ca="1">IFERROR(__xludf.DUMMYFUNCTION("IF(ISBLANK(A316),"""",GOOGLETRANSLATE(A316,""en"",""fr""))"),"")</f>
        <v/>
      </c>
    </row>
    <row r="317" spans="2:2">
      <c r="B317" s="3" t="str">
        <f ca="1">IFERROR(__xludf.DUMMYFUNCTION("IF(ISBLANK(A317),"""",GOOGLETRANSLATE(A317,""en"",""fr""))"),"")</f>
        <v/>
      </c>
    </row>
    <row r="318" spans="2:2">
      <c r="B318" s="3" t="str">
        <f ca="1">IFERROR(__xludf.DUMMYFUNCTION("IF(ISBLANK(A318),"""",GOOGLETRANSLATE(A318,""en"",""fr""))"),"")</f>
        <v/>
      </c>
    </row>
    <row r="319" spans="2:2">
      <c r="B319" s="3" t="str">
        <f ca="1">IFERROR(__xludf.DUMMYFUNCTION("IF(ISBLANK(A319),"""",GOOGLETRANSLATE(A319,""en"",""fr""))"),"")</f>
        <v/>
      </c>
    </row>
    <row r="320" spans="2:2">
      <c r="B320" s="3" t="str">
        <f ca="1">IFERROR(__xludf.DUMMYFUNCTION("IF(ISBLANK(A320),"""",GOOGLETRANSLATE(A320,""en"",""fr""))"),"")</f>
        <v/>
      </c>
    </row>
    <row r="321" spans="2:2">
      <c r="B321" s="3" t="str">
        <f ca="1">IFERROR(__xludf.DUMMYFUNCTION("IF(ISBLANK(A321),"""",GOOGLETRANSLATE(A321,""en"",""fr""))"),"")</f>
        <v/>
      </c>
    </row>
    <row r="322" spans="2:2">
      <c r="B322" s="3" t="str">
        <f ca="1">IFERROR(__xludf.DUMMYFUNCTION("IF(ISBLANK(A322),"""",GOOGLETRANSLATE(A322,""en"",""fr""))"),"")</f>
        <v/>
      </c>
    </row>
    <row r="323" spans="2:2">
      <c r="B323" s="3" t="str">
        <f ca="1">IFERROR(__xludf.DUMMYFUNCTION("IF(ISBLANK(A323),"""",GOOGLETRANSLATE(A323,""en"",""fr""))"),"")</f>
        <v/>
      </c>
    </row>
    <row r="324" spans="2:2">
      <c r="B324" s="3" t="str">
        <f ca="1">IFERROR(__xludf.DUMMYFUNCTION("IF(ISBLANK(A324),"""",GOOGLETRANSLATE(A324,""en"",""fr""))"),"")</f>
        <v/>
      </c>
    </row>
    <row r="325" spans="2:2">
      <c r="B325" s="3" t="str">
        <f ca="1">IFERROR(__xludf.DUMMYFUNCTION("IF(ISBLANK(A325),"""",GOOGLETRANSLATE(A325,""en"",""fr""))"),"")</f>
        <v/>
      </c>
    </row>
    <row r="326" spans="2:2">
      <c r="B326" s="3" t="str">
        <f ca="1">IFERROR(__xludf.DUMMYFUNCTION("IF(ISBLANK(A326),"""",GOOGLETRANSLATE(A326,""en"",""fr""))"),"")</f>
        <v/>
      </c>
    </row>
    <row r="327" spans="2:2">
      <c r="B327" s="3" t="str">
        <f ca="1">IFERROR(__xludf.DUMMYFUNCTION("IF(ISBLANK(A327),"""",GOOGLETRANSLATE(A327,""en"",""fr""))"),"")</f>
        <v/>
      </c>
    </row>
    <row r="328" spans="2:2">
      <c r="B328" s="3" t="str">
        <f ca="1">IFERROR(__xludf.DUMMYFUNCTION("IF(ISBLANK(A328),"""",GOOGLETRANSLATE(A328,""en"",""fr""))"),"")</f>
        <v/>
      </c>
    </row>
    <row r="329" spans="2:2">
      <c r="B329" s="3" t="str">
        <f ca="1">IFERROR(__xludf.DUMMYFUNCTION("IF(ISBLANK(A329),"""",GOOGLETRANSLATE(A329,""en"",""fr""))"),"")</f>
        <v/>
      </c>
    </row>
    <row r="330" spans="2:2">
      <c r="B330" s="3" t="str">
        <f ca="1">IFERROR(__xludf.DUMMYFUNCTION("IF(ISBLANK(A330),"""",GOOGLETRANSLATE(A330,""en"",""fr""))"),"")</f>
        <v/>
      </c>
    </row>
    <row r="331" spans="2:2">
      <c r="B331" s="3" t="str">
        <f ca="1">IFERROR(__xludf.DUMMYFUNCTION("IF(ISBLANK(A331),"""",GOOGLETRANSLATE(A331,""en"",""fr""))"),"")</f>
        <v/>
      </c>
    </row>
    <row r="332" spans="2:2">
      <c r="B332" s="3" t="str">
        <f ca="1">IFERROR(__xludf.DUMMYFUNCTION("IF(ISBLANK(A332),"""",GOOGLETRANSLATE(A332,""en"",""fr""))"),"")</f>
        <v/>
      </c>
    </row>
    <row r="333" spans="2:2">
      <c r="B333" s="3" t="str">
        <f ca="1">IFERROR(__xludf.DUMMYFUNCTION("IF(ISBLANK(A333),"""",GOOGLETRANSLATE(A333,""en"",""fr""))"),"")</f>
        <v/>
      </c>
    </row>
    <row r="334" spans="2:2">
      <c r="B334" s="3" t="str">
        <f ca="1">IFERROR(__xludf.DUMMYFUNCTION("IF(ISBLANK(A334),"""",GOOGLETRANSLATE(A334,""en"",""fr""))"),"")</f>
        <v/>
      </c>
    </row>
    <row r="335" spans="2:2">
      <c r="B335" s="3" t="str">
        <f ca="1">IFERROR(__xludf.DUMMYFUNCTION("IF(ISBLANK(A335),"""",GOOGLETRANSLATE(A335,""en"",""fr""))"),"")</f>
        <v/>
      </c>
    </row>
    <row r="336" spans="2:2">
      <c r="B336" s="3" t="str">
        <f ca="1">IFERROR(__xludf.DUMMYFUNCTION("IF(ISBLANK(A336),"""",GOOGLETRANSLATE(A336,""en"",""fr""))"),"")</f>
        <v/>
      </c>
    </row>
    <row r="337" spans="2:2">
      <c r="B337" s="3" t="str">
        <f ca="1">IFERROR(__xludf.DUMMYFUNCTION("IF(ISBLANK(A337),"""",GOOGLETRANSLATE(A337,""en"",""fr""))"),"")</f>
        <v/>
      </c>
    </row>
    <row r="338" spans="2:2">
      <c r="B338" s="3" t="str">
        <f ca="1">IFERROR(__xludf.DUMMYFUNCTION("IF(ISBLANK(A338),"""",GOOGLETRANSLATE(A338,""en"",""fr""))"),"")</f>
        <v/>
      </c>
    </row>
    <row r="339" spans="2:2">
      <c r="B339" s="3" t="str">
        <f ca="1">IFERROR(__xludf.DUMMYFUNCTION("IF(ISBLANK(A339),"""",GOOGLETRANSLATE(A339,""en"",""fr""))"),"")</f>
        <v/>
      </c>
    </row>
    <row r="340" spans="2:2">
      <c r="B340" s="3" t="str">
        <f ca="1">IFERROR(__xludf.DUMMYFUNCTION("IF(ISBLANK(A340),"""",GOOGLETRANSLATE(A340,""en"",""fr""))"),"")</f>
        <v/>
      </c>
    </row>
    <row r="341" spans="2:2">
      <c r="B341" s="3" t="str">
        <f ca="1">IFERROR(__xludf.DUMMYFUNCTION("IF(ISBLANK(A341),"""",GOOGLETRANSLATE(A341,""en"",""fr""))"),"")</f>
        <v/>
      </c>
    </row>
    <row r="342" spans="2:2">
      <c r="B342" s="3" t="str">
        <f ca="1">IFERROR(__xludf.DUMMYFUNCTION("IF(ISBLANK(A342),"""",GOOGLETRANSLATE(A342,""en"",""fr""))"),"")</f>
        <v/>
      </c>
    </row>
    <row r="343" spans="2:2">
      <c r="B343" s="3" t="str">
        <f ca="1">IFERROR(__xludf.DUMMYFUNCTION("IF(ISBLANK(A343),"""",GOOGLETRANSLATE(A343,""en"",""fr""))"),"")</f>
        <v/>
      </c>
    </row>
    <row r="344" spans="2:2">
      <c r="B344" s="3" t="str">
        <f ca="1">IFERROR(__xludf.DUMMYFUNCTION("IF(ISBLANK(A344),"""",GOOGLETRANSLATE(A344,""en"",""fr""))"),"")</f>
        <v/>
      </c>
    </row>
    <row r="345" spans="2:2">
      <c r="B345" s="3" t="str">
        <f ca="1">IFERROR(__xludf.DUMMYFUNCTION("IF(ISBLANK(A345),"""",GOOGLETRANSLATE(A345,""en"",""fr""))"),"")</f>
        <v/>
      </c>
    </row>
    <row r="346" spans="2:2">
      <c r="B346" s="3" t="str">
        <f ca="1">IFERROR(__xludf.DUMMYFUNCTION("IF(ISBLANK(A346),"""",GOOGLETRANSLATE(A346,""en"",""fr""))"),"")</f>
        <v/>
      </c>
    </row>
    <row r="347" spans="2:2">
      <c r="B347" s="3" t="str">
        <f ca="1">IFERROR(__xludf.DUMMYFUNCTION("IF(ISBLANK(A347),"""",GOOGLETRANSLATE(A347,""en"",""fr""))"),"")</f>
        <v/>
      </c>
    </row>
    <row r="348" spans="2:2">
      <c r="B348" s="3" t="str">
        <f ca="1">IFERROR(__xludf.DUMMYFUNCTION("IF(ISBLANK(A348),"""",GOOGLETRANSLATE(A348,""en"",""fr""))"),"")</f>
        <v/>
      </c>
    </row>
    <row r="349" spans="2:2">
      <c r="B349" s="3" t="str">
        <f ca="1">IFERROR(__xludf.DUMMYFUNCTION("IF(ISBLANK(A349),"""",GOOGLETRANSLATE(A349,""en"",""fr""))"),"")</f>
        <v/>
      </c>
    </row>
    <row r="350" spans="2:2">
      <c r="B350" s="3" t="str">
        <f ca="1">IFERROR(__xludf.DUMMYFUNCTION("IF(ISBLANK(A350),"""",GOOGLETRANSLATE(A350,""en"",""fr""))"),"")</f>
        <v/>
      </c>
    </row>
    <row r="351" spans="2:2">
      <c r="B351" s="3" t="str">
        <f ca="1">IFERROR(__xludf.DUMMYFUNCTION("IF(ISBLANK(A351),"""",GOOGLETRANSLATE(A351,""en"",""fr""))"),"")</f>
        <v/>
      </c>
    </row>
    <row r="352" spans="2:2">
      <c r="B352" s="3" t="str">
        <f ca="1">IFERROR(__xludf.DUMMYFUNCTION("IF(ISBLANK(A352),"""",GOOGLETRANSLATE(A352,""en"",""fr""))"),"")</f>
        <v/>
      </c>
    </row>
    <row r="353" spans="2:2">
      <c r="B353" s="3" t="str">
        <f ca="1">IFERROR(__xludf.DUMMYFUNCTION("IF(ISBLANK(A353),"""",GOOGLETRANSLATE(A353,""en"",""fr""))"),"")</f>
        <v/>
      </c>
    </row>
    <row r="354" spans="2:2">
      <c r="B354" s="3" t="str">
        <f ca="1">IFERROR(__xludf.DUMMYFUNCTION("IF(ISBLANK(A354),"""",GOOGLETRANSLATE(A354,""en"",""fr""))"),"")</f>
        <v/>
      </c>
    </row>
    <row r="355" spans="2:2">
      <c r="B355" s="3" t="str">
        <f ca="1">IFERROR(__xludf.DUMMYFUNCTION("IF(ISBLANK(A355),"""",GOOGLETRANSLATE(A355,""en"",""fr""))"),"")</f>
        <v/>
      </c>
    </row>
    <row r="356" spans="2:2">
      <c r="B356" s="3" t="str">
        <f ca="1">IFERROR(__xludf.DUMMYFUNCTION("IF(ISBLANK(A356),"""",GOOGLETRANSLATE(A356,""en"",""fr""))"),"")</f>
        <v/>
      </c>
    </row>
    <row r="357" spans="2:2">
      <c r="B357" s="3" t="str">
        <f ca="1">IFERROR(__xludf.DUMMYFUNCTION("IF(ISBLANK(A357),"""",GOOGLETRANSLATE(A357,""en"",""fr""))"),"")</f>
        <v/>
      </c>
    </row>
    <row r="358" spans="2:2">
      <c r="B358" s="3" t="str">
        <f ca="1">IFERROR(__xludf.DUMMYFUNCTION("IF(ISBLANK(A358),"""",GOOGLETRANSLATE(A358,""en"",""fr""))"),"")</f>
        <v/>
      </c>
    </row>
    <row r="359" spans="2:2">
      <c r="B359" s="3" t="str">
        <f ca="1">IFERROR(__xludf.DUMMYFUNCTION("IF(ISBLANK(A359),"""",GOOGLETRANSLATE(A359,""en"",""fr""))"),"")</f>
        <v/>
      </c>
    </row>
    <row r="360" spans="2:2">
      <c r="B360" s="3" t="str">
        <f ca="1">IFERROR(__xludf.DUMMYFUNCTION("IF(ISBLANK(A360),"""",GOOGLETRANSLATE(A360,""en"",""fr""))"),"")</f>
        <v/>
      </c>
    </row>
    <row r="361" spans="2:2">
      <c r="B361" s="3" t="str">
        <f ca="1">IFERROR(__xludf.DUMMYFUNCTION("IF(ISBLANK(A361),"""",GOOGLETRANSLATE(A361,""en"",""fr""))"),"")</f>
        <v/>
      </c>
    </row>
    <row r="362" spans="2:2">
      <c r="B362" s="3" t="str">
        <f ca="1">IFERROR(__xludf.DUMMYFUNCTION("IF(ISBLANK(A362),"""",GOOGLETRANSLATE(A362,""en"",""fr""))"),"")</f>
        <v/>
      </c>
    </row>
    <row r="363" spans="2:2">
      <c r="B363" s="3" t="str">
        <f ca="1">IFERROR(__xludf.DUMMYFUNCTION("IF(ISBLANK(A363),"""",GOOGLETRANSLATE(A363,""en"",""fr""))"),"")</f>
        <v/>
      </c>
    </row>
    <row r="364" spans="2:2">
      <c r="B364" s="3" t="str">
        <f ca="1">IFERROR(__xludf.DUMMYFUNCTION("IF(ISBLANK(A364),"""",GOOGLETRANSLATE(A364,""en"",""fr""))"),"")</f>
        <v/>
      </c>
    </row>
    <row r="365" spans="2:2">
      <c r="B365" s="3" t="str">
        <f ca="1">IFERROR(__xludf.DUMMYFUNCTION("IF(ISBLANK(A365),"""",GOOGLETRANSLATE(A365,""en"",""fr""))"),"")</f>
        <v/>
      </c>
    </row>
    <row r="366" spans="2:2">
      <c r="B366" s="3" t="str">
        <f ca="1">IFERROR(__xludf.DUMMYFUNCTION("IF(ISBLANK(A366),"""",GOOGLETRANSLATE(A366,""en"",""fr""))"),"")</f>
        <v/>
      </c>
    </row>
    <row r="367" spans="2:2">
      <c r="B367" s="3" t="str">
        <f ca="1">IFERROR(__xludf.DUMMYFUNCTION("IF(ISBLANK(A367),"""",GOOGLETRANSLATE(A367,""en"",""fr""))"),"")</f>
        <v/>
      </c>
    </row>
    <row r="368" spans="2:2">
      <c r="B368" s="3" t="str">
        <f ca="1">IFERROR(__xludf.DUMMYFUNCTION("IF(ISBLANK(A368),"""",GOOGLETRANSLATE(A368,""en"",""fr""))"),"")</f>
        <v/>
      </c>
    </row>
    <row r="369" spans="2:2">
      <c r="B369" s="3" t="str">
        <f ca="1">IFERROR(__xludf.DUMMYFUNCTION("IF(ISBLANK(A369),"""",GOOGLETRANSLATE(A369,""en"",""fr""))"),"")</f>
        <v/>
      </c>
    </row>
    <row r="370" spans="2:2">
      <c r="B370" s="3" t="str">
        <f ca="1">IFERROR(__xludf.DUMMYFUNCTION("IF(ISBLANK(A370),"""",GOOGLETRANSLATE(A370,""en"",""fr""))"),"")</f>
        <v/>
      </c>
    </row>
    <row r="371" spans="2:2">
      <c r="B371" s="3" t="str">
        <f ca="1">IFERROR(__xludf.DUMMYFUNCTION("IF(ISBLANK(A371),"""",GOOGLETRANSLATE(A371,""en"",""fr""))"),"")</f>
        <v/>
      </c>
    </row>
    <row r="372" spans="2:2">
      <c r="B372" s="3" t="str">
        <f ca="1">IFERROR(__xludf.DUMMYFUNCTION("IF(ISBLANK(A372),"""",GOOGLETRANSLATE(A372,""en"",""fr""))"),"")</f>
        <v/>
      </c>
    </row>
    <row r="373" spans="2:2">
      <c r="B373" s="3" t="str">
        <f ca="1">IFERROR(__xludf.DUMMYFUNCTION("IF(ISBLANK(A373),"""",GOOGLETRANSLATE(A373,""en"",""fr""))"),"")</f>
        <v/>
      </c>
    </row>
    <row r="374" spans="2:2">
      <c r="B374" s="3" t="str">
        <f ca="1">IFERROR(__xludf.DUMMYFUNCTION("IF(ISBLANK(A374),"""",GOOGLETRANSLATE(A374,""en"",""fr""))"),"")</f>
        <v/>
      </c>
    </row>
    <row r="375" spans="2:2">
      <c r="B375" s="3" t="str">
        <f ca="1">IFERROR(__xludf.DUMMYFUNCTION("IF(ISBLANK(A375),"""",GOOGLETRANSLATE(A375,""en"",""fr""))"),"")</f>
        <v/>
      </c>
    </row>
    <row r="376" spans="2:2">
      <c r="B376" s="3" t="str">
        <f ca="1">IFERROR(__xludf.DUMMYFUNCTION("IF(ISBLANK(A376),"""",GOOGLETRANSLATE(A376,""en"",""fr""))"),"")</f>
        <v/>
      </c>
    </row>
    <row r="377" spans="2:2">
      <c r="B377" s="3" t="str">
        <f ca="1">IFERROR(__xludf.DUMMYFUNCTION("IF(ISBLANK(A377),"""",GOOGLETRANSLATE(A377,""en"",""fr""))"),"")</f>
        <v/>
      </c>
    </row>
    <row r="378" spans="2:2">
      <c r="B378" s="3" t="str">
        <f ca="1">IFERROR(__xludf.DUMMYFUNCTION("IF(ISBLANK(A378),"""",GOOGLETRANSLATE(A378,""en"",""fr""))"),"")</f>
        <v/>
      </c>
    </row>
    <row r="379" spans="2:2">
      <c r="B379" s="3" t="str">
        <f ca="1">IFERROR(__xludf.DUMMYFUNCTION("IF(ISBLANK(A379),"""",GOOGLETRANSLATE(A379,""en"",""fr""))"),"")</f>
        <v/>
      </c>
    </row>
    <row r="380" spans="2:2">
      <c r="B380" s="3" t="str">
        <f ca="1">IFERROR(__xludf.DUMMYFUNCTION("IF(ISBLANK(A380),"""",GOOGLETRANSLATE(A380,""en"",""fr""))"),"")</f>
        <v/>
      </c>
    </row>
    <row r="381" spans="2:2">
      <c r="B381" s="3" t="str">
        <f ca="1">IFERROR(__xludf.DUMMYFUNCTION("IF(ISBLANK(A381),"""",GOOGLETRANSLATE(A381,""en"",""fr""))"),"")</f>
        <v/>
      </c>
    </row>
    <row r="382" spans="2:2">
      <c r="B382" s="3" t="str">
        <f ca="1">IFERROR(__xludf.DUMMYFUNCTION("IF(ISBLANK(A382),"""",GOOGLETRANSLATE(A382,""en"",""fr""))"),"")</f>
        <v/>
      </c>
    </row>
    <row r="383" spans="2:2">
      <c r="B383" s="3" t="str">
        <f ca="1">IFERROR(__xludf.DUMMYFUNCTION("IF(ISBLANK(A383),"""",GOOGLETRANSLATE(A383,""en"",""fr""))"),"")</f>
        <v/>
      </c>
    </row>
    <row r="384" spans="2:2">
      <c r="B384" s="3" t="str">
        <f ca="1">IFERROR(__xludf.DUMMYFUNCTION("IF(ISBLANK(A384),"""",GOOGLETRANSLATE(A384,""en"",""fr""))"),"")</f>
        <v/>
      </c>
    </row>
    <row r="385" spans="2:2">
      <c r="B385" s="3" t="str">
        <f ca="1">IFERROR(__xludf.DUMMYFUNCTION("IF(ISBLANK(A385),"""",GOOGLETRANSLATE(A385,""en"",""fr""))"),"")</f>
        <v/>
      </c>
    </row>
    <row r="386" spans="2:2">
      <c r="B386" s="3" t="str">
        <f ca="1">IFERROR(__xludf.DUMMYFUNCTION("IF(ISBLANK(A386),"""",GOOGLETRANSLATE(A386,""en"",""fr""))"),"")</f>
        <v/>
      </c>
    </row>
    <row r="387" spans="2:2">
      <c r="B387" s="3" t="str">
        <f ca="1">IFERROR(__xludf.DUMMYFUNCTION("IF(ISBLANK(A387),"""",GOOGLETRANSLATE(A387,""en"",""fr""))"),"")</f>
        <v/>
      </c>
    </row>
    <row r="388" spans="2:2">
      <c r="B388" s="3" t="str">
        <f ca="1">IFERROR(__xludf.DUMMYFUNCTION("IF(ISBLANK(A388),"""",GOOGLETRANSLATE(A388,""en"",""fr""))"),"")</f>
        <v/>
      </c>
    </row>
    <row r="389" spans="2:2">
      <c r="B389" s="3" t="str">
        <f ca="1">IFERROR(__xludf.DUMMYFUNCTION("IF(ISBLANK(A389),"""",GOOGLETRANSLATE(A389,""en"",""fr""))"),"")</f>
        <v/>
      </c>
    </row>
    <row r="390" spans="2:2">
      <c r="B390" s="3" t="str">
        <f ca="1">IFERROR(__xludf.DUMMYFUNCTION("IF(ISBLANK(A390),"""",GOOGLETRANSLATE(A390,""en"",""fr""))"),"")</f>
        <v/>
      </c>
    </row>
    <row r="391" spans="2:2">
      <c r="B391" s="3" t="str">
        <f ca="1">IFERROR(__xludf.DUMMYFUNCTION("IF(ISBLANK(A391),"""",GOOGLETRANSLATE(A391,""en"",""fr""))"),"")</f>
        <v/>
      </c>
    </row>
    <row r="392" spans="2:2">
      <c r="B392" s="3" t="str">
        <f ca="1">IFERROR(__xludf.DUMMYFUNCTION("IF(ISBLANK(A392),"""",GOOGLETRANSLATE(A392,""en"",""fr""))"),"")</f>
        <v/>
      </c>
    </row>
    <row r="393" spans="2:2">
      <c r="B393" s="3" t="str">
        <f ca="1">IFERROR(__xludf.DUMMYFUNCTION("IF(ISBLANK(A393),"""",GOOGLETRANSLATE(A393,""en"",""fr""))"),"")</f>
        <v/>
      </c>
    </row>
    <row r="394" spans="2:2">
      <c r="B394" s="3" t="str">
        <f ca="1">IFERROR(__xludf.DUMMYFUNCTION("IF(ISBLANK(A394),"""",GOOGLETRANSLATE(A394,""en"",""fr""))"),"")</f>
        <v/>
      </c>
    </row>
    <row r="395" spans="2:2">
      <c r="B395" s="3" t="str">
        <f ca="1">IFERROR(__xludf.DUMMYFUNCTION("IF(ISBLANK(A395),"""",GOOGLETRANSLATE(A395,""en"",""fr""))"),"")</f>
        <v/>
      </c>
    </row>
    <row r="396" spans="2:2">
      <c r="B396" s="3" t="str">
        <f ca="1">IFERROR(__xludf.DUMMYFUNCTION("IF(ISBLANK(A396),"""",GOOGLETRANSLATE(A396,""en"",""fr""))"),"")</f>
        <v/>
      </c>
    </row>
    <row r="397" spans="2:2">
      <c r="B397" s="3" t="str">
        <f ca="1">IFERROR(__xludf.DUMMYFUNCTION("IF(ISBLANK(A397),"""",GOOGLETRANSLATE(A397,""en"",""fr""))"),"")</f>
        <v/>
      </c>
    </row>
    <row r="398" spans="2:2">
      <c r="B398" s="3" t="str">
        <f ca="1">IFERROR(__xludf.DUMMYFUNCTION("IF(ISBLANK(A398),"""",GOOGLETRANSLATE(A398,""en"",""fr""))"),"")</f>
        <v/>
      </c>
    </row>
    <row r="399" spans="2:2">
      <c r="B399" s="3" t="str">
        <f ca="1">IFERROR(__xludf.DUMMYFUNCTION("IF(ISBLANK(A399),"""",GOOGLETRANSLATE(A399,""en"",""fr""))"),"")</f>
        <v/>
      </c>
    </row>
    <row r="400" spans="2:2">
      <c r="B400" s="3" t="str">
        <f ca="1">IFERROR(__xludf.DUMMYFUNCTION("IF(ISBLANK(A400),"""",GOOGLETRANSLATE(A400,""en"",""fr""))"),"")</f>
        <v/>
      </c>
    </row>
    <row r="401" spans="2:2">
      <c r="B401" s="3" t="str">
        <f ca="1">IFERROR(__xludf.DUMMYFUNCTION("IF(ISBLANK(A401),"""",GOOGLETRANSLATE(A401,""en"",""fr""))"),"")</f>
        <v/>
      </c>
    </row>
    <row r="402" spans="2:2">
      <c r="B402" s="3" t="str">
        <f ca="1">IFERROR(__xludf.DUMMYFUNCTION("IF(ISBLANK(A402),"""",GOOGLETRANSLATE(A402,""en"",""fr""))"),"")</f>
        <v/>
      </c>
    </row>
    <row r="403" spans="2:2">
      <c r="B403" s="3" t="str">
        <f ca="1">IFERROR(__xludf.DUMMYFUNCTION("IF(ISBLANK(A403),"""",GOOGLETRANSLATE(A403,""en"",""fr""))"),"")</f>
        <v/>
      </c>
    </row>
    <row r="404" spans="2:2">
      <c r="B404" s="3" t="str">
        <f ca="1">IFERROR(__xludf.DUMMYFUNCTION("IF(ISBLANK(A404),"""",GOOGLETRANSLATE(A404,""en"",""fr""))"),"")</f>
        <v/>
      </c>
    </row>
    <row r="405" spans="2:2">
      <c r="B405" s="3" t="str">
        <f ca="1">IFERROR(__xludf.DUMMYFUNCTION("IF(ISBLANK(A405),"""",GOOGLETRANSLATE(A405,""en"",""fr""))"),"")</f>
        <v/>
      </c>
    </row>
    <row r="406" spans="2:2">
      <c r="B406" s="3" t="str">
        <f ca="1">IFERROR(__xludf.DUMMYFUNCTION("IF(ISBLANK(A406),"""",GOOGLETRANSLATE(A406,""en"",""fr""))"),"")</f>
        <v/>
      </c>
    </row>
    <row r="407" spans="2:2">
      <c r="B407" s="3" t="str">
        <f ca="1">IFERROR(__xludf.DUMMYFUNCTION("IF(ISBLANK(A407),"""",GOOGLETRANSLATE(A407,""en"",""fr""))"),"")</f>
        <v/>
      </c>
    </row>
    <row r="408" spans="2:2">
      <c r="B408" s="3" t="str">
        <f ca="1">IFERROR(__xludf.DUMMYFUNCTION("IF(ISBLANK(A408),"""",GOOGLETRANSLATE(A408,""en"",""fr""))"),"")</f>
        <v/>
      </c>
    </row>
    <row r="409" spans="2:2">
      <c r="B409" s="3" t="str">
        <f ca="1">IFERROR(__xludf.DUMMYFUNCTION("IF(ISBLANK(A409),"""",GOOGLETRANSLATE(A409,""en"",""fr""))"),"")</f>
        <v/>
      </c>
    </row>
    <row r="410" spans="2:2">
      <c r="B410" s="3" t="str">
        <f ca="1">IFERROR(__xludf.DUMMYFUNCTION("IF(ISBLANK(A410),"""",GOOGLETRANSLATE(A410,""en"",""fr""))"),"")</f>
        <v/>
      </c>
    </row>
    <row r="411" spans="2:2">
      <c r="B411" s="3" t="str">
        <f ca="1">IFERROR(__xludf.DUMMYFUNCTION("IF(ISBLANK(A411),"""",GOOGLETRANSLATE(A411,""en"",""fr""))"),"")</f>
        <v/>
      </c>
    </row>
    <row r="412" spans="2:2">
      <c r="B412" s="3" t="str">
        <f ca="1">IFERROR(__xludf.DUMMYFUNCTION("IF(ISBLANK(A412),"""",GOOGLETRANSLATE(A412,""en"",""fr""))"),"")</f>
        <v/>
      </c>
    </row>
    <row r="413" spans="2:2">
      <c r="B413" s="3" t="str">
        <f ca="1">IFERROR(__xludf.DUMMYFUNCTION("IF(ISBLANK(A413),"""",GOOGLETRANSLATE(A413,""en"",""fr""))"),"")</f>
        <v/>
      </c>
    </row>
    <row r="414" spans="2:2">
      <c r="B414" s="3" t="str">
        <f ca="1">IFERROR(__xludf.DUMMYFUNCTION("IF(ISBLANK(A414),"""",GOOGLETRANSLATE(A414,""en"",""fr""))"),"")</f>
        <v/>
      </c>
    </row>
    <row r="415" spans="2:2">
      <c r="B415" s="3" t="str">
        <f ca="1">IFERROR(__xludf.DUMMYFUNCTION("IF(ISBLANK(A415),"""",GOOGLETRANSLATE(A415,""en"",""fr""))"),"")</f>
        <v/>
      </c>
    </row>
    <row r="416" spans="2:2">
      <c r="B416" s="3" t="str">
        <f ca="1">IFERROR(__xludf.DUMMYFUNCTION("IF(ISBLANK(A416),"""",GOOGLETRANSLATE(A416,""en"",""fr""))"),"")</f>
        <v/>
      </c>
    </row>
    <row r="417" spans="2:2">
      <c r="B417" s="3" t="str">
        <f ca="1">IFERROR(__xludf.DUMMYFUNCTION("IF(ISBLANK(A417),"""",GOOGLETRANSLATE(A417,""en"",""fr""))"),"")</f>
        <v/>
      </c>
    </row>
    <row r="418" spans="2:2">
      <c r="B418" s="3" t="str">
        <f ca="1">IFERROR(__xludf.DUMMYFUNCTION("IF(ISBLANK(A418),"""",GOOGLETRANSLATE(A418,""en"",""fr""))"),"")</f>
        <v/>
      </c>
    </row>
    <row r="419" spans="2:2">
      <c r="B419" s="3" t="str">
        <f ca="1">IFERROR(__xludf.DUMMYFUNCTION("IF(ISBLANK(A419),"""",GOOGLETRANSLATE(A419,""en"",""fr""))"),"")</f>
        <v/>
      </c>
    </row>
    <row r="420" spans="2:2">
      <c r="B420" s="3" t="str">
        <f ca="1">IFERROR(__xludf.DUMMYFUNCTION("IF(ISBLANK(A420),"""",GOOGLETRANSLATE(A420,""en"",""fr""))"),"")</f>
        <v/>
      </c>
    </row>
    <row r="421" spans="2:2">
      <c r="B421" s="3" t="str">
        <f ca="1">IFERROR(__xludf.DUMMYFUNCTION("IF(ISBLANK(A421),"""",GOOGLETRANSLATE(A421,""en"",""fr""))"),"")</f>
        <v/>
      </c>
    </row>
    <row r="422" spans="2:2">
      <c r="B422" s="3" t="str">
        <f ca="1">IFERROR(__xludf.DUMMYFUNCTION("IF(ISBLANK(A422),"""",GOOGLETRANSLATE(A422,""en"",""fr""))"),"")</f>
        <v/>
      </c>
    </row>
    <row r="423" spans="2:2">
      <c r="B423" s="3" t="str">
        <f ca="1">IFERROR(__xludf.DUMMYFUNCTION("IF(ISBLANK(A423),"""",GOOGLETRANSLATE(A423,""en"",""fr""))"),"")</f>
        <v/>
      </c>
    </row>
    <row r="424" spans="2:2">
      <c r="B424" s="3" t="str">
        <f ca="1">IFERROR(__xludf.DUMMYFUNCTION("IF(ISBLANK(A424),"""",GOOGLETRANSLATE(A424,""en"",""fr""))"),"")</f>
        <v/>
      </c>
    </row>
    <row r="425" spans="2:2">
      <c r="B425" s="3" t="str">
        <f ca="1">IFERROR(__xludf.DUMMYFUNCTION("IF(ISBLANK(A425),"""",GOOGLETRANSLATE(A425,""en"",""fr""))"),"")</f>
        <v/>
      </c>
    </row>
    <row r="426" spans="2:2">
      <c r="B426" s="3" t="str">
        <f ca="1">IFERROR(__xludf.DUMMYFUNCTION("IF(ISBLANK(A426),"""",GOOGLETRANSLATE(A426,""en"",""fr""))"),"")</f>
        <v/>
      </c>
    </row>
    <row r="427" spans="2:2">
      <c r="B427" s="3" t="str">
        <f ca="1">IFERROR(__xludf.DUMMYFUNCTION("IF(ISBLANK(A427),"""",GOOGLETRANSLATE(A427,""en"",""fr""))"),"")</f>
        <v/>
      </c>
    </row>
    <row r="428" spans="2:2">
      <c r="B428" s="3" t="str">
        <f ca="1">IFERROR(__xludf.DUMMYFUNCTION("IF(ISBLANK(A428),"""",GOOGLETRANSLATE(A428,""en"",""fr""))"),"")</f>
        <v/>
      </c>
    </row>
    <row r="429" spans="2:2">
      <c r="B429" s="3" t="str">
        <f ca="1">IFERROR(__xludf.DUMMYFUNCTION("IF(ISBLANK(A429),"""",GOOGLETRANSLATE(A429,""en"",""fr""))"),"")</f>
        <v/>
      </c>
    </row>
    <row r="430" spans="2:2">
      <c r="B430" s="3" t="str">
        <f ca="1">IFERROR(__xludf.DUMMYFUNCTION("IF(ISBLANK(A430),"""",GOOGLETRANSLATE(A430,""en"",""fr""))"),"")</f>
        <v/>
      </c>
    </row>
    <row r="431" spans="2:2">
      <c r="B431" s="3" t="str">
        <f ca="1">IFERROR(__xludf.DUMMYFUNCTION("IF(ISBLANK(A431),"""",GOOGLETRANSLATE(A431,""en"",""fr""))"),"")</f>
        <v/>
      </c>
    </row>
    <row r="432" spans="2:2">
      <c r="B432" s="3" t="str">
        <f ca="1">IFERROR(__xludf.DUMMYFUNCTION("IF(ISBLANK(A432),"""",GOOGLETRANSLATE(A432,""en"",""fr""))"),"")</f>
        <v/>
      </c>
    </row>
    <row r="433" spans="2:2">
      <c r="B433" s="3" t="str">
        <f ca="1">IFERROR(__xludf.DUMMYFUNCTION("IF(ISBLANK(A433),"""",GOOGLETRANSLATE(A433,""en"",""fr""))"),"")</f>
        <v/>
      </c>
    </row>
    <row r="434" spans="2:2">
      <c r="B434" s="3" t="str">
        <f ca="1">IFERROR(__xludf.DUMMYFUNCTION("IF(ISBLANK(A434),"""",GOOGLETRANSLATE(A434,""en"",""fr""))"),"")</f>
        <v/>
      </c>
    </row>
    <row r="435" spans="2:2">
      <c r="B435" s="3" t="str">
        <f ca="1">IFERROR(__xludf.DUMMYFUNCTION("IF(ISBLANK(A435),"""",GOOGLETRANSLATE(A435,""en"",""fr""))"),"")</f>
        <v/>
      </c>
    </row>
    <row r="436" spans="2:2">
      <c r="B436" s="3" t="str">
        <f ca="1">IFERROR(__xludf.DUMMYFUNCTION("IF(ISBLANK(A436),"""",GOOGLETRANSLATE(A436,""en"",""fr""))"),"")</f>
        <v/>
      </c>
    </row>
    <row r="437" spans="2:2">
      <c r="B437" s="3" t="str">
        <f ca="1">IFERROR(__xludf.DUMMYFUNCTION("IF(ISBLANK(A437),"""",GOOGLETRANSLATE(A437,""en"",""fr""))"),"")</f>
        <v/>
      </c>
    </row>
    <row r="438" spans="2:2">
      <c r="B438" s="3" t="str">
        <f ca="1">IFERROR(__xludf.DUMMYFUNCTION("IF(ISBLANK(A438),"""",GOOGLETRANSLATE(A438,""en"",""fr""))"),"")</f>
        <v/>
      </c>
    </row>
    <row r="439" spans="2:2">
      <c r="B439" s="3" t="str">
        <f ca="1">IFERROR(__xludf.DUMMYFUNCTION("IF(ISBLANK(A439),"""",GOOGLETRANSLATE(A439,""en"",""fr""))"),"")</f>
        <v/>
      </c>
    </row>
    <row r="440" spans="2:2">
      <c r="B440" s="3" t="str">
        <f ca="1">IFERROR(__xludf.DUMMYFUNCTION("IF(ISBLANK(A440),"""",GOOGLETRANSLATE(A440,""en"",""fr""))"),"")</f>
        <v/>
      </c>
    </row>
    <row r="441" spans="2:2">
      <c r="B441" s="3" t="str">
        <f ca="1">IFERROR(__xludf.DUMMYFUNCTION("IF(ISBLANK(A441),"""",GOOGLETRANSLATE(A441,""en"",""fr""))"),"")</f>
        <v/>
      </c>
    </row>
    <row r="442" spans="2:2">
      <c r="B442" s="3" t="str">
        <f ca="1">IFERROR(__xludf.DUMMYFUNCTION("IF(ISBLANK(A442),"""",GOOGLETRANSLATE(A442,""en"",""fr""))"),"")</f>
        <v/>
      </c>
    </row>
    <row r="443" spans="2:2">
      <c r="B443" s="3" t="str">
        <f ca="1">IFERROR(__xludf.DUMMYFUNCTION("IF(ISBLANK(A443),"""",GOOGLETRANSLATE(A443,""en"",""fr""))"),"")</f>
        <v/>
      </c>
    </row>
    <row r="444" spans="2:2">
      <c r="B444" s="3" t="str">
        <f ca="1">IFERROR(__xludf.DUMMYFUNCTION("IF(ISBLANK(A444),"""",GOOGLETRANSLATE(A444,""en"",""fr""))"),"")</f>
        <v/>
      </c>
    </row>
    <row r="445" spans="2:2">
      <c r="B445" s="3" t="str">
        <f ca="1">IFERROR(__xludf.DUMMYFUNCTION("IF(ISBLANK(A445),"""",GOOGLETRANSLATE(A445,""en"",""fr""))"),"")</f>
        <v/>
      </c>
    </row>
    <row r="446" spans="2:2">
      <c r="B446" s="3" t="str">
        <f ca="1">IFERROR(__xludf.DUMMYFUNCTION("IF(ISBLANK(A446),"""",GOOGLETRANSLATE(A446,""en"",""fr""))"),"")</f>
        <v/>
      </c>
    </row>
    <row r="447" spans="2:2">
      <c r="B447" s="3" t="str">
        <f ca="1">IFERROR(__xludf.DUMMYFUNCTION("IF(ISBLANK(A447),"""",GOOGLETRANSLATE(A447,""en"",""fr""))"),"")</f>
        <v/>
      </c>
    </row>
    <row r="448" spans="2:2">
      <c r="B448" s="3" t="str">
        <f ca="1">IFERROR(__xludf.DUMMYFUNCTION("IF(ISBLANK(A448),"""",GOOGLETRANSLATE(A448,""en"",""fr""))"),"")</f>
        <v/>
      </c>
    </row>
    <row r="449" spans="2:2">
      <c r="B449" s="3" t="str">
        <f ca="1">IFERROR(__xludf.DUMMYFUNCTION("IF(ISBLANK(A449),"""",GOOGLETRANSLATE(A449,""en"",""fr""))"),"")</f>
        <v/>
      </c>
    </row>
    <row r="450" spans="2:2">
      <c r="B450" s="3" t="str">
        <f ca="1">IFERROR(__xludf.DUMMYFUNCTION("IF(ISBLANK(A450),"""",GOOGLETRANSLATE(A450,""en"",""fr""))"),"")</f>
        <v/>
      </c>
    </row>
    <row r="451" spans="2:2">
      <c r="B451" s="3" t="str">
        <f ca="1">IFERROR(__xludf.DUMMYFUNCTION("IF(ISBLANK(A451),"""",GOOGLETRANSLATE(A451,""en"",""fr""))"),"")</f>
        <v/>
      </c>
    </row>
    <row r="452" spans="2:2">
      <c r="B452" s="3" t="str">
        <f ca="1">IFERROR(__xludf.DUMMYFUNCTION("IF(ISBLANK(A452),"""",GOOGLETRANSLATE(A452,""en"",""fr""))"),"")</f>
        <v/>
      </c>
    </row>
    <row r="453" spans="2:2">
      <c r="B453" s="3" t="str">
        <f ca="1">IFERROR(__xludf.DUMMYFUNCTION("IF(ISBLANK(A453),"""",GOOGLETRANSLATE(A453,""en"",""fr""))"),"")</f>
        <v/>
      </c>
    </row>
    <row r="454" spans="2:2">
      <c r="B454" s="3" t="str">
        <f ca="1">IFERROR(__xludf.DUMMYFUNCTION("IF(ISBLANK(A454),"""",GOOGLETRANSLATE(A454,""en"",""fr""))"),"")</f>
        <v/>
      </c>
    </row>
    <row r="455" spans="2:2">
      <c r="B455" s="3" t="str">
        <f ca="1">IFERROR(__xludf.DUMMYFUNCTION("IF(ISBLANK(A455),"""",GOOGLETRANSLATE(A455,""en"",""fr""))"),"")</f>
        <v/>
      </c>
    </row>
    <row r="456" spans="2:2">
      <c r="B456" s="3" t="str">
        <f ca="1">IFERROR(__xludf.DUMMYFUNCTION("IF(ISBLANK(A456),"""",GOOGLETRANSLATE(A456,""en"",""fr""))"),"")</f>
        <v/>
      </c>
    </row>
    <row r="457" spans="2:2">
      <c r="B457" s="3" t="str">
        <f ca="1">IFERROR(__xludf.DUMMYFUNCTION("IF(ISBLANK(A457),"""",GOOGLETRANSLATE(A457,""en"",""fr""))"),"")</f>
        <v/>
      </c>
    </row>
    <row r="458" spans="2:2">
      <c r="B458" s="3" t="str">
        <f ca="1">IFERROR(__xludf.DUMMYFUNCTION("IF(ISBLANK(A458),"""",GOOGLETRANSLATE(A458,""en"",""fr""))"),"")</f>
        <v/>
      </c>
    </row>
    <row r="459" spans="2:2">
      <c r="B459" s="3" t="str">
        <f ca="1">IFERROR(__xludf.DUMMYFUNCTION("IF(ISBLANK(A459),"""",GOOGLETRANSLATE(A459,""en"",""fr""))"),"")</f>
        <v/>
      </c>
    </row>
    <row r="460" spans="2:2">
      <c r="B460" s="3" t="str">
        <f ca="1">IFERROR(__xludf.DUMMYFUNCTION("IF(ISBLANK(A460),"""",GOOGLETRANSLATE(A460,""en"",""fr""))"),"")</f>
        <v/>
      </c>
    </row>
    <row r="461" spans="2:2">
      <c r="B461" s="3" t="str">
        <f ca="1">IFERROR(__xludf.DUMMYFUNCTION("IF(ISBLANK(A461),"""",GOOGLETRANSLATE(A461,""en"",""fr""))"),"")</f>
        <v/>
      </c>
    </row>
    <row r="462" spans="2:2">
      <c r="B462" s="3" t="str">
        <f ca="1">IFERROR(__xludf.DUMMYFUNCTION("IF(ISBLANK(A462),"""",GOOGLETRANSLATE(A462,""en"",""fr""))"),"")</f>
        <v/>
      </c>
    </row>
    <row r="463" spans="2:2">
      <c r="B463" s="3" t="str">
        <f ca="1">IFERROR(__xludf.DUMMYFUNCTION("IF(ISBLANK(A463),"""",GOOGLETRANSLATE(A463,""en"",""fr""))"),"")</f>
        <v/>
      </c>
    </row>
    <row r="464" spans="2:2">
      <c r="B464" s="3" t="str">
        <f ca="1">IFERROR(__xludf.DUMMYFUNCTION("IF(ISBLANK(A464),"""",GOOGLETRANSLATE(A464,""en"",""fr""))"),"")</f>
        <v/>
      </c>
    </row>
    <row r="465" spans="2:2">
      <c r="B465" s="3" t="str">
        <f ca="1">IFERROR(__xludf.DUMMYFUNCTION("IF(ISBLANK(A465),"""",GOOGLETRANSLATE(A465,""en"",""fr""))"),"")</f>
        <v/>
      </c>
    </row>
    <row r="466" spans="2:2">
      <c r="B466" s="3" t="str">
        <f ca="1">IFERROR(__xludf.DUMMYFUNCTION("IF(ISBLANK(A466),"""",GOOGLETRANSLATE(A466,""en"",""fr""))"),"")</f>
        <v/>
      </c>
    </row>
    <row r="467" spans="2:2">
      <c r="B467" s="3" t="str">
        <f ca="1">IFERROR(__xludf.DUMMYFUNCTION("IF(ISBLANK(A467),"""",GOOGLETRANSLATE(A467,""en"",""fr""))"),"")</f>
        <v/>
      </c>
    </row>
    <row r="468" spans="2:2">
      <c r="B468" s="3" t="str">
        <f ca="1">IFERROR(__xludf.DUMMYFUNCTION("IF(ISBLANK(A468),"""",GOOGLETRANSLATE(A468,""en"",""fr""))"),"")</f>
        <v/>
      </c>
    </row>
    <row r="469" spans="2:2">
      <c r="B469" s="3" t="str">
        <f ca="1">IFERROR(__xludf.DUMMYFUNCTION("IF(ISBLANK(A469),"""",GOOGLETRANSLATE(A469,""en"",""fr""))"),"")</f>
        <v/>
      </c>
    </row>
    <row r="470" spans="2:2">
      <c r="B470" s="3" t="str">
        <f ca="1">IFERROR(__xludf.DUMMYFUNCTION("IF(ISBLANK(A470),"""",GOOGLETRANSLATE(A470,""en"",""fr""))"),"")</f>
        <v/>
      </c>
    </row>
    <row r="471" spans="2:2">
      <c r="B471" s="3" t="str">
        <f ca="1">IFERROR(__xludf.DUMMYFUNCTION("IF(ISBLANK(A471),"""",GOOGLETRANSLATE(A471,""en"",""fr""))"),"")</f>
        <v/>
      </c>
    </row>
    <row r="472" spans="2:2">
      <c r="B472" s="3" t="str">
        <f ca="1">IFERROR(__xludf.DUMMYFUNCTION("IF(ISBLANK(A472),"""",GOOGLETRANSLATE(A472,""en"",""fr""))"),"")</f>
        <v/>
      </c>
    </row>
    <row r="473" spans="2:2">
      <c r="B473" s="3" t="str">
        <f ca="1">IFERROR(__xludf.DUMMYFUNCTION("IF(ISBLANK(A473),"""",GOOGLETRANSLATE(A473,""en"",""fr""))"),"")</f>
        <v/>
      </c>
    </row>
    <row r="474" spans="2:2">
      <c r="B474" s="3" t="str">
        <f ca="1">IFERROR(__xludf.DUMMYFUNCTION("IF(ISBLANK(A474),"""",GOOGLETRANSLATE(A474,""en"",""fr""))"),"")</f>
        <v/>
      </c>
    </row>
    <row r="475" spans="2:2">
      <c r="B475" s="3" t="str">
        <f ca="1">IFERROR(__xludf.DUMMYFUNCTION("IF(ISBLANK(A475),"""",GOOGLETRANSLATE(A475,""en"",""fr""))"),"")</f>
        <v/>
      </c>
    </row>
    <row r="476" spans="2:2">
      <c r="B476" s="3" t="str">
        <f ca="1">IFERROR(__xludf.DUMMYFUNCTION("IF(ISBLANK(A476),"""",GOOGLETRANSLATE(A476,""en"",""fr""))"),"")</f>
        <v/>
      </c>
    </row>
    <row r="477" spans="2:2">
      <c r="B477" s="3" t="str">
        <f ca="1">IFERROR(__xludf.DUMMYFUNCTION("IF(ISBLANK(A477),"""",GOOGLETRANSLATE(A477,""en"",""fr""))"),"")</f>
        <v/>
      </c>
    </row>
    <row r="478" spans="2:2">
      <c r="B478" s="3" t="str">
        <f ca="1">IFERROR(__xludf.DUMMYFUNCTION("IF(ISBLANK(A478),"""",GOOGLETRANSLATE(A478,""en"",""fr""))"),"")</f>
        <v/>
      </c>
    </row>
    <row r="479" spans="2:2">
      <c r="B479" s="3" t="str">
        <f ca="1">IFERROR(__xludf.DUMMYFUNCTION("IF(ISBLANK(A479),"""",GOOGLETRANSLATE(A479,""en"",""fr""))"),"")</f>
        <v/>
      </c>
    </row>
    <row r="480" spans="2:2">
      <c r="B480" s="3" t="str">
        <f ca="1">IFERROR(__xludf.DUMMYFUNCTION("IF(ISBLANK(A480),"""",GOOGLETRANSLATE(A480,""en"",""fr""))"),"")</f>
        <v/>
      </c>
    </row>
    <row r="481" spans="2:2">
      <c r="B481" s="3" t="str">
        <f ca="1">IFERROR(__xludf.DUMMYFUNCTION("IF(ISBLANK(A481),"""",GOOGLETRANSLATE(A481,""en"",""fr""))"),"")</f>
        <v/>
      </c>
    </row>
    <row r="482" spans="2:2">
      <c r="B482" s="3" t="str">
        <f ca="1">IFERROR(__xludf.DUMMYFUNCTION("IF(ISBLANK(A482),"""",GOOGLETRANSLATE(A482,""en"",""fr""))"),"")</f>
        <v/>
      </c>
    </row>
    <row r="483" spans="2:2">
      <c r="B483" s="3" t="str">
        <f ca="1">IFERROR(__xludf.DUMMYFUNCTION("IF(ISBLANK(A483),"""",GOOGLETRANSLATE(A483,""en"",""fr""))"),"")</f>
        <v/>
      </c>
    </row>
    <row r="484" spans="2:2">
      <c r="B484" s="3" t="str">
        <f ca="1">IFERROR(__xludf.DUMMYFUNCTION("IF(ISBLANK(A484),"""",GOOGLETRANSLATE(A484,""en"",""fr""))"),"")</f>
        <v/>
      </c>
    </row>
    <row r="485" spans="2:2">
      <c r="B485" s="3" t="str">
        <f ca="1">IFERROR(__xludf.DUMMYFUNCTION("IF(ISBLANK(A485),"""",GOOGLETRANSLATE(A485,""en"",""fr""))"),"")</f>
        <v/>
      </c>
    </row>
    <row r="486" spans="2:2">
      <c r="B486" s="3" t="str">
        <f ca="1">IFERROR(__xludf.DUMMYFUNCTION("IF(ISBLANK(A486),"""",GOOGLETRANSLATE(A486,""en"",""fr""))"),"")</f>
        <v/>
      </c>
    </row>
    <row r="487" spans="2:2">
      <c r="B487" s="3" t="str">
        <f ca="1">IFERROR(__xludf.DUMMYFUNCTION("IF(ISBLANK(A487),"""",GOOGLETRANSLATE(A487,""en"",""fr""))"),"")</f>
        <v/>
      </c>
    </row>
    <row r="488" spans="2:2">
      <c r="B488" s="3" t="str">
        <f ca="1">IFERROR(__xludf.DUMMYFUNCTION("IF(ISBLANK(A488),"""",GOOGLETRANSLATE(A488,""en"",""fr""))"),"")</f>
        <v/>
      </c>
    </row>
    <row r="489" spans="2:2">
      <c r="B489" s="3" t="str">
        <f ca="1">IFERROR(__xludf.DUMMYFUNCTION("IF(ISBLANK(A489),"""",GOOGLETRANSLATE(A489,""en"",""fr""))"),"")</f>
        <v/>
      </c>
    </row>
    <row r="490" spans="2:2">
      <c r="B490" s="3" t="str">
        <f ca="1">IFERROR(__xludf.DUMMYFUNCTION("IF(ISBLANK(A490),"""",GOOGLETRANSLATE(A490,""en"",""fr""))"),"")</f>
        <v/>
      </c>
    </row>
    <row r="491" spans="2:2">
      <c r="B491" s="3" t="str">
        <f ca="1">IFERROR(__xludf.DUMMYFUNCTION("IF(ISBLANK(A491),"""",GOOGLETRANSLATE(A491,""en"",""fr""))"),"")</f>
        <v/>
      </c>
    </row>
    <row r="492" spans="2:2">
      <c r="B492" s="3" t="str">
        <f ca="1">IFERROR(__xludf.DUMMYFUNCTION("IF(ISBLANK(A492),"""",GOOGLETRANSLATE(A492,""en"",""fr""))"),"")</f>
        <v/>
      </c>
    </row>
    <row r="493" spans="2:2">
      <c r="B493" s="3" t="str">
        <f ca="1">IFERROR(__xludf.DUMMYFUNCTION("IF(ISBLANK(A493),"""",GOOGLETRANSLATE(A493,""en"",""fr""))"),"")</f>
        <v/>
      </c>
    </row>
    <row r="494" spans="2:2">
      <c r="B494" s="3" t="str">
        <f ca="1">IFERROR(__xludf.DUMMYFUNCTION("IF(ISBLANK(A494),"""",GOOGLETRANSLATE(A494,""en"",""fr""))"),"")</f>
        <v/>
      </c>
    </row>
    <row r="495" spans="2:2">
      <c r="B495" s="3" t="str">
        <f ca="1">IFERROR(__xludf.DUMMYFUNCTION("IF(ISBLANK(A495),"""",GOOGLETRANSLATE(A495,""en"",""fr""))"),"")</f>
        <v/>
      </c>
    </row>
    <row r="496" spans="2:2">
      <c r="B496" s="3" t="str">
        <f ca="1">IFERROR(__xludf.DUMMYFUNCTION("IF(ISBLANK(A496),"""",GOOGLETRANSLATE(A496,""en"",""fr""))"),"")</f>
        <v/>
      </c>
    </row>
    <row r="497" spans="2:2">
      <c r="B497" s="3" t="str">
        <f ca="1">IFERROR(__xludf.DUMMYFUNCTION("IF(ISBLANK(A497),"""",GOOGLETRANSLATE(A497,""en"",""fr""))"),"")</f>
        <v/>
      </c>
    </row>
    <row r="498" spans="2:2">
      <c r="B498" s="3" t="str">
        <f ca="1">IFERROR(__xludf.DUMMYFUNCTION("IF(ISBLANK(A498),"""",GOOGLETRANSLATE(A498,""en"",""fr""))"),"")</f>
        <v/>
      </c>
    </row>
    <row r="499" spans="2:2">
      <c r="B499" s="3" t="str">
        <f ca="1">IFERROR(__xludf.DUMMYFUNCTION("IF(ISBLANK(A499),"""",GOOGLETRANSLATE(A499,""en"",""fr""))"),"")</f>
        <v/>
      </c>
    </row>
    <row r="500" spans="2:2">
      <c r="B500" s="3" t="str">
        <f ca="1">IFERROR(__xludf.DUMMYFUNCTION("IF(ISBLANK(A500),"""",GOOGLETRANSLATE(A500,""en"",""fr""))"),"")</f>
        <v/>
      </c>
    </row>
    <row r="501" spans="2:2">
      <c r="B501" s="3" t="str">
        <f ca="1">IFERROR(__xludf.DUMMYFUNCTION("IF(ISBLANK(A501),"""",GOOGLETRANSLATE(A501,""en"",""fr""))"),"")</f>
        <v/>
      </c>
    </row>
    <row r="502" spans="2:2">
      <c r="B502" s="3" t="str">
        <f ca="1">IFERROR(__xludf.DUMMYFUNCTION("IF(ISBLANK(A502),"""",GOOGLETRANSLATE(A502,""en"",""fr""))"),"")</f>
        <v/>
      </c>
    </row>
    <row r="503" spans="2:2">
      <c r="B503" s="3" t="str">
        <f ca="1">IFERROR(__xludf.DUMMYFUNCTION("IF(ISBLANK(A503),"""",GOOGLETRANSLATE(A503,""en"",""fr""))"),"")</f>
        <v/>
      </c>
    </row>
    <row r="504" spans="2:2">
      <c r="B504" s="3" t="str">
        <f ca="1">IFERROR(__xludf.DUMMYFUNCTION("IF(ISBLANK(A504),"""",GOOGLETRANSLATE(A504,""en"",""fr""))"),"")</f>
        <v/>
      </c>
    </row>
    <row r="505" spans="2:2">
      <c r="B505" s="3" t="str">
        <f ca="1">IFERROR(__xludf.DUMMYFUNCTION("IF(ISBLANK(A505),"""",GOOGLETRANSLATE(A505,""en"",""fr""))"),"")</f>
        <v/>
      </c>
    </row>
    <row r="506" spans="2:2">
      <c r="B506" s="3" t="str">
        <f ca="1">IFERROR(__xludf.DUMMYFUNCTION("IF(ISBLANK(A506),"""",GOOGLETRANSLATE(A506,""en"",""fr""))"),"")</f>
        <v/>
      </c>
    </row>
    <row r="507" spans="2:2">
      <c r="B507" s="3" t="str">
        <f ca="1">IFERROR(__xludf.DUMMYFUNCTION("IF(ISBLANK(A507),"""",GOOGLETRANSLATE(A507,""en"",""fr""))"),"")</f>
        <v/>
      </c>
    </row>
    <row r="508" spans="2:2">
      <c r="B508" s="3" t="str">
        <f ca="1">IFERROR(__xludf.DUMMYFUNCTION("IF(ISBLANK(A508),"""",GOOGLETRANSLATE(A508,""en"",""fr""))"),"")</f>
        <v/>
      </c>
    </row>
    <row r="509" spans="2:2">
      <c r="B509" s="3" t="str">
        <f ca="1">IFERROR(__xludf.DUMMYFUNCTION("IF(ISBLANK(A509),"""",GOOGLETRANSLATE(A509,""en"",""fr""))"),"")</f>
        <v/>
      </c>
    </row>
    <row r="510" spans="2:2">
      <c r="B510" s="3" t="str">
        <f ca="1">IFERROR(__xludf.DUMMYFUNCTION("IF(ISBLANK(A510),"""",GOOGLETRANSLATE(A510,""en"",""fr""))"),"")</f>
        <v/>
      </c>
    </row>
    <row r="511" spans="2:2">
      <c r="B511" s="3" t="str">
        <f ca="1">IFERROR(__xludf.DUMMYFUNCTION("IF(ISBLANK(A511),"""",GOOGLETRANSLATE(A511,""en"",""fr""))"),"")</f>
        <v/>
      </c>
    </row>
    <row r="512" spans="2:2">
      <c r="B512" s="3" t="str">
        <f ca="1">IFERROR(__xludf.DUMMYFUNCTION("IF(ISBLANK(A512),"""",GOOGLETRANSLATE(A512,""en"",""fr""))"),"")</f>
        <v/>
      </c>
    </row>
    <row r="513" spans="2:2">
      <c r="B513" s="3" t="str">
        <f ca="1">IFERROR(__xludf.DUMMYFUNCTION("IF(ISBLANK(A513),"""",GOOGLETRANSLATE(A513,""en"",""fr""))"),"")</f>
        <v/>
      </c>
    </row>
    <row r="514" spans="2:2">
      <c r="B514" s="3" t="str">
        <f ca="1">IFERROR(__xludf.DUMMYFUNCTION("IF(ISBLANK(A514),"""",GOOGLETRANSLATE(A514,""en"",""fr""))"),"")</f>
        <v/>
      </c>
    </row>
    <row r="515" spans="2:2">
      <c r="B515" s="3" t="str">
        <f ca="1">IFERROR(__xludf.DUMMYFUNCTION("IF(ISBLANK(A515),"""",GOOGLETRANSLATE(A515,""en"",""fr""))"),"")</f>
        <v/>
      </c>
    </row>
    <row r="516" spans="2:2">
      <c r="B516" s="3" t="str">
        <f ca="1">IFERROR(__xludf.DUMMYFUNCTION("IF(ISBLANK(A516),"""",GOOGLETRANSLATE(A516,""en"",""fr""))"),"")</f>
        <v/>
      </c>
    </row>
    <row r="517" spans="2:2">
      <c r="B517" s="3" t="str">
        <f ca="1">IFERROR(__xludf.DUMMYFUNCTION("IF(ISBLANK(A517),"""",GOOGLETRANSLATE(A517,""en"",""fr""))"),"")</f>
        <v/>
      </c>
    </row>
    <row r="518" spans="2:2">
      <c r="B518" s="3" t="str">
        <f ca="1">IFERROR(__xludf.DUMMYFUNCTION("IF(ISBLANK(A518),"""",GOOGLETRANSLATE(A518,""en"",""fr""))"),"")</f>
        <v/>
      </c>
    </row>
    <row r="519" spans="2:2">
      <c r="B519" s="3" t="str">
        <f ca="1">IFERROR(__xludf.DUMMYFUNCTION("IF(ISBLANK(A519),"""",GOOGLETRANSLATE(A519,""en"",""fr""))"),"")</f>
        <v/>
      </c>
    </row>
    <row r="520" spans="2:2">
      <c r="B520" s="3" t="str">
        <f ca="1">IFERROR(__xludf.DUMMYFUNCTION("IF(ISBLANK(A520),"""",GOOGLETRANSLATE(A520,""en"",""fr""))"),"")</f>
        <v/>
      </c>
    </row>
    <row r="521" spans="2:2">
      <c r="B521" s="3" t="str">
        <f ca="1">IFERROR(__xludf.DUMMYFUNCTION("IF(ISBLANK(A521),"""",GOOGLETRANSLATE(A521,""en"",""fr""))"),"")</f>
        <v/>
      </c>
    </row>
    <row r="522" spans="2:2">
      <c r="B522" s="3" t="str">
        <f ca="1">IFERROR(__xludf.DUMMYFUNCTION("IF(ISBLANK(A522),"""",GOOGLETRANSLATE(A522,""en"",""fr""))"),"")</f>
        <v/>
      </c>
    </row>
    <row r="523" spans="2:2">
      <c r="B523" s="3" t="str">
        <f ca="1">IFERROR(__xludf.DUMMYFUNCTION("IF(ISBLANK(A523),"""",GOOGLETRANSLATE(A523,""en"",""fr""))"),"")</f>
        <v/>
      </c>
    </row>
    <row r="524" spans="2:2">
      <c r="B524" s="3" t="str">
        <f ca="1">IFERROR(__xludf.DUMMYFUNCTION("IF(ISBLANK(A524),"""",GOOGLETRANSLATE(A524,""en"",""fr""))"),"")</f>
        <v/>
      </c>
    </row>
    <row r="525" spans="2:2">
      <c r="B525" s="3" t="str">
        <f ca="1">IFERROR(__xludf.DUMMYFUNCTION("IF(ISBLANK(A525),"""",GOOGLETRANSLATE(A525,""en"",""fr""))"),"")</f>
        <v/>
      </c>
    </row>
    <row r="526" spans="2:2">
      <c r="B526" s="3" t="str">
        <f ca="1">IFERROR(__xludf.DUMMYFUNCTION("IF(ISBLANK(A526),"""",GOOGLETRANSLATE(A526,""en"",""fr""))"),"")</f>
        <v/>
      </c>
    </row>
    <row r="527" spans="2:2">
      <c r="B527" s="3" t="str">
        <f ca="1">IFERROR(__xludf.DUMMYFUNCTION("IF(ISBLANK(A527),"""",GOOGLETRANSLATE(A527,""en"",""fr""))"),"")</f>
        <v/>
      </c>
    </row>
    <row r="528" spans="2:2">
      <c r="B528" s="3" t="str">
        <f ca="1">IFERROR(__xludf.DUMMYFUNCTION("IF(ISBLANK(A528),"""",GOOGLETRANSLATE(A528,""en"",""fr""))"),"")</f>
        <v/>
      </c>
    </row>
    <row r="529" spans="2:2">
      <c r="B529" s="3" t="str">
        <f ca="1">IFERROR(__xludf.DUMMYFUNCTION("IF(ISBLANK(A529),"""",GOOGLETRANSLATE(A529,""en"",""fr""))"),"")</f>
        <v/>
      </c>
    </row>
    <row r="530" spans="2:2">
      <c r="B530" s="3" t="str">
        <f ca="1">IFERROR(__xludf.DUMMYFUNCTION("IF(ISBLANK(A530),"""",GOOGLETRANSLATE(A530,""en"",""fr""))"),"")</f>
        <v/>
      </c>
    </row>
    <row r="531" spans="2:2">
      <c r="B531" s="3" t="str">
        <f ca="1">IFERROR(__xludf.DUMMYFUNCTION("IF(ISBLANK(A531),"""",GOOGLETRANSLATE(A531,""en"",""fr""))"),"")</f>
        <v/>
      </c>
    </row>
    <row r="532" spans="2:2">
      <c r="B532" s="3" t="str">
        <f ca="1">IFERROR(__xludf.DUMMYFUNCTION("IF(ISBLANK(A532),"""",GOOGLETRANSLATE(A532,""en"",""fr""))"),"")</f>
        <v/>
      </c>
    </row>
    <row r="533" spans="2:2">
      <c r="B533" s="3" t="str">
        <f ca="1">IFERROR(__xludf.DUMMYFUNCTION("IF(ISBLANK(A533),"""",GOOGLETRANSLATE(A533,""en"",""fr""))"),"")</f>
        <v/>
      </c>
    </row>
    <row r="534" spans="2:2">
      <c r="B534" s="3" t="str">
        <f ca="1">IFERROR(__xludf.DUMMYFUNCTION("IF(ISBLANK(A534),"""",GOOGLETRANSLATE(A534,""en"",""fr""))"),"")</f>
        <v/>
      </c>
    </row>
    <row r="535" spans="2:2">
      <c r="B535" s="3" t="str">
        <f ca="1">IFERROR(__xludf.DUMMYFUNCTION("IF(ISBLANK(A535),"""",GOOGLETRANSLATE(A535,""en"",""fr""))"),"")</f>
        <v/>
      </c>
    </row>
    <row r="536" spans="2:2">
      <c r="B536" s="3" t="str">
        <f ca="1">IFERROR(__xludf.DUMMYFUNCTION("IF(ISBLANK(A536),"""",GOOGLETRANSLATE(A536,""en"",""fr""))"),"")</f>
        <v/>
      </c>
    </row>
    <row r="537" spans="2:2">
      <c r="B537" s="3" t="str">
        <f ca="1">IFERROR(__xludf.DUMMYFUNCTION("IF(ISBLANK(A537),"""",GOOGLETRANSLATE(A537,""en"",""fr""))"),"")</f>
        <v/>
      </c>
    </row>
    <row r="538" spans="2:2">
      <c r="B538" s="3" t="str">
        <f ca="1">IFERROR(__xludf.DUMMYFUNCTION("IF(ISBLANK(A538),"""",GOOGLETRANSLATE(A538,""en"",""fr""))"),"")</f>
        <v/>
      </c>
    </row>
    <row r="539" spans="2:2">
      <c r="B539" s="3" t="str">
        <f ca="1">IFERROR(__xludf.DUMMYFUNCTION("IF(ISBLANK(A539),"""",GOOGLETRANSLATE(A539,""en"",""fr""))"),"")</f>
        <v/>
      </c>
    </row>
    <row r="540" spans="2:2">
      <c r="B540" s="3" t="str">
        <f ca="1">IFERROR(__xludf.DUMMYFUNCTION("IF(ISBLANK(A540),"""",GOOGLETRANSLATE(A540,""en"",""fr""))"),"")</f>
        <v/>
      </c>
    </row>
    <row r="541" spans="2:2">
      <c r="B541" s="3" t="str">
        <f ca="1">IFERROR(__xludf.DUMMYFUNCTION("IF(ISBLANK(A541),"""",GOOGLETRANSLATE(A541,""en"",""fr""))"),"")</f>
        <v/>
      </c>
    </row>
    <row r="542" spans="2:2">
      <c r="B542" s="3" t="str">
        <f ca="1">IFERROR(__xludf.DUMMYFUNCTION("IF(ISBLANK(A542),"""",GOOGLETRANSLATE(A542,""en"",""fr""))"),"")</f>
        <v/>
      </c>
    </row>
    <row r="543" spans="2:2">
      <c r="B543" s="3" t="str">
        <f ca="1">IFERROR(__xludf.DUMMYFUNCTION("IF(ISBLANK(A543),"""",GOOGLETRANSLATE(A543,""en"",""fr""))"),"")</f>
        <v/>
      </c>
    </row>
    <row r="544" spans="2:2">
      <c r="B544" s="3" t="str">
        <f ca="1">IFERROR(__xludf.DUMMYFUNCTION("IF(ISBLANK(A544),"""",GOOGLETRANSLATE(A544,""en"",""fr""))"),"")</f>
        <v/>
      </c>
    </row>
    <row r="545" spans="2:2">
      <c r="B545" s="3" t="str">
        <f ca="1">IFERROR(__xludf.DUMMYFUNCTION("IF(ISBLANK(A545),"""",GOOGLETRANSLATE(A545,""en"",""fr""))"),"")</f>
        <v/>
      </c>
    </row>
    <row r="546" spans="2:2">
      <c r="B546" s="3" t="str">
        <f ca="1">IFERROR(__xludf.DUMMYFUNCTION("IF(ISBLANK(A546),"""",GOOGLETRANSLATE(A546,""en"",""fr""))"),"")</f>
        <v/>
      </c>
    </row>
    <row r="547" spans="2:2">
      <c r="B547" s="3" t="str">
        <f ca="1">IFERROR(__xludf.DUMMYFUNCTION("IF(ISBLANK(A547),"""",GOOGLETRANSLATE(A547,""en"",""fr""))"),"")</f>
        <v/>
      </c>
    </row>
    <row r="548" spans="2:2">
      <c r="B548" s="3" t="str">
        <f ca="1">IFERROR(__xludf.DUMMYFUNCTION("IF(ISBLANK(A548),"""",GOOGLETRANSLATE(A548,""en"",""fr""))"),"")</f>
        <v/>
      </c>
    </row>
    <row r="549" spans="2:2">
      <c r="B549" s="3" t="str">
        <f ca="1">IFERROR(__xludf.DUMMYFUNCTION("IF(ISBLANK(A549),"""",GOOGLETRANSLATE(A549,""en"",""fr""))"),"")</f>
        <v/>
      </c>
    </row>
    <row r="550" spans="2:2">
      <c r="B550" s="3" t="str">
        <f ca="1">IFERROR(__xludf.DUMMYFUNCTION("IF(ISBLANK(A550),"""",GOOGLETRANSLATE(A550,""en"",""fr""))"),"")</f>
        <v/>
      </c>
    </row>
    <row r="551" spans="2:2">
      <c r="B551" s="3" t="str">
        <f ca="1">IFERROR(__xludf.DUMMYFUNCTION("IF(ISBLANK(A551),"""",GOOGLETRANSLATE(A551,""en"",""fr""))"),"")</f>
        <v/>
      </c>
    </row>
    <row r="552" spans="2:2">
      <c r="B552" s="3" t="str">
        <f ca="1">IFERROR(__xludf.DUMMYFUNCTION("IF(ISBLANK(A552),"""",GOOGLETRANSLATE(A552,""en"",""fr""))"),"")</f>
        <v/>
      </c>
    </row>
    <row r="553" spans="2:2">
      <c r="B553" s="3" t="str">
        <f ca="1">IFERROR(__xludf.DUMMYFUNCTION("IF(ISBLANK(A553),"""",GOOGLETRANSLATE(A553,""en"",""fr""))"),"")</f>
        <v/>
      </c>
    </row>
    <row r="554" spans="2:2">
      <c r="B554" s="3" t="str">
        <f ca="1">IFERROR(__xludf.DUMMYFUNCTION("IF(ISBLANK(A554),"""",GOOGLETRANSLATE(A554,""en"",""fr""))"),"")</f>
        <v/>
      </c>
    </row>
    <row r="555" spans="2:2">
      <c r="B555" s="3" t="str">
        <f ca="1">IFERROR(__xludf.DUMMYFUNCTION("IF(ISBLANK(A555),"""",GOOGLETRANSLATE(A555,""en"",""fr""))"),"")</f>
        <v/>
      </c>
    </row>
    <row r="556" spans="2:2">
      <c r="B556" s="3" t="str">
        <f ca="1">IFERROR(__xludf.DUMMYFUNCTION("IF(ISBLANK(A556),"""",GOOGLETRANSLATE(A556,""en"",""fr""))"),"")</f>
        <v/>
      </c>
    </row>
    <row r="557" spans="2:2">
      <c r="B557" s="3" t="str">
        <f ca="1">IFERROR(__xludf.DUMMYFUNCTION("IF(ISBLANK(A557),"""",GOOGLETRANSLATE(A557,""en"",""fr""))"),"")</f>
        <v/>
      </c>
    </row>
    <row r="558" spans="2:2">
      <c r="B558" s="3" t="str">
        <f ca="1">IFERROR(__xludf.DUMMYFUNCTION("IF(ISBLANK(A558),"""",GOOGLETRANSLATE(A558,""en"",""fr""))"),"")</f>
        <v/>
      </c>
    </row>
    <row r="559" spans="2:2">
      <c r="B559" s="3" t="str">
        <f ca="1">IFERROR(__xludf.DUMMYFUNCTION("IF(ISBLANK(A559),"""",GOOGLETRANSLATE(A559,""en"",""fr""))"),"")</f>
        <v/>
      </c>
    </row>
    <row r="560" spans="2:2">
      <c r="B560" s="3" t="str">
        <f ca="1">IFERROR(__xludf.DUMMYFUNCTION("IF(ISBLANK(A560),"""",GOOGLETRANSLATE(A560,""en"",""fr""))"),"")</f>
        <v/>
      </c>
    </row>
    <row r="561" spans="2:2">
      <c r="B561" s="3" t="str">
        <f ca="1">IFERROR(__xludf.DUMMYFUNCTION("IF(ISBLANK(A561),"""",GOOGLETRANSLATE(A561,""en"",""fr""))"),"")</f>
        <v/>
      </c>
    </row>
    <row r="562" spans="2:2">
      <c r="B562" s="3" t="str">
        <f ca="1">IFERROR(__xludf.DUMMYFUNCTION("IF(ISBLANK(A562),"""",GOOGLETRANSLATE(A562,""en"",""fr""))"),"")</f>
        <v/>
      </c>
    </row>
    <row r="563" spans="2:2">
      <c r="B563" s="3" t="str">
        <f ca="1">IFERROR(__xludf.DUMMYFUNCTION("IF(ISBLANK(A563),"""",GOOGLETRANSLATE(A563,""en"",""fr""))"),"")</f>
        <v/>
      </c>
    </row>
    <row r="564" spans="2:2">
      <c r="B564" s="3" t="str">
        <f ca="1">IFERROR(__xludf.DUMMYFUNCTION("IF(ISBLANK(A564),"""",GOOGLETRANSLATE(A564,""en"",""fr""))"),"")</f>
        <v/>
      </c>
    </row>
    <row r="565" spans="2:2">
      <c r="B565" s="3" t="str">
        <f ca="1">IFERROR(__xludf.DUMMYFUNCTION("IF(ISBLANK(A565),"""",GOOGLETRANSLATE(A565,""en"",""fr""))"),"")</f>
        <v/>
      </c>
    </row>
    <row r="566" spans="2:2">
      <c r="B566" s="3" t="str">
        <f ca="1">IFERROR(__xludf.DUMMYFUNCTION("IF(ISBLANK(A566),"""",GOOGLETRANSLATE(A566,""en"",""fr""))"),"")</f>
        <v/>
      </c>
    </row>
    <row r="567" spans="2:2">
      <c r="B567" s="3" t="str">
        <f ca="1">IFERROR(__xludf.DUMMYFUNCTION("IF(ISBLANK(A567),"""",GOOGLETRANSLATE(A567,""en"",""fr""))"),"")</f>
        <v/>
      </c>
    </row>
    <row r="568" spans="2:2">
      <c r="B568" s="3" t="str">
        <f ca="1">IFERROR(__xludf.DUMMYFUNCTION("IF(ISBLANK(A568),"""",GOOGLETRANSLATE(A568,""en"",""fr""))"),"")</f>
        <v/>
      </c>
    </row>
    <row r="569" spans="2:2">
      <c r="B569" s="3" t="str">
        <f ca="1">IFERROR(__xludf.DUMMYFUNCTION("IF(ISBLANK(A569),"""",GOOGLETRANSLATE(A569,""en"",""fr""))"),"")</f>
        <v/>
      </c>
    </row>
    <row r="570" spans="2:2">
      <c r="B570" s="3" t="str">
        <f ca="1">IFERROR(__xludf.DUMMYFUNCTION("IF(ISBLANK(A570),"""",GOOGLETRANSLATE(A570,""en"",""fr""))"),"")</f>
        <v/>
      </c>
    </row>
    <row r="571" spans="2:2">
      <c r="B571" s="3" t="str">
        <f ca="1">IFERROR(__xludf.DUMMYFUNCTION("IF(ISBLANK(A571),"""",GOOGLETRANSLATE(A571,""en"",""fr""))"),"")</f>
        <v/>
      </c>
    </row>
    <row r="572" spans="2:2">
      <c r="B572" s="3" t="str">
        <f ca="1">IFERROR(__xludf.DUMMYFUNCTION("IF(ISBLANK(A572),"""",GOOGLETRANSLATE(A572,""en"",""fr""))"),"")</f>
        <v/>
      </c>
    </row>
    <row r="573" spans="2:2">
      <c r="B573" s="3" t="str">
        <f ca="1">IFERROR(__xludf.DUMMYFUNCTION("IF(ISBLANK(A573),"""",GOOGLETRANSLATE(A573,""en"",""fr""))"),"")</f>
        <v/>
      </c>
    </row>
    <row r="574" spans="2:2">
      <c r="B574" s="3" t="str">
        <f ca="1">IFERROR(__xludf.DUMMYFUNCTION("IF(ISBLANK(A574),"""",GOOGLETRANSLATE(A574,""en"",""fr""))"),"")</f>
        <v/>
      </c>
    </row>
    <row r="575" spans="2:2">
      <c r="B575" s="3" t="str">
        <f ca="1">IFERROR(__xludf.DUMMYFUNCTION("IF(ISBLANK(A575),"""",GOOGLETRANSLATE(A575,""en"",""fr""))"),"")</f>
        <v/>
      </c>
    </row>
    <row r="576" spans="2:2">
      <c r="B576" s="3" t="str">
        <f ca="1">IFERROR(__xludf.DUMMYFUNCTION("IF(ISBLANK(A576),"""",GOOGLETRANSLATE(A576,""en"",""fr""))"),"")</f>
        <v/>
      </c>
    </row>
    <row r="577" spans="2:2">
      <c r="B577" s="3" t="str">
        <f ca="1">IFERROR(__xludf.DUMMYFUNCTION("IF(ISBLANK(A577),"""",GOOGLETRANSLATE(A577,""en"",""fr""))"),"")</f>
        <v/>
      </c>
    </row>
    <row r="578" spans="2:2">
      <c r="B578" s="3" t="str">
        <f ca="1">IFERROR(__xludf.DUMMYFUNCTION("IF(ISBLANK(A578),"""",GOOGLETRANSLATE(A578,""en"",""fr""))"),"")</f>
        <v/>
      </c>
    </row>
    <row r="579" spans="2:2">
      <c r="B579" s="3" t="str">
        <f ca="1">IFERROR(__xludf.DUMMYFUNCTION("IF(ISBLANK(A579),"""",GOOGLETRANSLATE(A579,""en"",""fr""))"),"")</f>
        <v/>
      </c>
    </row>
    <row r="580" spans="2:2">
      <c r="B580" s="3" t="str">
        <f ca="1">IFERROR(__xludf.DUMMYFUNCTION("IF(ISBLANK(A580),"""",GOOGLETRANSLATE(A580,""en"",""fr""))"),"")</f>
        <v/>
      </c>
    </row>
    <row r="581" spans="2:2">
      <c r="B581" s="3" t="str">
        <f ca="1">IFERROR(__xludf.DUMMYFUNCTION("IF(ISBLANK(A581),"""",GOOGLETRANSLATE(A581,""en"",""fr""))"),"")</f>
        <v/>
      </c>
    </row>
    <row r="582" spans="2:2">
      <c r="B582" s="3" t="str">
        <f ca="1">IFERROR(__xludf.DUMMYFUNCTION("IF(ISBLANK(A582),"""",GOOGLETRANSLATE(A582,""en"",""fr""))"),"")</f>
        <v/>
      </c>
    </row>
    <row r="583" spans="2:2">
      <c r="B583" s="3" t="str">
        <f ca="1">IFERROR(__xludf.DUMMYFUNCTION("IF(ISBLANK(A583),"""",GOOGLETRANSLATE(A583,""en"",""fr""))"),"")</f>
        <v/>
      </c>
    </row>
    <row r="584" spans="2:2">
      <c r="B584" s="3" t="str">
        <f ca="1">IFERROR(__xludf.DUMMYFUNCTION("IF(ISBLANK(A584),"""",GOOGLETRANSLATE(A584,""en"",""fr""))"),"")</f>
        <v/>
      </c>
    </row>
    <row r="585" spans="2:2">
      <c r="B585" s="3" t="str">
        <f ca="1">IFERROR(__xludf.DUMMYFUNCTION("IF(ISBLANK(A585),"""",GOOGLETRANSLATE(A585,""en"",""fr""))"),"")</f>
        <v/>
      </c>
    </row>
    <row r="586" spans="2:2">
      <c r="B586" s="3" t="str">
        <f ca="1">IFERROR(__xludf.DUMMYFUNCTION("IF(ISBLANK(A586),"""",GOOGLETRANSLATE(A586,""en"",""fr""))"),"")</f>
        <v/>
      </c>
    </row>
    <row r="587" spans="2:2">
      <c r="B587" s="3" t="str">
        <f ca="1">IFERROR(__xludf.DUMMYFUNCTION("IF(ISBLANK(A587),"""",GOOGLETRANSLATE(A587,""en"",""fr""))"),"")</f>
        <v/>
      </c>
    </row>
    <row r="588" spans="2:2">
      <c r="B588" s="3" t="str">
        <f ca="1">IFERROR(__xludf.DUMMYFUNCTION("IF(ISBLANK(A588),"""",GOOGLETRANSLATE(A588,""en"",""fr""))"),"")</f>
        <v/>
      </c>
    </row>
    <row r="589" spans="2:2">
      <c r="B589" s="3" t="str">
        <f ca="1">IFERROR(__xludf.DUMMYFUNCTION("IF(ISBLANK(A589),"""",GOOGLETRANSLATE(A589,""en"",""fr""))"),"")</f>
        <v/>
      </c>
    </row>
    <row r="590" spans="2:2">
      <c r="B590" s="3" t="str">
        <f ca="1">IFERROR(__xludf.DUMMYFUNCTION("IF(ISBLANK(A590),"""",GOOGLETRANSLATE(A590,""en"",""fr""))"),"")</f>
        <v/>
      </c>
    </row>
    <row r="591" spans="2:2">
      <c r="B591" s="3" t="str">
        <f ca="1">IFERROR(__xludf.DUMMYFUNCTION("IF(ISBLANK(A591),"""",GOOGLETRANSLATE(A591,""en"",""fr""))"),"")</f>
        <v/>
      </c>
    </row>
    <row r="592" spans="2:2">
      <c r="B592" s="3" t="str">
        <f ca="1">IFERROR(__xludf.DUMMYFUNCTION("IF(ISBLANK(A592),"""",GOOGLETRANSLATE(A592,""en"",""fr""))"),"")</f>
        <v/>
      </c>
    </row>
    <row r="593" spans="2:2">
      <c r="B593" s="3" t="str">
        <f ca="1">IFERROR(__xludf.DUMMYFUNCTION("IF(ISBLANK(A593),"""",GOOGLETRANSLATE(A593,""en"",""fr""))"),"")</f>
        <v/>
      </c>
    </row>
    <row r="594" spans="2:2">
      <c r="B594" s="3" t="str">
        <f ca="1">IFERROR(__xludf.DUMMYFUNCTION("IF(ISBLANK(A594),"""",GOOGLETRANSLATE(A594,""en"",""fr""))"),"")</f>
        <v/>
      </c>
    </row>
    <row r="595" spans="2:2">
      <c r="B595" s="3" t="str">
        <f ca="1">IFERROR(__xludf.DUMMYFUNCTION("IF(ISBLANK(A595),"""",GOOGLETRANSLATE(A595,""en"",""fr""))"),"")</f>
        <v/>
      </c>
    </row>
    <row r="596" spans="2:2">
      <c r="B596" s="3" t="str">
        <f ca="1">IFERROR(__xludf.DUMMYFUNCTION("IF(ISBLANK(A596),"""",GOOGLETRANSLATE(A596,""en"",""fr""))"),"")</f>
        <v/>
      </c>
    </row>
    <row r="597" spans="2:2">
      <c r="B597" s="3" t="str">
        <f ca="1">IFERROR(__xludf.DUMMYFUNCTION("IF(ISBLANK(A597),"""",GOOGLETRANSLATE(A597,""en"",""fr""))"),"")</f>
        <v/>
      </c>
    </row>
    <row r="598" spans="2:2">
      <c r="B598" s="3" t="str">
        <f ca="1">IFERROR(__xludf.DUMMYFUNCTION("IF(ISBLANK(A598),"""",GOOGLETRANSLATE(A598,""en"",""fr""))"),"")</f>
        <v/>
      </c>
    </row>
    <row r="599" spans="2:2">
      <c r="B599" s="3" t="str">
        <f ca="1">IFERROR(__xludf.DUMMYFUNCTION("IF(ISBLANK(A599),"""",GOOGLETRANSLATE(A599,""en"",""fr""))"),"")</f>
        <v/>
      </c>
    </row>
    <row r="600" spans="2:2">
      <c r="B600" s="3" t="str">
        <f ca="1">IFERROR(__xludf.DUMMYFUNCTION("IF(ISBLANK(A600),"""",GOOGLETRANSLATE(A600,""en"",""fr""))"),"")</f>
        <v/>
      </c>
    </row>
    <row r="601" spans="2:2">
      <c r="B601" s="3" t="str">
        <f ca="1">IFERROR(__xludf.DUMMYFUNCTION("IF(ISBLANK(A601),"""",GOOGLETRANSLATE(A601,""en"",""fr""))"),"")</f>
        <v/>
      </c>
    </row>
    <row r="602" spans="2:2">
      <c r="B602" s="3" t="str">
        <f ca="1">IFERROR(__xludf.DUMMYFUNCTION("IF(ISBLANK(A602),"""",GOOGLETRANSLATE(A602,""en"",""fr""))"),"")</f>
        <v/>
      </c>
    </row>
    <row r="603" spans="2:2">
      <c r="B603" s="3" t="str">
        <f ca="1">IFERROR(__xludf.DUMMYFUNCTION("IF(ISBLANK(A603),"""",GOOGLETRANSLATE(A603,""en"",""fr""))"),"")</f>
        <v/>
      </c>
    </row>
    <row r="604" spans="2:2">
      <c r="B604" s="3" t="str">
        <f ca="1">IFERROR(__xludf.DUMMYFUNCTION("IF(ISBLANK(A604),"""",GOOGLETRANSLATE(A604,""en"",""fr""))"),"")</f>
        <v/>
      </c>
    </row>
    <row r="605" spans="2:2">
      <c r="B605" s="3" t="str">
        <f ca="1">IFERROR(__xludf.DUMMYFUNCTION("IF(ISBLANK(A605),"""",GOOGLETRANSLATE(A605,""en"",""fr""))"),"")</f>
        <v/>
      </c>
    </row>
    <row r="606" spans="2:2">
      <c r="B606" s="3" t="str">
        <f ca="1">IFERROR(__xludf.DUMMYFUNCTION("IF(ISBLANK(A606),"""",GOOGLETRANSLATE(A606,""en"",""fr""))"),"")</f>
        <v/>
      </c>
    </row>
    <row r="607" spans="2:2">
      <c r="B607" s="3" t="str">
        <f ca="1">IFERROR(__xludf.DUMMYFUNCTION("IF(ISBLANK(A607),"""",GOOGLETRANSLATE(A607,""en"",""fr""))"),"")</f>
        <v/>
      </c>
    </row>
    <row r="608" spans="2:2">
      <c r="B608" s="3" t="str">
        <f ca="1">IFERROR(__xludf.DUMMYFUNCTION("IF(ISBLANK(A608),"""",GOOGLETRANSLATE(A608,""en"",""fr""))"),"")</f>
        <v/>
      </c>
    </row>
    <row r="609" spans="2:2">
      <c r="B609" s="3" t="str">
        <f ca="1">IFERROR(__xludf.DUMMYFUNCTION("IF(ISBLANK(A609),"""",GOOGLETRANSLATE(A609,""en"",""fr""))"),"")</f>
        <v/>
      </c>
    </row>
    <row r="610" spans="2:2">
      <c r="B610" s="3" t="str">
        <f ca="1">IFERROR(__xludf.DUMMYFUNCTION("IF(ISBLANK(A610),"""",GOOGLETRANSLATE(A610,""en"",""fr""))"),"")</f>
        <v/>
      </c>
    </row>
    <row r="611" spans="2:2">
      <c r="B611" s="3" t="str">
        <f ca="1">IFERROR(__xludf.DUMMYFUNCTION("IF(ISBLANK(A611),"""",GOOGLETRANSLATE(A611,""en"",""fr""))"),"")</f>
        <v/>
      </c>
    </row>
    <row r="612" spans="2:2">
      <c r="B612" s="3" t="str">
        <f ca="1">IFERROR(__xludf.DUMMYFUNCTION("IF(ISBLANK(A612),"""",GOOGLETRANSLATE(A612,""en"",""fr""))"),"")</f>
        <v/>
      </c>
    </row>
    <row r="613" spans="2:2">
      <c r="B613" s="3" t="str">
        <f ca="1">IFERROR(__xludf.DUMMYFUNCTION("IF(ISBLANK(A613),"""",GOOGLETRANSLATE(A613,""en"",""fr""))"),"")</f>
        <v/>
      </c>
    </row>
    <row r="614" spans="2:2">
      <c r="B614" s="3" t="str">
        <f ca="1">IFERROR(__xludf.DUMMYFUNCTION("IF(ISBLANK(A614),"""",GOOGLETRANSLATE(A614,""en"",""fr""))"),"")</f>
        <v/>
      </c>
    </row>
    <row r="615" spans="2:2">
      <c r="B615" s="3" t="str">
        <f ca="1">IFERROR(__xludf.DUMMYFUNCTION("IF(ISBLANK(A615),"""",GOOGLETRANSLATE(A615,""en"",""fr""))"),"")</f>
        <v/>
      </c>
    </row>
    <row r="616" spans="2:2">
      <c r="B616" s="3" t="str">
        <f ca="1">IFERROR(__xludf.DUMMYFUNCTION("IF(ISBLANK(A616),"""",GOOGLETRANSLATE(A616,""en"",""fr""))"),"")</f>
        <v/>
      </c>
    </row>
    <row r="617" spans="2:2">
      <c r="B617" s="3" t="str">
        <f ca="1">IFERROR(__xludf.DUMMYFUNCTION("IF(ISBLANK(A617),"""",GOOGLETRANSLATE(A617,""en"",""fr""))"),"")</f>
        <v/>
      </c>
    </row>
    <row r="618" spans="2:2">
      <c r="B618" s="3" t="str">
        <f ca="1">IFERROR(__xludf.DUMMYFUNCTION("IF(ISBLANK(A618),"""",GOOGLETRANSLATE(A618,""en"",""fr""))"),"")</f>
        <v/>
      </c>
    </row>
    <row r="619" spans="2:2">
      <c r="B619" s="3" t="str">
        <f ca="1">IFERROR(__xludf.DUMMYFUNCTION("IF(ISBLANK(A619),"""",GOOGLETRANSLATE(A619,""en"",""fr""))"),"")</f>
        <v/>
      </c>
    </row>
    <row r="620" spans="2:2">
      <c r="B620" s="3" t="str">
        <f ca="1">IFERROR(__xludf.DUMMYFUNCTION("IF(ISBLANK(A620),"""",GOOGLETRANSLATE(A620,""en"",""fr""))"),"")</f>
        <v/>
      </c>
    </row>
    <row r="621" spans="2:2">
      <c r="B621" s="3" t="str">
        <f ca="1">IFERROR(__xludf.DUMMYFUNCTION("IF(ISBLANK(A621),"""",GOOGLETRANSLATE(A621,""en"",""fr""))"),"")</f>
        <v/>
      </c>
    </row>
    <row r="622" spans="2:2">
      <c r="B622" s="3" t="str">
        <f ca="1">IFERROR(__xludf.DUMMYFUNCTION("IF(ISBLANK(A622),"""",GOOGLETRANSLATE(A622,""en"",""fr""))"),"")</f>
        <v/>
      </c>
    </row>
    <row r="623" spans="2:2">
      <c r="B623" s="3" t="str">
        <f ca="1">IFERROR(__xludf.DUMMYFUNCTION("IF(ISBLANK(A623),"""",GOOGLETRANSLATE(A623,""en"",""fr""))"),"")</f>
        <v/>
      </c>
    </row>
    <row r="624" spans="2:2">
      <c r="B624" s="3" t="str">
        <f ca="1">IFERROR(__xludf.DUMMYFUNCTION("IF(ISBLANK(A624),"""",GOOGLETRANSLATE(A624,""en"",""fr""))"),"")</f>
        <v/>
      </c>
    </row>
    <row r="625" spans="2:2">
      <c r="B625" s="3" t="str">
        <f ca="1">IFERROR(__xludf.DUMMYFUNCTION("IF(ISBLANK(A625),"""",GOOGLETRANSLATE(A625,""en"",""fr""))"),"")</f>
        <v/>
      </c>
    </row>
    <row r="626" spans="2:2">
      <c r="B626" s="3" t="str">
        <f ca="1">IFERROR(__xludf.DUMMYFUNCTION("IF(ISBLANK(A626),"""",GOOGLETRANSLATE(A626,""en"",""fr""))"),"")</f>
        <v/>
      </c>
    </row>
    <row r="627" spans="2:2">
      <c r="B627" s="3" t="str">
        <f ca="1">IFERROR(__xludf.DUMMYFUNCTION("IF(ISBLANK(A627),"""",GOOGLETRANSLATE(A627,""en"",""fr""))"),"")</f>
        <v/>
      </c>
    </row>
    <row r="628" spans="2:2">
      <c r="B628" s="3" t="str">
        <f ca="1">IFERROR(__xludf.DUMMYFUNCTION("IF(ISBLANK(A628),"""",GOOGLETRANSLATE(A628,""en"",""fr""))"),"")</f>
        <v/>
      </c>
    </row>
    <row r="629" spans="2:2">
      <c r="B629" s="3" t="str">
        <f ca="1">IFERROR(__xludf.DUMMYFUNCTION("IF(ISBLANK(A629),"""",GOOGLETRANSLATE(A629,""en"",""fr""))"),"")</f>
        <v/>
      </c>
    </row>
    <row r="630" spans="2:2">
      <c r="B630" s="3" t="str">
        <f ca="1">IFERROR(__xludf.DUMMYFUNCTION("IF(ISBLANK(A630),"""",GOOGLETRANSLATE(A630,""en"",""fr""))"),"")</f>
        <v/>
      </c>
    </row>
    <row r="631" spans="2:2">
      <c r="B631" s="3" t="str">
        <f ca="1">IFERROR(__xludf.DUMMYFUNCTION("IF(ISBLANK(A631),"""",GOOGLETRANSLATE(A631,""en"",""fr""))"),"")</f>
        <v/>
      </c>
    </row>
    <row r="632" spans="2:2">
      <c r="B632" s="3" t="str">
        <f ca="1">IFERROR(__xludf.DUMMYFUNCTION("IF(ISBLANK(A632),"""",GOOGLETRANSLATE(A632,""en"",""fr""))"),"")</f>
        <v/>
      </c>
    </row>
    <row r="633" spans="2:2">
      <c r="B633" s="3" t="str">
        <f ca="1">IFERROR(__xludf.DUMMYFUNCTION("IF(ISBLANK(A633),"""",GOOGLETRANSLATE(A633,""en"",""fr""))"),"")</f>
        <v/>
      </c>
    </row>
    <row r="634" spans="2:2">
      <c r="B634" s="3" t="str">
        <f ca="1">IFERROR(__xludf.DUMMYFUNCTION("IF(ISBLANK(A634),"""",GOOGLETRANSLATE(A634,""en"",""fr""))"),"")</f>
        <v/>
      </c>
    </row>
    <row r="635" spans="2:2">
      <c r="B635" s="3" t="str">
        <f ca="1">IFERROR(__xludf.DUMMYFUNCTION("IF(ISBLANK(A635),"""",GOOGLETRANSLATE(A635,""en"",""fr""))"),"")</f>
        <v/>
      </c>
    </row>
    <row r="636" spans="2:2">
      <c r="B636" s="3" t="str">
        <f ca="1">IFERROR(__xludf.DUMMYFUNCTION("IF(ISBLANK(A636),"""",GOOGLETRANSLATE(A636,""en"",""fr""))"),"")</f>
        <v/>
      </c>
    </row>
    <row r="637" spans="2:2">
      <c r="B637" s="3" t="str">
        <f ca="1">IFERROR(__xludf.DUMMYFUNCTION("IF(ISBLANK(A637),"""",GOOGLETRANSLATE(A637,""en"",""fr""))"),"")</f>
        <v/>
      </c>
    </row>
    <row r="638" spans="2:2">
      <c r="B638" s="3" t="str">
        <f ca="1">IFERROR(__xludf.DUMMYFUNCTION("IF(ISBLANK(A638),"""",GOOGLETRANSLATE(A638,""en"",""fr""))"),"")</f>
        <v/>
      </c>
    </row>
    <row r="639" spans="2:2">
      <c r="B639" s="3" t="str">
        <f ca="1">IFERROR(__xludf.DUMMYFUNCTION("IF(ISBLANK(A639),"""",GOOGLETRANSLATE(A639,""en"",""fr""))"),"")</f>
        <v/>
      </c>
    </row>
    <row r="640" spans="2:2">
      <c r="B640" s="3" t="str">
        <f ca="1">IFERROR(__xludf.DUMMYFUNCTION("IF(ISBLANK(A640),"""",GOOGLETRANSLATE(A640,""en"",""fr""))"),"")</f>
        <v/>
      </c>
    </row>
    <row r="641" spans="2:2">
      <c r="B641" s="3" t="str">
        <f ca="1">IFERROR(__xludf.DUMMYFUNCTION("IF(ISBLANK(A641),"""",GOOGLETRANSLATE(A641,""en"",""fr""))"),"")</f>
        <v/>
      </c>
    </row>
    <row r="642" spans="2:2">
      <c r="B642" s="3" t="str">
        <f ca="1">IFERROR(__xludf.DUMMYFUNCTION("IF(ISBLANK(A642),"""",GOOGLETRANSLATE(A642,""en"",""fr""))"),"")</f>
        <v/>
      </c>
    </row>
    <row r="643" spans="2:2">
      <c r="B643" s="3" t="str">
        <f ca="1">IFERROR(__xludf.DUMMYFUNCTION("IF(ISBLANK(A643),"""",GOOGLETRANSLATE(A643,""en"",""fr""))"),"")</f>
        <v/>
      </c>
    </row>
    <row r="644" spans="2:2">
      <c r="B644" s="3" t="str">
        <f ca="1">IFERROR(__xludf.DUMMYFUNCTION("IF(ISBLANK(A644),"""",GOOGLETRANSLATE(A644,""en"",""fr""))"),"")</f>
        <v/>
      </c>
    </row>
    <row r="645" spans="2:2">
      <c r="B645" s="3" t="str">
        <f ca="1">IFERROR(__xludf.DUMMYFUNCTION("IF(ISBLANK(A645),"""",GOOGLETRANSLATE(A645,""en"",""fr""))"),"")</f>
        <v/>
      </c>
    </row>
    <row r="646" spans="2:2">
      <c r="B646" s="3" t="str">
        <f ca="1">IFERROR(__xludf.DUMMYFUNCTION("IF(ISBLANK(A646),"""",GOOGLETRANSLATE(A646,""en"",""fr""))"),"")</f>
        <v/>
      </c>
    </row>
    <row r="647" spans="2:2">
      <c r="B647" s="3" t="str">
        <f ca="1">IFERROR(__xludf.DUMMYFUNCTION("IF(ISBLANK(A647),"""",GOOGLETRANSLATE(A647,""en"",""fr""))"),"")</f>
        <v/>
      </c>
    </row>
    <row r="648" spans="2:2">
      <c r="B648" s="3" t="str">
        <f ca="1">IFERROR(__xludf.DUMMYFUNCTION("IF(ISBLANK(A648),"""",GOOGLETRANSLATE(A648,""en"",""fr""))"),"")</f>
        <v/>
      </c>
    </row>
    <row r="649" spans="2:2">
      <c r="B649" s="3" t="str">
        <f ca="1">IFERROR(__xludf.DUMMYFUNCTION("IF(ISBLANK(A649),"""",GOOGLETRANSLATE(A649,""en"",""fr""))"),"")</f>
        <v/>
      </c>
    </row>
    <row r="650" spans="2:2">
      <c r="B650" s="3" t="str">
        <f ca="1">IFERROR(__xludf.DUMMYFUNCTION("IF(ISBLANK(A650),"""",GOOGLETRANSLATE(A650,""en"",""fr""))"),"")</f>
        <v/>
      </c>
    </row>
    <row r="651" spans="2:2">
      <c r="B651" s="3" t="str">
        <f ca="1">IFERROR(__xludf.DUMMYFUNCTION("IF(ISBLANK(A651),"""",GOOGLETRANSLATE(A651,""en"",""fr""))"),"")</f>
        <v/>
      </c>
    </row>
    <row r="652" spans="2:2">
      <c r="B652" s="3" t="str">
        <f ca="1">IFERROR(__xludf.DUMMYFUNCTION("IF(ISBLANK(A652),"""",GOOGLETRANSLATE(A652,""en"",""fr""))"),"")</f>
        <v/>
      </c>
    </row>
    <row r="653" spans="2:2">
      <c r="B653" s="3" t="str">
        <f ca="1">IFERROR(__xludf.DUMMYFUNCTION("IF(ISBLANK(A653),"""",GOOGLETRANSLATE(A653,""en"",""fr""))"),"")</f>
        <v/>
      </c>
    </row>
    <row r="654" spans="2:2">
      <c r="B654" s="3" t="str">
        <f ca="1">IFERROR(__xludf.DUMMYFUNCTION("IF(ISBLANK(A654),"""",GOOGLETRANSLATE(A654,""en"",""fr""))"),"")</f>
        <v/>
      </c>
    </row>
    <row r="655" spans="2:2">
      <c r="B655" s="3" t="str">
        <f ca="1">IFERROR(__xludf.DUMMYFUNCTION("IF(ISBLANK(A655),"""",GOOGLETRANSLATE(A655,""en"",""fr""))"),"")</f>
        <v/>
      </c>
    </row>
    <row r="656" spans="2:2">
      <c r="B656" s="3" t="str">
        <f ca="1">IFERROR(__xludf.DUMMYFUNCTION("IF(ISBLANK(A656),"""",GOOGLETRANSLATE(A656,""en"",""fr""))"),"")</f>
        <v/>
      </c>
    </row>
    <row r="657" spans="2:2">
      <c r="B657" s="3" t="str">
        <f ca="1">IFERROR(__xludf.DUMMYFUNCTION("IF(ISBLANK(A657),"""",GOOGLETRANSLATE(A657,""en"",""fr""))"),"")</f>
        <v/>
      </c>
    </row>
    <row r="658" spans="2:2">
      <c r="B658" s="3" t="str">
        <f ca="1">IFERROR(__xludf.DUMMYFUNCTION("IF(ISBLANK(A658),"""",GOOGLETRANSLATE(A658,""en"",""fr""))"),"")</f>
        <v/>
      </c>
    </row>
    <row r="659" spans="2:2">
      <c r="B659" s="3" t="str">
        <f ca="1">IFERROR(__xludf.DUMMYFUNCTION("IF(ISBLANK(A659),"""",GOOGLETRANSLATE(A659,""en"",""fr""))"),"")</f>
        <v/>
      </c>
    </row>
    <row r="660" spans="2:2">
      <c r="B660" s="3" t="str">
        <f ca="1">IFERROR(__xludf.DUMMYFUNCTION("IF(ISBLANK(A660),"""",GOOGLETRANSLATE(A660,""en"",""fr""))"),"")</f>
        <v/>
      </c>
    </row>
    <row r="661" spans="2:2">
      <c r="B661" s="3" t="str">
        <f ca="1">IFERROR(__xludf.DUMMYFUNCTION("IF(ISBLANK(A661),"""",GOOGLETRANSLATE(A661,""en"",""fr""))"),"")</f>
        <v/>
      </c>
    </row>
    <row r="662" spans="2:2">
      <c r="B662" s="3" t="str">
        <f ca="1">IFERROR(__xludf.DUMMYFUNCTION("IF(ISBLANK(A662),"""",GOOGLETRANSLATE(A662,""en"",""fr""))"),"")</f>
        <v/>
      </c>
    </row>
    <row r="663" spans="2:2">
      <c r="B663" s="3" t="str">
        <f ca="1">IFERROR(__xludf.DUMMYFUNCTION("IF(ISBLANK(A663),"""",GOOGLETRANSLATE(A663,""en"",""fr""))"),"")</f>
        <v/>
      </c>
    </row>
    <row r="664" spans="2:2">
      <c r="B664" s="3" t="str">
        <f ca="1">IFERROR(__xludf.DUMMYFUNCTION("IF(ISBLANK(A664),"""",GOOGLETRANSLATE(A664,""en"",""fr""))"),"")</f>
        <v/>
      </c>
    </row>
    <row r="665" spans="2:2">
      <c r="B665" s="3" t="str">
        <f ca="1">IFERROR(__xludf.DUMMYFUNCTION("IF(ISBLANK(A665),"""",GOOGLETRANSLATE(A665,""en"",""fr""))"),"")</f>
        <v/>
      </c>
    </row>
    <row r="666" spans="2:2">
      <c r="B666" s="3" t="str">
        <f ca="1">IFERROR(__xludf.DUMMYFUNCTION("IF(ISBLANK(A666),"""",GOOGLETRANSLATE(A666,""en"",""fr""))"),"")</f>
        <v/>
      </c>
    </row>
    <row r="667" spans="2:2">
      <c r="B667" s="3" t="str">
        <f ca="1">IFERROR(__xludf.DUMMYFUNCTION("IF(ISBLANK(A667),"""",GOOGLETRANSLATE(A667,""en"",""fr""))"),"")</f>
        <v/>
      </c>
    </row>
    <row r="668" spans="2:2">
      <c r="B668" s="3" t="str">
        <f ca="1">IFERROR(__xludf.DUMMYFUNCTION("IF(ISBLANK(A668),"""",GOOGLETRANSLATE(A668,""en"",""fr""))"),"")</f>
        <v/>
      </c>
    </row>
    <row r="669" spans="2:2">
      <c r="B669" s="3" t="str">
        <f ca="1">IFERROR(__xludf.DUMMYFUNCTION("IF(ISBLANK(A669),"""",GOOGLETRANSLATE(A669,""en"",""fr""))"),"")</f>
        <v/>
      </c>
    </row>
    <row r="670" spans="2:2">
      <c r="B670" s="3" t="str">
        <f ca="1">IFERROR(__xludf.DUMMYFUNCTION("IF(ISBLANK(A670),"""",GOOGLETRANSLATE(A670,""en"",""fr""))"),"")</f>
        <v/>
      </c>
    </row>
    <row r="671" spans="2:2">
      <c r="B671" s="3" t="str">
        <f ca="1">IFERROR(__xludf.DUMMYFUNCTION("IF(ISBLANK(A671),"""",GOOGLETRANSLATE(A671,""en"",""fr""))"),"")</f>
        <v/>
      </c>
    </row>
    <row r="672" spans="2:2">
      <c r="B672" s="3" t="str">
        <f ca="1">IFERROR(__xludf.DUMMYFUNCTION("IF(ISBLANK(A672),"""",GOOGLETRANSLATE(A672,""en"",""fr""))"),"")</f>
        <v/>
      </c>
    </row>
    <row r="673" spans="2:2">
      <c r="B673" s="3" t="str">
        <f ca="1">IFERROR(__xludf.DUMMYFUNCTION("IF(ISBLANK(A673),"""",GOOGLETRANSLATE(A673,""en"",""fr""))"),"")</f>
        <v/>
      </c>
    </row>
    <row r="674" spans="2:2">
      <c r="B674" s="3" t="str">
        <f ca="1">IFERROR(__xludf.DUMMYFUNCTION("IF(ISBLANK(A674),"""",GOOGLETRANSLATE(A674,""en"",""fr""))"),"")</f>
        <v/>
      </c>
    </row>
    <row r="675" spans="2:2">
      <c r="B675" s="3" t="str">
        <f ca="1">IFERROR(__xludf.DUMMYFUNCTION("IF(ISBLANK(A675),"""",GOOGLETRANSLATE(A675,""en"",""fr""))"),"")</f>
        <v/>
      </c>
    </row>
    <row r="676" spans="2:2">
      <c r="B676" s="3" t="str">
        <f ca="1">IFERROR(__xludf.DUMMYFUNCTION("IF(ISBLANK(A676),"""",GOOGLETRANSLATE(A676,""en"",""fr""))"),"")</f>
        <v/>
      </c>
    </row>
    <row r="677" spans="2:2">
      <c r="B677" s="3" t="str">
        <f ca="1">IFERROR(__xludf.DUMMYFUNCTION("IF(ISBLANK(A677),"""",GOOGLETRANSLATE(A677,""en"",""fr""))"),"")</f>
        <v/>
      </c>
    </row>
    <row r="678" spans="2:2">
      <c r="B678" s="3" t="str">
        <f ca="1">IFERROR(__xludf.DUMMYFUNCTION("IF(ISBLANK(A678),"""",GOOGLETRANSLATE(A678,""en"",""fr""))"),"")</f>
        <v/>
      </c>
    </row>
    <row r="679" spans="2:2">
      <c r="B679" s="3" t="str">
        <f ca="1">IFERROR(__xludf.DUMMYFUNCTION("IF(ISBLANK(A679),"""",GOOGLETRANSLATE(A679,""en"",""fr""))"),"")</f>
        <v/>
      </c>
    </row>
    <row r="680" spans="2:2">
      <c r="B680" s="3" t="str">
        <f ca="1">IFERROR(__xludf.DUMMYFUNCTION("IF(ISBLANK(A680),"""",GOOGLETRANSLATE(A680,""en"",""fr""))"),"")</f>
        <v/>
      </c>
    </row>
    <row r="681" spans="2:2">
      <c r="B681" s="3" t="str">
        <f ca="1">IFERROR(__xludf.DUMMYFUNCTION("IF(ISBLANK(A681),"""",GOOGLETRANSLATE(A681,""en"",""fr""))"),"")</f>
        <v/>
      </c>
    </row>
    <row r="682" spans="2:2">
      <c r="B682" s="3" t="str">
        <f ca="1">IFERROR(__xludf.DUMMYFUNCTION("IF(ISBLANK(A682),"""",GOOGLETRANSLATE(A682,""en"",""fr""))"),"")</f>
        <v/>
      </c>
    </row>
    <row r="683" spans="2:2">
      <c r="B683" s="3" t="str">
        <f ca="1">IFERROR(__xludf.DUMMYFUNCTION("IF(ISBLANK(A683),"""",GOOGLETRANSLATE(A683,""en"",""fr""))"),"")</f>
        <v/>
      </c>
    </row>
    <row r="684" spans="2:2">
      <c r="B684" s="3" t="str">
        <f ca="1">IFERROR(__xludf.DUMMYFUNCTION("IF(ISBLANK(A684),"""",GOOGLETRANSLATE(A684,""en"",""fr""))"),"")</f>
        <v/>
      </c>
    </row>
    <row r="685" spans="2:2">
      <c r="B685" s="3" t="str">
        <f ca="1">IFERROR(__xludf.DUMMYFUNCTION("IF(ISBLANK(A685),"""",GOOGLETRANSLATE(A685,""en"",""fr""))"),"")</f>
        <v/>
      </c>
    </row>
    <row r="686" spans="2:2">
      <c r="B686" s="3" t="str">
        <f ca="1">IFERROR(__xludf.DUMMYFUNCTION("IF(ISBLANK(A686),"""",GOOGLETRANSLATE(A686,""en"",""fr""))"),"")</f>
        <v/>
      </c>
    </row>
    <row r="687" spans="2:2">
      <c r="B687" s="3" t="str">
        <f ca="1">IFERROR(__xludf.DUMMYFUNCTION("IF(ISBLANK(A687),"""",GOOGLETRANSLATE(A687,""en"",""fr""))"),"")</f>
        <v/>
      </c>
    </row>
    <row r="688" spans="2:2">
      <c r="B688" s="3" t="str">
        <f ca="1">IFERROR(__xludf.DUMMYFUNCTION("IF(ISBLANK(A688),"""",GOOGLETRANSLATE(A688,""en"",""fr""))"),"")</f>
        <v/>
      </c>
    </row>
    <row r="689" spans="2:2">
      <c r="B689" s="3" t="str">
        <f ca="1">IFERROR(__xludf.DUMMYFUNCTION("IF(ISBLANK(A689),"""",GOOGLETRANSLATE(A689,""en"",""fr""))"),"")</f>
        <v/>
      </c>
    </row>
    <row r="690" spans="2:2">
      <c r="B690" s="3" t="str">
        <f ca="1">IFERROR(__xludf.DUMMYFUNCTION("IF(ISBLANK(A690),"""",GOOGLETRANSLATE(A690,""en"",""fr""))"),"")</f>
        <v/>
      </c>
    </row>
    <row r="691" spans="2:2">
      <c r="B691" s="3" t="str">
        <f ca="1">IFERROR(__xludf.DUMMYFUNCTION("IF(ISBLANK(A691),"""",GOOGLETRANSLATE(A691,""en"",""fr""))"),"")</f>
        <v/>
      </c>
    </row>
    <row r="692" spans="2:2">
      <c r="B692" s="3" t="str">
        <f ca="1">IFERROR(__xludf.DUMMYFUNCTION("IF(ISBLANK(A692),"""",GOOGLETRANSLATE(A692,""en"",""fr""))"),"")</f>
        <v/>
      </c>
    </row>
    <row r="693" spans="2:2">
      <c r="B693" s="3" t="str">
        <f ca="1">IFERROR(__xludf.DUMMYFUNCTION("IF(ISBLANK(A693),"""",GOOGLETRANSLATE(A693,""en"",""fr""))"),"")</f>
        <v/>
      </c>
    </row>
    <row r="694" spans="2:2">
      <c r="B694" s="3" t="str">
        <f ca="1">IFERROR(__xludf.DUMMYFUNCTION("IF(ISBLANK(A694),"""",GOOGLETRANSLATE(A694,""en"",""fr""))"),"")</f>
        <v/>
      </c>
    </row>
    <row r="695" spans="2:2">
      <c r="B695" s="3" t="str">
        <f ca="1">IFERROR(__xludf.DUMMYFUNCTION("IF(ISBLANK(A695),"""",GOOGLETRANSLATE(A695,""en"",""fr""))"),"")</f>
        <v/>
      </c>
    </row>
    <row r="696" spans="2:2">
      <c r="B696" s="3" t="str">
        <f ca="1">IFERROR(__xludf.DUMMYFUNCTION("IF(ISBLANK(A696),"""",GOOGLETRANSLATE(A696,""en"",""fr""))"),"")</f>
        <v/>
      </c>
    </row>
    <row r="697" spans="2:2">
      <c r="B697" s="3" t="str">
        <f ca="1">IFERROR(__xludf.DUMMYFUNCTION("IF(ISBLANK(A697),"""",GOOGLETRANSLATE(A697,""en"",""fr""))"),"")</f>
        <v/>
      </c>
    </row>
    <row r="698" spans="2:2">
      <c r="B698" s="3" t="str">
        <f ca="1">IFERROR(__xludf.DUMMYFUNCTION("IF(ISBLANK(A698),"""",GOOGLETRANSLATE(A698,""en"",""fr""))"),"")</f>
        <v/>
      </c>
    </row>
    <row r="699" spans="2:2">
      <c r="B699" s="3" t="str">
        <f ca="1">IFERROR(__xludf.DUMMYFUNCTION("IF(ISBLANK(A699),"""",GOOGLETRANSLATE(A699,""en"",""fr""))"),"")</f>
        <v/>
      </c>
    </row>
    <row r="700" spans="2:2">
      <c r="B700" s="3" t="str">
        <f ca="1">IFERROR(__xludf.DUMMYFUNCTION("IF(ISBLANK(A700),"""",GOOGLETRANSLATE(A700,""en"",""fr""))"),"")</f>
        <v/>
      </c>
    </row>
    <row r="701" spans="2:2">
      <c r="B701" s="3" t="str">
        <f ca="1">IFERROR(__xludf.DUMMYFUNCTION("IF(ISBLANK(A701),"""",GOOGLETRANSLATE(A701,""en"",""fr""))"),"")</f>
        <v/>
      </c>
    </row>
    <row r="702" spans="2:2">
      <c r="B702" s="3" t="str">
        <f ca="1">IFERROR(__xludf.DUMMYFUNCTION("IF(ISBLANK(A702),"""",GOOGLETRANSLATE(A702,""en"",""fr""))"),"")</f>
        <v/>
      </c>
    </row>
    <row r="703" spans="2:2">
      <c r="B703" s="3" t="str">
        <f ca="1">IFERROR(__xludf.DUMMYFUNCTION("IF(ISBLANK(A703),"""",GOOGLETRANSLATE(A703,""en"",""fr""))"),"")</f>
        <v/>
      </c>
    </row>
    <row r="704" spans="2:2">
      <c r="B704" s="3" t="str">
        <f ca="1">IFERROR(__xludf.DUMMYFUNCTION("IF(ISBLANK(A704),"""",GOOGLETRANSLATE(A704,""en"",""fr""))"),"")</f>
        <v/>
      </c>
    </row>
    <row r="705" spans="2:2">
      <c r="B705" s="3" t="str">
        <f ca="1">IFERROR(__xludf.DUMMYFUNCTION("IF(ISBLANK(A705),"""",GOOGLETRANSLATE(A705,""en"",""fr""))"),"")</f>
        <v/>
      </c>
    </row>
    <row r="706" spans="2:2">
      <c r="B706" s="3" t="str">
        <f ca="1">IFERROR(__xludf.DUMMYFUNCTION("IF(ISBLANK(A706),"""",GOOGLETRANSLATE(A706,""en"",""fr""))"),"")</f>
        <v/>
      </c>
    </row>
    <row r="707" spans="2:2">
      <c r="B707" s="3" t="str">
        <f ca="1">IFERROR(__xludf.DUMMYFUNCTION("IF(ISBLANK(A707),"""",GOOGLETRANSLATE(A707,""en"",""fr""))"),"")</f>
        <v/>
      </c>
    </row>
    <row r="708" spans="2:2">
      <c r="B708" s="3" t="str">
        <f ca="1">IFERROR(__xludf.DUMMYFUNCTION("IF(ISBLANK(A708),"""",GOOGLETRANSLATE(A708,""en"",""fr""))"),"")</f>
        <v/>
      </c>
    </row>
    <row r="709" spans="2:2">
      <c r="B709" s="3" t="str">
        <f ca="1">IFERROR(__xludf.DUMMYFUNCTION("IF(ISBLANK(A709),"""",GOOGLETRANSLATE(A709,""en"",""fr""))"),"")</f>
        <v/>
      </c>
    </row>
    <row r="710" spans="2:2">
      <c r="B710" s="3" t="str">
        <f ca="1">IFERROR(__xludf.DUMMYFUNCTION("IF(ISBLANK(A710),"""",GOOGLETRANSLATE(A710,""en"",""fr""))"),"")</f>
        <v/>
      </c>
    </row>
    <row r="711" spans="2:2">
      <c r="B711" s="3" t="str">
        <f ca="1">IFERROR(__xludf.DUMMYFUNCTION("IF(ISBLANK(A711),"""",GOOGLETRANSLATE(A711,""en"",""fr""))"),"")</f>
        <v/>
      </c>
    </row>
    <row r="712" spans="2:2">
      <c r="B712" s="3" t="str">
        <f ca="1">IFERROR(__xludf.DUMMYFUNCTION("IF(ISBLANK(A712),"""",GOOGLETRANSLATE(A712,""en"",""fr""))"),"")</f>
        <v/>
      </c>
    </row>
    <row r="713" spans="2:2">
      <c r="B713" s="3" t="str">
        <f ca="1">IFERROR(__xludf.DUMMYFUNCTION("IF(ISBLANK(A713),"""",GOOGLETRANSLATE(A713,""en"",""fr""))"),"")</f>
        <v/>
      </c>
    </row>
    <row r="714" spans="2:2">
      <c r="B714" s="3" t="str">
        <f ca="1">IFERROR(__xludf.DUMMYFUNCTION("IF(ISBLANK(A714),"""",GOOGLETRANSLATE(A714,""en"",""fr""))"),"")</f>
        <v/>
      </c>
    </row>
    <row r="715" spans="2:2">
      <c r="B715" s="3" t="str">
        <f ca="1">IFERROR(__xludf.DUMMYFUNCTION("IF(ISBLANK(A715),"""",GOOGLETRANSLATE(A715,""en"",""fr""))"),"")</f>
        <v/>
      </c>
    </row>
    <row r="716" spans="2:2">
      <c r="B716" s="3" t="str">
        <f ca="1">IFERROR(__xludf.DUMMYFUNCTION("IF(ISBLANK(A716),"""",GOOGLETRANSLATE(A716,""en"",""fr""))"),"")</f>
        <v/>
      </c>
    </row>
    <row r="717" spans="2:2">
      <c r="B717" s="3" t="str">
        <f ca="1">IFERROR(__xludf.DUMMYFUNCTION("IF(ISBLANK(A717),"""",GOOGLETRANSLATE(A717,""en"",""fr""))"),"")</f>
        <v/>
      </c>
    </row>
    <row r="718" spans="2:2">
      <c r="B718" s="3" t="str">
        <f ca="1">IFERROR(__xludf.DUMMYFUNCTION("IF(ISBLANK(A718),"""",GOOGLETRANSLATE(A718,""en"",""fr""))"),"")</f>
        <v/>
      </c>
    </row>
    <row r="719" spans="2:2">
      <c r="B719" s="3" t="str">
        <f ca="1">IFERROR(__xludf.DUMMYFUNCTION("IF(ISBLANK(A719),"""",GOOGLETRANSLATE(A719,""en"",""fr""))"),"")</f>
        <v/>
      </c>
    </row>
    <row r="720" spans="2:2">
      <c r="B720" s="3" t="str">
        <f ca="1">IFERROR(__xludf.DUMMYFUNCTION("IF(ISBLANK(A720),"""",GOOGLETRANSLATE(A720,""en"",""fr""))"),"")</f>
        <v/>
      </c>
    </row>
    <row r="721" spans="2:2">
      <c r="B721" s="3" t="str">
        <f ca="1">IFERROR(__xludf.DUMMYFUNCTION("IF(ISBLANK(A721),"""",GOOGLETRANSLATE(A721,""en"",""fr""))"),"")</f>
        <v/>
      </c>
    </row>
    <row r="722" spans="2:2">
      <c r="B722" s="3" t="str">
        <f ca="1">IFERROR(__xludf.DUMMYFUNCTION("IF(ISBLANK(A722),"""",GOOGLETRANSLATE(A722,""en"",""fr""))"),"")</f>
        <v/>
      </c>
    </row>
    <row r="723" spans="2:2">
      <c r="B723" s="3" t="str">
        <f ca="1">IFERROR(__xludf.DUMMYFUNCTION("IF(ISBLANK(A723),"""",GOOGLETRANSLATE(A723,""en"",""fr""))"),"")</f>
        <v/>
      </c>
    </row>
    <row r="724" spans="2:2">
      <c r="B724" s="3" t="str">
        <f ca="1">IFERROR(__xludf.DUMMYFUNCTION("IF(ISBLANK(A724),"""",GOOGLETRANSLATE(A724,""en"",""fr""))"),"")</f>
        <v/>
      </c>
    </row>
    <row r="725" spans="2:2">
      <c r="B725" s="3" t="str">
        <f ca="1">IFERROR(__xludf.DUMMYFUNCTION("IF(ISBLANK(A725),"""",GOOGLETRANSLATE(A725,""en"",""fr""))"),"")</f>
        <v/>
      </c>
    </row>
    <row r="726" spans="2:2">
      <c r="B726" s="3" t="str">
        <f ca="1">IFERROR(__xludf.DUMMYFUNCTION("IF(ISBLANK(A726),"""",GOOGLETRANSLATE(A726,""en"",""fr""))"),"")</f>
        <v/>
      </c>
    </row>
    <row r="727" spans="2:2">
      <c r="B727" s="3" t="str">
        <f ca="1">IFERROR(__xludf.DUMMYFUNCTION("IF(ISBLANK(A727),"""",GOOGLETRANSLATE(A727,""en"",""fr""))"),"")</f>
        <v/>
      </c>
    </row>
    <row r="728" spans="2:2">
      <c r="B728" s="3" t="str">
        <f ca="1">IFERROR(__xludf.DUMMYFUNCTION("IF(ISBLANK(A728),"""",GOOGLETRANSLATE(A728,""en"",""fr""))"),"")</f>
        <v/>
      </c>
    </row>
    <row r="729" spans="2:2">
      <c r="B729" s="3" t="str">
        <f ca="1">IFERROR(__xludf.DUMMYFUNCTION("IF(ISBLANK(A729),"""",GOOGLETRANSLATE(A729,""en"",""fr""))"),"")</f>
        <v/>
      </c>
    </row>
    <row r="730" spans="2:2">
      <c r="B730" s="3" t="str">
        <f ca="1">IFERROR(__xludf.DUMMYFUNCTION("IF(ISBLANK(A730),"""",GOOGLETRANSLATE(A730,""en"",""fr""))"),"")</f>
        <v/>
      </c>
    </row>
    <row r="731" spans="2:2">
      <c r="B731" s="3" t="str">
        <f ca="1">IFERROR(__xludf.DUMMYFUNCTION("IF(ISBLANK(A731),"""",GOOGLETRANSLATE(A731,""en"",""fr""))"),"")</f>
        <v/>
      </c>
    </row>
    <row r="732" spans="2:2">
      <c r="B732" s="3" t="str">
        <f ca="1">IFERROR(__xludf.DUMMYFUNCTION("IF(ISBLANK(A732),"""",GOOGLETRANSLATE(A732,""en"",""fr""))"),"")</f>
        <v/>
      </c>
    </row>
    <row r="733" spans="2:2">
      <c r="B733" s="3" t="str">
        <f ca="1">IFERROR(__xludf.DUMMYFUNCTION("IF(ISBLANK(A733),"""",GOOGLETRANSLATE(A733,""en"",""fr""))"),"")</f>
        <v/>
      </c>
    </row>
    <row r="734" spans="2:2">
      <c r="B734" s="3" t="str">
        <f ca="1">IFERROR(__xludf.DUMMYFUNCTION("IF(ISBLANK(A734),"""",GOOGLETRANSLATE(A734,""en"",""fr""))"),"")</f>
        <v/>
      </c>
    </row>
    <row r="735" spans="2:2">
      <c r="B735" s="3" t="str">
        <f ca="1">IFERROR(__xludf.DUMMYFUNCTION("IF(ISBLANK(A735),"""",GOOGLETRANSLATE(A735,""en"",""fr""))"),"")</f>
        <v/>
      </c>
    </row>
    <row r="736" spans="2:2">
      <c r="B736" s="3" t="str">
        <f ca="1">IFERROR(__xludf.DUMMYFUNCTION("IF(ISBLANK(A736),"""",GOOGLETRANSLATE(A736,""en"",""fr""))"),"")</f>
        <v/>
      </c>
    </row>
    <row r="737" spans="2:2">
      <c r="B737" s="3" t="str">
        <f ca="1">IFERROR(__xludf.DUMMYFUNCTION("IF(ISBLANK(A737),"""",GOOGLETRANSLATE(A737,""en"",""fr""))"),"")</f>
        <v/>
      </c>
    </row>
    <row r="738" spans="2:2">
      <c r="B738" s="3" t="str">
        <f ca="1">IFERROR(__xludf.DUMMYFUNCTION("IF(ISBLANK(A738),"""",GOOGLETRANSLATE(A738,""en"",""fr""))"),"")</f>
        <v/>
      </c>
    </row>
    <row r="739" spans="2:2">
      <c r="B739" s="3" t="str">
        <f ca="1">IFERROR(__xludf.DUMMYFUNCTION("IF(ISBLANK(A739),"""",GOOGLETRANSLATE(A739,""en"",""fr""))"),"")</f>
        <v/>
      </c>
    </row>
    <row r="740" spans="2:2">
      <c r="B740" s="3" t="str">
        <f ca="1">IFERROR(__xludf.DUMMYFUNCTION("IF(ISBLANK(A740),"""",GOOGLETRANSLATE(A740,""en"",""fr""))"),"")</f>
        <v/>
      </c>
    </row>
    <row r="741" spans="2:2">
      <c r="B741" s="3" t="str">
        <f ca="1">IFERROR(__xludf.DUMMYFUNCTION("IF(ISBLANK(A741),"""",GOOGLETRANSLATE(A741,""en"",""fr""))"),"")</f>
        <v/>
      </c>
    </row>
    <row r="742" spans="2:2">
      <c r="B742" s="3" t="str">
        <f ca="1">IFERROR(__xludf.DUMMYFUNCTION("IF(ISBLANK(A742),"""",GOOGLETRANSLATE(A742,""en"",""fr""))"),"")</f>
        <v/>
      </c>
    </row>
    <row r="743" spans="2:2">
      <c r="B743" s="3" t="str">
        <f ca="1">IFERROR(__xludf.DUMMYFUNCTION("IF(ISBLANK(A743),"""",GOOGLETRANSLATE(A743,""en"",""fr""))"),"")</f>
        <v/>
      </c>
    </row>
    <row r="744" spans="2:2">
      <c r="B744" s="3" t="str">
        <f ca="1">IFERROR(__xludf.DUMMYFUNCTION("IF(ISBLANK(A744),"""",GOOGLETRANSLATE(A744,""en"",""fr""))"),"")</f>
        <v/>
      </c>
    </row>
    <row r="745" spans="2:2">
      <c r="B745" s="3" t="str">
        <f ca="1">IFERROR(__xludf.DUMMYFUNCTION("IF(ISBLANK(A745),"""",GOOGLETRANSLATE(A745,""en"",""fr""))"),"")</f>
        <v/>
      </c>
    </row>
    <row r="746" spans="2:2">
      <c r="B746" s="3" t="str">
        <f ca="1">IFERROR(__xludf.DUMMYFUNCTION("IF(ISBLANK(A746),"""",GOOGLETRANSLATE(A746,""en"",""fr""))"),"")</f>
        <v/>
      </c>
    </row>
    <row r="747" spans="2:2">
      <c r="B747" s="3" t="str">
        <f ca="1">IFERROR(__xludf.DUMMYFUNCTION("IF(ISBLANK(A747),"""",GOOGLETRANSLATE(A747,""en"",""fr""))"),"")</f>
        <v/>
      </c>
    </row>
    <row r="748" spans="2:2">
      <c r="B748" s="3" t="str">
        <f ca="1">IFERROR(__xludf.DUMMYFUNCTION("IF(ISBLANK(A748),"""",GOOGLETRANSLATE(A748,""en"",""fr""))"),"")</f>
        <v/>
      </c>
    </row>
    <row r="749" spans="2:2">
      <c r="B749" s="3" t="str">
        <f ca="1">IFERROR(__xludf.DUMMYFUNCTION("IF(ISBLANK(A749),"""",GOOGLETRANSLATE(A749,""en"",""fr""))"),"")</f>
        <v/>
      </c>
    </row>
    <row r="750" spans="2:2">
      <c r="B750" s="3" t="str">
        <f ca="1">IFERROR(__xludf.DUMMYFUNCTION("IF(ISBLANK(A750),"""",GOOGLETRANSLATE(A750,""en"",""fr""))"),"")</f>
        <v/>
      </c>
    </row>
    <row r="751" spans="2:2">
      <c r="B751" s="3" t="str">
        <f ca="1">IFERROR(__xludf.DUMMYFUNCTION("IF(ISBLANK(A751),"""",GOOGLETRANSLATE(A751,""en"",""fr""))"),"")</f>
        <v/>
      </c>
    </row>
    <row r="752" spans="2:2">
      <c r="B752" s="3" t="str">
        <f ca="1">IFERROR(__xludf.DUMMYFUNCTION("IF(ISBLANK(A752),"""",GOOGLETRANSLATE(A752,""en"",""fr""))"),"")</f>
        <v/>
      </c>
    </row>
    <row r="753" spans="2:2">
      <c r="B753" s="3" t="str">
        <f ca="1">IFERROR(__xludf.DUMMYFUNCTION("IF(ISBLANK(A753),"""",GOOGLETRANSLATE(A753,""en"",""fr""))"),"")</f>
        <v/>
      </c>
    </row>
    <row r="754" spans="2:2">
      <c r="B754" s="3" t="str">
        <f ca="1">IFERROR(__xludf.DUMMYFUNCTION("IF(ISBLANK(A754),"""",GOOGLETRANSLATE(A754,""en"",""fr""))"),"")</f>
        <v/>
      </c>
    </row>
    <row r="755" spans="2:2">
      <c r="B755" s="3" t="str">
        <f ca="1">IFERROR(__xludf.DUMMYFUNCTION("IF(ISBLANK(A755),"""",GOOGLETRANSLATE(A755,""en"",""fr""))"),"")</f>
        <v/>
      </c>
    </row>
    <row r="756" spans="2:2">
      <c r="B756" s="3" t="str">
        <f ca="1">IFERROR(__xludf.DUMMYFUNCTION("IF(ISBLANK(A756),"""",GOOGLETRANSLATE(A756,""en"",""fr""))"),"")</f>
        <v/>
      </c>
    </row>
    <row r="757" spans="2:2">
      <c r="B757" s="3" t="str">
        <f ca="1">IFERROR(__xludf.DUMMYFUNCTION("IF(ISBLANK(A757),"""",GOOGLETRANSLATE(A757,""en"",""fr""))"),"")</f>
        <v/>
      </c>
    </row>
    <row r="758" spans="2:2">
      <c r="B758" s="3" t="str">
        <f ca="1">IFERROR(__xludf.DUMMYFUNCTION("IF(ISBLANK(A758),"""",GOOGLETRANSLATE(A758,""en"",""fr""))"),"")</f>
        <v/>
      </c>
    </row>
    <row r="759" spans="2:2">
      <c r="B759" s="3" t="str">
        <f ca="1">IFERROR(__xludf.DUMMYFUNCTION("IF(ISBLANK(A759),"""",GOOGLETRANSLATE(A759,""en"",""fr""))"),"")</f>
        <v/>
      </c>
    </row>
    <row r="760" spans="2:2">
      <c r="B760" s="3" t="str">
        <f ca="1">IFERROR(__xludf.DUMMYFUNCTION("IF(ISBLANK(A760),"""",GOOGLETRANSLATE(A760,""en"",""fr""))"),"")</f>
        <v/>
      </c>
    </row>
    <row r="761" spans="2:2">
      <c r="B761" s="3" t="str">
        <f ca="1">IFERROR(__xludf.DUMMYFUNCTION("IF(ISBLANK(A761),"""",GOOGLETRANSLATE(A761,""en"",""fr""))"),"")</f>
        <v/>
      </c>
    </row>
    <row r="762" spans="2:2">
      <c r="B762" s="3" t="str">
        <f ca="1">IFERROR(__xludf.DUMMYFUNCTION("IF(ISBLANK(A762),"""",GOOGLETRANSLATE(A762,""en"",""fr""))"),"")</f>
        <v/>
      </c>
    </row>
    <row r="763" spans="2:2">
      <c r="B763" s="3" t="str">
        <f ca="1">IFERROR(__xludf.DUMMYFUNCTION("IF(ISBLANK(A763),"""",GOOGLETRANSLATE(A763,""en"",""fr""))"),"")</f>
        <v/>
      </c>
    </row>
    <row r="764" spans="2:2">
      <c r="B764" s="3" t="str">
        <f ca="1">IFERROR(__xludf.DUMMYFUNCTION("IF(ISBLANK(A764),"""",GOOGLETRANSLATE(A764,""en"",""fr""))"),"")</f>
        <v/>
      </c>
    </row>
    <row r="765" spans="2:2">
      <c r="B765" s="3" t="str">
        <f ca="1">IFERROR(__xludf.DUMMYFUNCTION("IF(ISBLANK(A765),"""",GOOGLETRANSLATE(A765,""en"",""fr""))"),"")</f>
        <v/>
      </c>
    </row>
    <row r="766" spans="2:2">
      <c r="B766" s="3" t="str">
        <f ca="1">IFERROR(__xludf.DUMMYFUNCTION("IF(ISBLANK(A766),"""",GOOGLETRANSLATE(A766,""en"",""fr""))"),"")</f>
        <v/>
      </c>
    </row>
    <row r="767" spans="2:2">
      <c r="B767" s="3" t="str">
        <f ca="1">IFERROR(__xludf.DUMMYFUNCTION("IF(ISBLANK(A767),"""",GOOGLETRANSLATE(A767,""en"",""fr""))"),"")</f>
        <v/>
      </c>
    </row>
    <row r="768" spans="2:2">
      <c r="B768" s="3" t="str">
        <f ca="1">IFERROR(__xludf.DUMMYFUNCTION("IF(ISBLANK(A768),"""",GOOGLETRANSLATE(A768,""en"",""fr""))"),"")</f>
        <v/>
      </c>
    </row>
    <row r="769" spans="2:2">
      <c r="B769" s="3" t="str">
        <f ca="1">IFERROR(__xludf.DUMMYFUNCTION("IF(ISBLANK(A769),"""",GOOGLETRANSLATE(A769,""en"",""fr""))"),"")</f>
        <v/>
      </c>
    </row>
    <row r="770" spans="2:2">
      <c r="B770" s="3" t="str">
        <f ca="1">IFERROR(__xludf.DUMMYFUNCTION("IF(ISBLANK(A770),"""",GOOGLETRANSLATE(A770,""en"",""fr""))"),"")</f>
        <v/>
      </c>
    </row>
    <row r="771" spans="2:2">
      <c r="B771" s="3" t="str">
        <f ca="1">IFERROR(__xludf.DUMMYFUNCTION("IF(ISBLANK(A771),"""",GOOGLETRANSLATE(A771,""en"",""fr""))"),"")</f>
        <v/>
      </c>
    </row>
    <row r="772" spans="2:2">
      <c r="B772" s="3" t="str">
        <f ca="1">IFERROR(__xludf.DUMMYFUNCTION("IF(ISBLANK(A772),"""",GOOGLETRANSLATE(A772,""en"",""fr""))"),"")</f>
        <v/>
      </c>
    </row>
    <row r="773" spans="2:2">
      <c r="B773" s="3" t="str">
        <f ca="1">IFERROR(__xludf.DUMMYFUNCTION("IF(ISBLANK(A773),"""",GOOGLETRANSLATE(A773,""en"",""fr""))"),"")</f>
        <v/>
      </c>
    </row>
    <row r="774" spans="2:2">
      <c r="B774" s="3" t="str">
        <f ca="1">IFERROR(__xludf.DUMMYFUNCTION("IF(ISBLANK(A774),"""",GOOGLETRANSLATE(A774,""en"",""fr""))"),"")</f>
        <v/>
      </c>
    </row>
    <row r="775" spans="2:2">
      <c r="B775" s="3" t="str">
        <f ca="1">IFERROR(__xludf.DUMMYFUNCTION("IF(ISBLANK(A775),"""",GOOGLETRANSLATE(A775,""en"",""fr""))"),"")</f>
        <v/>
      </c>
    </row>
    <row r="776" spans="2:2">
      <c r="B776" s="3" t="str">
        <f ca="1">IFERROR(__xludf.DUMMYFUNCTION("IF(ISBLANK(A776),"""",GOOGLETRANSLATE(A776,""en"",""fr""))"),"")</f>
        <v/>
      </c>
    </row>
    <row r="777" spans="2:2">
      <c r="B777" s="3" t="str">
        <f ca="1">IFERROR(__xludf.DUMMYFUNCTION("IF(ISBLANK(A777),"""",GOOGLETRANSLATE(A777,""en"",""fr""))"),"")</f>
        <v/>
      </c>
    </row>
    <row r="778" spans="2:2">
      <c r="B778" s="3" t="str">
        <f ca="1">IFERROR(__xludf.DUMMYFUNCTION("IF(ISBLANK(A778),"""",GOOGLETRANSLATE(A778,""en"",""fr""))"),"")</f>
        <v/>
      </c>
    </row>
    <row r="779" spans="2:2">
      <c r="B779" s="3" t="str">
        <f ca="1">IFERROR(__xludf.DUMMYFUNCTION("IF(ISBLANK(A779),"""",GOOGLETRANSLATE(A779,""en"",""fr""))"),"")</f>
        <v/>
      </c>
    </row>
    <row r="780" spans="2:2">
      <c r="B780" s="3" t="str">
        <f ca="1">IFERROR(__xludf.DUMMYFUNCTION("IF(ISBLANK(A780),"""",GOOGLETRANSLATE(A780,""en"",""fr""))"),"")</f>
        <v/>
      </c>
    </row>
    <row r="781" spans="2:2">
      <c r="B781" s="3" t="str">
        <f ca="1">IFERROR(__xludf.DUMMYFUNCTION("IF(ISBLANK(A781),"""",GOOGLETRANSLATE(A781,""en"",""fr""))"),"")</f>
        <v/>
      </c>
    </row>
    <row r="782" spans="2:2">
      <c r="B782" s="3" t="str">
        <f ca="1">IFERROR(__xludf.DUMMYFUNCTION("IF(ISBLANK(A782),"""",GOOGLETRANSLATE(A782,""en"",""fr""))"),"")</f>
        <v/>
      </c>
    </row>
    <row r="783" spans="2:2">
      <c r="B783" s="3" t="str">
        <f ca="1">IFERROR(__xludf.DUMMYFUNCTION("IF(ISBLANK(A783),"""",GOOGLETRANSLATE(A783,""en"",""fr""))"),"")</f>
        <v/>
      </c>
    </row>
    <row r="784" spans="2:2">
      <c r="B784" s="3" t="str">
        <f ca="1">IFERROR(__xludf.DUMMYFUNCTION("IF(ISBLANK(A784),"""",GOOGLETRANSLATE(A784,""en"",""fr""))"),"")</f>
        <v/>
      </c>
    </row>
    <row r="785" spans="2:2">
      <c r="B785" s="3" t="str">
        <f ca="1">IFERROR(__xludf.DUMMYFUNCTION("IF(ISBLANK(A785),"""",GOOGLETRANSLATE(A785,""en"",""fr""))"),"")</f>
        <v/>
      </c>
    </row>
    <row r="786" spans="2:2">
      <c r="B786" s="3" t="str">
        <f ca="1">IFERROR(__xludf.DUMMYFUNCTION("IF(ISBLANK(A786),"""",GOOGLETRANSLATE(A786,""en"",""fr""))"),"")</f>
        <v/>
      </c>
    </row>
    <row r="787" spans="2:2">
      <c r="B787" s="3" t="str">
        <f ca="1">IFERROR(__xludf.DUMMYFUNCTION("IF(ISBLANK(A787),"""",GOOGLETRANSLATE(A787,""en"",""fr""))"),"")</f>
        <v/>
      </c>
    </row>
    <row r="788" spans="2:2">
      <c r="B788" s="3" t="str">
        <f ca="1">IFERROR(__xludf.DUMMYFUNCTION("IF(ISBLANK(A788),"""",GOOGLETRANSLATE(A788,""en"",""fr""))"),"")</f>
        <v/>
      </c>
    </row>
    <row r="789" spans="2:2">
      <c r="B789" s="3" t="str">
        <f ca="1">IFERROR(__xludf.DUMMYFUNCTION("IF(ISBLANK(A789),"""",GOOGLETRANSLATE(A789,""en"",""fr""))"),"")</f>
        <v/>
      </c>
    </row>
    <row r="790" spans="2:2">
      <c r="B790" s="3" t="str">
        <f ca="1">IFERROR(__xludf.DUMMYFUNCTION("IF(ISBLANK(A790),"""",GOOGLETRANSLATE(A790,""en"",""fr""))"),"")</f>
        <v/>
      </c>
    </row>
    <row r="791" spans="2:2">
      <c r="B791" s="3" t="str">
        <f ca="1">IFERROR(__xludf.DUMMYFUNCTION("IF(ISBLANK(A791),"""",GOOGLETRANSLATE(A791,""en"",""fr""))"),"")</f>
        <v/>
      </c>
    </row>
    <row r="792" spans="2:2">
      <c r="B792" s="3" t="str">
        <f ca="1">IFERROR(__xludf.DUMMYFUNCTION("IF(ISBLANK(A792),"""",GOOGLETRANSLATE(A792,""en"",""fr""))"),"")</f>
        <v/>
      </c>
    </row>
    <row r="793" spans="2:2">
      <c r="B793" s="3" t="str">
        <f ca="1">IFERROR(__xludf.DUMMYFUNCTION("IF(ISBLANK(A793),"""",GOOGLETRANSLATE(A793,""en"",""fr""))"),"")</f>
        <v/>
      </c>
    </row>
    <row r="794" spans="2:2">
      <c r="B794" s="3" t="str">
        <f ca="1">IFERROR(__xludf.DUMMYFUNCTION("IF(ISBLANK(A794),"""",GOOGLETRANSLATE(A794,""en"",""fr""))"),"")</f>
        <v/>
      </c>
    </row>
    <row r="795" spans="2:2">
      <c r="B795" s="3" t="str">
        <f ca="1">IFERROR(__xludf.DUMMYFUNCTION("IF(ISBLANK(A795),"""",GOOGLETRANSLATE(A795,""en"",""fr""))"),"")</f>
        <v/>
      </c>
    </row>
    <row r="796" spans="2:2">
      <c r="B796" s="3" t="str">
        <f ca="1">IFERROR(__xludf.DUMMYFUNCTION("IF(ISBLANK(A796),"""",GOOGLETRANSLATE(A796,""en"",""fr""))"),"")</f>
        <v/>
      </c>
    </row>
    <row r="797" spans="2:2">
      <c r="B797" s="3" t="str">
        <f ca="1">IFERROR(__xludf.DUMMYFUNCTION("IF(ISBLANK(A797),"""",GOOGLETRANSLATE(A797,""en"",""fr""))"),"")</f>
        <v/>
      </c>
    </row>
    <row r="798" spans="2:2">
      <c r="B798" s="3" t="str">
        <f ca="1">IFERROR(__xludf.DUMMYFUNCTION("IF(ISBLANK(A798),"""",GOOGLETRANSLATE(A798,""en"",""fr""))"),"")</f>
        <v/>
      </c>
    </row>
    <row r="799" spans="2:2">
      <c r="B799" s="3" t="str">
        <f ca="1">IFERROR(__xludf.DUMMYFUNCTION("IF(ISBLANK(A799),"""",GOOGLETRANSLATE(A799,""en"",""fr""))"),"")</f>
        <v/>
      </c>
    </row>
    <row r="800" spans="2:2">
      <c r="B800" s="3" t="str">
        <f ca="1">IFERROR(__xludf.DUMMYFUNCTION("IF(ISBLANK(A800),"""",GOOGLETRANSLATE(A800,""en"",""fr""))"),"")</f>
        <v/>
      </c>
    </row>
    <row r="801" spans="2:2">
      <c r="B801" s="3" t="str">
        <f ca="1">IFERROR(__xludf.DUMMYFUNCTION("IF(ISBLANK(A801),"""",GOOGLETRANSLATE(A801,""en"",""fr""))"),"")</f>
        <v/>
      </c>
    </row>
    <row r="802" spans="2:2">
      <c r="B802" s="3" t="str">
        <f ca="1">IFERROR(__xludf.DUMMYFUNCTION("IF(ISBLANK(A802),"""",GOOGLETRANSLATE(A802,""en"",""fr""))"),"")</f>
        <v/>
      </c>
    </row>
    <row r="803" spans="2:2">
      <c r="B803" s="3" t="str">
        <f ca="1">IFERROR(__xludf.DUMMYFUNCTION("IF(ISBLANK(A803),"""",GOOGLETRANSLATE(A803,""en"",""fr""))"),"")</f>
        <v/>
      </c>
    </row>
    <row r="804" spans="2:2">
      <c r="B804" s="3" t="str">
        <f ca="1">IFERROR(__xludf.DUMMYFUNCTION("IF(ISBLANK(A804),"""",GOOGLETRANSLATE(A804,""en"",""fr""))"),"")</f>
        <v/>
      </c>
    </row>
    <row r="805" spans="2:2">
      <c r="B805" s="3" t="str">
        <f ca="1">IFERROR(__xludf.DUMMYFUNCTION("IF(ISBLANK(A805),"""",GOOGLETRANSLATE(A805,""en"",""fr""))"),"")</f>
        <v/>
      </c>
    </row>
    <row r="806" spans="2:2">
      <c r="B806" s="3" t="str">
        <f ca="1">IFERROR(__xludf.DUMMYFUNCTION("IF(ISBLANK(A806),"""",GOOGLETRANSLATE(A806,""en"",""fr""))"),"")</f>
        <v/>
      </c>
    </row>
    <row r="807" spans="2:2">
      <c r="B807" s="3" t="str">
        <f ca="1">IFERROR(__xludf.DUMMYFUNCTION("IF(ISBLANK(A807),"""",GOOGLETRANSLATE(A807,""en"",""fr""))"),"")</f>
        <v/>
      </c>
    </row>
    <row r="808" spans="2:2">
      <c r="B808" s="3" t="str">
        <f ca="1">IFERROR(__xludf.DUMMYFUNCTION("IF(ISBLANK(A808),"""",GOOGLETRANSLATE(A808,""en"",""fr""))"),"")</f>
        <v/>
      </c>
    </row>
    <row r="809" spans="2:2">
      <c r="B809" s="3" t="str">
        <f ca="1">IFERROR(__xludf.DUMMYFUNCTION("IF(ISBLANK(A809),"""",GOOGLETRANSLATE(A809,""en"",""fr""))"),"")</f>
        <v/>
      </c>
    </row>
    <row r="810" spans="2:2">
      <c r="B810" s="3" t="str">
        <f ca="1">IFERROR(__xludf.DUMMYFUNCTION("IF(ISBLANK(A810),"""",GOOGLETRANSLATE(A810,""en"",""fr""))"),"")</f>
        <v/>
      </c>
    </row>
    <row r="811" spans="2:2">
      <c r="B811" s="3" t="str">
        <f ca="1">IFERROR(__xludf.DUMMYFUNCTION("IF(ISBLANK(A811),"""",GOOGLETRANSLATE(A811,""en"",""fr""))"),"")</f>
        <v/>
      </c>
    </row>
    <row r="812" spans="2:2">
      <c r="B812" s="3" t="str">
        <f ca="1">IFERROR(__xludf.DUMMYFUNCTION("IF(ISBLANK(A812),"""",GOOGLETRANSLATE(A812,""en"",""fr""))"),"")</f>
        <v/>
      </c>
    </row>
    <row r="813" spans="2:2">
      <c r="B813" s="3" t="str">
        <f ca="1">IFERROR(__xludf.DUMMYFUNCTION("IF(ISBLANK(A813),"""",GOOGLETRANSLATE(A813,""en"",""fr""))"),"")</f>
        <v/>
      </c>
    </row>
    <row r="814" spans="2:2">
      <c r="B814" s="3" t="str">
        <f ca="1">IFERROR(__xludf.DUMMYFUNCTION("IF(ISBLANK(A814),"""",GOOGLETRANSLATE(A814,""en"",""fr""))"),"")</f>
        <v/>
      </c>
    </row>
    <row r="815" spans="2:2">
      <c r="B815" s="3" t="str">
        <f ca="1">IFERROR(__xludf.DUMMYFUNCTION("IF(ISBLANK(A815),"""",GOOGLETRANSLATE(A815,""en"",""fr""))"),"")</f>
        <v/>
      </c>
    </row>
    <row r="816" spans="2:2">
      <c r="B816" s="3" t="str">
        <f ca="1">IFERROR(__xludf.DUMMYFUNCTION("IF(ISBLANK(A816),"""",GOOGLETRANSLATE(A816,""en"",""fr""))"),"")</f>
        <v/>
      </c>
    </row>
    <row r="817" spans="2:2">
      <c r="B817" s="3" t="str">
        <f ca="1">IFERROR(__xludf.DUMMYFUNCTION("IF(ISBLANK(A817),"""",GOOGLETRANSLATE(A817,""en"",""fr""))"),"")</f>
        <v/>
      </c>
    </row>
    <row r="818" spans="2:2">
      <c r="B818" s="3" t="str">
        <f ca="1">IFERROR(__xludf.DUMMYFUNCTION("IF(ISBLANK(A818),"""",GOOGLETRANSLATE(A818,""en"",""fr""))"),"")</f>
        <v/>
      </c>
    </row>
    <row r="819" spans="2:2">
      <c r="B819" s="3" t="str">
        <f ca="1">IFERROR(__xludf.DUMMYFUNCTION("IF(ISBLANK(A819),"""",GOOGLETRANSLATE(A819,""en"",""fr""))"),"")</f>
        <v/>
      </c>
    </row>
    <row r="820" spans="2:2">
      <c r="B820" s="3" t="str">
        <f ca="1">IFERROR(__xludf.DUMMYFUNCTION("IF(ISBLANK(A820),"""",GOOGLETRANSLATE(A820,""en"",""fr""))"),"")</f>
        <v/>
      </c>
    </row>
    <row r="821" spans="2:2">
      <c r="B821" s="3" t="str">
        <f ca="1">IFERROR(__xludf.DUMMYFUNCTION("IF(ISBLANK(A821),"""",GOOGLETRANSLATE(A821,""en"",""fr""))"),"")</f>
        <v/>
      </c>
    </row>
    <row r="822" spans="2:2">
      <c r="B822" s="3" t="str">
        <f ca="1">IFERROR(__xludf.DUMMYFUNCTION("IF(ISBLANK(A822),"""",GOOGLETRANSLATE(A822,""en"",""fr""))"),"")</f>
        <v/>
      </c>
    </row>
    <row r="823" spans="2:2">
      <c r="B823" s="3" t="str">
        <f ca="1">IFERROR(__xludf.DUMMYFUNCTION("IF(ISBLANK(A823),"""",GOOGLETRANSLATE(A823,""en"",""fr""))"),"")</f>
        <v/>
      </c>
    </row>
    <row r="824" spans="2:2">
      <c r="B824" s="3" t="str">
        <f ca="1">IFERROR(__xludf.DUMMYFUNCTION("IF(ISBLANK(A824),"""",GOOGLETRANSLATE(A824,""en"",""fr""))"),"")</f>
        <v/>
      </c>
    </row>
    <row r="825" spans="2:2">
      <c r="B825" s="3" t="str">
        <f ca="1">IFERROR(__xludf.DUMMYFUNCTION("IF(ISBLANK(A825),"""",GOOGLETRANSLATE(A825,""en"",""fr""))"),"")</f>
        <v/>
      </c>
    </row>
    <row r="826" spans="2:2">
      <c r="B826" s="3" t="str">
        <f ca="1">IFERROR(__xludf.DUMMYFUNCTION("IF(ISBLANK(A826),"""",GOOGLETRANSLATE(A826,""en"",""fr""))"),"")</f>
        <v/>
      </c>
    </row>
    <row r="827" spans="2:2">
      <c r="B827" s="3" t="str">
        <f ca="1">IFERROR(__xludf.DUMMYFUNCTION("IF(ISBLANK(A827),"""",GOOGLETRANSLATE(A827,""en"",""fr""))"),"")</f>
        <v/>
      </c>
    </row>
    <row r="828" spans="2:2">
      <c r="B828" s="3" t="str">
        <f ca="1">IFERROR(__xludf.DUMMYFUNCTION("IF(ISBLANK(A828),"""",GOOGLETRANSLATE(A828,""en"",""fr""))"),"")</f>
        <v/>
      </c>
    </row>
    <row r="829" spans="2:2">
      <c r="B829" s="3" t="str">
        <f ca="1">IFERROR(__xludf.DUMMYFUNCTION("IF(ISBLANK(A829),"""",GOOGLETRANSLATE(A829,""en"",""fr""))"),"")</f>
        <v/>
      </c>
    </row>
    <row r="830" spans="2:2">
      <c r="B830" s="3" t="str">
        <f ca="1">IFERROR(__xludf.DUMMYFUNCTION("IF(ISBLANK(A830),"""",GOOGLETRANSLATE(A830,""en"",""fr""))"),"")</f>
        <v/>
      </c>
    </row>
    <row r="831" spans="2:2">
      <c r="B831" s="3" t="str">
        <f ca="1">IFERROR(__xludf.DUMMYFUNCTION("IF(ISBLANK(A831),"""",GOOGLETRANSLATE(A831,""en"",""fr""))"),"")</f>
        <v/>
      </c>
    </row>
    <row r="832" spans="2:2">
      <c r="B832" s="3" t="str">
        <f ca="1">IFERROR(__xludf.DUMMYFUNCTION("IF(ISBLANK(A832),"""",GOOGLETRANSLATE(A832,""en"",""fr""))"),"")</f>
        <v/>
      </c>
    </row>
    <row r="833" spans="2:2">
      <c r="B833" s="3" t="str">
        <f ca="1">IFERROR(__xludf.DUMMYFUNCTION("IF(ISBLANK(A833),"""",GOOGLETRANSLATE(A833,""en"",""fr""))"),"")</f>
        <v/>
      </c>
    </row>
    <row r="834" spans="2:2">
      <c r="B834" s="3" t="str">
        <f ca="1">IFERROR(__xludf.DUMMYFUNCTION("IF(ISBLANK(A834),"""",GOOGLETRANSLATE(A834,""en"",""fr""))"),"")</f>
        <v/>
      </c>
    </row>
    <row r="835" spans="2:2">
      <c r="B835" s="3" t="str">
        <f ca="1">IFERROR(__xludf.DUMMYFUNCTION("IF(ISBLANK(A835),"""",GOOGLETRANSLATE(A835,""en"",""fr""))"),"")</f>
        <v/>
      </c>
    </row>
    <row r="836" spans="2:2">
      <c r="B836" s="3" t="str">
        <f ca="1">IFERROR(__xludf.DUMMYFUNCTION("IF(ISBLANK(A836),"""",GOOGLETRANSLATE(A836,""en"",""fr""))"),"")</f>
        <v/>
      </c>
    </row>
    <row r="837" spans="2:2">
      <c r="B837" s="3" t="str">
        <f ca="1">IFERROR(__xludf.DUMMYFUNCTION("IF(ISBLANK(A837),"""",GOOGLETRANSLATE(A837,""en"",""fr""))"),"")</f>
        <v/>
      </c>
    </row>
    <row r="838" spans="2:2">
      <c r="B838" s="3" t="str">
        <f ca="1">IFERROR(__xludf.DUMMYFUNCTION("IF(ISBLANK(A838),"""",GOOGLETRANSLATE(A838,""en"",""fr""))"),"")</f>
        <v/>
      </c>
    </row>
    <row r="839" spans="2:2">
      <c r="B839" s="3" t="str">
        <f ca="1">IFERROR(__xludf.DUMMYFUNCTION("IF(ISBLANK(A839),"""",GOOGLETRANSLATE(A839,""en"",""fr""))"),"")</f>
        <v/>
      </c>
    </row>
    <row r="840" spans="2:2">
      <c r="B840" s="3" t="str">
        <f ca="1">IFERROR(__xludf.DUMMYFUNCTION("IF(ISBLANK(A840),"""",GOOGLETRANSLATE(A840,""en"",""fr""))"),"")</f>
        <v/>
      </c>
    </row>
    <row r="841" spans="2:2">
      <c r="B841" s="3" t="str">
        <f ca="1">IFERROR(__xludf.DUMMYFUNCTION("IF(ISBLANK(A841),"""",GOOGLETRANSLATE(A841,""en"",""fr""))"),"")</f>
        <v/>
      </c>
    </row>
    <row r="842" spans="2:2">
      <c r="B842" s="3" t="str">
        <f ca="1">IFERROR(__xludf.DUMMYFUNCTION("IF(ISBLANK(A842),"""",GOOGLETRANSLATE(A842,""en"",""fr""))"),"")</f>
        <v/>
      </c>
    </row>
    <row r="843" spans="2:2">
      <c r="B843" s="3" t="str">
        <f ca="1">IFERROR(__xludf.DUMMYFUNCTION("IF(ISBLANK(A843),"""",GOOGLETRANSLATE(A843,""en"",""fr""))"),"")</f>
        <v/>
      </c>
    </row>
    <row r="844" spans="2:2">
      <c r="B844" s="3" t="str">
        <f ca="1">IFERROR(__xludf.DUMMYFUNCTION("IF(ISBLANK(A844),"""",GOOGLETRANSLATE(A844,""en"",""fr""))"),"")</f>
        <v/>
      </c>
    </row>
    <row r="845" spans="2:2">
      <c r="B845" s="3" t="str">
        <f ca="1">IFERROR(__xludf.DUMMYFUNCTION("IF(ISBLANK(A845),"""",GOOGLETRANSLATE(A845,""en"",""fr""))"),"")</f>
        <v/>
      </c>
    </row>
    <row r="846" spans="2:2">
      <c r="B846" s="3" t="str">
        <f ca="1">IFERROR(__xludf.DUMMYFUNCTION("IF(ISBLANK(A846),"""",GOOGLETRANSLATE(A846,""en"",""fr""))"),"")</f>
        <v/>
      </c>
    </row>
    <row r="847" spans="2:2">
      <c r="B847" s="3" t="str">
        <f ca="1">IFERROR(__xludf.DUMMYFUNCTION("IF(ISBLANK(A847),"""",GOOGLETRANSLATE(A847,""en"",""fr""))"),"")</f>
        <v/>
      </c>
    </row>
    <row r="848" spans="2:2">
      <c r="B848" s="3" t="str">
        <f ca="1">IFERROR(__xludf.DUMMYFUNCTION("IF(ISBLANK(A848),"""",GOOGLETRANSLATE(A848,""en"",""fr""))"),"")</f>
        <v/>
      </c>
    </row>
    <row r="849" spans="2:2">
      <c r="B849" s="3" t="str">
        <f ca="1">IFERROR(__xludf.DUMMYFUNCTION("IF(ISBLANK(A849),"""",GOOGLETRANSLATE(A849,""en"",""fr""))"),"")</f>
        <v/>
      </c>
    </row>
    <row r="850" spans="2:2">
      <c r="B850" s="3" t="str">
        <f ca="1">IFERROR(__xludf.DUMMYFUNCTION("IF(ISBLANK(A850),"""",GOOGLETRANSLATE(A850,""en"",""fr""))"),"")</f>
        <v/>
      </c>
    </row>
    <row r="851" spans="2:2">
      <c r="B851" s="3" t="str">
        <f ca="1">IFERROR(__xludf.DUMMYFUNCTION("IF(ISBLANK(A851),"""",GOOGLETRANSLATE(A851,""en"",""fr""))"),"")</f>
        <v/>
      </c>
    </row>
    <row r="852" spans="2:2">
      <c r="B852" s="3" t="str">
        <f ca="1">IFERROR(__xludf.DUMMYFUNCTION("IF(ISBLANK(A852),"""",GOOGLETRANSLATE(A852,""en"",""fr""))"),"")</f>
        <v/>
      </c>
    </row>
    <row r="853" spans="2:2">
      <c r="B853" s="3" t="str">
        <f ca="1">IFERROR(__xludf.DUMMYFUNCTION("IF(ISBLANK(A853),"""",GOOGLETRANSLATE(A853,""en"",""fr""))"),"")</f>
        <v/>
      </c>
    </row>
    <row r="854" spans="2:2">
      <c r="B854" s="3" t="str">
        <f ca="1">IFERROR(__xludf.DUMMYFUNCTION("IF(ISBLANK(A854),"""",GOOGLETRANSLATE(A854,""en"",""fr""))"),"")</f>
        <v/>
      </c>
    </row>
    <row r="855" spans="2:2">
      <c r="B855" s="3" t="str">
        <f ca="1">IFERROR(__xludf.DUMMYFUNCTION("IF(ISBLANK(A855),"""",GOOGLETRANSLATE(A855,""en"",""fr""))"),"")</f>
        <v/>
      </c>
    </row>
    <row r="856" spans="2:2">
      <c r="B856" s="3" t="str">
        <f ca="1">IFERROR(__xludf.DUMMYFUNCTION("IF(ISBLANK(A856),"""",GOOGLETRANSLATE(A856,""en"",""fr""))"),"")</f>
        <v/>
      </c>
    </row>
    <row r="857" spans="2:2">
      <c r="B857" s="3" t="str">
        <f ca="1">IFERROR(__xludf.DUMMYFUNCTION("IF(ISBLANK(A857),"""",GOOGLETRANSLATE(A857,""en"",""fr""))"),"")</f>
        <v/>
      </c>
    </row>
    <row r="858" spans="2:2">
      <c r="B858" s="3" t="str">
        <f ca="1">IFERROR(__xludf.DUMMYFUNCTION("IF(ISBLANK(A858),"""",GOOGLETRANSLATE(A858,""en"",""fr""))"),"")</f>
        <v/>
      </c>
    </row>
    <row r="859" spans="2:2">
      <c r="B859" s="3" t="str">
        <f ca="1">IFERROR(__xludf.DUMMYFUNCTION("IF(ISBLANK(A859),"""",GOOGLETRANSLATE(A859,""en"",""fr""))"),"")</f>
        <v/>
      </c>
    </row>
    <row r="860" spans="2:2">
      <c r="B860" s="3" t="str">
        <f ca="1">IFERROR(__xludf.DUMMYFUNCTION("IF(ISBLANK(A860),"""",GOOGLETRANSLATE(A860,""en"",""fr""))"),"")</f>
        <v/>
      </c>
    </row>
    <row r="861" spans="2:2">
      <c r="B861" s="3" t="str">
        <f ca="1">IFERROR(__xludf.DUMMYFUNCTION("IF(ISBLANK(A861),"""",GOOGLETRANSLATE(A861,""en"",""fr""))"),"")</f>
        <v/>
      </c>
    </row>
    <row r="862" spans="2:2">
      <c r="B862" s="3" t="str">
        <f ca="1">IFERROR(__xludf.DUMMYFUNCTION("IF(ISBLANK(A862),"""",GOOGLETRANSLATE(A862,""en"",""fr""))"),"")</f>
        <v/>
      </c>
    </row>
    <row r="863" spans="2:2">
      <c r="B863" s="3" t="str">
        <f ca="1">IFERROR(__xludf.DUMMYFUNCTION("IF(ISBLANK(A863),"""",GOOGLETRANSLATE(A863,""en"",""fr""))"),"")</f>
        <v/>
      </c>
    </row>
    <row r="864" spans="2:2">
      <c r="B864" s="3" t="str">
        <f ca="1">IFERROR(__xludf.DUMMYFUNCTION("IF(ISBLANK(A864),"""",GOOGLETRANSLATE(A864,""en"",""fr""))"),"")</f>
        <v/>
      </c>
    </row>
    <row r="865" spans="2:2">
      <c r="B865" s="3" t="str">
        <f ca="1">IFERROR(__xludf.DUMMYFUNCTION("IF(ISBLANK(A865),"""",GOOGLETRANSLATE(A865,""en"",""fr""))"),"")</f>
        <v/>
      </c>
    </row>
    <row r="866" spans="2:2">
      <c r="B866" s="3" t="str">
        <f ca="1">IFERROR(__xludf.DUMMYFUNCTION("IF(ISBLANK(A866),"""",GOOGLETRANSLATE(A866,""en"",""fr""))"),"")</f>
        <v/>
      </c>
    </row>
    <row r="867" spans="2:2">
      <c r="B867" s="3" t="str">
        <f ca="1">IFERROR(__xludf.DUMMYFUNCTION("IF(ISBLANK(A867),"""",GOOGLETRANSLATE(A867,""en"",""fr""))"),"")</f>
        <v/>
      </c>
    </row>
    <row r="868" spans="2:2">
      <c r="B868" s="3" t="str">
        <f ca="1">IFERROR(__xludf.DUMMYFUNCTION("IF(ISBLANK(A868),"""",GOOGLETRANSLATE(A868,""en"",""fr""))"),"")</f>
        <v/>
      </c>
    </row>
    <row r="869" spans="2:2">
      <c r="B869" s="3" t="str">
        <f ca="1">IFERROR(__xludf.DUMMYFUNCTION("IF(ISBLANK(A869),"""",GOOGLETRANSLATE(A869,""en"",""fr""))"),"")</f>
        <v/>
      </c>
    </row>
    <row r="870" spans="2:2">
      <c r="B870" s="3" t="str">
        <f ca="1">IFERROR(__xludf.DUMMYFUNCTION("IF(ISBLANK(A870),"""",GOOGLETRANSLATE(A870,""en"",""fr""))"),"")</f>
        <v/>
      </c>
    </row>
    <row r="871" spans="2:2">
      <c r="B871" s="3" t="str">
        <f ca="1">IFERROR(__xludf.DUMMYFUNCTION("IF(ISBLANK(A871),"""",GOOGLETRANSLATE(A871,""en"",""fr""))"),"")</f>
        <v/>
      </c>
    </row>
    <row r="872" spans="2:2">
      <c r="B872" s="3" t="str">
        <f ca="1">IFERROR(__xludf.DUMMYFUNCTION("IF(ISBLANK(A872),"""",GOOGLETRANSLATE(A872,""en"",""fr""))"),"")</f>
        <v/>
      </c>
    </row>
    <row r="873" spans="2:2">
      <c r="B873" s="3" t="str">
        <f ca="1">IFERROR(__xludf.DUMMYFUNCTION("IF(ISBLANK(A873),"""",GOOGLETRANSLATE(A873,""en"",""fr""))"),"")</f>
        <v/>
      </c>
    </row>
    <row r="874" spans="2:2">
      <c r="B874" s="3" t="str">
        <f ca="1">IFERROR(__xludf.DUMMYFUNCTION("IF(ISBLANK(A874),"""",GOOGLETRANSLATE(A874,""en"",""fr""))"),"")</f>
        <v/>
      </c>
    </row>
    <row r="875" spans="2:2">
      <c r="B875" s="3" t="str">
        <f ca="1">IFERROR(__xludf.DUMMYFUNCTION("IF(ISBLANK(A875),"""",GOOGLETRANSLATE(A875,""en"",""fr""))"),"")</f>
        <v/>
      </c>
    </row>
    <row r="876" spans="2:2">
      <c r="B876" s="3" t="str">
        <f ca="1">IFERROR(__xludf.DUMMYFUNCTION("IF(ISBLANK(A876),"""",GOOGLETRANSLATE(A876,""en"",""fr""))"),"")</f>
        <v/>
      </c>
    </row>
    <row r="877" spans="2:2">
      <c r="B877" s="3" t="str">
        <f ca="1">IFERROR(__xludf.DUMMYFUNCTION("IF(ISBLANK(A877),"""",GOOGLETRANSLATE(A877,""en"",""fr""))"),"")</f>
        <v/>
      </c>
    </row>
    <row r="878" spans="2:2">
      <c r="B878" s="3" t="str">
        <f ca="1">IFERROR(__xludf.DUMMYFUNCTION("IF(ISBLANK(A878),"""",GOOGLETRANSLATE(A878,""en"",""fr""))"),"")</f>
        <v/>
      </c>
    </row>
    <row r="879" spans="2:2">
      <c r="B879" s="3" t="str">
        <f ca="1">IFERROR(__xludf.DUMMYFUNCTION("IF(ISBLANK(A879),"""",GOOGLETRANSLATE(A879,""en"",""fr""))"),"")</f>
        <v/>
      </c>
    </row>
    <row r="880" spans="2:2">
      <c r="B880" s="3" t="str">
        <f ca="1">IFERROR(__xludf.DUMMYFUNCTION("IF(ISBLANK(A880),"""",GOOGLETRANSLATE(A880,""en"",""fr""))"),"")</f>
        <v/>
      </c>
    </row>
    <row r="881" spans="2:2">
      <c r="B881" s="3" t="str">
        <f ca="1">IFERROR(__xludf.DUMMYFUNCTION("IF(ISBLANK(A881),"""",GOOGLETRANSLATE(A881,""en"",""fr""))"),"")</f>
        <v/>
      </c>
    </row>
    <row r="882" spans="2:2">
      <c r="B882" s="3" t="str">
        <f ca="1">IFERROR(__xludf.DUMMYFUNCTION("IF(ISBLANK(A882),"""",GOOGLETRANSLATE(A882,""en"",""fr""))"),"")</f>
        <v/>
      </c>
    </row>
    <row r="883" spans="2:2">
      <c r="B883" s="3" t="str">
        <f ca="1">IFERROR(__xludf.DUMMYFUNCTION("IF(ISBLANK(A883),"""",GOOGLETRANSLATE(A883,""en"",""fr""))"),"")</f>
        <v/>
      </c>
    </row>
    <row r="884" spans="2:2">
      <c r="B884" s="3" t="str">
        <f ca="1">IFERROR(__xludf.DUMMYFUNCTION("IF(ISBLANK(A884),"""",GOOGLETRANSLATE(A884,""en"",""fr""))"),"")</f>
        <v/>
      </c>
    </row>
    <row r="885" spans="2:2">
      <c r="B885" s="3" t="str">
        <f ca="1">IFERROR(__xludf.DUMMYFUNCTION("IF(ISBLANK(A885),"""",GOOGLETRANSLATE(A885,""en"",""fr""))"),"")</f>
        <v/>
      </c>
    </row>
    <row r="886" spans="2:2">
      <c r="B886" s="3" t="str">
        <f ca="1">IFERROR(__xludf.DUMMYFUNCTION("IF(ISBLANK(A886),"""",GOOGLETRANSLATE(A886,""en"",""fr""))"),"")</f>
        <v/>
      </c>
    </row>
    <row r="887" spans="2:2">
      <c r="B887" s="3" t="str">
        <f ca="1">IFERROR(__xludf.DUMMYFUNCTION("IF(ISBLANK(A887),"""",GOOGLETRANSLATE(A887,""en"",""fr""))"),"")</f>
        <v/>
      </c>
    </row>
    <row r="888" spans="2:2">
      <c r="B888" s="3" t="str">
        <f ca="1">IFERROR(__xludf.DUMMYFUNCTION("IF(ISBLANK(A888),"""",GOOGLETRANSLATE(A888,""en"",""fr""))"),"")</f>
        <v/>
      </c>
    </row>
    <row r="889" spans="2:2">
      <c r="B889" s="3" t="str">
        <f ca="1">IFERROR(__xludf.DUMMYFUNCTION("IF(ISBLANK(A889),"""",GOOGLETRANSLATE(A889,""en"",""fr""))"),"")</f>
        <v/>
      </c>
    </row>
    <row r="890" spans="2:2">
      <c r="B890" s="3" t="str">
        <f ca="1">IFERROR(__xludf.DUMMYFUNCTION("IF(ISBLANK(A890),"""",GOOGLETRANSLATE(A890,""en"",""fr""))"),"")</f>
        <v/>
      </c>
    </row>
    <row r="891" spans="2:2">
      <c r="B891" s="3" t="str">
        <f ca="1">IFERROR(__xludf.DUMMYFUNCTION("IF(ISBLANK(A891),"""",GOOGLETRANSLATE(A891,""en"",""fr""))"),"")</f>
        <v/>
      </c>
    </row>
    <row r="892" spans="2:2">
      <c r="B892" s="3" t="str">
        <f ca="1">IFERROR(__xludf.DUMMYFUNCTION("IF(ISBLANK(A892),"""",GOOGLETRANSLATE(A892,""en"",""fr""))"),"")</f>
        <v/>
      </c>
    </row>
    <row r="893" spans="2:2">
      <c r="B893" s="3" t="str">
        <f ca="1">IFERROR(__xludf.DUMMYFUNCTION("IF(ISBLANK(A893),"""",GOOGLETRANSLATE(A893,""en"",""fr""))"),"")</f>
        <v/>
      </c>
    </row>
    <row r="894" spans="2:2">
      <c r="B894" s="3" t="str">
        <f ca="1">IFERROR(__xludf.DUMMYFUNCTION("IF(ISBLANK(A894),"""",GOOGLETRANSLATE(A894,""en"",""fr""))"),"")</f>
        <v/>
      </c>
    </row>
    <row r="895" spans="2:2">
      <c r="B895" s="3" t="str">
        <f ca="1">IFERROR(__xludf.DUMMYFUNCTION("IF(ISBLANK(A895),"""",GOOGLETRANSLATE(A895,""en"",""fr""))"),"")</f>
        <v/>
      </c>
    </row>
    <row r="896" spans="2:2">
      <c r="B896" s="3" t="str">
        <f ca="1">IFERROR(__xludf.DUMMYFUNCTION("IF(ISBLANK(A896),"""",GOOGLETRANSLATE(A896,""en"",""fr""))"),"")</f>
        <v/>
      </c>
    </row>
    <row r="897" spans="2:2">
      <c r="B897" s="3" t="str">
        <f ca="1">IFERROR(__xludf.DUMMYFUNCTION("IF(ISBLANK(A897),"""",GOOGLETRANSLATE(A897,""en"",""fr""))"),"")</f>
        <v/>
      </c>
    </row>
    <row r="898" spans="2:2">
      <c r="B898" s="3" t="str">
        <f ca="1">IFERROR(__xludf.DUMMYFUNCTION("IF(ISBLANK(A898),"""",GOOGLETRANSLATE(A898,""en"",""fr""))"),"")</f>
        <v/>
      </c>
    </row>
    <row r="899" spans="2:2">
      <c r="B899" s="3" t="str">
        <f ca="1">IFERROR(__xludf.DUMMYFUNCTION("IF(ISBLANK(A899),"""",GOOGLETRANSLATE(A899,""en"",""fr""))"),"")</f>
        <v/>
      </c>
    </row>
    <row r="900" spans="2:2">
      <c r="B900" s="3" t="str">
        <f ca="1">IFERROR(__xludf.DUMMYFUNCTION("IF(ISBLANK(A900),"""",GOOGLETRANSLATE(A900,""en"",""fr""))"),"")</f>
        <v/>
      </c>
    </row>
    <row r="901" spans="2:2">
      <c r="B901" s="3" t="str">
        <f ca="1">IFERROR(__xludf.DUMMYFUNCTION("IF(ISBLANK(A901),"""",GOOGLETRANSLATE(A901,""en"",""fr""))"),"")</f>
        <v/>
      </c>
    </row>
    <row r="902" spans="2:2">
      <c r="B902" s="3" t="str">
        <f ca="1">IFERROR(__xludf.DUMMYFUNCTION("IF(ISBLANK(A902),"""",GOOGLETRANSLATE(A902,""en"",""fr""))"),"")</f>
        <v/>
      </c>
    </row>
    <row r="903" spans="2:2">
      <c r="B903" s="3" t="str">
        <f ca="1">IFERROR(__xludf.DUMMYFUNCTION("IF(ISBLANK(A903),"""",GOOGLETRANSLATE(A903,""en"",""fr""))"),"")</f>
        <v/>
      </c>
    </row>
    <row r="904" spans="2:2">
      <c r="B904" s="3" t="str">
        <f ca="1">IFERROR(__xludf.DUMMYFUNCTION("IF(ISBLANK(A904),"""",GOOGLETRANSLATE(A904,""en"",""fr""))"),"")</f>
        <v/>
      </c>
    </row>
    <row r="905" spans="2:2">
      <c r="B905" s="3" t="str">
        <f ca="1">IFERROR(__xludf.DUMMYFUNCTION("IF(ISBLANK(A905),"""",GOOGLETRANSLATE(A905,""en"",""fr""))"),"")</f>
        <v/>
      </c>
    </row>
    <row r="906" spans="2:2">
      <c r="B906" s="3" t="str">
        <f ca="1">IFERROR(__xludf.DUMMYFUNCTION("IF(ISBLANK(A906),"""",GOOGLETRANSLATE(A906,""en"",""fr""))"),"")</f>
        <v/>
      </c>
    </row>
    <row r="907" spans="2:2">
      <c r="B907" s="3" t="str">
        <f ca="1">IFERROR(__xludf.DUMMYFUNCTION("IF(ISBLANK(A907),"""",GOOGLETRANSLATE(A907,""en"",""fr""))"),"")</f>
        <v/>
      </c>
    </row>
    <row r="908" spans="2:2">
      <c r="B908" s="3" t="str">
        <f ca="1">IFERROR(__xludf.DUMMYFUNCTION("IF(ISBLANK(A908),"""",GOOGLETRANSLATE(A908,""en"",""fr""))"),"")</f>
        <v/>
      </c>
    </row>
    <row r="909" spans="2:2">
      <c r="B909" s="3" t="str">
        <f ca="1">IFERROR(__xludf.DUMMYFUNCTION("IF(ISBLANK(A909),"""",GOOGLETRANSLATE(A909,""en"",""fr""))"),"")</f>
        <v/>
      </c>
    </row>
    <row r="910" spans="2:2">
      <c r="B910" s="3" t="str">
        <f ca="1">IFERROR(__xludf.DUMMYFUNCTION("IF(ISBLANK(A910),"""",GOOGLETRANSLATE(A910,""en"",""fr""))"),"")</f>
        <v/>
      </c>
    </row>
    <row r="911" spans="2:2">
      <c r="B911" s="3" t="str">
        <f ca="1">IFERROR(__xludf.DUMMYFUNCTION("IF(ISBLANK(A911),"""",GOOGLETRANSLATE(A911,""en"",""fr""))"),"")</f>
        <v/>
      </c>
    </row>
    <row r="912" spans="2:2">
      <c r="B912" s="3" t="str">
        <f ca="1">IFERROR(__xludf.DUMMYFUNCTION("IF(ISBLANK(A912),"""",GOOGLETRANSLATE(A912,""en"",""fr""))"),"")</f>
        <v/>
      </c>
    </row>
    <row r="913" spans="2:2">
      <c r="B913" s="3" t="str">
        <f ca="1">IFERROR(__xludf.DUMMYFUNCTION("IF(ISBLANK(A913),"""",GOOGLETRANSLATE(A913,""en"",""fr""))"),"")</f>
        <v/>
      </c>
    </row>
    <row r="914" spans="2:2">
      <c r="B914" s="3" t="str">
        <f ca="1">IFERROR(__xludf.DUMMYFUNCTION("IF(ISBLANK(A914),"""",GOOGLETRANSLATE(A914,""en"",""fr""))"),"")</f>
        <v/>
      </c>
    </row>
    <row r="915" spans="2:2">
      <c r="B915" s="3" t="str">
        <f ca="1">IFERROR(__xludf.DUMMYFUNCTION("IF(ISBLANK(A915),"""",GOOGLETRANSLATE(A915,""en"",""fr""))"),"")</f>
        <v/>
      </c>
    </row>
    <row r="916" spans="2:2">
      <c r="B916" s="3" t="str">
        <f ca="1">IFERROR(__xludf.DUMMYFUNCTION("IF(ISBLANK(A916),"""",GOOGLETRANSLATE(A916,""en"",""fr""))"),"")</f>
        <v/>
      </c>
    </row>
    <row r="917" spans="2:2">
      <c r="B917" s="3" t="str">
        <f ca="1">IFERROR(__xludf.DUMMYFUNCTION("IF(ISBLANK(A917),"""",GOOGLETRANSLATE(A917,""en"",""fr""))"),"")</f>
        <v/>
      </c>
    </row>
    <row r="918" spans="2:2">
      <c r="B918" s="3" t="str">
        <f ca="1">IFERROR(__xludf.DUMMYFUNCTION("IF(ISBLANK(A918),"""",GOOGLETRANSLATE(A918,""en"",""fr""))"),"")</f>
        <v/>
      </c>
    </row>
    <row r="919" spans="2:2">
      <c r="B919" s="3" t="str">
        <f ca="1">IFERROR(__xludf.DUMMYFUNCTION("IF(ISBLANK(A919),"""",GOOGLETRANSLATE(A919,""en"",""fr""))"),"")</f>
        <v/>
      </c>
    </row>
    <row r="920" spans="2:2">
      <c r="B920" s="3" t="str">
        <f ca="1">IFERROR(__xludf.DUMMYFUNCTION("IF(ISBLANK(A920),"""",GOOGLETRANSLATE(A920,""en"",""fr""))"),"")</f>
        <v/>
      </c>
    </row>
    <row r="921" spans="2:2">
      <c r="B921" s="3" t="str">
        <f ca="1">IFERROR(__xludf.DUMMYFUNCTION("IF(ISBLANK(A921),"""",GOOGLETRANSLATE(A921,""en"",""fr""))"),"")</f>
        <v/>
      </c>
    </row>
    <row r="922" spans="2:2">
      <c r="B922" s="3" t="str">
        <f ca="1">IFERROR(__xludf.DUMMYFUNCTION("IF(ISBLANK(A922),"""",GOOGLETRANSLATE(A922,""en"",""fr""))"),"")</f>
        <v/>
      </c>
    </row>
    <row r="923" spans="2:2">
      <c r="B923" s="3" t="str">
        <f ca="1">IFERROR(__xludf.DUMMYFUNCTION("IF(ISBLANK(A923),"""",GOOGLETRANSLATE(A923,""en"",""fr""))"),"")</f>
        <v/>
      </c>
    </row>
    <row r="924" spans="2:2">
      <c r="B924" s="3" t="str">
        <f ca="1">IFERROR(__xludf.DUMMYFUNCTION("IF(ISBLANK(A924),"""",GOOGLETRANSLATE(A924,""en"",""fr""))"),"")</f>
        <v/>
      </c>
    </row>
    <row r="925" spans="2:2">
      <c r="B925" s="3" t="str">
        <f ca="1">IFERROR(__xludf.DUMMYFUNCTION("IF(ISBLANK(A925),"""",GOOGLETRANSLATE(A925,""en"",""fr""))"),"")</f>
        <v/>
      </c>
    </row>
    <row r="926" spans="2:2">
      <c r="B926" s="3" t="str">
        <f ca="1">IFERROR(__xludf.DUMMYFUNCTION("IF(ISBLANK(A926),"""",GOOGLETRANSLATE(A926,""en"",""fr""))"),"")</f>
        <v/>
      </c>
    </row>
    <row r="927" spans="2:2">
      <c r="B927" s="3" t="str">
        <f ca="1">IFERROR(__xludf.DUMMYFUNCTION("IF(ISBLANK(A927),"""",GOOGLETRANSLATE(A927,""en"",""fr""))"),"")</f>
        <v/>
      </c>
    </row>
    <row r="928" spans="2:2">
      <c r="B928" s="3" t="str">
        <f ca="1">IFERROR(__xludf.DUMMYFUNCTION("IF(ISBLANK(A928),"""",GOOGLETRANSLATE(A928,""en"",""fr""))"),"")</f>
        <v/>
      </c>
    </row>
    <row r="929" spans="2:2">
      <c r="B929" s="3" t="str">
        <f ca="1">IFERROR(__xludf.DUMMYFUNCTION("IF(ISBLANK(A929),"""",GOOGLETRANSLATE(A929,""en"",""fr""))"),"")</f>
        <v/>
      </c>
    </row>
    <row r="930" spans="2:2">
      <c r="B930" s="3" t="str">
        <f ca="1">IFERROR(__xludf.DUMMYFUNCTION("IF(ISBLANK(A930),"""",GOOGLETRANSLATE(A930,""en"",""fr""))"),"")</f>
        <v/>
      </c>
    </row>
    <row r="931" spans="2:2">
      <c r="B931" s="3" t="str">
        <f ca="1">IFERROR(__xludf.DUMMYFUNCTION("IF(ISBLANK(A931),"""",GOOGLETRANSLATE(A931,""en"",""fr""))"),"")</f>
        <v/>
      </c>
    </row>
    <row r="932" spans="2:2">
      <c r="B932" s="3" t="str">
        <f ca="1">IFERROR(__xludf.DUMMYFUNCTION("IF(ISBLANK(A932),"""",GOOGLETRANSLATE(A932,""en"",""fr""))"),"")</f>
        <v/>
      </c>
    </row>
    <row r="933" spans="2:2">
      <c r="B933" s="3" t="str">
        <f ca="1">IFERROR(__xludf.DUMMYFUNCTION("IF(ISBLANK(A933),"""",GOOGLETRANSLATE(A933,""en"",""fr""))"),"")</f>
        <v/>
      </c>
    </row>
    <row r="934" spans="2:2">
      <c r="B934" s="3" t="str">
        <f ca="1">IFERROR(__xludf.DUMMYFUNCTION("IF(ISBLANK(A934),"""",GOOGLETRANSLATE(A934,""en"",""fr""))"),"")</f>
        <v/>
      </c>
    </row>
    <row r="935" spans="2:2">
      <c r="B935" s="3" t="str">
        <f ca="1">IFERROR(__xludf.DUMMYFUNCTION("IF(ISBLANK(A935),"""",GOOGLETRANSLATE(A935,""en"",""fr""))"),"")</f>
        <v/>
      </c>
    </row>
    <row r="936" spans="2:2">
      <c r="B936" s="3" t="str">
        <f ca="1">IFERROR(__xludf.DUMMYFUNCTION("IF(ISBLANK(A936),"""",GOOGLETRANSLATE(A936,""en"",""fr""))"),"")</f>
        <v/>
      </c>
    </row>
    <row r="937" spans="2:2">
      <c r="B937" s="3" t="str">
        <f ca="1">IFERROR(__xludf.DUMMYFUNCTION("IF(ISBLANK(A937),"""",GOOGLETRANSLATE(A937,""en"",""fr""))"),"")</f>
        <v/>
      </c>
    </row>
    <row r="938" spans="2:2">
      <c r="B938" s="3" t="str">
        <f ca="1">IFERROR(__xludf.DUMMYFUNCTION("IF(ISBLANK(A938),"""",GOOGLETRANSLATE(A938,""en"",""fr""))"),"")</f>
        <v/>
      </c>
    </row>
    <row r="939" spans="2:2">
      <c r="B939" s="3" t="str">
        <f ca="1">IFERROR(__xludf.DUMMYFUNCTION("IF(ISBLANK(A939),"""",GOOGLETRANSLATE(A939,""en"",""fr""))"),"")</f>
        <v/>
      </c>
    </row>
    <row r="940" spans="2:2">
      <c r="B940" s="3" t="str">
        <f ca="1">IFERROR(__xludf.DUMMYFUNCTION("IF(ISBLANK(A940),"""",GOOGLETRANSLATE(A940,""en"",""fr""))"),"")</f>
        <v/>
      </c>
    </row>
    <row r="941" spans="2:2">
      <c r="B941" s="3" t="str">
        <f ca="1">IFERROR(__xludf.DUMMYFUNCTION("IF(ISBLANK(A941),"""",GOOGLETRANSLATE(A941,""en"",""fr""))"),"")</f>
        <v/>
      </c>
    </row>
    <row r="942" spans="2:2">
      <c r="B942" s="3" t="str">
        <f ca="1">IFERROR(__xludf.DUMMYFUNCTION("IF(ISBLANK(A942),"""",GOOGLETRANSLATE(A942,""en"",""fr""))"),"")</f>
        <v/>
      </c>
    </row>
    <row r="943" spans="2:2">
      <c r="B943" s="3" t="str">
        <f ca="1">IFERROR(__xludf.DUMMYFUNCTION("IF(ISBLANK(A943),"""",GOOGLETRANSLATE(A943,""en"",""fr""))"),"")</f>
        <v/>
      </c>
    </row>
    <row r="944" spans="2:2">
      <c r="B944" s="3" t="str">
        <f ca="1">IFERROR(__xludf.DUMMYFUNCTION("IF(ISBLANK(A944),"""",GOOGLETRANSLATE(A944,""en"",""fr""))"),"")</f>
        <v/>
      </c>
    </row>
    <row r="945" spans="2:2">
      <c r="B945" s="3" t="str">
        <f ca="1">IFERROR(__xludf.DUMMYFUNCTION("IF(ISBLANK(A945),"""",GOOGLETRANSLATE(A945,""en"",""fr""))"),"")</f>
        <v/>
      </c>
    </row>
    <row r="946" spans="2:2">
      <c r="B946" s="3" t="str">
        <f ca="1">IFERROR(__xludf.DUMMYFUNCTION("IF(ISBLANK(A946),"""",GOOGLETRANSLATE(A946,""en"",""fr""))"),"")</f>
        <v/>
      </c>
    </row>
    <row r="947" spans="2:2">
      <c r="B947" s="3" t="str">
        <f ca="1">IFERROR(__xludf.DUMMYFUNCTION("IF(ISBLANK(A947),"""",GOOGLETRANSLATE(A947,""en"",""fr""))"),"")</f>
        <v/>
      </c>
    </row>
    <row r="948" spans="2:2">
      <c r="B948" s="3" t="str">
        <f ca="1">IFERROR(__xludf.DUMMYFUNCTION("IF(ISBLANK(A948),"""",GOOGLETRANSLATE(A948,""en"",""fr""))"),"")</f>
        <v/>
      </c>
    </row>
    <row r="949" spans="2:2">
      <c r="B949" s="3" t="str">
        <f ca="1">IFERROR(__xludf.DUMMYFUNCTION("IF(ISBLANK(A949),"""",GOOGLETRANSLATE(A949,""en"",""fr""))"),"")</f>
        <v/>
      </c>
    </row>
    <row r="950" spans="2:2">
      <c r="B950" s="3" t="str">
        <f ca="1">IFERROR(__xludf.DUMMYFUNCTION("IF(ISBLANK(A950),"""",GOOGLETRANSLATE(A950,""en"",""fr""))"),"")</f>
        <v/>
      </c>
    </row>
    <row r="951" spans="2:2">
      <c r="B951" s="3" t="str">
        <f ca="1">IFERROR(__xludf.DUMMYFUNCTION("IF(ISBLANK(A951),"""",GOOGLETRANSLATE(A951,""en"",""fr""))"),"")</f>
        <v/>
      </c>
    </row>
    <row r="952" spans="2:2">
      <c r="B952" s="3" t="str">
        <f ca="1">IFERROR(__xludf.DUMMYFUNCTION("IF(ISBLANK(A952),"""",GOOGLETRANSLATE(A952,""en"",""fr""))"),"")</f>
        <v/>
      </c>
    </row>
    <row r="953" spans="2:2">
      <c r="B953" s="3" t="str">
        <f ca="1">IFERROR(__xludf.DUMMYFUNCTION("IF(ISBLANK(A953),"""",GOOGLETRANSLATE(A953,""en"",""fr""))"),"")</f>
        <v/>
      </c>
    </row>
    <row r="954" spans="2:2">
      <c r="B954" s="3" t="str">
        <f ca="1">IFERROR(__xludf.DUMMYFUNCTION("IF(ISBLANK(A954),"""",GOOGLETRANSLATE(A954,""en"",""fr""))"),"")</f>
        <v/>
      </c>
    </row>
    <row r="955" spans="2:2">
      <c r="B955" s="3" t="str">
        <f ca="1">IFERROR(__xludf.DUMMYFUNCTION("IF(ISBLANK(A955),"""",GOOGLETRANSLATE(A955,""en"",""fr""))"),"")</f>
        <v/>
      </c>
    </row>
    <row r="956" spans="2:2">
      <c r="B956" s="3" t="str">
        <f ca="1">IFERROR(__xludf.DUMMYFUNCTION("IF(ISBLANK(A956),"""",GOOGLETRANSLATE(A956,""en"",""fr""))"),"")</f>
        <v/>
      </c>
    </row>
    <row r="957" spans="2:2">
      <c r="B957" s="3" t="str">
        <f ca="1">IFERROR(__xludf.DUMMYFUNCTION("IF(ISBLANK(A957),"""",GOOGLETRANSLATE(A957,""en"",""fr""))"),"")</f>
        <v/>
      </c>
    </row>
    <row r="958" spans="2:2">
      <c r="B958" s="3" t="str">
        <f ca="1">IFERROR(__xludf.DUMMYFUNCTION("IF(ISBLANK(A958),"""",GOOGLETRANSLATE(A958,""en"",""fr""))"),"")</f>
        <v/>
      </c>
    </row>
    <row r="959" spans="2:2">
      <c r="B959" s="3" t="str">
        <f ca="1">IFERROR(__xludf.DUMMYFUNCTION("IF(ISBLANK(A959),"""",GOOGLETRANSLATE(A959,""en"",""fr""))"),"")</f>
        <v/>
      </c>
    </row>
    <row r="960" spans="2:2">
      <c r="B960" s="3" t="str">
        <f ca="1">IFERROR(__xludf.DUMMYFUNCTION("IF(ISBLANK(A960),"""",GOOGLETRANSLATE(A960,""en"",""fr""))"),"")</f>
        <v/>
      </c>
    </row>
    <row r="961" spans="2:2">
      <c r="B961" s="3" t="str">
        <f ca="1">IFERROR(__xludf.DUMMYFUNCTION("IF(ISBLANK(A961),"""",GOOGLETRANSLATE(A961,""en"",""fr""))"),"")</f>
        <v/>
      </c>
    </row>
    <row r="962" spans="2:2">
      <c r="B962" s="3" t="str">
        <f ca="1">IFERROR(__xludf.DUMMYFUNCTION("IF(ISBLANK(A962),"""",GOOGLETRANSLATE(A962,""en"",""fr""))"),"")</f>
        <v/>
      </c>
    </row>
    <row r="963" spans="2:2">
      <c r="B963" s="3" t="str">
        <f ca="1">IFERROR(__xludf.DUMMYFUNCTION("IF(ISBLANK(A963),"""",GOOGLETRANSLATE(A963,""en"",""fr""))"),"")</f>
        <v/>
      </c>
    </row>
    <row r="964" spans="2:2">
      <c r="B964" s="3" t="str">
        <f ca="1">IFERROR(__xludf.DUMMYFUNCTION("IF(ISBLANK(A964),"""",GOOGLETRANSLATE(A964,""en"",""fr""))"),"")</f>
        <v/>
      </c>
    </row>
    <row r="965" spans="2:2">
      <c r="B965" s="3" t="str">
        <f ca="1">IFERROR(__xludf.DUMMYFUNCTION("IF(ISBLANK(A965),"""",GOOGLETRANSLATE(A965,""en"",""fr""))"),"")</f>
        <v/>
      </c>
    </row>
    <row r="966" spans="2:2">
      <c r="B966" s="3" t="str">
        <f ca="1">IFERROR(__xludf.DUMMYFUNCTION("IF(ISBLANK(A966),"""",GOOGLETRANSLATE(A966,""en"",""fr""))"),"")</f>
        <v/>
      </c>
    </row>
    <row r="967" spans="2:2">
      <c r="B967" s="3" t="str">
        <f ca="1">IFERROR(__xludf.DUMMYFUNCTION("IF(ISBLANK(A967),"""",GOOGLETRANSLATE(A967,""en"",""fr""))"),"")</f>
        <v/>
      </c>
    </row>
    <row r="968" spans="2:2">
      <c r="B968" s="3" t="str">
        <f ca="1">IFERROR(__xludf.DUMMYFUNCTION("IF(ISBLANK(A968),"""",GOOGLETRANSLATE(A968,""en"",""fr""))"),"")</f>
        <v/>
      </c>
    </row>
    <row r="969" spans="2:2">
      <c r="B969" s="3" t="str">
        <f ca="1">IFERROR(__xludf.DUMMYFUNCTION("IF(ISBLANK(A969),"""",GOOGLETRANSLATE(A969,""en"",""fr""))"),"")</f>
        <v/>
      </c>
    </row>
    <row r="970" spans="2:2">
      <c r="B970" s="3" t="str">
        <f ca="1">IFERROR(__xludf.DUMMYFUNCTION("IF(ISBLANK(A970),"""",GOOGLETRANSLATE(A970,""en"",""fr""))"),"")</f>
        <v/>
      </c>
    </row>
    <row r="971" spans="2:2">
      <c r="B971" s="3" t="str">
        <f ca="1">IFERROR(__xludf.DUMMYFUNCTION("IF(ISBLANK(A971),"""",GOOGLETRANSLATE(A971,""en"",""fr""))"),"")</f>
        <v/>
      </c>
    </row>
    <row r="972" spans="2:2">
      <c r="B972" s="3" t="str">
        <f ca="1">IFERROR(__xludf.DUMMYFUNCTION("IF(ISBLANK(A972),"""",GOOGLETRANSLATE(A972,""en"",""fr""))"),"")</f>
        <v/>
      </c>
    </row>
    <row r="973" spans="2:2">
      <c r="B973" s="3" t="str">
        <f ca="1">IFERROR(__xludf.DUMMYFUNCTION("IF(ISBLANK(A973),"""",GOOGLETRANSLATE(A973,""en"",""fr""))"),"")</f>
        <v/>
      </c>
    </row>
    <row r="974" spans="2:2">
      <c r="B974" s="3" t="str">
        <f ca="1">IFERROR(__xludf.DUMMYFUNCTION("IF(ISBLANK(A974),"""",GOOGLETRANSLATE(A974,""en"",""fr""))"),"")</f>
        <v/>
      </c>
    </row>
    <row r="975" spans="2:2">
      <c r="B975" s="3" t="str">
        <f ca="1">IFERROR(__xludf.DUMMYFUNCTION("IF(ISBLANK(A975),"""",GOOGLETRANSLATE(A975,""en"",""fr""))"),"")</f>
        <v/>
      </c>
    </row>
    <row r="976" spans="2:2">
      <c r="B976" s="3" t="str">
        <f ca="1">IFERROR(__xludf.DUMMYFUNCTION("IF(ISBLANK(A976),"""",GOOGLETRANSLATE(A976,""en"",""fr""))"),"")</f>
        <v/>
      </c>
    </row>
    <row r="977" spans="2:2">
      <c r="B977" s="3" t="str">
        <f ca="1">IFERROR(__xludf.DUMMYFUNCTION("IF(ISBLANK(A977),"""",GOOGLETRANSLATE(A977,""en"",""fr""))"),"")</f>
        <v/>
      </c>
    </row>
    <row r="978" spans="2:2">
      <c r="B978" s="3" t="str">
        <f ca="1">IFERROR(__xludf.DUMMYFUNCTION("IF(ISBLANK(A978),"""",GOOGLETRANSLATE(A978,""en"",""fr""))"),"")</f>
        <v/>
      </c>
    </row>
    <row r="979" spans="2:2">
      <c r="B979" s="3" t="str">
        <f ca="1">IFERROR(__xludf.DUMMYFUNCTION("IF(ISBLANK(A979),"""",GOOGLETRANSLATE(A979,""en"",""fr""))"),"")</f>
        <v/>
      </c>
    </row>
    <row r="980" spans="2:2">
      <c r="B980" s="3" t="str">
        <f ca="1">IFERROR(__xludf.DUMMYFUNCTION("IF(ISBLANK(A980),"""",GOOGLETRANSLATE(A980,""en"",""fr""))"),"")</f>
        <v/>
      </c>
    </row>
    <row r="981" spans="2:2">
      <c r="B981" s="3" t="str">
        <f ca="1">IFERROR(__xludf.DUMMYFUNCTION("IF(ISBLANK(A981),"""",GOOGLETRANSLATE(A981,""en"",""fr""))"),"")</f>
        <v/>
      </c>
    </row>
    <row r="982" spans="2:2">
      <c r="B982" s="3" t="str">
        <f ca="1">IFERROR(__xludf.DUMMYFUNCTION("IF(ISBLANK(A982),"""",GOOGLETRANSLATE(A982,""en"",""fr""))"),"")</f>
        <v/>
      </c>
    </row>
    <row r="983" spans="2:2">
      <c r="B983" s="3" t="str">
        <f ca="1">IFERROR(__xludf.DUMMYFUNCTION("IF(ISBLANK(A983),"""",GOOGLETRANSLATE(A983,""en"",""fr""))"),"")</f>
        <v/>
      </c>
    </row>
    <row r="984" spans="2:2">
      <c r="B984" s="3" t="str">
        <f ca="1">IFERROR(__xludf.DUMMYFUNCTION("IF(ISBLANK(A984),"""",GOOGLETRANSLATE(A984,""en"",""fr""))"),"")</f>
        <v/>
      </c>
    </row>
    <row r="985" spans="2:2">
      <c r="B985" s="3" t="str">
        <f ca="1">IFERROR(__xludf.DUMMYFUNCTION("IF(ISBLANK(A985),"""",GOOGLETRANSLATE(A985,""en"",""fr""))"),"")</f>
        <v/>
      </c>
    </row>
    <row r="986" spans="2:2">
      <c r="B986" s="3" t="str">
        <f ca="1">IFERROR(__xludf.DUMMYFUNCTION("IF(ISBLANK(A986),"""",GOOGLETRANSLATE(A986,""en"",""fr""))"),"")</f>
        <v/>
      </c>
    </row>
    <row r="987" spans="2:2">
      <c r="B987" s="3" t="str">
        <f ca="1">IFERROR(__xludf.DUMMYFUNCTION("IF(ISBLANK(A987),"""",GOOGLETRANSLATE(A987,""en"",""fr""))"),"")</f>
        <v/>
      </c>
    </row>
    <row r="988" spans="2:2">
      <c r="B988" s="3" t="str">
        <f ca="1">IFERROR(__xludf.DUMMYFUNCTION("IF(ISBLANK(A988),"""",GOOGLETRANSLATE(A988,""en"",""fr""))"),"")</f>
        <v/>
      </c>
    </row>
    <row r="989" spans="2:2">
      <c r="B989" s="3" t="str">
        <f ca="1">IFERROR(__xludf.DUMMYFUNCTION("IF(ISBLANK(A989),"""",GOOGLETRANSLATE(A989,""en"",""fr""))"),"")</f>
        <v/>
      </c>
    </row>
    <row r="990" spans="2:2">
      <c r="B990" s="3" t="str">
        <f ca="1">IFERROR(__xludf.DUMMYFUNCTION("IF(ISBLANK(A990),"""",GOOGLETRANSLATE(A990,""en"",""fr""))"),"")</f>
        <v/>
      </c>
    </row>
    <row r="991" spans="2:2">
      <c r="B991" s="3" t="str">
        <f ca="1">IFERROR(__xludf.DUMMYFUNCTION("IF(ISBLANK(A991),"""",GOOGLETRANSLATE(A991,""en"",""fr""))"),"")</f>
        <v/>
      </c>
    </row>
    <row r="992" spans="2:2">
      <c r="B992" s="3" t="str">
        <f ca="1">IFERROR(__xludf.DUMMYFUNCTION("IF(ISBLANK(A992),"""",GOOGLETRANSLATE(A992,""en"",""fr""))"),"")</f>
        <v/>
      </c>
    </row>
    <row r="993" spans="2:2">
      <c r="B993" s="3" t="str">
        <f ca="1">IFERROR(__xludf.DUMMYFUNCTION("IF(ISBLANK(A993),"""",GOOGLETRANSLATE(A993,""en"",""fr""))"),"")</f>
        <v/>
      </c>
    </row>
    <row r="994" spans="2:2">
      <c r="B994" s="3" t="str">
        <f ca="1">IFERROR(__xludf.DUMMYFUNCTION("IF(ISBLANK(A994),"""",GOOGLETRANSLATE(A994,""en"",""fr""))"),"")</f>
        <v/>
      </c>
    </row>
    <row r="995" spans="2:2">
      <c r="B995" s="3" t="str">
        <f ca="1">IFERROR(__xludf.DUMMYFUNCTION("IF(ISBLANK(A995),"""",GOOGLETRANSLATE(A995,""en"",""fr""))"),"")</f>
        <v/>
      </c>
    </row>
    <row r="996" spans="2:2">
      <c r="B996" s="3" t="str">
        <f ca="1">IFERROR(__xludf.DUMMYFUNCTION("IF(ISBLANK(A996),"""",GOOGLETRANSLATE(A996,""en"",""fr""))"),"")</f>
        <v/>
      </c>
    </row>
    <row r="997" spans="2:2">
      <c r="B997" s="3" t="str">
        <f ca="1">IFERROR(__xludf.DUMMYFUNCTION("IF(ISBLANK(A997),"""",GOOGLETRANSLATE(A997,""en"",""fr""))"),"")</f>
        <v/>
      </c>
    </row>
    <row r="998" spans="2:2">
      <c r="B998" s="3" t="str">
        <f ca="1">IFERROR(__xludf.DUMMYFUNCTION("IF(ISBLANK(A998),"""",GOOGLETRANSLATE(A998,""en"",""fr""))"),"")</f>
        <v/>
      </c>
    </row>
    <row r="999" spans="2:2">
      <c r="B999" s="3" t="str">
        <f ca="1">IFERROR(__xludf.DUMMYFUNCTION("IF(ISBLANK(A999),"""",GOOGLETRANSLATE(A999,""en"",""fr""))"),"")</f>
        <v/>
      </c>
    </row>
    <row r="1000" spans="2:2">
      <c r="B1000" s="3" t="str">
        <f ca="1">IFERROR(__xludf.DUMMYFUNCTION("IF(ISBLANK(A1000),"""",GOOGLETRANSLATE(A1000,""en"",""fr""))"),"")</f>
        <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B1000"/>
  <sheetViews>
    <sheetView topLeftCell="A11" workbookViewId="0">
      <selection activeCell="B20" sqref="B20:B31"/>
    </sheetView>
  </sheetViews>
  <sheetFormatPr defaultColWidth="12.6640625" defaultRowHeight="15.75" customHeight="1"/>
  <cols>
    <col min="1" max="1" width="126" customWidth="1"/>
  </cols>
  <sheetData>
    <row r="1" spans="1:2">
      <c r="A1" s="1" t="s">
        <v>0</v>
      </c>
      <c r="B1" s="1"/>
    </row>
    <row r="2" spans="1:2">
      <c r="A2" s="3" t="s">
        <v>135</v>
      </c>
      <c r="B2" s="3" t="s">
        <v>1143</v>
      </c>
    </row>
    <row r="3" spans="1:2">
      <c r="A3" s="3" t="s">
        <v>571</v>
      </c>
      <c r="B3" s="3" t="s">
        <v>1144</v>
      </c>
    </row>
    <row r="4" spans="1:2">
      <c r="A4" s="3" t="s">
        <v>572</v>
      </c>
      <c r="B4" s="3" t="s">
        <v>1145</v>
      </c>
    </row>
    <row r="5" spans="1:2">
      <c r="A5" s="3" t="s">
        <v>70</v>
      </c>
      <c r="B5" s="3" t="s">
        <v>1050</v>
      </c>
    </row>
    <row r="6" spans="1:2">
      <c r="A6" s="3" t="s">
        <v>14</v>
      </c>
      <c r="B6" s="3" t="s">
        <v>1084</v>
      </c>
    </row>
    <row r="7" spans="1:2">
      <c r="A7" s="3" t="s">
        <v>573</v>
      </c>
      <c r="B7" s="3" t="s">
        <v>1146</v>
      </c>
    </row>
    <row r="8" spans="1:2">
      <c r="A8" s="3" t="s">
        <v>574</v>
      </c>
      <c r="B8" s="3" t="s">
        <v>1147</v>
      </c>
    </row>
    <row r="9" spans="1:2">
      <c r="A9" s="3" t="s">
        <v>575</v>
      </c>
      <c r="B9" s="3" t="s">
        <v>1148</v>
      </c>
    </row>
    <row r="10" spans="1:2">
      <c r="A10" s="3" t="s">
        <v>576</v>
      </c>
      <c r="B10" s="3" t="s">
        <v>1149</v>
      </c>
    </row>
    <row r="11" spans="1:2">
      <c r="A11" s="3" t="s">
        <v>577</v>
      </c>
      <c r="B11" s="3" t="s">
        <v>1150</v>
      </c>
    </row>
    <row r="12" spans="1:2">
      <c r="A12" s="3" t="s">
        <v>578</v>
      </c>
      <c r="B12" s="3" t="s">
        <v>1151</v>
      </c>
    </row>
    <row r="13" spans="1:2">
      <c r="A13" s="3" t="s">
        <v>579</v>
      </c>
      <c r="B13" s="3" t="s">
        <v>1152</v>
      </c>
    </row>
    <row r="14" spans="1:2">
      <c r="A14" s="3" t="s">
        <v>580</v>
      </c>
      <c r="B14" s="3" t="s">
        <v>1153</v>
      </c>
    </row>
    <row r="15" spans="1:2">
      <c r="A15" s="3" t="s">
        <v>581</v>
      </c>
      <c r="B15" s="3" t="s">
        <v>1154</v>
      </c>
    </row>
    <row r="16" spans="1:2">
      <c r="A16" s="3" t="s">
        <v>582</v>
      </c>
      <c r="B16" s="3" t="s">
        <v>1155</v>
      </c>
    </row>
    <row r="17" spans="1:2">
      <c r="A17" s="3" t="s">
        <v>583</v>
      </c>
      <c r="B17" s="3" t="s">
        <v>1156</v>
      </c>
    </row>
    <row r="18" spans="1:2">
      <c r="A18" s="3" t="s">
        <v>478</v>
      </c>
      <c r="B18" s="3" t="s">
        <v>1097</v>
      </c>
    </row>
    <row r="19" spans="1:2">
      <c r="B19" s="3" t="str">
        <f ca="1">IFERROR(__xludf.DUMMYFUNCTION("IF(ISBLANK(A19),"""",GOOGLETRANSLATE(A19,""en"",""fr""))"),"")</f>
        <v/>
      </c>
    </row>
    <row r="20" spans="1:2">
      <c r="A20" s="3" t="s">
        <v>584</v>
      </c>
      <c r="B20" s="3" t="s">
        <v>1157</v>
      </c>
    </row>
    <row r="21" spans="1:2">
      <c r="A21" s="3" t="s">
        <v>562</v>
      </c>
      <c r="B21" s="3" t="s">
        <v>1135</v>
      </c>
    </row>
    <row r="22" spans="1:2">
      <c r="A22" s="3" t="s">
        <v>585</v>
      </c>
      <c r="B22" s="3" t="s">
        <v>1158</v>
      </c>
    </row>
    <row r="23" spans="1:2">
      <c r="A23" s="3" t="s">
        <v>586</v>
      </c>
      <c r="B23" s="3" t="s">
        <v>1159</v>
      </c>
    </row>
    <row r="24" spans="1:2">
      <c r="A24" s="3" t="s">
        <v>587</v>
      </c>
      <c r="B24" s="3" t="s">
        <v>1160</v>
      </c>
    </row>
    <row r="25" spans="1:2">
      <c r="A25" s="3" t="s">
        <v>588</v>
      </c>
      <c r="B25" s="3" t="s">
        <v>1161</v>
      </c>
    </row>
    <row r="26" spans="1:2">
      <c r="A26" s="3" t="s">
        <v>589</v>
      </c>
      <c r="B26" s="3" t="s">
        <v>1162</v>
      </c>
    </row>
    <row r="27" spans="1:2">
      <c r="A27" s="3" t="s">
        <v>590</v>
      </c>
      <c r="B27" s="3" t="s">
        <v>1163</v>
      </c>
    </row>
    <row r="28" spans="1:2">
      <c r="A28" s="3" t="s">
        <v>591</v>
      </c>
      <c r="B28" s="3" t="s">
        <v>1164</v>
      </c>
    </row>
    <row r="29" spans="1:2">
      <c r="A29" s="3" t="s">
        <v>106</v>
      </c>
      <c r="B29" s="3" t="s">
        <v>1165</v>
      </c>
    </row>
    <row r="30" spans="1:2">
      <c r="A30" s="3" t="s">
        <v>592</v>
      </c>
      <c r="B30" s="3" t="s">
        <v>1166</v>
      </c>
    </row>
    <row r="31" spans="1:2">
      <c r="B31" s="3"/>
    </row>
    <row r="32" spans="1:2">
      <c r="A32" s="3" t="s">
        <v>94</v>
      </c>
      <c r="B32" s="3" t="str">
        <f ca="1">IFERROR(__xludf.DUMMYFUNCTION("IF(ISBLANK(A32),"""",GOOGLETRANSLATE(A32,""en"",""fr""))"),"Lectures et idées en vedette")</f>
        <v>Lectures et idées en vedette</v>
      </c>
    </row>
    <row r="33" spans="1:2">
      <c r="A33" s="10" t="s">
        <v>95</v>
      </c>
      <c r="B33" s="3" t="str">
        <f ca="1">IFERROR(__xludf.DUMMYFUNCTION("IF(ISBLANK(A33),"""",GOOGLETRANSLATE(A33,""en"",""fr""))"),"Restez informé des dernières actualités de NETSOL. Réflexions stratégiques, mises à jour produits, perspectives sectorielles et actualités de l'entreprise, tout est réuni au même endroit.")</f>
        <v>Restez informé des dernières actualités de NETSOL. Réflexions stratégiques, mises à jour produits, perspectives sectorielles et actualités de l'entreprise, tout est réuni au même endroit.</v>
      </c>
    </row>
    <row r="34" spans="1:2">
      <c r="A34" s="3" t="s">
        <v>96</v>
      </c>
      <c r="B34" s="3" t="str">
        <f ca="1">IFERROR(__xludf.DUMMYFUNCTION("IF(ISBLANK(A34),"""",GOOGLETRANSLATE(A34,""en"",""fr""))"),"Blog")</f>
        <v>Blog</v>
      </c>
    </row>
    <row r="35" spans="1:2">
      <c r="A35" s="3" t="s">
        <v>97</v>
      </c>
      <c r="B35" s="3" t="str">
        <f ca="1">IFERROR(__xludf.DUMMYFUNCTION("IF(ISBLANK(A35),"""",GOOGLETRANSLATE(A35,""en"",""fr""))"),"Au-delà du DMS : pourquoi l’avenir du commerce automobile repose sur les API")</f>
        <v>Au-delà du DMS : pourquoi l’avenir du commerce automobile repose sur les API</v>
      </c>
    </row>
    <row r="36" spans="1:2">
      <c r="A36" s="3" t="s">
        <v>23</v>
      </c>
      <c r="B36" s="3" t="str">
        <f ca="1">IFERROR(__xludf.DUMMYFUNCTION("IF(ISBLANK(A36),"""",GOOGLETRANSLATE(A36,""en"",""fr""))"),"Apprendre encore plus")</f>
        <v>Apprendre encore plus</v>
      </c>
    </row>
    <row r="37" spans="1:2">
      <c r="B37" s="3" t="str">
        <f ca="1">IFERROR(__xludf.DUMMYFUNCTION("IF(ISBLANK(A37),"""",GOOGLETRANSLATE(A37,""en"",""fr""))"),"")</f>
        <v/>
      </c>
    </row>
    <row r="38" spans="1:2">
      <c r="A38" s="3" t="s">
        <v>98</v>
      </c>
      <c r="B38" s="3" t="str">
        <f ca="1">IFERROR(__xludf.DUMMYFUNCTION("IF(ISBLANK(A38),"""",GOOGLETRANSLATE(A38,""en"",""fr""))"),"NETSOL est présent à la conférence et aux prix GlobalData Automotive Europe 2025.")</f>
        <v>NETSOL est présent à la conférence et aux prix GlobalData Automotive Europe 2025.</v>
      </c>
    </row>
    <row r="39" spans="1:2">
      <c r="B39" s="3" t="str">
        <f ca="1">IFERROR(__xludf.DUMMYFUNCTION("IF(ISBLANK(A39),"""",GOOGLETRANSLATE(A39,""en"",""fr""))"),"")</f>
        <v/>
      </c>
    </row>
    <row r="40" spans="1:2">
      <c r="B40" s="3" t="str">
        <f ca="1">IFERROR(__xludf.DUMMYFUNCTION("IF(ISBLANK(A40),"""",GOOGLETRANSLATE(A40,""en"",""fr""))"),"")</f>
        <v/>
      </c>
    </row>
    <row r="41" spans="1:2">
      <c r="A41" s="3" t="s">
        <v>99</v>
      </c>
      <c r="B41" s="3" t="str">
        <f ca="1">IFERROR(__xludf.DUMMYFUNCTION("IF(ISBLANK(A41),"""",GOOGLETRANSLATE(A41,""en"",""fr""))"),"NETSOL participe au 25e Sommet annuel du financement automobile : Piloter l'avenir du financement automobile")</f>
        <v>NETSOL participe au 25e Sommet annuel du financement automobile : Piloter l'avenir du financement automobile</v>
      </c>
    </row>
    <row r="42" spans="1:2">
      <c r="B42" s="3" t="str">
        <f ca="1">IFERROR(__xludf.DUMMYFUNCTION("IF(ISBLANK(A42),"""",GOOGLETRANSLATE(A42,""en"",""fr""))"),"")</f>
        <v/>
      </c>
    </row>
    <row r="43" spans="1:2">
      <c r="B43" s="3" t="str">
        <f ca="1">IFERROR(__xludf.DUMMYFUNCTION("IF(ISBLANK(A43),"""",GOOGLETRANSLATE(A43,""en"",""fr""))"),"")</f>
        <v/>
      </c>
    </row>
    <row r="44" spans="1:2">
      <c r="A44" s="3" t="s">
        <v>100</v>
      </c>
      <c r="B44" s="3" t="str">
        <f ca="1">IFERROR(__xludf.DUMMYFUNCTION("IF(ISBLANK(A44),"""",GOOGLETRANSLATE(A44,""en"",""fr""))"),"NETSOL est présent à Digital Dealer 2025 : façonner l’avenir de la vente automobile")</f>
        <v>NETSOL est présent à Digital Dealer 2025 : façonner l’avenir de la vente automobile</v>
      </c>
    </row>
    <row r="45" spans="1:2">
      <c r="B45" s="3" t="str">
        <f ca="1">IFERROR(__xludf.DUMMYFUNCTION("IF(ISBLANK(A45),"""",GOOGLETRANSLATE(A45,""en"",""fr""))"),"")</f>
        <v/>
      </c>
    </row>
    <row r="46" spans="1:2">
      <c r="B46" s="3" t="str">
        <f ca="1">IFERROR(__xludf.DUMMYFUNCTION("IF(ISBLANK(A46),"""",GOOGLETRANSLATE(A46,""en"",""fr""))"),"")</f>
        <v/>
      </c>
    </row>
    <row r="47" spans="1:2">
      <c r="A47" s="6" t="s">
        <v>101</v>
      </c>
      <c r="B47" s="3" t="str">
        <f ca="1">IFERROR(__xludf.DUMMYFUNCTION("IF(ISBLANK(A47),"""",GOOGLETRANSLATE(A47,""en"",""fr""))"),"L'IA dans le secteur des services financiers et de l'investissement : révolutionner la gestion des risques")</f>
        <v>L'IA dans le secteur des services financiers et de l'investissement : révolutionner la gestion des risques</v>
      </c>
    </row>
    <row r="48" spans="1:2">
      <c r="B48" s="3" t="str">
        <f ca="1">IFERROR(__xludf.DUMMYFUNCTION("IF(ISBLANK(A48),"""",GOOGLETRANSLATE(A48,""en"",""fr""))"),"")</f>
        <v/>
      </c>
    </row>
    <row r="49" spans="1:2">
      <c r="B49" s="3" t="str">
        <f ca="1">IFERROR(__xludf.DUMMYFUNCTION("IF(ISBLANK(A49),"""",GOOGLETRANSLATE(A49,""en"",""fr""))"),"")</f>
        <v/>
      </c>
    </row>
    <row r="50" spans="1:2">
      <c r="A50" s="3" t="s">
        <v>102</v>
      </c>
      <c r="B50" s="3" t="str">
        <f ca="1">IFERROR(__xludf.DUMMYFUNCTION("IF(ISBLANK(A50),"""",GOOGLETRANSLATE(A50,""en"",""fr""))"),"L'importance de la personnalisation du service client : adapter la gestion des paiements et des litiges aux besoins des clients")</f>
        <v>L'importance de la personnalisation du service client : adapter la gestion des paiements et des litiges aux besoins des clients</v>
      </c>
    </row>
    <row r="51" spans="1:2">
      <c r="B51" s="3" t="str">
        <f ca="1">IFERROR(__xludf.DUMMYFUNCTION("IF(ISBLANK(A51),"""",GOOGLETRANSLATE(A51,""en"",""fr""))"),"")</f>
        <v/>
      </c>
    </row>
    <row r="52" spans="1:2">
      <c r="B52" s="3" t="str">
        <f ca="1">IFERROR(__xludf.DUMMYFUNCTION("IF(ISBLANK(A52),"""",GOOGLETRANSLATE(A52,""en"",""fr""))"),"")</f>
        <v/>
      </c>
    </row>
    <row r="53" spans="1:2">
      <c r="A53" s="3" t="s">
        <v>103</v>
      </c>
      <c r="B53" s="3" t="str">
        <f ca="1">IFERROR(__xludf.DUMMYFUNCTION("IF(ISBLANK(A53),"""",GOOGLETRANSLATE(A53,""en"",""fr""))"),"Le véritable coût des systèmes déconnectés dans le commerce de détail automobile")</f>
        <v>Le véritable coût des systèmes déconnectés dans le commerce de détail automobile</v>
      </c>
    </row>
    <row r="54" spans="1:2">
      <c r="B54" s="3" t="str">
        <f ca="1">IFERROR(__xludf.DUMMYFUNCTION("IF(ISBLANK(A54),"""",GOOGLETRANSLATE(A54,""en"",""fr""))"),"")</f>
        <v/>
      </c>
    </row>
    <row r="55" spans="1:2">
      <c r="B55" s="3" t="str">
        <f ca="1">IFERROR(__xludf.DUMMYFUNCTION("IF(ISBLANK(A55),"""",GOOGLETRANSLATE(A55,""en"",""fr""))"),"")</f>
        <v/>
      </c>
    </row>
    <row r="56" spans="1:2">
      <c r="A56" s="3" t="s">
        <v>104</v>
      </c>
      <c r="B56" s="3" t="str">
        <f ca="1">IFERROR(__xludf.DUMMYFUNCTION("IF(ISBLANK(A56),"""",GOOGLETRANSLATE(A56,""en"",""fr""))"),"Captive du futur : Comment la technologie redéfinit les opérations financières des captives - Points clés du webinaire de l'AFSA")</f>
        <v>Captive du futur : Comment la technologie redéfinit les opérations financières des captives - Points clés du webinaire de l'AFSA</v>
      </c>
    </row>
    <row r="57" spans="1:2">
      <c r="B57" s="3" t="str">
        <f ca="1">IFERROR(__xludf.DUMMYFUNCTION("IF(ISBLANK(A57),"""",GOOGLETRANSLATE(A57,""en"",""fr""))"),"")</f>
        <v/>
      </c>
    </row>
    <row r="58" spans="1:2">
      <c r="B58" s="3" t="str">
        <f ca="1">IFERROR(__xludf.DUMMYFUNCTION("IF(ISBLANK(A58),"""",GOOGLETRANSLATE(A58,""en"",""fr""))"),"")</f>
        <v/>
      </c>
    </row>
    <row r="59" spans="1:2">
      <c r="A59" s="3" t="s">
        <v>105</v>
      </c>
      <c r="B59" s="3" t="str">
        <f ca="1">IFERROR(__xludf.DUMMYFUNCTION("IF(ISBLANK(A59),"""",GOOGLETRANSLATE(A59,""en"",""fr""))"),"Lutte contre la fraude dans le secteur financier de gros : exploiter la technologie pour une détection précoce et une atténuation des risques")</f>
        <v>Lutte contre la fraude dans le secteur financier de gros : exploiter la technologie pour une détection précoce et une atténuation des risques</v>
      </c>
    </row>
    <row r="60" spans="1:2">
      <c r="B60" s="3" t="str">
        <f ca="1">IFERROR(__xludf.DUMMYFUNCTION("IF(ISBLANK(A60),"""",GOOGLETRANSLATE(A60,""en"",""fr""))"),"")</f>
        <v/>
      </c>
    </row>
    <row r="61" spans="1:2">
      <c r="A61" s="3" t="s">
        <v>108</v>
      </c>
      <c r="B61" s="3" t="str">
        <f ca="1">IFERROR(__xludf.DUMMYFUNCTION("IF(ISBLANK(A61),"""",GOOGLETRANSLATE(A61,""en"",""fr""))"),"Abonnez-vous à notre newsletter pour recevoir les dernières nouvelles dans votre boîte mail.")</f>
        <v>Abonnez-vous à notre newsletter pour recevoir les dernières nouvelles dans votre boîte mail.</v>
      </c>
    </row>
    <row r="62" spans="1:2">
      <c r="A62" s="3" t="s">
        <v>109</v>
      </c>
      <c r="B62" s="3" t="str">
        <f ca="1">IFERROR(__xludf.DUMMYFUNCTION("IF(ISBLANK(A62),"""",GOOGLETRANSLATE(A62,""en"",""fr""))"),"abc@exemple.com")</f>
        <v>abc@exemple.com</v>
      </c>
    </row>
    <row r="63" spans="1:2">
      <c r="A63" s="3" t="s">
        <v>110</v>
      </c>
      <c r="B63" s="3" t="str">
        <f ca="1">IFERROR(__xludf.DUMMYFUNCTION("IF(ISBLANK(A63),"""",GOOGLETRANSLATE(A63,""en"",""fr""))"),"S'abonner ")</f>
        <v xml:space="preserve">S'abonner </v>
      </c>
    </row>
    <row r="64" spans="1:2">
      <c r="B64" s="3" t="str">
        <f ca="1">IFERROR(__xludf.DUMMYFUNCTION("IF(ISBLANK(A64),"""",GOOGLETRANSLATE(A64,""en"",""fr""))"),"")</f>
        <v/>
      </c>
    </row>
    <row r="65" spans="2:2">
      <c r="B65" s="3" t="str">
        <f ca="1">IFERROR(__xludf.DUMMYFUNCTION("IF(ISBLANK(A65),"""",GOOGLETRANSLATE(A65,""en"",""fr""))"),"")</f>
        <v/>
      </c>
    </row>
    <row r="66" spans="2:2">
      <c r="B66" s="3" t="str">
        <f ca="1">IFERROR(__xludf.DUMMYFUNCTION("IF(ISBLANK(A66),"""",GOOGLETRANSLATE(A66,""en"",""fr""))"),"")</f>
        <v/>
      </c>
    </row>
    <row r="67" spans="2:2">
      <c r="B67" s="3" t="str">
        <f ca="1">IFERROR(__xludf.DUMMYFUNCTION("IF(ISBLANK(A67),"""",GOOGLETRANSLATE(A67,""en"",""fr""))"),"")</f>
        <v/>
      </c>
    </row>
    <row r="68" spans="2:2">
      <c r="B68" s="3" t="str">
        <f ca="1">IFERROR(__xludf.DUMMYFUNCTION("IF(ISBLANK(A68),"""",GOOGLETRANSLATE(A68,""en"",""fr""))"),"")</f>
        <v/>
      </c>
    </row>
    <row r="69" spans="2:2">
      <c r="B69" s="3" t="str">
        <f ca="1">IFERROR(__xludf.DUMMYFUNCTION("IF(ISBLANK(A69),"""",GOOGLETRANSLATE(A69,""en"",""fr""))"),"")</f>
        <v/>
      </c>
    </row>
    <row r="70" spans="2:2">
      <c r="B70" s="3" t="str">
        <f ca="1">IFERROR(__xludf.DUMMYFUNCTION("IF(ISBLANK(A70),"""",GOOGLETRANSLATE(A70,""en"",""fr""))"),"")</f>
        <v/>
      </c>
    </row>
    <row r="71" spans="2:2">
      <c r="B71" s="3" t="str">
        <f ca="1">IFERROR(__xludf.DUMMYFUNCTION("IF(ISBLANK(A71),"""",GOOGLETRANSLATE(A71,""en"",""fr""))"),"")</f>
        <v/>
      </c>
    </row>
    <row r="72" spans="2:2">
      <c r="B72" s="3" t="str">
        <f ca="1">IFERROR(__xludf.DUMMYFUNCTION("IF(ISBLANK(A72),"""",GOOGLETRANSLATE(A72,""en"",""fr""))"),"")</f>
        <v/>
      </c>
    </row>
    <row r="73" spans="2:2">
      <c r="B73" s="3" t="str">
        <f ca="1">IFERROR(__xludf.DUMMYFUNCTION("IF(ISBLANK(A73),"""",GOOGLETRANSLATE(A73,""en"",""fr""))"),"")</f>
        <v/>
      </c>
    </row>
    <row r="74" spans="2:2">
      <c r="B74" s="3" t="str">
        <f ca="1">IFERROR(__xludf.DUMMYFUNCTION("IF(ISBLANK(A74),"""",GOOGLETRANSLATE(A74,""en"",""fr""))"),"")</f>
        <v/>
      </c>
    </row>
    <row r="75" spans="2:2">
      <c r="B75" s="3" t="str">
        <f ca="1">IFERROR(__xludf.DUMMYFUNCTION("IF(ISBLANK(A75),"""",GOOGLETRANSLATE(A75,""en"",""fr""))"),"")</f>
        <v/>
      </c>
    </row>
    <row r="76" spans="2:2">
      <c r="B76" s="3" t="str">
        <f ca="1">IFERROR(__xludf.DUMMYFUNCTION("IF(ISBLANK(A76),"""",GOOGLETRANSLATE(A76,""en"",""fr""))"),"")</f>
        <v/>
      </c>
    </row>
    <row r="77" spans="2:2">
      <c r="B77" s="3" t="str">
        <f ca="1">IFERROR(__xludf.DUMMYFUNCTION("IF(ISBLANK(A77),"""",GOOGLETRANSLATE(A77,""en"",""fr""))"),"")</f>
        <v/>
      </c>
    </row>
    <row r="78" spans="2:2">
      <c r="B78" s="3" t="str">
        <f ca="1">IFERROR(__xludf.DUMMYFUNCTION("IF(ISBLANK(A78),"""",GOOGLETRANSLATE(A78,""en"",""fr""))"),"")</f>
        <v/>
      </c>
    </row>
    <row r="79" spans="2:2">
      <c r="B79" s="3" t="str">
        <f ca="1">IFERROR(__xludf.DUMMYFUNCTION("IF(ISBLANK(A79),"""",GOOGLETRANSLATE(A79,""en"",""fr""))"),"")</f>
        <v/>
      </c>
    </row>
    <row r="80" spans="2:2">
      <c r="B80" s="3" t="str">
        <f ca="1">IFERROR(__xludf.DUMMYFUNCTION("IF(ISBLANK(A80),"""",GOOGLETRANSLATE(A80,""en"",""fr""))"),"")</f>
        <v/>
      </c>
    </row>
    <row r="81" spans="2:2">
      <c r="B81" s="3" t="str">
        <f ca="1">IFERROR(__xludf.DUMMYFUNCTION("IF(ISBLANK(A81),"""",GOOGLETRANSLATE(A81,""en"",""fr""))"),"")</f>
        <v/>
      </c>
    </row>
    <row r="82" spans="2:2">
      <c r="B82" s="3" t="str">
        <f ca="1">IFERROR(__xludf.DUMMYFUNCTION("IF(ISBLANK(A82),"""",GOOGLETRANSLATE(A82,""en"",""fr""))"),"")</f>
        <v/>
      </c>
    </row>
    <row r="83" spans="2:2">
      <c r="B83" s="3" t="str">
        <f ca="1">IFERROR(__xludf.DUMMYFUNCTION("IF(ISBLANK(A83),"""",GOOGLETRANSLATE(A83,""en"",""fr""))"),"")</f>
        <v/>
      </c>
    </row>
    <row r="84" spans="2:2">
      <c r="B84" s="3" t="str">
        <f ca="1">IFERROR(__xludf.DUMMYFUNCTION("IF(ISBLANK(A84),"""",GOOGLETRANSLATE(A84,""en"",""fr""))"),"")</f>
        <v/>
      </c>
    </row>
    <row r="85" spans="2:2">
      <c r="B85" s="3" t="str">
        <f ca="1">IFERROR(__xludf.DUMMYFUNCTION("IF(ISBLANK(A85),"""",GOOGLETRANSLATE(A85,""en"",""fr""))"),"")</f>
        <v/>
      </c>
    </row>
    <row r="86" spans="2:2">
      <c r="B86" s="3" t="str">
        <f ca="1">IFERROR(__xludf.DUMMYFUNCTION("IF(ISBLANK(A86),"""",GOOGLETRANSLATE(A86,""en"",""fr""))"),"")</f>
        <v/>
      </c>
    </row>
    <row r="87" spans="2:2">
      <c r="B87" s="3" t="str">
        <f ca="1">IFERROR(__xludf.DUMMYFUNCTION("IF(ISBLANK(A87),"""",GOOGLETRANSLATE(A87,""en"",""fr""))"),"")</f>
        <v/>
      </c>
    </row>
    <row r="88" spans="2:2">
      <c r="B88" s="3" t="str">
        <f ca="1">IFERROR(__xludf.DUMMYFUNCTION("IF(ISBLANK(A88),"""",GOOGLETRANSLATE(A88,""en"",""fr""))"),"")</f>
        <v/>
      </c>
    </row>
    <row r="89" spans="2:2">
      <c r="B89" s="3" t="str">
        <f ca="1">IFERROR(__xludf.DUMMYFUNCTION("IF(ISBLANK(A89),"""",GOOGLETRANSLATE(A89,""en"",""fr""))"),"")</f>
        <v/>
      </c>
    </row>
    <row r="90" spans="2:2">
      <c r="B90" s="3" t="str">
        <f ca="1">IFERROR(__xludf.DUMMYFUNCTION("IF(ISBLANK(A90),"""",GOOGLETRANSLATE(A90,""en"",""fr""))"),"")</f>
        <v/>
      </c>
    </row>
    <row r="91" spans="2:2">
      <c r="B91" s="3" t="str">
        <f ca="1">IFERROR(__xludf.DUMMYFUNCTION("IF(ISBLANK(A91),"""",GOOGLETRANSLATE(A91,""en"",""fr""))"),"")</f>
        <v/>
      </c>
    </row>
    <row r="92" spans="2:2">
      <c r="B92" s="3" t="str">
        <f ca="1">IFERROR(__xludf.DUMMYFUNCTION("IF(ISBLANK(A92),"""",GOOGLETRANSLATE(A92,""en"",""fr""))"),"")</f>
        <v/>
      </c>
    </row>
    <row r="93" spans="2:2">
      <c r="B93" s="3" t="str">
        <f ca="1">IFERROR(__xludf.DUMMYFUNCTION("IF(ISBLANK(A93),"""",GOOGLETRANSLATE(A93,""en"",""fr""))"),"")</f>
        <v/>
      </c>
    </row>
    <row r="94" spans="2:2">
      <c r="B94" s="3" t="str">
        <f ca="1">IFERROR(__xludf.DUMMYFUNCTION("IF(ISBLANK(A94),"""",GOOGLETRANSLATE(A94,""en"",""fr""))"),"")</f>
        <v/>
      </c>
    </row>
    <row r="95" spans="2:2">
      <c r="B95" s="3" t="str">
        <f ca="1">IFERROR(__xludf.DUMMYFUNCTION("IF(ISBLANK(A95),"""",GOOGLETRANSLATE(A95,""en"",""fr""))"),"")</f>
        <v/>
      </c>
    </row>
    <row r="96" spans="2:2">
      <c r="B96" s="3" t="str">
        <f ca="1">IFERROR(__xludf.DUMMYFUNCTION("IF(ISBLANK(A96),"""",GOOGLETRANSLATE(A96,""en"",""fr""))"),"")</f>
        <v/>
      </c>
    </row>
    <row r="97" spans="2:2">
      <c r="B97" s="3" t="str">
        <f ca="1">IFERROR(__xludf.DUMMYFUNCTION("IF(ISBLANK(A97),"""",GOOGLETRANSLATE(A97,""en"",""fr""))"),"")</f>
        <v/>
      </c>
    </row>
    <row r="98" spans="2:2">
      <c r="B98" s="3" t="str">
        <f ca="1">IFERROR(__xludf.DUMMYFUNCTION("IF(ISBLANK(A98),"""",GOOGLETRANSLATE(A98,""en"",""fr""))"),"")</f>
        <v/>
      </c>
    </row>
    <row r="99" spans="2:2">
      <c r="B99" s="3" t="str">
        <f ca="1">IFERROR(__xludf.DUMMYFUNCTION("IF(ISBLANK(A99),"""",GOOGLETRANSLATE(A99,""en"",""fr""))"),"")</f>
        <v/>
      </c>
    </row>
    <row r="100" spans="2:2">
      <c r="B100" s="3" t="str">
        <f ca="1">IFERROR(__xludf.DUMMYFUNCTION("IF(ISBLANK(A100),"""",GOOGLETRANSLATE(A100,""en"",""fr""))"),"")</f>
        <v/>
      </c>
    </row>
    <row r="101" spans="2:2">
      <c r="B101" s="3" t="str">
        <f ca="1">IFERROR(__xludf.DUMMYFUNCTION("IF(ISBLANK(A101),"""",GOOGLETRANSLATE(A101,""en"",""fr""))"),"")</f>
        <v/>
      </c>
    </row>
    <row r="102" spans="2:2">
      <c r="B102" s="3" t="str">
        <f ca="1">IFERROR(__xludf.DUMMYFUNCTION("IF(ISBLANK(A102),"""",GOOGLETRANSLATE(A102,""en"",""fr""))"),"")</f>
        <v/>
      </c>
    </row>
    <row r="103" spans="2:2">
      <c r="B103" s="3" t="str">
        <f ca="1">IFERROR(__xludf.DUMMYFUNCTION("IF(ISBLANK(A103),"""",GOOGLETRANSLATE(A103,""en"",""fr""))"),"")</f>
        <v/>
      </c>
    </row>
    <row r="104" spans="2:2">
      <c r="B104" s="3" t="str">
        <f ca="1">IFERROR(__xludf.DUMMYFUNCTION("IF(ISBLANK(A104),"""",GOOGLETRANSLATE(A104,""en"",""fr""))"),"")</f>
        <v/>
      </c>
    </row>
    <row r="105" spans="2:2">
      <c r="B105" s="3" t="str">
        <f ca="1">IFERROR(__xludf.DUMMYFUNCTION("IF(ISBLANK(A105),"""",GOOGLETRANSLATE(A105,""en"",""fr""))"),"")</f>
        <v/>
      </c>
    </row>
    <row r="106" spans="2:2">
      <c r="B106" s="3" t="str">
        <f ca="1">IFERROR(__xludf.DUMMYFUNCTION("IF(ISBLANK(A106),"""",GOOGLETRANSLATE(A106,""en"",""fr""))"),"")</f>
        <v/>
      </c>
    </row>
    <row r="107" spans="2:2">
      <c r="B107" s="3" t="str">
        <f ca="1">IFERROR(__xludf.DUMMYFUNCTION("IF(ISBLANK(A107),"""",GOOGLETRANSLATE(A107,""en"",""fr""))"),"")</f>
        <v/>
      </c>
    </row>
    <row r="108" spans="2:2">
      <c r="B108" s="3" t="str">
        <f ca="1">IFERROR(__xludf.DUMMYFUNCTION("IF(ISBLANK(A108),"""",GOOGLETRANSLATE(A108,""en"",""fr""))"),"")</f>
        <v/>
      </c>
    </row>
    <row r="109" spans="2:2">
      <c r="B109" s="3" t="str">
        <f ca="1">IFERROR(__xludf.DUMMYFUNCTION("IF(ISBLANK(A109),"""",GOOGLETRANSLATE(A109,""en"",""fr""))"),"")</f>
        <v/>
      </c>
    </row>
    <row r="110" spans="2:2">
      <c r="B110" s="3" t="str">
        <f ca="1">IFERROR(__xludf.DUMMYFUNCTION("IF(ISBLANK(A110),"""",GOOGLETRANSLATE(A110,""en"",""fr""))"),"")</f>
        <v/>
      </c>
    </row>
    <row r="111" spans="2:2">
      <c r="B111" s="3" t="str">
        <f ca="1">IFERROR(__xludf.DUMMYFUNCTION("IF(ISBLANK(A111),"""",GOOGLETRANSLATE(A111,""en"",""fr""))"),"")</f>
        <v/>
      </c>
    </row>
    <row r="112" spans="2:2">
      <c r="B112" s="3" t="str">
        <f ca="1">IFERROR(__xludf.DUMMYFUNCTION("IF(ISBLANK(A112),"""",GOOGLETRANSLATE(A112,""en"",""fr""))"),"")</f>
        <v/>
      </c>
    </row>
    <row r="113" spans="2:2">
      <c r="B113" s="3" t="str">
        <f ca="1">IFERROR(__xludf.DUMMYFUNCTION("IF(ISBLANK(A113),"""",GOOGLETRANSLATE(A113,""en"",""fr""))"),"")</f>
        <v/>
      </c>
    </row>
    <row r="114" spans="2:2">
      <c r="B114" s="3" t="str">
        <f ca="1">IFERROR(__xludf.DUMMYFUNCTION("IF(ISBLANK(A114),"""",GOOGLETRANSLATE(A114,""en"",""fr""))"),"")</f>
        <v/>
      </c>
    </row>
    <row r="115" spans="2:2">
      <c r="B115" s="3" t="str">
        <f ca="1">IFERROR(__xludf.DUMMYFUNCTION("IF(ISBLANK(A115),"""",GOOGLETRANSLATE(A115,""en"",""fr""))"),"")</f>
        <v/>
      </c>
    </row>
    <row r="116" spans="2:2">
      <c r="B116" s="3" t="str">
        <f ca="1">IFERROR(__xludf.DUMMYFUNCTION("IF(ISBLANK(A116),"""",GOOGLETRANSLATE(A116,""en"",""fr""))"),"")</f>
        <v/>
      </c>
    </row>
    <row r="117" spans="2:2">
      <c r="B117" s="3" t="str">
        <f ca="1">IFERROR(__xludf.DUMMYFUNCTION("IF(ISBLANK(A117),"""",GOOGLETRANSLATE(A117,""en"",""fr""))"),"")</f>
        <v/>
      </c>
    </row>
    <row r="118" spans="2:2">
      <c r="B118" s="3" t="str">
        <f ca="1">IFERROR(__xludf.DUMMYFUNCTION("IF(ISBLANK(A118),"""",GOOGLETRANSLATE(A118,""en"",""fr""))"),"")</f>
        <v/>
      </c>
    </row>
    <row r="119" spans="2:2">
      <c r="B119" s="3" t="str">
        <f ca="1">IFERROR(__xludf.DUMMYFUNCTION("IF(ISBLANK(A119),"""",GOOGLETRANSLATE(A119,""en"",""fr""))"),"")</f>
        <v/>
      </c>
    </row>
    <row r="120" spans="2:2">
      <c r="B120" s="3" t="str">
        <f ca="1">IFERROR(__xludf.DUMMYFUNCTION("IF(ISBLANK(A120),"""",GOOGLETRANSLATE(A120,""en"",""fr""))"),"")</f>
        <v/>
      </c>
    </row>
    <row r="121" spans="2:2">
      <c r="B121" s="3" t="str">
        <f ca="1">IFERROR(__xludf.DUMMYFUNCTION("IF(ISBLANK(A121),"""",GOOGLETRANSLATE(A121,""en"",""fr""))"),"")</f>
        <v/>
      </c>
    </row>
    <row r="122" spans="2:2">
      <c r="B122" s="3" t="str">
        <f ca="1">IFERROR(__xludf.DUMMYFUNCTION("IF(ISBLANK(A122),"""",GOOGLETRANSLATE(A122,""en"",""fr""))"),"")</f>
        <v/>
      </c>
    </row>
    <row r="123" spans="2:2">
      <c r="B123" s="3" t="str">
        <f ca="1">IFERROR(__xludf.DUMMYFUNCTION("IF(ISBLANK(A123),"""",GOOGLETRANSLATE(A123,""en"",""fr""))"),"")</f>
        <v/>
      </c>
    </row>
    <row r="124" spans="2:2">
      <c r="B124" s="3" t="str">
        <f ca="1">IFERROR(__xludf.DUMMYFUNCTION("IF(ISBLANK(A124),"""",GOOGLETRANSLATE(A124,""en"",""fr""))"),"")</f>
        <v/>
      </c>
    </row>
    <row r="125" spans="2:2">
      <c r="B125" s="3" t="str">
        <f ca="1">IFERROR(__xludf.DUMMYFUNCTION("IF(ISBLANK(A125),"""",GOOGLETRANSLATE(A125,""en"",""fr""))"),"")</f>
        <v/>
      </c>
    </row>
    <row r="126" spans="2:2">
      <c r="B126" s="3" t="str">
        <f ca="1">IFERROR(__xludf.DUMMYFUNCTION("IF(ISBLANK(A126),"""",GOOGLETRANSLATE(A126,""en"",""fr""))"),"")</f>
        <v/>
      </c>
    </row>
    <row r="127" spans="2:2">
      <c r="B127" s="3" t="str">
        <f ca="1">IFERROR(__xludf.DUMMYFUNCTION("IF(ISBLANK(A127),"""",GOOGLETRANSLATE(A127,""en"",""fr""))"),"")</f>
        <v/>
      </c>
    </row>
    <row r="128" spans="2:2">
      <c r="B128" s="3" t="str">
        <f ca="1">IFERROR(__xludf.DUMMYFUNCTION("IF(ISBLANK(A128),"""",GOOGLETRANSLATE(A128,""en"",""fr""))"),"")</f>
        <v/>
      </c>
    </row>
    <row r="129" spans="2:2">
      <c r="B129" s="3" t="str">
        <f ca="1">IFERROR(__xludf.DUMMYFUNCTION("IF(ISBLANK(A129),"""",GOOGLETRANSLATE(A129,""en"",""fr""))"),"")</f>
        <v/>
      </c>
    </row>
    <row r="130" spans="2:2">
      <c r="B130" s="3" t="str">
        <f ca="1">IFERROR(__xludf.DUMMYFUNCTION("IF(ISBLANK(A130),"""",GOOGLETRANSLATE(A130,""en"",""fr""))"),"")</f>
        <v/>
      </c>
    </row>
    <row r="131" spans="2:2">
      <c r="B131" s="3" t="str">
        <f ca="1">IFERROR(__xludf.DUMMYFUNCTION("IF(ISBLANK(A131),"""",GOOGLETRANSLATE(A131,""en"",""fr""))"),"")</f>
        <v/>
      </c>
    </row>
    <row r="132" spans="2:2">
      <c r="B132" s="3" t="str">
        <f ca="1">IFERROR(__xludf.DUMMYFUNCTION("IF(ISBLANK(A132),"""",GOOGLETRANSLATE(A132,""en"",""fr""))"),"")</f>
        <v/>
      </c>
    </row>
    <row r="133" spans="2:2">
      <c r="B133" s="3" t="str">
        <f ca="1">IFERROR(__xludf.DUMMYFUNCTION("IF(ISBLANK(A133),"""",GOOGLETRANSLATE(A133,""en"",""fr""))"),"")</f>
        <v/>
      </c>
    </row>
    <row r="134" spans="2:2">
      <c r="B134" s="3" t="str">
        <f ca="1">IFERROR(__xludf.DUMMYFUNCTION("IF(ISBLANK(A134),"""",GOOGLETRANSLATE(A134,""en"",""fr""))"),"")</f>
        <v/>
      </c>
    </row>
    <row r="135" spans="2:2">
      <c r="B135" s="3" t="str">
        <f ca="1">IFERROR(__xludf.DUMMYFUNCTION("IF(ISBLANK(A135),"""",GOOGLETRANSLATE(A135,""en"",""fr""))"),"")</f>
        <v/>
      </c>
    </row>
    <row r="136" spans="2:2">
      <c r="B136" s="3" t="str">
        <f ca="1">IFERROR(__xludf.DUMMYFUNCTION("IF(ISBLANK(A136),"""",GOOGLETRANSLATE(A136,""en"",""fr""))"),"")</f>
        <v/>
      </c>
    </row>
    <row r="137" spans="2:2">
      <c r="B137" s="3" t="str">
        <f ca="1">IFERROR(__xludf.DUMMYFUNCTION("IF(ISBLANK(A137),"""",GOOGLETRANSLATE(A137,""en"",""fr""))"),"")</f>
        <v/>
      </c>
    </row>
    <row r="138" spans="2:2">
      <c r="B138" s="3" t="str">
        <f ca="1">IFERROR(__xludf.DUMMYFUNCTION("IF(ISBLANK(A138),"""",GOOGLETRANSLATE(A138,""en"",""fr""))"),"")</f>
        <v/>
      </c>
    </row>
    <row r="139" spans="2:2">
      <c r="B139" s="3" t="str">
        <f ca="1">IFERROR(__xludf.DUMMYFUNCTION("IF(ISBLANK(A139),"""",GOOGLETRANSLATE(A139,""en"",""fr""))"),"")</f>
        <v/>
      </c>
    </row>
    <row r="140" spans="2:2">
      <c r="B140" s="3" t="str">
        <f ca="1">IFERROR(__xludf.DUMMYFUNCTION("IF(ISBLANK(A140),"""",GOOGLETRANSLATE(A140,""en"",""fr""))"),"")</f>
        <v/>
      </c>
    </row>
    <row r="141" spans="2:2">
      <c r="B141" s="3" t="str">
        <f ca="1">IFERROR(__xludf.DUMMYFUNCTION("IF(ISBLANK(A141),"""",GOOGLETRANSLATE(A141,""en"",""fr""))"),"")</f>
        <v/>
      </c>
    </row>
    <row r="142" spans="2:2">
      <c r="B142" s="3" t="str">
        <f ca="1">IFERROR(__xludf.DUMMYFUNCTION("IF(ISBLANK(A142),"""",GOOGLETRANSLATE(A142,""en"",""fr""))"),"")</f>
        <v/>
      </c>
    </row>
    <row r="143" spans="2:2">
      <c r="B143" s="3" t="str">
        <f ca="1">IFERROR(__xludf.DUMMYFUNCTION("IF(ISBLANK(A143),"""",GOOGLETRANSLATE(A143,""en"",""fr""))"),"")</f>
        <v/>
      </c>
    </row>
    <row r="144" spans="2:2">
      <c r="B144" s="3" t="str">
        <f ca="1">IFERROR(__xludf.DUMMYFUNCTION("IF(ISBLANK(A144),"""",GOOGLETRANSLATE(A144,""en"",""fr""))"),"")</f>
        <v/>
      </c>
    </row>
    <row r="145" spans="2:2">
      <c r="B145" s="3" t="str">
        <f ca="1">IFERROR(__xludf.DUMMYFUNCTION("IF(ISBLANK(A145),"""",GOOGLETRANSLATE(A145,""en"",""fr""))"),"")</f>
        <v/>
      </c>
    </row>
    <row r="146" spans="2:2">
      <c r="B146" s="3" t="str">
        <f ca="1">IFERROR(__xludf.DUMMYFUNCTION("IF(ISBLANK(A146),"""",GOOGLETRANSLATE(A146,""en"",""fr""))"),"")</f>
        <v/>
      </c>
    </row>
    <row r="147" spans="2:2">
      <c r="B147" s="3" t="str">
        <f ca="1">IFERROR(__xludf.DUMMYFUNCTION("IF(ISBLANK(A147),"""",GOOGLETRANSLATE(A147,""en"",""fr""))"),"")</f>
        <v/>
      </c>
    </row>
    <row r="148" spans="2:2">
      <c r="B148" s="3" t="str">
        <f ca="1">IFERROR(__xludf.DUMMYFUNCTION("IF(ISBLANK(A148),"""",GOOGLETRANSLATE(A148,""en"",""fr""))"),"")</f>
        <v/>
      </c>
    </row>
    <row r="149" spans="2:2">
      <c r="B149" s="3" t="str">
        <f ca="1">IFERROR(__xludf.DUMMYFUNCTION("IF(ISBLANK(A149),"""",GOOGLETRANSLATE(A149,""en"",""fr""))"),"")</f>
        <v/>
      </c>
    </row>
    <row r="150" spans="2:2">
      <c r="B150" s="3" t="str">
        <f ca="1">IFERROR(__xludf.DUMMYFUNCTION("IF(ISBLANK(A150),"""",GOOGLETRANSLATE(A150,""en"",""fr""))"),"")</f>
        <v/>
      </c>
    </row>
    <row r="151" spans="2:2">
      <c r="B151" s="3" t="str">
        <f ca="1">IFERROR(__xludf.DUMMYFUNCTION("IF(ISBLANK(A151),"""",GOOGLETRANSLATE(A151,""en"",""fr""))"),"")</f>
        <v/>
      </c>
    </row>
    <row r="152" spans="2:2">
      <c r="B152" s="3" t="str">
        <f ca="1">IFERROR(__xludf.DUMMYFUNCTION("IF(ISBLANK(A152),"""",GOOGLETRANSLATE(A152,""en"",""fr""))"),"")</f>
        <v/>
      </c>
    </row>
    <row r="153" spans="2:2">
      <c r="B153" s="3" t="str">
        <f ca="1">IFERROR(__xludf.DUMMYFUNCTION("IF(ISBLANK(A153),"""",GOOGLETRANSLATE(A153,""en"",""fr""))"),"")</f>
        <v/>
      </c>
    </row>
    <row r="154" spans="2:2">
      <c r="B154" s="3" t="str">
        <f ca="1">IFERROR(__xludf.DUMMYFUNCTION("IF(ISBLANK(A154),"""",GOOGLETRANSLATE(A154,""en"",""fr""))"),"")</f>
        <v/>
      </c>
    </row>
    <row r="155" spans="2:2">
      <c r="B155" s="3" t="str">
        <f ca="1">IFERROR(__xludf.DUMMYFUNCTION("IF(ISBLANK(A155),"""",GOOGLETRANSLATE(A155,""en"",""fr""))"),"")</f>
        <v/>
      </c>
    </row>
    <row r="156" spans="2:2">
      <c r="B156" s="3" t="str">
        <f ca="1">IFERROR(__xludf.DUMMYFUNCTION("IF(ISBLANK(A156),"""",GOOGLETRANSLATE(A156,""en"",""fr""))"),"")</f>
        <v/>
      </c>
    </row>
    <row r="157" spans="2:2">
      <c r="B157" s="3" t="str">
        <f ca="1">IFERROR(__xludf.DUMMYFUNCTION("IF(ISBLANK(A157),"""",GOOGLETRANSLATE(A157,""en"",""fr""))"),"")</f>
        <v/>
      </c>
    </row>
    <row r="158" spans="2:2">
      <c r="B158" s="3" t="str">
        <f ca="1">IFERROR(__xludf.DUMMYFUNCTION("IF(ISBLANK(A158),"""",GOOGLETRANSLATE(A158,""en"",""fr""))"),"")</f>
        <v/>
      </c>
    </row>
    <row r="159" spans="2:2">
      <c r="B159" s="3" t="str">
        <f ca="1">IFERROR(__xludf.DUMMYFUNCTION("IF(ISBLANK(A159),"""",GOOGLETRANSLATE(A159,""en"",""fr""))"),"")</f>
        <v/>
      </c>
    </row>
    <row r="160" spans="2:2">
      <c r="B160" s="3" t="str">
        <f ca="1">IFERROR(__xludf.DUMMYFUNCTION("IF(ISBLANK(A160),"""",GOOGLETRANSLATE(A160,""en"",""fr""))"),"")</f>
        <v/>
      </c>
    </row>
    <row r="161" spans="2:2">
      <c r="B161" s="3" t="str">
        <f ca="1">IFERROR(__xludf.DUMMYFUNCTION("IF(ISBLANK(A161),"""",GOOGLETRANSLATE(A161,""en"",""fr""))"),"")</f>
        <v/>
      </c>
    </row>
    <row r="162" spans="2:2">
      <c r="B162" s="3" t="str">
        <f ca="1">IFERROR(__xludf.DUMMYFUNCTION("IF(ISBLANK(A162),"""",GOOGLETRANSLATE(A162,""en"",""fr""))"),"")</f>
        <v/>
      </c>
    </row>
    <row r="163" spans="2:2">
      <c r="B163" s="3" t="str">
        <f ca="1">IFERROR(__xludf.DUMMYFUNCTION("IF(ISBLANK(A163),"""",GOOGLETRANSLATE(A163,""en"",""fr""))"),"")</f>
        <v/>
      </c>
    </row>
    <row r="164" spans="2:2">
      <c r="B164" s="3" t="str">
        <f ca="1">IFERROR(__xludf.DUMMYFUNCTION("IF(ISBLANK(A164),"""",GOOGLETRANSLATE(A164,""en"",""fr""))"),"")</f>
        <v/>
      </c>
    </row>
    <row r="165" spans="2:2">
      <c r="B165" s="3" t="str">
        <f ca="1">IFERROR(__xludf.DUMMYFUNCTION("IF(ISBLANK(A165),"""",GOOGLETRANSLATE(A165,""en"",""fr""))"),"")</f>
        <v/>
      </c>
    </row>
    <row r="166" spans="2:2">
      <c r="B166" s="3" t="str">
        <f ca="1">IFERROR(__xludf.DUMMYFUNCTION("IF(ISBLANK(A166),"""",GOOGLETRANSLATE(A166,""en"",""fr""))"),"")</f>
        <v/>
      </c>
    </row>
    <row r="167" spans="2:2">
      <c r="B167" s="3" t="str">
        <f ca="1">IFERROR(__xludf.DUMMYFUNCTION("IF(ISBLANK(A167),"""",GOOGLETRANSLATE(A167,""en"",""fr""))"),"")</f>
        <v/>
      </c>
    </row>
    <row r="168" spans="2:2">
      <c r="B168" s="3" t="str">
        <f ca="1">IFERROR(__xludf.DUMMYFUNCTION("IF(ISBLANK(A168),"""",GOOGLETRANSLATE(A168,""en"",""fr""))"),"")</f>
        <v/>
      </c>
    </row>
    <row r="169" spans="2:2">
      <c r="B169" s="3" t="str">
        <f ca="1">IFERROR(__xludf.DUMMYFUNCTION("IF(ISBLANK(A169),"""",GOOGLETRANSLATE(A169,""en"",""fr""))"),"")</f>
        <v/>
      </c>
    </row>
    <row r="170" spans="2:2">
      <c r="B170" s="3" t="str">
        <f ca="1">IFERROR(__xludf.DUMMYFUNCTION("IF(ISBLANK(A170),"""",GOOGLETRANSLATE(A170,""en"",""fr""))"),"")</f>
        <v/>
      </c>
    </row>
    <row r="171" spans="2:2">
      <c r="B171" s="3" t="str">
        <f ca="1">IFERROR(__xludf.DUMMYFUNCTION("IF(ISBLANK(A171),"""",GOOGLETRANSLATE(A171,""en"",""fr""))"),"")</f>
        <v/>
      </c>
    </row>
    <row r="172" spans="2:2">
      <c r="B172" s="3" t="str">
        <f ca="1">IFERROR(__xludf.DUMMYFUNCTION("IF(ISBLANK(A172),"""",GOOGLETRANSLATE(A172,""en"",""fr""))"),"")</f>
        <v/>
      </c>
    </row>
    <row r="173" spans="2:2">
      <c r="B173" s="3" t="str">
        <f ca="1">IFERROR(__xludf.DUMMYFUNCTION("IF(ISBLANK(A173),"""",GOOGLETRANSLATE(A173,""en"",""fr""))"),"")</f>
        <v/>
      </c>
    </row>
    <row r="174" spans="2:2">
      <c r="B174" s="3" t="str">
        <f ca="1">IFERROR(__xludf.DUMMYFUNCTION("IF(ISBLANK(A174),"""",GOOGLETRANSLATE(A174,""en"",""fr""))"),"")</f>
        <v/>
      </c>
    </row>
    <row r="175" spans="2:2">
      <c r="B175" s="3" t="str">
        <f ca="1">IFERROR(__xludf.DUMMYFUNCTION("IF(ISBLANK(A175),"""",GOOGLETRANSLATE(A175,""en"",""fr""))"),"")</f>
        <v/>
      </c>
    </row>
    <row r="176" spans="2:2">
      <c r="B176" s="3" t="str">
        <f ca="1">IFERROR(__xludf.DUMMYFUNCTION("IF(ISBLANK(A176),"""",GOOGLETRANSLATE(A176,""en"",""fr""))"),"")</f>
        <v/>
      </c>
    </row>
    <row r="177" spans="2:2">
      <c r="B177" s="3" t="str">
        <f ca="1">IFERROR(__xludf.DUMMYFUNCTION("IF(ISBLANK(A177),"""",GOOGLETRANSLATE(A177,""en"",""fr""))"),"")</f>
        <v/>
      </c>
    </row>
    <row r="178" spans="2:2">
      <c r="B178" s="3" t="str">
        <f ca="1">IFERROR(__xludf.DUMMYFUNCTION("IF(ISBLANK(A178),"""",GOOGLETRANSLATE(A178,""en"",""fr""))"),"")</f>
        <v/>
      </c>
    </row>
    <row r="179" spans="2:2">
      <c r="B179" s="3" t="str">
        <f ca="1">IFERROR(__xludf.DUMMYFUNCTION("IF(ISBLANK(A179),"""",GOOGLETRANSLATE(A179,""en"",""fr""))"),"")</f>
        <v/>
      </c>
    </row>
    <row r="180" spans="2:2">
      <c r="B180" s="3" t="str">
        <f ca="1">IFERROR(__xludf.DUMMYFUNCTION("IF(ISBLANK(A180),"""",GOOGLETRANSLATE(A180,""en"",""fr""))"),"")</f>
        <v/>
      </c>
    </row>
    <row r="181" spans="2:2">
      <c r="B181" s="3" t="str">
        <f ca="1">IFERROR(__xludf.DUMMYFUNCTION("IF(ISBLANK(A181),"""",GOOGLETRANSLATE(A181,""en"",""fr""))"),"")</f>
        <v/>
      </c>
    </row>
    <row r="182" spans="2:2">
      <c r="B182" s="3" t="str">
        <f ca="1">IFERROR(__xludf.DUMMYFUNCTION("IF(ISBLANK(A182),"""",GOOGLETRANSLATE(A182,""en"",""fr""))"),"")</f>
        <v/>
      </c>
    </row>
    <row r="183" spans="2:2">
      <c r="B183" s="3" t="str">
        <f ca="1">IFERROR(__xludf.DUMMYFUNCTION("IF(ISBLANK(A183),"""",GOOGLETRANSLATE(A183,""en"",""fr""))"),"")</f>
        <v/>
      </c>
    </row>
    <row r="184" spans="2:2">
      <c r="B184" s="3" t="str">
        <f ca="1">IFERROR(__xludf.DUMMYFUNCTION("IF(ISBLANK(A184),"""",GOOGLETRANSLATE(A184,""en"",""fr""))"),"")</f>
        <v/>
      </c>
    </row>
    <row r="185" spans="2:2">
      <c r="B185" s="3" t="str">
        <f ca="1">IFERROR(__xludf.DUMMYFUNCTION("IF(ISBLANK(A185),"""",GOOGLETRANSLATE(A185,""en"",""fr""))"),"")</f>
        <v/>
      </c>
    </row>
    <row r="186" spans="2:2">
      <c r="B186" s="3" t="str">
        <f ca="1">IFERROR(__xludf.DUMMYFUNCTION("IF(ISBLANK(A186),"""",GOOGLETRANSLATE(A186,""en"",""fr""))"),"")</f>
        <v/>
      </c>
    </row>
    <row r="187" spans="2:2">
      <c r="B187" s="3" t="str">
        <f ca="1">IFERROR(__xludf.DUMMYFUNCTION("IF(ISBLANK(A187),"""",GOOGLETRANSLATE(A187,""en"",""fr""))"),"")</f>
        <v/>
      </c>
    </row>
    <row r="188" spans="2:2">
      <c r="B188" s="3" t="str">
        <f ca="1">IFERROR(__xludf.DUMMYFUNCTION("IF(ISBLANK(A188),"""",GOOGLETRANSLATE(A188,""en"",""fr""))"),"")</f>
        <v/>
      </c>
    </row>
    <row r="189" spans="2:2">
      <c r="B189" s="3" t="str">
        <f ca="1">IFERROR(__xludf.DUMMYFUNCTION("IF(ISBLANK(A189),"""",GOOGLETRANSLATE(A189,""en"",""fr""))"),"")</f>
        <v/>
      </c>
    </row>
    <row r="190" spans="2:2">
      <c r="B190" s="3" t="str">
        <f ca="1">IFERROR(__xludf.DUMMYFUNCTION("IF(ISBLANK(A190),"""",GOOGLETRANSLATE(A190,""en"",""fr""))"),"")</f>
        <v/>
      </c>
    </row>
    <row r="191" spans="2:2">
      <c r="B191" s="3" t="str">
        <f ca="1">IFERROR(__xludf.DUMMYFUNCTION("IF(ISBLANK(A191),"""",GOOGLETRANSLATE(A191,""en"",""fr""))"),"")</f>
        <v/>
      </c>
    </row>
    <row r="192" spans="2:2">
      <c r="B192" s="3" t="str">
        <f ca="1">IFERROR(__xludf.DUMMYFUNCTION("IF(ISBLANK(A192),"""",GOOGLETRANSLATE(A192,""en"",""fr""))"),"")</f>
        <v/>
      </c>
    </row>
    <row r="193" spans="2:2">
      <c r="B193" s="3" t="str">
        <f ca="1">IFERROR(__xludf.DUMMYFUNCTION("IF(ISBLANK(A193),"""",GOOGLETRANSLATE(A193,""en"",""fr""))"),"")</f>
        <v/>
      </c>
    </row>
    <row r="194" spans="2:2">
      <c r="B194" s="3" t="str">
        <f ca="1">IFERROR(__xludf.DUMMYFUNCTION("IF(ISBLANK(A194),"""",GOOGLETRANSLATE(A194,""en"",""fr""))"),"")</f>
        <v/>
      </c>
    </row>
    <row r="195" spans="2:2">
      <c r="B195" s="3" t="str">
        <f ca="1">IFERROR(__xludf.DUMMYFUNCTION("IF(ISBLANK(A195),"""",GOOGLETRANSLATE(A195,""en"",""fr""))"),"")</f>
        <v/>
      </c>
    </row>
    <row r="196" spans="2:2">
      <c r="B196" s="3" t="str">
        <f ca="1">IFERROR(__xludf.DUMMYFUNCTION("IF(ISBLANK(A196),"""",GOOGLETRANSLATE(A196,""en"",""fr""))"),"")</f>
        <v/>
      </c>
    </row>
    <row r="197" spans="2:2">
      <c r="B197" s="3" t="str">
        <f ca="1">IFERROR(__xludf.DUMMYFUNCTION("IF(ISBLANK(A197),"""",GOOGLETRANSLATE(A197,""en"",""fr""))"),"")</f>
        <v/>
      </c>
    </row>
    <row r="198" spans="2:2">
      <c r="B198" s="3" t="str">
        <f ca="1">IFERROR(__xludf.DUMMYFUNCTION("IF(ISBLANK(A198),"""",GOOGLETRANSLATE(A198,""en"",""fr""))"),"")</f>
        <v/>
      </c>
    </row>
    <row r="199" spans="2:2">
      <c r="B199" s="3" t="str">
        <f ca="1">IFERROR(__xludf.DUMMYFUNCTION("IF(ISBLANK(A199),"""",GOOGLETRANSLATE(A199,""en"",""fr""))"),"")</f>
        <v/>
      </c>
    </row>
    <row r="200" spans="2:2">
      <c r="B200" s="3" t="str">
        <f ca="1">IFERROR(__xludf.DUMMYFUNCTION("IF(ISBLANK(A200),"""",GOOGLETRANSLATE(A200,""en"",""fr""))"),"")</f>
        <v/>
      </c>
    </row>
    <row r="201" spans="2:2">
      <c r="B201" s="3" t="str">
        <f ca="1">IFERROR(__xludf.DUMMYFUNCTION("IF(ISBLANK(A201),"""",GOOGLETRANSLATE(A201,""en"",""fr""))"),"")</f>
        <v/>
      </c>
    </row>
    <row r="202" spans="2:2">
      <c r="B202" s="3" t="str">
        <f ca="1">IFERROR(__xludf.DUMMYFUNCTION("IF(ISBLANK(A202),"""",GOOGLETRANSLATE(A202,""en"",""fr""))"),"")</f>
        <v/>
      </c>
    </row>
    <row r="203" spans="2:2">
      <c r="B203" s="3" t="str">
        <f ca="1">IFERROR(__xludf.DUMMYFUNCTION("IF(ISBLANK(A203),"""",GOOGLETRANSLATE(A203,""en"",""fr""))"),"")</f>
        <v/>
      </c>
    </row>
    <row r="204" spans="2:2">
      <c r="B204" s="3" t="str">
        <f ca="1">IFERROR(__xludf.DUMMYFUNCTION("IF(ISBLANK(A204),"""",GOOGLETRANSLATE(A204,""en"",""fr""))"),"")</f>
        <v/>
      </c>
    </row>
    <row r="205" spans="2:2">
      <c r="B205" s="3" t="str">
        <f ca="1">IFERROR(__xludf.DUMMYFUNCTION("IF(ISBLANK(A205),"""",GOOGLETRANSLATE(A205,""en"",""fr""))"),"")</f>
        <v/>
      </c>
    </row>
    <row r="206" spans="2:2">
      <c r="B206" s="3" t="str">
        <f ca="1">IFERROR(__xludf.DUMMYFUNCTION("IF(ISBLANK(A206),"""",GOOGLETRANSLATE(A206,""en"",""fr""))"),"")</f>
        <v/>
      </c>
    </row>
    <row r="207" spans="2:2">
      <c r="B207" s="3" t="str">
        <f ca="1">IFERROR(__xludf.DUMMYFUNCTION("IF(ISBLANK(A207),"""",GOOGLETRANSLATE(A207,""en"",""fr""))"),"")</f>
        <v/>
      </c>
    </row>
    <row r="208" spans="2:2">
      <c r="B208" s="3" t="str">
        <f ca="1">IFERROR(__xludf.DUMMYFUNCTION("IF(ISBLANK(A208),"""",GOOGLETRANSLATE(A208,""en"",""fr""))"),"")</f>
        <v/>
      </c>
    </row>
    <row r="209" spans="2:2">
      <c r="B209" s="3" t="str">
        <f ca="1">IFERROR(__xludf.DUMMYFUNCTION("IF(ISBLANK(A209),"""",GOOGLETRANSLATE(A209,""en"",""fr""))"),"")</f>
        <v/>
      </c>
    </row>
    <row r="210" spans="2:2">
      <c r="B210" s="3" t="str">
        <f ca="1">IFERROR(__xludf.DUMMYFUNCTION("IF(ISBLANK(A210),"""",GOOGLETRANSLATE(A210,""en"",""fr""))"),"")</f>
        <v/>
      </c>
    </row>
    <row r="211" spans="2:2">
      <c r="B211" s="3" t="str">
        <f ca="1">IFERROR(__xludf.DUMMYFUNCTION("IF(ISBLANK(A211),"""",GOOGLETRANSLATE(A211,""en"",""fr""))"),"")</f>
        <v/>
      </c>
    </row>
    <row r="212" spans="2:2">
      <c r="B212" s="3" t="str">
        <f ca="1">IFERROR(__xludf.DUMMYFUNCTION("IF(ISBLANK(A212),"""",GOOGLETRANSLATE(A212,""en"",""fr""))"),"")</f>
        <v/>
      </c>
    </row>
    <row r="213" spans="2:2">
      <c r="B213" s="3" t="str">
        <f ca="1">IFERROR(__xludf.DUMMYFUNCTION("IF(ISBLANK(A213),"""",GOOGLETRANSLATE(A213,""en"",""fr""))"),"")</f>
        <v/>
      </c>
    </row>
    <row r="214" spans="2:2">
      <c r="B214" s="3" t="str">
        <f ca="1">IFERROR(__xludf.DUMMYFUNCTION("IF(ISBLANK(A214),"""",GOOGLETRANSLATE(A214,""en"",""fr""))"),"")</f>
        <v/>
      </c>
    </row>
    <row r="215" spans="2:2">
      <c r="B215" s="3" t="str">
        <f ca="1">IFERROR(__xludf.DUMMYFUNCTION("IF(ISBLANK(A215),"""",GOOGLETRANSLATE(A215,""en"",""fr""))"),"")</f>
        <v/>
      </c>
    </row>
    <row r="216" spans="2:2">
      <c r="B216" s="3" t="str">
        <f ca="1">IFERROR(__xludf.DUMMYFUNCTION("IF(ISBLANK(A216),"""",GOOGLETRANSLATE(A216,""en"",""fr""))"),"")</f>
        <v/>
      </c>
    </row>
    <row r="217" spans="2:2">
      <c r="B217" s="3" t="str">
        <f ca="1">IFERROR(__xludf.DUMMYFUNCTION("IF(ISBLANK(A217),"""",GOOGLETRANSLATE(A217,""en"",""fr""))"),"")</f>
        <v/>
      </c>
    </row>
    <row r="218" spans="2:2">
      <c r="B218" s="3" t="str">
        <f ca="1">IFERROR(__xludf.DUMMYFUNCTION("IF(ISBLANK(A218),"""",GOOGLETRANSLATE(A218,""en"",""fr""))"),"")</f>
        <v/>
      </c>
    </row>
    <row r="219" spans="2:2">
      <c r="B219" s="3" t="str">
        <f ca="1">IFERROR(__xludf.DUMMYFUNCTION("IF(ISBLANK(A219),"""",GOOGLETRANSLATE(A219,""en"",""fr""))"),"")</f>
        <v/>
      </c>
    </row>
    <row r="220" spans="2:2">
      <c r="B220" s="3" t="str">
        <f ca="1">IFERROR(__xludf.DUMMYFUNCTION("IF(ISBLANK(A220),"""",GOOGLETRANSLATE(A220,""en"",""fr""))"),"")</f>
        <v/>
      </c>
    </row>
    <row r="221" spans="2:2">
      <c r="B221" s="3" t="str">
        <f ca="1">IFERROR(__xludf.DUMMYFUNCTION("IF(ISBLANK(A221),"""",GOOGLETRANSLATE(A221,""en"",""fr""))"),"")</f>
        <v/>
      </c>
    </row>
    <row r="222" spans="2:2">
      <c r="B222" s="3" t="str">
        <f ca="1">IFERROR(__xludf.DUMMYFUNCTION("IF(ISBLANK(A222),"""",GOOGLETRANSLATE(A222,""en"",""fr""))"),"")</f>
        <v/>
      </c>
    </row>
    <row r="223" spans="2:2">
      <c r="B223" s="3" t="str">
        <f ca="1">IFERROR(__xludf.DUMMYFUNCTION("IF(ISBLANK(A223),"""",GOOGLETRANSLATE(A223,""en"",""fr""))"),"")</f>
        <v/>
      </c>
    </row>
    <row r="224" spans="2:2">
      <c r="B224" s="3" t="str">
        <f ca="1">IFERROR(__xludf.DUMMYFUNCTION("IF(ISBLANK(A224),"""",GOOGLETRANSLATE(A224,""en"",""fr""))"),"")</f>
        <v/>
      </c>
    </row>
    <row r="225" spans="2:2">
      <c r="B225" s="3" t="str">
        <f ca="1">IFERROR(__xludf.DUMMYFUNCTION("IF(ISBLANK(A225),"""",GOOGLETRANSLATE(A225,""en"",""fr""))"),"")</f>
        <v/>
      </c>
    </row>
    <row r="226" spans="2:2">
      <c r="B226" s="3" t="str">
        <f ca="1">IFERROR(__xludf.DUMMYFUNCTION("IF(ISBLANK(A226),"""",GOOGLETRANSLATE(A226,""en"",""fr""))"),"")</f>
        <v/>
      </c>
    </row>
    <row r="227" spans="2:2">
      <c r="B227" s="3" t="str">
        <f ca="1">IFERROR(__xludf.DUMMYFUNCTION("IF(ISBLANK(A227),"""",GOOGLETRANSLATE(A227,""en"",""fr""))"),"")</f>
        <v/>
      </c>
    </row>
    <row r="228" spans="2:2">
      <c r="B228" s="3" t="str">
        <f ca="1">IFERROR(__xludf.DUMMYFUNCTION("IF(ISBLANK(A228),"""",GOOGLETRANSLATE(A228,""en"",""fr""))"),"")</f>
        <v/>
      </c>
    </row>
    <row r="229" spans="2:2">
      <c r="B229" s="3" t="str">
        <f ca="1">IFERROR(__xludf.DUMMYFUNCTION("IF(ISBLANK(A229),"""",GOOGLETRANSLATE(A229,""en"",""fr""))"),"")</f>
        <v/>
      </c>
    </row>
    <row r="230" spans="2:2">
      <c r="B230" s="3" t="str">
        <f ca="1">IFERROR(__xludf.DUMMYFUNCTION("IF(ISBLANK(A230),"""",GOOGLETRANSLATE(A230,""en"",""fr""))"),"")</f>
        <v/>
      </c>
    </row>
    <row r="231" spans="2:2">
      <c r="B231" s="3" t="str">
        <f ca="1">IFERROR(__xludf.DUMMYFUNCTION("IF(ISBLANK(A231),"""",GOOGLETRANSLATE(A231,""en"",""fr""))"),"")</f>
        <v/>
      </c>
    </row>
    <row r="232" spans="2:2">
      <c r="B232" s="3" t="str">
        <f ca="1">IFERROR(__xludf.DUMMYFUNCTION("IF(ISBLANK(A232),"""",GOOGLETRANSLATE(A232,""en"",""fr""))"),"")</f>
        <v/>
      </c>
    </row>
    <row r="233" spans="2:2">
      <c r="B233" s="3" t="str">
        <f ca="1">IFERROR(__xludf.DUMMYFUNCTION("IF(ISBLANK(A233),"""",GOOGLETRANSLATE(A233,""en"",""fr""))"),"")</f>
        <v/>
      </c>
    </row>
    <row r="234" spans="2:2">
      <c r="B234" s="3" t="str">
        <f ca="1">IFERROR(__xludf.DUMMYFUNCTION("IF(ISBLANK(A234),"""",GOOGLETRANSLATE(A234,""en"",""fr""))"),"")</f>
        <v/>
      </c>
    </row>
    <row r="235" spans="2:2">
      <c r="B235" s="3" t="str">
        <f ca="1">IFERROR(__xludf.DUMMYFUNCTION("IF(ISBLANK(A235),"""",GOOGLETRANSLATE(A235,""en"",""fr""))"),"")</f>
        <v/>
      </c>
    </row>
    <row r="236" spans="2:2">
      <c r="B236" s="3" t="str">
        <f ca="1">IFERROR(__xludf.DUMMYFUNCTION("IF(ISBLANK(A236),"""",GOOGLETRANSLATE(A236,""en"",""fr""))"),"")</f>
        <v/>
      </c>
    </row>
    <row r="237" spans="2:2">
      <c r="B237" s="3" t="str">
        <f ca="1">IFERROR(__xludf.DUMMYFUNCTION("IF(ISBLANK(A237),"""",GOOGLETRANSLATE(A237,""en"",""fr""))"),"")</f>
        <v/>
      </c>
    </row>
    <row r="238" spans="2:2">
      <c r="B238" s="3" t="str">
        <f ca="1">IFERROR(__xludf.DUMMYFUNCTION("IF(ISBLANK(A238),"""",GOOGLETRANSLATE(A238,""en"",""fr""))"),"")</f>
        <v/>
      </c>
    </row>
    <row r="239" spans="2:2">
      <c r="B239" s="3" t="str">
        <f ca="1">IFERROR(__xludf.DUMMYFUNCTION("IF(ISBLANK(A239),"""",GOOGLETRANSLATE(A239,""en"",""fr""))"),"")</f>
        <v/>
      </c>
    </row>
    <row r="240" spans="2:2">
      <c r="B240" s="3" t="str">
        <f ca="1">IFERROR(__xludf.DUMMYFUNCTION("IF(ISBLANK(A240),"""",GOOGLETRANSLATE(A240,""en"",""fr""))"),"")</f>
        <v/>
      </c>
    </row>
    <row r="241" spans="2:2">
      <c r="B241" s="3" t="str">
        <f ca="1">IFERROR(__xludf.DUMMYFUNCTION("IF(ISBLANK(A241),"""",GOOGLETRANSLATE(A241,""en"",""fr""))"),"")</f>
        <v/>
      </c>
    </row>
    <row r="242" spans="2:2">
      <c r="B242" s="3" t="str">
        <f ca="1">IFERROR(__xludf.DUMMYFUNCTION("IF(ISBLANK(A242),"""",GOOGLETRANSLATE(A242,""en"",""fr""))"),"")</f>
        <v/>
      </c>
    </row>
    <row r="243" spans="2:2">
      <c r="B243" s="3" t="str">
        <f ca="1">IFERROR(__xludf.DUMMYFUNCTION("IF(ISBLANK(A243),"""",GOOGLETRANSLATE(A243,""en"",""fr""))"),"")</f>
        <v/>
      </c>
    </row>
    <row r="244" spans="2:2">
      <c r="B244" s="3" t="str">
        <f ca="1">IFERROR(__xludf.DUMMYFUNCTION("IF(ISBLANK(A244),"""",GOOGLETRANSLATE(A244,""en"",""fr""))"),"")</f>
        <v/>
      </c>
    </row>
    <row r="245" spans="2:2">
      <c r="B245" s="3" t="str">
        <f ca="1">IFERROR(__xludf.DUMMYFUNCTION("IF(ISBLANK(A245),"""",GOOGLETRANSLATE(A245,""en"",""fr""))"),"")</f>
        <v/>
      </c>
    </row>
    <row r="246" spans="2:2">
      <c r="B246" s="3" t="str">
        <f ca="1">IFERROR(__xludf.DUMMYFUNCTION("IF(ISBLANK(A246),"""",GOOGLETRANSLATE(A246,""en"",""fr""))"),"")</f>
        <v/>
      </c>
    </row>
    <row r="247" spans="2:2">
      <c r="B247" s="3" t="str">
        <f ca="1">IFERROR(__xludf.DUMMYFUNCTION("IF(ISBLANK(A247),"""",GOOGLETRANSLATE(A247,""en"",""fr""))"),"")</f>
        <v/>
      </c>
    </row>
    <row r="248" spans="2:2">
      <c r="B248" s="3" t="str">
        <f ca="1">IFERROR(__xludf.DUMMYFUNCTION("IF(ISBLANK(A248),"""",GOOGLETRANSLATE(A248,""en"",""fr""))"),"")</f>
        <v/>
      </c>
    </row>
    <row r="249" spans="2:2">
      <c r="B249" s="3" t="str">
        <f ca="1">IFERROR(__xludf.DUMMYFUNCTION("IF(ISBLANK(A249),"""",GOOGLETRANSLATE(A249,""en"",""fr""))"),"")</f>
        <v/>
      </c>
    </row>
    <row r="250" spans="2:2">
      <c r="B250" s="3" t="str">
        <f ca="1">IFERROR(__xludf.DUMMYFUNCTION("IF(ISBLANK(A250),"""",GOOGLETRANSLATE(A250,""en"",""fr""))"),"")</f>
        <v/>
      </c>
    </row>
    <row r="251" spans="2:2">
      <c r="B251" s="3" t="str">
        <f ca="1">IFERROR(__xludf.DUMMYFUNCTION("IF(ISBLANK(A251),"""",GOOGLETRANSLATE(A251,""en"",""fr""))"),"")</f>
        <v/>
      </c>
    </row>
    <row r="252" spans="2:2">
      <c r="B252" s="3" t="str">
        <f ca="1">IFERROR(__xludf.DUMMYFUNCTION("IF(ISBLANK(A252),"""",GOOGLETRANSLATE(A252,""en"",""fr""))"),"")</f>
        <v/>
      </c>
    </row>
    <row r="253" spans="2:2">
      <c r="B253" s="3" t="str">
        <f ca="1">IFERROR(__xludf.DUMMYFUNCTION("IF(ISBLANK(A253),"""",GOOGLETRANSLATE(A253,""en"",""fr""))"),"")</f>
        <v/>
      </c>
    </row>
    <row r="254" spans="2:2">
      <c r="B254" s="3" t="str">
        <f ca="1">IFERROR(__xludf.DUMMYFUNCTION("IF(ISBLANK(A254),"""",GOOGLETRANSLATE(A254,""en"",""fr""))"),"")</f>
        <v/>
      </c>
    </row>
    <row r="255" spans="2:2">
      <c r="B255" s="3" t="str">
        <f ca="1">IFERROR(__xludf.DUMMYFUNCTION("IF(ISBLANK(A255),"""",GOOGLETRANSLATE(A255,""en"",""fr""))"),"")</f>
        <v/>
      </c>
    </row>
    <row r="256" spans="2:2">
      <c r="B256" s="3" t="str">
        <f ca="1">IFERROR(__xludf.DUMMYFUNCTION("IF(ISBLANK(A256),"""",GOOGLETRANSLATE(A256,""en"",""fr""))"),"")</f>
        <v/>
      </c>
    </row>
    <row r="257" spans="2:2">
      <c r="B257" s="3" t="str">
        <f ca="1">IFERROR(__xludf.DUMMYFUNCTION("IF(ISBLANK(A257),"""",GOOGLETRANSLATE(A257,""en"",""fr""))"),"")</f>
        <v/>
      </c>
    </row>
    <row r="258" spans="2:2">
      <c r="B258" s="3" t="str">
        <f ca="1">IFERROR(__xludf.DUMMYFUNCTION("IF(ISBLANK(A258),"""",GOOGLETRANSLATE(A258,""en"",""fr""))"),"")</f>
        <v/>
      </c>
    </row>
    <row r="259" spans="2:2">
      <c r="B259" s="3" t="str">
        <f ca="1">IFERROR(__xludf.DUMMYFUNCTION("IF(ISBLANK(A259),"""",GOOGLETRANSLATE(A259,""en"",""fr""))"),"")</f>
        <v/>
      </c>
    </row>
    <row r="260" spans="2:2">
      <c r="B260" s="3" t="str">
        <f ca="1">IFERROR(__xludf.DUMMYFUNCTION("IF(ISBLANK(A260),"""",GOOGLETRANSLATE(A260,""en"",""fr""))"),"")</f>
        <v/>
      </c>
    </row>
    <row r="261" spans="2:2">
      <c r="B261" s="3" t="str">
        <f ca="1">IFERROR(__xludf.DUMMYFUNCTION("IF(ISBLANK(A261),"""",GOOGLETRANSLATE(A261,""en"",""fr""))"),"")</f>
        <v/>
      </c>
    </row>
    <row r="262" spans="2:2">
      <c r="B262" s="3" t="str">
        <f ca="1">IFERROR(__xludf.DUMMYFUNCTION("IF(ISBLANK(A262),"""",GOOGLETRANSLATE(A262,""en"",""fr""))"),"")</f>
        <v/>
      </c>
    </row>
    <row r="263" spans="2:2">
      <c r="B263" s="3" t="str">
        <f ca="1">IFERROR(__xludf.DUMMYFUNCTION("IF(ISBLANK(A263),"""",GOOGLETRANSLATE(A263,""en"",""fr""))"),"")</f>
        <v/>
      </c>
    </row>
    <row r="264" spans="2:2">
      <c r="B264" s="3" t="str">
        <f ca="1">IFERROR(__xludf.DUMMYFUNCTION("IF(ISBLANK(A264),"""",GOOGLETRANSLATE(A264,""en"",""fr""))"),"")</f>
        <v/>
      </c>
    </row>
    <row r="265" spans="2:2">
      <c r="B265" s="3" t="str">
        <f ca="1">IFERROR(__xludf.DUMMYFUNCTION("IF(ISBLANK(A265),"""",GOOGLETRANSLATE(A265,""en"",""fr""))"),"")</f>
        <v/>
      </c>
    </row>
    <row r="266" spans="2:2">
      <c r="B266" s="3" t="str">
        <f ca="1">IFERROR(__xludf.DUMMYFUNCTION("IF(ISBLANK(A266),"""",GOOGLETRANSLATE(A266,""en"",""fr""))"),"")</f>
        <v/>
      </c>
    </row>
    <row r="267" spans="2:2">
      <c r="B267" s="3" t="str">
        <f ca="1">IFERROR(__xludf.DUMMYFUNCTION("IF(ISBLANK(A267),"""",GOOGLETRANSLATE(A267,""en"",""fr""))"),"")</f>
        <v/>
      </c>
    </row>
    <row r="268" spans="2:2">
      <c r="B268" s="3" t="str">
        <f ca="1">IFERROR(__xludf.DUMMYFUNCTION("IF(ISBLANK(A268),"""",GOOGLETRANSLATE(A268,""en"",""fr""))"),"")</f>
        <v/>
      </c>
    </row>
    <row r="269" spans="2:2">
      <c r="B269" s="3" t="str">
        <f ca="1">IFERROR(__xludf.DUMMYFUNCTION("IF(ISBLANK(A269),"""",GOOGLETRANSLATE(A269,""en"",""fr""))"),"")</f>
        <v/>
      </c>
    </row>
    <row r="270" spans="2:2">
      <c r="B270" s="3" t="str">
        <f ca="1">IFERROR(__xludf.DUMMYFUNCTION("IF(ISBLANK(A270),"""",GOOGLETRANSLATE(A270,""en"",""fr""))"),"")</f>
        <v/>
      </c>
    </row>
    <row r="271" spans="2:2">
      <c r="B271" s="3" t="str">
        <f ca="1">IFERROR(__xludf.DUMMYFUNCTION("IF(ISBLANK(A271),"""",GOOGLETRANSLATE(A271,""en"",""fr""))"),"")</f>
        <v/>
      </c>
    </row>
    <row r="272" spans="2:2">
      <c r="B272" s="3" t="str">
        <f ca="1">IFERROR(__xludf.DUMMYFUNCTION("IF(ISBLANK(A272),"""",GOOGLETRANSLATE(A272,""en"",""fr""))"),"")</f>
        <v/>
      </c>
    </row>
    <row r="273" spans="2:2">
      <c r="B273" s="3" t="str">
        <f ca="1">IFERROR(__xludf.DUMMYFUNCTION("IF(ISBLANK(A273),"""",GOOGLETRANSLATE(A273,""en"",""fr""))"),"")</f>
        <v/>
      </c>
    </row>
    <row r="274" spans="2:2">
      <c r="B274" s="3" t="str">
        <f ca="1">IFERROR(__xludf.DUMMYFUNCTION("IF(ISBLANK(A274),"""",GOOGLETRANSLATE(A274,""en"",""fr""))"),"")</f>
        <v/>
      </c>
    </row>
    <row r="275" spans="2:2">
      <c r="B275" s="3" t="str">
        <f ca="1">IFERROR(__xludf.DUMMYFUNCTION("IF(ISBLANK(A275),"""",GOOGLETRANSLATE(A275,""en"",""fr""))"),"")</f>
        <v/>
      </c>
    </row>
    <row r="276" spans="2:2">
      <c r="B276" s="3" t="str">
        <f ca="1">IFERROR(__xludf.DUMMYFUNCTION("IF(ISBLANK(A276),"""",GOOGLETRANSLATE(A276,""en"",""fr""))"),"")</f>
        <v/>
      </c>
    </row>
    <row r="277" spans="2:2">
      <c r="B277" s="3" t="str">
        <f ca="1">IFERROR(__xludf.DUMMYFUNCTION("IF(ISBLANK(A277),"""",GOOGLETRANSLATE(A277,""en"",""fr""))"),"")</f>
        <v/>
      </c>
    </row>
    <row r="278" spans="2:2">
      <c r="B278" s="3" t="str">
        <f ca="1">IFERROR(__xludf.DUMMYFUNCTION("IF(ISBLANK(A278),"""",GOOGLETRANSLATE(A278,""en"",""fr""))"),"")</f>
        <v/>
      </c>
    </row>
    <row r="279" spans="2:2">
      <c r="B279" s="3" t="str">
        <f ca="1">IFERROR(__xludf.DUMMYFUNCTION("IF(ISBLANK(A279),"""",GOOGLETRANSLATE(A279,""en"",""fr""))"),"")</f>
        <v/>
      </c>
    </row>
    <row r="280" spans="2:2">
      <c r="B280" s="3" t="str">
        <f ca="1">IFERROR(__xludf.DUMMYFUNCTION("IF(ISBLANK(A280),"""",GOOGLETRANSLATE(A280,""en"",""fr""))"),"")</f>
        <v/>
      </c>
    </row>
    <row r="281" spans="2:2">
      <c r="B281" s="3" t="str">
        <f ca="1">IFERROR(__xludf.DUMMYFUNCTION("IF(ISBLANK(A281),"""",GOOGLETRANSLATE(A281,""en"",""fr""))"),"")</f>
        <v/>
      </c>
    </row>
    <row r="282" spans="2:2">
      <c r="B282" s="3" t="str">
        <f ca="1">IFERROR(__xludf.DUMMYFUNCTION("IF(ISBLANK(A282),"""",GOOGLETRANSLATE(A282,""en"",""fr""))"),"")</f>
        <v/>
      </c>
    </row>
    <row r="283" spans="2:2">
      <c r="B283" s="3" t="str">
        <f ca="1">IFERROR(__xludf.DUMMYFUNCTION("IF(ISBLANK(A283),"""",GOOGLETRANSLATE(A283,""en"",""fr""))"),"")</f>
        <v/>
      </c>
    </row>
    <row r="284" spans="2:2">
      <c r="B284" s="3" t="str">
        <f ca="1">IFERROR(__xludf.DUMMYFUNCTION("IF(ISBLANK(A284),"""",GOOGLETRANSLATE(A284,""en"",""fr""))"),"")</f>
        <v/>
      </c>
    </row>
    <row r="285" spans="2:2">
      <c r="B285" s="3" t="str">
        <f ca="1">IFERROR(__xludf.DUMMYFUNCTION("IF(ISBLANK(A285),"""",GOOGLETRANSLATE(A285,""en"",""fr""))"),"")</f>
        <v/>
      </c>
    </row>
    <row r="286" spans="2:2">
      <c r="B286" s="3" t="str">
        <f ca="1">IFERROR(__xludf.DUMMYFUNCTION("IF(ISBLANK(A286),"""",GOOGLETRANSLATE(A286,""en"",""fr""))"),"")</f>
        <v/>
      </c>
    </row>
    <row r="287" spans="2:2">
      <c r="B287" s="3" t="str">
        <f ca="1">IFERROR(__xludf.DUMMYFUNCTION("IF(ISBLANK(A287),"""",GOOGLETRANSLATE(A287,""en"",""fr""))"),"")</f>
        <v/>
      </c>
    </row>
    <row r="288" spans="2:2">
      <c r="B288" s="3" t="str">
        <f ca="1">IFERROR(__xludf.DUMMYFUNCTION("IF(ISBLANK(A288),"""",GOOGLETRANSLATE(A288,""en"",""fr""))"),"")</f>
        <v/>
      </c>
    </row>
    <row r="289" spans="2:2">
      <c r="B289" s="3" t="str">
        <f ca="1">IFERROR(__xludf.DUMMYFUNCTION("IF(ISBLANK(A289),"""",GOOGLETRANSLATE(A289,""en"",""fr""))"),"")</f>
        <v/>
      </c>
    </row>
    <row r="290" spans="2:2">
      <c r="B290" s="3" t="str">
        <f ca="1">IFERROR(__xludf.DUMMYFUNCTION("IF(ISBLANK(A290),"""",GOOGLETRANSLATE(A290,""en"",""fr""))"),"")</f>
        <v/>
      </c>
    </row>
    <row r="291" spans="2:2">
      <c r="B291" s="3" t="str">
        <f ca="1">IFERROR(__xludf.DUMMYFUNCTION("IF(ISBLANK(A291),"""",GOOGLETRANSLATE(A291,""en"",""fr""))"),"")</f>
        <v/>
      </c>
    </row>
    <row r="292" spans="2:2">
      <c r="B292" s="3" t="str">
        <f ca="1">IFERROR(__xludf.DUMMYFUNCTION("IF(ISBLANK(A292),"""",GOOGLETRANSLATE(A292,""en"",""fr""))"),"")</f>
        <v/>
      </c>
    </row>
    <row r="293" spans="2:2">
      <c r="B293" s="3" t="str">
        <f ca="1">IFERROR(__xludf.DUMMYFUNCTION("IF(ISBLANK(A293),"""",GOOGLETRANSLATE(A293,""en"",""fr""))"),"")</f>
        <v/>
      </c>
    </row>
    <row r="294" spans="2:2">
      <c r="B294" s="3" t="str">
        <f ca="1">IFERROR(__xludf.DUMMYFUNCTION("IF(ISBLANK(A294),"""",GOOGLETRANSLATE(A294,""en"",""fr""))"),"")</f>
        <v/>
      </c>
    </row>
    <row r="295" spans="2:2">
      <c r="B295" s="3" t="str">
        <f ca="1">IFERROR(__xludf.DUMMYFUNCTION("IF(ISBLANK(A295),"""",GOOGLETRANSLATE(A295,""en"",""fr""))"),"")</f>
        <v/>
      </c>
    </row>
    <row r="296" spans="2:2">
      <c r="B296" s="3" t="str">
        <f ca="1">IFERROR(__xludf.DUMMYFUNCTION("IF(ISBLANK(A296),"""",GOOGLETRANSLATE(A296,""en"",""fr""))"),"")</f>
        <v/>
      </c>
    </row>
    <row r="297" spans="2:2">
      <c r="B297" s="3" t="str">
        <f ca="1">IFERROR(__xludf.DUMMYFUNCTION("IF(ISBLANK(A297),"""",GOOGLETRANSLATE(A297,""en"",""fr""))"),"")</f>
        <v/>
      </c>
    </row>
    <row r="298" spans="2:2">
      <c r="B298" s="3" t="str">
        <f ca="1">IFERROR(__xludf.DUMMYFUNCTION("IF(ISBLANK(A298),"""",GOOGLETRANSLATE(A298,""en"",""fr""))"),"")</f>
        <v/>
      </c>
    </row>
    <row r="299" spans="2:2">
      <c r="B299" s="3" t="str">
        <f ca="1">IFERROR(__xludf.DUMMYFUNCTION("IF(ISBLANK(A299),"""",GOOGLETRANSLATE(A299,""en"",""fr""))"),"")</f>
        <v/>
      </c>
    </row>
    <row r="300" spans="2:2">
      <c r="B300" s="3" t="str">
        <f ca="1">IFERROR(__xludf.DUMMYFUNCTION("IF(ISBLANK(A300),"""",GOOGLETRANSLATE(A300,""en"",""fr""))"),"")</f>
        <v/>
      </c>
    </row>
    <row r="301" spans="2:2">
      <c r="B301" s="3" t="str">
        <f ca="1">IFERROR(__xludf.DUMMYFUNCTION("IF(ISBLANK(A301),"""",GOOGLETRANSLATE(A301,""en"",""fr""))"),"")</f>
        <v/>
      </c>
    </row>
    <row r="302" spans="2:2">
      <c r="B302" s="3" t="str">
        <f ca="1">IFERROR(__xludf.DUMMYFUNCTION("IF(ISBLANK(A302),"""",GOOGLETRANSLATE(A302,""en"",""fr""))"),"")</f>
        <v/>
      </c>
    </row>
    <row r="303" spans="2:2">
      <c r="B303" s="3" t="str">
        <f ca="1">IFERROR(__xludf.DUMMYFUNCTION("IF(ISBLANK(A303),"""",GOOGLETRANSLATE(A303,""en"",""fr""))"),"")</f>
        <v/>
      </c>
    </row>
    <row r="304" spans="2:2">
      <c r="B304" s="3" t="str">
        <f ca="1">IFERROR(__xludf.DUMMYFUNCTION("IF(ISBLANK(A304),"""",GOOGLETRANSLATE(A304,""en"",""fr""))"),"")</f>
        <v/>
      </c>
    </row>
    <row r="305" spans="2:2">
      <c r="B305" s="3" t="str">
        <f ca="1">IFERROR(__xludf.DUMMYFUNCTION("IF(ISBLANK(A305),"""",GOOGLETRANSLATE(A305,""en"",""fr""))"),"")</f>
        <v/>
      </c>
    </row>
    <row r="306" spans="2:2">
      <c r="B306" s="3" t="str">
        <f ca="1">IFERROR(__xludf.DUMMYFUNCTION("IF(ISBLANK(A306),"""",GOOGLETRANSLATE(A306,""en"",""fr""))"),"")</f>
        <v/>
      </c>
    </row>
    <row r="307" spans="2:2">
      <c r="B307" s="3" t="str">
        <f ca="1">IFERROR(__xludf.DUMMYFUNCTION("IF(ISBLANK(A307),"""",GOOGLETRANSLATE(A307,""en"",""fr""))"),"")</f>
        <v/>
      </c>
    </row>
    <row r="308" spans="2:2">
      <c r="B308" s="3" t="str">
        <f ca="1">IFERROR(__xludf.DUMMYFUNCTION("IF(ISBLANK(A308),"""",GOOGLETRANSLATE(A308,""en"",""fr""))"),"")</f>
        <v/>
      </c>
    </row>
    <row r="309" spans="2:2">
      <c r="B309" s="3" t="str">
        <f ca="1">IFERROR(__xludf.DUMMYFUNCTION("IF(ISBLANK(A309),"""",GOOGLETRANSLATE(A309,""en"",""fr""))"),"")</f>
        <v/>
      </c>
    </row>
    <row r="310" spans="2:2">
      <c r="B310" s="3" t="str">
        <f ca="1">IFERROR(__xludf.DUMMYFUNCTION("IF(ISBLANK(A310),"""",GOOGLETRANSLATE(A310,""en"",""fr""))"),"")</f>
        <v/>
      </c>
    </row>
    <row r="311" spans="2:2">
      <c r="B311" s="3" t="str">
        <f ca="1">IFERROR(__xludf.DUMMYFUNCTION("IF(ISBLANK(A311),"""",GOOGLETRANSLATE(A311,""en"",""fr""))"),"")</f>
        <v/>
      </c>
    </row>
    <row r="312" spans="2:2">
      <c r="B312" s="3" t="str">
        <f ca="1">IFERROR(__xludf.DUMMYFUNCTION("IF(ISBLANK(A312),"""",GOOGLETRANSLATE(A312,""en"",""fr""))"),"")</f>
        <v/>
      </c>
    </row>
    <row r="313" spans="2:2">
      <c r="B313" s="3" t="str">
        <f ca="1">IFERROR(__xludf.DUMMYFUNCTION("IF(ISBLANK(A313),"""",GOOGLETRANSLATE(A313,""en"",""fr""))"),"")</f>
        <v/>
      </c>
    </row>
    <row r="314" spans="2:2">
      <c r="B314" s="3" t="str">
        <f ca="1">IFERROR(__xludf.DUMMYFUNCTION("IF(ISBLANK(A314),"""",GOOGLETRANSLATE(A314,""en"",""fr""))"),"")</f>
        <v/>
      </c>
    </row>
    <row r="315" spans="2:2">
      <c r="B315" s="3" t="str">
        <f ca="1">IFERROR(__xludf.DUMMYFUNCTION("IF(ISBLANK(A315),"""",GOOGLETRANSLATE(A315,""en"",""fr""))"),"")</f>
        <v/>
      </c>
    </row>
    <row r="316" spans="2:2">
      <c r="B316" s="3" t="str">
        <f ca="1">IFERROR(__xludf.DUMMYFUNCTION("IF(ISBLANK(A316),"""",GOOGLETRANSLATE(A316,""en"",""fr""))"),"")</f>
        <v/>
      </c>
    </row>
    <row r="317" spans="2:2">
      <c r="B317" s="3" t="str">
        <f ca="1">IFERROR(__xludf.DUMMYFUNCTION("IF(ISBLANK(A317),"""",GOOGLETRANSLATE(A317,""en"",""fr""))"),"")</f>
        <v/>
      </c>
    </row>
    <row r="318" spans="2:2">
      <c r="B318" s="3" t="str">
        <f ca="1">IFERROR(__xludf.DUMMYFUNCTION("IF(ISBLANK(A318),"""",GOOGLETRANSLATE(A318,""en"",""fr""))"),"")</f>
        <v/>
      </c>
    </row>
    <row r="319" spans="2:2">
      <c r="B319" s="3" t="str">
        <f ca="1">IFERROR(__xludf.DUMMYFUNCTION("IF(ISBLANK(A319),"""",GOOGLETRANSLATE(A319,""en"",""fr""))"),"")</f>
        <v/>
      </c>
    </row>
    <row r="320" spans="2:2">
      <c r="B320" s="3" t="str">
        <f ca="1">IFERROR(__xludf.DUMMYFUNCTION("IF(ISBLANK(A320),"""",GOOGLETRANSLATE(A320,""en"",""fr""))"),"")</f>
        <v/>
      </c>
    </row>
    <row r="321" spans="2:2">
      <c r="B321" s="3" t="str">
        <f ca="1">IFERROR(__xludf.DUMMYFUNCTION("IF(ISBLANK(A321),"""",GOOGLETRANSLATE(A321,""en"",""fr""))"),"")</f>
        <v/>
      </c>
    </row>
    <row r="322" spans="2:2">
      <c r="B322" s="3" t="str">
        <f ca="1">IFERROR(__xludf.DUMMYFUNCTION("IF(ISBLANK(A322),"""",GOOGLETRANSLATE(A322,""en"",""fr""))"),"")</f>
        <v/>
      </c>
    </row>
    <row r="323" spans="2:2">
      <c r="B323" s="3" t="str">
        <f ca="1">IFERROR(__xludf.DUMMYFUNCTION("IF(ISBLANK(A323),"""",GOOGLETRANSLATE(A323,""en"",""fr""))"),"")</f>
        <v/>
      </c>
    </row>
    <row r="324" spans="2:2">
      <c r="B324" s="3" t="str">
        <f ca="1">IFERROR(__xludf.DUMMYFUNCTION("IF(ISBLANK(A324),"""",GOOGLETRANSLATE(A324,""en"",""fr""))"),"")</f>
        <v/>
      </c>
    </row>
    <row r="325" spans="2:2">
      <c r="B325" s="3" t="str">
        <f ca="1">IFERROR(__xludf.DUMMYFUNCTION("IF(ISBLANK(A325),"""",GOOGLETRANSLATE(A325,""en"",""fr""))"),"")</f>
        <v/>
      </c>
    </row>
    <row r="326" spans="2:2">
      <c r="B326" s="3" t="str">
        <f ca="1">IFERROR(__xludf.DUMMYFUNCTION("IF(ISBLANK(A326),"""",GOOGLETRANSLATE(A326,""en"",""fr""))"),"")</f>
        <v/>
      </c>
    </row>
    <row r="327" spans="2:2">
      <c r="B327" s="3" t="str">
        <f ca="1">IFERROR(__xludf.DUMMYFUNCTION("IF(ISBLANK(A327),"""",GOOGLETRANSLATE(A327,""en"",""fr""))"),"")</f>
        <v/>
      </c>
    </row>
    <row r="328" spans="2:2">
      <c r="B328" s="3" t="str">
        <f ca="1">IFERROR(__xludf.DUMMYFUNCTION("IF(ISBLANK(A328),"""",GOOGLETRANSLATE(A328,""en"",""fr""))"),"")</f>
        <v/>
      </c>
    </row>
    <row r="329" spans="2:2">
      <c r="B329" s="3" t="str">
        <f ca="1">IFERROR(__xludf.DUMMYFUNCTION("IF(ISBLANK(A329),"""",GOOGLETRANSLATE(A329,""en"",""fr""))"),"")</f>
        <v/>
      </c>
    </row>
    <row r="330" spans="2:2">
      <c r="B330" s="3" t="str">
        <f ca="1">IFERROR(__xludf.DUMMYFUNCTION("IF(ISBLANK(A330),"""",GOOGLETRANSLATE(A330,""en"",""fr""))"),"")</f>
        <v/>
      </c>
    </row>
    <row r="331" spans="2:2">
      <c r="B331" s="3" t="str">
        <f ca="1">IFERROR(__xludf.DUMMYFUNCTION("IF(ISBLANK(A331),"""",GOOGLETRANSLATE(A331,""en"",""fr""))"),"")</f>
        <v/>
      </c>
    </row>
    <row r="332" spans="2:2">
      <c r="B332" s="3" t="str">
        <f ca="1">IFERROR(__xludf.DUMMYFUNCTION("IF(ISBLANK(A332),"""",GOOGLETRANSLATE(A332,""en"",""fr""))"),"")</f>
        <v/>
      </c>
    </row>
    <row r="333" spans="2:2">
      <c r="B333" s="3" t="str">
        <f ca="1">IFERROR(__xludf.DUMMYFUNCTION("IF(ISBLANK(A333),"""",GOOGLETRANSLATE(A333,""en"",""fr""))"),"")</f>
        <v/>
      </c>
    </row>
    <row r="334" spans="2:2">
      <c r="B334" s="3" t="str">
        <f ca="1">IFERROR(__xludf.DUMMYFUNCTION("IF(ISBLANK(A334),"""",GOOGLETRANSLATE(A334,""en"",""fr""))"),"")</f>
        <v/>
      </c>
    </row>
    <row r="335" spans="2:2">
      <c r="B335" s="3" t="str">
        <f ca="1">IFERROR(__xludf.DUMMYFUNCTION("IF(ISBLANK(A335),"""",GOOGLETRANSLATE(A335,""en"",""fr""))"),"")</f>
        <v/>
      </c>
    </row>
    <row r="336" spans="2:2">
      <c r="B336" s="3" t="str">
        <f ca="1">IFERROR(__xludf.DUMMYFUNCTION("IF(ISBLANK(A336),"""",GOOGLETRANSLATE(A336,""en"",""fr""))"),"")</f>
        <v/>
      </c>
    </row>
    <row r="337" spans="2:2">
      <c r="B337" s="3" t="str">
        <f ca="1">IFERROR(__xludf.DUMMYFUNCTION("IF(ISBLANK(A337),"""",GOOGLETRANSLATE(A337,""en"",""fr""))"),"")</f>
        <v/>
      </c>
    </row>
    <row r="338" spans="2:2">
      <c r="B338" s="3" t="str">
        <f ca="1">IFERROR(__xludf.DUMMYFUNCTION("IF(ISBLANK(A338),"""",GOOGLETRANSLATE(A338,""en"",""fr""))"),"")</f>
        <v/>
      </c>
    </row>
    <row r="339" spans="2:2">
      <c r="B339" s="3" t="str">
        <f ca="1">IFERROR(__xludf.DUMMYFUNCTION("IF(ISBLANK(A339),"""",GOOGLETRANSLATE(A339,""en"",""fr""))"),"")</f>
        <v/>
      </c>
    </row>
    <row r="340" spans="2:2">
      <c r="B340" s="3" t="str">
        <f ca="1">IFERROR(__xludf.DUMMYFUNCTION("IF(ISBLANK(A340),"""",GOOGLETRANSLATE(A340,""en"",""fr""))"),"")</f>
        <v/>
      </c>
    </row>
    <row r="341" spans="2:2">
      <c r="B341" s="3" t="str">
        <f ca="1">IFERROR(__xludf.DUMMYFUNCTION("IF(ISBLANK(A341),"""",GOOGLETRANSLATE(A341,""en"",""fr""))"),"")</f>
        <v/>
      </c>
    </row>
    <row r="342" spans="2:2">
      <c r="B342" s="3" t="str">
        <f ca="1">IFERROR(__xludf.DUMMYFUNCTION("IF(ISBLANK(A342),"""",GOOGLETRANSLATE(A342,""en"",""fr""))"),"")</f>
        <v/>
      </c>
    </row>
    <row r="343" spans="2:2">
      <c r="B343" s="3" t="str">
        <f ca="1">IFERROR(__xludf.DUMMYFUNCTION("IF(ISBLANK(A343),"""",GOOGLETRANSLATE(A343,""en"",""fr""))"),"")</f>
        <v/>
      </c>
    </row>
    <row r="344" spans="2:2">
      <c r="B344" s="3" t="str">
        <f ca="1">IFERROR(__xludf.DUMMYFUNCTION("IF(ISBLANK(A344),"""",GOOGLETRANSLATE(A344,""en"",""fr""))"),"")</f>
        <v/>
      </c>
    </row>
    <row r="345" spans="2:2">
      <c r="B345" s="3" t="str">
        <f ca="1">IFERROR(__xludf.DUMMYFUNCTION("IF(ISBLANK(A345),"""",GOOGLETRANSLATE(A345,""en"",""fr""))"),"")</f>
        <v/>
      </c>
    </row>
    <row r="346" spans="2:2">
      <c r="B346" s="3" t="str">
        <f ca="1">IFERROR(__xludf.DUMMYFUNCTION("IF(ISBLANK(A346),"""",GOOGLETRANSLATE(A346,""en"",""fr""))"),"")</f>
        <v/>
      </c>
    </row>
    <row r="347" spans="2:2">
      <c r="B347" s="3" t="str">
        <f ca="1">IFERROR(__xludf.DUMMYFUNCTION("IF(ISBLANK(A347),"""",GOOGLETRANSLATE(A347,""en"",""fr""))"),"")</f>
        <v/>
      </c>
    </row>
    <row r="348" spans="2:2">
      <c r="B348" s="3" t="str">
        <f ca="1">IFERROR(__xludf.DUMMYFUNCTION("IF(ISBLANK(A348),"""",GOOGLETRANSLATE(A348,""en"",""fr""))"),"")</f>
        <v/>
      </c>
    </row>
    <row r="349" spans="2:2">
      <c r="B349" s="3" t="str">
        <f ca="1">IFERROR(__xludf.DUMMYFUNCTION("IF(ISBLANK(A349),"""",GOOGLETRANSLATE(A349,""en"",""fr""))"),"")</f>
        <v/>
      </c>
    </row>
    <row r="350" spans="2:2">
      <c r="B350" s="3" t="str">
        <f ca="1">IFERROR(__xludf.DUMMYFUNCTION("IF(ISBLANK(A350),"""",GOOGLETRANSLATE(A350,""en"",""fr""))"),"")</f>
        <v/>
      </c>
    </row>
    <row r="351" spans="2:2">
      <c r="B351" s="3" t="str">
        <f ca="1">IFERROR(__xludf.DUMMYFUNCTION("IF(ISBLANK(A351),"""",GOOGLETRANSLATE(A351,""en"",""fr""))"),"")</f>
        <v/>
      </c>
    </row>
    <row r="352" spans="2:2">
      <c r="B352" s="3" t="str">
        <f ca="1">IFERROR(__xludf.DUMMYFUNCTION("IF(ISBLANK(A352),"""",GOOGLETRANSLATE(A352,""en"",""fr""))"),"")</f>
        <v/>
      </c>
    </row>
    <row r="353" spans="2:2">
      <c r="B353" s="3" t="str">
        <f ca="1">IFERROR(__xludf.DUMMYFUNCTION("IF(ISBLANK(A353),"""",GOOGLETRANSLATE(A353,""en"",""fr""))"),"")</f>
        <v/>
      </c>
    </row>
    <row r="354" spans="2:2">
      <c r="B354" s="3" t="str">
        <f ca="1">IFERROR(__xludf.DUMMYFUNCTION("IF(ISBLANK(A354),"""",GOOGLETRANSLATE(A354,""en"",""fr""))"),"")</f>
        <v/>
      </c>
    </row>
    <row r="355" spans="2:2">
      <c r="B355" s="3" t="str">
        <f ca="1">IFERROR(__xludf.DUMMYFUNCTION("IF(ISBLANK(A355),"""",GOOGLETRANSLATE(A355,""en"",""fr""))"),"")</f>
        <v/>
      </c>
    </row>
    <row r="356" spans="2:2">
      <c r="B356" s="3" t="str">
        <f ca="1">IFERROR(__xludf.DUMMYFUNCTION("IF(ISBLANK(A356),"""",GOOGLETRANSLATE(A356,""en"",""fr""))"),"")</f>
        <v/>
      </c>
    </row>
    <row r="357" spans="2:2">
      <c r="B357" s="3" t="str">
        <f ca="1">IFERROR(__xludf.DUMMYFUNCTION("IF(ISBLANK(A357),"""",GOOGLETRANSLATE(A357,""en"",""fr""))"),"")</f>
        <v/>
      </c>
    </row>
    <row r="358" spans="2:2">
      <c r="B358" s="3" t="str">
        <f ca="1">IFERROR(__xludf.DUMMYFUNCTION("IF(ISBLANK(A358),"""",GOOGLETRANSLATE(A358,""en"",""fr""))"),"")</f>
        <v/>
      </c>
    </row>
    <row r="359" spans="2:2">
      <c r="B359" s="3" t="str">
        <f ca="1">IFERROR(__xludf.DUMMYFUNCTION("IF(ISBLANK(A359),"""",GOOGLETRANSLATE(A359,""en"",""fr""))"),"")</f>
        <v/>
      </c>
    </row>
    <row r="360" spans="2:2">
      <c r="B360" s="3" t="str">
        <f ca="1">IFERROR(__xludf.DUMMYFUNCTION("IF(ISBLANK(A360),"""",GOOGLETRANSLATE(A360,""en"",""fr""))"),"")</f>
        <v/>
      </c>
    </row>
    <row r="361" spans="2:2">
      <c r="B361" s="3" t="str">
        <f ca="1">IFERROR(__xludf.DUMMYFUNCTION("IF(ISBLANK(A361),"""",GOOGLETRANSLATE(A361,""en"",""fr""))"),"")</f>
        <v/>
      </c>
    </row>
    <row r="362" spans="2:2">
      <c r="B362" s="3" t="str">
        <f ca="1">IFERROR(__xludf.DUMMYFUNCTION("IF(ISBLANK(A362),"""",GOOGLETRANSLATE(A362,""en"",""fr""))"),"")</f>
        <v/>
      </c>
    </row>
    <row r="363" spans="2:2">
      <c r="B363" s="3" t="str">
        <f ca="1">IFERROR(__xludf.DUMMYFUNCTION("IF(ISBLANK(A363),"""",GOOGLETRANSLATE(A363,""en"",""fr""))"),"")</f>
        <v/>
      </c>
    </row>
    <row r="364" spans="2:2">
      <c r="B364" s="3" t="str">
        <f ca="1">IFERROR(__xludf.DUMMYFUNCTION("IF(ISBLANK(A364),"""",GOOGLETRANSLATE(A364,""en"",""fr""))"),"")</f>
        <v/>
      </c>
    </row>
    <row r="365" spans="2:2">
      <c r="B365" s="3" t="str">
        <f ca="1">IFERROR(__xludf.DUMMYFUNCTION("IF(ISBLANK(A365),"""",GOOGLETRANSLATE(A365,""en"",""fr""))"),"")</f>
        <v/>
      </c>
    </row>
    <row r="366" spans="2:2">
      <c r="B366" s="3" t="str">
        <f ca="1">IFERROR(__xludf.DUMMYFUNCTION("IF(ISBLANK(A366),"""",GOOGLETRANSLATE(A366,""en"",""fr""))"),"")</f>
        <v/>
      </c>
    </row>
    <row r="367" spans="2:2">
      <c r="B367" s="3" t="str">
        <f ca="1">IFERROR(__xludf.DUMMYFUNCTION("IF(ISBLANK(A367),"""",GOOGLETRANSLATE(A367,""en"",""fr""))"),"")</f>
        <v/>
      </c>
    </row>
    <row r="368" spans="2:2">
      <c r="B368" s="3" t="str">
        <f ca="1">IFERROR(__xludf.DUMMYFUNCTION("IF(ISBLANK(A368),"""",GOOGLETRANSLATE(A368,""en"",""fr""))"),"")</f>
        <v/>
      </c>
    </row>
    <row r="369" spans="2:2">
      <c r="B369" s="3" t="str">
        <f ca="1">IFERROR(__xludf.DUMMYFUNCTION("IF(ISBLANK(A369),"""",GOOGLETRANSLATE(A369,""en"",""fr""))"),"")</f>
        <v/>
      </c>
    </row>
    <row r="370" spans="2:2">
      <c r="B370" s="3" t="str">
        <f ca="1">IFERROR(__xludf.DUMMYFUNCTION("IF(ISBLANK(A370),"""",GOOGLETRANSLATE(A370,""en"",""fr""))"),"")</f>
        <v/>
      </c>
    </row>
    <row r="371" spans="2:2">
      <c r="B371" s="3" t="str">
        <f ca="1">IFERROR(__xludf.DUMMYFUNCTION("IF(ISBLANK(A371),"""",GOOGLETRANSLATE(A371,""en"",""fr""))"),"")</f>
        <v/>
      </c>
    </row>
    <row r="372" spans="2:2">
      <c r="B372" s="3" t="str">
        <f ca="1">IFERROR(__xludf.DUMMYFUNCTION("IF(ISBLANK(A372),"""",GOOGLETRANSLATE(A372,""en"",""fr""))"),"")</f>
        <v/>
      </c>
    </row>
    <row r="373" spans="2:2">
      <c r="B373" s="3" t="str">
        <f ca="1">IFERROR(__xludf.DUMMYFUNCTION("IF(ISBLANK(A373),"""",GOOGLETRANSLATE(A373,""en"",""fr""))"),"")</f>
        <v/>
      </c>
    </row>
    <row r="374" spans="2:2">
      <c r="B374" s="3" t="str">
        <f ca="1">IFERROR(__xludf.DUMMYFUNCTION("IF(ISBLANK(A374),"""",GOOGLETRANSLATE(A374,""en"",""fr""))"),"")</f>
        <v/>
      </c>
    </row>
    <row r="375" spans="2:2">
      <c r="B375" s="3" t="str">
        <f ca="1">IFERROR(__xludf.DUMMYFUNCTION("IF(ISBLANK(A375),"""",GOOGLETRANSLATE(A375,""en"",""fr""))"),"")</f>
        <v/>
      </c>
    </row>
    <row r="376" spans="2:2">
      <c r="B376" s="3" t="str">
        <f ca="1">IFERROR(__xludf.DUMMYFUNCTION("IF(ISBLANK(A376),"""",GOOGLETRANSLATE(A376,""en"",""fr""))"),"")</f>
        <v/>
      </c>
    </row>
    <row r="377" spans="2:2">
      <c r="B377" s="3" t="str">
        <f ca="1">IFERROR(__xludf.DUMMYFUNCTION("IF(ISBLANK(A377),"""",GOOGLETRANSLATE(A377,""en"",""fr""))"),"")</f>
        <v/>
      </c>
    </row>
    <row r="378" spans="2:2">
      <c r="B378" s="3" t="str">
        <f ca="1">IFERROR(__xludf.DUMMYFUNCTION("IF(ISBLANK(A378),"""",GOOGLETRANSLATE(A378,""en"",""fr""))"),"")</f>
        <v/>
      </c>
    </row>
    <row r="379" spans="2:2">
      <c r="B379" s="3" t="str">
        <f ca="1">IFERROR(__xludf.DUMMYFUNCTION("IF(ISBLANK(A379),"""",GOOGLETRANSLATE(A379,""en"",""fr""))"),"")</f>
        <v/>
      </c>
    </row>
    <row r="380" spans="2:2">
      <c r="B380" s="3" t="str">
        <f ca="1">IFERROR(__xludf.DUMMYFUNCTION("IF(ISBLANK(A380),"""",GOOGLETRANSLATE(A380,""en"",""fr""))"),"")</f>
        <v/>
      </c>
    </row>
    <row r="381" spans="2:2">
      <c r="B381" s="3" t="str">
        <f ca="1">IFERROR(__xludf.DUMMYFUNCTION("IF(ISBLANK(A381),"""",GOOGLETRANSLATE(A381,""en"",""fr""))"),"")</f>
        <v/>
      </c>
    </row>
    <row r="382" spans="2:2">
      <c r="B382" s="3" t="str">
        <f ca="1">IFERROR(__xludf.DUMMYFUNCTION("IF(ISBLANK(A382),"""",GOOGLETRANSLATE(A382,""en"",""fr""))"),"")</f>
        <v/>
      </c>
    </row>
    <row r="383" spans="2:2">
      <c r="B383" s="3" t="str">
        <f ca="1">IFERROR(__xludf.DUMMYFUNCTION("IF(ISBLANK(A383),"""",GOOGLETRANSLATE(A383,""en"",""fr""))"),"")</f>
        <v/>
      </c>
    </row>
    <row r="384" spans="2:2">
      <c r="B384" s="3" t="str">
        <f ca="1">IFERROR(__xludf.DUMMYFUNCTION("IF(ISBLANK(A384),"""",GOOGLETRANSLATE(A384,""en"",""fr""))"),"")</f>
        <v/>
      </c>
    </row>
    <row r="385" spans="2:2">
      <c r="B385" s="3" t="str">
        <f ca="1">IFERROR(__xludf.DUMMYFUNCTION("IF(ISBLANK(A385),"""",GOOGLETRANSLATE(A385,""en"",""fr""))"),"")</f>
        <v/>
      </c>
    </row>
    <row r="386" spans="2:2">
      <c r="B386" s="3" t="str">
        <f ca="1">IFERROR(__xludf.DUMMYFUNCTION("IF(ISBLANK(A386),"""",GOOGLETRANSLATE(A386,""en"",""fr""))"),"")</f>
        <v/>
      </c>
    </row>
    <row r="387" spans="2:2">
      <c r="B387" s="3" t="str">
        <f ca="1">IFERROR(__xludf.DUMMYFUNCTION("IF(ISBLANK(A387),"""",GOOGLETRANSLATE(A387,""en"",""fr""))"),"")</f>
        <v/>
      </c>
    </row>
    <row r="388" spans="2:2">
      <c r="B388" s="3" t="str">
        <f ca="1">IFERROR(__xludf.DUMMYFUNCTION("IF(ISBLANK(A388),"""",GOOGLETRANSLATE(A388,""en"",""fr""))"),"")</f>
        <v/>
      </c>
    </row>
    <row r="389" spans="2:2">
      <c r="B389" s="3" t="str">
        <f ca="1">IFERROR(__xludf.DUMMYFUNCTION("IF(ISBLANK(A389),"""",GOOGLETRANSLATE(A389,""en"",""fr""))"),"")</f>
        <v/>
      </c>
    </row>
    <row r="390" spans="2:2">
      <c r="B390" s="3" t="str">
        <f ca="1">IFERROR(__xludf.DUMMYFUNCTION("IF(ISBLANK(A390),"""",GOOGLETRANSLATE(A390,""en"",""fr""))"),"")</f>
        <v/>
      </c>
    </row>
    <row r="391" spans="2:2">
      <c r="B391" s="3" t="str">
        <f ca="1">IFERROR(__xludf.DUMMYFUNCTION("IF(ISBLANK(A391),"""",GOOGLETRANSLATE(A391,""en"",""fr""))"),"")</f>
        <v/>
      </c>
    </row>
    <row r="392" spans="2:2">
      <c r="B392" s="3" t="str">
        <f ca="1">IFERROR(__xludf.DUMMYFUNCTION("IF(ISBLANK(A392),"""",GOOGLETRANSLATE(A392,""en"",""fr""))"),"")</f>
        <v/>
      </c>
    </row>
    <row r="393" spans="2:2">
      <c r="B393" s="3" t="str">
        <f ca="1">IFERROR(__xludf.DUMMYFUNCTION("IF(ISBLANK(A393),"""",GOOGLETRANSLATE(A393,""en"",""fr""))"),"")</f>
        <v/>
      </c>
    </row>
    <row r="394" spans="2:2">
      <c r="B394" s="3" t="str">
        <f ca="1">IFERROR(__xludf.DUMMYFUNCTION("IF(ISBLANK(A394),"""",GOOGLETRANSLATE(A394,""en"",""fr""))"),"")</f>
        <v/>
      </c>
    </row>
    <row r="395" spans="2:2">
      <c r="B395" s="3" t="str">
        <f ca="1">IFERROR(__xludf.DUMMYFUNCTION("IF(ISBLANK(A395),"""",GOOGLETRANSLATE(A395,""en"",""fr""))"),"")</f>
        <v/>
      </c>
    </row>
    <row r="396" spans="2:2">
      <c r="B396" s="3" t="str">
        <f ca="1">IFERROR(__xludf.DUMMYFUNCTION("IF(ISBLANK(A396),"""",GOOGLETRANSLATE(A396,""en"",""fr""))"),"")</f>
        <v/>
      </c>
    </row>
    <row r="397" spans="2:2">
      <c r="B397" s="3" t="str">
        <f ca="1">IFERROR(__xludf.DUMMYFUNCTION("IF(ISBLANK(A397),"""",GOOGLETRANSLATE(A397,""en"",""fr""))"),"")</f>
        <v/>
      </c>
    </row>
    <row r="398" spans="2:2">
      <c r="B398" s="3" t="str">
        <f ca="1">IFERROR(__xludf.DUMMYFUNCTION("IF(ISBLANK(A398),"""",GOOGLETRANSLATE(A398,""en"",""fr""))"),"")</f>
        <v/>
      </c>
    </row>
    <row r="399" spans="2:2">
      <c r="B399" s="3" t="str">
        <f ca="1">IFERROR(__xludf.DUMMYFUNCTION("IF(ISBLANK(A399),"""",GOOGLETRANSLATE(A399,""en"",""fr""))"),"")</f>
        <v/>
      </c>
    </row>
    <row r="400" spans="2:2">
      <c r="B400" s="3" t="str">
        <f ca="1">IFERROR(__xludf.DUMMYFUNCTION("IF(ISBLANK(A400),"""",GOOGLETRANSLATE(A400,""en"",""fr""))"),"")</f>
        <v/>
      </c>
    </row>
    <row r="401" spans="2:2">
      <c r="B401" s="3" t="str">
        <f ca="1">IFERROR(__xludf.DUMMYFUNCTION("IF(ISBLANK(A401),"""",GOOGLETRANSLATE(A401,""en"",""fr""))"),"")</f>
        <v/>
      </c>
    </row>
    <row r="402" spans="2:2">
      <c r="B402" s="3" t="str">
        <f ca="1">IFERROR(__xludf.DUMMYFUNCTION("IF(ISBLANK(A402),"""",GOOGLETRANSLATE(A402,""en"",""fr""))"),"")</f>
        <v/>
      </c>
    </row>
    <row r="403" spans="2:2">
      <c r="B403" s="3" t="str">
        <f ca="1">IFERROR(__xludf.DUMMYFUNCTION("IF(ISBLANK(A403),"""",GOOGLETRANSLATE(A403,""en"",""fr""))"),"")</f>
        <v/>
      </c>
    </row>
    <row r="404" spans="2:2">
      <c r="B404" s="3" t="str">
        <f ca="1">IFERROR(__xludf.DUMMYFUNCTION("IF(ISBLANK(A404),"""",GOOGLETRANSLATE(A404,""en"",""fr""))"),"")</f>
        <v/>
      </c>
    </row>
    <row r="405" spans="2:2">
      <c r="B405" s="3" t="str">
        <f ca="1">IFERROR(__xludf.DUMMYFUNCTION("IF(ISBLANK(A405),"""",GOOGLETRANSLATE(A405,""en"",""fr""))"),"")</f>
        <v/>
      </c>
    </row>
    <row r="406" spans="2:2">
      <c r="B406" s="3" t="str">
        <f ca="1">IFERROR(__xludf.DUMMYFUNCTION("IF(ISBLANK(A406),"""",GOOGLETRANSLATE(A406,""en"",""fr""))"),"")</f>
        <v/>
      </c>
    </row>
    <row r="407" spans="2:2">
      <c r="B407" s="3" t="str">
        <f ca="1">IFERROR(__xludf.DUMMYFUNCTION("IF(ISBLANK(A407),"""",GOOGLETRANSLATE(A407,""en"",""fr""))"),"")</f>
        <v/>
      </c>
    </row>
    <row r="408" spans="2:2">
      <c r="B408" s="3" t="str">
        <f ca="1">IFERROR(__xludf.DUMMYFUNCTION("IF(ISBLANK(A408),"""",GOOGLETRANSLATE(A408,""en"",""fr""))"),"")</f>
        <v/>
      </c>
    </row>
    <row r="409" spans="2:2">
      <c r="B409" s="3" t="str">
        <f ca="1">IFERROR(__xludf.DUMMYFUNCTION("IF(ISBLANK(A409),"""",GOOGLETRANSLATE(A409,""en"",""fr""))"),"")</f>
        <v/>
      </c>
    </row>
    <row r="410" spans="2:2">
      <c r="B410" s="3" t="str">
        <f ca="1">IFERROR(__xludf.DUMMYFUNCTION("IF(ISBLANK(A410),"""",GOOGLETRANSLATE(A410,""en"",""fr""))"),"")</f>
        <v/>
      </c>
    </row>
    <row r="411" spans="2:2">
      <c r="B411" s="3" t="str">
        <f ca="1">IFERROR(__xludf.DUMMYFUNCTION("IF(ISBLANK(A411),"""",GOOGLETRANSLATE(A411,""en"",""fr""))"),"")</f>
        <v/>
      </c>
    </row>
    <row r="412" spans="2:2">
      <c r="B412" s="3" t="str">
        <f ca="1">IFERROR(__xludf.DUMMYFUNCTION("IF(ISBLANK(A412),"""",GOOGLETRANSLATE(A412,""en"",""fr""))"),"")</f>
        <v/>
      </c>
    </row>
    <row r="413" spans="2:2">
      <c r="B413" s="3" t="str">
        <f ca="1">IFERROR(__xludf.DUMMYFUNCTION("IF(ISBLANK(A413),"""",GOOGLETRANSLATE(A413,""en"",""fr""))"),"")</f>
        <v/>
      </c>
    </row>
    <row r="414" spans="2:2">
      <c r="B414" s="3" t="str">
        <f ca="1">IFERROR(__xludf.DUMMYFUNCTION("IF(ISBLANK(A414),"""",GOOGLETRANSLATE(A414,""en"",""fr""))"),"")</f>
        <v/>
      </c>
    </row>
    <row r="415" spans="2:2">
      <c r="B415" s="3" t="str">
        <f ca="1">IFERROR(__xludf.DUMMYFUNCTION("IF(ISBLANK(A415),"""",GOOGLETRANSLATE(A415,""en"",""fr""))"),"")</f>
        <v/>
      </c>
    </row>
    <row r="416" spans="2:2">
      <c r="B416" s="3" t="str">
        <f ca="1">IFERROR(__xludf.DUMMYFUNCTION("IF(ISBLANK(A416),"""",GOOGLETRANSLATE(A416,""en"",""fr""))"),"")</f>
        <v/>
      </c>
    </row>
    <row r="417" spans="2:2">
      <c r="B417" s="3" t="str">
        <f ca="1">IFERROR(__xludf.DUMMYFUNCTION("IF(ISBLANK(A417),"""",GOOGLETRANSLATE(A417,""en"",""fr""))"),"")</f>
        <v/>
      </c>
    </row>
    <row r="418" spans="2:2">
      <c r="B418" s="3" t="str">
        <f ca="1">IFERROR(__xludf.DUMMYFUNCTION("IF(ISBLANK(A418),"""",GOOGLETRANSLATE(A418,""en"",""fr""))"),"")</f>
        <v/>
      </c>
    </row>
    <row r="419" spans="2:2">
      <c r="B419" s="3" t="str">
        <f ca="1">IFERROR(__xludf.DUMMYFUNCTION("IF(ISBLANK(A419),"""",GOOGLETRANSLATE(A419,""en"",""fr""))"),"")</f>
        <v/>
      </c>
    </row>
    <row r="420" spans="2:2">
      <c r="B420" s="3" t="str">
        <f ca="1">IFERROR(__xludf.DUMMYFUNCTION("IF(ISBLANK(A420),"""",GOOGLETRANSLATE(A420,""en"",""fr""))"),"")</f>
        <v/>
      </c>
    </row>
    <row r="421" spans="2:2">
      <c r="B421" s="3" t="str">
        <f ca="1">IFERROR(__xludf.DUMMYFUNCTION("IF(ISBLANK(A421),"""",GOOGLETRANSLATE(A421,""en"",""fr""))"),"")</f>
        <v/>
      </c>
    </row>
    <row r="422" spans="2:2">
      <c r="B422" s="3" t="str">
        <f ca="1">IFERROR(__xludf.DUMMYFUNCTION("IF(ISBLANK(A422),"""",GOOGLETRANSLATE(A422,""en"",""fr""))"),"")</f>
        <v/>
      </c>
    </row>
    <row r="423" spans="2:2">
      <c r="B423" s="3" t="str">
        <f ca="1">IFERROR(__xludf.DUMMYFUNCTION("IF(ISBLANK(A423),"""",GOOGLETRANSLATE(A423,""en"",""fr""))"),"")</f>
        <v/>
      </c>
    </row>
    <row r="424" spans="2:2">
      <c r="B424" s="3" t="str">
        <f ca="1">IFERROR(__xludf.DUMMYFUNCTION("IF(ISBLANK(A424),"""",GOOGLETRANSLATE(A424,""en"",""fr""))"),"")</f>
        <v/>
      </c>
    </row>
    <row r="425" spans="2:2">
      <c r="B425" s="3" t="str">
        <f ca="1">IFERROR(__xludf.DUMMYFUNCTION("IF(ISBLANK(A425),"""",GOOGLETRANSLATE(A425,""en"",""fr""))"),"")</f>
        <v/>
      </c>
    </row>
    <row r="426" spans="2:2">
      <c r="B426" s="3" t="str">
        <f ca="1">IFERROR(__xludf.DUMMYFUNCTION("IF(ISBLANK(A426),"""",GOOGLETRANSLATE(A426,""en"",""fr""))"),"")</f>
        <v/>
      </c>
    </row>
    <row r="427" spans="2:2">
      <c r="B427" s="3" t="str">
        <f ca="1">IFERROR(__xludf.DUMMYFUNCTION("IF(ISBLANK(A427),"""",GOOGLETRANSLATE(A427,""en"",""fr""))"),"")</f>
        <v/>
      </c>
    </row>
    <row r="428" spans="2:2">
      <c r="B428" s="3" t="str">
        <f ca="1">IFERROR(__xludf.DUMMYFUNCTION("IF(ISBLANK(A428),"""",GOOGLETRANSLATE(A428,""en"",""fr""))"),"")</f>
        <v/>
      </c>
    </row>
    <row r="429" spans="2:2">
      <c r="B429" s="3" t="str">
        <f ca="1">IFERROR(__xludf.DUMMYFUNCTION("IF(ISBLANK(A429),"""",GOOGLETRANSLATE(A429,""en"",""fr""))"),"")</f>
        <v/>
      </c>
    </row>
    <row r="430" spans="2:2">
      <c r="B430" s="3" t="str">
        <f ca="1">IFERROR(__xludf.DUMMYFUNCTION("IF(ISBLANK(A430),"""",GOOGLETRANSLATE(A430,""en"",""fr""))"),"")</f>
        <v/>
      </c>
    </row>
    <row r="431" spans="2:2">
      <c r="B431" s="3" t="str">
        <f ca="1">IFERROR(__xludf.DUMMYFUNCTION("IF(ISBLANK(A431),"""",GOOGLETRANSLATE(A431,""en"",""fr""))"),"")</f>
        <v/>
      </c>
    </row>
    <row r="432" spans="2:2">
      <c r="B432" s="3" t="str">
        <f ca="1">IFERROR(__xludf.DUMMYFUNCTION("IF(ISBLANK(A432),"""",GOOGLETRANSLATE(A432,""en"",""fr""))"),"")</f>
        <v/>
      </c>
    </row>
    <row r="433" spans="2:2">
      <c r="B433" s="3" t="str">
        <f ca="1">IFERROR(__xludf.DUMMYFUNCTION("IF(ISBLANK(A433),"""",GOOGLETRANSLATE(A433,""en"",""fr""))"),"")</f>
        <v/>
      </c>
    </row>
    <row r="434" spans="2:2">
      <c r="B434" s="3" t="str">
        <f ca="1">IFERROR(__xludf.DUMMYFUNCTION("IF(ISBLANK(A434),"""",GOOGLETRANSLATE(A434,""en"",""fr""))"),"")</f>
        <v/>
      </c>
    </row>
    <row r="435" spans="2:2">
      <c r="B435" s="3" t="str">
        <f ca="1">IFERROR(__xludf.DUMMYFUNCTION("IF(ISBLANK(A435),"""",GOOGLETRANSLATE(A435,""en"",""fr""))"),"")</f>
        <v/>
      </c>
    </row>
    <row r="436" spans="2:2">
      <c r="B436" s="3" t="str">
        <f ca="1">IFERROR(__xludf.DUMMYFUNCTION("IF(ISBLANK(A436),"""",GOOGLETRANSLATE(A436,""en"",""fr""))"),"")</f>
        <v/>
      </c>
    </row>
    <row r="437" spans="2:2">
      <c r="B437" s="3" t="str">
        <f ca="1">IFERROR(__xludf.DUMMYFUNCTION("IF(ISBLANK(A437),"""",GOOGLETRANSLATE(A437,""en"",""fr""))"),"")</f>
        <v/>
      </c>
    </row>
    <row r="438" spans="2:2">
      <c r="B438" s="3" t="str">
        <f ca="1">IFERROR(__xludf.DUMMYFUNCTION("IF(ISBLANK(A438),"""",GOOGLETRANSLATE(A438,""en"",""fr""))"),"")</f>
        <v/>
      </c>
    </row>
    <row r="439" spans="2:2">
      <c r="B439" s="3" t="str">
        <f ca="1">IFERROR(__xludf.DUMMYFUNCTION("IF(ISBLANK(A439),"""",GOOGLETRANSLATE(A439,""en"",""fr""))"),"")</f>
        <v/>
      </c>
    </row>
    <row r="440" spans="2:2">
      <c r="B440" s="3" t="str">
        <f ca="1">IFERROR(__xludf.DUMMYFUNCTION("IF(ISBLANK(A440),"""",GOOGLETRANSLATE(A440,""en"",""fr""))"),"")</f>
        <v/>
      </c>
    </row>
    <row r="441" spans="2:2">
      <c r="B441" s="3" t="str">
        <f ca="1">IFERROR(__xludf.DUMMYFUNCTION("IF(ISBLANK(A441),"""",GOOGLETRANSLATE(A441,""en"",""fr""))"),"")</f>
        <v/>
      </c>
    </row>
    <row r="442" spans="2:2">
      <c r="B442" s="3" t="str">
        <f ca="1">IFERROR(__xludf.DUMMYFUNCTION("IF(ISBLANK(A442),"""",GOOGLETRANSLATE(A442,""en"",""fr""))"),"")</f>
        <v/>
      </c>
    </row>
    <row r="443" spans="2:2">
      <c r="B443" s="3" t="str">
        <f ca="1">IFERROR(__xludf.DUMMYFUNCTION("IF(ISBLANK(A443),"""",GOOGLETRANSLATE(A443,""en"",""fr""))"),"")</f>
        <v/>
      </c>
    </row>
    <row r="444" spans="2:2">
      <c r="B444" s="3" t="str">
        <f ca="1">IFERROR(__xludf.DUMMYFUNCTION("IF(ISBLANK(A444),"""",GOOGLETRANSLATE(A444,""en"",""fr""))"),"")</f>
        <v/>
      </c>
    </row>
    <row r="445" spans="2:2">
      <c r="B445" s="3" t="str">
        <f ca="1">IFERROR(__xludf.DUMMYFUNCTION("IF(ISBLANK(A445),"""",GOOGLETRANSLATE(A445,""en"",""fr""))"),"")</f>
        <v/>
      </c>
    </row>
    <row r="446" spans="2:2">
      <c r="B446" s="3" t="str">
        <f ca="1">IFERROR(__xludf.DUMMYFUNCTION("IF(ISBLANK(A446),"""",GOOGLETRANSLATE(A446,""en"",""fr""))"),"")</f>
        <v/>
      </c>
    </row>
    <row r="447" spans="2:2">
      <c r="B447" s="3" t="str">
        <f ca="1">IFERROR(__xludf.DUMMYFUNCTION("IF(ISBLANK(A447),"""",GOOGLETRANSLATE(A447,""en"",""fr""))"),"")</f>
        <v/>
      </c>
    </row>
    <row r="448" spans="2:2">
      <c r="B448" s="3" t="str">
        <f ca="1">IFERROR(__xludf.DUMMYFUNCTION("IF(ISBLANK(A448),"""",GOOGLETRANSLATE(A448,""en"",""fr""))"),"")</f>
        <v/>
      </c>
    </row>
    <row r="449" spans="2:2">
      <c r="B449" s="3" t="str">
        <f ca="1">IFERROR(__xludf.DUMMYFUNCTION("IF(ISBLANK(A449),"""",GOOGLETRANSLATE(A449,""en"",""fr""))"),"")</f>
        <v/>
      </c>
    </row>
    <row r="450" spans="2:2">
      <c r="B450" s="3" t="str">
        <f ca="1">IFERROR(__xludf.DUMMYFUNCTION("IF(ISBLANK(A450),"""",GOOGLETRANSLATE(A450,""en"",""fr""))"),"")</f>
        <v/>
      </c>
    </row>
    <row r="451" spans="2:2">
      <c r="B451" s="3" t="str">
        <f ca="1">IFERROR(__xludf.DUMMYFUNCTION("IF(ISBLANK(A451),"""",GOOGLETRANSLATE(A451,""en"",""fr""))"),"")</f>
        <v/>
      </c>
    </row>
    <row r="452" spans="2:2">
      <c r="B452" s="3" t="str">
        <f ca="1">IFERROR(__xludf.DUMMYFUNCTION("IF(ISBLANK(A452),"""",GOOGLETRANSLATE(A452,""en"",""fr""))"),"")</f>
        <v/>
      </c>
    </row>
    <row r="453" spans="2:2">
      <c r="B453" s="3" t="str">
        <f ca="1">IFERROR(__xludf.DUMMYFUNCTION("IF(ISBLANK(A453),"""",GOOGLETRANSLATE(A453,""en"",""fr""))"),"")</f>
        <v/>
      </c>
    </row>
    <row r="454" spans="2:2">
      <c r="B454" s="3" t="str">
        <f ca="1">IFERROR(__xludf.DUMMYFUNCTION("IF(ISBLANK(A454),"""",GOOGLETRANSLATE(A454,""en"",""fr""))"),"")</f>
        <v/>
      </c>
    </row>
    <row r="455" spans="2:2">
      <c r="B455" s="3" t="str">
        <f ca="1">IFERROR(__xludf.DUMMYFUNCTION("IF(ISBLANK(A455),"""",GOOGLETRANSLATE(A455,""en"",""fr""))"),"")</f>
        <v/>
      </c>
    </row>
    <row r="456" spans="2:2">
      <c r="B456" s="3" t="str">
        <f ca="1">IFERROR(__xludf.DUMMYFUNCTION("IF(ISBLANK(A456),"""",GOOGLETRANSLATE(A456,""en"",""fr""))"),"")</f>
        <v/>
      </c>
    </row>
    <row r="457" spans="2:2">
      <c r="B457" s="3" t="str">
        <f ca="1">IFERROR(__xludf.DUMMYFUNCTION("IF(ISBLANK(A457),"""",GOOGLETRANSLATE(A457,""en"",""fr""))"),"")</f>
        <v/>
      </c>
    </row>
    <row r="458" spans="2:2">
      <c r="B458" s="3" t="str">
        <f ca="1">IFERROR(__xludf.DUMMYFUNCTION("IF(ISBLANK(A458),"""",GOOGLETRANSLATE(A458,""en"",""fr""))"),"")</f>
        <v/>
      </c>
    </row>
    <row r="459" spans="2:2">
      <c r="B459" s="3" t="str">
        <f ca="1">IFERROR(__xludf.DUMMYFUNCTION("IF(ISBLANK(A459),"""",GOOGLETRANSLATE(A459,""en"",""fr""))"),"")</f>
        <v/>
      </c>
    </row>
    <row r="460" spans="2:2">
      <c r="B460" s="3" t="str">
        <f ca="1">IFERROR(__xludf.DUMMYFUNCTION("IF(ISBLANK(A460),"""",GOOGLETRANSLATE(A460,""en"",""fr""))"),"")</f>
        <v/>
      </c>
    </row>
    <row r="461" spans="2:2">
      <c r="B461" s="3" t="str">
        <f ca="1">IFERROR(__xludf.DUMMYFUNCTION("IF(ISBLANK(A461),"""",GOOGLETRANSLATE(A461,""en"",""fr""))"),"")</f>
        <v/>
      </c>
    </row>
    <row r="462" spans="2:2">
      <c r="B462" s="3" t="str">
        <f ca="1">IFERROR(__xludf.DUMMYFUNCTION("IF(ISBLANK(A462),"""",GOOGLETRANSLATE(A462,""en"",""fr""))"),"")</f>
        <v/>
      </c>
    </row>
    <row r="463" spans="2:2">
      <c r="B463" s="3" t="str">
        <f ca="1">IFERROR(__xludf.DUMMYFUNCTION("IF(ISBLANK(A463),"""",GOOGLETRANSLATE(A463,""en"",""fr""))"),"")</f>
        <v/>
      </c>
    </row>
    <row r="464" spans="2:2">
      <c r="B464" s="3" t="str">
        <f ca="1">IFERROR(__xludf.DUMMYFUNCTION("IF(ISBLANK(A464),"""",GOOGLETRANSLATE(A464,""en"",""fr""))"),"")</f>
        <v/>
      </c>
    </row>
    <row r="465" spans="2:2">
      <c r="B465" s="3" t="str">
        <f ca="1">IFERROR(__xludf.DUMMYFUNCTION("IF(ISBLANK(A465),"""",GOOGLETRANSLATE(A465,""en"",""fr""))"),"")</f>
        <v/>
      </c>
    </row>
    <row r="466" spans="2:2">
      <c r="B466" s="3" t="str">
        <f ca="1">IFERROR(__xludf.DUMMYFUNCTION("IF(ISBLANK(A466),"""",GOOGLETRANSLATE(A466,""en"",""fr""))"),"")</f>
        <v/>
      </c>
    </row>
    <row r="467" spans="2:2">
      <c r="B467" s="3" t="str">
        <f ca="1">IFERROR(__xludf.DUMMYFUNCTION("IF(ISBLANK(A467),"""",GOOGLETRANSLATE(A467,""en"",""fr""))"),"")</f>
        <v/>
      </c>
    </row>
    <row r="468" spans="2:2">
      <c r="B468" s="3" t="str">
        <f ca="1">IFERROR(__xludf.DUMMYFUNCTION("IF(ISBLANK(A468),"""",GOOGLETRANSLATE(A468,""en"",""fr""))"),"")</f>
        <v/>
      </c>
    </row>
    <row r="469" spans="2:2">
      <c r="B469" s="3" t="str">
        <f ca="1">IFERROR(__xludf.DUMMYFUNCTION("IF(ISBLANK(A469),"""",GOOGLETRANSLATE(A469,""en"",""fr""))"),"")</f>
        <v/>
      </c>
    </row>
    <row r="470" spans="2:2">
      <c r="B470" s="3" t="str">
        <f ca="1">IFERROR(__xludf.DUMMYFUNCTION("IF(ISBLANK(A470),"""",GOOGLETRANSLATE(A470,""en"",""fr""))"),"")</f>
        <v/>
      </c>
    </row>
    <row r="471" spans="2:2">
      <c r="B471" s="3" t="str">
        <f ca="1">IFERROR(__xludf.DUMMYFUNCTION("IF(ISBLANK(A471),"""",GOOGLETRANSLATE(A471,""en"",""fr""))"),"")</f>
        <v/>
      </c>
    </row>
    <row r="472" spans="2:2">
      <c r="B472" s="3" t="str">
        <f ca="1">IFERROR(__xludf.DUMMYFUNCTION("IF(ISBLANK(A472),"""",GOOGLETRANSLATE(A472,""en"",""fr""))"),"")</f>
        <v/>
      </c>
    </row>
    <row r="473" spans="2:2">
      <c r="B473" s="3" t="str">
        <f ca="1">IFERROR(__xludf.DUMMYFUNCTION("IF(ISBLANK(A473),"""",GOOGLETRANSLATE(A473,""en"",""fr""))"),"")</f>
        <v/>
      </c>
    </row>
    <row r="474" spans="2:2">
      <c r="B474" s="3" t="str">
        <f ca="1">IFERROR(__xludf.DUMMYFUNCTION("IF(ISBLANK(A474),"""",GOOGLETRANSLATE(A474,""en"",""fr""))"),"")</f>
        <v/>
      </c>
    </row>
    <row r="475" spans="2:2">
      <c r="B475" s="3" t="str">
        <f ca="1">IFERROR(__xludf.DUMMYFUNCTION("IF(ISBLANK(A475),"""",GOOGLETRANSLATE(A475,""en"",""fr""))"),"")</f>
        <v/>
      </c>
    </row>
    <row r="476" spans="2:2">
      <c r="B476" s="3" t="str">
        <f ca="1">IFERROR(__xludf.DUMMYFUNCTION("IF(ISBLANK(A476),"""",GOOGLETRANSLATE(A476,""en"",""fr""))"),"")</f>
        <v/>
      </c>
    </row>
    <row r="477" spans="2:2">
      <c r="B477" s="3" t="str">
        <f ca="1">IFERROR(__xludf.DUMMYFUNCTION("IF(ISBLANK(A477),"""",GOOGLETRANSLATE(A477,""en"",""fr""))"),"")</f>
        <v/>
      </c>
    </row>
    <row r="478" spans="2:2">
      <c r="B478" s="3" t="str">
        <f ca="1">IFERROR(__xludf.DUMMYFUNCTION("IF(ISBLANK(A478),"""",GOOGLETRANSLATE(A478,""en"",""fr""))"),"")</f>
        <v/>
      </c>
    </row>
    <row r="479" spans="2:2">
      <c r="B479" s="3" t="str">
        <f ca="1">IFERROR(__xludf.DUMMYFUNCTION("IF(ISBLANK(A479),"""",GOOGLETRANSLATE(A479,""en"",""fr""))"),"")</f>
        <v/>
      </c>
    </row>
    <row r="480" spans="2:2">
      <c r="B480" s="3" t="str">
        <f ca="1">IFERROR(__xludf.DUMMYFUNCTION("IF(ISBLANK(A480),"""",GOOGLETRANSLATE(A480,""en"",""fr""))"),"")</f>
        <v/>
      </c>
    </row>
    <row r="481" spans="2:2">
      <c r="B481" s="3" t="str">
        <f ca="1">IFERROR(__xludf.DUMMYFUNCTION("IF(ISBLANK(A481),"""",GOOGLETRANSLATE(A481,""en"",""fr""))"),"")</f>
        <v/>
      </c>
    </row>
    <row r="482" spans="2:2">
      <c r="B482" s="3" t="str">
        <f ca="1">IFERROR(__xludf.DUMMYFUNCTION("IF(ISBLANK(A482),"""",GOOGLETRANSLATE(A482,""en"",""fr""))"),"")</f>
        <v/>
      </c>
    </row>
    <row r="483" spans="2:2">
      <c r="B483" s="3" t="str">
        <f ca="1">IFERROR(__xludf.DUMMYFUNCTION("IF(ISBLANK(A483),"""",GOOGLETRANSLATE(A483,""en"",""fr""))"),"")</f>
        <v/>
      </c>
    </row>
    <row r="484" spans="2:2">
      <c r="B484" s="3" t="str">
        <f ca="1">IFERROR(__xludf.DUMMYFUNCTION("IF(ISBLANK(A484),"""",GOOGLETRANSLATE(A484,""en"",""fr""))"),"")</f>
        <v/>
      </c>
    </row>
    <row r="485" spans="2:2">
      <c r="B485" s="3" t="str">
        <f ca="1">IFERROR(__xludf.DUMMYFUNCTION("IF(ISBLANK(A485),"""",GOOGLETRANSLATE(A485,""en"",""fr""))"),"")</f>
        <v/>
      </c>
    </row>
    <row r="486" spans="2:2">
      <c r="B486" s="3" t="str">
        <f ca="1">IFERROR(__xludf.DUMMYFUNCTION("IF(ISBLANK(A486),"""",GOOGLETRANSLATE(A486,""en"",""fr""))"),"")</f>
        <v/>
      </c>
    </row>
    <row r="487" spans="2:2">
      <c r="B487" s="3" t="str">
        <f ca="1">IFERROR(__xludf.DUMMYFUNCTION("IF(ISBLANK(A487),"""",GOOGLETRANSLATE(A487,""en"",""fr""))"),"")</f>
        <v/>
      </c>
    </row>
    <row r="488" spans="2:2">
      <c r="B488" s="3" t="str">
        <f ca="1">IFERROR(__xludf.DUMMYFUNCTION("IF(ISBLANK(A488),"""",GOOGLETRANSLATE(A488,""en"",""fr""))"),"")</f>
        <v/>
      </c>
    </row>
    <row r="489" spans="2:2">
      <c r="B489" s="3" t="str">
        <f ca="1">IFERROR(__xludf.DUMMYFUNCTION("IF(ISBLANK(A489),"""",GOOGLETRANSLATE(A489,""en"",""fr""))"),"")</f>
        <v/>
      </c>
    </row>
    <row r="490" spans="2:2">
      <c r="B490" s="3" t="str">
        <f ca="1">IFERROR(__xludf.DUMMYFUNCTION("IF(ISBLANK(A490),"""",GOOGLETRANSLATE(A490,""en"",""fr""))"),"")</f>
        <v/>
      </c>
    </row>
    <row r="491" spans="2:2">
      <c r="B491" s="3" t="str">
        <f ca="1">IFERROR(__xludf.DUMMYFUNCTION("IF(ISBLANK(A491),"""",GOOGLETRANSLATE(A491,""en"",""fr""))"),"")</f>
        <v/>
      </c>
    </row>
    <row r="492" spans="2:2">
      <c r="B492" s="3" t="str">
        <f ca="1">IFERROR(__xludf.DUMMYFUNCTION("IF(ISBLANK(A492),"""",GOOGLETRANSLATE(A492,""en"",""fr""))"),"")</f>
        <v/>
      </c>
    </row>
    <row r="493" spans="2:2">
      <c r="B493" s="3" t="str">
        <f ca="1">IFERROR(__xludf.DUMMYFUNCTION("IF(ISBLANK(A493),"""",GOOGLETRANSLATE(A493,""en"",""fr""))"),"")</f>
        <v/>
      </c>
    </row>
    <row r="494" spans="2:2">
      <c r="B494" s="3" t="str">
        <f ca="1">IFERROR(__xludf.DUMMYFUNCTION("IF(ISBLANK(A494),"""",GOOGLETRANSLATE(A494,""en"",""fr""))"),"")</f>
        <v/>
      </c>
    </row>
    <row r="495" spans="2:2">
      <c r="B495" s="3" t="str">
        <f ca="1">IFERROR(__xludf.DUMMYFUNCTION("IF(ISBLANK(A495),"""",GOOGLETRANSLATE(A495,""en"",""fr""))"),"")</f>
        <v/>
      </c>
    </row>
    <row r="496" spans="2:2">
      <c r="B496" s="3" t="str">
        <f ca="1">IFERROR(__xludf.DUMMYFUNCTION("IF(ISBLANK(A496),"""",GOOGLETRANSLATE(A496,""en"",""fr""))"),"")</f>
        <v/>
      </c>
    </row>
    <row r="497" spans="2:2">
      <c r="B497" s="3" t="str">
        <f ca="1">IFERROR(__xludf.DUMMYFUNCTION("IF(ISBLANK(A497),"""",GOOGLETRANSLATE(A497,""en"",""fr""))"),"")</f>
        <v/>
      </c>
    </row>
    <row r="498" spans="2:2">
      <c r="B498" s="3" t="str">
        <f ca="1">IFERROR(__xludf.DUMMYFUNCTION("IF(ISBLANK(A498),"""",GOOGLETRANSLATE(A498,""en"",""fr""))"),"")</f>
        <v/>
      </c>
    </row>
    <row r="499" spans="2:2">
      <c r="B499" s="3" t="str">
        <f ca="1">IFERROR(__xludf.DUMMYFUNCTION("IF(ISBLANK(A499),"""",GOOGLETRANSLATE(A499,""en"",""fr""))"),"")</f>
        <v/>
      </c>
    </row>
    <row r="500" spans="2:2">
      <c r="B500" s="3" t="str">
        <f ca="1">IFERROR(__xludf.DUMMYFUNCTION("IF(ISBLANK(A500),"""",GOOGLETRANSLATE(A500,""en"",""fr""))"),"")</f>
        <v/>
      </c>
    </row>
    <row r="501" spans="2:2">
      <c r="B501" s="3" t="str">
        <f ca="1">IFERROR(__xludf.DUMMYFUNCTION("IF(ISBLANK(A501),"""",GOOGLETRANSLATE(A501,""en"",""fr""))"),"")</f>
        <v/>
      </c>
    </row>
    <row r="502" spans="2:2">
      <c r="B502" s="3" t="str">
        <f ca="1">IFERROR(__xludf.DUMMYFUNCTION("IF(ISBLANK(A502),"""",GOOGLETRANSLATE(A502,""en"",""fr""))"),"")</f>
        <v/>
      </c>
    </row>
    <row r="503" spans="2:2">
      <c r="B503" s="3" t="str">
        <f ca="1">IFERROR(__xludf.DUMMYFUNCTION("IF(ISBLANK(A503),"""",GOOGLETRANSLATE(A503,""en"",""fr""))"),"")</f>
        <v/>
      </c>
    </row>
    <row r="504" spans="2:2">
      <c r="B504" s="3" t="str">
        <f ca="1">IFERROR(__xludf.DUMMYFUNCTION("IF(ISBLANK(A504),"""",GOOGLETRANSLATE(A504,""en"",""fr""))"),"")</f>
        <v/>
      </c>
    </row>
    <row r="505" spans="2:2">
      <c r="B505" s="3" t="str">
        <f ca="1">IFERROR(__xludf.DUMMYFUNCTION("IF(ISBLANK(A505),"""",GOOGLETRANSLATE(A505,""en"",""fr""))"),"")</f>
        <v/>
      </c>
    </row>
    <row r="506" spans="2:2">
      <c r="B506" s="3" t="str">
        <f ca="1">IFERROR(__xludf.DUMMYFUNCTION("IF(ISBLANK(A506),"""",GOOGLETRANSLATE(A506,""en"",""fr""))"),"")</f>
        <v/>
      </c>
    </row>
    <row r="507" spans="2:2">
      <c r="B507" s="3" t="str">
        <f ca="1">IFERROR(__xludf.DUMMYFUNCTION("IF(ISBLANK(A507),"""",GOOGLETRANSLATE(A507,""en"",""fr""))"),"")</f>
        <v/>
      </c>
    </row>
    <row r="508" spans="2:2">
      <c r="B508" s="3" t="str">
        <f ca="1">IFERROR(__xludf.DUMMYFUNCTION("IF(ISBLANK(A508),"""",GOOGLETRANSLATE(A508,""en"",""fr""))"),"")</f>
        <v/>
      </c>
    </row>
    <row r="509" spans="2:2">
      <c r="B509" s="3" t="str">
        <f ca="1">IFERROR(__xludf.DUMMYFUNCTION("IF(ISBLANK(A509),"""",GOOGLETRANSLATE(A509,""en"",""fr""))"),"")</f>
        <v/>
      </c>
    </row>
    <row r="510" spans="2:2">
      <c r="B510" s="3" t="str">
        <f ca="1">IFERROR(__xludf.DUMMYFUNCTION("IF(ISBLANK(A510),"""",GOOGLETRANSLATE(A510,""en"",""fr""))"),"")</f>
        <v/>
      </c>
    </row>
    <row r="511" spans="2:2">
      <c r="B511" s="3" t="str">
        <f ca="1">IFERROR(__xludf.DUMMYFUNCTION("IF(ISBLANK(A511),"""",GOOGLETRANSLATE(A511,""en"",""fr""))"),"")</f>
        <v/>
      </c>
    </row>
    <row r="512" spans="2:2">
      <c r="B512" s="3" t="str">
        <f ca="1">IFERROR(__xludf.DUMMYFUNCTION("IF(ISBLANK(A512),"""",GOOGLETRANSLATE(A512,""en"",""fr""))"),"")</f>
        <v/>
      </c>
    </row>
    <row r="513" spans="2:2">
      <c r="B513" s="3" t="str">
        <f ca="1">IFERROR(__xludf.DUMMYFUNCTION("IF(ISBLANK(A513),"""",GOOGLETRANSLATE(A513,""en"",""fr""))"),"")</f>
        <v/>
      </c>
    </row>
    <row r="514" spans="2:2">
      <c r="B514" s="3" t="str">
        <f ca="1">IFERROR(__xludf.DUMMYFUNCTION("IF(ISBLANK(A514),"""",GOOGLETRANSLATE(A514,""en"",""fr""))"),"")</f>
        <v/>
      </c>
    </row>
    <row r="515" spans="2:2">
      <c r="B515" s="3" t="str">
        <f ca="1">IFERROR(__xludf.DUMMYFUNCTION("IF(ISBLANK(A515),"""",GOOGLETRANSLATE(A515,""en"",""fr""))"),"")</f>
        <v/>
      </c>
    </row>
    <row r="516" spans="2:2">
      <c r="B516" s="3" t="str">
        <f ca="1">IFERROR(__xludf.DUMMYFUNCTION("IF(ISBLANK(A516),"""",GOOGLETRANSLATE(A516,""en"",""fr""))"),"")</f>
        <v/>
      </c>
    </row>
    <row r="517" spans="2:2">
      <c r="B517" s="3" t="str">
        <f ca="1">IFERROR(__xludf.DUMMYFUNCTION("IF(ISBLANK(A517),"""",GOOGLETRANSLATE(A517,""en"",""fr""))"),"")</f>
        <v/>
      </c>
    </row>
    <row r="518" spans="2:2">
      <c r="B518" s="3" t="str">
        <f ca="1">IFERROR(__xludf.DUMMYFUNCTION("IF(ISBLANK(A518),"""",GOOGLETRANSLATE(A518,""en"",""fr""))"),"")</f>
        <v/>
      </c>
    </row>
    <row r="519" spans="2:2">
      <c r="B519" s="3" t="str">
        <f ca="1">IFERROR(__xludf.DUMMYFUNCTION("IF(ISBLANK(A519),"""",GOOGLETRANSLATE(A519,""en"",""fr""))"),"")</f>
        <v/>
      </c>
    </row>
    <row r="520" spans="2:2">
      <c r="B520" s="3" t="str">
        <f ca="1">IFERROR(__xludf.DUMMYFUNCTION("IF(ISBLANK(A520),"""",GOOGLETRANSLATE(A520,""en"",""fr""))"),"")</f>
        <v/>
      </c>
    </row>
    <row r="521" spans="2:2">
      <c r="B521" s="3" t="str">
        <f ca="1">IFERROR(__xludf.DUMMYFUNCTION("IF(ISBLANK(A521),"""",GOOGLETRANSLATE(A521,""en"",""fr""))"),"")</f>
        <v/>
      </c>
    </row>
    <row r="522" spans="2:2">
      <c r="B522" s="3" t="str">
        <f ca="1">IFERROR(__xludf.DUMMYFUNCTION("IF(ISBLANK(A522),"""",GOOGLETRANSLATE(A522,""en"",""fr""))"),"")</f>
        <v/>
      </c>
    </row>
    <row r="523" spans="2:2">
      <c r="B523" s="3" t="str">
        <f ca="1">IFERROR(__xludf.DUMMYFUNCTION("IF(ISBLANK(A523),"""",GOOGLETRANSLATE(A523,""en"",""fr""))"),"")</f>
        <v/>
      </c>
    </row>
    <row r="524" spans="2:2">
      <c r="B524" s="3" t="str">
        <f ca="1">IFERROR(__xludf.DUMMYFUNCTION("IF(ISBLANK(A524),"""",GOOGLETRANSLATE(A524,""en"",""fr""))"),"")</f>
        <v/>
      </c>
    </row>
    <row r="525" spans="2:2">
      <c r="B525" s="3" t="str">
        <f ca="1">IFERROR(__xludf.DUMMYFUNCTION("IF(ISBLANK(A525),"""",GOOGLETRANSLATE(A525,""en"",""fr""))"),"")</f>
        <v/>
      </c>
    </row>
    <row r="526" spans="2:2">
      <c r="B526" s="3" t="str">
        <f ca="1">IFERROR(__xludf.DUMMYFUNCTION("IF(ISBLANK(A526),"""",GOOGLETRANSLATE(A526,""en"",""fr""))"),"")</f>
        <v/>
      </c>
    </row>
    <row r="527" spans="2:2">
      <c r="B527" s="3" t="str">
        <f ca="1">IFERROR(__xludf.DUMMYFUNCTION("IF(ISBLANK(A527),"""",GOOGLETRANSLATE(A527,""en"",""fr""))"),"")</f>
        <v/>
      </c>
    </row>
    <row r="528" spans="2:2">
      <c r="B528" s="3" t="str">
        <f ca="1">IFERROR(__xludf.DUMMYFUNCTION("IF(ISBLANK(A528),"""",GOOGLETRANSLATE(A528,""en"",""fr""))"),"")</f>
        <v/>
      </c>
    </row>
    <row r="529" spans="2:2">
      <c r="B529" s="3" t="str">
        <f ca="1">IFERROR(__xludf.DUMMYFUNCTION("IF(ISBLANK(A529),"""",GOOGLETRANSLATE(A529,""en"",""fr""))"),"")</f>
        <v/>
      </c>
    </row>
    <row r="530" spans="2:2">
      <c r="B530" s="3" t="str">
        <f ca="1">IFERROR(__xludf.DUMMYFUNCTION("IF(ISBLANK(A530),"""",GOOGLETRANSLATE(A530,""en"",""fr""))"),"")</f>
        <v/>
      </c>
    </row>
    <row r="531" spans="2:2">
      <c r="B531" s="3" t="str">
        <f ca="1">IFERROR(__xludf.DUMMYFUNCTION("IF(ISBLANK(A531),"""",GOOGLETRANSLATE(A531,""en"",""fr""))"),"")</f>
        <v/>
      </c>
    </row>
    <row r="532" spans="2:2">
      <c r="B532" s="3" t="str">
        <f ca="1">IFERROR(__xludf.DUMMYFUNCTION("IF(ISBLANK(A532),"""",GOOGLETRANSLATE(A532,""en"",""fr""))"),"")</f>
        <v/>
      </c>
    </row>
    <row r="533" spans="2:2">
      <c r="B533" s="3" t="str">
        <f ca="1">IFERROR(__xludf.DUMMYFUNCTION("IF(ISBLANK(A533),"""",GOOGLETRANSLATE(A533,""en"",""fr""))"),"")</f>
        <v/>
      </c>
    </row>
    <row r="534" spans="2:2">
      <c r="B534" s="3" t="str">
        <f ca="1">IFERROR(__xludf.DUMMYFUNCTION("IF(ISBLANK(A534),"""",GOOGLETRANSLATE(A534,""en"",""fr""))"),"")</f>
        <v/>
      </c>
    </row>
    <row r="535" spans="2:2">
      <c r="B535" s="3" t="str">
        <f ca="1">IFERROR(__xludf.DUMMYFUNCTION("IF(ISBLANK(A535),"""",GOOGLETRANSLATE(A535,""en"",""fr""))"),"")</f>
        <v/>
      </c>
    </row>
    <row r="536" spans="2:2">
      <c r="B536" s="3" t="str">
        <f ca="1">IFERROR(__xludf.DUMMYFUNCTION("IF(ISBLANK(A536),"""",GOOGLETRANSLATE(A536,""en"",""fr""))"),"")</f>
        <v/>
      </c>
    </row>
    <row r="537" spans="2:2">
      <c r="B537" s="3" t="str">
        <f ca="1">IFERROR(__xludf.DUMMYFUNCTION("IF(ISBLANK(A537),"""",GOOGLETRANSLATE(A537,""en"",""fr""))"),"")</f>
        <v/>
      </c>
    </row>
    <row r="538" spans="2:2">
      <c r="B538" s="3" t="str">
        <f ca="1">IFERROR(__xludf.DUMMYFUNCTION("IF(ISBLANK(A538),"""",GOOGLETRANSLATE(A538,""en"",""fr""))"),"")</f>
        <v/>
      </c>
    </row>
    <row r="539" spans="2:2">
      <c r="B539" s="3" t="str">
        <f ca="1">IFERROR(__xludf.DUMMYFUNCTION("IF(ISBLANK(A539),"""",GOOGLETRANSLATE(A539,""en"",""fr""))"),"")</f>
        <v/>
      </c>
    </row>
    <row r="540" spans="2:2">
      <c r="B540" s="3" t="str">
        <f ca="1">IFERROR(__xludf.DUMMYFUNCTION("IF(ISBLANK(A540),"""",GOOGLETRANSLATE(A540,""en"",""fr""))"),"")</f>
        <v/>
      </c>
    </row>
    <row r="541" spans="2:2">
      <c r="B541" s="3" t="str">
        <f ca="1">IFERROR(__xludf.DUMMYFUNCTION("IF(ISBLANK(A541),"""",GOOGLETRANSLATE(A541,""en"",""fr""))"),"")</f>
        <v/>
      </c>
    </row>
    <row r="542" spans="2:2">
      <c r="B542" s="3" t="str">
        <f ca="1">IFERROR(__xludf.DUMMYFUNCTION("IF(ISBLANK(A542),"""",GOOGLETRANSLATE(A542,""en"",""fr""))"),"")</f>
        <v/>
      </c>
    </row>
    <row r="543" spans="2:2">
      <c r="B543" s="3" t="str">
        <f ca="1">IFERROR(__xludf.DUMMYFUNCTION("IF(ISBLANK(A543),"""",GOOGLETRANSLATE(A543,""en"",""fr""))"),"")</f>
        <v/>
      </c>
    </row>
    <row r="544" spans="2:2">
      <c r="B544" s="3" t="str">
        <f ca="1">IFERROR(__xludf.DUMMYFUNCTION("IF(ISBLANK(A544),"""",GOOGLETRANSLATE(A544,""en"",""fr""))"),"")</f>
        <v/>
      </c>
    </row>
    <row r="545" spans="2:2">
      <c r="B545" s="3" t="str">
        <f ca="1">IFERROR(__xludf.DUMMYFUNCTION("IF(ISBLANK(A545),"""",GOOGLETRANSLATE(A545,""en"",""fr""))"),"")</f>
        <v/>
      </c>
    </row>
    <row r="546" spans="2:2">
      <c r="B546" s="3" t="str">
        <f ca="1">IFERROR(__xludf.DUMMYFUNCTION("IF(ISBLANK(A546),"""",GOOGLETRANSLATE(A546,""en"",""fr""))"),"")</f>
        <v/>
      </c>
    </row>
    <row r="547" spans="2:2">
      <c r="B547" s="3" t="str">
        <f ca="1">IFERROR(__xludf.DUMMYFUNCTION("IF(ISBLANK(A547),"""",GOOGLETRANSLATE(A547,""en"",""fr""))"),"")</f>
        <v/>
      </c>
    </row>
    <row r="548" spans="2:2">
      <c r="B548" s="3" t="str">
        <f ca="1">IFERROR(__xludf.DUMMYFUNCTION("IF(ISBLANK(A548),"""",GOOGLETRANSLATE(A548,""en"",""fr""))"),"")</f>
        <v/>
      </c>
    </row>
    <row r="549" spans="2:2">
      <c r="B549" s="3" t="str">
        <f ca="1">IFERROR(__xludf.DUMMYFUNCTION("IF(ISBLANK(A549),"""",GOOGLETRANSLATE(A549,""en"",""fr""))"),"")</f>
        <v/>
      </c>
    </row>
    <row r="550" spans="2:2">
      <c r="B550" s="3" t="str">
        <f ca="1">IFERROR(__xludf.DUMMYFUNCTION("IF(ISBLANK(A550),"""",GOOGLETRANSLATE(A550,""en"",""fr""))"),"")</f>
        <v/>
      </c>
    </row>
    <row r="551" spans="2:2">
      <c r="B551" s="3" t="str">
        <f ca="1">IFERROR(__xludf.DUMMYFUNCTION("IF(ISBLANK(A551),"""",GOOGLETRANSLATE(A551,""en"",""fr""))"),"")</f>
        <v/>
      </c>
    </row>
    <row r="552" spans="2:2">
      <c r="B552" s="3" t="str">
        <f ca="1">IFERROR(__xludf.DUMMYFUNCTION("IF(ISBLANK(A552),"""",GOOGLETRANSLATE(A552,""en"",""fr""))"),"")</f>
        <v/>
      </c>
    </row>
    <row r="553" spans="2:2">
      <c r="B553" s="3" t="str">
        <f ca="1">IFERROR(__xludf.DUMMYFUNCTION("IF(ISBLANK(A553),"""",GOOGLETRANSLATE(A553,""en"",""fr""))"),"")</f>
        <v/>
      </c>
    </row>
    <row r="554" spans="2:2">
      <c r="B554" s="3" t="str">
        <f ca="1">IFERROR(__xludf.DUMMYFUNCTION("IF(ISBLANK(A554),"""",GOOGLETRANSLATE(A554,""en"",""fr""))"),"")</f>
        <v/>
      </c>
    </row>
    <row r="555" spans="2:2">
      <c r="B555" s="3" t="str">
        <f ca="1">IFERROR(__xludf.DUMMYFUNCTION("IF(ISBLANK(A555),"""",GOOGLETRANSLATE(A555,""en"",""fr""))"),"")</f>
        <v/>
      </c>
    </row>
    <row r="556" spans="2:2">
      <c r="B556" s="3" t="str">
        <f ca="1">IFERROR(__xludf.DUMMYFUNCTION("IF(ISBLANK(A556),"""",GOOGLETRANSLATE(A556,""en"",""fr""))"),"")</f>
        <v/>
      </c>
    </row>
    <row r="557" spans="2:2">
      <c r="B557" s="3" t="str">
        <f ca="1">IFERROR(__xludf.DUMMYFUNCTION("IF(ISBLANK(A557),"""",GOOGLETRANSLATE(A557,""en"",""fr""))"),"")</f>
        <v/>
      </c>
    </row>
    <row r="558" spans="2:2">
      <c r="B558" s="3" t="str">
        <f ca="1">IFERROR(__xludf.DUMMYFUNCTION("IF(ISBLANK(A558),"""",GOOGLETRANSLATE(A558,""en"",""fr""))"),"")</f>
        <v/>
      </c>
    </row>
    <row r="559" spans="2:2">
      <c r="B559" s="3" t="str">
        <f ca="1">IFERROR(__xludf.DUMMYFUNCTION("IF(ISBLANK(A559),"""",GOOGLETRANSLATE(A559,""en"",""fr""))"),"")</f>
        <v/>
      </c>
    </row>
    <row r="560" spans="2:2">
      <c r="B560" s="3" t="str">
        <f ca="1">IFERROR(__xludf.DUMMYFUNCTION("IF(ISBLANK(A560),"""",GOOGLETRANSLATE(A560,""en"",""fr""))"),"")</f>
        <v/>
      </c>
    </row>
    <row r="561" spans="2:2">
      <c r="B561" s="3" t="str">
        <f ca="1">IFERROR(__xludf.DUMMYFUNCTION("IF(ISBLANK(A561),"""",GOOGLETRANSLATE(A561,""en"",""fr""))"),"")</f>
        <v/>
      </c>
    </row>
    <row r="562" spans="2:2">
      <c r="B562" s="3" t="str">
        <f ca="1">IFERROR(__xludf.DUMMYFUNCTION("IF(ISBLANK(A562),"""",GOOGLETRANSLATE(A562,""en"",""fr""))"),"")</f>
        <v/>
      </c>
    </row>
    <row r="563" spans="2:2">
      <c r="B563" s="3" t="str">
        <f ca="1">IFERROR(__xludf.DUMMYFUNCTION("IF(ISBLANK(A563),"""",GOOGLETRANSLATE(A563,""en"",""fr""))"),"")</f>
        <v/>
      </c>
    </row>
    <row r="564" spans="2:2">
      <c r="B564" s="3" t="str">
        <f ca="1">IFERROR(__xludf.DUMMYFUNCTION("IF(ISBLANK(A564),"""",GOOGLETRANSLATE(A564,""en"",""fr""))"),"")</f>
        <v/>
      </c>
    </row>
    <row r="565" spans="2:2">
      <c r="B565" s="3" t="str">
        <f ca="1">IFERROR(__xludf.DUMMYFUNCTION("IF(ISBLANK(A565),"""",GOOGLETRANSLATE(A565,""en"",""fr""))"),"")</f>
        <v/>
      </c>
    </row>
    <row r="566" spans="2:2">
      <c r="B566" s="3" t="str">
        <f ca="1">IFERROR(__xludf.DUMMYFUNCTION("IF(ISBLANK(A566),"""",GOOGLETRANSLATE(A566,""en"",""fr""))"),"")</f>
        <v/>
      </c>
    </row>
    <row r="567" spans="2:2">
      <c r="B567" s="3" t="str">
        <f ca="1">IFERROR(__xludf.DUMMYFUNCTION("IF(ISBLANK(A567),"""",GOOGLETRANSLATE(A567,""en"",""fr""))"),"")</f>
        <v/>
      </c>
    </row>
    <row r="568" spans="2:2">
      <c r="B568" s="3" t="str">
        <f ca="1">IFERROR(__xludf.DUMMYFUNCTION("IF(ISBLANK(A568),"""",GOOGLETRANSLATE(A568,""en"",""fr""))"),"")</f>
        <v/>
      </c>
    </row>
    <row r="569" spans="2:2">
      <c r="B569" s="3" t="str">
        <f ca="1">IFERROR(__xludf.DUMMYFUNCTION("IF(ISBLANK(A569),"""",GOOGLETRANSLATE(A569,""en"",""fr""))"),"")</f>
        <v/>
      </c>
    </row>
    <row r="570" spans="2:2">
      <c r="B570" s="3" t="str">
        <f ca="1">IFERROR(__xludf.DUMMYFUNCTION("IF(ISBLANK(A570),"""",GOOGLETRANSLATE(A570,""en"",""fr""))"),"")</f>
        <v/>
      </c>
    </row>
    <row r="571" spans="2:2">
      <c r="B571" s="3" t="str">
        <f ca="1">IFERROR(__xludf.DUMMYFUNCTION("IF(ISBLANK(A571),"""",GOOGLETRANSLATE(A571,""en"",""fr""))"),"")</f>
        <v/>
      </c>
    </row>
    <row r="572" spans="2:2">
      <c r="B572" s="3" t="str">
        <f ca="1">IFERROR(__xludf.DUMMYFUNCTION("IF(ISBLANK(A572),"""",GOOGLETRANSLATE(A572,""en"",""fr""))"),"")</f>
        <v/>
      </c>
    </row>
    <row r="573" spans="2:2">
      <c r="B573" s="3" t="str">
        <f ca="1">IFERROR(__xludf.DUMMYFUNCTION("IF(ISBLANK(A573),"""",GOOGLETRANSLATE(A573,""en"",""fr""))"),"")</f>
        <v/>
      </c>
    </row>
    <row r="574" spans="2:2">
      <c r="B574" s="3" t="str">
        <f ca="1">IFERROR(__xludf.DUMMYFUNCTION("IF(ISBLANK(A574),"""",GOOGLETRANSLATE(A574,""en"",""fr""))"),"")</f>
        <v/>
      </c>
    </row>
    <row r="575" spans="2:2">
      <c r="B575" s="3" t="str">
        <f ca="1">IFERROR(__xludf.DUMMYFUNCTION("IF(ISBLANK(A575),"""",GOOGLETRANSLATE(A575,""en"",""fr""))"),"")</f>
        <v/>
      </c>
    </row>
    <row r="576" spans="2:2">
      <c r="B576" s="3" t="str">
        <f ca="1">IFERROR(__xludf.DUMMYFUNCTION("IF(ISBLANK(A576),"""",GOOGLETRANSLATE(A576,""en"",""fr""))"),"")</f>
        <v/>
      </c>
    </row>
    <row r="577" spans="2:2">
      <c r="B577" s="3" t="str">
        <f ca="1">IFERROR(__xludf.DUMMYFUNCTION("IF(ISBLANK(A577),"""",GOOGLETRANSLATE(A577,""en"",""fr""))"),"")</f>
        <v/>
      </c>
    </row>
    <row r="578" spans="2:2">
      <c r="B578" s="3" t="str">
        <f ca="1">IFERROR(__xludf.DUMMYFUNCTION("IF(ISBLANK(A578),"""",GOOGLETRANSLATE(A578,""en"",""fr""))"),"")</f>
        <v/>
      </c>
    </row>
    <row r="579" spans="2:2">
      <c r="B579" s="3" t="str">
        <f ca="1">IFERROR(__xludf.DUMMYFUNCTION("IF(ISBLANK(A579),"""",GOOGLETRANSLATE(A579,""en"",""fr""))"),"")</f>
        <v/>
      </c>
    </row>
    <row r="580" spans="2:2">
      <c r="B580" s="3" t="str">
        <f ca="1">IFERROR(__xludf.DUMMYFUNCTION("IF(ISBLANK(A580),"""",GOOGLETRANSLATE(A580,""en"",""fr""))"),"")</f>
        <v/>
      </c>
    </row>
    <row r="581" spans="2:2">
      <c r="B581" s="3" t="str">
        <f ca="1">IFERROR(__xludf.DUMMYFUNCTION("IF(ISBLANK(A581),"""",GOOGLETRANSLATE(A581,""en"",""fr""))"),"")</f>
        <v/>
      </c>
    </row>
    <row r="582" spans="2:2">
      <c r="B582" s="3" t="str">
        <f ca="1">IFERROR(__xludf.DUMMYFUNCTION("IF(ISBLANK(A582),"""",GOOGLETRANSLATE(A582,""en"",""fr""))"),"")</f>
        <v/>
      </c>
    </row>
    <row r="583" spans="2:2">
      <c r="B583" s="3" t="str">
        <f ca="1">IFERROR(__xludf.DUMMYFUNCTION("IF(ISBLANK(A583),"""",GOOGLETRANSLATE(A583,""en"",""fr""))"),"")</f>
        <v/>
      </c>
    </row>
    <row r="584" spans="2:2">
      <c r="B584" s="3" t="str">
        <f ca="1">IFERROR(__xludf.DUMMYFUNCTION("IF(ISBLANK(A584),"""",GOOGLETRANSLATE(A584,""en"",""fr""))"),"")</f>
        <v/>
      </c>
    </row>
    <row r="585" spans="2:2">
      <c r="B585" s="3" t="str">
        <f ca="1">IFERROR(__xludf.DUMMYFUNCTION("IF(ISBLANK(A585),"""",GOOGLETRANSLATE(A585,""en"",""fr""))"),"")</f>
        <v/>
      </c>
    </row>
    <row r="586" spans="2:2">
      <c r="B586" s="3" t="str">
        <f ca="1">IFERROR(__xludf.DUMMYFUNCTION("IF(ISBLANK(A586),"""",GOOGLETRANSLATE(A586,""en"",""fr""))"),"")</f>
        <v/>
      </c>
    </row>
    <row r="587" spans="2:2">
      <c r="B587" s="3" t="str">
        <f ca="1">IFERROR(__xludf.DUMMYFUNCTION("IF(ISBLANK(A587),"""",GOOGLETRANSLATE(A587,""en"",""fr""))"),"")</f>
        <v/>
      </c>
    </row>
    <row r="588" spans="2:2">
      <c r="B588" s="3" t="str">
        <f ca="1">IFERROR(__xludf.DUMMYFUNCTION("IF(ISBLANK(A588),"""",GOOGLETRANSLATE(A588,""en"",""fr""))"),"")</f>
        <v/>
      </c>
    </row>
    <row r="589" spans="2:2">
      <c r="B589" s="3" t="str">
        <f ca="1">IFERROR(__xludf.DUMMYFUNCTION("IF(ISBLANK(A589),"""",GOOGLETRANSLATE(A589,""en"",""fr""))"),"")</f>
        <v/>
      </c>
    </row>
    <row r="590" spans="2:2">
      <c r="B590" s="3" t="str">
        <f ca="1">IFERROR(__xludf.DUMMYFUNCTION("IF(ISBLANK(A590),"""",GOOGLETRANSLATE(A590,""en"",""fr""))"),"")</f>
        <v/>
      </c>
    </row>
    <row r="591" spans="2:2">
      <c r="B591" s="3" t="str">
        <f ca="1">IFERROR(__xludf.DUMMYFUNCTION("IF(ISBLANK(A591),"""",GOOGLETRANSLATE(A591,""en"",""fr""))"),"")</f>
        <v/>
      </c>
    </row>
    <row r="592" spans="2:2">
      <c r="B592" s="3" t="str">
        <f ca="1">IFERROR(__xludf.DUMMYFUNCTION("IF(ISBLANK(A592),"""",GOOGLETRANSLATE(A592,""en"",""fr""))"),"")</f>
        <v/>
      </c>
    </row>
    <row r="593" spans="2:2">
      <c r="B593" s="3" t="str">
        <f ca="1">IFERROR(__xludf.DUMMYFUNCTION("IF(ISBLANK(A593),"""",GOOGLETRANSLATE(A593,""en"",""fr""))"),"")</f>
        <v/>
      </c>
    </row>
    <row r="594" spans="2:2">
      <c r="B594" s="3" t="str">
        <f ca="1">IFERROR(__xludf.DUMMYFUNCTION("IF(ISBLANK(A594),"""",GOOGLETRANSLATE(A594,""en"",""fr""))"),"")</f>
        <v/>
      </c>
    </row>
    <row r="595" spans="2:2">
      <c r="B595" s="3" t="str">
        <f ca="1">IFERROR(__xludf.DUMMYFUNCTION("IF(ISBLANK(A595),"""",GOOGLETRANSLATE(A595,""en"",""fr""))"),"")</f>
        <v/>
      </c>
    </row>
    <row r="596" spans="2:2">
      <c r="B596" s="3" t="str">
        <f ca="1">IFERROR(__xludf.DUMMYFUNCTION("IF(ISBLANK(A596),"""",GOOGLETRANSLATE(A596,""en"",""fr""))"),"")</f>
        <v/>
      </c>
    </row>
    <row r="597" spans="2:2">
      <c r="B597" s="3" t="str">
        <f ca="1">IFERROR(__xludf.DUMMYFUNCTION("IF(ISBLANK(A597),"""",GOOGLETRANSLATE(A597,""en"",""fr""))"),"")</f>
        <v/>
      </c>
    </row>
    <row r="598" spans="2:2">
      <c r="B598" s="3" t="str">
        <f ca="1">IFERROR(__xludf.DUMMYFUNCTION("IF(ISBLANK(A598),"""",GOOGLETRANSLATE(A598,""en"",""fr""))"),"")</f>
        <v/>
      </c>
    </row>
    <row r="599" spans="2:2">
      <c r="B599" s="3" t="str">
        <f ca="1">IFERROR(__xludf.DUMMYFUNCTION("IF(ISBLANK(A599),"""",GOOGLETRANSLATE(A599,""en"",""fr""))"),"")</f>
        <v/>
      </c>
    </row>
    <row r="600" spans="2:2">
      <c r="B600" s="3" t="str">
        <f ca="1">IFERROR(__xludf.DUMMYFUNCTION("IF(ISBLANK(A600),"""",GOOGLETRANSLATE(A600,""en"",""fr""))"),"")</f>
        <v/>
      </c>
    </row>
    <row r="601" spans="2:2">
      <c r="B601" s="3" t="str">
        <f ca="1">IFERROR(__xludf.DUMMYFUNCTION("IF(ISBLANK(A601),"""",GOOGLETRANSLATE(A601,""en"",""fr""))"),"")</f>
        <v/>
      </c>
    </row>
    <row r="602" spans="2:2">
      <c r="B602" s="3" t="str">
        <f ca="1">IFERROR(__xludf.DUMMYFUNCTION("IF(ISBLANK(A602),"""",GOOGLETRANSLATE(A602,""en"",""fr""))"),"")</f>
        <v/>
      </c>
    </row>
    <row r="603" spans="2:2">
      <c r="B603" s="3" t="str">
        <f ca="1">IFERROR(__xludf.DUMMYFUNCTION("IF(ISBLANK(A603),"""",GOOGLETRANSLATE(A603,""en"",""fr""))"),"")</f>
        <v/>
      </c>
    </row>
    <row r="604" spans="2:2">
      <c r="B604" s="3" t="str">
        <f ca="1">IFERROR(__xludf.DUMMYFUNCTION("IF(ISBLANK(A604),"""",GOOGLETRANSLATE(A604,""en"",""fr""))"),"")</f>
        <v/>
      </c>
    </row>
    <row r="605" spans="2:2">
      <c r="B605" s="3" t="str">
        <f ca="1">IFERROR(__xludf.DUMMYFUNCTION("IF(ISBLANK(A605),"""",GOOGLETRANSLATE(A605,""en"",""fr""))"),"")</f>
        <v/>
      </c>
    </row>
    <row r="606" spans="2:2">
      <c r="B606" s="3" t="str">
        <f ca="1">IFERROR(__xludf.DUMMYFUNCTION("IF(ISBLANK(A606),"""",GOOGLETRANSLATE(A606,""en"",""fr""))"),"")</f>
        <v/>
      </c>
    </row>
    <row r="607" spans="2:2">
      <c r="B607" s="3" t="str">
        <f ca="1">IFERROR(__xludf.DUMMYFUNCTION("IF(ISBLANK(A607),"""",GOOGLETRANSLATE(A607,""en"",""fr""))"),"")</f>
        <v/>
      </c>
    </row>
    <row r="608" spans="2:2">
      <c r="B608" s="3" t="str">
        <f ca="1">IFERROR(__xludf.DUMMYFUNCTION("IF(ISBLANK(A608),"""",GOOGLETRANSLATE(A608,""en"",""fr""))"),"")</f>
        <v/>
      </c>
    </row>
    <row r="609" spans="2:2">
      <c r="B609" s="3" t="str">
        <f ca="1">IFERROR(__xludf.DUMMYFUNCTION("IF(ISBLANK(A609),"""",GOOGLETRANSLATE(A609,""en"",""fr""))"),"")</f>
        <v/>
      </c>
    </row>
    <row r="610" spans="2:2">
      <c r="B610" s="3" t="str">
        <f ca="1">IFERROR(__xludf.DUMMYFUNCTION("IF(ISBLANK(A610),"""",GOOGLETRANSLATE(A610,""en"",""fr""))"),"")</f>
        <v/>
      </c>
    </row>
    <row r="611" spans="2:2">
      <c r="B611" s="3" t="str">
        <f ca="1">IFERROR(__xludf.DUMMYFUNCTION("IF(ISBLANK(A611),"""",GOOGLETRANSLATE(A611,""en"",""fr""))"),"")</f>
        <v/>
      </c>
    </row>
    <row r="612" spans="2:2">
      <c r="B612" s="3" t="str">
        <f ca="1">IFERROR(__xludf.DUMMYFUNCTION("IF(ISBLANK(A612),"""",GOOGLETRANSLATE(A612,""en"",""fr""))"),"")</f>
        <v/>
      </c>
    </row>
    <row r="613" spans="2:2">
      <c r="B613" s="3" t="str">
        <f ca="1">IFERROR(__xludf.DUMMYFUNCTION("IF(ISBLANK(A613),"""",GOOGLETRANSLATE(A613,""en"",""fr""))"),"")</f>
        <v/>
      </c>
    </row>
    <row r="614" spans="2:2">
      <c r="B614" s="3" t="str">
        <f ca="1">IFERROR(__xludf.DUMMYFUNCTION("IF(ISBLANK(A614),"""",GOOGLETRANSLATE(A614,""en"",""fr""))"),"")</f>
        <v/>
      </c>
    </row>
    <row r="615" spans="2:2">
      <c r="B615" s="3" t="str">
        <f ca="1">IFERROR(__xludf.DUMMYFUNCTION("IF(ISBLANK(A615),"""",GOOGLETRANSLATE(A615,""en"",""fr""))"),"")</f>
        <v/>
      </c>
    </row>
    <row r="616" spans="2:2">
      <c r="B616" s="3" t="str">
        <f ca="1">IFERROR(__xludf.DUMMYFUNCTION("IF(ISBLANK(A616),"""",GOOGLETRANSLATE(A616,""en"",""fr""))"),"")</f>
        <v/>
      </c>
    </row>
    <row r="617" spans="2:2">
      <c r="B617" s="3" t="str">
        <f ca="1">IFERROR(__xludf.DUMMYFUNCTION("IF(ISBLANK(A617),"""",GOOGLETRANSLATE(A617,""en"",""fr""))"),"")</f>
        <v/>
      </c>
    </row>
    <row r="618" spans="2:2">
      <c r="B618" s="3" t="str">
        <f ca="1">IFERROR(__xludf.DUMMYFUNCTION("IF(ISBLANK(A618),"""",GOOGLETRANSLATE(A618,""en"",""fr""))"),"")</f>
        <v/>
      </c>
    </row>
    <row r="619" spans="2:2">
      <c r="B619" s="3" t="str">
        <f ca="1">IFERROR(__xludf.DUMMYFUNCTION("IF(ISBLANK(A619),"""",GOOGLETRANSLATE(A619,""en"",""fr""))"),"")</f>
        <v/>
      </c>
    </row>
    <row r="620" spans="2:2">
      <c r="B620" s="3" t="str">
        <f ca="1">IFERROR(__xludf.DUMMYFUNCTION("IF(ISBLANK(A620),"""",GOOGLETRANSLATE(A620,""en"",""fr""))"),"")</f>
        <v/>
      </c>
    </row>
    <row r="621" spans="2:2">
      <c r="B621" s="3" t="str">
        <f ca="1">IFERROR(__xludf.DUMMYFUNCTION("IF(ISBLANK(A621),"""",GOOGLETRANSLATE(A621,""en"",""fr""))"),"")</f>
        <v/>
      </c>
    </row>
    <row r="622" spans="2:2">
      <c r="B622" s="3" t="str">
        <f ca="1">IFERROR(__xludf.DUMMYFUNCTION("IF(ISBLANK(A622),"""",GOOGLETRANSLATE(A622,""en"",""fr""))"),"")</f>
        <v/>
      </c>
    </row>
    <row r="623" spans="2:2">
      <c r="B623" s="3" t="str">
        <f ca="1">IFERROR(__xludf.DUMMYFUNCTION("IF(ISBLANK(A623),"""",GOOGLETRANSLATE(A623,""en"",""fr""))"),"")</f>
        <v/>
      </c>
    </row>
    <row r="624" spans="2:2">
      <c r="B624" s="3" t="str">
        <f ca="1">IFERROR(__xludf.DUMMYFUNCTION("IF(ISBLANK(A624),"""",GOOGLETRANSLATE(A624,""en"",""fr""))"),"")</f>
        <v/>
      </c>
    </row>
    <row r="625" spans="2:2">
      <c r="B625" s="3" t="str">
        <f ca="1">IFERROR(__xludf.DUMMYFUNCTION("IF(ISBLANK(A625),"""",GOOGLETRANSLATE(A625,""en"",""fr""))"),"")</f>
        <v/>
      </c>
    </row>
    <row r="626" spans="2:2">
      <c r="B626" s="3" t="str">
        <f ca="1">IFERROR(__xludf.DUMMYFUNCTION("IF(ISBLANK(A626),"""",GOOGLETRANSLATE(A626,""en"",""fr""))"),"")</f>
        <v/>
      </c>
    </row>
    <row r="627" spans="2:2">
      <c r="B627" s="3" t="str">
        <f ca="1">IFERROR(__xludf.DUMMYFUNCTION("IF(ISBLANK(A627),"""",GOOGLETRANSLATE(A627,""en"",""fr""))"),"")</f>
        <v/>
      </c>
    </row>
    <row r="628" spans="2:2">
      <c r="B628" s="3" t="str">
        <f ca="1">IFERROR(__xludf.DUMMYFUNCTION("IF(ISBLANK(A628),"""",GOOGLETRANSLATE(A628,""en"",""fr""))"),"")</f>
        <v/>
      </c>
    </row>
    <row r="629" spans="2:2">
      <c r="B629" s="3" t="str">
        <f ca="1">IFERROR(__xludf.DUMMYFUNCTION("IF(ISBLANK(A629),"""",GOOGLETRANSLATE(A629,""en"",""fr""))"),"")</f>
        <v/>
      </c>
    </row>
    <row r="630" spans="2:2">
      <c r="B630" s="3" t="str">
        <f ca="1">IFERROR(__xludf.DUMMYFUNCTION("IF(ISBLANK(A630),"""",GOOGLETRANSLATE(A630,""en"",""fr""))"),"")</f>
        <v/>
      </c>
    </row>
    <row r="631" spans="2:2">
      <c r="B631" s="3" t="str">
        <f ca="1">IFERROR(__xludf.DUMMYFUNCTION("IF(ISBLANK(A631),"""",GOOGLETRANSLATE(A631,""en"",""fr""))"),"")</f>
        <v/>
      </c>
    </row>
    <row r="632" spans="2:2">
      <c r="B632" s="3" t="str">
        <f ca="1">IFERROR(__xludf.DUMMYFUNCTION("IF(ISBLANK(A632),"""",GOOGLETRANSLATE(A632,""en"",""fr""))"),"")</f>
        <v/>
      </c>
    </row>
    <row r="633" spans="2:2">
      <c r="B633" s="3" t="str">
        <f ca="1">IFERROR(__xludf.DUMMYFUNCTION("IF(ISBLANK(A633),"""",GOOGLETRANSLATE(A633,""en"",""fr""))"),"")</f>
        <v/>
      </c>
    </row>
    <row r="634" spans="2:2">
      <c r="B634" s="3" t="str">
        <f ca="1">IFERROR(__xludf.DUMMYFUNCTION("IF(ISBLANK(A634),"""",GOOGLETRANSLATE(A634,""en"",""fr""))"),"")</f>
        <v/>
      </c>
    </row>
    <row r="635" spans="2:2">
      <c r="B635" s="3" t="str">
        <f ca="1">IFERROR(__xludf.DUMMYFUNCTION("IF(ISBLANK(A635),"""",GOOGLETRANSLATE(A635,""en"",""fr""))"),"")</f>
        <v/>
      </c>
    </row>
    <row r="636" spans="2:2">
      <c r="B636" s="3" t="str">
        <f ca="1">IFERROR(__xludf.DUMMYFUNCTION("IF(ISBLANK(A636),"""",GOOGLETRANSLATE(A636,""en"",""fr""))"),"")</f>
        <v/>
      </c>
    </row>
    <row r="637" spans="2:2">
      <c r="B637" s="3" t="str">
        <f ca="1">IFERROR(__xludf.DUMMYFUNCTION("IF(ISBLANK(A637),"""",GOOGLETRANSLATE(A637,""en"",""fr""))"),"")</f>
        <v/>
      </c>
    </row>
    <row r="638" spans="2:2">
      <c r="B638" s="3" t="str">
        <f ca="1">IFERROR(__xludf.DUMMYFUNCTION("IF(ISBLANK(A638),"""",GOOGLETRANSLATE(A638,""en"",""fr""))"),"")</f>
        <v/>
      </c>
    </row>
    <row r="639" spans="2:2">
      <c r="B639" s="3" t="str">
        <f ca="1">IFERROR(__xludf.DUMMYFUNCTION("IF(ISBLANK(A639),"""",GOOGLETRANSLATE(A639,""en"",""fr""))"),"")</f>
        <v/>
      </c>
    </row>
    <row r="640" spans="2:2">
      <c r="B640" s="3" t="str">
        <f ca="1">IFERROR(__xludf.DUMMYFUNCTION("IF(ISBLANK(A640),"""",GOOGLETRANSLATE(A640,""en"",""fr""))"),"")</f>
        <v/>
      </c>
    </row>
    <row r="641" spans="2:2">
      <c r="B641" s="3" t="str">
        <f ca="1">IFERROR(__xludf.DUMMYFUNCTION("IF(ISBLANK(A641),"""",GOOGLETRANSLATE(A641,""en"",""fr""))"),"")</f>
        <v/>
      </c>
    </row>
    <row r="642" spans="2:2">
      <c r="B642" s="3" t="str">
        <f ca="1">IFERROR(__xludf.DUMMYFUNCTION("IF(ISBLANK(A642),"""",GOOGLETRANSLATE(A642,""en"",""fr""))"),"")</f>
        <v/>
      </c>
    </row>
    <row r="643" spans="2:2">
      <c r="B643" s="3" t="str">
        <f ca="1">IFERROR(__xludf.DUMMYFUNCTION("IF(ISBLANK(A643),"""",GOOGLETRANSLATE(A643,""en"",""fr""))"),"")</f>
        <v/>
      </c>
    </row>
    <row r="644" spans="2:2">
      <c r="B644" s="3" t="str">
        <f ca="1">IFERROR(__xludf.DUMMYFUNCTION("IF(ISBLANK(A644),"""",GOOGLETRANSLATE(A644,""en"",""fr""))"),"")</f>
        <v/>
      </c>
    </row>
    <row r="645" spans="2:2">
      <c r="B645" s="3" t="str">
        <f ca="1">IFERROR(__xludf.DUMMYFUNCTION("IF(ISBLANK(A645),"""",GOOGLETRANSLATE(A645,""en"",""fr""))"),"")</f>
        <v/>
      </c>
    </row>
    <row r="646" spans="2:2">
      <c r="B646" s="3" t="str">
        <f ca="1">IFERROR(__xludf.DUMMYFUNCTION("IF(ISBLANK(A646),"""",GOOGLETRANSLATE(A646,""en"",""fr""))"),"")</f>
        <v/>
      </c>
    </row>
    <row r="647" spans="2:2">
      <c r="B647" s="3" t="str">
        <f ca="1">IFERROR(__xludf.DUMMYFUNCTION("IF(ISBLANK(A647),"""",GOOGLETRANSLATE(A647,""en"",""fr""))"),"")</f>
        <v/>
      </c>
    </row>
    <row r="648" spans="2:2">
      <c r="B648" s="3" t="str">
        <f ca="1">IFERROR(__xludf.DUMMYFUNCTION("IF(ISBLANK(A648),"""",GOOGLETRANSLATE(A648,""en"",""fr""))"),"")</f>
        <v/>
      </c>
    </row>
    <row r="649" spans="2:2">
      <c r="B649" s="3" t="str">
        <f ca="1">IFERROR(__xludf.DUMMYFUNCTION("IF(ISBLANK(A649),"""",GOOGLETRANSLATE(A649,""en"",""fr""))"),"")</f>
        <v/>
      </c>
    </row>
    <row r="650" spans="2:2">
      <c r="B650" s="3" t="str">
        <f ca="1">IFERROR(__xludf.DUMMYFUNCTION("IF(ISBLANK(A650),"""",GOOGLETRANSLATE(A650,""en"",""fr""))"),"")</f>
        <v/>
      </c>
    </row>
    <row r="651" spans="2:2">
      <c r="B651" s="3" t="str">
        <f ca="1">IFERROR(__xludf.DUMMYFUNCTION("IF(ISBLANK(A651),"""",GOOGLETRANSLATE(A651,""en"",""fr""))"),"")</f>
        <v/>
      </c>
    </row>
    <row r="652" spans="2:2">
      <c r="B652" s="3" t="str">
        <f ca="1">IFERROR(__xludf.DUMMYFUNCTION("IF(ISBLANK(A652),"""",GOOGLETRANSLATE(A652,""en"",""fr""))"),"")</f>
        <v/>
      </c>
    </row>
    <row r="653" spans="2:2">
      <c r="B653" s="3" t="str">
        <f ca="1">IFERROR(__xludf.DUMMYFUNCTION("IF(ISBLANK(A653),"""",GOOGLETRANSLATE(A653,""en"",""fr""))"),"")</f>
        <v/>
      </c>
    </row>
    <row r="654" spans="2:2">
      <c r="B654" s="3" t="str">
        <f ca="1">IFERROR(__xludf.DUMMYFUNCTION("IF(ISBLANK(A654),"""",GOOGLETRANSLATE(A654,""en"",""fr""))"),"")</f>
        <v/>
      </c>
    </row>
    <row r="655" spans="2:2">
      <c r="B655" s="3" t="str">
        <f ca="1">IFERROR(__xludf.DUMMYFUNCTION("IF(ISBLANK(A655),"""",GOOGLETRANSLATE(A655,""en"",""fr""))"),"")</f>
        <v/>
      </c>
    </row>
    <row r="656" spans="2:2">
      <c r="B656" s="3" t="str">
        <f ca="1">IFERROR(__xludf.DUMMYFUNCTION("IF(ISBLANK(A656),"""",GOOGLETRANSLATE(A656,""en"",""fr""))"),"")</f>
        <v/>
      </c>
    </row>
    <row r="657" spans="2:2">
      <c r="B657" s="3" t="str">
        <f ca="1">IFERROR(__xludf.DUMMYFUNCTION("IF(ISBLANK(A657),"""",GOOGLETRANSLATE(A657,""en"",""fr""))"),"")</f>
        <v/>
      </c>
    </row>
    <row r="658" spans="2:2">
      <c r="B658" s="3" t="str">
        <f ca="1">IFERROR(__xludf.DUMMYFUNCTION("IF(ISBLANK(A658),"""",GOOGLETRANSLATE(A658,""en"",""fr""))"),"")</f>
        <v/>
      </c>
    </row>
    <row r="659" spans="2:2">
      <c r="B659" s="3" t="str">
        <f ca="1">IFERROR(__xludf.DUMMYFUNCTION("IF(ISBLANK(A659),"""",GOOGLETRANSLATE(A659,""en"",""fr""))"),"")</f>
        <v/>
      </c>
    </row>
    <row r="660" spans="2:2">
      <c r="B660" s="3" t="str">
        <f ca="1">IFERROR(__xludf.DUMMYFUNCTION("IF(ISBLANK(A660),"""",GOOGLETRANSLATE(A660,""en"",""fr""))"),"")</f>
        <v/>
      </c>
    </row>
    <row r="661" spans="2:2">
      <c r="B661" s="3" t="str">
        <f ca="1">IFERROR(__xludf.DUMMYFUNCTION("IF(ISBLANK(A661),"""",GOOGLETRANSLATE(A661,""en"",""fr""))"),"")</f>
        <v/>
      </c>
    </row>
    <row r="662" spans="2:2">
      <c r="B662" s="3" t="str">
        <f ca="1">IFERROR(__xludf.DUMMYFUNCTION("IF(ISBLANK(A662),"""",GOOGLETRANSLATE(A662,""en"",""fr""))"),"")</f>
        <v/>
      </c>
    </row>
    <row r="663" spans="2:2">
      <c r="B663" s="3" t="str">
        <f ca="1">IFERROR(__xludf.DUMMYFUNCTION("IF(ISBLANK(A663),"""",GOOGLETRANSLATE(A663,""en"",""fr""))"),"")</f>
        <v/>
      </c>
    </row>
    <row r="664" spans="2:2">
      <c r="B664" s="3" t="str">
        <f ca="1">IFERROR(__xludf.DUMMYFUNCTION("IF(ISBLANK(A664),"""",GOOGLETRANSLATE(A664,""en"",""fr""))"),"")</f>
        <v/>
      </c>
    </row>
    <row r="665" spans="2:2">
      <c r="B665" s="3" t="str">
        <f ca="1">IFERROR(__xludf.DUMMYFUNCTION("IF(ISBLANK(A665),"""",GOOGLETRANSLATE(A665,""en"",""fr""))"),"")</f>
        <v/>
      </c>
    </row>
    <row r="666" spans="2:2">
      <c r="B666" s="3" t="str">
        <f ca="1">IFERROR(__xludf.DUMMYFUNCTION("IF(ISBLANK(A666),"""",GOOGLETRANSLATE(A666,""en"",""fr""))"),"")</f>
        <v/>
      </c>
    </row>
    <row r="667" spans="2:2">
      <c r="B667" s="3" t="str">
        <f ca="1">IFERROR(__xludf.DUMMYFUNCTION("IF(ISBLANK(A667),"""",GOOGLETRANSLATE(A667,""en"",""fr""))"),"")</f>
        <v/>
      </c>
    </row>
    <row r="668" spans="2:2">
      <c r="B668" s="3" t="str">
        <f ca="1">IFERROR(__xludf.DUMMYFUNCTION("IF(ISBLANK(A668),"""",GOOGLETRANSLATE(A668,""en"",""fr""))"),"")</f>
        <v/>
      </c>
    </row>
    <row r="669" spans="2:2">
      <c r="B669" s="3" t="str">
        <f ca="1">IFERROR(__xludf.DUMMYFUNCTION("IF(ISBLANK(A669),"""",GOOGLETRANSLATE(A669,""en"",""fr""))"),"")</f>
        <v/>
      </c>
    </row>
    <row r="670" spans="2:2">
      <c r="B670" s="3" t="str">
        <f ca="1">IFERROR(__xludf.DUMMYFUNCTION("IF(ISBLANK(A670),"""",GOOGLETRANSLATE(A670,""en"",""fr""))"),"")</f>
        <v/>
      </c>
    </row>
    <row r="671" spans="2:2">
      <c r="B671" s="3" t="str">
        <f ca="1">IFERROR(__xludf.DUMMYFUNCTION("IF(ISBLANK(A671),"""",GOOGLETRANSLATE(A671,""en"",""fr""))"),"")</f>
        <v/>
      </c>
    </row>
    <row r="672" spans="2:2">
      <c r="B672" s="3" t="str">
        <f ca="1">IFERROR(__xludf.DUMMYFUNCTION("IF(ISBLANK(A672),"""",GOOGLETRANSLATE(A672,""en"",""fr""))"),"")</f>
        <v/>
      </c>
    </row>
    <row r="673" spans="2:2">
      <c r="B673" s="3" t="str">
        <f ca="1">IFERROR(__xludf.DUMMYFUNCTION("IF(ISBLANK(A673),"""",GOOGLETRANSLATE(A673,""en"",""fr""))"),"")</f>
        <v/>
      </c>
    </row>
    <row r="674" spans="2:2">
      <c r="B674" s="3" t="str">
        <f ca="1">IFERROR(__xludf.DUMMYFUNCTION("IF(ISBLANK(A674),"""",GOOGLETRANSLATE(A674,""en"",""fr""))"),"")</f>
        <v/>
      </c>
    </row>
    <row r="675" spans="2:2">
      <c r="B675" s="3" t="str">
        <f ca="1">IFERROR(__xludf.DUMMYFUNCTION("IF(ISBLANK(A675),"""",GOOGLETRANSLATE(A675,""en"",""fr""))"),"")</f>
        <v/>
      </c>
    </row>
    <row r="676" spans="2:2">
      <c r="B676" s="3" t="str">
        <f ca="1">IFERROR(__xludf.DUMMYFUNCTION("IF(ISBLANK(A676),"""",GOOGLETRANSLATE(A676,""en"",""fr""))"),"")</f>
        <v/>
      </c>
    </row>
    <row r="677" spans="2:2">
      <c r="B677" s="3" t="str">
        <f ca="1">IFERROR(__xludf.DUMMYFUNCTION("IF(ISBLANK(A677),"""",GOOGLETRANSLATE(A677,""en"",""fr""))"),"")</f>
        <v/>
      </c>
    </row>
    <row r="678" spans="2:2">
      <c r="B678" s="3" t="str">
        <f ca="1">IFERROR(__xludf.DUMMYFUNCTION("IF(ISBLANK(A678),"""",GOOGLETRANSLATE(A678,""en"",""fr""))"),"")</f>
        <v/>
      </c>
    </row>
    <row r="679" spans="2:2">
      <c r="B679" s="3" t="str">
        <f ca="1">IFERROR(__xludf.DUMMYFUNCTION("IF(ISBLANK(A679),"""",GOOGLETRANSLATE(A679,""en"",""fr""))"),"")</f>
        <v/>
      </c>
    </row>
    <row r="680" spans="2:2">
      <c r="B680" s="3" t="str">
        <f ca="1">IFERROR(__xludf.DUMMYFUNCTION("IF(ISBLANK(A680),"""",GOOGLETRANSLATE(A680,""en"",""fr""))"),"")</f>
        <v/>
      </c>
    </row>
    <row r="681" spans="2:2">
      <c r="B681" s="3" t="str">
        <f ca="1">IFERROR(__xludf.DUMMYFUNCTION("IF(ISBLANK(A681),"""",GOOGLETRANSLATE(A681,""en"",""fr""))"),"")</f>
        <v/>
      </c>
    </row>
    <row r="682" spans="2:2">
      <c r="B682" s="3" t="str">
        <f ca="1">IFERROR(__xludf.DUMMYFUNCTION("IF(ISBLANK(A682),"""",GOOGLETRANSLATE(A682,""en"",""fr""))"),"")</f>
        <v/>
      </c>
    </row>
    <row r="683" spans="2:2">
      <c r="B683" s="3" t="str">
        <f ca="1">IFERROR(__xludf.DUMMYFUNCTION("IF(ISBLANK(A683),"""",GOOGLETRANSLATE(A683,""en"",""fr""))"),"")</f>
        <v/>
      </c>
    </row>
    <row r="684" spans="2:2">
      <c r="B684" s="3" t="str">
        <f ca="1">IFERROR(__xludf.DUMMYFUNCTION("IF(ISBLANK(A684),"""",GOOGLETRANSLATE(A684,""en"",""fr""))"),"")</f>
        <v/>
      </c>
    </row>
    <row r="685" spans="2:2">
      <c r="B685" s="3" t="str">
        <f ca="1">IFERROR(__xludf.DUMMYFUNCTION("IF(ISBLANK(A685),"""",GOOGLETRANSLATE(A685,""en"",""fr""))"),"")</f>
        <v/>
      </c>
    </row>
    <row r="686" spans="2:2">
      <c r="B686" s="3" t="str">
        <f ca="1">IFERROR(__xludf.DUMMYFUNCTION("IF(ISBLANK(A686),"""",GOOGLETRANSLATE(A686,""en"",""fr""))"),"")</f>
        <v/>
      </c>
    </row>
    <row r="687" spans="2:2">
      <c r="B687" s="3" t="str">
        <f ca="1">IFERROR(__xludf.DUMMYFUNCTION("IF(ISBLANK(A687),"""",GOOGLETRANSLATE(A687,""en"",""fr""))"),"")</f>
        <v/>
      </c>
    </row>
    <row r="688" spans="2:2">
      <c r="B688" s="3" t="str">
        <f ca="1">IFERROR(__xludf.DUMMYFUNCTION("IF(ISBLANK(A688),"""",GOOGLETRANSLATE(A688,""en"",""fr""))"),"")</f>
        <v/>
      </c>
    </row>
    <row r="689" spans="2:2">
      <c r="B689" s="3" t="str">
        <f ca="1">IFERROR(__xludf.DUMMYFUNCTION("IF(ISBLANK(A689),"""",GOOGLETRANSLATE(A689,""en"",""fr""))"),"")</f>
        <v/>
      </c>
    </row>
    <row r="690" spans="2:2">
      <c r="B690" s="3" t="str">
        <f ca="1">IFERROR(__xludf.DUMMYFUNCTION("IF(ISBLANK(A690),"""",GOOGLETRANSLATE(A690,""en"",""fr""))"),"")</f>
        <v/>
      </c>
    </row>
    <row r="691" spans="2:2">
      <c r="B691" s="3" t="str">
        <f ca="1">IFERROR(__xludf.DUMMYFUNCTION("IF(ISBLANK(A691),"""",GOOGLETRANSLATE(A691,""en"",""fr""))"),"")</f>
        <v/>
      </c>
    </row>
    <row r="692" spans="2:2">
      <c r="B692" s="3" t="str">
        <f ca="1">IFERROR(__xludf.DUMMYFUNCTION("IF(ISBLANK(A692),"""",GOOGLETRANSLATE(A692,""en"",""fr""))"),"")</f>
        <v/>
      </c>
    </row>
    <row r="693" spans="2:2">
      <c r="B693" s="3" t="str">
        <f ca="1">IFERROR(__xludf.DUMMYFUNCTION("IF(ISBLANK(A693),"""",GOOGLETRANSLATE(A693,""en"",""fr""))"),"")</f>
        <v/>
      </c>
    </row>
    <row r="694" spans="2:2">
      <c r="B694" s="3" t="str">
        <f ca="1">IFERROR(__xludf.DUMMYFUNCTION("IF(ISBLANK(A694),"""",GOOGLETRANSLATE(A694,""en"",""fr""))"),"")</f>
        <v/>
      </c>
    </row>
    <row r="695" spans="2:2">
      <c r="B695" s="3" t="str">
        <f ca="1">IFERROR(__xludf.DUMMYFUNCTION("IF(ISBLANK(A695),"""",GOOGLETRANSLATE(A695,""en"",""fr""))"),"")</f>
        <v/>
      </c>
    </row>
    <row r="696" spans="2:2">
      <c r="B696" s="3" t="str">
        <f ca="1">IFERROR(__xludf.DUMMYFUNCTION("IF(ISBLANK(A696),"""",GOOGLETRANSLATE(A696,""en"",""fr""))"),"")</f>
        <v/>
      </c>
    </row>
    <row r="697" spans="2:2">
      <c r="B697" s="3" t="str">
        <f ca="1">IFERROR(__xludf.DUMMYFUNCTION("IF(ISBLANK(A697),"""",GOOGLETRANSLATE(A697,""en"",""fr""))"),"")</f>
        <v/>
      </c>
    </row>
    <row r="698" spans="2:2">
      <c r="B698" s="3" t="str">
        <f ca="1">IFERROR(__xludf.DUMMYFUNCTION("IF(ISBLANK(A698),"""",GOOGLETRANSLATE(A698,""en"",""fr""))"),"")</f>
        <v/>
      </c>
    </row>
    <row r="699" spans="2:2">
      <c r="B699" s="3" t="str">
        <f ca="1">IFERROR(__xludf.DUMMYFUNCTION("IF(ISBLANK(A699),"""",GOOGLETRANSLATE(A699,""en"",""fr""))"),"")</f>
        <v/>
      </c>
    </row>
    <row r="700" spans="2:2">
      <c r="B700" s="3" t="str">
        <f ca="1">IFERROR(__xludf.DUMMYFUNCTION("IF(ISBLANK(A700),"""",GOOGLETRANSLATE(A700,""en"",""fr""))"),"")</f>
        <v/>
      </c>
    </row>
    <row r="701" spans="2:2">
      <c r="B701" s="3" t="str">
        <f ca="1">IFERROR(__xludf.DUMMYFUNCTION("IF(ISBLANK(A701),"""",GOOGLETRANSLATE(A701,""en"",""fr""))"),"")</f>
        <v/>
      </c>
    </row>
    <row r="702" spans="2:2">
      <c r="B702" s="3" t="str">
        <f ca="1">IFERROR(__xludf.DUMMYFUNCTION("IF(ISBLANK(A702),"""",GOOGLETRANSLATE(A702,""en"",""fr""))"),"")</f>
        <v/>
      </c>
    </row>
    <row r="703" spans="2:2">
      <c r="B703" s="3" t="str">
        <f ca="1">IFERROR(__xludf.DUMMYFUNCTION("IF(ISBLANK(A703),"""",GOOGLETRANSLATE(A703,""en"",""fr""))"),"")</f>
        <v/>
      </c>
    </row>
    <row r="704" spans="2:2">
      <c r="B704" s="3" t="str">
        <f ca="1">IFERROR(__xludf.DUMMYFUNCTION("IF(ISBLANK(A704),"""",GOOGLETRANSLATE(A704,""en"",""fr""))"),"")</f>
        <v/>
      </c>
    </row>
    <row r="705" spans="2:2">
      <c r="B705" s="3" t="str">
        <f ca="1">IFERROR(__xludf.DUMMYFUNCTION("IF(ISBLANK(A705),"""",GOOGLETRANSLATE(A705,""en"",""fr""))"),"")</f>
        <v/>
      </c>
    </row>
    <row r="706" spans="2:2">
      <c r="B706" s="3" t="str">
        <f ca="1">IFERROR(__xludf.DUMMYFUNCTION("IF(ISBLANK(A706),"""",GOOGLETRANSLATE(A706,""en"",""fr""))"),"")</f>
        <v/>
      </c>
    </row>
    <row r="707" spans="2:2">
      <c r="B707" s="3" t="str">
        <f ca="1">IFERROR(__xludf.DUMMYFUNCTION("IF(ISBLANK(A707),"""",GOOGLETRANSLATE(A707,""en"",""fr""))"),"")</f>
        <v/>
      </c>
    </row>
    <row r="708" spans="2:2">
      <c r="B708" s="3" t="str">
        <f ca="1">IFERROR(__xludf.DUMMYFUNCTION("IF(ISBLANK(A708),"""",GOOGLETRANSLATE(A708,""en"",""fr""))"),"")</f>
        <v/>
      </c>
    </row>
    <row r="709" spans="2:2">
      <c r="B709" s="3" t="str">
        <f ca="1">IFERROR(__xludf.DUMMYFUNCTION("IF(ISBLANK(A709),"""",GOOGLETRANSLATE(A709,""en"",""fr""))"),"")</f>
        <v/>
      </c>
    </row>
    <row r="710" spans="2:2">
      <c r="B710" s="3" t="str">
        <f ca="1">IFERROR(__xludf.DUMMYFUNCTION("IF(ISBLANK(A710),"""",GOOGLETRANSLATE(A710,""en"",""fr""))"),"")</f>
        <v/>
      </c>
    </row>
    <row r="711" spans="2:2">
      <c r="B711" s="3" t="str">
        <f ca="1">IFERROR(__xludf.DUMMYFUNCTION("IF(ISBLANK(A711),"""",GOOGLETRANSLATE(A711,""en"",""fr""))"),"")</f>
        <v/>
      </c>
    </row>
    <row r="712" spans="2:2">
      <c r="B712" s="3" t="str">
        <f ca="1">IFERROR(__xludf.DUMMYFUNCTION("IF(ISBLANK(A712),"""",GOOGLETRANSLATE(A712,""en"",""fr""))"),"")</f>
        <v/>
      </c>
    </row>
    <row r="713" spans="2:2">
      <c r="B713" s="3" t="str">
        <f ca="1">IFERROR(__xludf.DUMMYFUNCTION("IF(ISBLANK(A713),"""",GOOGLETRANSLATE(A713,""en"",""fr""))"),"")</f>
        <v/>
      </c>
    </row>
    <row r="714" spans="2:2">
      <c r="B714" s="3" t="str">
        <f ca="1">IFERROR(__xludf.DUMMYFUNCTION("IF(ISBLANK(A714),"""",GOOGLETRANSLATE(A714,""en"",""fr""))"),"")</f>
        <v/>
      </c>
    </row>
    <row r="715" spans="2:2">
      <c r="B715" s="3" t="str">
        <f ca="1">IFERROR(__xludf.DUMMYFUNCTION("IF(ISBLANK(A715),"""",GOOGLETRANSLATE(A715,""en"",""fr""))"),"")</f>
        <v/>
      </c>
    </row>
    <row r="716" spans="2:2">
      <c r="B716" s="3" t="str">
        <f ca="1">IFERROR(__xludf.DUMMYFUNCTION("IF(ISBLANK(A716),"""",GOOGLETRANSLATE(A716,""en"",""fr""))"),"")</f>
        <v/>
      </c>
    </row>
    <row r="717" spans="2:2">
      <c r="B717" s="3" t="str">
        <f ca="1">IFERROR(__xludf.DUMMYFUNCTION("IF(ISBLANK(A717),"""",GOOGLETRANSLATE(A717,""en"",""fr""))"),"")</f>
        <v/>
      </c>
    </row>
    <row r="718" spans="2:2">
      <c r="B718" s="3" t="str">
        <f ca="1">IFERROR(__xludf.DUMMYFUNCTION("IF(ISBLANK(A718),"""",GOOGLETRANSLATE(A718,""en"",""fr""))"),"")</f>
        <v/>
      </c>
    </row>
    <row r="719" spans="2:2">
      <c r="B719" s="3" t="str">
        <f ca="1">IFERROR(__xludf.DUMMYFUNCTION("IF(ISBLANK(A719),"""",GOOGLETRANSLATE(A719,""en"",""fr""))"),"")</f>
        <v/>
      </c>
    </row>
    <row r="720" spans="2:2">
      <c r="B720" s="3" t="str">
        <f ca="1">IFERROR(__xludf.DUMMYFUNCTION("IF(ISBLANK(A720),"""",GOOGLETRANSLATE(A720,""en"",""fr""))"),"")</f>
        <v/>
      </c>
    </row>
    <row r="721" spans="2:2">
      <c r="B721" s="3" t="str">
        <f ca="1">IFERROR(__xludf.DUMMYFUNCTION("IF(ISBLANK(A721),"""",GOOGLETRANSLATE(A721,""en"",""fr""))"),"")</f>
        <v/>
      </c>
    </row>
    <row r="722" spans="2:2">
      <c r="B722" s="3" t="str">
        <f ca="1">IFERROR(__xludf.DUMMYFUNCTION("IF(ISBLANK(A722),"""",GOOGLETRANSLATE(A722,""en"",""fr""))"),"")</f>
        <v/>
      </c>
    </row>
    <row r="723" spans="2:2">
      <c r="B723" s="3" t="str">
        <f ca="1">IFERROR(__xludf.DUMMYFUNCTION("IF(ISBLANK(A723),"""",GOOGLETRANSLATE(A723,""en"",""fr""))"),"")</f>
        <v/>
      </c>
    </row>
    <row r="724" spans="2:2">
      <c r="B724" s="3" t="str">
        <f ca="1">IFERROR(__xludf.DUMMYFUNCTION("IF(ISBLANK(A724),"""",GOOGLETRANSLATE(A724,""en"",""fr""))"),"")</f>
        <v/>
      </c>
    </row>
    <row r="725" spans="2:2">
      <c r="B725" s="3" t="str">
        <f ca="1">IFERROR(__xludf.DUMMYFUNCTION("IF(ISBLANK(A725),"""",GOOGLETRANSLATE(A725,""en"",""fr""))"),"")</f>
        <v/>
      </c>
    </row>
    <row r="726" spans="2:2">
      <c r="B726" s="3" t="str">
        <f ca="1">IFERROR(__xludf.DUMMYFUNCTION("IF(ISBLANK(A726),"""",GOOGLETRANSLATE(A726,""en"",""fr""))"),"")</f>
        <v/>
      </c>
    </row>
    <row r="727" spans="2:2">
      <c r="B727" s="3" t="str">
        <f ca="1">IFERROR(__xludf.DUMMYFUNCTION("IF(ISBLANK(A727),"""",GOOGLETRANSLATE(A727,""en"",""fr""))"),"")</f>
        <v/>
      </c>
    </row>
    <row r="728" spans="2:2">
      <c r="B728" s="3" t="str">
        <f ca="1">IFERROR(__xludf.DUMMYFUNCTION("IF(ISBLANK(A728),"""",GOOGLETRANSLATE(A728,""en"",""fr""))"),"")</f>
        <v/>
      </c>
    </row>
    <row r="729" spans="2:2">
      <c r="B729" s="3" t="str">
        <f ca="1">IFERROR(__xludf.DUMMYFUNCTION("IF(ISBLANK(A729),"""",GOOGLETRANSLATE(A729,""en"",""fr""))"),"")</f>
        <v/>
      </c>
    </row>
    <row r="730" spans="2:2">
      <c r="B730" s="3" t="str">
        <f ca="1">IFERROR(__xludf.DUMMYFUNCTION("IF(ISBLANK(A730),"""",GOOGLETRANSLATE(A730,""en"",""fr""))"),"")</f>
        <v/>
      </c>
    </row>
    <row r="731" spans="2:2">
      <c r="B731" s="3" t="str">
        <f ca="1">IFERROR(__xludf.DUMMYFUNCTION("IF(ISBLANK(A731),"""",GOOGLETRANSLATE(A731,""en"",""fr""))"),"")</f>
        <v/>
      </c>
    </row>
    <row r="732" spans="2:2">
      <c r="B732" s="3" t="str">
        <f ca="1">IFERROR(__xludf.DUMMYFUNCTION("IF(ISBLANK(A732),"""",GOOGLETRANSLATE(A732,""en"",""fr""))"),"")</f>
        <v/>
      </c>
    </row>
    <row r="733" spans="2:2">
      <c r="B733" s="3" t="str">
        <f ca="1">IFERROR(__xludf.DUMMYFUNCTION("IF(ISBLANK(A733),"""",GOOGLETRANSLATE(A733,""en"",""fr""))"),"")</f>
        <v/>
      </c>
    </row>
    <row r="734" spans="2:2">
      <c r="B734" s="3" t="str">
        <f ca="1">IFERROR(__xludf.DUMMYFUNCTION("IF(ISBLANK(A734),"""",GOOGLETRANSLATE(A734,""en"",""fr""))"),"")</f>
        <v/>
      </c>
    </row>
    <row r="735" spans="2:2">
      <c r="B735" s="3" t="str">
        <f ca="1">IFERROR(__xludf.DUMMYFUNCTION("IF(ISBLANK(A735),"""",GOOGLETRANSLATE(A735,""en"",""fr""))"),"")</f>
        <v/>
      </c>
    </row>
    <row r="736" spans="2:2">
      <c r="B736" s="3" t="str">
        <f ca="1">IFERROR(__xludf.DUMMYFUNCTION("IF(ISBLANK(A736),"""",GOOGLETRANSLATE(A736,""en"",""fr""))"),"")</f>
        <v/>
      </c>
    </row>
    <row r="737" spans="2:2">
      <c r="B737" s="3" t="str">
        <f ca="1">IFERROR(__xludf.DUMMYFUNCTION("IF(ISBLANK(A737),"""",GOOGLETRANSLATE(A737,""en"",""fr""))"),"")</f>
        <v/>
      </c>
    </row>
    <row r="738" spans="2:2">
      <c r="B738" s="3" t="str">
        <f ca="1">IFERROR(__xludf.DUMMYFUNCTION("IF(ISBLANK(A738),"""",GOOGLETRANSLATE(A738,""en"",""fr""))"),"")</f>
        <v/>
      </c>
    </row>
    <row r="739" spans="2:2">
      <c r="B739" s="3" t="str">
        <f ca="1">IFERROR(__xludf.DUMMYFUNCTION("IF(ISBLANK(A739),"""",GOOGLETRANSLATE(A739,""en"",""fr""))"),"")</f>
        <v/>
      </c>
    </row>
    <row r="740" spans="2:2">
      <c r="B740" s="3" t="str">
        <f ca="1">IFERROR(__xludf.DUMMYFUNCTION("IF(ISBLANK(A740),"""",GOOGLETRANSLATE(A740,""en"",""fr""))"),"")</f>
        <v/>
      </c>
    </row>
    <row r="741" spans="2:2">
      <c r="B741" s="3" t="str">
        <f ca="1">IFERROR(__xludf.DUMMYFUNCTION("IF(ISBLANK(A741),"""",GOOGLETRANSLATE(A741,""en"",""fr""))"),"")</f>
        <v/>
      </c>
    </row>
    <row r="742" spans="2:2">
      <c r="B742" s="3" t="str">
        <f ca="1">IFERROR(__xludf.DUMMYFUNCTION("IF(ISBLANK(A742),"""",GOOGLETRANSLATE(A742,""en"",""fr""))"),"")</f>
        <v/>
      </c>
    </row>
    <row r="743" spans="2:2">
      <c r="B743" s="3" t="str">
        <f ca="1">IFERROR(__xludf.DUMMYFUNCTION("IF(ISBLANK(A743),"""",GOOGLETRANSLATE(A743,""en"",""fr""))"),"")</f>
        <v/>
      </c>
    </row>
    <row r="744" spans="2:2">
      <c r="B744" s="3" t="str">
        <f ca="1">IFERROR(__xludf.DUMMYFUNCTION("IF(ISBLANK(A744),"""",GOOGLETRANSLATE(A744,""en"",""fr""))"),"")</f>
        <v/>
      </c>
    </row>
    <row r="745" spans="2:2">
      <c r="B745" s="3" t="str">
        <f ca="1">IFERROR(__xludf.DUMMYFUNCTION("IF(ISBLANK(A745),"""",GOOGLETRANSLATE(A745,""en"",""fr""))"),"")</f>
        <v/>
      </c>
    </row>
    <row r="746" spans="2:2">
      <c r="B746" s="3" t="str">
        <f ca="1">IFERROR(__xludf.DUMMYFUNCTION("IF(ISBLANK(A746),"""",GOOGLETRANSLATE(A746,""en"",""fr""))"),"")</f>
        <v/>
      </c>
    </row>
    <row r="747" spans="2:2">
      <c r="B747" s="3" t="str">
        <f ca="1">IFERROR(__xludf.DUMMYFUNCTION("IF(ISBLANK(A747),"""",GOOGLETRANSLATE(A747,""en"",""fr""))"),"")</f>
        <v/>
      </c>
    </row>
    <row r="748" spans="2:2">
      <c r="B748" s="3" t="str">
        <f ca="1">IFERROR(__xludf.DUMMYFUNCTION("IF(ISBLANK(A748),"""",GOOGLETRANSLATE(A748,""en"",""fr""))"),"")</f>
        <v/>
      </c>
    </row>
    <row r="749" spans="2:2">
      <c r="B749" s="3" t="str">
        <f ca="1">IFERROR(__xludf.DUMMYFUNCTION("IF(ISBLANK(A749),"""",GOOGLETRANSLATE(A749,""en"",""fr""))"),"")</f>
        <v/>
      </c>
    </row>
    <row r="750" spans="2:2">
      <c r="B750" s="3" t="str">
        <f ca="1">IFERROR(__xludf.DUMMYFUNCTION("IF(ISBLANK(A750),"""",GOOGLETRANSLATE(A750,""en"",""fr""))"),"")</f>
        <v/>
      </c>
    </row>
    <row r="751" spans="2:2">
      <c r="B751" s="3" t="str">
        <f ca="1">IFERROR(__xludf.DUMMYFUNCTION("IF(ISBLANK(A751),"""",GOOGLETRANSLATE(A751,""en"",""fr""))"),"")</f>
        <v/>
      </c>
    </row>
    <row r="752" spans="2:2">
      <c r="B752" s="3" t="str">
        <f ca="1">IFERROR(__xludf.DUMMYFUNCTION("IF(ISBLANK(A752),"""",GOOGLETRANSLATE(A752,""en"",""fr""))"),"")</f>
        <v/>
      </c>
    </row>
    <row r="753" spans="2:2">
      <c r="B753" s="3" t="str">
        <f ca="1">IFERROR(__xludf.DUMMYFUNCTION("IF(ISBLANK(A753),"""",GOOGLETRANSLATE(A753,""en"",""fr""))"),"")</f>
        <v/>
      </c>
    </row>
    <row r="754" spans="2:2">
      <c r="B754" s="3" t="str">
        <f ca="1">IFERROR(__xludf.DUMMYFUNCTION("IF(ISBLANK(A754),"""",GOOGLETRANSLATE(A754,""en"",""fr""))"),"")</f>
        <v/>
      </c>
    </row>
    <row r="755" spans="2:2">
      <c r="B755" s="3" t="str">
        <f ca="1">IFERROR(__xludf.DUMMYFUNCTION("IF(ISBLANK(A755),"""",GOOGLETRANSLATE(A755,""en"",""fr""))"),"")</f>
        <v/>
      </c>
    </row>
    <row r="756" spans="2:2">
      <c r="B756" s="3" t="str">
        <f ca="1">IFERROR(__xludf.DUMMYFUNCTION("IF(ISBLANK(A756),"""",GOOGLETRANSLATE(A756,""en"",""fr""))"),"")</f>
        <v/>
      </c>
    </row>
    <row r="757" spans="2:2">
      <c r="B757" s="3" t="str">
        <f ca="1">IFERROR(__xludf.DUMMYFUNCTION("IF(ISBLANK(A757),"""",GOOGLETRANSLATE(A757,""en"",""fr""))"),"")</f>
        <v/>
      </c>
    </row>
    <row r="758" spans="2:2">
      <c r="B758" s="3" t="str">
        <f ca="1">IFERROR(__xludf.DUMMYFUNCTION("IF(ISBLANK(A758),"""",GOOGLETRANSLATE(A758,""en"",""fr""))"),"")</f>
        <v/>
      </c>
    </row>
    <row r="759" spans="2:2">
      <c r="B759" s="3" t="str">
        <f ca="1">IFERROR(__xludf.DUMMYFUNCTION("IF(ISBLANK(A759),"""",GOOGLETRANSLATE(A759,""en"",""fr""))"),"")</f>
        <v/>
      </c>
    </row>
    <row r="760" spans="2:2">
      <c r="B760" s="3" t="str">
        <f ca="1">IFERROR(__xludf.DUMMYFUNCTION("IF(ISBLANK(A760),"""",GOOGLETRANSLATE(A760,""en"",""fr""))"),"")</f>
        <v/>
      </c>
    </row>
    <row r="761" spans="2:2">
      <c r="B761" s="3" t="str">
        <f ca="1">IFERROR(__xludf.DUMMYFUNCTION("IF(ISBLANK(A761),"""",GOOGLETRANSLATE(A761,""en"",""fr""))"),"")</f>
        <v/>
      </c>
    </row>
    <row r="762" spans="2:2">
      <c r="B762" s="3" t="str">
        <f ca="1">IFERROR(__xludf.DUMMYFUNCTION("IF(ISBLANK(A762),"""",GOOGLETRANSLATE(A762,""en"",""fr""))"),"")</f>
        <v/>
      </c>
    </row>
    <row r="763" spans="2:2">
      <c r="B763" s="3" t="str">
        <f ca="1">IFERROR(__xludf.DUMMYFUNCTION("IF(ISBLANK(A763),"""",GOOGLETRANSLATE(A763,""en"",""fr""))"),"")</f>
        <v/>
      </c>
    </row>
    <row r="764" spans="2:2">
      <c r="B764" s="3" t="str">
        <f ca="1">IFERROR(__xludf.DUMMYFUNCTION("IF(ISBLANK(A764),"""",GOOGLETRANSLATE(A764,""en"",""fr""))"),"")</f>
        <v/>
      </c>
    </row>
    <row r="765" spans="2:2">
      <c r="B765" s="3" t="str">
        <f ca="1">IFERROR(__xludf.DUMMYFUNCTION("IF(ISBLANK(A765),"""",GOOGLETRANSLATE(A765,""en"",""fr""))"),"")</f>
        <v/>
      </c>
    </row>
    <row r="766" spans="2:2">
      <c r="B766" s="3" t="str">
        <f ca="1">IFERROR(__xludf.DUMMYFUNCTION("IF(ISBLANK(A766),"""",GOOGLETRANSLATE(A766,""en"",""fr""))"),"")</f>
        <v/>
      </c>
    </row>
    <row r="767" spans="2:2">
      <c r="B767" s="3" t="str">
        <f ca="1">IFERROR(__xludf.DUMMYFUNCTION("IF(ISBLANK(A767),"""",GOOGLETRANSLATE(A767,""en"",""fr""))"),"")</f>
        <v/>
      </c>
    </row>
    <row r="768" spans="2:2">
      <c r="B768" s="3" t="str">
        <f ca="1">IFERROR(__xludf.DUMMYFUNCTION("IF(ISBLANK(A768),"""",GOOGLETRANSLATE(A768,""en"",""fr""))"),"")</f>
        <v/>
      </c>
    </row>
    <row r="769" spans="2:2">
      <c r="B769" s="3" t="str">
        <f ca="1">IFERROR(__xludf.DUMMYFUNCTION("IF(ISBLANK(A769),"""",GOOGLETRANSLATE(A769,""en"",""fr""))"),"")</f>
        <v/>
      </c>
    </row>
    <row r="770" spans="2:2">
      <c r="B770" s="3" t="str">
        <f ca="1">IFERROR(__xludf.DUMMYFUNCTION("IF(ISBLANK(A770),"""",GOOGLETRANSLATE(A770,""en"",""fr""))"),"")</f>
        <v/>
      </c>
    </row>
    <row r="771" spans="2:2">
      <c r="B771" s="3" t="str">
        <f ca="1">IFERROR(__xludf.DUMMYFUNCTION("IF(ISBLANK(A771),"""",GOOGLETRANSLATE(A771,""en"",""fr""))"),"")</f>
        <v/>
      </c>
    </row>
    <row r="772" spans="2:2">
      <c r="B772" s="3" t="str">
        <f ca="1">IFERROR(__xludf.DUMMYFUNCTION("IF(ISBLANK(A772),"""",GOOGLETRANSLATE(A772,""en"",""fr""))"),"")</f>
        <v/>
      </c>
    </row>
    <row r="773" spans="2:2">
      <c r="B773" s="3" t="str">
        <f ca="1">IFERROR(__xludf.DUMMYFUNCTION("IF(ISBLANK(A773),"""",GOOGLETRANSLATE(A773,""en"",""fr""))"),"")</f>
        <v/>
      </c>
    </row>
    <row r="774" spans="2:2">
      <c r="B774" s="3" t="str">
        <f ca="1">IFERROR(__xludf.DUMMYFUNCTION("IF(ISBLANK(A774),"""",GOOGLETRANSLATE(A774,""en"",""fr""))"),"")</f>
        <v/>
      </c>
    </row>
    <row r="775" spans="2:2">
      <c r="B775" s="3" t="str">
        <f ca="1">IFERROR(__xludf.DUMMYFUNCTION("IF(ISBLANK(A775),"""",GOOGLETRANSLATE(A775,""en"",""fr""))"),"")</f>
        <v/>
      </c>
    </row>
    <row r="776" spans="2:2">
      <c r="B776" s="3" t="str">
        <f ca="1">IFERROR(__xludf.DUMMYFUNCTION("IF(ISBLANK(A776),"""",GOOGLETRANSLATE(A776,""en"",""fr""))"),"")</f>
        <v/>
      </c>
    </row>
    <row r="777" spans="2:2">
      <c r="B777" s="3" t="str">
        <f ca="1">IFERROR(__xludf.DUMMYFUNCTION("IF(ISBLANK(A777),"""",GOOGLETRANSLATE(A777,""en"",""fr""))"),"")</f>
        <v/>
      </c>
    </row>
    <row r="778" spans="2:2">
      <c r="B778" s="3" t="str">
        <f ca="1">IFERROR(__xludf.DUMMYFUNCTION("IF(ISBLANK(A778),"""",GOOGLETRANSLATE(A778,""en"",""fr""))"),"")</f>
        <v/>
      </c>
    </row>
    <row r="779" spans="2:2">
      <c r="B779" s="3" t="str">
        <f ca="1">IFERROR(__xludf.DUMMYFUNCTION("IF(ISBLANK(A779),"""",GOOGLETRANSLATE(A779,""en"",""fr""))"),"")</f>
        <v/>
      </c>
    </row>
    <row r="780" spans="2:2">
      <c r="B780" s="3" t="str">
        <f ca="1">IFERROR(__xludf.DUMMYFUNCTION("IF(ISBLANK(A780),"""",GOOGLETRANSLATE(A780,""en"",""fr""))"),"")</f>
        <v/>
      </c>
    </row>
    <row r="781" spans="2:2">
      <c r="B781" s="3" t="str">
        <f ca="1">IFERROR(__xludf.DUMMYFUNCTION("IF(ISBLANK(A781),"""",GOOGLETRANSLATE(A781,""en"",""fr""))"),"")</f>
        <v/>
      </c>
    </row>
    <row r="782" spans="2:2">
      <c r="B782" s="3" t="str">
        <f ca="1">IFERROR(__xludf.DUMMYFUNCTION("IF(ISBLANK(A782),"""",GOOGLETRANSLATE(A782,""en"",""fr""))"),"")</f>
        <v/>
      </c>
    </row>
    <row r="783" spans="2:2">
      <c r="B783" s="3" t="str">
        <f ca="1">IFERROR(__xludf.DUMMYFUNCTION("IF(ISBLANK(A783),"""",GOOGLETRANSLATE(A783,""en"",""fr""))"),"")</f>
        <v/>
      </c>
    </row>
    <row r="784" spans="2:2">
      <c r="B784" s="3" t="str">
        <f ca="1">IFERROR(__xludf.DUMMYFUNCTION("IF(ISBLANK(A784),"""",GOOGLETRANSLATE(A784,""en"",""fr""))"),"")</f>
        <v/>
      </c>
    </row>
    <row r="785" spans="2:2">
      <c r="B785" s="3" t="str">
        <f ca="1">IFERROR(__xludf.DUMMYFUNCTION("IF(ISBLANK(A785),"""",GOOGLETRANSLATE(A785,""en"",""fr""))"),"")</f>
        <v/>
      </c>
    </row>
    <row r="786" spans="2:2">
      <c r="B786" s="3" t="str">
        <f ca="1">IFERROR(__xludf.DUMMYFUNCTION("IF(ISBLANK(A786),"""",GOOGLETRANSLATE(A786,""en"",""fr""))"),"")</f>
        <v/>
      </c>
    </row>
    <row r="787" spans="2:2">
      <c r="B787" s="3" t="str">
        <f ca="1">IFERROR(__xludf.DUMMYFUNCTION("IF(ISBLANK(A787),"""",GOOGLETRANSLATE(A787,""en"",""fr""))"),"")</f>
        <v/>
      </c>
    </row>
    <row r="788" spans="2:2">
      <c r="B788" s="3" t="str">
        <f ca="1">IFERROR(__xludf.DUMMYFUNCTION("IF(ISBLANK(A788),"""",GOOGLETRANSLATE(A788,""en"",""fr""))"),"")</f>
        <v/>
      </c>
    </row>
    <row r="789" spans="2:2">
      <c r="B789" s="3" t="str">
        <f ca="1">IFERROR(__xludf.DUMMYFUNCTION("IF(ISBLANK(A789),"""",GOOGLETRANSLATE(A789,""en"",""fr""))"),"")</f>
        <v/>
      </c>
    </row>
    <row r="790" spans="2:2">
      <c r="B790" s="3" t="str">
        <f ca="1">IFERROR(__xludf.DUMMYFUNCTION("IF(ISBLANK(A790),"""",GOOGLETRANSLATE(A790,""en"",""fr""))"),"")</f>
        <v/>
      </c>
    </row>
    <row r="791" spans="2:2">
      <c r="B791" s="3" t="str">
        <f ca="1">IFERROR(__xludf.DUMMYFUNCTION("IF(ISBLANK(A791),"""",GOOGLETRANSLATE(A791,""en"",""fr""))"),"")</f>
        <v/>
      </c>
    </row>
    <row r="792" spans="2:2">
      <c r="B792" s="3" t="str">
        <f ca="1">IFERROR(__xludf.DUMMYFUNCTION("IF(ISBLANK(A792),"""",GOOGLETRANSLATE(A792,""en"",""fr""))"),"")</f>
        <v/>
      </c>
    </row>
    <row r="793" spans="2:2">
      <c r="B793" s="3" t="str">
        <f ca="1">IFERROR(__xludf.DUMMYFUNCTION("IF(ISBLANK(A793),"""",GOOGLETRANSLATE(A793,""en"",""fr""))"),"")</f>
        <v/>
      </c>
    </row>
    <row r="794" spans="2:2">
      <c r="B794" s="3" t="str">
        <f ca="1">IFERROR(__xludf.DUMMYFUNCTION("IF(ISBLANK(A794),"""",GOOGLETRANSLATE(A794,""en"",""fr""))"),"")</f>
        <v/>
      </c>
    </row>
    <row r="795" spans="2:2">
      <c r="B795" s="3" t="str">
        <f ca="1">IFERROR(__xludf.DUMMYFUNCTION("IF(ISBLANK(A795),"""",GOOGLETRANSLATE(A795,""en"",""fr""))"),"")</f>
        <v/>
      </c>
    </row>
    <row r="796" spans="2:2">
      <c r="B796" s="3" t="str">
        <f ca="1">IFERROR(__xludf.DUMMYFUNCTION("IF(ISBLANK(A796),"""",GOOGLETRANSLATE(A796,""en"",""fr""))"),"")</f>
        <v/>
      </c>
    </row>
    <row r="797" spans="2:2">
      <c r="B797" s="3" t="str">
        <f ca="1">IFERROR(__xludf.DUMMYFUNCTION("IF(ISBLANK(A797),"""",GOOGLETRANSLATE(A797,""en"",""fr""))"),"")</f>
        <v/>
      </c>
    </row>
    <row r="798" spans="2:2">
      <c r="B798" s="3" t="str">
        <f ca="1">IFERROR(__xludf.DUMMYFUNCTION("IF(ISBLANK(A798),"""",GOOGLETRANSLATE(A798,""en"",""fr""))"),"")</f>
        <v/>
      </c>
    </row>
    <row r="799" spans="2:2">
      <c r="B799" s="3" t="str">
        <f ca="1">IFERROR(__xludf.DUMMYFUNCTION("IF(ISBLANK(A799),"""",GOOGLETRANSLATE(A799,""en"",""fr""))"),"")</f>
        <v/>
      </c>
    </row>
    <row r="800" spans="2:2">
      <c r="B800" s="3" t="str">
        <f ca="1">IFERROR(__xludf.DUMMYFUNCTION("IF(ISBLANK(A800),"""",GOOGLETRANSLATE(A800,""en"",""fr""))"),"")</f>
        <v/>
      </c>
    </row>
    <row r="801" spans="2:2">
      <c r="B801" s="3" t="str">
        <f ca="1">IFERROR(__xludf.DUMMYFUNCTION("IF(ISBLANK(A801),"""",GOOGLETRANSLATE(A801,""en"",""fr""))"),"")</f>
        <v/>
      </c>
    </row>
    <row r="802" spans="2:2">
      <c r="B802" s="3" t="str">
        <f ca="1">IFERROR(__xludf.DUMMYFUNCTION("IF(ISBLANK(A802),"""",GOOGLETRANSLATE(A802,""en"",""fr""))"),"")</f>
        <v/>
      </c>
    </row>
    <row r="803" spans="2:2">
      <c r="B803" s="3" t="str">
        <f ca="1">IFERROR(__xludf.DUMMYFUNCTION("IF(ISBLANK(A803),"""",GOOGLETRANSLATE(A803,""en"",""fr""))"),"")</f>
        <v/>
      </c>
    </row>
    <row r="804" spans="2:2">
      <c r="B804" s="3" t="str">
        <f ca="1">IFERROR(__xludf.DUMMYFUNCTION("IF(ISBLANK(A804),"""",GOOGLETRANSLATE(A804,""en"",""fr""))"),"")</f>
        <v/>
      </c>
    </row>
    <row r="805" spans="2:2">
      <c r="B805" s="3" t="str">
        <f ca="1">IFERROR(__xludf.DUMMYFUNCTION("IF(ISBLANK(A805),"""",GOOGLETRANSLATE(A805,""en"",""fr""))"),"")</f>
        <v/>
      </c>
    </row>
    <row r="806" spans="2:2">
      <c r="B806" s="3" t="str">
        <f ca="1">IFERROR(__xludf.DUMMYFUNCTION("IF(ISBLANK(A806),"""",GOOGLETRANSLATE(A806,""en"",""fr""))"),"")</f>
        <v/>
      </c>
    </row>
    <row r="807" spans="2:2">
      <c r="B807" s="3" t="str">
        <f ca="1">IFERROR(__xludf.DUMMYFUNCTION("IF(ISBLANK(A807),"""",GOOGLETRANSLATE(A807,""en"",""fr""))"),"")</f>
        <v/>
      </c>
    </row>
    <row r="808" spans="2:2">
      <c r="B808" s="3" t="str">
        <f ca="1">IFERROR(__xludf.DUMMYFUNCTION("IF(ISBLANK(A808),"""",GOOGLETRANSLATE(A808,""en"",""fr""))"),"")</f>
        <v/>
      </c>
    </row>
    <row r="809" spans="2:2">
      <c r="B809" s="3" t="str">
        <f ca="1">IFERROR(__xludf.DUMMYFUNCTION("IF(ISBLANK(A809),"""",GOOGLETRANSLATE(A809,""en"",""fr""))"),"")</f>
        <v/>
      </c>
    </row>
    <row r="810" spans="2:2">
      <c r="B810" s="3" t="str">
        <f ca="1">IFERROR(__xludf.DUMMYFUNCTION("IF(ISBLANK(A810),"""",GOOGLETRANSLATE(A810,""en"",""fr""))"),"")</f>
        <v/>
      </c>
    </row>
    <row r="811" spans="2:2">
      <c r="B811" s="3" t="str">
        <f ca="1">IFERROR(__xludf.DUMMYFUNCTION("IF(ISBLANK(A811),"""",GOOGLETRANSLATE(A811,""en"",""fr""))"),"")</f>
        <v/>
      </c>
    </row>
    <row r="812" spans="2:2">
      <c r="B812" s="3" t="str">
        <f ca="1">IFERROR(__xludf.DUMMYFUNCTION("IF(ISBLANK(A812),"""",GOOGLETRANSLATE(A812,""en"",""fr""))"),"")</f>
        <v/>
      </c>
    </row>
    <row r="813" spans="2:2">
      <c r="B813" s="3" t="str">
        <f ca="1">IFERROR(__xludf.DUMMYFUNCTION("IF(ISBLANK(A813),"""",GOOGLETRANSLATE(A813,""en"",""fr""))"),"")</f>
        <v/>
      </c>
    </row>
    <row r="814" spans="2:2">
      <c r="B814" s="3" t="str">
        <f ca="1">IFERROR(__xludf.DUMMYFUNCTION("IF(ISBLANK(A814),"""",GOOGLETRANSLATE(A814,""en"",""fr""))"),"")</f>
        <v/>
      </c>
    </row>
    <row r="815" spans="2:2">
      <c r="B815" s="3" t="str">
        <f ca="1">IFERROR(__xludf.DUMMYFUNCTION("IF(ISBLANK(A815),"""",GOOGLETRANSLATE(A815,""en"",""fr""))"),"")</f>
        <v/>
      </c>
    </row>
    <row r="816" spans="2:2">
      <c r="B816" s="3" t="str">
        <f ca="1">IFERROR(__xludf.DUMMYFUNCTION("IF(ISBLANK(A816),"""",GOOGLETRANSLATE(A816,""en"",""fr""))"),"")</f>
        <v/>
      </c>
    </row>
    <row r="817" spans="2:2">
      <c r="B817" s="3" t="str">
        <f ca="1">IFERROR(__xludf.DUMMYFUNCTION("IF(ISBLANK(A817),"""",GOOGLETRANSLATE(A817,""en"",""fr""))"),"")</f>
        <v/>
      </c>
    </row>
    <row r="818" spans="2:2">
      <c r="B818" s="3" t="str">
        <f ca="1">IFERROR(__xludf.DUMMYFUNCTION("IF(ISBLANK(A818),"""",GOOGLETRANSLATE(A818,""en"",""fr""))"),"")</f>
        <v/>
      </c>
    </row>
    <row r="819" spans="2:2">
      <c r="B819" s="3" t="str">
        <f ca="1">IFERROR(__xludf.DUMMYFUNCTION("IF(ISBLANK(A819),"""",GOOGLETRANSLATE(A819,""en"",""fr""))"),"")</f>
        <v/>
      </c>
    </row>
    <row r="820" spans="2:2">
      <c r="B820" s="3" t="str">
        <f ca="1">IFERROR(__xludf.DUMMYFUNCTION("IF(ISBLANK(A820),"""",GOOGLETRANSLATE(A820,""en"",""fr""))"),"")</f>
        <v/>
      </c>
    </row>
    <row r="821" spans="2:2">
      <c r="B821" s="3" t="str">
        <f ca="1">IFERROR(__xludf.DUMMYFUNCTION("IF(ISBLANK(A821),"""",GOOGLETRANSLATE(A821,""en"",""fr""))"),"")</f>
        <v/>
      </c>
    </row>
    <row r="822" spans="2:2">
      <c r="B822" s="3" t="str">
        <f ca="1">IFERROR(__xludf.DUMMYFUNCTION("IF(ISBLANK(A822),"""",GOOGLETRANSLATE(A822,""en"",""fr""))"),"")</f>
        <v/>
      </c>
    </row>
    <row r="823" spans="2:2">
      <c r="B823" s="3" t="str">
        <f ca="1">IFERROR(__xludf.DUMMYFUNCTION("IF(ISBLANK(A823),"""",GOOGLETRANSLATE(A823,""en"",""fr""))"),"")</f>
        <v/>
      </c>
    </row>
    <row r="824" spans="2:2">
      <c r="B824" s="3" t="str">
        <f ca="1">IFERROR(__xludf.DUMMYFUNCTION("IF(ISBLANK(A824),"""",GOOGLETRANSLATE(A824,""en"",""fr""))"),"")</f>
        <v/>
      </c>
    </row>
    <row r="825" spans="2:2">
      <c r="B825" s="3" t="str">
        <f ca="1">IFERROR(__xludf.DUMMYFUNCTION("IF(ISBLANK(A825),"""",GOOGLETRANSLATE(A825,""en"",""fr""))"),"")</f>
        <v/>
      </c>
    </row>
    <row r="826" spans="2:2">
      <c r="B826" s="3" t="str">
        <f ca="1">IFERROR(__xludf.DUMMYFUNCTION("IF(ISBLANK(A826),"""",GOOGLETRANSLATE(A826,""en"",""fr""))"),"")</f>
        <v/>
      </c>
    </row>
    <row r="827" spans="2:2">
      <c r="B827" s="3" t="str">
        <f ca="1">IFERROR(__xludf.DUMMYFUNCTION("IF(ISBLANK(A827),"""",GOOGLETRANSLATE(A827,""en"",""fr""))"),"")</f>
        <v/>
      </c>
    </row>
    <row r="828" spans="2:2">
      <c r="B828" s="3" t="str">
        <f ca="1">IFERROR(__xludf.DUMMYFUNCTION("IF(ISBLANK(A828),"""",GOOGLETRANSLATE(A828,""en"",""fr""))"),"")</f>
        <v/>
      </c>
    </row>
    <row r="829" spans="2:2">
      <c r="B829" s="3" t="str">
        <f ca="1">IFERROR(__xludf.DUMMYFUNCTION("IF(ISBLANK(A829),"""",GOOGLETRANSLATE(A829,""en"",""fr""))"),"")</f>
        <v/>
      </c>
    </row>
    <row r="830" spans="2:2">
      <c r="B830" s="3" t="str">
        <f ca="1">IFERROR(__xludf.DUMMYFUNCTION("IF(ISBLANK(A830),"""",GOOGLETRANSLATE(A830,""en"",""fr""))"),"")</f>
        <v/>
      </c>
    </row>
    <row r="831" spans="2:2">
      <c r="B831" s="3" t="str">
        <f ca="1">IFERROR(__xludf.DUMMYFUNCTION("IF(ISBLANK(A831),"""",GOOGLETRANSLATE(A831,""en"",""fr""))"),"")</f>
        <v/>
      </c>
    </row>
    <row r="832" spans="2:2">
      <c r="B832" s="3" t="str">
        <f ca="1">IFERROR(__xludf.DUMMYFUNCTION("IF(ISBLANK(A832),"""",GOOGLETRANSLATE(A832,""en"",""fr""))"),"")</f>
        <v/>
      </c>
    </row>
    <row r="833" spans="2:2">
      <c r="B833" s="3" t="str">
        <f ca="1">IFERROR(__xludf.DUMMYFUNCTION("IF(ISBLANK(A833),"""",GOOGLETRANSLATE(A833,""en"",""fr""))"),"")</f>
        <v/>
      </c>
    </row>
    <row r="834" spans="2:2">
      <c r="B834" s="3" t="str">
        <f ca="1">IFERROR(__xludf.DUMMYFUNCTION("IF(ISBLANK(A834),"""",GOOGLETRANSLATE(A834,""en"",""fr""))"),"")</f>
        <v/>
      </c>
    </row>
    <row r="835" spans="2:2">
      <c r="B835" s="3" t="str">
        <f ca="1">IFERROR(__xludf.DUMMYFUNCTION("IF(ISBLANK(A835),"""",GOOGLETRANSLATE(A835,""en"",""fr""))"),"")</f>
        <v/>
      </c>
    </row>
    <row r="836" spans="2:2">
      <c r="B836" s="3" t="str">
        <f ca="1">IFERROR(__xludf.DUMMYFUNCTION("IF(ISBLANK(A836),"""",GOOGLETRANSLATE(A836,""en"",""fr""))"),"")</f>
        <v/>
      </c>
    </row>
    <row r="837" spans="2:2">
      <c r="B837" s="3" t="str">
        <f ca="1">IFERROR(__xludf.DUMMYFUNCTION("IF(ISBLANK(A837),"""",GOOGLETRANSLATE(A837,""en"",""fr""))"),"")</f>
        <v/>
      </c>
    </row>
    <row r="838" spans="2:2">
      <c r="B838" s="3" t="str">
        <f ca="1">IFERROR(__xludf.DUMMYFUNCTION("IF(ISBLANK(A838),"""",GOOGLETRANSLATE(A838,""en"",""fr""))"),"")</f>
        <v/>
      </c>
    </row>
    <row r="839" spans="2:2">
      <c r="B839" s="3" t="str">
        <f ca="1">IFERROR(__xludf.DUMMYFUNCTION("IF(ISBLANK(A839),"""",GOOGLETRANSLATE(A839,""en"",""fr""))"),"")</f>
        <v/>
      </c>
    </row>
    <row r="840" spans="2:2">
      <c r="B840" s="3" t="str">
        <f ca="1">IFERROR(__xludf.DUMMYFUNCTION("IF(ISBLANK(A840),"""",GOOGLETRANSLATE(A840,""en"",""fr""))"),"")</f>
        <v/>
      </c>
    </row>
    <row r="841" spans="2:2">
      <c r="B841" s="3" t="str">
        <f ca="1">IFERROR(__xludf.DUMMYFUNCTION("IF(ISBLANK(A841),"""",GOOGLETRANSLATE(A841,""en"",""fr""))"),"")</f>
        <v/>
      </c>
    </row>
    <row r="842" spans="2:2">
      <c r="B842" s="3" t="str">
        <f ca="1">IFERROR(__xludf.DUMMYFUNCTION("IF(ISBLANK(A842),"""",GOOGLETRANSLATE(A842,""en"",""fr""))"),"")</f>
        <v/>
      </c>
    </row>
    <row r="843" spans="2:2">
      <c r="B843" s="3" t="str">
        <f ca="1">IFERROR(__xludf.DUMMYFUNCTION("IF(ISBLANK(A843),"""",GOOGLETRANSLATE(A843,""en"",""fr""))"),"")</f>
        <v/>
      </c>
    </row>
    <row r="844" spans="2:2">
      <c r="B844" s="3" t="str">
        <f ca="1">IFERROR(__xludf.DUMMYFUNCTION("IF(ISBLANK(A844),"""",GOOGLETRANSLATE(A844,""en"",""fr""))"),"")</f>
        <v/>
      </c>
    </row>
    <row r="845" spans="2:2">
      <c r="B845" s="3" t="str">
        <f ca="1">IFERROR(__xludf.DUMMYFUNCTION("IF(ISBLANK(A845),"""",GOOGLETRANSLATE(A845,""en"",""fr""))"),"")</f>
        <v/>
      </c>
    </row>
    <row r="846" spans="2:2">
      <c r="B846" s="3" t="str">
        <f ca="1">IFERROR(__xludf.DUMMYFUNCTION("IF(ISBLANK(A846),"""",GOOGLETRANSLATE(A846,""en"",""fr""))"),"")</f>
        <v/>
      </c>
    </row>
    <row r="847" spans="2:2">
      <c r="B847" s="3" t="str">
        <f ca="1">IFERROR(__xludf.DUMMYFUNCTION("IF(ISBLANK(A847),"""",GOOGLETRANSLATE(A847,""en"",""fr""))"),"")</f>
        <v/>
      </c>
    </row>
    <row r="848" spans="2:2">
      <c r="B848" s="3" t="str">
        <f ca="1">IFERROR(__xludf.DUMMYFUNCTION("IF(ISBLANK(A848),"""",GOOGLETRANSLATE(A848,""en"",""fr""))"),"")</f>
        <v/>
      </c>
    </row>
    <row r="849" spans="2:2">
      <c r="B849" s="3" t="str">
        <f ca="1">IFERROR(__xludf.DUMMYFUNCTION("IF(ISBLANK(A849),"""",GOOGLETRANSLATE(A849,""en"",""fr""))"),"")</f>
        <v/>
      </c>
    </row>
    <row r="850" spans="2:2">
      <c r="B850" s="3" t="str">
        <f ca="1">IFERROR(__xludf.DUMMYFUNCTION("IF(ISBLANK(A850),"""",GOOGLETRANSLATE(A850,""en"",""fr""))"),"")</f>
        <v/>
      </c>
    </row>
    <row r="851" spans="2:2">
      <c r="B851" s="3" t="str">
        <f ca="1">IFERROR(__xludf.DUMMYFUNCTION("IF(ISBLANK(A851),"""",GOOGLETRANSLATE(A851,""en"",""fr""))"),"")</f>
        <v/>
      </c>
    </row>
    <row r="852" spans="2:2">
      <c r="B852" s="3" t="str">
        <f ca="1">IFERROR(__xludf.DUMMYFUNCTION("IF(ISBLANK(A852),"""",GOOGLETRANSLATE(A852,""en"",""fr""))"),"")</f>
        <v/>
      </c>
    </row>
    <row r="853" spans="2:2">
      <c r="B853" s="3" t="str">
        <f ca="1">IFERROR(__xludf.DUMMYFUNCTION("IF(ISBLANK(A853),"""",GOOGLETRANSLATE(A853,""en"",""fr""))"),"")</f>
        <v/>
      </c>
    </row>
    <row r="854" spans="2:2">
      <c r="B854" s="3" t="str">
        <f ca="1">IFERROR(__xludf.DUMMYFUNCTION("IF(ISBLANK(A854),"""",GOOGLETRANSLATE(A854,""en"",""fr""))"),"")</f>
        <v/>
      </c>
    </row>
    <row r="855" spans="2:2">
      <c r="B855" s="3" t="str">
        <f ca="1">IFERROR(__xludf.DUMMYFUNCTION("IF(ISBLANK(A855),"""",GOOGLETRANSLATE(A855,""en"",""fr""))"),"")</f>
        <v/>
      </c>
    </row>
    <row r="856" spans="2:2">
      <c r="B856" s="3" t="str">
        <f ca="1">IFERROR(__xludf.DUMMYFUNCTION("IF(ISBLANK(A856),"""",GOOGLETRANSLATE(A856,""en"",""fr""))"),"")</f>
        <v/>
      </c>
    </row>
    <row r="857" spans="2:2">
      <c r="B857" s="3" t="str">
        <f ca="1">IFERROR(__xludf.DUMMYFUNCTION("IF(ISBLANK(A857),"""",GOOGLETRANSLATE(A857,""en"",""fr""))"),"")</f>
        <v/>
      </c>
    </row>
    <row r="858" spans="2:2">
      <c r="B858" s="3" t="str">
        <f ca="1">IFERROR(__xludf.DUMMYFUNCTION("IF(ISBLANK(A858),"""",GOOGLETRANSLATE(A858,""en"",""fr""))"),"")</f>
        <v/>
      </c>
    </row>
    <row r="859" spans="2:2">
      <c r="B859" s="3" t="str">
        <f ca="1">IFERROR(__xludf.DUMMYFUNCTION("IF(ISBLANK(A859),"""",GOOGLETRANSLATE(A859,""en"",""fr""))"),"")</f>
        <v/>
      </c>
    </row>
    <row r="860" spans="2:2">
      <c r="B860" s="3" t="str">
        <f ca="1">IFERROR(__xludf.DUMMYFUNCTION("IF(ISBLANK(A860),"""",GOOGLETRANSLATE(A860,""en"",""fr""))"),"")</f>
        <v/>
      </c>
    </row>
    <row r="861" spans="2:2">
      <c r="B861" s="3" t="str">
        <f ca="1">IFERROR(__xludf.DUMMYFUNCTION("IF(ISBLANK(A861),"""",GOOGLETRANSLATE(A861,""en"",""fr""))"),"")</f>
        <v/>
      </c>
    </row>
    <row r="862" spans="2:2">
      <c r="B862" s="3" t="str">
        <f ca="1">IFERROR(__xludf.DUMMYFUNCTION("IF(ISBLANK(A862),"""",GOOGLETRANSLATE(A862,""en"",""fr""))"),"")</f>
        <v/>
      </c>
    </row>
    <row r="863" spans="2:2">
      <c r="B863" s="3" t="str">
        <f ca="1">IFERROR(__xludf.DUMMYFUNCTION("IF(ISBLANK(A863),"""",GOOGLETRANSLATE(A863,""en"",""fr""))"),"")</f>
        <v/>
      </c>
    </row>
    <row r="864" spans="2:2">
      <c r="B864" s="3" t="str">
        <f ca="1">IFERROR(__xludf.DUMMYFUNCTION("IF(ISBLANK(A864),"""",GOOGLETRANSLATE(A864,""en"",""fr""))"),"")</f>
        <v/>
      </c>
    </row>
    <row r="865" spans="2:2">
      <c r="B865" s="3" t="str">
        <f ca="1">IFERROR(__xludf.DUMMYFUNCTION("IF(ISBLANK(A865),"""",GOOGLETRANSLATE(A865,""en"",""fr""))"),"")</f>
        <v/>
      </c>
    </row>
    <row r="866" spans="2:2">
      <c r="B866" s="3" t="str">
        <f ca="1">IFERROR(__xludf.DUMMYFUNCTION("IF(ISBLANK(A866),"""",GOOGLETRANSLATE(A866,""en"",""fr""))"),"")</f>
        <v/>
      </c>
    </row>
    <row r="867" spans="2:2">
      <c r="B867" s="3" t="str">
        <f ca="1">IFERROR(__xludf.DUMMYFUNCTION("IF(ISBLANK(A867),"""",GOOGLETRANSLATE(A867,""en"",""fr""))"),"")</f>
        <v/>
      </c>
    </row>
    <row r="868" spans="2:2">
      <c r="B868" s="3" t="str">
        <f ca="1">IFERROR(__xludf.DUMMYFUNCTION("IF(ISBLANK(A868),"""",GOOGLETRANSLATE(A868,""en"",""fr""))"),"")</f>
        <v/>
      </c>
    </row>
    <row r="869" spans="2:2">
      <c r="B869" s="3" t="str">
        <f ca="1">IFERROR(__xludf.DUMMYFUNCTION("IF(ISBLANK(A869),"""",GOOGLETRANSLATE(A869,""en"",""fr""))"),"")</f>
        <v/>
      </c>
    </row>
    <row r="870" spans="2:2">
      <c r="B870" s="3" t="str">
        <f ca="1">IFERROR(__xludf.DUMMYFUNCTION("IF(ISBLANK(A870),"""",GOOGLETRANSLATE(A870,""en"",""fr""))"),"")</f>
        <v/>
      </c>
    </row>
    <row r="871" spans="2:2">
      <c r="B871" s="3" t="str">
        <f ca="1">IFERROR(__xludf.DUMMYFUNCTION("IF(ISBLANK(A871),"""",GOOGLETRANSLATE(A871,""en"",""fr""))"),"")</f>
        <v/>
      </c>
    </row>
    <row r="872" spans="2:2">
      <c r="B872" s="3" t="str">
        <f ca="1">IFERROR(__xludf.DUMMYFUNCTION("IF(ISBLANK(A872),"""",GOOGLETRANSLATE(A872,""en"",""fr""))"),"")</f>
        <v/>
      </c>
    </row>
    <row r="873" spans="2:2">
      <c r="B873" s="3" t="str">
        <f ca="1">IFERROR(__xludf.DUMMYFUNCTION("IF(ISBLANK(A873),"""",GOOGLETRANSLATE(A873,""en"",""fr""))"),"")</f>
        <v/>
      </c>
    </row>
    <row r="874" spans="2:2">
      <c r="B874" s="3" t="str">
        <f ca="1">IFERROR(__xludf.DUMMYFUNCTION("IF(ISBLANK(A874),"""",GOOGLETRANSLATE(A874,""en"",""fr""))"),"")</f>
        <v/>
      </c>
    </row>
    <row r="875" spans="2:2">
      <c r="B875" s="3" t="str">
        <f ca="1">IFERROR(__xludf.DUMMYFUNCTION("IF(ISBLANK(A875),"""",GOOGLETRANSLATE(A875,""en"",""fr""))"),"")</f>
        <v/>
      </c>
    </row>
    <row r="876" spans="2:2">
      <c r="B876" s="3" t="str">
        <f ca="1">IFERROR(__xludf.DUMMYFUNCTION("IF(ISBLANK(A876),"""",GOOGLETRANSLATE(A876,""en"",""fr""))"),"")</f>
        <v/>
      </c>
    </row>
    <row r="877" spans="2:2">
      <c r="B877" s="3" t="str">
        <f ca="1">IFERROR(__xludf.DUMMYFUNCTION("IF(ISBLANK(A877),"""",GOOGLETRANSLATE(A877,""en"",""fr""))"),"")</f>
        <v/>
      </c>
    </row>
    <row r="878" spans="2:2">
      <c r="B878" s="3" t="str">
        <f ca="1">IFERROR(__xludf.DUMMYFUNCTION("IF(ISBLANK(A878),"""",GOOGLETRANSLATE(A878,""en"",""fr""))"),"")</f>
        <v/>
      </c>
    </row>
    <row r="879" spans="2:2">
      <c r="B879" s="3" t="str">
        <f ca="1">IFERROR(__xludf.DUMMYFUNCTION("IF(ISBLANK(A879),"""",GOOGLETRANSLATE(A879,""en"",""fr""))"),"")</f>
        <v/>
      </c>
    </row>
    <row r="880" spans="2:2">
      <c r="B880" s="3" t="str">
        <f ca="1">IFERROR(__xludf.DUMMYFUNCTION("IF(ISBLANK(A880),"""",GOOGLETRANSLATE(A880,""en"",""fr""))"),"")</f>
        <v/>
      </c>
    </row>
    <row r="881" spans="2:2">
      <c r="B881" s="3" t="str">
        <f ca="1">IFERROR(__xludf.DUMMYFUNCTION("IF(ISBLANK(A881),"""",GOOGLETRANSLATE(A881,""en"",""fr""))"),"")</f>
        <v/>
      </c>
    </row>
    <row r="882" spans="2:2">
      <c r="B882" s="3" t="str">
        <f ca="1">IFERROR(__xludf.DUMMYFUNCTION("IF(ISBLANK(A882),"""",GOOGLETRANSLATE(A882,""en"",""fr""))"),"")</f>
        <v/>
      </c>
    </row>
    <row r="883" spans="2:2">
      <c r="B883" s="3" t="str">
        <f ca="1">IFERROR(__xludf.DUMMYFUNCTION("IF(ISBLANK(A883),"""",GOOGLETRANSLATE(A883,""en"",""fr""))"),"")</f>
        <v/>
      </c>
    </row>
    <row r="884" spans="2:2">
      <c r="B884" s="3" t="str">
        <f ca="1">IFERROR(__xludf.DUMMYFUNCTION("IF(ISBLANK(A884),"""",GOOGLETRANSLATE(A884,""en"",""fr""))"),"")</f>
        <v/>
      </c>
    </row>
    <row r="885" spans="2:2">
      <c r="B885" s="3" t="str">
        <f ca="1">IFERROR(__xludf.DUMMYFUNCTION("IF(ISBLANK(A885),"""",GOOGLETRANSLATE(A885,""en"",""fr""))"),"")</f>
        <v/>
      </c>
    </row>
    <row r="886" spans="2:2">
      <c r="B886" s="3" t="str">
        <f ca="1">IFERROR(__xludf.DUMMYFUNCTION("IF(ISBLANK(A886),"""",GOOGLETRANSLATE(A886,""en"",""fr""))"),"")</f>
        <v/>
      </c>
    </row>
    <row r="887" spans="2:2">
      <c r="B887" s="3" t="str">
        <f ca="1">IFERROR(__xludf.DUMMYFUNCTION("IF(ISBLANK(A887),"""",GOOGLETRANSLATE(A887,""en"",""fr""))"),"")</f>
        <v/>
      </c>
    </row>
    <row r="888" spans="2:2">
      <c r="B888" s="3" t="str">
        <f ca="1">IFERROR(__xludf.DUMMYFUNCTION("IF(ISBLANK(A888),"""",GOOGLETRANSLATE(A888,""en"",""fr""))"),"")</f>
        <v/>
      </c>
    </row>
    <row r="889" spans="2:2">
      <c r="B889" s="3" t="str">
        <f ca="1">IFERROR(__xludf.DUMMYFUNCTION("IF(ISBLANK(A889),"""",GOOGLETRANSLATE(A889,""en"",""fr""))"),"")</f>
        <v/>
      </c>
    </row>
    <row r="890" spans="2:2">
      <c r="B890" s="3" t="str">
        <f ca="1">IFERROR(__xludf.DUMMYFUNCTION("IF(ISBLANK(A890),"""",GOOGLETRANSLATE(A890,""en"",""fr""))"),"")</f>
        <v/>
      </c>
    </row>
    <row r="891" spans="2:2">
      <c r="B891" s="3" t="str">
        <f ca="1">IFERROR(__xludf.DUMMYFUNCTION("IF(ISBLANK(A891),"""",GOOGLETRANSLATE(A891,""en"",""fr""))"),"")</f>
        <v/>
      </c>
    </row>
    <row r="892" spans="2:2">
      <c r="B892" s="3" t="str">
        <f ca="1">IFERROR(__xludf.DUMMYFUNCTION("IF(ISBLANK(A892),"""",GOOGLETRANSLATE(A892,""en"",""fr""))"),"")</f>
        <v/>
      </c>
    </row>
    <row r="893" spans="2:2">
      <c r="B893" s="3" t="str">
        <f ca="1">IFERROR(__xludf.DUMMYFUNCTION("IF(ISBLANK(A893),"""",GOOGLETRANSLATE(A893,""en"",""fr""))"),"")</f>
        <v/>
      </c>
    </row>
    <row r="894" spans="2:2">
      <c r="B894" s="3" t="str">
        <f ca="1">IFERROR(__xludf.DUMMYFUNCTION("IF(ISBLANK(A894),"""",GOOGLETRANSLATE(A894,""en"",""fr""))"),"")</f>
        <v/>
      </c>
    </row>
    <row r="895" spans="2:2">
      <c r="B895" s="3" t="str">
        <f ca="1">IFERROR(__xludf.DUMMYFUNCTION("IF(ISBLANK(A895),"""",GOOGLETRANSLATE(A895,""en"",""fr""))"),"")</f>
        <v/>
      </c>
    </row>
    <row r="896" spans="2:2">
      <c r="B896" s="3" t="str">
        <f ca="1">IFERROR(__xludf.DUMMYFUNCTION("IF(ISBLANK(A896),"""",GOOGLETRANSLATE(A896,""en"",""fr""))"),"")</f>
        <v/>
      </c>
    </row>
    <row r="897" spans="2:2">
      <c r="B897" s="3" t="str">
        <f ca="1">IFERROR(__xludf.DUMMYFUNCTION("IF(ISBLANK(A897),"""",GOOGLETRANSLATE(A897,""en"",""fr""))"),"")</f>
        <v/>
      </c>
    </row>
    <row r="898" spans="2:2">
      <c r="B898" s="3" t="str">
        <f ca="1">IFERROR(__xludf.DUMMYFUNCTION("IF(ISBLANK(A898),"""",GOOGLETRANSLATE(A898,""en"",""fr""))"),"")</f>
        <v/>
      </c>
    </row>
    <row r="899" spans="2:2">
      <c r="B899" s="3" t="str">
        <f ca="1">IFERROR(__xludf.DUMMYFUNCTION("IF(ISBLANK(A899),"""",GOOGLETRANSLATE(A899,""en"",""fr""))"),"")</f>
        <v/>
      </c>
    </row>
    <row r="900" spans="2:2">
      <c r="B900" s="3" t="str">
        <f ca="1">IFERROR(__xludf.DUMMYFUNCTION("IF(ISBLANK(A900),"""",GOOGLETRANSLATE(A900,""en"",""fr""))"),"")</f>
        <v/>
      </c>
    </row>
    <row r="901" spans="2:2">
      <c r="B901" s="3" t="str">
        <f ca="1">IFERROR(__xludf.DUMMYFUNCTION("IF(ISBLANK(A901),"""",GOOGLETRANSLATE(A901,""en"",""fr""))"),"")</f>
        <v/>
      </c>
    </row>
    <row r="902" spans="2:2">
      <c r="B902" s="3" t="str">
        <f ca="1">IFERROR(__xludf.DUMMYFUNCTION("IF(ISBLANK(A902),"""",GOOGLETRANSLATE(A902,""en"",""fr""))"),"")</f>
        <v/>
      </c>
    </row>
    <row r="903" spans="2:2">
      <c r="B903" s="3" t="str">
        <f ca="1">IFERROR(__xludf.DUMMYFUNCTION("IF(ISBLANK(A903),"""",GOOGLETRANSLATE(A903,""en"",""fr""))"),"")</f>
        <v/>
      </c>
    </row>
    <row r="904" spans="2:2">
      <c r="B904" s="3" t="str">
        <f ca="1">IFERROR(__xludf.DUMMYFUNCTION("IF(ISBLANK(A904),"""",GOOGLETRANSLATE(A904,""en"",""fr""))"),"")</f>
        <v/>
      </c>
    </row>
    <row r="905" spans="2:2">
      <c r="B905" s="3" t="str">
        <f ca="1">IFERROR(__xludf.DUMMYFUNCTION("IF(ISBLANK(A905),"""",GOOGLETRANSLATE(A905,""en"",""fr""))"),"")</f>
        <v/>
      </c>
    </row>
    <row r="906" spans="2:2">
      <c r="B906" s="3" t="str">
        <f ca="1">IFERROR(__xludf.DUMMYFUNCTION("IF(ISBLANK(A906),"""",GOOGLETRANSLATE(A906,""en"",""fr""))"),"")</f>
        <v/>
      </c>
    </row>
    <row r="907" spans="2:2">
      <c r="B907" s="3" t="str">
        <f ca="1">IFERROR(__xludf.DUMMYFUNCTION("IF(ISBLANK(A907),"""",GOOGLETRANSLATE(A907,""en"",""fr""))"),"")</f>
        <v/>
      </c>
    </row>
    <row r="908" spans="2:2">
      <c r="B908" s="3" t="str">
        <f ca="1">IFERROR(__xludf.DUMMYFUNCTION("IF(ISBLANK(A908),"""",GOOGLETRANSLATE(A908,""en"",""fr""))"),"")</f>
        <v/>
      </c>
    </row>
    <row r="909" spans="2:2">
      <c r="B909" s="3" t="str">
        <f ca="1">IFERROR(__xludf.DUMMYFUNCTION("IF(ISBLANK(A909),"""",GOOGLETRANSLATE(A909,""en"",""fr""))"),"")</f>
        <v/>
      </c>
    </row>
    <row r="910" spans="2:2">
      <c r="B910" s="3" t="str">
        <f ca="1">IFERROR(__xludf.DUMMYFUNCTION("IF(ISBLANK(A910),"""",GOOGLETRANSLATE(A910,""en"",""fr""))"),"")</f>
        <v/>
      </c>
    </row>
    <row r="911" spans="2:2">
      <c r="B911" s="3" t="str">
        <f ca="1">IFERROR(__xludf.DUMMYFUNCTION("IF(ISBLANK(A911),"""",GOOGLETRANSLATE(A911,""en"",""fr""))"),"")</f>
        <v/>
      </c>
    </row>
    <row r="912" spans="2:2">
      <c r="B912" s="3" t="str">
        <f ca="1">IFERROR(__xludf.DUMMYFUNCTION("IF(ISBLANK(A912),"""",GOOGLETRANSLATE(A912,""en"",""fr""))"),"")</f>
        <v/>
      </c>
    </row>
    <row r="913" spans="2:2">
      <c r="B913" s="3" t="str">
        <f ca="1">IFERROR(__xludf.DUMMYFUNCTION("IF(ISBLANK(A913),"""",GOOGLETRANSLATE(A913,""en"",""fr""))"),"")</f>
        <v/>
      </c>
    </row>
    <row r="914" spans="2:2">
      <c r="B914" s="3" t="str">
        <f ca="1">IFERROR(__xludf.DUMMYFUNCTION("IF(ISBLANK(A914),"""",GOOGLETRANSLATE(A914,""en"",""fr""))"),"")</f>
        <v/>
      </c>
    </row>
    <row r="915" spans="2:2">
      <c r="B915" s="3" t="str">
        <f ca="1">IFERROR(__xludf.DUMMYFUNCTION("IF(ISBLANK(A915),"""",GOOGLETRANSLATE(A915,""en"",""fr""))"),"")</f>
        <v/>
      </c>
    </row>
    <row r="916" spans="2:2">
      <c r="B916" s="3" t="str">
        <f ca="1">IFERROR(__xludf.DUMMYFUNCTION("IF(ISBLANK(A916),"""",GOOGLETRANSLATE(A916,""en"",""fr""))"),"")</f>
        <v/>
      </c>
    </row>
    <row r="917" spans="2:2">
      <c r="B917" s="3" t="str">
        <f ca="1">IFERROR(__xludf.DUMMYFUNCTION("IF(ISBLANK(A917),"""",GOOGLETRANSLATE(A917,""en"",""fr""))"),"")</f>
        <v/>
      </c>
    </row>
    <row r="918" spans="2:2">
      <c r="B918" s="3" t="str">
        <f ca="1">IFERROR(__xludf.DUMMYFUNCTION("IF(ISBLANK(A918),"""",GOOGLETRANSLATE(A918,""en"",""fr""))"),"")</f>
        <v/>
      </c>
    </row>
    <row r="919" spans="2:2">
      <c r="B919" s="3" t="str">
        <f ca="1">IFERROR(__xludf.DUMMYFUNCTION("IF(ISBLANK(A919),"""",GOOGLETRANSLATE(A919,""en"",""fr""))"),"")</f>
        <v/>
      </c>
    </row>
    <row r="920" spans="2:2">
      <c r="B920" s="3" t="str">
        <f ca="1">IFERROR(__xludf.DUMMYFUNCTION("IF(ISBLANK(A920),"""",GOOGLETRANSLATE(A920,""en"",""fr""))"),"")</f>
        <v/>
      </c>
    </row>
    <row r="921" spans="2:2">
      <c r="B921" s="3" t="str">
        <f ca="1">IFERROR(__xludf.DUMMYFUNCTION("IF(ISBLANK(A921),"""",GOOGLETRANSLATE(A921,""en"",""fr""))"),"")</f>
        <v/>
      </c>
    </row>
    <row r="922" spans="2:2">
      <c r="B922" s="3" t="str">
        <f ca="1">IFERROR(__xludf.DUMMYFUNCTION("IF(ISBLANK(A922),"""",GOOGLETRANSLATE(A922,""en"",""fr""))"),"")</f>
        <v/>
      </c>
    </row>
    <row r="923" spans="2:2">
      <c r="B923" s="3" t="str">
        <f ca="1">IFERROR(__xludf.DUMMYFUNCTION("IF(ISBLANK(A923),"""",GOOGLETRANSLATE(A923,""en"",""fr""))"),"")</f>
        <v/>
      </c>
    </row>
    <row r="924" spans="2:2">
      <c r="B924" s="3" t="str">
        <f ca="1">IFERROR(__xludf.DUMMYFUNCTION("IF(ISBLANK(A924),"""",GOOGLETRANSLATE(A924,""en"",""fr""))"),"")</f>
        <v/>
      </c>
    </row>
    <row r="925" spans="2:2">
      <c r="B925" s="3" t="str">
        <f ca="1">IFERROR(__xludf.DUMMYFUNCTION("IF(ISBLANK(A925),"""",GOOGLETRANSLATE(A925,""en"",""fr""))"),"")</f>
        <v/>
      </c>
    </row>
    <row r="926" spans="2:2">
      <c r="B926" s="3" t="str">
        <f ca="1">IFERROR(__xludf.DUMMYFUNCTION("IF(ISBLANK(A926),"""",GOOGLETRANSLATE(A926,""en"",""fr""))"),"")</f>
        <v/>
      </c>
    </row>
    <row r="927" spans="2:2">
      <c r="B927" s="3" t="str">
        <f ca="1">IFERROR(__xludf.DUMMYFUNCTION("IF(ISBLANK(A927),"""",GOOGLETRANSLATE(A927,""en"",""fr""))"),"")</f>
        <v/>
      </c>
    </row>
    <row r="928" spans="2:2">
      <c r="B928" s="3" t="str">
        <f ca="1">IFERROR(__xludf.DUMMYFUNCTION("IF(ISBLANK(A928),"""",GOOGLETRANSLATE(A928,""en"",""fr""))"),"")</f>
        <v/>
      </c>
    </row>
    <row r="929" spans="2:2">
      <c r="B929" s="3" t="str">
        <f ca="1">IFERROR(__xludf.DUMMYFUNCTION("IF(ISBLANK(A929),"""",GOOGLETRANSLATE(A929,""en"",""fr""))"),"")</f>
        <v/>
      </c>
    </row>
    <row r="930" spans="2:2">
      <c r="B930" s="3" t="str">
        <f ca="1">IFERROR(__xludf.DUMMYFUNCTION("IF(ISBLANK(A930),"""",GOOGLETRANSLATE(A930,""en"",""fr""))"),"")</f>
        <v/>
      </c>
    </row>
    <row r="931" spans="2:2">
      <c r="B931" s="3" t="str">
        <f ca="1">IFERROR(__xludf.DUMMYFUNCTION("IF(ISBLANK(A931),"""",GOOGLETRANSLATE(A931,""en"",""fr""))"),"")</f>
        <v/>
      </c>
    </row>
    <row r="932" spans="2:2">
      <c r="B932" s="3" t="str">
        <f ca="1">IFERROR(__xludf.DUMMYFUNCTION("IF(ISBLANK(A932),"""",GOOGLETRANSLATE(A932,""en"",""fr""))"),"")</f>
        <v/>
      </c>
    </row>
    <row r="933" spans="2:2">
      <c r="B933" s="3" t="str">
        <f ca="1">IFERROR(__xludf.DUMMYFUNCTION("IF(ISBLANK(A933),"""",GOOGLETRANSLATE(A933,""en"",""fr""))"),"")</f>
        <v/>
      </c>
    </row>
    <row r="934" spans="2:2">
      <c r="B934" s="3" t="str">
        <f ca="1">IFERROR(__xludf.DUMMYFUNCTION("IF(ISBLANK(A934),"""",GOOGLETRANSLATE(A934,""en"",""fr""))"),"")</f>
        <v/>
      </c>
    </row>
    <row r="935" spans="2:2">
      <c r="B935" s="3" t="str">
        <f ca="1">IFERROR(__xludf.DUMMYFUNCTION("IF(ISBLANK(A935),"""",GOOGLETRANSLATE(A935,""en"",""fr""))"),"")</f>
        <v/>
      </c>
    </row>
    <row r="936" spans="2:2">
      <c r="B936" s="3" t="str">
        <f ca="1">IFERROR(__xludf.DUMMYFUNCTION("IF(ISBLANK(A936),"""",GOOGLETRANSLATE(A936,""en"",""fr""))"),"")</f>
        <v/>
      </c>
    </row>
    <row r="937" spans="2:2">
      <c r="B937" s="3" t="str">
        <f ca="1">IFERROR(__xludf.DUMMYFUNCTION("IF(ISBLANK(A937),"""",GOOGLETRANSLATE(A937,""en"",""fr""))"),"")</f>
        <v/>
      </c>
    </row>
    <row r="938" spans="2:2">
      <c r="B938" s="3" t="str">
        <f ca="1">IFERROR(__xludf.DUMMYFUNCTION("IF(ISBLANK(A938),"""",GOOGLETRANSLATE(A938,""en"",""fr""))"),"")</f>
        <v/>
      </c>
    </row>
    <row r="939" spans="2:2">
      <c r="B939" s="3" t="str">
        <f ca="1">IFERROR(__xludf.DUMMYFUNCTION("IF(ISBLANK(A939),"""",GOOGLETRANSLATE(A939,""en"",""fr""))"),"")</f>
        <v/>
      </c>
    </row>
    <row r="940" spans="2:2">
      <c r="B940" s="3" t="str">
        <f ca="1">IFERROR(__xludf.DUMMYFUNCTION("IF(ISBLANK(A940),"""",GOOGLETRANSLATE(A940,""en"",""fr""))"),"")</f>
        <v/>
      </c>
    </row>
    <row r="941" spans="2:2">
      <c r="B941" s="3" t="str">
        <f ca="1">IFERROR(__xludf.DUMMYFUNCTION("IF(ISBLANK(A941),"""",GOOGLETRANSLATE(A941,""en"",""fr""))"),"")</f>
        <v/>
      </c>
    </row>
    <row r="942" spans="2:2">
      <c r="B942" s="3" t="str">
        <f ca="1">IFERROR(__xludf.DUMMYFUNCTION("IF(ISBLANK(A942),"""",GOOGLETRANSLATE(A942,""en"",""fr""))"),"")</f>
        <v/>
      </c>
    </row>
    <row r="943" spans="2:2">
      <c r="B943" s="3" t="str">
        <f ca="1">IFERROR(__xludf.DUMMYFUNCTION("IF(ISBLANK(A943),"""",GOOGLETRANSLATE(A943,""en"",""fr""))"),"")</f>
        <v/>
      </c>
    </row>
    <row r="944" spans="2:2">
      <c r="B944" s="3" t="str">
        <f ca="1">IFERROR(__xludf.DUMMYFUNCTION("IF(ISBLANK(A944),"""",GOOGLETRANSLATE(A944,""en"",""fr""))"),"")</f>
        <v/>
      </c>
    </row>
    <row r="945" spans="2:2">
      <c r="B945" s="3" t="str">
        <f ca="1">IFERROR(__xludf.DUMMYFUNCTION("IF(ISBLANK(A945),"""",GOOGLETRANSLATE(A945,""en"",""fr""))"),"")</f>
        <v/>
      </c>
    </row>
    <row r="946" spans="2:2">
      <c r="B946" s="3" t="str">
        <f ca="1">IFERROR(__xludf.DUMMYFUNCTION("IF(ISBLANK(A946),"""",GOOGLETRANSLATE(A946,""en"",""fr""))"),"")</f>
        <v/>
      </c>
    </row>
    <row r="947" spans="2:2">
      <c r="B947" s="3" t="str">
        <f ca="1">IFERROR(__xludf.DUMMYFUNCTION("IF(ISBLANK(A947),"""",GOOGLETRANSLATE(A947,""en"",""fr""))"),"")</f>
        <v/>
      </c>
    </row>
    <row r="948" spans="2:2">
      <c r="B948" s="3" t="str">
        <f ca="1">IFERROR(__xludf.DUMMYFUNCTION("IF(ISBLANK(A948),"""",GOOGLETRANSLATE(A948,""en"",""fr""))"),"")</f>
        <v/>
      </c>
    </row>
    <row r="949" spans="2:2">
      <c r="B949" s="3" t="str">
        <f ca="1">IFERROR(__xludf.DUMMYFUNCTION("IF(ISBLANK(A949),"""",GOOGLETRANSLATE(A949,""en"",""fr""))"),"")</f>
        <v/>
      </c>
    </row>
    <row r="950" spans="2:2">
      <c r="B950" s="3" t="str">
        <f ca="1">IFERROR(__xludf.DUMMYFUNCTION("IF(ISBLANK(A950),"""",GOOGLETRANSLATE(A950,""en"",""fr""))"),"")</f>
        <v/>
      </c>
    </row>
    <row r="951" spans="2:2">
      <c r="B951" s="3" t="str">
        <f ca="1">IFERROR(__xludf.DUMMYFUNCTION("IF(ISBLANK(A951),"""",GOOGLETRANSLATE(A951,""en"",""fr""))"),"")</f>
        <v/>
      </c>
    </row>
    <row r="952" spans="2:2">
      <c r="B952" s="3" t="str">
        <f ca="1">IFERROR(__xludf.DUMMYFUNCTION("IF(ISBLANK(A952),"""",GOOGLETRANSLATE(A952,""en"",""fr""))"),"")</f>
        <v/>
      </c>
    </row>
    <row r="953" spans="2:2">
      <c r="B953" s="3" t="str">
        <f ca="1">IFERROR(__xludf.DUMMYFUNCTION("IF(ISBLANK(A953),"""",GOOGLETRANSLATE(A953,""en"",""fr""))"),"")</f>
        <v/>
      </c>
    </row>
    <row r="954" spans="2:2">
      <c r="B954" s="3" t="str">
        <f ca="1">IFERROR(__xludf.DUMMYFUNCTION("IF(ISBLANK(A954),"""",GOOGLETRANSLATE(A954,""en"",""fr""))"),"")</f>
        <v/>
      </c>
    </row>
    <row r="955" spans="2:2">
      <c r="B955" s="3" t="str">
        <f ca="1">IFERROR(__xludf.DUMMYFUNCTION("IF(ISBLANK(A955),"""",GOOGLETRANSLATE(A955,""en"",""fr""))"),"")</f>
        <v/>
      </c>
    </row>
    <row r="956" spans="2:2">
      <c r="B956" s="3" t="str">
        <f ca="1">IFERROR(__xludf.DUMMYFUNCTION("IF(ISBLANK(A956),"""",GOOGLETRANSLATE(A956,""en"",""fr""))"),"")</f>
        <v/>
      </c>
    </row>
    <row r="957" spans="2:2">
      <c r="B957" s="3" t="str">
        <f ca="1">IFERROR(__xludf.DUMMYFUNCTION("IF(ISBLANK(A957),"""",GOOGLETRANSLATE(A957,""en"",""fr""))"),"")</f>
        <v/>
      </c>
    </row>
    <row r="958" spans="2:2">
      <c r="B958" s="3" t="str">
        <f ca="1">IFERROR(__xludf.DUMMYFUNCTION("IF(ISBLANK(A958),"""",GOOGLETRANSLATE(A958,""en"",""fr""))"),"")</f>
        <v/>
      </c>
    </row>
    <row r="959" spans="2:2">
      <c r="B959" s="3" t="str">
        <f ca="1">IFERROR(__xludf.DUMMYFUNCTION("IF(ISBLANK(A959),"""",GOOGLETRANSLATE(A959,""en"",""fr""))"),"")</f>
        <v/>
      </c>
    </row>
    <row r="960" spans="2:2">
      <c r="B960" s="3" t="str">
        <f ca="1">IFERROR(__xludf.DUMMYFUNCTION("IF(ISBLANK(A960),"""",GOOGLETRANSLATE(A960,""en"",""fr""))"),"")</f>
        <v/>
      </c>
    </row>
    <row r="961" spans="2:2">
      <c r="B961" s="3" t="str">
        <f ca="1">IFERROR(__xludf.DUMMYFUNCTION("IF(ISBLANK(A961),"""",GOOGLETRANSLATE(A961,""en"",""fr""))"),"")</f>
        <v/>
      </c>
    </row>
    <row r="962" spans="2:2">
      <c r="B962" s="3" t="str">
        <f ca="1">IFERROR(__xludf.DUMMYFUNCTION("IF(ISBLANK(A962),"""",GOOGLETRANSLATE(A962,""en"",""fr""))"),"")</f>
        <v/>
      </c>
    </row>
    <row r="963" spans="2:2">
      <c r="B963" s="3" t="str">
        <f ca="1">IFERROR(__xludf.DUMMYFUNCTION("IF(ISBLANK(A963),"""",GOOGLETRANSLATE(A963,""en"",""fr""))"),"")</f>
        <v/>
      </c>
    </row>
    <row r="964" spans="2:2">
      <c r="B964" s="3" t="str">
        <f ca="1">IFERROR(__xludf.DUMMYFUNCTION("IF(ISBLANK(A964),"""",GOOGLETRANSLATE(A964,""en"",""fr""))"),"")</f>
        <v/>
      </c>
    </row>
    <row r="965" spans="2:2">
      <c r="B965" s="3" t="str">
        <f ca="1">IFERROR(__xludf.DUMMYFUNCTION("IF(ISBLANK(A965),"""",GOOGLETRANSLATE(A965,""en"",""fr""))"),"")</f>
        <v/>
      </c>
    </row>
    <row r="966" spans="2:2">
      <c r="B966" s="3" t="str">
        <f ca="1">IFERROR(__xludf.DUMMYFUNCTION("IF(ISBLANK(A966),"""",GOOGLETRANSLATE(A966,""en"",""fr""))"),"")</f>
        <v/>
      </c>
    </row>
    <row r="967" spans="2:2">
      <c r="B967" s="3" t="str">
        <f ca="1">IFERROR(__xludf.DUMMYFUNCTION("IF(ISBLANK(A967),"""",GOOGLETRANSLATE(A967,""en"",""fr""))"),"")</f>
        <v/>
      </c>
    </row>
    <row r="968" spans="2:2">
      <c r="B968" s="3" t="str">
        <f ca="1">IFERROR(__xludf.DUMMYFUNCTION("IF(ISBLANK(A968),"""",GOOGLETRANSLATE(A968,""en"",""fr""))"),"")</f>
        <v/>
      </c>
    </row>
    <row r="969" spans="2:2">
      <c r="B969" s="3" t="str">
        <f ca="1">IFERROR(__xludf.DUMMYFUNCTION("IF(ISBLANK(A969),"""",GOOGLETRANSLATE(A969,""en"",""fr""))"),"")</f>
        <v/>
      </c>
    </row>
    <row r="970" spans="2:2">
      <c r="B970" s="3" t="str">
        <f ca="1">IFERROR(__xludf.DUMMYFUNCTION("IF(ISBLANK(A970),"""",GOOGLETRANSLATE(A970,""en"",""fr""))"),"")</f>
        <v/>
      </c>
    </row>
    <row r="971" spans="2:2">
      <c r="B971" s="3" t="str">
        <f ca="1">IFERROR(__xludf.DUMMYFUNCTION("IF(ISBLANK(A971),"""",GOOGLETRANSLATE(A971,""en"",""fr""))"),"")</f>
        <v/>
      </c>
    </row>
    <row r="972" spans="2:2">
      <c r="B972" s="3" t="str">
        <f ca="1">IFERROR(__xludf.DUMMYFUNCTION("IF(ISBLANK(A972),"""",GOOGLETRANSLATE(A972,""en"",""fr""))"),"")</f>
        <v/>
      </c>
    </row>
    <row r="973" spans="2:2">
      <c r="B973" s="3" t="str">
        <f ca="1">IFERROR(__xludf.DUMMYFUNCTION("IF(ISBLANK(A973),"""",GOOGLETRANSLATE(A973,""en"",""fr""))"),"")</f>
        <v/>
      </c>
    </row>
    <row r="974" spans="2:2">
      <c r="B974" s="3" t="str">
        <f ca="1">IFERROR(__xludf.DUMMYFUNCTION("IF(ISBLANK(A974),"""",GOOGLETRANSLATE(A974,""en"",""fr""))"),"")</f>
        <v/>
      </c>
    </row>
    <row r="975" spans="2:2">
      <c r="B975" s="3" t="str">
        <f ca="1">IFERROR(__xludf.DUMMYFUNCTION("IF(ISBLANK(A975),"""",GOOGLETRANSLATE(A975,""en"",""fr""))"),"")</f>
        <v/>
      </c>
    </row>
    <row r="976" spans="2:2">
      <c r="B976" s="3" t="str">
        <f ca="1">IFERROR(__xludf.DUMMYFUNCTION("IF(ISBLANK(A976),"""",GOOGLETRANSLATE(A976,""en"",""fr""))"),"")</f>
        <v/>
      </c>
    </row>
    <row r="977" spans="2:2">
      <c r="B977" s="3" t="str">
        <f ca="1">IFERROR(__xludf.DUMMYFUNCTION("IF(ISBLANK(A977),"""",GOOGLETRANSLATE(A977,""en"",""fr""))"),"")</f>
        <v/>
      </c>
    </row>
    <row r="978" spans="2:2">
      <c r="B978" s="3" t="str">
        <f ca="1">IFERROR(__xludf.DUMMYFUNCTION("IF(ISBLANK(A978),"""",GOOGLETRANSLATE(A978,""en"",""fr""))"),"")</f>
        <v/>
      </c>
    </row>
    <row r="979" spans="2:2">
      <c r="B979" s="3" t="str">
        <f ca="1">IFERROR(__xludf.DUMMYFUNCTION("IF(ISBLANK(A979),"""",GOOGLETRANSLATE(A979,""en"",""fr""))"),"")</f>
        <v/>
      </c>
    </row>
    <row r="980" spans="2:2">
      <c r="B980" s="3" t="str">
        <f ca="1">IFERROR(__xludf.DUMMYFUNCTION("IF(ISBLANK(A980),"""",GOOGLETRANSLATE(A980,""en"",""fr""))"),"")</f>
        <v/>
      </c>
    </row>
    <row r="981" spans="2:2">
      <c r="B981" s="3" t="str">
        <f ca="1">IFERROR(__xludf.DUMMYFUNCTION("IF(ISBLANK(A981),"""",GOOGLETRANSLATE(A981,""en"",""fr""))"),"")</f>
        <v/>
      </c>
    </row>
    <row r="982" spans="2:2">
      <c r="B982" s="3" t="str">
        <f ca="1">IFERROR(__xludf.DUMMYFUNCTION("IF(ISBLANK(A982),"""",GOOGLETRANSLATE(A982,""en"",""fr""))"),"")</f>
        <v/>
      </c>
    </row>
    <row r="983" spans="2:2">
      <c r="B983" s="3" t="str">
        <f ca="1">IFERROR(__xludf.DUMMYFUNCTION("IF(ISBLANK(A983),"""",GOOGLETRANSLATE(A983,""en"",""fr""))"),"")</f>
        <v/>
      </c>
    </row>
    <row r="984" spans="2:2">
      <c r="B984" s="3" t="str">
        <f ca="1">IFERROR(__xludf.DUMMYFUNCTION("IF(ISBLANK(A984),"""",GOOGLETRANSLATE(A984,""en"",""fr""))"),"")</f>
        <v/>
      </c>
    </row>
    <row r="985" spans="2:2">
      <c r="B985" s="3" t="str">
        <f ca="1">IFERROR(__xludf.DUMMYFUNCTION("IF(ISBLANK(A985),"""",GOOGLETRANSLATE(A985,""en"",""fr""))"),"")</f>
        <v/>
      </c>
    </row>
    <row r="986" spans="2:2">
      <c r="B986" s="3" t="str">
        <f ca="1">IFERROR(__xludf.DUMMYFUNCTION("IF(ISBLANK(A986),"""",GOOGLETRANSLATE(A986,""en"",""fr""))"),"")</f>
        <v/>
      </c>
    </row>
    <row r="987" spans="2:2">
      <c r="B987" s="3" t="str">
        <f ca="1">IFERROR(__xludf.DUMMYFUNCTION("IF(ISBLANK(A987),"""",GOOGLETRANSLATE(A987,""en"",""fr""))"),"")</f>
        <v/>
      </c>
    </row>
    <row r="988" spans="2:2">
      <c r="B988" s="3" t="str">
        <f ca="1">IFERROR(__xludf.DUMMYFUNCTION("IF(ISBLANK(A988),"""",GOOGLETRANSLATE(A988,""en"",""fr""))"),"")</f>
        <v/>
      </c>
    </row>
    <row r="989" spans="2:2">
      <c r="B989" s="3" t="str">
        <f ca="1">IFERROR(__xludf.DUMMYFUNCTION("IF(ISBLANK(A989),"""",GOOGLETRANSLATE(A989,""en"",""fr""))"),"")</f>
        <v/>
      </c>
    </row>
    <row r="990" spans="2:2">
      <c r="B990" s="3" t="str">
        <f ca="1">IFERROR(__xludf.DUMMYFUNCTION("IF(ISBLANK(A990),"""",GOOGLETRANSLATE(A990,""en"",""fr""))"),"")</f>
        <v/>
      </c>
    </row>
    <row r="991" spans="2:2">
      <c r="B991" s="3" t="str">
        <f ca="1">IFERROR(__xludf.DUMMYFUNCTION("IF(ISBLANK(A991),"""",GOOGLETRANSLATE(A991,""en"",""fr""))"),"")</f>
        <v/>
      </c>
    </row>
    <row r="992" spans="2:2">
      <c r="B992" s="3" t="str">
        <f ca="1">IFERROR(__xludf.DUMMYFUNCTION("IF(ISBLANK(A992),"""",GOOGLETRANSLATE(A992,""en"",""fr""))"),"")</f>
        <v/>
      </c>
    </row>
    <row r="993" spans="2:2">
      <c r="B993" s="3" t="str">
        <f ca="1">IFERROR(__xludf.DUMMYFUNCTION("IF(ISBLANK(A993),"""",GOOGLETRANSLATE(A993,""en"",""fr""))"),"")</f>
        <v/>
      </c>
    </row>
    <row r="994" spans="2:2">
      <c r="B994" s="3" t="str">
        <f ca="1">IFERROR(__xludf.DUMMYFUNCTION("IF(ISBLANK(A994),"""",GOOGLETRANSLATE(A994,""en"",""fr""))"),"")</f>
        <v/>
      </c>
    </row>
    <row r="995" spans="2:2">
      <c r="B995" s="3" t="str">
        <f ca="1">IFERROR(__xludf.DUMMYFUNCTION("IF(ISBLANK(A995),"""",GOOGLETRANSLATE(A995,""en"",""fr""))"),"")</f>
        <v/>
      </c>
    </row>
    <row r="996" spans="2:2">
      <c r="B996" s="3" t="str">
        <f ca="1">IFERROR(__xludf.DUMMYFUNCTION("IF(ISBLANK(A996),"""",GOOGLETRANSLATE(A996,""en"",""fr""))"),"")</f>
        <v/>
      </c>
    </row>
    <row r="997" spans="2:2">
      <c r="B997" s="3" t="str">
        <f ca="1">IFERROR(__xludf.DUMMYFUNCTION("IF(ISBLANK(A997),"""",GOOGLETRANSLATE(A997,""en"",""fr""))"),"")</f>
        <v/>
      </c>
    </row>
    <row r="998" spans="2:2">
      <c r="B998" s="3" t="str">
        <f ca="1">IFERROR(__xludf.DUMMYFUNCTION("IF(ISBLANK(A998),"""",GOOGLETRANSLATE(A998,""en"",""fr""))"),"")</f>
        <v/>
      </c>
    </row>
    <row r="999" spans="2:2">
      <c r="B999" s="3" t="str">
        <f ca="1">IFERROR(__xludf.DUMMYFUNCTION("IF(ISBLANK(A999),"""",GOOGLETRANSLATE(A999,""en"",""fr""))"),"")</f>
        <v/>
      </c>
    </row>
    <row r="1000" spans="2:2">
      <c r="B1000" s="3" t="str">
        <f ca="1">IFERROR(__xludf.DUMMYFUNCTION("IF(ISBLANK(A1000),"""",GOOGLETRANSLATE(A1000,""en"",""fr""))"),"")</f>
        <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B1000"/>
  <sheetViews>
    <sheetView topLeftCell="A51" workbookViewId="0">
      <selection activeCell="B80" sqref="B80"/>
    </sheetView>
  </sheetViews>
  <sheetFormatPr defaultColWidth="12.6640625" defaultRowHeight="15.75" customHeight="1"/>
  <cols>
    <col min="1" max="1" width="113.6640625" customWidth="1"/>
  </cols>
  <sheetData>
    <row r="1" spans="1:2">
      <c r="A1" s="1" t="s">
        <v>0</v>
      </c>
      <c r="B1" s="1"/>
    </row>
    <row r="2" spans="1:2">
      <c r="A2" s="3" t="s">
        <v>137</v>
      </c>
      <c r="B2" s="3" t="s">
        <v>1167</v>
      </c>
    </row>
    <row r="3" spans="1:2">
      <c r="A3" s="3" t="s">
        <v>593</v>
      </c>
      <c r="B3" s="3" t="s">
        <v>1168</v>
      </c>
    </row>
    <row r="4" spans="1:2">
      <c r="A4" s="3" t="s">
        <v>594</v>
      </c>
      <c r="B4" s="3" t="s">
        <v>1169</v>
      </c>
    </row>
    <row r="5" spans="1:2">
      <c r="A5" s="3" t="s">
        <v>70</v>
      </c>
      <c r="B5" s="3" t="s">
        <v>1050</v>
      </c>
    </row>
    <row r="6" spans="1:2">
      <c r="A6" s="3" t="s">
        <v>14</v>
      </c>
      <c r="B6" s="3" t="s">
        <v>1084</v>
      </c>
    </row>
    <row r="7" spans="1:2">
      <c r="A7" s="3" t="s">
        <v>595</v>
      </c>
      <c r="B7" s="3" t="s">
        <v>1170</v>
      </c>
    </row>
    <row r="8" spans="1:2">
      <c r="A8" s="3" t="s">
        <v>596</v>
      </c>
      <c r="B8" s="3" t="s">
        <v>1171</v>
      </c>
    </row>
    <row r="9" spans="1:2">
      <c r="A9" s="3" t="s">
        <v>597</v>
      </c>
      <c r="B9" s="3" t="s">
        <v>1172</v>
      </c>
    </row>
    <row r="10" spans="1:2">
      <c r="A10" s="3" t="s">
        <v>598</v>
      </c>
      <c r="B10" s="3" t="s">
        <v>1173</v>
      </c>
    </row>
    <row r="11" spans="1:2">
      <c r="A11" s="3" t="s">
        <v>599</v>
      </c>
      <c r="B11" s="3" t="s">
        <v>1174</v>
      </c>
    </row>
    <row r="12" spans="1:2">
      <c r="A12" s="3" t="s">
        <v>600</v>
      </c>
      <c r="B12" s="3" t="s">
        <v>1175</v>
      </c>
    </row>
    <row r="13" spans="1:2">
      <c r="A13" s="3" t="s">
        <v>601</v>
      </c>
      <c r="B13" s="3" t="s">
        <v>1176</v>
      </c>
    </row>
    <row r="14" spans="1:2">
      <c r="A14" s="3" t="s">
        <v>602</v>
      </c>
      <c r="B14" s="3" t="s">
        <v>1177</v>
      </c>
    </row>
    <row r="15" spans="1:2">
      <c r="A15" s="3" t="s">
        <v>603</v>
      </c>
      <c r="B15" s="3" t="s">
        <v>1178</v>
      </c>
    </row>
    <row r="16" spans="1:2">
      <c r="A16" s="3" t="s">
        <v>604</v>
      </c>
      <c r="B16" s="3" t="s">
        <v>1179</v>
      </c>
    </row>
    <row r="17" spans="1:2">
      <c r="A17" s="3" t="s">
        <v>605</v>
      </c>
      <c r="B17" s="3" t="s">
        <v>1180</v>
      </c>
    </row>
    <row r="18" spans="1:2">
      <c r="A18" s="3" t="s">
        <v>478</v>
      </c>
      <c r="B18" s="3" t="s">
        <v>1181</v>
      </c>
    </row>
    <row r="19" spans="1:2">
      <c r="A19" s="3" t="s">
        <v>606</v>
      </c>
      <c r="B19" s="3" t="s">
        <v>1182</v>
      </c>
    </row>
    <row r="20" spans="1:2">
      <c r="A20" s="3" t="s">
        <v>607</v>
      </c>
      <c r="B20" s="3" t="s">
        <v>1183</v>
      </c>
    </row>
    <row r="21" spans="1:2">
      <c r="A21" s="3" t="s">
        <v>608</v>
      </c>
      <c r="B21" s="3" t="s">
        <v>1184</v>
      </c>
    </row>
    <row r="22" spans="1:2">
      <c r="A22" s="3" t="s">
        <v>609</v>
      </c>
      <c r="B22" s="3" t="s">
        <v>1185</v>
      </c>
    </row>
    <row r="23" spans="1:2">
      <c r="A23" s="3" t="s">
        <v>610</v>
      </c>
      <c r="B23" s="3" t="s">
        <v>1186</v>
      </c>
    </row>
    <row r="24" spans="1:2">
      <c r="A24" s="3" t="s">
        <v>611</v>
      </c>
      <c r="B24" s="3" t="s">
        <v>1187</v>
      </c>
    </row>
    <row r="25" spans="1:2">
      <c r="A25" s="3" t="s">
        <v>612</v>
      </c>
      <c r="B25" s="3" t="s">
        <v>1188</v>
      </c>
    </row>
    <row r="26" spans="1:2">
      <c r="A26" s="3" t="s">
        <v>613</v>
      </c>
      <c r="B26" s="3" t="s">
        <v>1189</v>
      </c>
    </row>
    <row r="27" spans="1:2">
      <c r="A27" s="3" t="s">
        <v>614</v>
      </c>
      <c r="B27" s="3" t="s">
        <v>1190</v>
      </c>
    </row>
    <row r="28" spans="1:2">
      <c r="A28" s="3" t="s">
        <v>615</v>
      </c>
      <c r="B28" s="3" t="s">
        <v>1191</v>
      </c>
    </row>
    <row r="29" spans="1:2">
      <c r="A29" s="3" t="s">
        <v>616</v>
      </c>
      <c r="B29" s="3" t="s">
        <v>1192</v>
      </c>
    </row>
    <row r="30" spans="1:2">
      <c r="A30" s="3" t="s">
        <v>617</v>
      </c>
      <c r="B30" s="3" t="s">
        <v>1193</v>
      </c>
    </row>
    <row r="31" spans="1:2">
      <c r="A31" s="3" t="s">
        <v>618</v>
      </c>
      <c r="B31" s="3" t="s">
        <v>1194</v>
      </c>
    </row>
    <row r="32" spans="1:2">
      <c r="A32" s="3" t="s">
        <v>619</v>
      </c>
      <c r="B32" s="3" t="s">
        <v>1195</v>
      </c>
    </row>
    <row r="33" spans="1:2">
      <c r="A33" s="3" t="s">
        <v>620</v>
      </c>
      <c r="B33" s="3" t="s">
        <v>1196</v>
      </c>
    </row>
    <row r="34" spans="1:2">
      <c r="A34" s="3" t="s">
        <v>621</v>
      </c>
      <c r="B34" s="3" t="s">
        <v>1197</v>
      </c>
    </row>
    <row r="35" spans="1:2">
      <c r="A35" s="3" t="s">
        <v>622</v>
      </c>
      <c r="B35" s="3" t="s">
        <v>1198</v>
      </c>
    </row>
    <row r="36" spans="1:2">
      <c r="B36" s="3"/>
    </row>
    <row r="37" spans="1:2">
      <c r="A37" s="3" t="s">
        <v>94</v>
      </c>
      <c r="B37" s="3" t="s">
        <v>1199</v>
      </c>
    </row>
    <row r="38" spans="1:2">
      <c r="A38" s="10" t="s">
        <v>95</v>
      </c>
      <c r="B38" s="3" t="s">
        <v>1200</v>
      </c>
    </row>
    <row r="39" spans="1:2">
      <c r="A39" s="3" t="s">
        <v>96</v>
      </c>
      <c r="B39" s="3" t="s">
        <v>96</v>
      </c>
    </row>
    <row r="40" spans="1:2">
      <c r="A40" s="3" t="s">
        <v>97</v>
      </c>
      <c r="B40" s="3" t="s">
        <v>1201</v>
      </c>
    </row>
    <row r="41" spans="1:2">
      <c r="A41" s="3" t="s">
        <v>23</v>
      </c>
      <c r="B41" s="3" t="s">
        <v>1060</v>
      </c>
    </row>
    <row r="42" spans="1:2">
      <c r="B42" s="3"/>
    </row>
    <row r="43" spans="1:2">
      <c r="A43" s="3" t="s">
        <v>98</v>
      </c>
      <c r="B43" s="3" t="s">
        <v>1202</v>
      </c>
    </row>
    <row r="44" spans="1:2">
      <c r="B44" s="3"/>
    </row>
    <row r="45" spans="1:2">
      <c r="B45" s="3" t="str">
        <f ca="1">IFERROR(__xludf.DUMMYFUNCTION("IF(ISBLANK(A45),"""",GOOGLETRANSLATE(A45,""en"",""fr""))"),"")</f>
        <v/>
      </c>
    </row>
    <row r="46" spans="1:2">
      <c r="A46" s="3" t="s">
        <v>99</v>
      </c>
      <c r="B46" s="3" t="str">
        <f ca="1">IFERROR(__xludf.DUMMYFUNCTION("IF(ISBLANK(A46),"""",GOOGLETRANSLATE(A46,""en"",""fr""))"),"NETSOL participe au 25e Sommet annuel du financement automobile : Piloter l'avenir du financement automobile")</f>
        <v>NETSOL participe au 25e Sommet annuel du financement automobile : Piloter l'avenir du financement automobile</v>
      </c>
    </row>
    <row r="47" spans="1:2">
      <c r="B47" s="3" t="str">
        <f ca="1">IFERROR(__xludf.DUMMYFUNCTION("IF(ISBLANK(A47),"""",GOOGLETRANSLATE(A47,""en"",""fr""))"),"")</f>
        <v/>
      </c>
    </row>
    <row r="48" spans="1:2">
      <c r="B48" s="3" t="str">
        <f ca="1">IFERROR(__xludf.DUMMYFUNCTION("IF(ISBLANK(A48),"""",GOOGLETRANSLATE(A48,""en"",""fr""))"),"")</f>
        <v/>
      </c>
    </row>
    <row r="49" spans="1:2">
      <c r="A49" s="3" t="s">
        <v>100</v>
      </c>
      <c r="B49" s="3" t="str">
        <f ca="1">IFERROR(__xludf.DUMMYFUNCTION("IF(ISBLANK(A49),"""",GOOGLETRANSLATE(A49,""en"",""fr""))"),"NETSOL est présent à Digital Dealer 2025 : façonner l’avenir de la vente automobile")</f>
        <v>NETSOL est présent à Digital Dealer 2025 : façonner l’avenir de la vente automobile</v>
      </c>
    </row>
    <row r="50" spans="1:2">
      <c r="B50" s="3" t="str">
        <f ca="1">IFERROR(__xludf.DUMMYFUNCTION("IF(ISBLANK(A50),"""",GOOGLETRANSLATE(A50,""en"",""fr""))"),"")</f>
        <v/>
      </c>
    </row>
    <row r="51" spans="1:2">
      <c r="B51" s="3" t="str">
        <f ca="1">IFERROR(__xludf.DUMMYFUNCTION("IF(ISBLANK(A51),"""",GOOGLETRANSLATE(A51,""en"",""fr""))"),"")</f>
        <v/>
      </c>
    </row>
    <row r="52" spans="1:2">
      <c r="A52" s="6" t="s">
        <v>101</v>
      </c>
      <c r="B52" s="3" t="str">
        <f ca="1">IFERROR(__xludf.DUMMYFUNCTION("IF(ISBLANK(A52),"""",GOOGLETRANSLATE(A52,""en"",""fr""))"),"L'IA dans le secteur des services financiers et de l'investissement : révolutionner la gestion des risques")</f>
        <v>L'IA dans le secteur des services financiers et de l'investissement : révolutionner la gestion des risques</v>
      </c>
    </row>
    <row r="53" spans="1:2">
      <c r="B53" s="3" t="str">
        <f ca="1">IFERROR(__xludf.DUMMYFUNCTION("IF(ISBLANK(A53),"""",GOOGLETRANSLATE(A53,""en"",""fr""))"),"")</f>
        <v/>
      </c>
    </row>
    <row r="54" spans="1:2">
      <c r="B54" s="3" t="str">
        <f ca="1">IFERROR(__xludf.DUMMYFUNCTION("IF(ISBLANK(A54),"""",GOOGLETRANSLATE(A54,""en"",""fr""))"),"")</f>
        <v/>
      </c>
    </row>
    <row r="55" spans="1:2">
      <c r="A55" s="3" t="s">
        <v>102</v>
      </c>
      <c r="B55" s="3" t="str">
        <f ca="1">IFERROR(__xludf.DUMMYFUNCTION("IF(ISBLANK(A55),"""",GOOGLETRANSLATE(A55,""en"",""fr""))"),"L'importance de la personnalisation du service client : adapter la gestion des paiements et des litiges aux besoins des clients")</f>
        <v>L'importance de la personnalisation du service client : adapter la gestion des paiements et des litiges aux besoins des clients</v>
      </c>
    </row>
    <row r="56" spans="1:2">
      <c r="B56" s="3" t="str">
        <f ca="1">IFERROR(__xludf.DUMMYFUNCTION("IF(ISBLANK(A56),"""",GOOGLETRANSLATE(A56,""en"",""fr""))"),"")</f>
        <v/>
      </c>
    </row>
    <row r="57" spans="1:2">
      <c r="B57" s="3" t="str">
        <f ca="1">IFERROR(__xludf.DUMMYFUNCTION("IF(ISBLANK(A57),"""",GOOGLETRANSLATE(A57,""en"",""fr""))"),"")</f>
        <v/>
      </c>
    </row>
    <row r="58" spans="1:2">
      <c r="A58" s="3" t="s">
        <v>103</v>
      </c>
      <c r="B58" s="3" t="str">
        <f ca="1">IFERROR(__xludf.DUMMYFUNCTION("IF(ISBLANK(A58),"""",GOOGLETRANSLATE(A58,""en"",""fr""))"),"Le véritable coût des systèmes déconnectés dans le commerce de détail automobile")</f>
        <v>Le véritable coût des systèmes déconnectés dans le commerce de détail automobile</v>
      </c>
    </row>
    <row r="59" spans="1:2">
      <c r="B59" s="3" t="str">
        <f ca="1">IFERROR(__xludf.DUMMYFUNCTION("IF(ISBLANK(A59),"""",GOOGLETRANSLATE(A59,""en"",""fr""))"),"")</f>
        <v/>
      </c>
    </row>
    <row r="60" spans="1:2">
      <c r="B60" s="3" t="str">
        <f ca="1">IFERROR(__xludf.DUMMYFUNCTION("IF(ISBLANK(A60),"""",GOOGLETRANSLATE(A60,""en"",""fr""))"),"")</f>
        <v/>
      </c>
    </row>
    <row r="61" spans="1:2">
      <c r="A61" s="3" t="s">
        <v>104</v>
      </c>
      <c r="B61" s="3" t="str">
        <f ca="1">IFERROR(__xludf.DUMMYFUNCTION("IF(ISBLANK(A61),"""",GOOGLETRANSLATE(A61,""en"",""fr""))"),"Captive du futur : Comment la technologie redéfinit les opérations financières des captives - Points clés du webinaire de l'AFSA")</f>
        <v>Captive du futur : Comment la technologie redéfinit les opérations financières des captives - Points clés du webinaire de l'AFSA</v>
      </c>
    </row>
    <row r="62" spans="1:2">
      <c r="B62" s="3" t="str">
        <f ca="1">IFERROR(__xludf.DUMMYFUNCTION("IF(ISBLANK(A62),"""",GOOGLETRANSLATE(A62,""en"",""fr""))"),"")</f>
        <v/>
      </c>
    </row>
    <row r="63" spans="1:2">
      <c r="B63" s="3" t="str">
        <f ca="1">IFERROR(__xludf.DUMMYFUNCTION("IF(ISBLANK(A63),"""",GOOGLETRANSLATE(A63,""en"",""fr""))"),"")</f>
        <v/>
      </c>
    </row>
    <row r="64" spans="1:2">
      <c r="A64" s="3" t="s">
        <v>105</v>
      </c>
      <c r="B64" s="3" t="str">
        <f ca="1">IFERROR(__xludf.DUMMYFUNCTION("IF(ISBLANK(A64),"""",GOOGLETRANSLATE(A64,""en"",""fr""))"),"Lutte contre la fraude dans le secteur financier de gros : exploiter la technologie pour une détection précoce et une atténuation des risques")</f>
        <v>Lutte contre la fraude dans le secteur financier de gros : exploiter la technologie pour une détection précoce et une atténuation des risques</v>
      </c>
    </row>
    <row r="65" spans="1:2">
      <c r="B65" s="3" t="str">
        <f ca="1">IFERROR(__xludf.DUMMYFUNCTION("IF(ISBLANK(A65),"""",GOOGLETRANSLATE(A65,""en"",""fr""))"),"")</f>
        <v/>
      </c>
    </row>
    <row r="66" spans="1:2">
      <c r="A66" s="3" t="s">
        <v>108</v>
      </c>
      <c r="B66" s="3" t="str">
        <f ca="1">IFERROR(__xludf.DUMMYFUNCTION("IF(ISBLANK(A66),"""",GOOGLETRANSLATE(A66,""en"",""fr""))"),"Abonnez-vous à notre newsletter pour recevoir les dernières nouvelles dans votre boîte mail.")</f>
        <v>Abonnez-vous à notre newsletter pour recevoir les dernières nouvelles dans votre boîte mail.</v>
      </c>
    </row>
    <row r="67" spans="1:2">
      <c r="A67" s="3" t="s">
        <v>109</v>
      </c>
      <c r="B67" s="3" t="str">
        <f ca="1">IFERROR(__xludf.DUMMYFUNCTION("IF(ISBLANK(A67),"""",GOOGLETRANSLATE(A67,""en"",""fr""))"),"abc@exemple.com")</f>
        <v>abc@exemple.com</v>
      </c>
    </row>
    <row r="68" spans="1:2">
      <c r="A68" s="3" t="s">
        <v>110</v>
      </c>
      <c r="B68" s="3" t="str">
        <f ca="1">IFERROR(__xludf.DUMMYFUNCTION("IF(ISBLANK(A68),"""",GOOGLETRANSLATE(A68,""en"",""fr""))"),"S'abonner ")</f>
        <v xml:space="preserve">S'abonner </v>
      </c>
    </row>
    <row r="69" spans="1:2">
      <c r="B69" s="3" t="str">
        <f ca="1">IFERROR(__xludf.DUMMYFUNCTION("IF(ISBLANK(A69),"""",GOOGLETRANSLATE(A69,""en"",""fr""))"),"")</f>
        <v/>
      </c>
    </row>
    <row r="70" spans="1:2">
      <c r="B70" s="3" t="str">
        <f ca="1">IFERROR(__xludf.DUMMYFUNCTION("IF(ISBLANK(A70),"""",GOOGLETRANSLATE(A70,""en"",""fr""))"),"")</f>
        <v/>
      </c>
    </row>
    <row r="71" spans="1:2">
      <c r="B71" s="3" t="str">
        <f ca="1">IFERROR(__xludf.DUMMYFUNCTION("IF(ISBLANK(A71),"""",GOOGLETRANSLATE(A71,""en"",""fr""))"),"")</f>
        <v/>
      </c>
    </row>
    <row r="72" spans="1:2">
      <c r="B72" s="3" t="str">
        <f ca="1">IFERROR(__xludf.DUMMYFUNCTION("IF(ISBLANK(A72),"""",GOOGLETRANSLATE(A72,""en"",""fr""))"),"")</f>
        <v/>
      </c>
    </row>
    <row r="73" spans="1:2">
      <c r="B73" s="3" t="str">
        <f ca="1">IFERROR(__xludf.DUMMYFUNCTION("IF(ISBLANK(A73),"""",GOOGLETRANSLATE(A73,""en"",""fr""))"),"")</f>
        <v/>
      </c>
    </row>
    <row r="74" spans="1:2">
      <c r="B74" s="3" t="str">
        <f ca="1">IFERROR(__xludf.DUMMYFUNCTION("IF(ISBLANK(A74),"""",GOOGLETRANSLATE(A74,""en"",""fr""))"),"")</f>
        <v/>
      </c>
    </row>
    <row r="75" spans="1:2">
      <c r="B75" s="3" t="str">
        <f ca="1">IFERROR(__xludf.DUMMYFUNCTION("IF(ISBLANK(A75),"""",GOOGLETRANSLATE(A75,""en"",""fr""))"),"")</f>
        <v/>
      </c>
    </row>
    <row r="76" spans="1:2">
      <c r="B76" s="3" t="str">
        <f ca="1">IFERROR(__xludf.DUMMYFUNCTION("IF(ISBLANK(A76),"""",GOOGLETRANSLATE(A76,""en"",""fr""))"),"")</f>
        <v/>
      </c>
    </row>
    <row r="77" spans="1:2">
      <c r="B77" s="3" t="str">
        <f ca="1">IFERROR(__xludf.DUMMYFUNCTION("IF(ISBLANK(A77),"""",GOOGLETRANSLATE(A77,""en"",""fr""))"),"")</f>
        <v/>
      </c>
    </row>
    <row r="78" spans="1:2">
      <c r="B78" s="3" t="str">
        <f ca="1">IFERROR(__xludf.DUMMYFUNCTION("IF(ISBLANK(A78),"""",GOOGLETRANSLATE(A78,""en"",""fr""))"),"")</f>
        <v/>
      </c>
    </row>
    <row r="79" spans="1:2">
      <c r="B79" s="3" t="str">
        <f ca="1">IFERROR(__xludf.DUMMYFUNCTION("IF(ISBLANK(A79),"""",GOOGLETRANSLATE(A79,""en"",""fr""))"),"")</f>
        <v/>
      </c>
    </row>
    <row r="80" spans="1:2">
      <c r="B80" s="3" t="str">
        <f ca="1">IFERROR(__xludf.DUMMYFUNCTION("IF(ISBLANK(A80),"""",GOOGLETRANSLATE(A80,""en"",""fr""))"),"")</f>
        <v/>
      </c>
    </row>
    <row r="81" spans="2:2">
      <c r="B81" s="3" t="str">
        <f ca="1">IFERROR(__xludf.DUMMYFUNCTION("IF(ISBLANK(A81),"""",GOOGLETRANSLATE(A81,""en"",""fr""))"),"")</f>
        <v/>
      </c>
    </row>
    <row r="82" spans="2:2">
      <c r="B82" s="3" t="str">
        <f ca="1">IFERROR(__xludf.DUMMYFUNCTION("IF(ISBLANK(A82),"""",GOOGLETRANSLATE(A82,""en"",""fr""))"),"")</f>
        <v/>
      </c>
    </row>
    <row r="83" spans="2:2">
      <c r="B83" s="3" t="str">
        <f ca="1">IFERROR(__xludf.DUMMYFUNCTION("IF(ISBLANK(A83),"""",GOOGLETRANSLATE(A83,""en"",""fr""))"),"")</f>
        <v/>
      </c>
    </row>
    <row r="84" spans="2:2">
      <c r="B84" s="3" t="str">
        <f ca="1">IFERROR(__xludf.DUMMYFUNCTION("IF(ISBLANK(A84),"""",GOOGLETRANSLATE(A84,""en"",""fr""))"),"")</f>
        <v/>
      </c>
    </row>
    <row r="85" spans="2:2">
      <c r="B85" s="3" t="str">
        <f ca="1">IFERROR(__xludf.DUMMYFUNCTION("IF(ISBLANK(A85),"""",GOOGLETRANSLATE(A85,""en"",""fr""))"),"")</f>
        <v/>
      </c>
    </row>
    <row r="86" spans="2:2">
      <c r="B86" s="3" t="str">
        <f ca="1">IFERROR(__xludf.DUMMYFUNCTION("IF(ISBLANK(A86),"""",GOOGLETRANSLATE(A86,""en"",""fr""))"),"")</f>
        <v/>
      </c>
    </row>
    <row r="87" spans="2:2">
      <c r="B87" s="3" t="str">
        <f ca="1">IFERROR(__xludf.DUMMYFUNCTION("IF(ISBLANK(A87),"""",GOOGLETRANSLATE(A87,""en"",""fr""))"),"")</f>
        <v/>
      </c>
    </row>
    <row r="88" spans="2:2">
      <c r="B88" s="3" t="str">
        <f ca="1">IFERROR(__xludf.DUMMYFUNCTION("IF(ISBLANK(A88),"""",GOOGLETRANSLATE(A88,""en"",""fr""))"),"")</f>
        <v/>
      </c>
    </row>
    <row r="89" spans="2:2">
      <c r="B89" s="3" t="str">
        <f ca="1">IFERROR(__xludf.DUMMYFUNCTION("IF(ISBLANK(A89),"""",GOOGLETRANSLATE(A89,""en"",""fr""))"),"")</f>
        <v/>
      </c>
    </row>
    <row r="90" spans="2:2">
      <c r="B90" s="3" t="str">
        <f ca="1">IFERROR(__xludf.DUMMYFUNCTION("IF(ISBLANK(A90),"""",GOOGLETRANSLATE(A90,""en"",""fr""))"),"")</f>
        <v/>
      </c>
    </row>
    <row r="91" spans="2:2">
      <c r="B91" s="3" t="str">
        <f ca="1">IFERROR(__xludf.DUMMYFUNCTION("IF(ISBLANK(A91),"""",GOOGLETRANSLATE(A91,""en"",""fr""))"),"")</f>
        <v/>
      </c>
    </row>
    <row r="92" spans="2:2">
      <c r="B92" s="3" t="str">
        <f ca="1">IFERROR(__xludf.DUMMYFUNCTION("IF(ISBLANK(A92),"""",GOOGLETRANSLATE(A92,""en"",""fr""))"),"")</f>
        <v/>
      </c>
    </row>
    <row r="93" spans="2:2">
      <c r="B93" s="3" t="str">
        <f ca="1">IFERROR(__xludf.DUMMYFUNCTION("IF(ISBLANK(A93),"""",GOOGLETRANSLATE(A93,""en"",""fr""))"),"")</f>
        <v/>
      </c>
    </row>
    <row r="94" spans="2:2">
      <c r="B94" s="3" t="str">
        <f ca="1">IFERROR(__xludf.DUMMYFUNCTION("IF(ISBLANK(A94),"""",GOOGLETRANSLATE(A94,""en"",""fr""))"),"")</f>
        <v/>
      </c>
    </row>
    <row r="95" spans="2:2">
      <c r="B95" s="3" t="str">
        <f ca="1">IFERROR(__xludf.DUMMYFUNCTION("IF(ISBLANK(A95),"""",GOOGLETRANSLATE(A95,""en"",""fr""))"),"")</f>
        <v/>
      </c>
    </row>
    <row r="96" spans="2:2">
      <c r="B96" s="3" t="str">
        <f ca="1">IFERROR(__xludf.DUMMYFUNCTION("IF(ISBLANK(A96),"""",GOOGLETRANSLATE(A96,""en"",""fr""))"),"")</f>
        <v/>
      </c>
    </row>
    <row r="97" spans="2:2">
      <c r="B97" s="3" t="str">
        <f ca="1">IFERROR(__xludf.DUMMYFUNCTION("IF(ISBLANK(A97),"""",GOOGLETRANSLATE(A97,""en"",""fr""))"),"")</f>
        <v/>
      </c>
    </row>
    <row r="98" spans="2:2">
      <c r="B98" s="3" t="str">
        <f ca="1">IFERROR(__xludf.DUMMYFUNCTION("IF(ISBLANK(A98),"""",GOOGLETRANSLATE(A98,""en"",""fr""))"),"")</f>
        <v/>
      </c>
    </row>
    <row r="99" spans="2:2">
      <c r="B99" s="3" t="str">
        <f ca="1">IFERROR(__xludf.DUMMYFUNCTION("IF(ISBLANK(A99),"""",GOOGLETRANSLATE(A99,""en"",""fr""))"),"")</f>
        <v/>
      </c>
    </row>
    <row r="100" spans="2:2">
      <c r="B100" s="3" t="str">
        <f ca="1">IFERROR(__xludf.DUMMYFUNCTION("IF(ISBLANK(A100),"""",GOOGLETRANSLATE(A100,""en"",""fr""))"),"")</f>
        <v/>
      </c>
    </row>
    <row r="101" spans="2:2">
      <c r="B101" s="3" t="str">
        <f ca="1">IFERROR(__xludf.DUMMYFUNCTION("IF(ISBLANK(A101),"""",GOOGLETRANSLATE(A101,""en"",""fr""))"),"")</f>
        <v/>
      </c>
    </row>
    <row r="102" spans="2:2">
      <c r="B102" s="3" t="str">
        <f ca="1">IFERROR(__xludf.DUMMYFUNCTION("IF(ISBLANK(A102),"""",GOOGLETRANSLATE(A102,""en"",""fr""))"),"")</f>
        <v/>
      </c>
    </row>
    <row r="103" spans="2:2">
      <c r="B103" s="3" t="str">
        <f ca="1">IFERROR(__xludf.DUMMYFUNCTION("IF(ISBLANK(A103),"""",GOOGLETRANSLATE(A103,""en"",""fr""))"),"")</f>
        <v/>
      </c>
    </row>
    <row r="104" spans="2:2">
      <c r="B104" s="3" t="str">
        <f ca="1">IFERROR(__xludf.DUMMYFUNCTION("IF(ISBLANK(A104),"""",GOOGLETRANSLATE(A104,""en"",""fr""))"),"")</f>
        <v/>
      </c>
    </row>
    <row r="105" spans="2:2">
      <c r="B105" s="3" t="str">
        <f ca="1">IFERROR(__xludf.DUMMYFUNCTION("IF(ISBLANK(A105),"""",GOOGLETRANSLATE(A105,""en"",""fr""))"),"")</f>
        <v/>
      </c>
    </row>
    <row r="106" spans="2:2">
      <c r="B106" s="3" t="str">
        <f ca="1">IFERROR(__xludf.DUMMYFUNCTION("IF(ISBLANK(A106),"""",GOOGLETRANSLATE(A106,""en"",""fr""))"),"")</f>
        <v/>
      </c>
    </row>
    <row r="107" spans="2:2">
      <c r="B107" s="3" t="str">
        <f ca="1">IFERROR(__xludf.DUMMYFUNCTION("IF(ISBLANK(A107),"""",GOOGLETRANSLATE(A107,""en"",""fr""))"),"")</f>
        <v/>
      </c>
    </row>
    <row r="108" spans="2:2">
      <c r="B108" s="3" t="str">
        <f ca="1">IFERROR(__xludf.DUMMYFUNCTION("IF(ISBLANK(A108),"""",GOOGLETRANSLATE(A108,""en"",""fr""))"),"")</f>
        <v/>
      </c>
    </row>
    <row r="109" spans="2:2">
      <c r="B109" s="3" t="str">
        <f ca="1">IFERROR(__xludf.DUMMYFUNCTION("IF(ISBLANK(A109),"""",GOOGLETRANSLATE(A109,""en"",""fr""))"),"")</f>
        <v/>
      </c>
    </row>
    <row r="110" spans="2:2">
      <c r="B110" s="3" t="str">
        <f ca="1">IFERROR(__xludf.DUMMYFUNCTION("IF(ISBLANK(A110),"""",GOOGLETRANSLATE(A110,""en"",""fr""))"),"")</f>
        <v/>
      </c>
    </row>
    <row r="111" spans="2:2">
      <c r="B111" s="3" t="str">
        <f ca="1">IFERROR(__xludf.DUMMYFUNCTION("IF(ISBLANK(A111),"""",GOOGLETRANSLATE(A111,""en"",""fr""))"),"")</f>
        <v/>
      </c>
    </row>
    <row r="112" spans="2:2">
      <c r="B112" s="3" t="str">
        <f ca="1">IFERROR(__xludf.DUMMYFUNCTION("IF(ISBLANK(A112),"""",GOOGLETRANSLATE(A112,""en"",""fr""))"),"")</f>
        <v/>
      </c>
    </row>
    <row r="113" spans="2:2">
      <c r="B113" s="3" t="str">
        <f ca="1">IFERROR(__xludf.DUMMYFUNCTION("IF(ISBLANK(A113),"""",GOOGLETRANSLATE(A113,""en"",""fr""))"),"")</f>
        <v/>
      </c>
    </row>
    <row r="114" spans="2:2">
      <c r="B114" s="3" t="str">
        <f ca="1">IFERROR(__xludf.DUMMYFUNCTION("IF(ISBLANK(A114),"""",GOOGLETRANSLATE(A114,""en"",""fr""))"),"")</f>
        <v/>
      </c>
    </row>
    <row r="115" spans="2:2">
      <c r="B115" s="3" t="str">
        <f ca="1">IFERROR(__xludf.DUMMYFUNCTION("IF(ISBLANK(A115),"""",GOOGLETRANSLATE(A115,""en"",""fr""))"),"")</f>
        <v/>
      </c>
    </row>
    <row r="116" spans="2:2">
      <c r="B116" s="3" t="str">
        <f ca="1">IFERROR(__xludf.DUMMYFUNCTION("IF(ISBLANK(A116),"""",GOOGLETRANSLATE(A116,""en"",""fr""))"),"")</f>
        <v/>
      </c>
    </row>
    <row r="117" spans="2:2">
      <c r="B117" s="3" t="str">
        <f ca="1">IFERROR(__xludf.DUMMYFUNCTION("IF(ISBLANK(A117),"""",GOOGLETRANSLATE(A117,""en"",""fr""))"),"")</f>
        <v/>
      </c>
    </row>
    <row r="118" spans="2:2">
      <c r="B118" s="3" t="str">
        <f ca="1">IFERROR(__xludf.DUMMYFUNCTION("IF(ISBLANK(A118),"""",GOOGLETRANSLATE(A118,""en"",""fr""))"),"")</f>
        <v/>
      </c>
    </row>
    <row r="119" spans="2:2">
      <c r="B119" s="3" t="str">
        <f ca="1">IFERROR(__xludf.DUMMYFUNCTION("IF(ISBLANK(A119),"""",GOOGLETRANSLATE(A119,""en"",""fr""))"),"")</f>
        <v/>
      </c>
    </row>
    <row r="120" spans="2:2">
      <c r="B120" s="3" t="str">
        <f ca="1">IFERROR(__xludf.DUMMYFUNCTION("IF(ISBLANK(A120),"""",GOOGLETRANSLATE(A120,""en"",""fr""))"),"")</f>
        <v/>
      </c>
    </row>
    <row r="121" spans="2:2">
      <c r="B121" s="3" t="str">
        <f ca="1">IFERROR(__xludf.DUMMYFUNCTION("IF(ISBLANK(A121),"""",GOOGLETRANSLATE(A121,""en"",""fr""))"),"")</f>
        <v/>
      </c>
    </row>
    <row r="122" spans="2:2">
      <c r="B122" s="3" t="str">
        <f ca="1">IFERROR(__xludf.DUMMYFUNCTION("IF(ISBLANK(A122),"""",GOOGLETRANSLATE(A122,""en"",""fr""))"),"")</f>
        <v/>
      </c>
    </row>
    <row r="123" spans="2:2">
      <c r="B123" s="3" t="str">
        <f ca="1">IFERROR(__xludf.DUMMYFUNCTION("IF(ISBLANK(A123),"""",GOOGLETRANSLATE(A123,""en"",""fr""))"),"")</f>
        <v/>
      </c>
    </row>
    <row r="124" spans="2:2">
      <c r="B124" s="3" t="str">
        <f ca="1">IFERROR(__xludf.DUMMYFUNCTION("IF(ISBLANK(A124),"""",GOOGLETRANSLATE(A124,""en"",""fr""))"),"")</f>
        <v/>
      </c>
    </row>
    <row r="125" spans="2:2">
      <c r="B125" s="3" t="str">
        <f ca="1">IFERROR(__xludf.DUMMYFUNCTION("IF(ISBLANK(A125),"""",GOOGLETRANSLATE(A125,""en"",""fr""))"),"")</f>
        <v/>
      </c>
    </row>
    <row r="126" spans="2:2">
      <c r="B126" s="3" t="str">
        <f ca="1">IFERROR(__xludf.DUMMYFUNCTION("IF(ISBLANK(A126),"""",GOOGLETRANSLATE(A126,""en"",""fr""))"),"")</f>
        <v/>
      </c>
    </row>
    <row r="127" spans="2:2">
      <c r="B127" s="3" t="str">
        <f ca="1">IFERROR(__xludf.DUMMYFUNCTION("IF(ISBLANK(A127),"""",GOOGLETRANSLATE(A127,""en"",""fr""))"),"")</f>
        <v/>
      </c>
    </row>
    <row r="128" spans="2:2">
      <c r="B128" s="3" t="str">
        <f ca="1">IFERROR(__xludf.DUMMYFUNCTION("IF(ISBLANK(A128),"""",GOOGLETRANSLATE(A128,""en"",""fr""))"),"")</f>
        <v/>
      </c>
    </row>
    <row r="129" spans="2:2">
      <c r="B129" s="3" t="str">
        <f ca="1">IFERROR(__xludf.DUMMYFUNCTION("IF(ISBLANK(A129),"""",GOOGLETRANSLATE(A129,""en"",""fr""))"),"")</f>
        <v/>
      </c>
    </row>
    <row r="130" spans="2:2">
      <c r="B130" s="3" t="str">
        <f ca="1">IFERROR(__xludf.DUMMYFUNCTION("IF(ISBLANK(A130),"""",GOOGLETRANSLATE(A130,""en"",""fr""))"),"")</f>
        <v/>
      </c>
    </row>
    <row r="131" spans="2:2">
      <c r="B131" s="3" t="str">
        <f ca="1">IFERROR(__xludf.DUMMYFUNCTION("IF(ISBLANK(A131),"""",GOOGLETRANSLATE(A131,""en"",""fr""))"),"")</f>
        <v/>
      </c>
    </row>
    <row r="132" spans="2:2">
      <c r="B132" s="3" t="str">
        <f ca="1">IFERROR(__xludf.DUMMYFUNCTION("IF(ISBLANK(A132),"""",GOOGLETRANSLATE(A132,""en"",""fr""))"),"")</f>
        <v/>
      </c>
    </row>
    <row r="133" spans="2:2">
      <c r="B133" s="3" t="str">
        <f ca="1">IFERROR(__xludf.DUMMYFUNCTION("IF(ISBLANK(A133),"""",GOOGLETRANSLATE(A133,""en"",""fr""))"),"")</f>
        <v/>
      </c>
    </row>
    <row r="134" spans="2:2">
      <c r="B134" s="3" t="str">
        <f ca="1">IFERROR(__xludf.DUMMYFUNCTION("IF(ISBLANK(A134),"""",GOOGLETRANSLATE(A134,""en"",""fr""))"),"")</f>
        <v/>
      </c>
    </row>
    <row r="135" spans="2:2">
      <c r="B135" s="3" t="str">
        <f ca="1">IFERROR(__xludf.DUMMYFUNCTION("IF(ISBLANK(A135),"""",GOOGLETRANSLATE(A135,""en"",""fr""))"),"")</f>
        <v/>
      </c>
    </row>
    <row r="136" spans="2:2">
      <c r="B136" s="3" t="str">
        <f ca="1">IFERROR(__xludf.DUMMYFUNCTION("IF(ISBLANK(A136),"""",GOOGLETRANSLATE(A136,""en"",""fr""))"),"")</f>
        <v/>
      </c>
    </row>
    <row r="137" spans="2:2">
      <c r="B137" s="3" t="str">
        <f ca="1">IFERROR(__xludf.DUMMYFUNCTION("IF(ISBLANK(A137),"""",GOOGLETRANSLATE(A137,""en"",""fr""))"),"")</f>
        <v/>
      </c>
    </row>
    <row r="138" spans="2:2">
      <c r="B138" s="3" t="str">
        <f ca="1">IFERROR(__xludf.DUMMYFUNCTION("IF(ISBLANK(A138),"""",GOOGLETRANSLATE(A138,""en"",""fr""))"),"")</f>
        <v/>
      </c>
    </row>
    <row r="139" spans="2:2">
      <c r="B139" s="3" t="str">
        <f ca="1">IFERROR(__xludf.DUMMYFUNCTION("IF(ISBLANK(A139),"""",GOOGLETRANSLATE(A139,""en"",""fr""))"),"")</f>
        <v/>
      </c>
    </row>
    <row r="140" spans="2:2">
      <c r="B140" s="3" t="str">
        <f ca="1">IFERROR(__xludf.DUMMYFUNCTION("IF(ISBLANK(A140),"""",GOOGLETRANSLATE(A140,""en"",""fr""))"),"")</f>
        <v/>
      </c>
    </row>
    <row r="141" spans="2:2">
      <c r="B141" s="3" t="str">
        <f ca="1">IFERROR(__xludf.DUMMYFUNCTION("IF(ISBLANK(A141),"""",GOOGLETRANSLATE(A141,""en"",""fr""))"),"")</f>
        <v/>
      </c>
    </row>
    <row r="142" spans="2:2">
      <c r="B142" s="3" t="str">
        <f ca="1">IFERROR(__xludf.DUMMYFUNCTION("IF(ISBLANK(A142),"""",GOOGLETRANSLATE(A142,""en"",""fr""))"),"")</f>
        <v/>
      </c>
    </row>
    <row r="143" spans="2:2">
      <c r="B143" s="3" t="str">
        <f ca="1">IFERROR(__xludf.DUMMYFUNCTION("IF(ISBLANK(A143),"""",GOOGLETRANSLATE(A143,""en"",""fr""))"),"")</f>
        <v/>
      </c>
    </row>
    <row r="144" spans="2:2">
      <c r="B144" s="3" t="str">
        <f ca="1">IFERROR(__xludf.DUMMYFUNCTION("IF(ISBLANK(A144),"""",GOOGLETRANSLATE(A144,""en"",""fr""))"),"")</f>
        <v/>
      </c>
    </row>
    <row r="145" spans="2:2">
      <c r="B145" s="3" t="str">
        <f ca="1">IFERROR(__xludf.DUMMYFUNCTION("IF(ISBLANK(A145),"""",GOOGLETRANSLATE(A145,""en"",""fr""))"),"")</f>
        <v/>
      </c>
    </row>
    <row r="146" spans="2:2">
      <c r="B146" s="3" t="str">
        <f ca="1">IFERROR(__xludf.DUMMYFUNCTION("IF(ISBLANK(A146),"""",GOOGLETRANSLATE(A146,""en"",""fr""))"),"")</f>
        <v/>
      </c>
    </row>
    <row r="147" spans="2:2">
      <c r="B147" s="3" t="str">
        <f ca="1">IFERROR(__xludf.DUMMYFUNCTION("IF(ISBLANK(A147),"""",GOOGLETRANSLATE(A147,""en"",""fr""))"),"")</f>
        <v/>
      </c>
    </row>
    <row r="148" spans="2:2">
      <c r="B148" s="3" t="str">
        <f ca="1">IFERROR(__xludf.DUMMYFUNCTION("IF(ISBLANK(A148),"""",GOOGLETRANSLATE(A148,""en"",""fr""))"),"")</f>
        <v/>
      </c>
    </row>
    <row r="149" spans="2:2">
      <c r="B149" s="3" t="str">
        <f ca="1">IFERROR(__xludf.DUMMYFUNCTION("IF(ISBLANK(A149),"""",GOOGLETRANSLATE(A149,""en"",""fr""))"),"")</f>
        <v/>
      </c>
    </row>
    <row r="150" spans="2:2">
      <c r="B150" s="3" t="str">
        <f ca="1">IFERROR(__xludf.DUMMYFUNCTION("IF(ISBLANK(A150),"""",GOOGLETRANSLATE(A150,""en"",""fr""))"),"")</f>
        <v/>
      </c>
    </row>
    <row r="151" spans="2:2">
      <c r="B151" s="3" t="str">
        <f ca="1">IFERROR(__xludf.DUMMYFUNCTION("IF(ISBLANK(A151),"""",GOOGLETRANSLATE(A151,""en"",""fr""))"),"")</f>
        <v/>
      </c>
    </row>
    <row r="152" spans="2:2">
      <c r="B152" s="3" t="str">
        <f ca="1">IFERROR(__xludf.DUMMYFUNCTION("IF(ISBLANK(A152),"""",GOOGLETRANSLATE(A152,""en"",""fr""))"),"")</f>
        <v/>
      </c>
    </row>
    <row r="153" spans="2:2">
      <c r="B153" s="3" t="str">
        <f ca="1">IFERROR(__xludf.DUMMYFUNCTION("IF(ISBLANK(A153),"""",GOOGLETRANSLATE(A153,""en"",""fr""))"),"")</f>
        <v/>
      </c>
    </row>
    <row r="154" spans="2:2">
      <c r="B154" s="3" t="str">
        <f ca="1">IFERROR(__xludf.DUMMYFUNCTION("IF(ISBLANK(A154),"""",GOOGLETRANSLATE(A154,""en"",""fr""))"),"")</f>
        <v/>
      </c>
    </row>
    <row r="155" spans="2:2">
      <c r="B155" s="3" t="str">
        <f ca="1">IFERROR(__xludf.DUMMYFUNCTION("IF(ISBLANK(A155),"""",GOOGLETRANSLATE(A155,""en"",""fr""))"),"")</f>
        <v/>
      </c>
    </row>
    <row r="156" spans="2:2">
      <c r="B156" s="3" t="str">
        <f ca="1">IFERROR(__xludf.DUMMYFUNCTION("IF(ISBLANK(A156),"""",GOOGLETRANSLATE(A156,""en"",""fr""))"),"")</f>
        <v/>
      </c>
    </row>
    <row r="157" spans="2:2">
      <c r="B157" s="3" t="str">
        <f ca="1">IFERROR(__xludf.DUMMYFUNCTION("IF(ISBLANK(A157),"""",GOOGLETRANSLATE(A157,""en"",""fr""))"),"")</f>
        <v/>
      </c>
    </row>
    <row r="158" spans="2:2">
      <c r="B158" s="3" t="str">
        <f ca="1">IFERROR(__xludf.DUMMYFUNCTION("IF(ISBLANK(A158),"""",GOOGLETRANSLATE(A158,""en"",""fr""))"),"")</f>
        <v/>
      </c>
    </row>
    <row r="159" spans="2:2">
      <c r="B159" s="3" t="str">
        <f ca="1">IFERROR(__xludf.DUMMYFUNCTION("IF(ISBLANK(A159),"""",GOOGLETRANSLATE(A159,""en"",""fr""))"),"")</f>
        <v/>
      </c>
    </row>
    <row r="160" spans="2:2">
      <c r="B160" s="3" t="str">
        <f ca="1">IFERROR(__xludf.DUMMYFUNCTION("IF(ISBLANK(A160),"""",GOOGLETRANSLATE(A160,""en"",""fr""))"),"")</f>
        <v/>
      </c>
    </row>
    <row r="161" spans="2:2">
      <c r="B161" s="3" t="str">
        <f ca="1">IFERROR(__xludf.DUMMYFUNCTION("IF(ISBLANK(A161),"""",GOOGLETRANSLATE(A161,""en"",""fr""))"),"")</f>
        <v/>
      </c>
    </row>
    <row r="162" spans="2:2">
      <c r="B162" s="3" t="str">
        <f ca="1">IFERROR(__xludf.DUMMYFUNCTION("IF(ISBLANK(A162),"""",GOOGLETRANSLATE(A162,""en"",""fr""))"),"")</f>
        <v/>
      </c>
    </row>
    <row r="163" spans="2:2">
      <c r="B163" s="3" t="str">
        <f ca="1">IFERROR(__xludf.DUMMYFUNCTION("IF(ISBLANK(A163),"""",GOOGLETRANSLATE(A163,""en"",""fr""))"),"")</f>
        <v/>
      </c>
    </row>
    <row r="164" spans="2:2">
      <c r="B164" s="3" t="str">
        <f ca="1">IFERROR(__xludf.DUMMYFUNCTION("IF(ISBLANK(A164),"""",GOOGLETRANSLATE(A164,""en"",""fr""))"),"")</f>
        <v/>
      </c>
    </row>
    <row r="165" spans="2:2">
      <c r="B165" s="3" t="str">
        <f ca="1">IFERROR(__xludf.DUMMYFUNCTION("IF(ISBLANK(A165),"""",GOOGLETRANSLATE(A165,""en"",""fr""))"),"")</f>
        <v/>
      </c>
    </row>
    <row r="166" spans="2:2">
      <c r="B166" s="3" t="str">
        <f ca="1">IFERROR(__xludf.DUMMYFUNCTION("IF(ISBLANK(A166),"""",GOOGLETRANSLATE(A166,""en"",""fr""))"),"")</f>
        <v/>
      </c>
    </row>
    <row r="167" spans="2:2">
      <c r="B167" s="3" t="str">
        <f ca="1">IFERROR(__xludf.DUMMYFUNCTION("IF(ISBLANK(A167),"""",GOOGLETRANSLATE(A167,""en"",""fr""))"),"")</f>
        <v/>
      </c>
    </row>
    <row r="168" spans="2:2">
      <c r="B168" s="3" t="str">
        <f ca="1">IFERROR(__xludf.DUMMYFUNCTION("IF(ISBLANK(A168),"""",GOOGLETRANSLATE(A168,""en"",""fr""))"),"")</f>
        <v/>
      </c>
    </row>
    <row r="169" spans="2:2">
      <c r="B169" s="3" t="str">
        <f ca="1">IFERROR(__xludf.DUMMYFUNCTION("IF(ISBLANK(A169),"""",GOOGLETRANSLATE(A169,""en"",""fr""))"),"")</f>
        <v/>
      </c>
    </row>
    <row r="170" spans="2:2">
      <c r="B170" s="3" t="str">
        <f ca="1">IFERROR(__xludf.DUMMYFUNCTION("IF(ISBLANK(A170),"""",GOOGLETRANSLATE(A170,""en"",""fr""))"),"")</f>
        <v/>
      </c>
    </row>
    <row r="171" spans="2:2">
      <c r="B171" s="3" t="str">
        <f ca="1">IFERROR(__xludf.DUMMYFUNCTION("IF(ISBLANK(A171),"""",GOOGLETRANSLATE(A171,""en"",""fr""))"),"")</f>
        <v/>
      </c>
    </row>
    <row r="172" spans="2:2">
      <c r="B172" s="3" t="str">
        <f ca="1">IFERROR(__xludf.DUMMYFUNCTION("IF(ISBLANK(A172),"""",GOOGLETRANSLATE(A172,""en"",""fr""))"),"")</f>
        <v/>
      </c>
    </row>
    <row r="173" spans="2:2">
      <c r="B173" s="3" t="str">
        <f ca="1">IFERROR(__xludf.DUMMYFUNCTION("IF(ISBLANK(A173),"""",GOOGLETRANSLATE(A173,""en"",""fr""))"),"")</f>
        <v/>
      </c>
    </row>
    <row r="174" spans="2:2">
      <c r="B174" s="3" t="str">
        <f ca="1">IFERROR(__xludf.DUMMYFUNCTION("IF(ISBLANK(A174),"""",GOOGLETRANSLATE(A174,""en"",""fr""))"),"")</f>
        <v/>
      </c>
    </row>
    <row r="175" spans="2:2">
      <c r="B175" s="3" t="str">
        <f ca="1">IFERROR(__xludf.DUMMYFUNCTION("IF(ISBLANK(A175),"""",GOOGLETRANSLATE(A175,""en"",""fr""))"),"")</f>
        <v/>
      </c>
    </row>
    <row r="176" spans="2:2">
      <c r="B176" s="3" t="str">
        <f ca="1">IFERROR(__xludf.DUMMYFUNCTION("IF(ISBLANK(A176),"""",GOOGLETRANSLATE(A176,""en"",""fr""))"),"")</f>
        <v/>
      </c>
    </row>
    <row r="177" spans="2:2">
      <c r="B177" s="3" t="str">
        <f ca="1">IFERROR(__xludf.DUMMYFUNCTION("IF(ISBLANK(A177),"""",GOOGLETRANSLATE(A177,""en"",""fr""))"),"")</f>
        <v/>
      </c>
    </row>
    <row r="178" spans="2:2">
      <c r="B178" s="3" t="str">
        <f ca="1">IFERROR(__xludf.DUMMYFUNCTION("IF(ISBLANK(A178),"""",GOOGLETRANSLATE(A178,""en"",""fr""))"),"")</f>
        <v/>
      </c>
    </row>
    <row r="179" spans="2:2">
      <c r="B179" s="3" t="str">
        <f ca="1">IFERROR(__xludf.DUMMYFUNCTION("IF(ISBLANK(A179),"""",GOOGLETRANSLATE(A179,""en"",""fr""))"),"")</f>
        <v/>
      </c>
    </row>
    <row r="180" spans="2:2">
      <c r="B180" s="3" t="str">
        <f ca="1">IFERROR(__xludf.DUMMYFUNCTION("IF(ISBLANK(A180),"""",GOOGLETRANSLATE(A180,""en"",""fr""))"),"")</f>
        <v/>
      </c>
    </row>
    <row r="181" spans="2:2">
      <c r="B181" s="3" t="str">
        <f ca="1">IFERROR(__xludf.DUMMYFUNCTION("IF(ISBLANK(A181),"""",GOOGLETRANSLATE(A181,""en"",""fr""))"),"")</f>
        <v/>
      </c>
    </row>
    <row r="182" spans="2:2">
      <c r="B182" s="3" t="str">
        <f ca="1">IFERROR(__xludf.DUMMYFUNCTION("IF(ISBLANK(A182),"""",GOOGLETRANSLATE(A182,""en"",""fr""))"),"")</f>
        <v/>
      </c>
    </row>
    <row r="183" spans="2:2">
      <c r="B183" s="3" t="str">
        <f ca="1">IFERROR(__xludf.DUMMYFUNCTION("IF(ISBLANK(A183),"""",GOOGLETRANSLATE(A183,""en"",""fr""))"),"")</f>
        <v/>
      </c>
    </row>
    <row r="184" spans="2:2">
      <c r="B184" s="3" t="str">
        <f ca="1">IFERROR(__xludf.DUMMYFUNCTION("IF(ISBLANK(A184),"""",GOOGLETRANSLATE(A184,""en"",""fr""))"),"")</f>
        <v/>
      </c>
    </row>
    <row r="185" spans="2:2">
      <c r="B185" s="3" t="str">
        <f ca="1">IFERROR(__xludf.DUMMYFUNCTION("IF(ISBLANK(A185),"""",GOOGLETRANSLATE(A185,""en"",""fr""))"),"")</f>
        <v/>
      </c>
    </row>
    <row r="186" spans="2:2">
      <c r="B186" s="3" t="str">
        <f ca="1">IFERROR(__xludf.DUMMYFUNCTION("IF(ISBLANK(A186),"""",GOOGLETRANSLATE(A186,""en"",""fr""))"),"")</f>
        <v/>
      </c>
    </row>
    <row r="187" spans="2:2">
      <c r="B187" s="3" t="str">
        <f ca="1">IFERROR(__xludf.DUMMYFUNCTION("IF(ISBLANK(A187),"""",GOOGLETRANSLATE(A187,""en"",""fr""))"),"")</f>
        <v/>
      </c>
    </row>
    <row r="188" spans="2:2">
      <c r="B188" s="3" t="str">
        <f ca="1">IFERROR(__xludf.DUMMYFUNCTION("IF(ISBLANK(A188),"""",GOOGLETRANSLATE(A188,""en"",""fr""))"),"")</f>
        <v/>
      </c>
    </row>
    <row r="189" spans="2:2">
      <c r="B189" s="3" t="str">
        <f ca="1">IFERROR(__xludf.DUMMYFUNCTION("IF(ISBLANK(A189),"""",GOOGLETRANSLATE(A189,""en"",""fr""))"),"")</f>
        <v/>
      </c>
    </row>
    <row r="190" spans="2:2">
      <c r="B190" s="3" t="str">
        <f ca="1">IFERROR(__xludf.DUMMYFUNCTION("IF(ISBLANK(A190),"""",GOOGLETRANSLATE(A190,""en"",""fr""))"),"")</f>
        <v/>
      </c>
    </row>
    <row r="191" spans="2:2">
      <c r="B191" s="3" t="str">
        <f ca="1">IFERROR(__xludf.DUMMYFUNCTION("IF(ISBLANK(A191),"""",GOOGLETRANSLATE(A191,""en"",""fr""))"),"")</f>
        <v/>
      </c>
    </row>
    <row r="192" spans="2:2">
      <c r="B192" s="3" t="str">
        <f ca="1">IFERROR(__xludf.DUMMYFUNCTION("IF(ISBLANK(A192),"""",GOOGLETRANSLATE(A192,""en"",""fr""))"),"")</f>
        <v/>
      </c>
    </row>
    <row r="193" spans="2:2">
      <c r="B193" s="3" t="str">
        <f ca="1">IFERROR(__xludf.DUMMYFUNCTION("IF(ISBLANK(A193),"""",GOOGLETRANSLATE(A193,""en"",""fr""))"),"")</f>
        <v/>
      </c>
    </row>
    <row r="194" spans="2:2">
      <c r="B194" s="3" t="str">
        <f ca="1">IFERROR(__xludf.DUMMYFUNCTION("IF(ISBLANK(A194),"""",GOOGLETRANSLATE(A194,""en"",""fr""))"),"")</f>
        <v/>
      </c>
    </row>
    <row r="195" spans="2:2">
      <c r="B195" s="3" t="str">
        <f ca="1">IFERROR(__xludf.DUMMYFUNCTION("IF(ISBLANK(A195),"""",GOOGLETRANSLATE(A195,""en"",""fr""))"),"")</f>
        <v/>
      </c>
    </row>
    <row r="196" spans="2:2">
      <c r="B196" s="3" t="str">
        <f ca="1">IFERROR(__xludf.DUMMYFUNCTION("IF(ISBLANK(A196),"""",GOOGLETRANSLATE(A196,""en"",""fr""))"),"")</f>
        <v/>
      </c>
    </row>
    <row r="197" spans="2:2">
      <c r="B197" s="3" t="str">
        <f ca="1">IFERROR(__xludf.DUMMYFUNCTION("IF(ISBLANK(A197),"""",GOOGLETRANSLATE(A197,""en"",""fr""))"),"")</f>
        <v/>
      </c>
    </row>
    <row r="198" spans="2:2">
      <c r="B198" s="3" t="str">
        <f ca="1">IFERROR(__xludf.DUMMYFUNCTION("IF(ISBLANK(A198),"""",GOOGLETRANSLATE(A198,""en"",""fr""))"),"")</f>
        <v/>
      </c>
    </row>
    <row r="199" spans="2:2">
      <c r="B199" s="3" t="str">
        <f ca="1">IFERROR(__xludf.DUMMYFUNCTION("IF(ISBLANK(A199),"""",GOOGLETRANSLATE(A199,""en"",""fr""))"),"")</f>
        <v/>
      </c>
    </row>
    <row r="200" spans="2:2">
      <c r="B200" s="3" t="str">
        <f ca="1">IFERROR(__xludf.DUMMYFUNCTION("IF(ISBLANK(A200),"""",GOOGLETRANSLATE(A200,""en"",""fr""))"),"")</f>
        <v/>
      </c>
    </row>
    <row r="201" spans="2:2">
      <c r="B201" s="3" t="str">
        <f ca="1">IFERROR(__xludf.DUMMYFUNCTION("IF(ISBLANK(A201),"""",GOOGLETRANSLATE(A201,""en"",""fr""))"),"")</f>
        <v/>
      </c>
    </row>
    <row r="202" spans="2:2">
      <c r="B202" s="3" t="str">
        <f ca="1">IFERROR(__xludf.DUMMYFUNCTION("IF(ISBLANK(A202),"""",GOOGLETRANSLATE(A202,""en"",""fr""))"),"")</f>
        <v/>
      </c>
    </row>
    <row r="203" spans="2:2">
      <c r="B203" s="3" t="str">
        <f ca="1">IFERROR(__xludf.DUMMYFUNCTION("IF(ISBLANK(A203),"""",GOOGLETRANSLATE(A203,""en"",""fr""))"),"")</f>
        <v/>
      </c>
    </row>
    <row r="204" spans="2:2">
      <c r="B204" s="3" t="str">
        <f ca="1">IFERROR(__xludf.DUMMYFUNCTION("IF(ISBLANK(A204),"""",GOOGLETRANSLATE(A204,""en"",""fr""))"),"")</f>
        <v/>
      </c>
    </row>
    <row r="205" spans="2:2">
      <c r="B205" s="3" t="str">
        <f ca="1">IFERROR(__xludf.DUMMYFUNCTION("IF(ISBLANK(A205),"""",GOOGLETRANSLATE(A205,""en"",""fr""))"),"")</f>
        <v/>
      </c>
    </row>
    <row r="206" spans="2:2">
      <c r="B206" s="3" t="str">
        <f ca="1">IFERROR(__xludf.DUMMYFUNCTION("IF(ISBLANK(A206),"""",GOOGLETRANSLATE(A206,""en"",""fr""))"),"")</f>
        <v/>
      </c>
    </row>
    <row r="207" spans="2:2">
      <c r="B207" s="3" t="str">
        <f ca="1">IFERROR(__xludf.DUMMYFUNCTION("IF(ISBLANK(A207),"""",GOOGLETRANSLATE(A207,""en"",""fr""))"),"")</f>
        <v/>
      </c>
    </row>
    <row r="208" spans="2:2">
      <c r="B208" s="3" t="str">
        <f ca="1">IFERROR(__xludf.DUMMYFUNCTION("IF(ISBLANK(A208),"""",GOOGLETRANSLATE(A208,""en"",""fr""))"),"")</f>
        <v/>
      </c>
    </row>
    <row r="209" spans="2:2">
      <c r="B209" s="3" t="str">
        <f ca="1">IFERROR(__xludf.DUMMYFUNCTION("IF(ISBLANK(A209),"""",GOOGLETRANSLATE(A209,""en"",""fr""))"),"")</f>
        <v/>
      </c>
    </row>
    <row r="210" spans="2:2">
      <c r="B210" s="3" t="str">
        <f ca="1">IFERROR(__xludf.DUMMYFUNCTION("IF(ISBLANK(A210),"""",GOOGLETRANSLATE(A210,""en"",""fr""))"),"")</f>
        <v/>
      </c>
    </row>
    <row r="211" spans="2:2">
      <c r="B211" s="3" t="str">
        <f ca="1">IFERROR(__xludf.DUMMYFUNCTION("IF(ISBLANK(A211),"""",GOOGLETRANSLATE(A211,""en"",""fr""))"),"")</f>
        <v/>
      </c>
    </row>
    <row r="212" spans="2:2">
      <c r="B212" s="3" t="str">
        <f ca="1">IFERROR(__xludf.DUMMYFUNCTION("IF(ISBLANK(A212),"""",GOOGLETRANSLATE(A212,""en"",""fr""))"),"")</f>
        <v/>
      </c>
    </row>
    <row r="213" spans="2:2">
      <c r="B213" s="3" t="str">
        <f ca="1">IFERROR(__xludf.DUMMYFUNCTION("IF(ISBLANK(A213),"""",GOOGLETRANSLATE(A213,""en"",""fr""))"),"")</f>
        <v/>
      </c>
    </row>
    <row r="214" spans="2:2">
      <c r="B214" s="3" t="str">
        <f ca="1">IFERROR(__xludf.DUMMYFUNCTION("IF(ISBLANK(A214),"""",GOOGLETRANSLATE(A214,""en"",""fr""))"),"")</f>
        <v/>
      </c>
    </row>
    <row r="215" spans="2:2">
      <c r="B215" s="3" t="str">
        <f ca="1">IFERROR(__xludf.DUMMYFUNCTION("IF(ISBLANK(A215),"""",GOOGLETRANSLATE(A215,""en"",""fr""))"),"")</f>
        <v/>
      </c>
    </row>
    <row r="216" spans="2:2">
      <c r="B216" s="3" t="str">
        <f ca="1">IFERROR(__xludf.DUMMYFUNCTION("IF(ISBLANK(A216),"""",GOOGLETRANSLATE(A216,""en"",""fr""))"),"")</f>
        <v/>
      </c>
    </row>
    <row r="217" spans="2:2">
      <c r="B217" s="3" t="str">
        <f ca="1">IFERROR(__xludf.DUMMYFUNCTION("IF(ISBLANK(A217),"""",GOOGLETRANSLATE(A217,""en"",""fr""))"),"")</f>
        <v/>
      </c>
    </row>
    <row r="218" spans="2:2">
      <c r="B218" s="3" t="str">
        <f ca="1">IFERROR(__xludf.DUMMYFUNCTION("IF(ISBLANK(A218),"""",GOOGLETRANSLATE(A218,""en"",""fr""))"),"")</f>
        <v/>
      </c>
    </row>
    <row r="219" spans="2:2">
      <c r="B219" s="3" t="str">
        <f ca="1">IFERROR(__xludf.DUMMYFUNCTION("IF(ISBLANK(A219),"""",GOOGLETRANSLATE(A219,""en"",""fr""))"),"")</f>
        <v/>
      </c>
    </row>
    <row r="220" spans="2:2">
      <c r="B220" s="3" t="str">
        <f ca="1">IFERROR(__xludf.DUMMYFUNCTION("IF(ISBLANK(A220),"""",GOOGLETRANSLATE(A220,""en"",""fr""))"),"")</f>
        <v/>
      </c>
    </row>
    <row r="221" spans="2:2">
      <c r="B221" s="3" t="str">
        <f ca="1">IFERROR(__xludf.DUMMYFUNCTION("IF(ISBLANK(A221),"""",GOOGLETRANSLATE(A221,""en"",""fr""))"),"")</f>
        <v/>
      </c>
    </row>
    <row r="222" spans="2:2">
      <c r="B222" s="3" t="str">
        <f ca="1">IFERROR(__xludf.DUMMYFUNCTION("IF(ISBLANK(A222),"""",GOOGLETRANSLATE(A222,""en"",""fr""))"),"")</f>
        <v/>
      </c>
    </row>
    <row r="223" spans="2:2">
      <c r="B223" s="3" t="str">
        <f ca="1">IFERROR(__xludf.DUMMYFUNCTION("IF(ISBLANK(A223),"""",GOOGLETRANSLATE(A223,""en"",""fr""))"),"")</f>
        <v/>
      </c>
    </row>
    <row r="224" spans="2:2">
      <c r="B224" s="3" t="str">
        <f ca="1">IFERROR(__xludf.DUMMYFUNCTION("IF(ISBLANK(A224),"""",GOOGLETRANSLATE(A224,""en"",""fr""))"),"")</f>
        <v/>
      </c>
    </row>
    <row r="225" spans="2:2">
      <c r="B225" s="3" t="str">
        <f ca="1">IFERROR(__xludf.DUMMYFUNCTION("IF(ISBLANK(A225),"""",GOOGLETRANSLATE(A225,""en"",""fr""))"),"")</f>
        <v/>
      </c>
    </row>
    <row r="226" spans="2:2">
      <c r="B226" s="3" t="str">
        <f ca="1">IFERROR(__xludf.DUMMYFUNCTION("IF(ISBLANK(A226),"""",GOOGLETRANSLATE(A226,""en"",""fr""))"),"")</f>
        <v/>
      </c>
    </row>
    <row r="227" spans="2:2">
      <c r="B227" s="3" t="str">
        <f ca="1">IFERROR(__xludf.DUMMYFUNCTION("IF(ISBLANK(A227),"""",GOOGLETRANSLATE(A227,""en"",""fr""))"),"")</f>
        <v/>
      </c>
    </row>
    <row r="228" spans="2:2">
      <c r="B228" s="3" t="str">
        <f ca="1">IFERROR(__xludf.DUMMYFUNCTION("IF(ISBLANK(A228),"""",GOOGLETRANSLATE(A228,""en"",""fr""))"),"")</f>
        <v/>
      </c>
    </row>
    <row r="229" spans="2:2">
      <c r="B229" s="3" t="str">
        <f ca="1">IFERROR(__xludf.DUMMYFUNCTION("IF(ISBLANK(A229),"""",GOOGLETRANSLATE(A229,""en"",""fr""))"),"")</f>
        <v/>
      </c>
    </row>
    <row r="230" spans="2:2">
      <c r="B230" s="3" t="str">
        <f ca="1">IFERROR(__xludf.DUMMYFUNCTION("IF(ISBLANK(A230),"""",GOOGLETRANSLATE(A230,""en"",""fr""))"),"")</f>
        <v/>
      </c>
    </row>
    <row r="231" spans="2:2">
      <c r="B231" s="3" t="str">
        <f ca="1">IFERROR(__xludf.DUMMYFUNCTION("IF(ISBLANK(A231),"""",GOOGLETRANSLATE(A231,""en"",""fr""))"),"")</f>
        <v/>
      </c>
    </row>
    <row r="232" spans="2:2">
      <c r="B232" s="3" t="str">
        <f ca="1">IFERROR(__xludf.DUMMYFUNCTION("IF(ISBLANK(A232),"""",GOOGLETRANSLATE(A232,""en"",""fr""))"),"")</f>
        <v/>
      </c>
    </row>
    <row r="233" spans="2:2">
      <c r="B233" s="3" t="str">
        <f ca="1">IFERROR(__xludf.DUMMYFUNCTION("IF(ISBLANK(A233),"""",GOOGLETRANSLATE(A233,""en"",""fr""))"),"")</f>
        <v/>
      </c>
    </row>
    <row r="234" spans="2:2">
      <c r="B234" s="3" t="str">
        <f ca="1">IFERROR(__xludf.DUMMYFUNCTION("IF(ISBLANK(A234),"""",GOOGLETRANSLATE(A234,""en"",""fr""))"),"")</f>
        <v/>
      </c>
    </row>
    <row r="235" spans="2:2">
      <c r="B235" s="3" t="str">
        <f ca="1">IFERROR(__xludf.DUMMYFUNCTION("IF(ISBLANK(A235),"""",GOOGLETRANSLATE(A235,""en"",""fr""))"),"")</f>
        <v/>
      </c>
    </row>
    <row r="236" spans="2:2">
      <c r="B236" s="3" t="str">
        <f ca="1">IFERROR(__xludf.DUMMYFUNCTION("IF(ISBLANK(A236),"""",GOOGLETRANSLATE(A236,""en"",""fr""))"),"")</f>
        <v/>
      </c>
    </row>
    <row r="237" spans="2:2">
      <c r="B237" s="3" t="str">
        <f ca="1">IFERROR(__xludf.DUMMYFUNCTION("IF(ISBLANK(A237),"""",GOOGLETRANSLATE(A237,""en"",""fr""))"),"")</f>
        <v/>
      </c>
    </row>
    <row r="238" spans="2:2">
      <c r="B238" s="3" t="str">
        <f ca="1">IFERROR(__xludf.DUMMYFUNCTION("IF(ISBLANK(A238),"""",GOOGLETRANSLATE(A238,""en"",""fr""))"),"")</f>
        <v/>
      </c>
    </row>
    <row r="239" spans="2:2">
      <c r="B239" s="3" t="str">
        <f ca="1">IFERROR(__xludf.DUMMYFUNCTION("IF(ISBLANK(A239),"""",GOOGLETRANSLATE(A239,""en"",""fr""))"),"")</f>
        <v/>
      </c>
    </row>
    <row r="240" spans="2:2">
      <c r="B240" s="3" t="str">
        <f ca="1">IFERROR(__xludf.DUMMYFUNCTION("IF(ISBLANK(A240),"""",GOOGLETRANSLATE(A240,""en"",""fr""))"),"")</f>
        <v/>
      </c>
    </row>
    <row r="241" spans="2:2">
      <c r="B241" s="3" t="str">
        <f ca="1">IFERROR(__xludf.DUMMYFUNCTION("IF(ISBLANK(A241),"""",GOOGLETRANSLATE(A241,""en"",""fr""))"),"")</f>
        <v/>
      </c>
    </row>
    <row r="242" spans="2:2">
      <c r="B242" s="3" t="str">
        <f ca="1">IFERROR(__xludf.DUMMYFUNCTION("IF(ISBLANK(A242),"""",GOOGLETRANSLATE(A242,""en"",""fr""))"),"")</f>
        <v/>
      </c>
    </row>
    <row r="243" spans="2:2">
      <c r="B243" s="3" t="str">
        <f ca="1">IFERROR(__xludf.DUMMYFUNCTION("IF(ISBLANK(A243),"""",GOOGLETRANSLATE(A243,""en"",""fr""))"),"")</f>
        <v/>
      </c>
    </row>
    <row r="244" spans="2:2">
      <c r="B244" s="3" t="str">
        <f ca="1">IFERROR(__xludf.DUMMYFUNCTION("IF(ISBLANK(A244),"""",GOOGLETRANSLATE(A244,""en"",""fr""))"),"")</f>
        <v/>
      </c>
    </row>
    <row r="245" spans="2:2">
      <c r="B245" s="3" t="str">
        <f ca="1">IFERROR(__xludf.DUMMYFUNCTION("IF(ISBLANK(A245),"""",GOOGLETRANSLATE(A245,""en"",""fr""))"),"")</f>
        <v/>
      </c>
    </row>
    <row r="246" spans="2:2">
      <c r="B246" s="3" t="str">
        <f ca="1">IFERROR(__xludf.DUMMYFUNCTION("IF(ISBLANK(A246),"""",GOOGLETRANSLATE(A246,""en"",""fr""))"),"")</f>
        <v/>
      </c>
    </row>
    <row r="247" spans="2:2">
      <c r="B247" s="3" t="str">
        <f ca="1">IFERROR(__xludf.DUMMYFUNCTION("IF(ISBLANK(A247),"""",GOOGLETRANSLATE(A247,""en"",""fr""))"),"")</f>
        <v/>
      </c>
    </row>
    <row r="248" spans="2:2">
      <c r="B248" s="3" t="str">
        <f ca="1">IFERROR(__xludf.DUMMYFUNCTION("IF(ISBLANK(A248),"""",GOOGLETRANSLATE(A248,""en"",""fr""))"),"")</f>
        <v/>
      </c>
    </row>
    <row r="249" spans="2:2">
      <c r="B249" s="3" t="str">
        <f ca="1">IFERROR(__xludf.DUMMYFUNCTION("IF(ISBLANK(A249),"""",GOOGLETRANSLATE(A249,""en"",""fr""))"),"")</f>
        <v/>
      </c>
    </row>
    <row r="250" spans="2:2">
      <c r="B250" s="3" t="str">
        <f ca="1">IFERROR(__xludf.DUMMYFUNCTION("IF(ISBLANK(A250),"""",GOOGLETRANSLATE(A250,""en"",""fr""))"),"")</f>
        <v/>
      </c>
    </row>
    <row r="251" spans="2:2">
      <c r="B251" s="3" t="str">
        <f ca="1">IFERROR(__xludf.DUMMYFUNCTION("IF(ISBLANK(A251),"""",GOOGLETRANSLATE(A251,""en"",""fr""))"),"")</f>
        <v/>
      </c>
    </row>
    <row r="252" spans="2:2">
      <c r="B252" s="3" t="str">
        <f ca="1">IFERROR(__xludf.DUMMYFUNCTION("IF(ISBLANK(A252),"""",GOOGLETRANSLATE(A252,""en"",""fr""))"),"")</f>
        <v/>
      </c>
    </row>
    <row r="253" spans="2:2">
      <c r="B253" s="3" t="str">
        <f ca="1">IFERROR(__xludf.DUMMYFUNCTION("IF(ISBLANK(A253),"""",GOOGLETRANSLATE(A253,""en"",""fr""))"),"")</f>
        <v/>
      </c>
    </row>
    <row r="254" spans="2:2">
      <c r="B254" s="3" t="str">
        <f ca="1">IFERROR(__xludf.DUMMYFUNCTION("IF(ISBLANK(A254),"""",GOOGLETRANSLATE(A254,""en"",""fr""))"),"")</f>
        <v/>
      </c>
    </row>
    <row r="255" spans="2:2">
      <c r="B255" s="3" t="str">
        <f ca="1">IFERROR(__xludf.DUMMYFUNCTION("IF(ISBLANK(A255),"""",GOOGLETRANSLATE(A255,""en"",""fr""))"),"")</f>
        <v/>
      </c>
    </row>
    <row r="256" spans="2:2">
      <c r="B256" s="3" t="str">
        <f ca="1">IFERROR(__xludf.DUMMYFUNCTION("IF(ISBLANK(A256),"""",GOOGLETRANSLATE(A256,""en"",""fr""))"),"")</f>
        <v/>
      </c>
    </row>
    <row r="257" spans="2:2">
      <c r="B257" s="3" t="str">
        <f ca="1">IFERROR(__xludf.DUMMYFUNCTION("IF(ISBLANK(A257),"""",GOOGLETRANSLATE(A257,""en"",""fr""))"),"")</f>
        <v/>
      </c>
    </row>
    <row r="258" spans="2:2">
      <c r="B258" s="3" t="str">
        <f ca="1">IFERROR(__xludf.DUMMYFUNCTION("IF(ISBLANK(A258),"""",GOOGLETRANSLATE(A258,""en"",""fr""))"),"")</f>
        <v/>
      </c>
    </row>
    <row r="259" spans="2:2">
      <c r="B259" s="3" t="str">
        <f ca="1">IFERROR(__xludf.DUMMYFUNCTION("IF(ISBLANK(A259),"""",GOOGLETRANSLATE(A259,""en"",""fr""))"),"")</f>
        <v/>
      </c>
    </row>
    <row r="260" spans="2:2">
      <c r="B260" s="3" t="str">
        <f ca="1">IFERROR(__xludf.DUMMYFUNCTION("IF(ISBLANK(A260),"""",GOOGLETRANSLATE(A260,""en"",""fr""))"),"")</f>
        <v/>
      </c>
    </row>
    <row r="261" spans="2:2">
      <c r="B261" s="3" t="str">
        <f ca="1">IFERROR(__xludf.DUMMYFUNCTION("IF(ISBLANK(A261),"""",GOOGLETRANSLATE(A261,""en"",""fr""))"),"")</f>
        <v/>
      </c>
    </row>
    <row r="262" spans="2:2">
      <c r="B262" s="3" t="str">
        <f ca="1">IFERROR(__xludf.DUMMYFUNCTION("IF(ISBLANK(A262),"""",GOOGLETRANSLATE(A262,""en"",""fr""))"),"")</f>
        <v/>
      </c>
    </row>
    <row r="263" spans="2:2">
      <c r="B263" s="3" t="str">
        <f ca="1">IFERROR(__xludf.DUMMYFUNCTION("IF(ISBLANK(A263),"""",GOOGLETRANSLATE(A263,""en"",""fr""))"),"")</f>
        <v/>
      </c>
    </row>
    <row r="264" spans="2:2">
      <c r="B264" s="3" t="str">
        <f ca="1">IFERROR(__xludf.DUMMYFUNCTION("IF(ISBLANK(A264),"""",GOOGLETRANSLATE(A264,""en"",""fr""))"),"")</f>
        <v/>
      </c>
    </row>
    <row r="265" spans="2:2">
      <c r="B265" s="3" t="str">
        <f ca="1">IFERROR(__xludf.DUMMYFUNCTION("IF(ISBLANK(A265),"""",GOOGLETRANSLATE(A265,""en"",""fr""))"),"")</f>
        <v/>
      </c>
    </row>
    <row r="266" spans="2:2">
      <c r="B266" s="3" t="str">
        <f ca="1">IFERROR(__xludf.DUMMYFUNCTION("IF(ISBLANK(A266),"""",GOOGLETRANSLATE(A266,""en"",""fr""))"),"")</f>
        <v/>
      </c>
    </row>
    <row r="267" spans="2:2">
      <c r="B267" s="3" t="str">
        <f ca="1">IFERROR(__xludf.DUMMYFUNCTION("IF(ISBLANK(A267),"""",GOOGLETRANSLATE(A267,""en"",""fr""))"),"")</f>
        <v/>
      </c>
    </row>
    <row r="268" spans="2:2">
      <c r="B268" s="3" t="str">
        <f ca="1">IFERROR(__xludf.DUMMYFUNCTION("IF(ISBLANK(A268),"""",GOOGLETRANSLATE(A268,""en"",""fr""))"),"")</f>
        <v/>
      </c>
    </row>
    <row r="269" spans="2:2">
      <c r="B269" s="3" t="str">
        <f ca="1">IFERROR(__xludf.DUMMYFUNCTION("IF(ISBLANK(A269),"""",GOOGLETRANSLATE(A269,""en"",""fr""))"),"")</f>
        <v/>
      </c>
    </row>
    <row r="270" spans="2:2">
      <c r="B270" s="3" t="str">
        <f ca="1">IFERROR(__xludf.DUMMYFUNCTION("IF(ISBLANK(A270),"""",GOOGLETRANSLATE(A270,""en"",""fr""))"),"")</f>
        <v/>
      </c>
    </row>
    <row r="271" spans="2:2">
      <c r="B271" s="3" t="str">
        <f ca="1">IFERROR(__xludf.DUMMYFUNCTION("IF(ISBLANK(A271),"""",GOOGLETRANSLATE(A271,""en"",""fr""))"),"")</f>
        <v/>
      </c>
    </row>
    <row r="272" spans="2:2">
      <c r="B272" s="3" t="str">
        <f ca="1">IFERROR(__xludf.DUMMYFUNCTION("IF(ISBLANK(A272),"""",GOOGLETRANSLATE(A272,""en"",""fr""))"),"")</f>
        <v/>
      </c>
    </row>
    <row r="273" spans="2:2">
      <c r="B273" s="3" t="str">
        <f ca="1">IFERROR(__xludf.DUMMYFUNCTION("IF(ISBLANK(A273),"""",GOOGLETRANSLATE(A273,""en"",""fr""))"),"")</f>
        <v/>
      </c>
    </row>
    <row r="274" spans="2:2">
      <c r="B274" s="3" t="str">
        <f ca="1">IFERROR(__xludf.DUMMYFUNCTION("IF(ISBLANK(A274),"""",GOOGLETRANSLATE(A274,""en"",""fr""))"),"")</f>
        <v/>
      </c>
    </row>
    <row r="275" spans="2:2">
      <c r="B275" s="3" t="str">
        <f ca="1">IFERROR(__xludf.DUMMYFUNCTION("IF(ISBLANK(A275),"""",GOOGLETRANSLATE(A275,""en"",""fr""))"),"")</f>
        <v/>
      </c>
    </row>
    <row r="276" spans="2:2">
      <c r="B276" s="3" t="str">
        <f ca="1">IFERROR(__xludf.DUMMYFUNCTION("IF(ISBLANK(A276),"""",GOOGLETRANSLATE(A276,""en"",""fr""))"),"")</f>
        <v/>
      </c>
    </row>
    <row r="277" spans="2:2">
      <c r="B277" s="3" t="str">
        <f ca="1">IFERROR(__xludf.DUMMYFUNCTION("IF(ISBLANK(A277),"""",GOOGLETRANSLATE(A277,""en"",""fr""))"),"")</f>
        <v/>
      </c>
    </row>
    <row r="278" spans="2:2">
      <c r="B278" s="3" t="str">
        <f ca="1">IFERROR(__xludf.DUMMYFUNCTION("IF(ISBLANK(A278),"""",GOOGLETRANSLATE(A278,""en"",""fr""))"),"")</f>
        <v/>
      </c>
    </row>
    <row r="279" spans="2:2">
      <c r="B279" s="3" t="str">
        <f ca="1">IFERROR(__xludf.DUMMYFUNCTION("IF(ISBLANK(A279),"""",GOOGLETRANSLATE(A279,""en"",""fr""))"),"")</f>
        <v/>
      </c>
    </row>
    <row r="280" spans="2:2">
      <c r="B280" s="3" t="str">
        <f ca="1">IFERROR(__xludf.DUMMYFUNCTION("IF(ISBLANK(A280),"""",GOOGLETRANSLATE(A280,""en"",""fr""))"),"")</f>
        <v/>
      </c>
    </row>
    <row r="281" spans="2:2">
      <c r="B281" s="3" t="str">
        <f ca="1">IFERROR(__xludf.DUMMYFUNCTION("IF(ISBLANK(A281),"""",GOOGLETRANSLATE(A281,""en"",""fr""))"),"")</f>
        <v/>
      </c>
    </row>
    <row r="282" spans="2:2">
      <c r="B282" s="3" t="str">
        <f ca="1">IFERROR(__xludf.DUMMYFUNCTION("IF(ISBLANK(A282),"""",GOOGLETRANSLATE(A282,""en"",""fr""))"),"")</f>
        <v/>
      </c>
    </row>
    <row r="283" spans="2:2">
      <c r="B283" s="3" t="str">
        <f ca="1">IFERROR(__xludf.DUMMYFUNCTION("IF(ISBLANK(A283),"""",GOOGLETRANSLATE(A283,""en"",""fr""))"),"")</f>
        <v/>
      </c>
    </row>
    <row r="284" spans="2:2">
      <c r="B284" s="3" t="str">
        <f ca="1">IFERROR(__xludf.DUMMYFUNCTION("IF(ISBLANK(A284),"""",GOOGLETRANSLATE(A284,""en"",""fr""))"),"")</f>
        <v/>
      </c>
    </row>
    <row r="285" spans="2:2">
      <c r="B285" s="3" t="str">
        <f ca="1">IFERROR(__xludf.DUMMYFUNCTION("IF(ISBLANK(A285),"""",GOOGLETRANSLATE(A285,""en"",""fr""))"),"")</f>
        <v/>
      </c>
    </row>
    <row r="286" spans="2:2">
      <c r="B286" s="3" t="str">
        <f ca="1">IFERROR(__xludf.DUMMYFUNCTION("IF(ISBLANK(A286),"""",GOOGLETRANSLATE(A286,""en"",""fr""))"),"")</f>
        <v/>
      </c>
    </row>
    <row r="287" spans="2:2">
      <c r="B287" s="3" t="str">
        <f ca="1">IFERROR(__xludf.DUMMYFUNCTION("IF(ISBLANK(A287),"""",GOOGLETRANSLATE(A287,""en"",""fr""))"),"")</f>
        <v/>
      </c>
    </row>
    <row r="288" spans="2:2">
      <c r="B288" s="3" t="str">
        <f ca="1">IFERROR(__xludf.DUMMYFUNCTION("IF(ISBLANK(A288),"""",GOOGLETRANSLATE(A288,""en"",""fr""))"),"")</f>
        <v/>
      </c>
    </row>
    <row r="289" spans="2:2">
      <c r="B289" s="3" t="str">
        <f ca="1">IFERROR(__xludf.DUMMYFUNCTION("IF(ISBLANK(A289),"""",GOOGLETRANSLATE(A289,""en"",""fr""))"),"")</f>
        <v/>
      </c>
    </row>
    <row r="290" spans="2:2">
      <c r="B290" s="3" t="str">
        <f ca="1">IFERROR(__xludf.DUMMYFUNCTION("IF(ISBLANK(A290),"""",GOOGLETRANSLATE(A290,""en"",""fr""))"),"")</f>
        <v/>
      </c>
    </row>
    <row r="291" spans="2:2">
      <c r="B291" s="3" t="str">
        <f ca="1">IFERROR(__xludf.DUMMYFUNCTION("IF(ISBLANK(A291),"""",GOOGLETRANSLATE(A291,""en"",""fr""))"),"")</f>
        <v/>
      </c>
    </row>
    <row r="292" spans="2:2">
      <c r="B292" s="3" t="str">
        <f ca="1">IFERROR(__xludf.DUMMYFUNCTION("IF(ISBLANK(A292),"""",GOOGLETRANSLATE(A292,""en"",""fr""))"),"")</f>
        <v/>
      </c>
    </row>
    <row r="293" spans="2:2">
      <c r="B293" s="3" t="str">
        <f ca="1">IFERROR(__xludf.DUMMYFUNCTION("IF(ISBLANK(A293),"""",GOOGLETRANSLATE(A293,""en"",""fr""))"),"")</f>
        <v/>
      </c>
    </row>
    <row r="294" spans="2:2">
      <c r="B294" s="3" t="str">
        <f ca="1">IFERROR(__xludf.DUMMYFUNCTION("IF(ISBLANK(A294),"""",GOOGLETRANSLATE(A294,""en"",""fr""))"),"")</f>
        <v/>
      </c>
    </row>
    <row r="295" spans="2:2">
      <c r="B295" s="3" t="str">
        <f ca="1">IFERROR(__xludf.DUMMYFUNCTION("IF(ISBLANK(A295),"""",GOOGLETRANSLATE(A295,""en"",""fr""))"),"")</f>
        <v/>
      </c>
    </row>
    <row r="296" spans="2:2">
      <c r="B296" s="3" t="str">
        <f ca="1">IFERROR(__xludf.DUMMYFUNCTION("IF(ISBLANK(A296),"""",GOOGLETRANSLATE(A296,""en"",""fr""))"),"")</f>
        <v/>
      </c>
    </row>
    <row r="297" spans="2:2">
      <c r="B297" s="3" t="str">
        <f ca="1">IFERROR(__xludf.DUMMYFUNCTION("IF(ISBLANK(A297),"""",GOOGLETRANSLATE(A297,""en"",""fr""))"),"")</f>
        <v/>
      </c>
    </row>
    <row r="298" spans="2:2">
      <c r="B298" s="3" t="str">
        <f ca="1">IFERROR(__xludf.DUMMYFUNCTION("IF(ISBLANK(A298),"""",GOOGLETRANSLATE(A298,""en"",""fr""))"),"")</f>
        <v/>
      </c>
    </row>
    <row r="299" spans="2:2">
      <c r="B299" s="3" t="str">
        <f ca="1">IFERROR(__xludf.DUMMYFUNCTION("IF(ISBLANK(A299),"""",GOOGLETRANSLATE(A299,""en"",""fr""))"),"")</f>
        <v/>
      </c>
    </row>
    <row r="300" spans="2:2">
      <c r="B300" s="3" t="str">
        <f ca="1">IFERROR(__xludf.DUMMYFUNCTION("IF(ISBLANK(A300),"""",GOOGLETRANSLATE(A300,""en"",""fr""))"),"")</f>
        <v/>
      </c>
    </row>
    <row r="301" spans="2:2">
      <c r="B301" s="3" t="str">
        <f ca="1">IFERROR(__xludf.DUMMYFUNCTION("IF(ISBLANK(A301),"""",GOOGLETRANSLATE(A301,""en"",""fr""))"),"")</f>
        <v/>
      </c>
    </row>
    <row r="302" spans="2:2">
      <c r="B302" s="3" t="str">
        <f ca="1">IFERROR(__xludf.DUMMYFUNCTION("IF(ISBLANK(A302),"""",GOOGLETRANSLATE(A302,""en"",""fr""))"),"")</f>
        <v/>
      </c>
    </row>
    <row r="303" spans="2:2">
      <c r="B303" s="3" t="str">
        <f ca="1">IFERROR(__xludf.DUMMYFUNCTION("IF(ISBLANK(A303),"""",GOOGLETRANSLATE(A303,""en"",""fr""))"),"")</f>
        <v/>
      </c>
    </row>
    <row r="304" spans="2:2">
      <c r="B304" s="3" t="str">
        <f ca="1">IFERROR(__xludf.DUMMYFUNCTION("IF(ISBLANK(A304),"""",GOOGLETRANSLATE(A304,""en"",""fr""))"),"")</f>
        <v/>
      </c>
    </row>
    <row r="305" spans="2:2">
      <c r="B305" s="3" t="str">
        <f ca="1">IFERROR(__xludf.DUMMYFUNCTION("IF(ISBLANK(A305),"""",GOOGLETRANSLATE(A305,""en"",""fr""))"),"")</f>
        <v/>
      </c>
    </row>
    <row r="306" spans="2:2">
      <c r="B306" s="3" t="str">
        <f ca="1">IFERROR(__xludf.DUMMYFUNCTION("IF(ISBLANK(A306),"""",GOOGLETRANSLATE(A306,""en"",""fr""))"),"")</f>
        <v/>
      </c>
    </row>
    <row r="307" spans="2:2">
      <c r="B307" s="3" t="str">
        <f ca="1">IFERROR(__xludf.DUMMYFUNCTION("IF(ISBLANK(A307),"""",GOOGLETRANSLATE(A307,""en"",""fr""))"),"")</f>
        <v/>
      </c>
    </row>
    <row r="308" spans="2:2">
      <c r="B308" s="3" t="str">
        <f ca="1">IFERROR(__xludf.DUMMYFUNCTION("IF(ISBLANK(A308),"""",GOOGLETRANSLATE(A308,""en"",""fr""))"),"")</f>
        <v/>
      </c>
    </row>
    <row r="309" spans="2:2">
      <c r="B309" s="3" t="str">
        <f ca="1">IFERROR(__xludf.DUMMYFUNCTION("IF(ISBLANK(A309),"""",GOOGLETRANSLATE(A309,""en"",""fr""))"),"")</f>
        <v/>
      </c>
    </row>
    <row r="310" spans="2:2">
      <c r="B310" s="3" t="str">
        <f ca="1">IFERROR(__xludf.DUMMYFUNCTION("IF(ISBLANK(A310),"""",GOOGLETRANSLATE(A310,""en"",""fr""))"),"")</f>
        <v/>
      </c>
    </row>
    <row r="311" spans="2:2">
      <c r="B311" s="3" t="str">
        <f ca="1">IFERROR(__xludf.DUMMYFUNCTION("IF(ISBLANK(A311),"""",GOOGLETRANSLATE(A311,""en"",""fr""))"),"")</f>
        <v/>
      </c>
    </row>
    <row r="312" spans="2:2">
      <c r="B312" s="3" t="str">
        <f ca="1">IFERROR(__xludf.DUMMYFUNCTION("IF(ISBLANK(A312),"""",GOOGLETRANSLATE(A312,""en"",""fr""))"),"")</f>
        <v/>
      </c>
    </row>
    <row r="313" spans="2:2">
      <c r="B313" s="3" t="str">
        <f ca="1">IFERROR(__xludf.DUMMYFUNCTION("IF(ISBLANK(A313),"""",GOOGLETRANSLATE(A313,""en"",""fr""))"),"")</f>
        <v/>
      </c>
    </row>
    <row r="314" spans="2:2">
      <c r="B314" s="3" t="str">
        <f ca="1">IFERROR(__xludf.DUMMYFUNCTION("IF(ISBLANK(A314),"""",GOOGLETRANSLATE(A314,""en"",""fr""))"),"")</f>
        <v/>
      </c>
    </row>
    <row r="315" spans="2:2">
      <c r="B315" s="3" t="str">
        <f ca="1">IFERROR(__xludf.DUMMYFUNCTION("IF(ISBLANK(A315),"""",GOOGLETRANSLATE(A315,""en"",""fr""))"),"")</f>
        <v/>
      </c>
    </row>
    <row r="316" spans="2:2">
      <c r="B316" s="3" t="str">
        <f ca="1">IFERROR(__xludf.DUMMYFUNCTION("IF(ISBLANK(A316),"""",GOOGLETRANSLATE(A316,""en"",""fr""))"),"")</f>
        <v/>
      </c>
    </row>
    <row r="317" spans="2:2">
      <c r="B317" s="3" t="str">
        <f ca="1">IFERROR(__xludf.DUMMYFUNCTION("IF(ISBLANK(A317),"""",GOOGLETRANSLATE(A317,""en"",""fr""))"),"")</f>
        <v/>
      </c>
    </row>
    <row r="318" spans="2:2">
      <c r="B318" s="3" t="str">
        <f ca="1">IFERROR(__xludf.DUMMYFUNCTION("IF(ISBLANK(A318),"""",GOOGLETRANSLATE(A318,""en"",""fr""))"),"")</f>
        <v/>
      </c>
    </row>
    <row r="319" spans="2:2">
      <c r="B319" s="3" t="str">
        <f ca="1">IFERROR(__xludf.DUMMYFUNCTION("IF(ISBLANK(A319),"""",GOOGLETRANSLATE(A319,""en"",""fr""))"),"")</f>
        <v/>
      </c>
    </row>
    <row r="320" spans="2:2">
      <c r="B320" s="3" t="str">
        <f ca="1">IFERROR(__xludf.DUMMYFUNCTION("IF(ISBLANK(A320),"""",GOOGLETRANSLATE(A320,""en"",""fr""))"),"")</f>
        <v/>
      </c>
    </row>
    <row r="321" spans="2:2">
      <c r="B321" s="3" t="str">
        <f ca="1">IFERROR(__xludf.DUMMYFUNCTION("IF(ISBLANK(A321),"""",GOOGLETRANSLATE(A321,""en"",""fr""))"),"")</f>
        <v/>
      </c>
    </row>
    <row r="322" spans="2:2">
      <c r="B322" s="3" t="str">
        <f ca="1">IFERROR(__xludf.DUMMYFUNCTION("IF(ISBLANK(A322),"""",GOOGLETRANSLATE(A322,""en"",""fr""))"),"")</f>
        <v/>
      </c>
    </row>
    <row r="323" spans="2:2">
      <c r="B323" s="3" t="str">
        <f ca="1">IFERROR(__xludf.DUMMYFUNCTION("IF(ISBLANK(A323),"""",GOOGLETRANSLATE(A323,""en"",""fr""))"),"")</f>
        <v/>
      </c>
    </row>
    <row r="324" spans="2:2">
      <c r="B324" s="3" t="str">
        <f ca="1">IFERROR(__xludf.DUMMYFUNCTION("IF(ISBLANK(A324),"""",GOOGLETRANSLATE(A324,""en"",""fr""))"),"")</f>
        <v/>
      </c>
    </row>
    <row r="325" spans="2:2">
      <c r="B325" s="3" t="str">
        <f ca="1">IFERROR(__xludf.DUMMYFUNCTION("IF(ISBLANK(A325),"""",GOOGLETRANSLATE(A325,""en"",""fr""))"),"")</f>
        <v/>
      </c>
    </row>
    <row r="326" spans="2:2">
      <c r="B326" s="3" t="str">
        <f ca="1">IFERROR(__xludf.DUMMYFUNCTION("IF(ISBLANK(A326),"""",GOOGLETRANSLATE(A326,""en"",""fr""))"),"")</f>
        <v/>
      </c>
    </row>
    <row r="327" spans="2:2">
      <c r="B327" s="3" t="str">
        <f ca="1">IFERROR(__xludf.DUMMYFUNCTION("IF(ISBLANK(A327),"""",GOOGLETRANSLATE(A327,""en"",""fr""))"),"")</f>
        <v/>
      </c>
    </row>
    <row r="328" spans="2:2">
      <c r="B328" s="3" t="str">
        <f ca="1">IFERROR(__xludf.DUMMYFUNCTION("IF(ISBLANK(A328),"""",GOOGLETRANSLATE(A328,""en"",""fr""))"),"")</f>
        <v/>
      </c>
    </row>
    <row r="329" spans="2:2">
      <c r="B329" s="3" t="str">
        <f ca="1">IFERROR(__xludf.DUMMYFUNCTION("IF(ISBLANK(A329),"""",GOOGLETRANSLATE(A329,""en"",""fr""))"),"")</f>
        <v/>
      </c>
    </row>
    <row r="330" spans="2:2">
      <c r="B330" s="3" t="str">
        <f ca="1">IFERROR(__xludf.DUMMYFUNCTION("IF(ISBLANK(A330),"""",GOOGLETRANSLATE(A330,""en"",""fr""))"),"")</f>
        <v/>
      </c>
    </row>
    <row r="331" spans="2:2">
      <c r="B331" s="3" t="str">
        <f ca="1">IFERROR(__xludf.DUMMYFUNCTION("IF(ISBLANK(A331),"""",GOOGLETRANSLATE(A331,""en"",""fr""))"),"")</f>
        <v/>
      </c>
    </row>
    <row r="332" spans="2:2">
      <c r="B332" s="3" t="str">
        <f ca="1">IFERROR(__xludf.DUMMYFUNCTION("IF(ISBLANK(A332),"""",GOOGLETRANSLATE(A332,""en"",""fr""))"),"")</f>
        <v/>
      </c>
    </row>
    <row r="333" spans="2:2">
      <c r="B333" s="3" t="str">
        <f ca="1">IFERROR(__xludf.DUMMYFUNCTION("IF(ISBLANK(A333),"""",GOOGLETRANSLATE(A333,""en"",""fr""))"),"")</f>
        <v/>
      </c>
    </row>
    <row r="334" spans="2:2">
      <c r="B334" s="3" t="str">
        <f ca="1">IFERROR(__xludf.DUMMYFUNCTION("IF(ISBLANK(A334),"""",GOOGLETRANSLATE(A334,""en"",""fr""))"),"")</f>
        <v/>
      </c>
    </row>
    <row r="335" spans="2:2">
      <c r="B335" s="3" t="str">
        <f ca="1">IFERROR(__xludf.DUMMYFUNCTION("IF(ISBLANK(A335),"""",GOOGLETRANSLATE(A335,""en"",""fr""))"),"")</f>
        <v/>
      </c>
    </row>
    <row r="336" spans="2:2">
      <c r="B336" s="3" t="str">
        <f ca="1">IFERROR(__xludf.DUMMYFUNCTION("IF(ISBLANK(A336),"""",GOOGLETRANSLATE(A336,""en"",""fr""))"),"")</f>
        <v/>
      </c>
    </row>
    <row r="337" spans="2:2">
      <c r="B337" s="3" t="str">
        <f ca="1">IFERROR(__xludf.DUMMYFUNCTION("IF(ISBLANK(A337),"""",GOOGLETRANSLATE(A337,""en"",""fr""))"),"")</f>
        <v/>
      </c>
    </row>
    <row r="338" spans="2:2">
      <c r="B338" s="3" t="str">
        <f ca="1">IFERROR(__xludf.DUMMYFUNCTION("IF(ISBLANK(A338),"""",GOOGLETRANSLATE(A338,""en"",""fr""))"),"")</f>
        <v/>
      </c>
    </row>
    <row r="339" spans="2:2">
      <c r="B339" s="3" t="str">
        <f ca="1">IFERROR(__xludf.DUMMYFUNCTION("IF(ISBLANK(A339),"""",GOOGLETRANSLATE(A339,""en"",""fr""))"),"")</f>
        <v/>
      </c>
    </row>
    <row r="340" spans="2:2">
      <c r="B340" s="3" t="str">
        <f ca="1">IFERROR(__xludf.DUMMYFUNCTION("IF(ISBLANK(A340),"""",GOOGLETRANSLATE(A340,""en"",""fr""))"),"")</f>
        <v/>
      </c>
    </row>
    <row r="341" spans="2:2">
      <c r="B341" s="3" t="str">
        <f ca="1">IFERROR(__xludf.DUMMYFUNCTION("IF(ISBLANK(A341),"""",GOOGLETRANSLATE(A341,""en"",""fr""))"),"")</f>
        <v/>
      </c>
    </row>
    <row r="342" spans="2:2">
      <c r="B342" s="3" t="str">
        <f ca="1">IFERROR(__xludf.DUMMYFUNCTION("IF(ISBLANK(A342),"""",GOOGLETRANSLATE(A342,""en"",""fr""))"),"")</f>
        <v/>
      </c>
    </row>
    <row r="343" spans="2:2">
      <c r="B343" s="3" t="str">
        <f ca="1">IFERROR(__xludf.DUMMYFUNCTION("IF(ISBLANK(A343),"""",GOOGLETRANSLATE(A343,""en"",""fr""))"),"")</f>
        <v/>
      </c>
    </row>
    <row r="344" spans="2:2">
      <c r="B344" s="3" t="str">
        <f ca="1">IFERROR(__xludf.DUMMYFUNCTION("IF(ISBLANK(A344),"""",GOOGLETRANSLATE(A344,""en"",""fr""))"),"")</f>
        <v/>
      </c>
    </row>
    <row r="345" spans="2:2">
      <c r="B345" s="3" t="str">
        <f ca="1">IFERROR(__xludf.DUMMYFUNCTION("IF(ISBLANK(A345),"""",GOOGLETRANSLATE(A345,""en"",""fr""))"),"")</f>
        <v/>
      </c>
    </row>
    <row r="346" spans="2:2">
      <c r="B346" s="3" t="str">
        <f ca="1">IFERROR(__xludf.DUMMYFUNCTION("IF(ISBLANK(A346),"""",GOOGLETRANSLATE(A346,""en"",""fr""))"),"")</f>
        <v/>
      </c>
    </row>
    <row r="347" spans="2:2">
      <c r="B347" s="3" t="str">
        <f ca="1">IFERROR(__xludf.DUMMYFUNCTION("IF(ISBLANK(A347),"""",GOOGLETRANSLATE(A347,""en"",""fr""))"),"")</f>
        <v/>
      </c>
    </row>
    <row r="348" spans="2:2">
      <c r="B348" s="3" t="str">
        <f ca="1">IFERROR(__xludf.DUMMYFUNCTION("IF(ISBLANK(A348),"""",GOOGLETRANSLATE(A348,""en"",""fr""))"),"")</f>
        <v/>
      </c>
    </row>
    <row r="349" spans="2:2">
      <c r="B349" s="3" t="str">
        <f ca="1">IFERROR(__xludf.DUMMYFUNCTION("IF(ISBLANK(A349),"""",GOOGLETRANSLATE(A349,""en"",""fr""))"),"")</f>
        <v/>
      </c>
    </row>
    <row r="350" spans="2:2">
      <c r="B350" s="3" t="str">
        <f ca="1">IFERROR(__xludf.DUMMYFUNCTION("IF(ISBLANK(A350),"""",GOOGLETRANSLATE(A350,""en"",""fr""))"),"")</f>
        <v/>
      </c>
    </row>
    <row r="351" spans="2:2">
      <c r="B351" s="3" t="str">
        <f ca="1">IFERROR(__xludf.DUMMYFUNCTION("IF(ISBLANK(A351),"""",GOOGLETRANSLATE(A351,""en"",""fr""))"),"")</f>
        <v/>
      </c>
    </row>
    <row r="352" spans="2:2">
      <c r="B352" s="3" t="str">
        <f ca="1">IFERROR(__xludf.DUMMYFUNCTION("IF(ISBLANK(A352),"""",GOOGLETRANSLATE(A352,""en"",""fr""))"),"")</f>
        <v/>
      </c>
    </row>
    <row r="353" spans="2:2">
      <c r="B353" s="3" t="str">
        <f ca="1">IFERROR(__xludf.DUMMYFUNCTION("IF(ISBLANK(A353),"""",GOOGLETRANSLATE(A353,""en"",""fr""))"),"")</f>
        <v/>
      </c>
    </row>
    <row r="354" spans="2:2">
      <c r="B354" s="3" t="str">
        <f ca="1">IFERROR(__xludf.DUMMYFUNCTION("IF(ISBLANK(A354),"""",GOOGLETRANSLATE(A354,""en"",""fr""))"),"")</f>
        <v/>
      </c>
    </row>
    <row r="355" spans="2:2">
      <c r="B355" s="3" t="str">
        <f ca="1">IFERROR(__xludf.DUMMYFUNCTION("IF(ISBLANK(A355),"""",GOOGLETRANSLATE(A355,""en"",""fr""))"),"")</f>
        <v/>
      </c>
    </row>
    <row r="356" spans="2:2">
      <c r="B356" s="3" t="str">
        <f ca="1">IFERROR(__xludf.DUMMYFUNCTION("IF(ISBLANK(A356),"""",GOOGLETRANSLATE(A356,""en"",""fr""))"),"")</f>
        <v/>
      </c>
    </row>
    <row r="357" spans="2:2">
      <c r="B357" s="3" t="str">
        <f ca="1">IFERROR(__xludf.DUMMYFUNCTION("IF(ISBLANK(A357),"""",GOOGLETRANSLATE(A357,""en"",""fr""))"),"")</f>
        <v/>
      </c>
    </row>
    <row r="358" spans="2:2">
      <c r="B358" s="3" t="str">
        <f ca="1">IFERROR(__xludf.DUMMYFUNCTION("IF(ISBLANK(A358),"""",GOOGLETRANSLATE(A358,""en"",""fr""))"),"")</f>
        <v/>
      </c>
    </row>
    <row r="359" spans="2:2">
      <c r="B359" s="3" t="str">
        <f ca="1">IFERROR(__xludf.DUMMYFUNCTION("IF(ISBLANK(A359),"""",GOOGLETRANSLATE(A359,""en"",""fr""))"),"")</f>
        <v/>
      </c>
    </row>
    <row r="360" spans="2:2">
      <c r="B360" s="3" t="str">
        <f ca="1">IFERROR(__xludf.DUMMYFUNCTION("IF(ISBLANK(A360),"""",GOOGLETRANSLATE(A360,""en"",""fr""))"),"")</f>
        <v/>
      </c>
    </row>
    <row r="361" spans="2:2">
      <c r="B361" s="3" t="str">
        <f ca="1">IFERROR(__xludf.DUMMYFUNCTION("IF(ISBLANK(A361),"""",GOOGLETRANSLATE(A361,""en"",""fr""))"),"")</f>
        <v/>
      </c>
    </row>
    <row r="362" spans="2:2">
      <c r="B362" s="3" t="str">
        <f ca="1">IFERROR(__xludf.DUMMYFUNCTION("IF(ISBLANK(A362),"""",GOOGLETRANSLATE(A362,""en"",""fr""))"),"")</f>
        <v/>
      </c>
    </row>
    <row r="363" spans="2:2">
      <c r="B363" s="3" t="str">
        <f ca="1">IFERROR(__xludf.DUMMYFUNCTION("IF(ISBLANK(A363),"""",GOOGLETRANSLATE(A363,""en"",""fr""))"),"")</f>
        <v/>
      </c>
    </row>
    <row r="364" spans="2:2">
      <c r="B364" s="3" t="str">
        <f ca="1">IFERROR(__xludf.DUMMYFUNCTION("IF(ISBLANK(A364),"""",GOOGLETRANSLATE(A364,""en"",""fr""))"),"")</f>
        <v/>
      </c>
    </row>
    <row r="365" spans="2:2">
      <c r="B365" s="3" t="str">
        <f ca="1">IFERROR(__xludf.DUMMYFUNCTION("IF(ISBLANK(A365),"""",GOOGLETRANSLATE(A365,""en"",""fr""))"),"")</f>
        <v/>
      </c>
    </row>
    <row r="366" spans="2:2">
      <c r="B366" s="3" t="str">
        <f ca="1">IFERROR(__xludf.DUMMYFUNCTION("IF(ISBLANK(A366),"""",GOOGLETRANSLATE(A366,""en"",""fr""))"),"")</f>
        <v/>
      </c>
    </row>
    <row r="367" spans="2:2">
      <c r="B367" s="3" t="str">
        <f ca="1">IFERROR(__xludf.DUMMYFUNCTION("IF(ISBLANK(A367),"""",GOOGLETRANSLATE(A367,""en"",""fr""))"),"")</f>
        <v/>
      </c>
    </row>
    <row r="368" spans="2:2">
      <c r="B368" s="3" t="str">
        <f ca="1">IFERROR(__xludf.DUMMYFUNCTION("IF(ISBLANK(A368),"""",GOOGLETRANSLATE(A368,""en"",""fr""))"),"")</f>
        <v/>
      </c>
    </row>
    <row r="369" spans="2:2">
      <c r="B369" s="3" t="str">
        <f ca="1">IFERROR(__xludf.DUMMYFUNCTION("IF(ISBLANK(A369),"""",GOOGLETRANSLATE(A369,""en"",""fr""))"),"")</f>
        <v/>
      </c>
    </row>
    <row r="370" spans="2:2">
      <c r="B370" s="3" t="str">
        <f ca="1">IFERROR(__xludf.DUMMYFUNCTION("IF(ISBLANK(A370),"""",GOOGLETRANSLATE(A370,""en"",""fr""))"),"")</f>
        <v/>
      </c>
    </row>
    <row r="371" spans="2:2">
      <c r="B371" s="3" t="str">
        <f ca="1">IFERROR(__xludf.DUMMYFUNCTION("IF(ISBLANK(A371),"""",GOOGLETRANSLATE(A371,""en"",""fr""))"),"")</f>
        <v/>
      </c>
    </row>
    <row r="372" spans="2:2">
      <c r="B372" s="3" t="str">
        <f ca="1">IFERROR(__xludf.DUMMYFUNCTION("IF(ISBLANK(A372),"""",GOOGLETRANSLATE(A372,""en"",""fr""))"),"")</f>
        <v/>
      </c>
    </row>
    <row r="373" spans="2:2">
      <c r="B373" s="3" t="str">
        <f ca="1">IFERROR(__xludf.DUMMYFUNCTION("IF(ISBLANK(A373),"""",GOOGLETRANSLATE(A373,""en"",""fr""))"),"")</f>
        <v/>
      </c>
    </row>
    <row r="374" spans="2:2">
      <c r="B374" s="3" t="str">
        <f ca="1">IFERROR(__xludf.DUMMYFUNCTION("IF(ISBLANK(A374),"""",GOOGLETRANSLATE(A374,""en"",""fr""))"),"")</f>
        <v/>
      </c>
    </row>
    <row r="375" spans="2:2">
      <c r="B375" s="3" t="str">
        <f ca="1">IFERROR(__xludf.DUMMYFUNCTION("IF(ISBLANK(A375),"""",GOOGLETRANSLATE(A375,""en"",""fr""))"),"")</f>
        <v/>
      </c>
    </row>
    <row r="376" spans="2:2">
      <c r="B376" s="3" t="str">
        <f ca="1">IFERROR(__xludf.DUMMYFUNCTION("IF(ISBLANK(A376),"""",GOOGLETRANSLATE(A376,""en"",""fr""))"),"")</f>
        <v/>
      </c>
    </row>
    <row r="377" spans="2:2">
      <c r="B377" s="3" t="str">
        <f ca="1">IFERROR(__xludf.DUMMYFUNCTION("IF(ISBLANK(A377),"""",GOOGLETRANSLATE(A377,""en"",""fr""))"),"")</f>
        <v/>
      </c>
    </row>
    <row r="378" spans="2:2">
      <c r="B378" s="3" t="str">
        <f ca="1">IFERROR(__xludf.DUMMYFUNCTION("IF(ISBLANK(A378),"""",GOOGLETRANSLATE(A378,""en"",""fr""))"),"")</f>
        <v/>
      </c>
    </row>
    <row r="379" spans="2:2">
      <c r="B379" s="3" t="str">
        <f ca="1">IFERROR(__xludf.DUMMYFUNCTION("IF(ISBLANK(A379),"""",GOOGLETRANSLATE(A379,""en"",""fr""))"),"")</f>
        <v/>
      </c>
    </row>
    <row r="380" spans="2:2">
      <c r="B380" s="3" t="str">
        <f ca="1">IFERROR(__xludf.DUMMYFUNCTION("IF(ISBLANK(A380),"""",GOOGLETRANSLATE(A380,""en"",""fr""))"),"")</f>
        <v/>
      </c>
    </row>
    <row r="381" spans="2:2">
      <c r="B381" s="3" t="str">
        <f ca="1">IFERROR(__xludf.DUMMYFUNCTION("IF(ISBLANK(A381),"""",GOOGLETRANSLATE(A381,""en"",""fr""))"),"")</f>
        <v/>
      </c>
    </row>
    <row r="382" spans="2:2">
      <c r="B382" s="3" t="str">
        <f ca="1">IFERROR(__xludf.DUMMYFUNCTION("IF(ISBLANK(A382),"""",GOOGLETRANSLATE(A382,""en"",""fr""))"),"")</f>
        <v/>
      </c>
    </row>
    <row r="383" spans="2:2">
      <c r="B383" s="3" t="str">
        <f ca="1">IFERROR(__xludf.DUMMYFUNCTION("IF(ISBLANK(A383),"""",GOOGLETRANSLATE(A383,""en"",""fr""))"),"")</f>
        <v/>
      </c>
    </row>
    <row r="384" spans="2:2">
      <c r="B384" s="3" t="str">
        <f ca="1">IFERROR(__xludf.DUMMYFUNCTION("IF(ISBLANK(A384),"""",GOOGLETRANSLATE(A384,""en"",""fr""))"),"")</f>
        <v/>
      </c>
    </row>
    <row r="385" spans="2:2">
      <c r="B385" s="3" t="str">
        <f ca="1">IFERROR(__xludf.DUMMYFUNCTION("IF(ISBLANK(A385),"""",GOOGLETRANSLATE(A385,""en"",""fr""))"),"")</f>
        <v/>
      </c>
    </row>
    <row r="386" spans="2:2">
      <c r="B386" s="3" t="str">
        <f ca="1">IFERROR(__xludf.DUMMYFUNCTION("IF(ISBLANK(A386),"""",GOOGLETRANSLATE(A386,""en"",""fr""))"),"")</f>
        <v/>
      </c>
    </row>
    <row r="387" spans="2:2">
      <c r="B387" s="3" t="str">
        <f ca="1">IFERROR(__xludf.DUMMYFUNCTION("IF(ISBLANK(A387),"""",GOOGLETRANSLATE(A387,""en"",""fr""))"),"")</f>
        <v/>
      </c>
    </row>
    <row r="388" spans="2:2">
      <c r="B388" s="3" t="str">
        <f ca="1">IFERROR(__xludf.DUMMYFUNCTION("IF(ISBLANK(A388),"""",GOOGLETRANSLATE(A388,""en"",""fr""))"),"")</f>
        <v/>
      </c>
    </row>
    <row r="389" spans="2:2">
      <c r="B389" s="3" t="str">
        <f ca="1">IFERROR(__xludf.DUMMYFUNCTION("IF(ISBLANK(A389),"""",GOOGLETRANSLATE(A389,""en"",""fr""))"),"")</f>
        <v/>
      </c>
    </row>
    <row r="390" spans="2:2">
      <c r="B390" s="3" t="str">
        <f ca="1">IFERROR(__xludf.DUMMYFUNCTION("IF(ISBLANK(A390),"""",GOOGLETRANSLATE(A390,""en"",""fr""))"),"")</f>
        <v/>
      </c>
    </row>
    <row r="391" spans="2:2">
      <c r="B391" s="3" t="str">
        <f ca="1">IFERROR(__xludf.DUMMYFUNCTION("IF(ISBLANK(A391),"""",GOOGLETRANSLATE(A391,""en"",""fr""))"),"")</f>
        <v/>
      </c>
    </row>
    <row r="392" spans="2:2">
      <c r="B392" s="3" t="str">
        <f ca="1">IFERROR(__xludf.DUMMYFUNCTION("IF(ISBLANK(A392),"""",GOOGLETRANSLATE(A392,""en"",""fr""))"),"")</f>
        <v/>
      </c>
    </row>
    <row r="393" spans="2:2">
      <c r="B393" s="3" t="str">
        <f ca="1">IFERROR(__xludf.DUMMYFUNCTION("IF(ISBLANK(A393),"""",GOOGLETRANSLATE(A393,""en"",""fr""))"),"")</f>
        <v/>
      </c>
    </row>
    <row r="394" spans="2:2">
      <c r="B394" s="3" t="str">
        <f ca="1">IFERROR(__xludf.DUMMYFUNCTION("IF(ISBLANK(A394),"""",GOOGLETRANSLATE(A394,""en"",""fr""))"),"")</f>
        <v/>
      </c>
    </row>
    <row r="395" spans="2:2">
      <c r="B395" s="3" t="str">
        <f ca="1">IFERROR(__xludf.DUMMYFUNCTION("IF(ISBLANK(A395),"""",GOOGLETRANSLATE(A395,""en"",""fr""))"),"")</f>
        <v/>
      </c>
    </row>
    <row r="396" spans="2:2">
      <c r="B396" s="3" t="str">
        <f ca="1">IFERROR(__xludf.DUMMYFUNCTION("IF(ISBLANK(A396),"""",GOOGLETRANSLATE(A396,""en"",""fr""))"),"")</f>
        <v/>
      </c>
    </row>
    <row r="397" spans="2:2">
      <c r="B397" s="3" t="str">
        <f ca="1">IFERROR(__xludf.DUMMYFUNCTION("IF(ISBLANK(A397),"""",GOOGLETRANSLATE(A397,""en"",""fr""))"),"")</f>
        <v/>
      </c>
    </row>
    <row r="398" spans="2:2">
      <c r="B398" s="3" t="str">
        <f ca="1">IFERROR(__xludf.DUMMYFUNCTION("IF(ISBLANK(A398),"""",GOOGLETRANSLATE(A398,""en"",""fr""))"),"")</f>
        <v/>
      </c>
    </row>
    <row r="399" spans="2:2">
      <c r="B399" s="3" t="str">
        <f ca="1">IFERROR(__xludf.DUMMYFUNCTION("IF(ISBLANK(A399),"""",GOOGLETRANSLATE(A399,""en"",""fr""))"),"")</f>
        <v/>
      </c>
    </row>
    <row r="400" spans="2:2">
      <c r="B400" s="3" t="str">
        <f ca="1">IFERROR(__xludf.DUMMYFUNCTION("IF(ISBLANK(A400),"""",GOOGLETRANSLATE(A400,""en"",""fr""))"),"")</f>
        <v/>
      </c>
    </row>
    <row r="401" spans="2:2">
      <c r="B401" s="3" t="str">
        <f ca="1">IFERROR(__xludf.DUMMYFUNCTION("IF(ISBLANK(A401),"""",GOOGLETRANSLATE(A401,""en"",""fr""))"),"")</f>
        <v/>
      </c>
    </row>
    <row r="402" spans="2:2">
      <c r="B402" s="3" t="str">
        <f ca="1">IFERROR(__xludf.DUMMYFUNCTION("IF(ISBLANK(A402),"""",GOOGLETRANSLATE(A402,""en"",""fr""))"),"")</f>
        <v/>
      </c>
    </row>
    <row r="403" spans="2:2">
      <c r="B403" s="3" t="str">
        <f ca="1">IFERROR(__xludf.DUMMYFUNCTION("IF(ISBLANK(A403),"""",GOOGLETRANSLATE(A403,""en"",""fr""))"),"")</f>
        <v/>
      </c>
    </row>
    <row r="404" spans="2:2">
      <c r="B404" s="3" t="str">
        <f ca="1">IFERROR(__xludf.DUMMYFUNCTION("IF(ISBLANK(A404),"""",GOOGLETRANSLATE(A404,""en"",""fr""))"),"")</f>
        <v/>
      </c>
    </row>
    <row r="405" spans="2:2">
      <c r="B405" s="3" t="str">
        <f ca="1">IFERROR(__xludf.DUMMYFUNCTION("IF(ISBLANK(A405),"""",GOOGLETRANSLATE(A405,""en"",""fr""))"),"")</f>
        <v/>
      </c>
    </row>
    <row r="406" spans="2:2">
      <c r="B406" s="3" t="str">
        <f ca="1">IFERROR(__xludf.DUMMYFUNCTION("IF(ISBLANK(A406),"""",GOOGLETRANSLATE(A406,""en"",""fr""))"),"")</f>
        <v/>
      </c>
    </row>
    <row r="407" spans="2:2">
      <c r="B407" s="3" t="str">
        <f ca="1">IFERROR(__xludf.DUMMYFUNCTION("IF(ISBLANK(A407),"""",GOOGLETRANSLATE(A407,""en"",""fr""))"),"")</f>
        <v/>
      </c>
    </row>
    <row r="408" spans="2:2">
      <c r="B408" s="3" t="str">
        <f ca="1">IFERROR(__xludf.DUMMYFUNCTION("IF(ISBLANK(A408),"""",GOOGLETRANSLATE(A408,""en"",""fr""))"),"")</f>
        <v/>
      </c>
    </row>
    <row r="409" spans="2:2">
      <c r="B409" s="3" t="str">
        <f ca="1">IFERROR(__xludf.DUMMYFUNCTION("IF(ISBLANK(A409),"""",GOOGLETRANSLATE(A409,""en"",""fr""))"),"")</f>
        <v/>
      </c>
    </row>
    <row r="410" spans="2:2">
      <c r="B410" s="3" t="str">
        <f ca="1">IFERROR(__xludf.DUMMYFUNCTION("IF(ISBLANK(A410),"""",GOOGLETRANSLATE(A410,""en"",""fr""))"),"")</f>
        <v/>
      </c>
    </row>
    <row r="411" spans="2:2">
      <c r="B411" s="3" t="str">
        <f ca="1">IFERROR(__xludf.DUMMYFUNCTION("IF(ISBLANK(A411),"""",GOOGLETRANSLATE(A411,""en"",""fr""))"),"")</f>
        <v/>
      </c>
    </row>
    <row r="412" spans="2:2">
      <c r="B412" s="3" t="str">
        <f ca="1">IFERROR(__xludf.DUMMYFUNCTION("IF(ISBLANK(A412),"""",GOOGLETRANSLATE(A412,""en"",""fr""))"),"")</f>
        <v/>
      </c>
    </row>
    <row r="413" spans="2:2">
      <c r="B413" s="3" t="str">
        <f ca="1">IFERROR(__xludf.DUMMYFUNCTION("IF(ISBLANK(A413),"""",GOOGLETRANSLATE(A413,""en"",""fr""))"),"")</f>
        <v/>
      </c>
    </row>
    <row r="414" spans="2:2">
      <c r="B414" s="3" t="str">
        <f ca="1">IFERROR(__xludf.DUMMYFUNCTION("IF(ISBLANK(A414),"""",GOOGLETRANSLATE(A414,""en"",""fr""))"),"")</f>
        <v/>
      </c>
    </row>
    <row r="415" spans="2:2">
      <c r="B415" s="3" t="str">
        <f ca="1">IFERROR(__xludf.DUMMYFUNCTION("IF(ISBLANK(A415),"""",GOOGLETRANSLATE(A415,""en"",""fr""))"),"")</f>
        <v/>
      </c>
    </row>
    <row r="416" spans="2:2">
      <c r="B416" s="3" t="str">
        <f ca="1">IFERROR(__xludf.DUMMYFUNCTION("IF(ISBLANK(A416),"""",GOOGLETRANSLATE(A416,""en"",""fr""))"),"")</f>
        <v/>
      </c>
    </row>
    <row r="417" spans="2:2">
      <c r="B417" s="3" t="str">
        <f ca="1">IFERROR(__xludf.DUMMYFUNCTION("IF(ISBLANK(A417),"""",GOOGLETRANSLATE(A417,""en"",""fr""))"),"")</f>
        <v/>
      </c>
    </row>
    <row r="418" spans="2:2">
      <c r="B418" s="3" t="str">
        <f ca="1">IFERROR(__xludf.DUMMYFUNCTION("IF(ISBLANK(A418),"""",GOOGLETRANSLATE(A418,""en"",""fr""))"),"")</f>
        <v/>
      </c>
    </row>
    <row r="419" spans="2:2">
      <c r="B419" s="3" t="str">
        <f ca="1">IFERROR(__xludf.DUMMYFUNCTION("IF(ISBLANK(A419),"""",GOOGLETRANSLATE(A419,""en"",""fr""))"),"")</f>
        <v/>
      </c>
    </row>
    <row r="420" spans="2:2">
      <c r="B420" s="3" t="str">
        <f ca="1">IFERROR(__xludf.DUMMYFUNCTION("IF(ISBLANK(A420),"""",GOOGLETRANSLATE(A420,""en"",""fr""))"),"")</f>
        <v/>
      </c>
    </row>
    <row r="421" spans="2:2">
      <c r="B421" s="3" t="str">
        <f ca="1">IFERROR(__xludf.DUMMYFUNCTION("IF(ISBLANK(A421),"""",GOOGLETRANSLATE(A421,""en"",""fr""))"),"")</f>
        <v/>
      </c>
    </row>
    <row r="422" spans="2:2">
      <c r="B422" s="3" t="str">
        <f ca="1">IFERROR(__xludf.DUMMYFUNCTION("IF(ISBLANK(A422),"""",GOOGLETRANSLATE(A422,""en"",""fr""))"),"")</f>
        <v/>
      </c>
    </row>
    <row r="423" spans="2:2">
      <c r="B423" s="3" t="str">
        <f ca="1">IFERROR(__xludf.DUMMYFUNCTION("IF(ISBLANK(A423),"""",GOOGLETRANSLATE(A423,""en"",""fr""))"),"")</f>
        <v/>
      </c>
    </row>
    <row r="424" spans="2:2">
      <c r="B424" s="3" t="str">
        <f ca="1">IFERROR(__xludf.DUMMYFUNCTION("IF(ISBLANK(A424),"""",GOOGLETRANSLATE(A424,""en"",""fr""))"),"")</f>
        <v/>
      </c>
    </row>
    <row r="425" spans="2:2">
      <c r="B425" s="3" t="str">
        <f ca="1">IFERROR(__xludf.DUMMYFUNCTION("IF(ISBLANK(A425),"""",GOOGLETRANSLATE(A425,""en"",""fr""))"),"")</f>
        <v/>
      </c>
    </row>
    <row r="426" spans="2:2">
      <c r="B426" s="3" t="str">
        <f ca="1">IFERROR(__xludf.DUMMYFUNCTION("IF(ISBLANK(A426),"""",GOOGLETRANSLATE(A426,""en"",""fr""))"),"")</f>
        <v/>
      </c>
    </row>
    <row r="427" spans="2:2">
      <c r="B427" s="3" t="str">
        <f ca="1">IFERROR(__xludf.DUMMYFUNCTION("IF(ISBLANK(A427),"""",GOOGLETRANSLATE(A427,""en"",""fr""))"),"")</f>
        <v/>
      </c>
    </row>
    <row r="428" spans="2:2">
      <c r="B428" s="3" t="str">
        <f ca="1">IFERROR(__xludf.DUMMYFUNCTION("IF(ISBLANK(A428),"""",GOOGLETRANSLATE(A428,""en"",""fr""))"),"")</f>
        <v/>
      </c>
    </row>
    <row r="429" spans="2:2">
      <c r="B429" s="3" t="str">
        <f ca="1">IFERROR(__xludf.DUMMYFUNCTION("IF(ISBLANK(A429),"""",GOOGLETRANSLATE(A429,""en"",""fr""))"),"")</f>
        <v/>
      </c>
    </row>
    <row r="430" spans="2:2">
      <c r="B430" s="3" t="str">
        <f ca="1">IFERROR(__xludf.DUMMYFUNCTION("IF(ISBLANK(A430),"""",GOOGLETRANSLATE(A430,""en"",""fr""))"),"")</f>
        <v/>
      </c>
    </row>
    <row r="431" spans="2:2">
      <c r="B431" s="3" t="str">
        <f ca="1">IFERROR(__xludf.DUMMYFUNCTION("IF(ISBLANK(A431),"""",GOOGLETRANSLATE(A431,""en"",""fr""))"),"")</f>
        <v/>
      </c>
    </row>
    <row r="432" spans="2:2">
      <c r="B432" s="3" t="str">
        <f ca="1">IFERROR(__xludf.DUMMYFUNCTION("IF(ISBLANK(A432),"""",GOOGLETRANSLATE(A432,""en"",""fr""))"),"")</f>
        <v/>
      </c>
    </row>
    <row r="433" spans="2:2">
      <c r="B433" s="3" t="str">
        <f ca="1">IFERROR(__xludf.DUMMYFUNCTION("IF(ISBLANK(A433),"""",GOOGLETRANSLATE(A433,""en"",""fr""))"),"")</f>
        <v/>
      </c>
    </row>
    <row r="434" spans="2:2">
      <c r="B434" s="3" t="str">
        <f ca="1">IFERROR(__xludf.DUMMYFUNCTION("IF(ISBLANK(A434),"""",GOOGLETRANSLATE(A434,""en"",""fr""))"),"")</f>
        <v/>
      </c>
    </row>
    <row r="435" spans="2:2">
      <c r="B435" s="3" t="str">
        <f ca="1">IFERROR(__xludf.DUMMYFUNCTION("IF(ISBLANK(A435),"""",GOOGLETRANSLATE(A435,""en"",""fr""))"),"")</f>
        <v/>
      </c>
    </row>
    <row r="436" spans="2:2">
      <c r="B436" s="3" t="str">
        <f ca="1">IFERROR(__xludf.DUMMYFUNCTION("IF(ISBLANK(A436),"""",GOOGLETRANSLATE(A436,""en"",""fr""))"),"")</f>
        <v/>
      </c>
    </row>
    <row r="437" spans="2:2">
      <c r="B437" s="3" t="str">
        <f ca="1">IFERROR(__xludf.DUMMYFUNCTION("IF(ISBLANK(A437),"""",GOOGLETRANSLATE(A437,""en"",""fr""))"),"")</f>
        <v/>
      </c>
    </row>
    <row r="438" spans="2:2">
      <c r="B438" s="3" t="str">
        <f ca="1">IFERROR(__xludf.DUMMYFUNCTION("IF(ISBLANK(A438),"""",GOOGLETRANSLATE(A438,""en"",""fr""))"),"")</f>
        <v/>
      </c>
    </row>
    <row r="439" spans="2:2">
      <c r="B439" s="3" t="str">
        <f ca="1">IFERROR(__xludf.DUMMYFUNCTION("IF(ISBLANK(A439),"""",GOOGLETRANSLATE(A439,""en"",""fr""))"),"")</f>
        <v/>
      </c>
    </row>
    <row r="440" spans="2:2">
      <c r="B440" s="3" t="str">
        <f ca="1">IFERROR(__xludf.DUMMYFUNCTION("IF(ISBLANK(A440),"""",GOOGLETRANSLATE(A440,""en"",""fr""))"),"")</f>
        <v/>
      </c>
    </row>
    <row r="441" spans="2:2">
      <c r="B441" s="3" t="str">
        <f ca="1">IFERROR(__xludf.DUMMYFUNCTION("IF(ISBLANK(A441),"""",GOOGLETRANSLATE(A441,""en"",""fr""))"),"")</f>
        <v/>
      </c>
    </row>
    <row r="442" spans="2:2">
      <c r="B442" s="3" t="str">
        <f ca="1">IFERROR(__xludf.DUMMYFUNCTION("IF(ISBLANK(A442),"""",GOOGLETRANSLATE(A442,""en"",""fr""))"),"")</f>
        <v/>
      </c>
    </row>
    <row r="443" spans="2:2">
      <c r="B443" s="3" t="str">
        <f ca="1">IFERROR(__xludf.DUMMYFUNCTION("IF(ISBLANK(A443),"""",GOOGLETRANSLATE(A443,""en"",""fr""))"),"")</f>
        <v/>
      </c>
    </row>
    <row r="444" spans="2:2">
      <c r="B444" s="3" t="str">
        <f ca="1">IFERROR(__xludf.DUMMYFUNCTION("IF(ISBLANK(A444),"""",GOOGLETRANSLATE(A444,""en"",""fr""))"),"")</f>
        <v/>
      </c>
    </row>
    <row r="445" spans="2:2">
      <c r="B445" s="3" t="str">
        <f ca="1">IFERROR(__xludf.DUMMYFUNCTION("IF(ISBLANK(A445),"""",GOOGLETRANSLATE(A445,""en"",""fr""))"),"")</f>
        <v/>
      </c>
    </row>
    <row r="446" spans="2:2">
      <c r="B446" s="3" t="str">
        <f ca="1">IFERROR(__xludf.DUMMYFUNCTION("IF(ISBLANK(A446),"""",GOOGLETRANSLATE(A446,""en"",""fr""))"),"")</f>
        <v/>
      </c>
    </row>
    <row r="447" spans="2:2">
      <c r="B447" s="3" t="str">
        <f ca="1">IFERROR(__xludf.DUMMYFUNCTION("IF(ISBLANK(A447),"""",GOOGLETRANSLATE(A447,""en"",""fr""))"),"")</f>
        <v/>
      </c>
    </row>
    <row r="448" spans="2:2">
      <c r="B448" s="3" t="str">
        <f ca="1">IFERROR(__xludf.DUMMYFUNCTION("IF(ISBLANK(A448),"""",GOOGLETRANSLATE(A448,""en"",""fr""))"),"")</f>
        <v/>
      </c>
    </row>
    <row r="449" spans="2:2">
      <c r="B449" s="3" t="str">
        <f ca="1">IFERROR(__xludf.DUMMYFUNCTION("IF(ISBLANK(A449),"""",GOOGLETRANSLATE(A449,""en"",""fr""))"),"")</f>
        <v/>
      </c>
    </row>
    <row r="450" spans="2:2">
      <c r="B450" s="3" t="str">
        <f ca="1">IFERROR(__xludf.DUMMYFUNCTION("IF(ISBLANK(A450),"""",GOOGLETRANSLATE(A450,""en"",""fr""))"),"")</f>
        <v/>
      </c>
    </row>
    <row r="451" spans="2:2">
      <c r="B451" s="3" t="str">
        <f ca="1">IFERROR(__xludf.DUMMYFUNCTION("IF(ISBLANK(A451),"""",GOOGLETRANSLATE(A451,""en"",""fr""))"),"")</f>
        <v/>
      </c>
    </row>
    <row r="452" spans="2:2">
      <c r="B452" s="3" t="str">
        <f ca="1">IFERROR(__xludf.DUMMYFUNCTION("IF(ISBLANK(A452),"""",GOOGLETRANSLATE(A452,""en"",""fr""))"),"")</f>
        <v/>
      </c>
    </row>
    <row r="453" spans="2:2">
      <c r="B453" s="3" t="str">
        <f ca="1">IFERROR(__xludf.DUMMYFUNCTION("IF(ISBLANK(A453),"""",GOOGLETRANSLATE(A453,""en"",""fr""))"),"")</f>
        <v/>
      </c>
    </row>
    <row r="454" spans="2:2">
      <c r="B454" s="3" t="str">
        <f ca="1">IFERROR(__xludf.DUMMYFUNCTION("IF(ISBLANK(A454),"""",GOOGLETRANSLATE(A454,""en"",""fr""))"),"")</f>
        <v/>
      </c>
    </row>
    <row r="455" spans="2:2">
      <c r="B455" s="3" t="str">
        <f ca="1">IFERROR(__xludf.DUMMYFUNCTION("IF(ISBLANK(A455),"""",GOOGLETRANSLATE(A455,""en"",""fr""))"),"")</f>
        <v/>
      </c>
    </row>
    <row r="456" spans="2:2">
      <c r="B456" s="3" t="str">
        <f ca="1">IFERROR(__xludf.DUMMYFUNCTION("IF(ISBLANK(A456),"""",GOOGLETRANSLATE(A456,""en"",""fr""))"),"")</f>
        <v/>
      </c>
    </row>
    <row r="457" spans="2:2">
      <c r="B457" s="3" t="str">
        <f ca="1">IFERROR(__xludf.DUMMYFUNCTION("IF(ISBLANK(A457),"""",GOOGLETRANSLATE(A457,""en"",""fr""))"),"")</f>
        <v/>
      </c>
    </row>
    <row r="458" spans="2:2">
      <c r="B458" s="3" t="str">
        <f ca="1">IFERROR(__xludf.DUMMYFUNCTION("IF(ISBLANK(A458),"""",GOOGLETRANSLATE(A458,""en"",""fr""))"),"")</f>
        <v/>
      </c>
    </row>
    <row r="459" spans="2:2">
      <c r="B459" s="3" t="str">
        <f ca="1">IFERROR(__xludf.DUMMYFUNCTION("IF(ISBLANK(A459),"""",GOOGLETRANSLATE(A459,""en"",""fr""))"),"")</f>
        <v/>
      </c>
    </row>
    <row r="460" spans="2:2">
      <c r="B460" s="3" t="str">
        <f ca="1">IFERROR(__xludf.DUMMYFUNCTION("IF(ISBLANK(A460),"""",GOOGLETRANSLATE(A460,""en"",""fr""))"),"")</f>
        <v/>
      </c>
    </row>
    <row r="461" spans="2:2">
      <c r="B461" s="3" t="str">
        <f ca="1">IFERROR(__xludf.DUMMYFUNCTION("IF(ISBLANK(A461),"""",GOOGLETRANSLATE(A461,""en"",""fr""))"),"")</f>
        <v/>
      </c>
    </row>
    <row r="462" spans="2:2">
      <c r="B462" s="3" t="str">
        <f ca="1">IFERROR(__xludf.DUMMYFUNCTION("IF(ISBLANK(A462),"""",GOOGLETRANSLATE(A462,""en"",""fr""))"),"")</f>
        <v/>
      </c>
    </row>
    <row r="463" spans="2:2">
      <c r="B463" s="3" t="str">
        <f ca="1">IFERROR(__xludf.DUMMYFUNCTION("IF(ISBLANK(A463),"""",GOOGLETRANSLATE(A463,""en"",""fr""))"),"")</f>
        <v/>
      </c>
    </row>
    <row r="464" spans="2:2">
      <c r="B464" s="3" t="str">
        <f ca="1">IFERROR(__xludf.DUMMYFUNCTION("IF(ISBLANK(A464),"""",GOOGLETRANSLATE(A464,""en"",""fr""))"),"")</f>
        <v/>
      </c>
    </row>
    <row r="465" spans="2:2">
      <c r="B465" s="3" t="str">
        <f ca="1">IFERROR(__xludf.DUMMYFUNCTION("IF(ISBLANK(A465),"""",GOOGLETRANSLATE(A465,""en"",""fr""))"),"")</f>
        <v/>
      </c>
    </row>
    <row r="466" spans="2:2">
      <c r="B466" s="3" t="str">
        <f ca="1">IFERROR(__xludf.DUMMYFUNCTION("IF(ISBLANK(A466),"""",GOOGLETRANSLATE(A466,""en"",""fr""))"),"")</f>
        <v/>
      </c>
    </row>
    <row r="467" spans="2:2">
      <c r="B467" s="3" t="str">
        <f ca="1">IFERROR(__xludf.DUMMYFUNCTION("IF(ISBLANK(A467),"""",GOOGLETRANSLATE(A467,""en"",""fr""))"),"")</f>
        <v/>
      </c>
    </row>
    <row r="468" spans="2:2">
      <c r="B468" s="3" t="str">
        <f ca="1">IFERROR(__xludf.DUMMYFUNCTION("IF(ISBLANK(A468),"""",GOOGLETRANSLATE(A468,""en"",""fr""))"),"")</f>
        <v/>
      </c>
    </row>
    <row r="469" spans="2:2">
      <c r="B469" s="3" t="str">
        <f ca="1">IFERROR(__xludf.DUMMYFUNCTION("IF(ISBLANK(A469),"""",GOOGLETRANSLATE(A469,""en"",""fr""))"),"")</f>
        <v/>
      </c>
    </row>
    <row r="470" spans="2:2">
      <c r="B470" s="3" t="str">
        <f ca="1">IFERROR(__xludf.DUMMYFUNCTION("IF(ISBLANK(A470),"""",GOOGLETRANSLATE(A470,""en"",""fr""))"),"")</f>
        <v/>
      </c>
    </row>
    <row r="471" spans="2:2">
      <c r="B471" s="3" t="str">
        <f ca="1">IFERROR(__xludf.DUMMYFUNCTION("IF(ISBLANK(A471),"""",GOOGLETRANSLATE(A471,""en"",""fr""))"),"")</f>
        <v/>
      </c>
    </row>
    <row r="472" spans="2:2">
      <c r="B472" s="3" t="str">
        <f ca="1">IFERROR(__xludf.DUMMYFUNCTION("IF(ISBLANK(A472),"""",GOOGLETRANSLATE(A472,""en"",""fr""))"),"")</f>
        <v/>
      </c>
    </row>
    <row r="473" spans="2:2">
      <c r="B473" s="3" t="str">
        <f ca="1">IFERROR(__xludf.DUMMYFUNCTION("IF(ISBLANK(A473),"""",GOOGLETRANSLATE(A473,""en"",""fr""))"),"")</f>
        <v/>
      </c>
    </row>
    <row r="474" spans="2:2">
      <c r="B474" s="3" t="str">
        <f ca="1">IFERROR(__xludf.DUMMYFUNCTION("IF(ISBLANK(A474),"""",GOOGLETRANSLATE(A474,""en"",""fr""))"),"")</f>
        <v/>
      </c>
    </row>
    <row r="475" spans="2:2">
      <c r="B475" s="3" t="str">
        <f ca="1">IFERROR(__xludf.DUMMYFUNCTION("IF(ISBLANK(A475),"""",GOOGLETRANSLATE(A475,""en"",""fr""))"),"")</f>
        <v/>
      </c>
    </row>
    <row r="476" spans="2:2">
      <c r="B476" s="3" t="str">
        <f ca="1">IFERROR(__xludf.DUMMYFUNCTION("IF(ISBLANK(A476),"""",GOOGLETRANSLATE(A476,""en"",""fr""))"),"")</f>
        <v/>
      </c>
    </row>
    <row r="477" spans="2:2">
      <c r="B477" s="3" t="str">
        <f ca="1">IFERROR(__xludf.DUMMYFUNCTION("IF(ISBLANK(A477),"""",GOOGLETRANSLATE(A477,""en"",""fr""))"),"")</f>
        <v/>
      </c>
    </row>
    <row r="478" spans="2:2">
      <c r="B478" s="3" t="str">
        <f ca="1">IFERROR(__xludf.DUMMYFUNCTION("IF(ISBLANK(A478),"""",GOOGLETRANSLATE(A478,""en"",""fr""))"),"")</f>
        <v/>
      </c>
    </row>
    <row r="479" spans="2:2">
      <c r="B479" s="3" t="str">
        <f ca="1">IFERROR(__xludf.DUMMYFUNCTION("IF(ISBLANK(A479),"""",GOOGLETRANSLATE(A479,""en"",""fr""))"),"")</f>
        <v/>
      </c>
    </row>
    <row r="480" spans="2:2">
      <c r="B480" s="3" t="str">
        <f ca="1">IFERROR(__xludf.DUMMYFUNCTION("IF(ISBLANK(A480),"""",GOOGLETRANSLATE(A480,""en"",""fr""))"),"")</f>
        <v/>
      </c>
    </row>
    <row r="481" spans="2:2">
      <c r="B481" s="3" t="str">
        <f ca="1">IFERROR(__xludf.DUMMYFUNCTION("IF(ISBLANK(A481),"""",GOOGLETRANSLATE(A481,""en"",""fr""))"),"")</f>
        <v/>
      </c>
    </row>
    <row r="482" spans="2:2">
      <c r="B482" s="3" t="str">
        <f ca="1">IFERROR(__xludf.DUMMYFUNCTION("IF(ISBLANK(A482),"""",GOOGLETRANSLATE(A482,""en"",""fr""))"),"")</f>
        <v/>
      </c>
    </row>
    <row r="483" spans="2:2">
      <c r="B483" s="3" t="str">
        <f ca="1">IFERROR(__xludf.DUMMYFUNCTION("IF(ISBLANK(A483),"""",GOOGLETRANSLATE(A483,""en"",""fr""))"),"")</f>
        <v/>
      </c>
    </row>
    <row r="484" spans="2:2">
      <c r="B484" s="3" t="str">
        <f ca="1">IFERROR(__xludf.DUMMYFUNCTION("IF(ISBLANK(A484),"""",GOOGLETRANSLATE(A484,""en"",""fr""))"),"")</f>
        <v/>
      </c>
    </row>
    <row r="485" spans="2:2">
      <c r="B485" s="3" t="str">
        <f ca="1">IFERROR(__xludf.DUMMYFUNCTION("IF(ISBLANK(A485),"""",GOOGLETRANSLATE(A485,""en"",""fr""))"),"")</f>
        <v/>
      </c>
    </row>
    <row r="486" spans="2:2">
      <c r="B486" s="3" t="str">
        <f ca="1">IFERROR(__xludf.DUMMYFUNCTION("IF(ISBLANK(A486),"""",GOOGLETRANSLATE(A486,""en"",""fr""))"),"")</f>
        <v/>
      </c>
    </row>
    <row r="487" spans="2:2">
      <c r="B487" s="3" t="str">
        <f ca="1">IFERROR(__xludf.DUMMYFUNCTION("IF(ISBLANK(A487),"""",GOOGLETRANSLATE(A487,""en"",""fr""))"),"")</f>
        <v/>
      </c>
    </row>
    <row r="488" spans="2:2">
      <c r="B488" s="3" t="str">
        <f ca="1">IFERROR(__xludf.DUMMYFUNCTION("IF(ISBLANK(A488),"""",GOOGLETRANSLATE(A488,""en"",""fr""))"),"")</f>
        <v/>
      </c>
    </row>
    <row r="489" spans="2:2">
      <c r="B489" s="3" t="str">
        <f ca="1">IFERROR(__xludf.DUMMYFUNCTION("IF(ISBLANK(A489),"""",GOOGLETRANSLATE(A489,""en"",""fr""))"),"")</f>
        <v/>
      </c>
    </row>
    <row r="490" spans="2:2">
      <c r="B490" s="3" t="str">
        <f ca="1">IFERROR(__xludf.DUMMYFUNCTION("IF(ISBLANK(A490),"""",GOOGLETRANSLATE(A490,""en"",""fr""))"),"")</f>
        <v/>
      </c>
    </row>
    <row r="491" spans="2:2">
      <c r="B491" s="3" t="str">
        <f ca="1">IFERROR(__xludf.DUMMYFUNCTION("IF(ISBLANK(A491),"""",GOOGLETRANSLATE(A491,""en"",""fr""))"),"")</f>
        <v/>
      </c>
    </row>
    <row r="492" spans="2:2">
      <c r="B492" s="3" t="str">
        <f ca="1">IFERROR(__xludf.DUMMYFUNCTION("IF(ISBLANK(A492),"""",GOOGLETRANSLATE(A492,""en"",""fr""))"),"")</f>
        <v/>
      </c>
    </row>
    <row r="493" spans="2:2">
      <c r="B493" s="3" t="str">
        <f ca="1">IFERROR(__xludf.DUMMYFUNCTION("IF(ISBLANK(A493),"""",GOOGLETRANSLATE(A493,""en"",""fr""))"),"")</f>
        <v/>
      </c>
    </row>
    <row r="494" spans="2:2">
      <c r="B494" s="3" t="str">
        <f ca="1">IFERROR(__xludf.DUMMYFUNCTION("IF(ISBLANK(A494),"""",GOOGLETRANSLATE(A494,""en"",""fr""))"),"")</f>
        <v/>
      </c>
    </row>
    <row r="495" spans="2:2">
      <c r="B495" s="3" t="str">
        <f ca="1">IFERROR(__xludf.DUMMYFUNCTION("IF(ISBLANK(A495),"""",GOOGLETRANSLATE(A495,""en"",""fr""))"),"")</f>
        <v/>
      </c>
    </row>
    <row r="496" spans="2:2">
      <c r="B496" s="3" t="str">
        <f ca="1">IFERROR(__xludf.DUMMYFUNCTION("IF(ISBLANK(A496),"""",GOOGLETRANSLATE(A496,""en"",""fr""))"),"")</f>
        <v/>
      </c>
    </row>
    <row r="497" spans="2:2">
      <c r="B497" s="3" t="str">
        <f ca="1">IFERROR(__xludf.DUMMYFUNCTION("IF(ISBLANK(A497),"""",GOOGLETRANSLATE(A497,""en"",""fr""))"),"")</f>
        <v/>
      </c>
    </row>
    <row r="498" spans="2:2">
      <c r="B498" s="3" t="str">
        <f ca="1">IFERROR(__xludf.DUMMYFUNCTION("IF(ISBLANK(A498),"""",GOOGLETRANSLATE(A498,""en"",""fr""))"),"")</f>
        <v/>
      </c>
    </row>
    <row r="499" spans="2:2">
      <c r="B499" s="3" t="str">
        <f ca="1">IFERROR(__xludf.DUMMYFUNCTION("IF(ISBLANK(A499),"""",GOOGLETRANSLATE(A499,""en"",""fr""))"),"")</f>
        <v/>
      </c>
    </row>
    <row r="500" spans="2:2">
      <c r="B500" s="3" t="str">
        <f ca="1">IFERROR(__xludf.DUMMYFUNCTION("IF(ISBLANK(A500),"""",GOOGLETRANSLATE(A500,""en"",""fr""))"),"")</f>
        <v/>
      </c>
    </row>
    <row r="501" spans="2:2">
      <c r="B501" s="3" t="str">
        <f ca="1">IFERROR(__xludf.DUMMYFUNCTION("IF(ISBLANK(A501),"""",GOOGLETRANSLATE(A501,""en"",""fr""))"),"")</f>
        <v/>
      </c>
    </row>
    <row r="502" spans="2:2">
      <c r="B502" s="3" t="str">
        <f ca="1">IFERROR(__xludf.DUMMYFUNCTION("IF(ISBLANK(A502),"""",GOOGLETRANSLATE(A502,""en"",""fr""))"),"")</f>
        <v/>
      </c>
    </row>
    <row r="503" spans="2:2">
      <c r="B503" s="3" t="str">
        <f ca="1">IFERROR(__xludf.DUMMYFUNCTION("IF(ISBLANK(A503),"""",GOOGLETRANSLATE(A503,""en"",""fr""))"),"")</f>
        <v/>
      </c>
    </row>
    <row r="504" spans="2:2">
      <c r="B504" s="3" t="str">
        <f ca="1">IFERROR(__xludf.DUMMYFUNCTION("IF(ISBLANK(A504),"""",GOOGLETRANSLATE(A504,""en"",""fr""))"),"")</f>
        <v/>
      </c>
    </row>
    <row r="505" spans="2:2">
      <c r="B505" s="3" t="str">
        <f ca="1">IFERROR(__xludf.DUMMYFUNCTION("IF(ISBLANK(A505),"""",GOOGLETRANSLATE(A505,""en"",""fr""))"),"")</f>
        <v/>
      </c>
    </row>
    <row r="506" spans="2:2">
      <c r="B506" s="3" t="str">
        <f ca="1">IFERROR(__xludf.DUMMYFUNCTION("IF(ISBLANK(A506),"""",GOOGLETRANSLATE(A506,""en"",""fr""))"),"")</f>
        <v/>
      </c>
    </row>
    <row r="507" spans="2:2">
      <c r="B507" s="3" t="str">
        <f ca="1">IFERROR(__xludf.DUMMYFUNCTION("IF(ISBLANK(A507),"""",GOOGLETRANSLATE(A507,""en"",""fr""))"),"")</f>
        <v/>
      </c>
    </row>
    <row r="508" spans="2:2">
      <c r="B508" s="3" t="str">
        <f ca="1">IFERROR(__xludf.DUMMYFUNCTION("IF(ISBLANK(A508),"""",GOOGLETRANSLATE(A508,""en"",""fr""))"),"")</f>
        <v/>
      </c>
    </row>
    <row r="509" spans="2:2">
      <c r="B509" s="3" t="str">
        <f ca="1">IFERROR(__xludf.DUMMYFUNCTION("IF(ISBLANK(A509),"""",GOOGLETRANSLATE(A509,""en"",""fr""))"),"")</f>
        <v/>
      </c>
    </row>
    <row r="510" spans="2:2">
      <c r="B510" s="3" t="str">
        <f ca="1">IFERROR(__xludf.DUMMYFUNCTION("IF(ISBLANK(A510),"""",GOOGLETRANSLATE(A510,""en"",""fr""))"),"")</f>
        <v/>
      </c>
    </row>
    <row r="511" spans="2:2">
      <c r="B511" s="3" t="str">
        <f ca="1">IFERROR(__xludf.DUMMYFUNCTION("IF(ISBLANK(A511),"""",GOOGLETRANSLATE(A511,""en"",""fr""))"),"")</f>
        <v/>
      </c>
    </row>
    <row r="512" spans="2:2">
      <c r="B512" s="3" t="str">
        <f ca="1">IFERROR(__xludf.DUMMYFUNCTION("IF(ISBLANK(A512),"""",GOOGLETRANSLATE(A512,""en"",""fr""))"),"")</f>
        <v/>
      </c>
    </row>
    <row r="513" spans="2:2">
      <c r="B513" s="3" t="str">
        <f ca="1">IFERROR(__xludf.DUMMYFUNCTION("IF(ISBLANK(A513),"""",GOOGLETRANSLATE(A513,""en"",""fr""))"),"")</f>
        <v/>
      </c>
    </row>
    <row r="514" spans="2:2">
      <c r="B514" s="3" t="str">
        <f ca="1">IFERROR(__xludf.DUMMYFUNCTION("IF(ISBLANK(A514),"""",GOOGLETRANSLATE(A514,""en"",""fr""))"),"")</f>
        <v/>
      </c>
    </row>
    <row r="515" spans="2:2">
      <c r="B515" s="3" t="str">
        <f ca="1">IFERROR(__xludf.DUMMYFUNCTION("IF(ISBLANK(A515),"""",GOOGLETRANSLATE(A515,""en"",""fr""))"),"")</f>
        <v/>
      </c>
    </row>
    <row r="516" spans="2:2">
      <c r="B516" s="3" t="str">
        <f ca="1">IFERROR(__xludf.DUMMYFUNCTION("IF(ISBLANK(A516),"""",GOOGLETRANSLATE(A516,""en"",""fr""))"),"")</f>
        <v/>
      </c>
    </row>
    <row r="517" spans="2:2">
      <c r="B517" s="3" t="str">
        <f ca="1">IFERROR(__xludf.DUMMYFUNCTION("IF(ISBLANK(A517),"""",GOOGLETRANSLATE(A517,""en"",""fr""))"),"")</f>
        <v/>
      </c>
    </row>
    <row r="518" spans="2:2">
      <c r="B518" s="3" t="str">
        <f ca="1">IFERROR(__xludf.DUMMYFUNCTION("IF(ISBLANK(A518),"""",GOOGLETRANSLATE(A518,""en"",""fr""))"),"")</f>
        <v/>
      </c>
    </row>
    <row r="519" spans="2:2">
      <c r="B519" s="3" t="str">
        <f ca="1">IFERROR(__xludf.DUMMYFUNCTION("IF(ISBLANK(A519),"""",GOOGLETRANSLATE(A519,""en"",""fr""))"),"")</f>
        <v/>
      </c>
    </row>
    <row r="520" spans="2:2">
      <c r="B520" s="3" t="str">
        <f ca="1">IFERROR(__xludf.DUMMYFUNCTION("IF(ISBLANK(A520),"""",GOOGLETRANSLATE(A520,""en"",""fr""))"),"")</f>
        <v/>
      </c>
    </row>
    <row r="521" spans="2:2">
      <c r="B521" s="3" t="str">
        <f ca="1">IFERROR(__xludf.DUMMYFUNCTION("IF(ISBLANK(A521),"""",GOOGLETRANSLATE(A521,""en"",""fr""))"),"")</f>
        <v/>
      </c>
    </row>
    <row r="522" spans="2:2">
      <c r="B522" s="3" t="str">
        <f ca="1">IFERROR(__xludf.DUMMYFUNCTION("IF(ISBLANK(A522),"""",GOOGLETRANSLATE(A522,""en"",""fr""))"),"")</f>
        <v/>
      </c>
    </row>
    <row r="523" spans="2:2">
      <c r="B523" s="3" t="str">
        <f ca="1">IFERROR(__xludf.DUMMYFUNCTION("IF(ISBLANK(A523),"""",GOOGLETRANSLATE(A523,""en"",""fr""))"),"")</f>
        <v/>
      </c>
    </row>
    <row r="524" spans="2:2">
      <c r="B524" s="3" t="str">
        <f ca="1">IFERROR(__xludf.DUMMYFUNCTION("IF(ISBLANK(A524),"""",GOOGLETRANSLATE(A524,""en"",""fr""))"),"")</f>
        <v/>
      </c>
    </row>
    <row r="525" spans="2:2">
      <c r="B525" s="3" t="str">
        <f ca="1">IFERROR(__xludf.DUMMYFUNCTION("IF(ISBLANK(A525),"""",GOOGLETRANSLATE(A525,""en"",""fr""))"),"")</f>
        <v/>
      </c>
    </row>
    <row r="526" spans="2:2">
      <c r="B526" s="3" t="str">
        <f ca="1">IFERROR(__xludf.DUMMYFUNCTION("IF(ISBLANK(A526),"""",GOOGLETRANSLATE(A526,""en"",""fr""))"),"")</f>
        <v/>
      </c>
    </row>
    <row r="527" spans="2:2">
      <c r="B527" s="3" t="str">
        <f ca="1">IFERROR(__xludf.DUMMYFUNCTION("IF(ISBLANK(A527),"""",GOOGLETRANSLATE(A527,""en"",""fr""))"),"")</f>
        <v/>
      </c>
    </row>
    <row r="528" spans="2:2">
      <c r="B528" s="3" t="str">
        <f ca="1">IFERROR(__xludf.DUMMYFUNCTION("IF(ISBLANK(A528),"""",GOOGLETRANSLATE(A528,""en"",""fr""))"),"")</f>
        <v/>
      </c>
    </row>
    <row r="529" spans="2:2">
      <c r="B529" s="3" t="str">
        <f ca="1">IFERROR(__xludf.DUMMYFUNCTION("IF(ISBLANK(A529),"""",GOOGLETRANSLATE(A529,""en"",""fr""))"),"")</f>
        <v/>
      </c>
    </row>
    <row r="530" spans="2:2">
      <c r="B530" s="3" t="str">
        <f ca="1">IFERROR(__xludf.DUMMYFUNCTION("IF(ISBLANK(A530),"""",GOOGLETRANSLATE(A530,""en"",""fr""))"),"")</f>
        <v/>
      </c>
    </row>
    <row r="531" spans="2:2">
      <c r="B531" s="3" t="str">
        <f ca="1">IFERROR(__xludf.DUMMYFUNCTION("IF(ISBLANK(A531),"""",GOOGLETRANSLATE(A531,""en"",""fr""))"),"")</f>
        <v/>
      </c>
    </row>
    <row r="532" spans="2:2">
      <c r="B532" s="3" t="str">
        <f ca="1">IFERROR(__xludf.DUMMYFUNCTION("IF(ISBLANK(A532),"""",GOOGLETRANSLATE(A532,""en"",""fr""))"),"")</f>
        <v/>
      </c>
    </row>
    <row r="533" spans="2:2">
      <c r="B533" s="3" t="str">
        <f ca="1">IFERROR(__xludf.DUMMYFUNCTION("IF(ISBLANK(A533),"""",GOOGLETRANSLATE(A533,""en"",""fr""))"),"")</f>
        <v/>
      </c>
    </row>
    <row r="534" spans="2:2">
      <c r="B534" s="3" t="str">
        <f ca="1">IFERROR(__xludf.DUMMYFUNCTION("IF(ISBLANK(A534),"""",GOOGLETRANSLATE(A534,""en"",""fr""))"),"")</f>
        <v/>
      </c>
    </row>
    <row r="535" spans="2:2">
      <c r="B535" s="3" t="str">
        <f ca="1">IFERROR(__xludf.DUMMYFUNCTION("IF(ISBLANK(A535),"""",GOOGLETRANSLATE(A535,""en"",""fr""))"),"")</f>
        <v/>
      </c>
    </row>
    <row r="536" spans="2:2">
      <c r="B536" s="3" t="str">
        <f ca="1">IFERROR(__xludf.DUMMYFUNCTION("IF(ISBLANK(A536),"""",GOOGLETRANSLATE(A536,""en"",""fr""))"),"")</f>
        <v/>
      </c>
    </row>
    <row r="537" spans="2:2">
      <c r="B537" s="3" t="str">
        <f ca="1">IFERROR(__xludf.DUMMYFUNCTION("IF(ISBLANK(A537),"""",GOOGLETRANSLATE(A537,""en"",""fr""))"),"")</f>
        <v/>
      </c>
    </row>
    <row r="538" spans="2:2">
      <c r="B538" s="3" t="str">
        <f ca="1">IFERROR(__xludf.DUMMYFUNCTION("IF(ISBLANK(A538),"""",GOOGLETRANSLATE(A538,""en"",""fr""))"),"")</f>
        <v/>
      </c>
    </row>
    <row r="539" spans="2:2">
      <c r="B539" s="3" t="str">
        <f ca="1">IFERROR(__xludf.DUMMYFUNCTION("IF(ISBLANK(A539),"""",GOOGLETRANSLATE(A539,""en"",""fr""))"),"")</f>
        <v/>
      </c>
    </row>
    <row r="540" spans="2:2">
      <c r="B540" s="3" t="str">
        <f ca="1">IFERROR(__xludf.DUMMYFUNCTION("IF(ISBLANK(A540),"""",GOOGLETRANSLATE(A540,""en"",""fr""))"),"")</f>
        <v/>
      </c>
    </row>
    <row r="541" spans="2:2">
      <c r="B541" s="3" t="str">
        <f ca="1">IFERROR(__xludf.DUMMYFUNCTION("IF(ISBLANK(A541),"""",GOOGLETRANSLATE(A541,""en"",""fr""))"),"")</f>
        <v/>
      </c>
    </row>
    <row r="542" spans="2:2">
      <c r="B542" s="3" t="str">
        <f ca="1">IFERROR(__xludf.DUMMYFUNCTION("IF(ISBLANK(A542),"""",GOOGLETRANSLATE(A542,""en"",""fr""))"),"")</f>
        <v/>
      </c>
    </row>
    <row r="543" spans="2:2">
      <c r="B543" s="3" t="str">
        <f ca="1">IFERROR(__xludf.DUMMYFUNCTION("IF(ISBLANK(A543),"""",GOOGLETRANSLATE(A543,""en"",""fr""))"),"")</f>
        <v/>
      </c>
    </row>
    <row r="544" spans="2:2">
      <c r="B544" s="3" t="str">
        <f ca="1">IFERROR(__xludf.DUMMYFUNCTION("IF(ISBLANK(A544),"""",GOOGLETRANSLATE(A544,""en"",""fr""))"),"")</f>
        <v/>
      </c>
    </row>
    <row r="545" spans="2:2">
      <c r="B545" s="3" t="str">
        <f ca="1">IFERROR(__xludf.DUMMYFUNCTION("IF(ISBLANK(A545),"""",GOOGLETRANSLATE(A545,""en"",""fr""))"),"")</f>
        <v/>
      </c>
    </row>
    <row r="546" spans="2:2">
      <c r="B546" s="3" t="str">
        <f ca="1">IFERROR(__xludf.DUMMYFUNCTION("IF(ISBLANK(A546),"""",GOOGLETRANSLATE(A546,""en"",""fr""))"),"")</f>
        <v/>
      </c>
    </row>
    <row r="547" spans="2:2">
      <c r="B547" s="3" t="str">
        <f ca="1">IFERROR(__xludf.DUMMYFUNCTION("IF(ISBLANK(A547),"""",GOOGLETRANSLATE(A547,""en"",""fr""))"),"")</f>
        <v/>
      </c>
    </row>
    <row r="548" spans="2:2">
      <c r="B548" s="3" t="str">
        <f ca="1">IFERROR(__xludf.DUMMYFUNCTION("IF(ISBLANK(A548),"""",GOOGLETRANSLATE(A548,""en"",""fr""))"),"")</f>
        <v/>
      </c>
    </row>
    <row r="549" spans="2:2">
      <c r="B549" s="3" t="str">
        <f ca="1">IFERROR(__xludf.DUMMYFUNCTION("IF(ISBLANK(A549),"""",GOOGLETRANSLATE(A549,""en"",""fr""))"),"")</f>
        <v/>
      </c>
    </row>
    <row r="550" spans="2:2">
      <c r="B550" s="3" t="str">
        <f ca="1">IFERROR(__xludf.DUMMYFUNCTION("IF(ISBLANK(A550),"""",GOOGLETRANSLATE(A550,""en"",""fr""))"),"")</f>
        <v/>
      </c>
    </row>
    <row r="551" spans="2:2">
      <c r="B551" s="3" t="str">
        <f ca="1">IFERROR(__xludf.DUMMYFUNCTION("IF(ISBLANK(A551),"""",GOOGLETRANSLATE(A551,""en"",""fr""))"),"")</f>
        <v/>
      </c>
    </row>
    <row r="552" spans="2:2">
      <c r="B552" s="3" t="str">
        <f ca="1">IFERROR(__xludf.DUMMYFUNCTION("IF(ISBLANK(A552),"""",GOOGLETRANSLATE(A552,""en"",""fr""))"),"")</f>
        <v/>
      </c>
    </row>
    <row r="553" spans="2:2">
      <c r="B553" s="3" t="str">
        <f ca="1">IFERROR(__xludf.DUMMYFUNCTION("IF(ISBLANK(A553),"""",GOOGLETRANSLATE(A553,""en"",""fr""))"),"")</f>
        <v/>
      </c>
    </row>
    <row r="554" spans="2:2">
      <c r="B554" s="3" t="str">
        <f ca="1">IFERROR(__xludf.DUMMYFUNCTION("IF(ISBLANK(A554),"""",GOOGLETRANSLATE(A554,""en"",""fr""))"),"")</f>
        <v/>
      </c>
    </row>
    <row r="555" spans="2:2">
      <c r="B555" s="3" t="str">
        <f ca="1">IFERROR(__xludf.DUMMYFUNCTION("IF(ISBLANK(A555),"""",GOOGLETRANSLATE(A555,""en"",""fr""))"),"")</f>
        <v/>
      </c>
    </row>
    <row r="556" spans="2:2">
      <c r="B556" s="3" t="str">
        <f ca="1">IFERROR(__xludf.DUMMYFUNCTION("IF(ISBLANK(A556),"""",GOOGLETRANSLATE(A556,""en"",""fr""))"),"")</f>
        <v/>
      </c>
    </row>
    <row r="557" spans="2:2">
      <c r="B557" s="3" t="str">
        <f ca="1">IFERROR(__xludf.DUMMYFUNCTION("IF(ISBLANK(A557),"""",GOOGLETRANSLATE(A557,""en"",""fr""))"),"")</f>
        <v/>
      </c>
    </row>
    <row r="558" spans="2:2">
      <c r="B558" s="3" t="str">
        <f ca="1">IFERROR(__xludf.DUMMYFUNCTION("IF(ISBLANK(A558),"""",GOOGLETRANSLATE(A558,""en"",""fr""))"),"")</f>
        <v/>
      </c>
    </row>
    <row r="559" spans="2:2">
      <c r="B559" s="3" t="str">
        <f ca="1">IFERROR(__xludf.DUMMYFUNCTION("IF(ISBLANK(A559),"""",GOOGLETRANSLATE(A559,""en"",""fr""))"),"")</f>
        <v/>
      </c>
    </row>
    <row r="560" spans="2:2">
      <c r="B560" s="3" t="str">
        <f ca="1">IFERROR(__xludf.DUMMYFUNCTION("IF(ISBLANK(A560),"""",GOOGLETRANSLATE(A560,""en"",""fr""))"),"")</f>
        <v/>
      </c>
    </row>
    <row r="561" spans="2:2">
      <c r="B561" s="3" t="str">
        <f ca="1">IFERROR(__xludf.DUMMYFUNCTION("IF(ISBLANK(A561),"""",GOOGLETRANSLATE(A561,""en"",""fr""))"),"")</f>
        <v/>
      </c>
    </row>
    <row r="562" spans="2:2">
      <c r="B562" s="3" t="str">
        <f ca="1">IFERROR(__xludf.DUMMYFUNCTION("IF(ISBLANK(A562),"""",GOOGLETRANSLATE(A562,""en"",""fr""))"),"")</f>
        <v/>
      </c>
    </row>
    <row r="563" spans="2:2">
      <c r="B563" s="3" t="str">
        <f ca="1">IFERROR(__xludf.DUMMYFUNCTION("IF(ISBLANK(A563),"""",GOOGLETRANSLATE(A563,""en"",""fr""))"),"")</f>
        <v/>
      </c>
    </row>
    <row r="564" spans="2:2">
      <c r="B564" s="3" t="str">
        <f ca="1">IFERROR(__xludf.DUMMYFUNCTION("IF(ISBLANK(A564),"""",GOOGLETRANSLATE(A564,""en"",""fr""))"),"")</f>
        <v/>
      </c>
    </row>
    <row r="565" spans="2:2">
      <c r="B565" s="3" t="str">
        <f ca="1">IFERROR(__xludf.DUMMYFUNCTION("IF(ISBLANK(A565),"""",GOOGLETRANSLATE(A565,""en"",""fr""))"),"")</f>
        <v/>
      </c>
    </row>
    <row r="566" spans="2:2">
      <c r="B566" s="3" t="str">
        <f ca="1">IFERROR(__xludf.DUMMYFUNCTION("IF(ISBLANK(A566),"""",GOOGLETRANSLATE(A566,""en"",""fr""))"),"")</f>
        <v/>
      </c>
    </row>
    <row r="567" spans="2:2">
      <c r="B567" s="3" t="str">
        <f ca="1">IFERROR(__xludf.DUMMYFUNCTION("IF(ISBLANK(A567),"""",GOOGLETRANSLATE(A567,""en"",""fr""))"),"")</f>
        <v/>
      </c>
    </row>
    <row r="568" spans="2:2">
      <c r="B568" s="3" t="str">
        <f ca="1">IFERROR(__xludf.DUMMYFUNCTION("IF(ISBLANK(A568),"""",GOOGLETRANSLATE(A568,""en"",""fr""))"),"")</f>
        <v/>
      </c>
    </row>
    <row r="569" spans="2:2">
      <c r="B569" s="3" t="str">
        <f ca="1">IFERROR(__xludf.DUMMYFUNCTION("IF(ISBLANK(A569),"""",GOOGLETRANSLATE(A569,""en"",""fr""))"),"")</f>
        <v/>
      </c>
    </row>
    <row r="570" spans="2:2">
      <c r="B570" s="3" t="str">
        <f ca="1">IFERROR(__xludf.DUMMYFUNCTION("IF(ISBLANK(A570),"""",GOOGLETRANSLATE(A570,""en"",""fr""))"),"")</f>
        <v/>
      </c>
    </row>
    <row r="571" spans="2:2">
      <c r="B571" s="3" t="str">
        <f ca="1">IFERROR(__xludf.DUMMYFUNCTION("IF(ISBLANK(A571),"""",GOOGLETRANSLATE(A571,""en"",""fr""))"),"")</f>
        <v/>
      </c>
    </row>
    <row r="572" spans="2:2">
      <c r="B572" s="3" t="str">
        <f ca="1">IFERROR(__xludf.DUMMYFUNCTION("IF(ISBLANK(A572),"""",GOOGLETRANSLATE(A572,""en"",""fr""))"),"")</f>
        <v/>
      </c>
    </row>
    <row r="573" spans="2:2">
      <c r="B573" s="3" t="str">
        <f ca="1">IFERROR(__xludf.DUMMYFUNCTION("IF(ISBLANK(A573),"""",GOOGLETRANSLATE(A573,""en"",""fr""))"),"")</f>
        <v/>
      </c>
    </row>
    <row r="574" spans="2:2">
      <c r="B574" s="3" t="str">
        <f ca="1">IFERROR(__xludf.DUMMYFUNCTION("IF(ISBLANK(A574),"""",GOOGLETRANSLATE(A574,""en"",""fr""))"),"")</f>
        <v/>
      </c>
    </row>
    <row r="575" spans="2:2">
      <c r="B575" s="3" t="str">
        <f ca="1">IFERROR(__xludf.DUMMYFUNCTION("IF(ISBLANK(A575),"""",GOOGLETRANSLATE(A575,""en"",""fr""))"),"")</f>
        <v/>
      </c>
    </row>
    <row r="576" spans="2:2">
      <c r="B576" s="3" t="str">
        <f ca="1">IFERROR(__xludf.DUMMYFUNCTION("IF(ISBLANK(A576),"""",GOOGLETRANSLATE(A576,""en"",""fr""))"),"")</f>
        <v/>
      </c>
    </row>
    <row r="577" spans="2:2">
      <c r="B577" s="3" t="str">
        <f ca="1">IFERROR(__xludf.DUMMYFUNCTION("IF(ISBLANK(A577),"""",GOOGLETRANSLATE(A577,""en"",""fr""))"),"")</f>
        <v/>
      </c>
    </row>
    <row r="578" spans="2:2">
      <c r="B578" s="3" t="str">
        <f ca="1">IFERROR(__xludf.DUMMYFUNCTION("IF(ISBLANK(A578),"""",GOOGLETRANSLATE(A578,""en"",""fr""))"),"")</f>
        <v/>
      </c>
    </row>
    <row r="579" spans="2:2">
      <c r="B579" s="3" t="str">
        <f ca="1">IFERROR(__xludf.DUMMYFUNCTION("IF(ISBLANK(A579),"""",GOOGLETRANSLATE(A579,""en"",""fr""))"),"")</f>
        <v/>
      </c>
    </row>
    <row r="580" spans="2:2">
      <c r="B580" s="3" t="str">
        <f ca="1">IFERROR(__xludf.DUMMYFUNCTION("IF(ISBLANK(A580),"""",GOOGLETRANSLATE(A580,""en"",""fr""))"),"")</f>
        <v/>
      </c>
    </row>
    <row r="581" spans="2:2">
      <c r="B581" s="3" t="str">
        <f ca="1">IFERROR(__xludf.DUMMYFUNCTION("IF(ISBLANK(A581),"""",GOOGLETRANSLATE(A581,""en"",""fr""))"),"")</f>
        <v/>
      </c>
    </row>
    <row r="582" spans="2:2">
      <c r="B582" s="3" t="str">
        <f ca="1">IFERROR(__xludf.DUMMYFUNCTION("IF(ISBLANK(A582),"""",GOOGLETRANSLATE(A582,""en"",""fr""))"),"")</f>
        <v/>
      </c>
    </row>
    <row r="583" spans="2:2">
      <c r="B583" s="3" t="str">
        <f ca="1">IFERROR(__xludf.DUMMYFUNCTION("IF(ISBLANK(A583),"""",GOOGLETRANSLATE(A583,""en"",""fr""))"),"")</f>
        <v/>
      </c>
    </row>
    <row r="584" spans="2:2">
      <c r="B584" s="3" t="str">
        <f ca="1">IFERROR(__xludf.DUMMYFUNCTION("IF(ISBLANK(A584),"""",GOOGLETRANSLATE(A584,""en"",""fr""))"),"")</f>
        <v/>
      </c>
    </row>
    <row r="585" spans="2:2">
      <c r="B585" s="3" t="str">
        <f ca="1">IFERROR(__xludf.DUMMYFUNCTION("IF(ISBLANK(A585),"""",GOOGLETRANSLATE(A585,""en"",""fr""))"),"")</f>
        <v/>
      </c>
    </row>
    <row r="586" spans="2:2">
      <c r="B586" s="3" t="str">
        <f ca="1">IFERROR(__xludf.DUMMYFUNCTION("IF(ISBLANK(A586),"""",GOOGLETRANSLATE(A586,""en"",""fr""))"),"")</f>
        <v/>
      </c>
    </row>
    <row r="587" spans="2:2">
      <c r="B587" s="3" t="str">
        <f ca="1">IFERROR(__xludf.DUMMYFUNCTION("IF(ISBLANK(A587),"""",GOOGLETRANSLATE(A587,""en"",""fr""))"),"")</f>
        <v/>
      </c>
    </row>
    <row r="588" spans="2:2">
      <c r="B588" s="3" t="str">
        <f ca="1">IFERROR(__xludf.DUMMYFUNCTION("IF(ISBLANK(A588),"""",GOOGLETRANSLATE(A588,""en"",""fr""))"),"")</f>
        <v/>
      </c>
    </row>
    <row r="589" spans="2:2">
      <c r="B589" s="3" t="str">
        <f ca="1">IFERROR(__xludf.DUMMYFUNCTION("IF(ISBLANK(A589),"""",GOOGLETRANSLATE(A589,""en"",""fr""))"),"")</f>
        <v/>
      </c>
    </row>
    <row r="590" spans="2:2">
      <c r="B590" s="3" t="str">
        <f ca="1">IFERROR(__xludf.DUMMYFUNCTION("IF(ISBLANK(A590),"""",GOOGLETRANSLATE(A590,""en"",""fr""))"),"")</f>
        <v/>
      </c>
    </row>
    <row r="591" spans="2:2">
      <c r="B591" s="3" t="str">
        <f ca="1">IFERROR(__xludf.DUMMYFUNCTION("IF(ISBLANK(A591),"""",GOOGLETRANSLATE(A591,""en"",""fr""))"),"")</f>
        <v/>
      </c>
    </row>
    <row r="592" spans="2:2">
      <c r="B592" s="3" t="str">
        <f ca="1">IFERROR(__xludf.DUMMYFUNCTION("IF(ISBLANK(A592),"""",GOOGLETRANSLATE(A592,""en"",""fr""))"),"")</f>
        <v/>
      </c>
    </row>
    <row r="593" spans="2:2">
      <c r="B593" s="3" t="str">
        <f ca="1">IFERROR(__xludf.DUMMYFUNCTION("IF(ISBLANK(A593),"""",GOOGLETRANSLATE(A593,""en"",""fr""))"),"")</f>
        <v/>
      </c>
    </row>
    <row r="594" spans="2:2">
      <c r="B594" s="3" t="str">
        <f ca="1">IFERROR(__xludf.DUMMYFUNCTION("IF(ISBLANK(A594),"""",GOOGLETRANSLATE(A594,""en"",""fr""))"),"")</f>
        <v/>
      </c>
    </row>
    <row r="595" spans="2:2">
      <c r="B595" s="3" t="str">
        <f ca="1">IFERROR(__xludf.DUMMYFUNCTION("IF(ISBLANK(A595),"""",GOOGLETRANSLATE(A595,""en"",""fr""))"),"")</f>
        <v/>
      </c>
    </row>
    <row r="596" spans="2:2">
      <c r="B596" s="3" t="str">
        <f ca="1">IFERROR(__xludf.DUMMYFUNCTION("IF(ISBLANK(A596),"""",GOOGLETRANSLATE(A596,""en"",""fr""))"),"")</f>
        <v/>
      </c>
    </row>
    <row r="597" spans="2:2">
      <c r="B597" s="3" t="str">
        <f ca="1">IFERROR(__xludf.DUMMYFUNCTION("IF(ISBLANK(A597),"""",GOOGLETRANSLATE(A597,""en"",""fr""))"),"")</f>
        <v/>
      </c>
    </row>
    <row r="598" spans="2:2">
      <c r="B598" s="3" t="str">
        <f ca="1">IFERROR(__xludf.DUMMYFUNCTION("IF(ISBLANK(A598),"""",GOOGLETRANSLATE(A598,""en"",""fr""))"),"")</f>
        <v/>
      </c>
    </row>
    <row r="599" spans="2:2">
      <c r="B599" s="3" t="str">
        <f ca="1">IFERROR(__xludf.DUMMYFUNCTION("IF(ISBLANK(A599),"""",GOOGLETRANSLATE(A599,""en"",""fr""))"),"")</f>
        <v/>
      </c>
    </row>
    <row r="600" spans="2:2">
      <c r="B600" s="3" t="str">
        <f ca="1">IFERROR(__xludf.DUMMYFUNCTION("IF(ISBLANK(A600),"""",GOOGLETRANSLATE(A600,""en"",""fr""))"),"")</f>
        <v/>
      </c>
    </row>
    <row r="601" spans="2:2">
      <c r="B601" s="3" t="str">
        <f ca="1">IFERROR(__xludf.DUMMYFUNCTION("IF(ISBLANK(A601),"""",GOOGLETRANSLATE(A601,""en"",""fr""))"),"")</f>
        <v/>
      </c>
    </row>
    <row r="602" spans="2:2">
      <c r="B602" s="3" t="str">
        <f ca="1">IFERROR(__xludf.DUMMYFUNCTION("IF(ISBLANK(A602),"""",GOOGLETRANSLATE(A602,""en"",""fr""))"),"")</f>
        <v/>
      </c>
    </row>
    <row r="603" spans="2:2">
      <c r="B603" s="3" t="str">
        <f ca="1">IFERROR(__xludf.DUMMYFUNCTION("IF(ISBLANK(A603),"""",GOOGLETRANSLATE(A603,""en"",""fr""))"),"")</f>
        <v/>
      </c>
    </row>
    <row r="604" spans="2:2">
      <c r="B604" s="3" t="str">
        <f ca="1">IFERROR(__xludf.DUMMYFUNCTION("IF(ISBLANK(A604),"""",GOOGLETRANSLATE(A604,""en"",""fr""))"),"")</f>
        <v/>
      </c>
    </row>
    <row r="605" spans="2:2">
      <c r="B605" s="3" t="str">
        <f ca="1">IFERROR(__xludf.DUMMYFUNCTION("IF(ISBLANK(A605),"""",GOOGLETRANSLATE(A605,""en"",""fr""))"),"")</f>
        <v/>
      </c>
    </row>
    <row r="606" spans="2:2">
      <c r="B606" s="3" t="str">
        <f ca="1">IFERROR(__xludf.DUMMYFUNCTION("IF(ISBLANK(A606),"""",GOOGLETRANSLATE(A606,""en"",""fr""))"),"")</f>
        <v/>
      </c>
    </row>
    <row r="607" spans="2:2">
      <c r="B607" s="3" t="str">
        <f ca="1">IFERROR(__xludf.DUMMYFUNCTION("IF(ISBLANK(A607),"""",GOOGLETRANSLATE(A607,""en"",""fr""))"),"")</f>
        <v/>
      </c>
    </row>
    <row r="608" spans="2:2">
      <c r="B608" s="3" t="str">
        <f ca="1">IFERROR(__xludf.DUMMYFUNCTION("IF(ISBLANK(A608),"""",GOOGLETRANSLATE(A608,""en"",""fr""))"),"")</f>
        <v/>
      </c>
    </row>
    <row r="609" spans="2:2">
      <c r="B609" s="3" t="str">
        <f ca="1">IFERROR(__xludf.DUMMYFUNCTION("IF(ISBLANK(A609),"""",GOOGLETRANSLATE(A609,""en"",""fr""))"),"")</f>
        <v/>
      </c>
    </row>
    <row r="610" spans="2:2">
      <c r="B610" s="3" t="str">
        <f ca="1">IFERROR(__xludf.DUMMYFUNCTION("IF(ISBLANK(A610),"""",GOOGLETRANSLATE(A610,""en"",""fr""))"),"")</f>
        <v/>
      </c>
    </row>
    <row r="611" spans="2:2">
      <c r="B611" s="3" t="str">
        <f ca="1">IFERROR(__xludf.DUMMYFUNCTION("IF(ISBLANK(A611),"""",GOOGLETRANSLATE(A611,""en"",""fr""))"),"")</f>
        <v/>
      </c>
    </row>
    <row r="612" spans="2:2">
      <c r="B612" s="3" t="str">
        <f ca="1">IFERROR(__xludf.DUMMYFUNCTION("IF(ISBLANK(A612),"""",GOOGLETRANSLATE(A612,""en"",""fr""))"),"")</f>
        <v/>
      </c>
    </row>
    <row r="613" spans="2:2">
      <c r="B613" s="3" t="str">
        <f ca="1">IFERROR(__xludf.DUMMYFUNCTION("IF(ISBLANK(A613),"""",GOOGLETRANSLATE(A613,""en"",""fr""))"),"")</f>
        <v/>
      </c>
    </row>
    <row r="614" spans="2:2">
      <c r="B614" s="3" t="str">
        <f ca="1">IFERROR(__xludf.DUMMYFUNCTION("IF(ISBLANK(A614),"""",GOOGLETRANSLATE(A614,""en"",""fr""))"),"")</f>
        <v/>
      </c>
    </row>
    <row r="615" spans="2:2">
      <c r="B615" s="3" t="str">
        <f ca="1">IFERROR(__xludf.DUMMYFUNCTION("IF(ISBLANK(A615),"""",GOOGLETRANSLATE(A615,""en"",""fr""))"),"")</f>
        <v/>
      </c>
    </row>
    <row r="616" spans="2:2">
      <c r="B616" s="3" t="str">
        <f ca="1">IFERROR(__xludf.DUMMYFUNCTION("IF(ISBLANK(A616),"""",GOOGLETRANSLATE(A616,""en"",""fr""))"),"")</f>
        <v/>
      </c>
    </row>
    <row r="617" spans="2:2">
      <c r="B617" s="3" t="str">
        <f ca="1">IFERROR(__xludf.DUMMYFUNCTION("IF(ISBLANK(A617),"""",GOOGLETRANSLATE(A617,""en"",""fr""))"),"")</f>
        <v/>
      </c>
    </row>
    <row r="618" spans="2:2">
      <c r="B618" s="3" t="str">
        <f ca="1">IFERROR(__xludf.DUMMYFUNCTION("IF(ISBLANK(A618),"""",GOOGLETRANSLATE(A618,""en"",""fr""))"),"")</f>
        <v/>
      </c>
    </row>
    <row r="619" spans="2:2">
      <c r="B619" s="3" t="str">
        <f ca="1">IFERROR(__xludf.DUMMYFUNCTION("IF(ISBLANK(A619),"""",GOOGLETRANSLATE(A619,""en"",""fr""))"),"")</f>
        <v/>
      </c>
    </row>
    <row r="620" spans="2:2">
      <c r="B620" s="3" t="str">
        <f ca="1">IFERROR(__xludf.DUMMYFUNCTION("IF(ISBLANK(A620),"""",GOOGLETRANSLATE(A620,""en"",""fr""))"),"")</f>
        <v/>
      </c>
    </row>
    <row r="621" spans="2:2">
      <c r="B621" s="3" t="str">
        <f ca="1">IFERROR(__xludf.DUMMYFUNCTION("IF(ISBLANK(A621),"""",GOOGLETRANSLATE(A621,""en"",""fr""))"),"")</f>
        <v/>
      </c>
    </row>
    <row r="622" spans="2:2">
      <c r="B622" s="3" t="str">
        <f ca="1">IFERROR(__xludf.DUMMYFUNCTION("IF(ISBLANK(A622),"""",GOOGLETRANSLATE(A622,""en"",""fr""))"),"")</f>
        <v/>
      </c>
    </row>
    <row r="623" spans="2:2">
      <c r="B623" s="3" t="str">
        <f ca="1">IFERROR(__xludf.DUMMYFUNCTION("IF(ISBLANK(A623),"""",GOOGLETRANSLATE(A623,""en"",""fr""))"),"")</f>
        <v/>
      </c>
    </row>
    <row r="624" spans="2:2">
      <c r="B624" s="3" t="str">
        <f ca="1">IFERROR(__xludf.DUMMYFUNCTION("IF(ISBLANK(A624),"""",GOOGLETRANSLATE(A624,""en"",""fr""))"),"")</f>
        <v/>
      </c>
    </row>
    <row r="625" spans="2:2">
      <c r="B625" s="3" t="str">
        <f ca="1">IFERROR(__xludf.DUMMYFUNCTION("IF(ISBLANK(A625),"""",GOOGLETRANSLATE(A625,""en"",""fr""))"),"")</f>
        <v/>
      </c>
    </row>
    <row r="626" spans="2:2">
      <c r="B626" s="3" t="str">
        <f ca="1">IFERROR(__xludf.DUMMYFUNCTION("IF(ISBLANK(A626),"""",GOOGLETRANSLATE(A626,""en"",""fr""))"),"")</f>
        <v/>
      </c>
    </row>
    <row r="627" spans="2:2">
      <c r="B627" s="3" t="str">
        <f ca="1">IFERROR(__xludf.DUMMYFUNCTION("IF(ISBLANK(A627),"""",GOOGLETRANSLATE(A627,""en"",""fr""))"),"")</f>
        <v/>
      </c>
    </row>
    <row r="628" spans="2:2">
      <c r="B628" s="3" t="str">
        <f ca="1">IFERROR(__xludf.DUMMYFUNCTION("IF(ISBLANK(A628),"""",GOOGLETRANSLATE(A628,""en"",""fr""))"),"")</f>
        <v/>
      </c>
    </row>
    <row r="629" spans="2:2">
      <c r="B629" s="3" t="str">
        <f ca="1">IFERROR(__xludf.DUMMYFUNCTION("IF(ISBLANK(A629),"""",GOOGLETRANSLATE(A629,""en"",""fr""))"),"")</f>
        <v/>
      </c>
    </row>
    <row r="630" spans="2:2">
      <c r="B630" s="3" t="str">
        <f ca="1">IFERROR(__xludf.DUMMYFUNCTION("IF(ISBLANK(A630),"""",GOOGLETRANSLATE(A630,""en"",""fr""))"),"")</f>
        <v/>
      </c>
    </row>
    <row r="631" spans="2:2">
      <c r="B631" s="3" t="str">
        <f ca="1">IFERROR(__xludf.DUMMYFUNCTION("IF(ISBLANK(A631),"""",GOOGLETRANSLATE(A631,""en"",""fr""))"),"")</f>
        <v/>
      </c>
    </row>
    <row r="632" spans="2:2">
      <c r="B632" s="3" t="str">
        <f ca="1">IFERROR(__xludf.DUMMYFUNCTION("IF(ISBLANK(A632),"""",GOOGLETRANSLATE(A632,""en"",""fr""))"),"")</f>
        <v/>
      </c>
    </row>
    <row r="633" spans="2:2">
      <c r="B633" s="3" t="str">
        <f ca="1">IFERROR(__xludf.DUMMYFUNCTION("IF(ISBLANK(A633),"""",GOOGLETRANSLATE(A633,""en"",""fr""))"),"")</f>
        <v/>
      </c>
    </row>
    <row r="634" spans="2:2">
      <c r="B634" s="3" t="str">
        <f ca="1">IFERROR(__xludf.DUMMYFUNCTION("IF(ISBLANK(A634),"""",GOOGLETRANSLATE(A634,""en"",""fr""))"),"")</f>
        <v/>
      </c>
    </row>
    <row r="635" spans="2:2">
      <c r="B635" s="3" t="str">
        <f ca="1">IFERROR(__xludf.DUMMYFUNCTION("IF(ISBLANK(A635),"""",GOOGLETRANSLATE(A635,""en"",""fr""))"),"")</f>
        <v/>
      </c>
    </row>
    <row r="636" spans="2:2">
      <c r="B636" s="3" t="str">
        <f ca="1">IFERROR(__xludf.DUMMYFUNCTION("IF(ISBLANK(A636),"""",GOOGLETRANSLATE(A636,""en"",""fr""))"),"")</f>
        <v/>
      </c>
    </row>
    <row r="637" spans="2:2">
      <c r="B637" s="3" t="str">
        <f ca="1">IFERROR(__xludf.DUMMYFUNCTION("IF(ISBLANK(A637),"""",GOOGLETRANSLATE(A637,""en"",""fr""))"),"")</f>
        <v/>
      </c>
    </row>
    <row r="638" spans="2:2">
      <c r="B638" s="3" t="str">
        <f ca="1">IFERROR(__xludf.DUMMYFUNCTION("IF(ISBLANK(A638),"""",GOOGLETRANSLATE(A638,""en"",""fr""))"),"")</f>
        <v/>
      </c>
    </row>
    <row r="639" spans="2:2">
      <c r="B639" s="3" t="str">
        <f ca="1">IFERROR(__xludf.DUMMYFUNCTION("IF(ISBLANK(A639),"""",GOOGLETRANSLATE(A639,""en"",""fr""))"),"")</f>
        <v/>
      </c>
    </row>
    <row r="640" spans="2:2">
      <c r="B640" s="3" t="str">
        <f ca="1">IFERROR(__xludf.DUMMYFUNCTION("IF(ISBLANK(A640),"""",GOOGLETRANSLATE(A640,""en"",""fr""))"),"")</f>
        <v/>
      </c>
    </row>
    <row r="641" spans="2:2">
      <c r="B641" s="3" t="str">
        <f ca="1">IFERROR(__xludf.DUMMYFUNCTION("IF(ISBLANK(A641),"""",GOOGLETRANSLATE(A641,""en"",""fr""))"),"")</f>
        <v/>
      </c>
    </row>
    <row r="642" spans="2:2">
      <c r="B642" s="3" t="str">
        <f ca="1">IFERROR(__xludf.DUMMYFUNCTION("IF(ISBLANK(A642),"""",GOOGLETRANSLATE(A642,""en"",""fr""))"),"")</f>
        <v/>
      </c>
    </row>
    <row r="643" spans="2:2">
      <c r="B643" s="3" t="str">
        <f ca="1">IFERROR(__xludf.DUMMYFUNCTION("IF(ISBLANK(A643),"""",GOOGLETRANSLATE(A643,""en"",""fr""))"),"")</f>
        <v/>
      </c>
    </row>
    <row r="644" spans="2:2">
      <c r="B644" s="3" t="str">
        <f ca="1">IFERROR(__xludf.DUMMYFUNCTION("IF(ISBLANK(A644),"""",GOOGLETRANSLATE(A644,""en"",""fr""))"),"")</f>
        <v/>
      </c>
    </row>
    <row r="645" spans="2:2">
      <c r="B645" s="3" t="str">
        <f ca="1">IFERROR(__xludf.DUMMYFUNCTION("IF(ISBLANK(A645),"""",GOOGLETRANSLATE(A645,""en"",""fr""))"),"")</f>
        <v/>
      </c>
    </row>
    <row r="646" spans="2:2">
      <c r="B646" s="3" t="str">
        <f ca="1">IFERROR(__xludf.DUMMYFUNCTION("IF(ISBLANK(A646),"""",GOOGLETRANSLATE(A646,""en"",""fr""))"),"")</f>
        <v/>
      </c>
    </row>
    <row r="647" spans="2:2">
      <c r="B647" s="3" t="str">
        <f ca="1">IFERROR(__xludf.DUMMYFUNCTION("IF(ISBLANK(A647),"""",GOOGLETRANSLATE(A647,""en"",""fr""))"),"")</f>
        <v/>
      </c>
    </row>
    <row r="648" spans="2:2">
      <c r="B648" s="3" t="str">
        <f ca="1">IFERROR(__xludf.DUMMYFUNCTION("IF(ISBLANK(A648),"""",GOOGLETRANSLATE(A648,""en"",""fr""))"),"")</f>
        <v/>
      </c>
    </row>
    <row r="649" spans="2:2">
      <c r="B649" s="3" t="str">
        <f ca="1">IFERROR(__xludf.DUMMYFUNCTION("IF(ISBLANK(A649),"""",GOOGLETRANSLATE(A649,""en"",""fr""))"),"")</f>
        <v/>
      </c>
    </row>
    <row r="650" spans="2:2">
      <c r="B650" s="3" t="str">
        <f ca="1">IFERROR(__xludf.DUMMYFUNCTION("IF(ISBLANK(A650),"""",GOOGLETRANSLATE(A650,""en"",""fr""))"),"")</f>
        <v/>
      </c>
    </row>
    <row r="651" spans="2:2">
      <c r="B651" s="3" t="str">
        <f ca="1">IFERROR(__xludf.DUMMYFUNCTION("IF(ISBLANK(A651),"""",GOOGLETRANSLATE(A651,""en"",""fr""))"),"")</f>
        <v/>
      </c>
    </row>
    <row r="652" spans="2:2">
      <c r="B652" s="3" t="str">
        <f ca="1">IFERROR(__xludf.DUMMYFUNCTION("IF(ISBLANK(A652),"""",GOOGLETRANSLATE(A652,""en"",""fr""))"),"")</f>
        <v/>
      </c>
    </row>
    <row r="653" spans="2:2">
      <c r="B653" s="3" t="str">
        <f ca="1">IFERROR(__xludf.DUMMYFUNCTION("IF(ISBLANK(A653),"""",GOOGLETRANSLATE(A653,""en"",""fr""))"),"")</f>
        <v/>
      </c>
    </row>
    <row r="654" spans="2:2">
      <c r="B654" s="3" t="str">
        <f ca="1">IFERROR(__xludf.DUMMYFUNCTION("IF(ISBLANK(A654),"""",GOOGLETRANSLATE(A654,""en"",""fr""))"),"")</f>
        <v/>
      </c>
    </row>
    <row r="655" spans="2:2">
      <c r="B655" s="3" t="str">
        <f ca="1">IFERROR(__xludf.DUMMYFUNCTION("IF(ISBLANK(A655),"""",GOOGLETRANSLATE(A655,""en"",""fr""))"),"")</f>
        <v/>
      </c>
    </row>
    <row r="656" spans="2:2">
      <c r="B656" s="3" t="str">
        <f ca="1">IFERROR(__xludf.DUMMYFUNCTION("IF(ISBLANK(A656),"""",GOOGLETRANSLATE(A656,""en"",""fr""))"),"")</f>
        <v/>
      </c>
    </row>
    <row r="657" spans="2:2">
      <c r="B657" s="3" t="str">
        <f ca="1">IFERROR(__xludf.DUMMYFUNCTION("IF(ISBLANK(A657),"""",GOOGLETRANSLATE(A657,""en"",""fr""))"),"")</f>
        <v/>
      </c>
    </row>
    <row r="658" spans="2:2">
      <c r="B658" s="3" t="str">
        <f ca="1">IFERROR(__xludf.DUMMYFUNCTION("IF(ISBLANK(A658),"""",GOOGLETRANSLATE(A658,""en"",""fr""))"),"")</f>
        <v/>
      </c>
    </row>
    <row r="659" spans="2:2">
      <c r="B659" s="3" t="str">
        <f ca="1">IFERROR(__xludf.DUMMYFUNCTION("IF(ISBLANK(A659),"""",GOOGLETRANSLATE(A659,""en"",""fr""))"),"")</f>
        <v/>
      </c>
    </row>
    <row r="660" spans="2:2">
      <c r="B660" s="3" t="str">
        <f ca="1">IFERROR(__xludf.DUMMYFUNCTION("IF(ISBLANK(A660),"""",GOOGLETRANSLATE(A660,""en"",""fr""))"),"")</f>
        <v/>
      </c>
    </row>
    <row r="661" spans="2:2">
      <c r="B661" s="3" t="str">
        <f ca="1">IFERROR(__xludf.DUMMYFUNCTION("IF(ISBLANK(A661),"""",GOOGLETRANSLATE(A661,""en"",""fr""))"),"")</f>
        <v/>
      </c>
    </row>
    <row r="662" spans="2:2">
      <c r="B662" s="3" t="str">
        <f ca="1">IFERROR(__xludf.DUMMYFUNCTION("IF(ISBLANK(A662),"""",GOOGLETRANSLATE(A662,""en"",""fr""))"),"")</f>
        <v/>
      </c>
    </row>
    <row r="663" spans="2:2">
      <c r="B663" s="3" t="str">
        <f ca="1">IFERROR(__xludf.DUMMYFUNCTION("IF(ISBLANK(A663),"""",GOOGLETRANSLATE(A663,""en"",""fr""))"),"")</f>
        <v/>
      </c>
    </row>
    <row r="664" spans="2:2">
      <c r="B664" s="3" t="str">
        <f ca="1">IFERROR(__xludf.DUMMYFUNCTION("IF(ISBLANK(A664),"""",GOOGLETRANSLATE(A664,""en"",""fr""))"),"")</f>
        <v/>
      </c>
    </row>
    <row r="665" spans="2:2">
      <c r="B665" s="3" t="str">
        <f ca="1">IFERROR(__xludf.DUMMYFUNCTION("IF(ISBLANK(A665),"""",GOOGLETRANSLATE(A665,""en"",""fr""))"),"")</f>
        <v/>
      </c>
    </row>
    <row r="666" spans="2:2">
      <c r="B666" s="3" t="str">
        <f ca="1">IFERROR(__xludf.DUMMYFUNCTION("IF(ISBLANK(A666),"""",GOOGLETRANSLATE(A666,""en"",""fr""))"),"")</f>
        <v/>
      </c>
    </row>
    <row r="667" spans="2:2">
      <c r="B667" s="3" t="str">
        <f ca="1">IFERROR(__xludf.DUMMYFUNCTION("IF(ISBLANK(A667),"""",GOOGLETRANSLATE(A667,""en"",""fr""))"),"")</f>
        <v/>
      </c>
    </row>
    <row r="668" spans="2:2">
      <c r="B668" s="3" t="str">
        <f ca="1">IFERROR(__xludf.DUMMYFUNCTION("IF(ISBLANK(A668),"""",GOOGLETRANSLATE(A668,""en"",""fr""))"),"")</f>
        <v/>
      </c>
    </row>
    <row r="669" spans="2:2">
      <c r="B669" s="3" t="str">
        <f ca="1">IFERROR(__xludf.DUMMYFUNCTION("IF(ISBLANK(A669),"""",GOOGLETRANSLATE(A669,""en"",""fr""))"),"")</f>
        <v/>
      </c>
    </row>
    <row r="670" spans="2:2">
      <c r="B670" s="3" t="str">
        <f ca="1">IFERROR(__xludf.DUMMYFUNCTION("IF(ISBLANK(A670),"""",GOOGLETRANSLATE(A670,""en"",""fr""))"),"")</f>
        <v/>
      </c>
    </row>
    <row r="671" spans="2:2">
      <c r="B671" s="3" t="str">
        <f ca="1">IFERROR(__xludf.DUMMYFUNCTION("IF(ISBLANK(A671),"""",GOOGLETRANSLATE(A671,""en"",""fr""))"),"")</f>
        <v/>
      </c>
    </row>
    <row r="672" spans="2:2">
      <c r="B672" s="3" t="str">
        <f ca="1">IFERROR(__xludf.DUMMYFUNCTION("IF(ISBLANK(A672),"""",GOOGLETRANSLATE(A672,""en"",""fr""))"),"")</f>
        <v/>
      </c>
    </row>
    <row r="673" spans="2:2">
      <c r="B673" s="3" t="str">
        <f ca="1">IFERROR(__xludf.DUMMYFUNCTION("IF(ISBLANK(A673),"""",GOOGLETRANSLATE(A673,""en"",""fr""))"),"")</f>
        <v/>
      </c>
    </row>
    <row r="674" spans="2:2">
      <c r="B674" s="3" t="str">
        <f ca="1">IFERROR(__xludf.DUMMYFUNCTION("IF(ISBLANK(A674),"""",GOOGLETRANSLATE(A674,""en"",""fr""))"),"")</f>
        <v/>
      </c>
    </row>
    <row r="675" spans="2:2">
      <c r="B675" s="3" t="str">
        <f ca="1">IFERROR(__xludf.DUMMYFUNCTION("IF(ISBLANK(A675),"""",GOOGLETRANSLATE(A675,""en"",""fr""))"),"")</f>
        <v/>
      </c>
    </row>
    <row r="676" spans="2:2">
      <c r="B676" s="3" t="str">
        <f ca="1">IFERROR(__xludf.DUMMYFUNCTION("IF(ISBLANK(A676),"""",GOOGLETRANSLATE(A676,""en"",""fr""))"),"")</f>
        <v/>
      </c>
    </row>
    <row r="677" spans="2:2">
      <c r="B677" s="3" t="str">
        <f ca="1">IFERROR(__xludf.DUMMYFUNCTION("IF(ISBLANK(A677),"""",GOOGLETRANSLATE(A677,""en"",""fr""))"),"")</f>
        <v/>
      </c>
    </row>
    <row r="678" spans="2:2">
      <c r="B678" s="3" t="str">
        <f ca="1">IFERROR(__xludf.DUMMYFUNCTION("IF(ISBLANK(A678),"""",GOOGLETRANSLATE(A678,""en"",""fr""))"),"")</f>
        <v/>
      </c>
    </row>
    <row r="679" spans="2:2">
      <c r="B679" s="3" t="str">
        <f ca="1">IFERROR(__xludf.DUMMYFUNCTION("IF(ISBLANK(A679),"""",GOOGLETRANSLATE(A679,""en"",""fr""))"),"")</f>
        <v/>
      </c>
    </row>
    <row r="680" spans="2:2">
      <c r="B680" s="3" t="str">
        <f ca="1">IFERROR(__xludf.DUMMYFUNCTION("IF(ISBLANK(A680),"""",GOOGLETRANSLATE(A680,""en"",""fr""))"),"")</f>
        <v/>
      </c>
    </row>
    <row r="681" spans="2:2">
      <c r="B681" s="3" t="str">
        <f ca="1">IFERROR(__xludf.DUMMYFUNCTION("IF(ISBLANK(A681),"""",GOOGLETRANSLATE(A681,""en"",""fr""))"),"")</f>
        <v/>
      </c>
    </row>
    <row r="682" spans="2:2">
      <c r="B682" s="3" t="str">
        <f ca="1">IFERROR(__xludf.DUMMYFUNCTION("IF(ISBLANK(A682),"""",GOOGLETRANSLATE(A682,""en"",""fr""))"),"")</f>
        <v/>
      </c>
    </row>
    <row r="683" spans="2:2">
      <c r="B683" s="3" t="str">
        <f ca="1">IFERROR(__xludf.DUMMYFUNCTION("IF(ISBLANK(A683),"""",GOOGLETRANSLATE(A683,""en"",""fr""))"),"")</f>
        <v/>
      </c>
    </row>
    <row r="684" spans="2:2">
      <c r="B684" s="3" t="str">
        <f ca="1">IFERROR(__xludf.DUMMYFUNCTION("IF(ISBLANK(A684),"""",GOOGLETRANSLATE(A684,""en"",""fr""))"),"")</f>
        <v/>
      </c>
    </row>
    <row r="685" spans="2:2">
      <c r="B685" s="3" t="str">
        <f ca="1">IFERROR(__xludf.DUMMYFUNCTION("IF(ISBLANK(A685),"""",GOOGLETRANSLATE(A685,""en"",""fr""))"),"")</f>
        <v/>
      </c>
    </row>
    <row r="686" spans="2:2">
      <c r="B686" s="3" t="str">
        <f ca="1">IFERROR(__xludf.DUMMYFUNCTION("IF(ISBLANK(A686),"""",GOOGLETRANSLATE(A686,""en"",""fr""))"),"")</f>
        <v/>
      </c>
    </row>
    <row r="687" spans="2:2">
      <c r="B687" s="3" t="str">
        <f ca="1">IFERROR(__xludf.DUMMYFUNCTION("IF(ISBLANK(A687),"""",GOOGLETRANSLATE(A687,""en"",""fr""))"),"")</f>
        <v/>
      </c>
    </row>
    <row r="688" spans="2:2">
      <c r="B688" s="3" t="str">
        <f ca="1">IFERROR(__xludf.DUMMYFUNCTION("IF(ISBLANK(A688),"""",GOOGLETRANSLATE(A688,""en"",""fr""))"),"")</f>
        <v/>
      </c>
    </row>
    <row r="689" spans="2:2">
      <c r="B689" s="3" t="str">
        <f ca="1">IFERROR(__xludf.DUMMYFUNCTION("IF(ISBLANK(A689),"""",GOOGLETRANSLATE(A689,""en"",""fr""))"),"")</f>
        <v/>
      </c>
    </row>
    <row r="690" spans="2:2">
      <c r="B690" s="3" t="str">
        <f ca="1">IFERROR(__xludf.DUMMYFUNCTION("IF(ISBLANK(A690),"""",GOOGLETRANSLATE(A690,""en"",""fr""))"),"")</f>
        <v/>
      </c>
    </row>
    <row r="691" spans="2:2">
      <c r="B691" s="3" t="str">
        <f ca="1">IFERROR(__xludf.DUMMYFUNCTION("IF(ISBLANK(A691),"""",GOOGLETRANSLATE(A691,""en"",""fr""))"),"")</f>
        <v/>
      </c>
    </row>
    <row r="692" spans="2:2">
      <c r="B692" s="3" t="str">
        <f ca="1">IFERROR(__xludf.DUMMYFUNCTION("IF(ISBLANK(A692),"""",GOOGLETRANSLATE(A692,""en"",""fr""))"),"")</f>
        <v/>
      </c>
    </row>
    <row r="693" spans="2:2">
      <c r="B693" s="3" t="str">
        <f ca="1">IFERROR(__xludf.DUMMYFUNCTION("IF(ISBLANK(A693),"""",GOOGLETRANSLATE(A693,""en"",""fr""))"),"")</f>
        <v/>
      </c>
    </row>
    <row r="694" spans="2:2">
      <c r="B694" s="3" t="str">
        <f ca="1">IFERROR(__xludf.DUMMYFUNCTION("IF(ISBLANK(A694),"""",GOOGLETRANSLATE(A694,""en"",""fr""))"),"")</f>
        <v/>
      </c>
    </row>
    <row r="695" spans="2:2">
      <c r="B695" s="3" t="str">
        <f ca="1">IFERROR(__xludf.DUMMYFUNCTION("IF(ISBLANK(A695),"""",GOOGLETRANSLATE(A695,""en"",""fr""))"),"")</f>
        <v/>
      </c>
    </row>
    <row r="696" spans="2:2">
      <c r="B696" s="3" t="str">
        <f ca="1">IFERROR(__xludf.DUMMYFUNCTION("IF(ISBLANK(A696),"""",GOOGLETRANSLATE(A696,""en"",""fr""))"),"")</f>
        <v/>
      </c>
    </row>
    <row r="697" spans="2:2">
      <c r="B697" s="3" t="str">
        <f ca="1">IFERROR(__xludf.DUMMYFUNCTION("IF(ISBLANK(A697),"""",GOOGLETRANSLATE(A697,""en"",""fr""))"),"")</f>
        <v/>
      </c>
    </row>
    <row r="698" spans="2:2">
      <c r="B698" s="3" t="str">
        <f ca="1">IFERROR(__xludf.DUMMYFUNCTION("IF(ISBLANK(A698),"""",GOOGLETRANSLATE(A698,""en"",""fr""))"),"")</f>
        <v/>
      </c>
    </row>
    <row r="699" spans="2:2">
      <c r="B699" s="3" t="str">
        <f ca="1">IFERROR(__xludf.DUMMYFUNCTION("IF(ISBLANK(A699),"""",GOOGLETRANSLATE(A699,""en"",""fr""))"),"")</f>
        <v/>
      </c>
    </row>
    <row r="700" spans="2:2">
      <c r="B700" s="3" t="str">
        <f ca="1">IFERROR(__xludf.DUMMYFUNCTION("IF(ISBLANK(A700),"""",GOOGLETRANSLATE(A700,""en"",""fr""))"),"")</f>
        <v/>
      </c>
    </row>
    <row r="701" spans="2:2">
      <c r="B701" s="3" t="str">
        <f ca="1">IFERROR(__xludf.DUMMYFUNCTION("IF(ISBLANK(A701),"""",GOOGLETRANSLATE(A701,""en"",""fr""))"),"")</f>
        <v/>
      </c>
    </row>
    <row r="702" spans="2:2">
      <c r="B702" s="3" t="str">
        <f ca="1">IFERROR(__xludf.DUMMYFUNCTION("IF(ISBLANK(A702),"""",GOOGLETRANSLATE(A702,""en"",""fr""))"),"")</f>
        <v/>
      </c>
    </row>
    <row r="703" spans="2:2">
      <c r="B703" s="3" t="str">
        <f ca="1">IFERROR(__xludf.DUMMYFUNCTION("IF(ISBLANK(A703),"""",GOOGLETRANSLATE(A703,""en"",""fr""))"),"")</f>
        <v/>
      </c>
    </row>
    <row r="704" spans="2:2">
      <c r="B704" s="3" t="str">
        <f ca="1">IFERROR(__xludf.DUMMYFUNCTION("IF(ISBLANK(A704),"""",GOOGLETRANSLATE(A704,""en"",""fr""))"),"")</f>
        <v/>
      </c>
    </row>
    <row r="705" spans="2:2">
      <c r="B705" s="3" t="str">
        <f ca="1">IFERROR(__xludf.DUMMYFUNCTION("IF(ISBLANK(A705),"""",GOOGLETRANSLATE(A705,""en"",""fr""))"),"")</f>
        <v/>
      </c>
    </row>
    <row r="706" spans="2:2">
      <c r="B706" s="3" t="str">
        <f ca="1">IFERROR(__xludf.DUMMYFUNCTION("IF(ISBLANK(A706),"""",GOOGLETRANSLATE(A706,""en"",""fr""))"),"")</f>
        <v/>
      </c>
    </row>
    <row r="707" spans="2:2">
      <c r="B707" s="3" t="str">
        <f ca="1">IFERROR(__xludf.DUMMYFUNCTION("IF(ISBLANK(A707),"""",GOOGLETRANSLATE(A707,""en"",""fr""))"),"")</f>
        <v/>
      </c>
    </row>
    <row r="708" spans="2:2">
      <c r="B708" s="3" t="str">
        <f ca="1">IFERROR(__xludf.DUMMYFUNCTION("IF(ISBLANK(A708),"""",GOOGLETRANSLATE(A708,""en"",""fr""))"),"")</f>
        <v/>
      </c>
    </row>
    <row r="709" spans="2:2">
      <c r="B709" s="3" t="str">
        <f ca="1">IFERROR(__xludf.DUMMYFUNCTION("IF(ISBLANK(A709),"""",GOOGLETRANSLATE(A709,""en"",""fr""))"),"")</f>
        <v/>
      </c>
    </row>
    <row r="710" spans="2:2">
      <c r="B710" s="3" t="str">
        <f ca="1">IFERROR(__xludf.DUMMYFUNCTION("IF(ISBLANK(A710),"""",GOOGLETRANSLATE(A710,""en"",""fr""))"),"")</f>
        <v/>
      </c>
    </row>
    <row r="711" spans="2:2">
      <c r="B711" s="3" t="str">
        <f ca="1">IFERROR(__xludf.DUMMYFUNCTION("IF(ISBLANK(A711),"""",GOOGLETRANSLATE(A711,""en"",""fr""))"),"")</f>
        <v/>
      </c>
    </row>
    <row r="712" spans="2:2">
      <c r="B712" s="3" t="str">
        <f ca="1">IFERROR(__xludf.DUMMYFUNCTION("IF(ISBLANK(A712),"""",GOOGLETRANSLATE(A712,""en"",""fr""))"),"")</f>
        <v/>
      </c>
    </row>
    <row r="713" spans="2:2">
      <c r="B713" s="3" t="str">
        <f ca="1">IFERROR(__xludf.DUMMYFUNCTION("IF(ISBLANK(A713),"""",GOOGLETRANSLATE(A713,""en"",""fr""))"),"")</f>
        <v/>
      </c>
    </row>
    <row r="714" spans="2:2">
      <c r="B714" s="3" t="str">
        <f ca="1">IFERROR(__xludf.DUMMYFUNCTION("IF(ISBLANK(A714),"""",GOOGLETRANSLATE(A714,""en"",""fr""))"),"")</f>
        <v/>
      </c>
    </row>
    <row r="715" spans="2:2">
      <c r="B715" s="3" t="str">
        <f ca="1">IFERROR(__xludf.DUMMYFUNCTION("IF(ISBLANK(A715),"""",GOOGLETRANSLATE(A715,""en"",""fr""))"),"")</f>
        <v/>
      </c>
    </row>
    <row r="716" spans="2:2">
      <c r="B716" s="3" t="str">
        <f ca="1">IFERROR(__xludf.DUMMYFUNCTION("IF(ISBLANK(A716),"""",GOOGLETRANSLATE(A716,""en"",""fr""))"),"")</f>
        <v/>
      </c>
    </row>
    <row r="717" spans="2:2">
      <c r="B717" s="3" t="str">
        <f ca="1">IFERROR(__xludf.DUMMYFUNCTION("IF(ISBLANK(A717),"""",GOOGLETRANSLATE(A717,""en"",""fr""))"),"")</f>
        <v/>
      </c>
    </row>
    <row r="718" spans="2:2">
      <c r="B718" s="3" t="str">
        <f ca="1">IFERROR(__xludf.DUMMYFUNCTION("IF(ISBLANK(A718),"""",GOOGLETRANSLATE(A718,""en"",""fr""))"),"")</f>
        <v/>
      </c>
    </row>
    <row r="719" spans="2:2">
      <c r="B719" s="3" t="str">
        <f ca="1">IFERROR(__xludf.DUMMYFUNCTION("IF(ISBLANK(A719),"""",GOOGLETRANSLATE(A719,""en"",""fr""))"),"")</f>
        <v/>
      </c>
    </row>
    <row r="720" spans="2:2">
      <c r="B720" s="3" t="str">
        <f ca="1">IFERROR(__xludf.DUMMYFUNCTION("IF(ISBLANK(A720),"""",GOOGLETRANSLATE(A720,""en"",""fr""))"),"")</f>
        <v/>
      </c>
    </row>
    <row r="721" spans="2:2">
      <c r="B721" s="3" t="str">
        <f ca="1">IFERROR(__xludf.DUMMYFUNCTION("IF(ISBLANK(A721),"""",GOOGLETRANSLATE(A721,""en"",""fr""))"),"")</f>
        <v/>
      </c>
    </row>
    <row r="722" spans="2:2">
      <c r="B722" s="3" t="str">
        <f ca="1">IFERROR(__xludf.DUMMYFUNCTION("IF(ISBLANK(A722),"""",GOOGLETRANSLATE(A722,""en"",""fr""))"),"")</f>
        <v/>
      </c>
    </row>
    <row r="723" spans="2:2">
      <c r="B723" s="3" t="str">
        <f ca="1">IFERROR(__xludf.DUMMYFUNCTION("IF(ISBLANK(A723),"""",GOOGLETRANSLATE(A723,""en"",""fr""))"),"")</f>
        <v/>
      </c>
    </row>
    <row r="724" spans="2:2">
      <c r="B724" s="3" t="str">
        <f ca="1">IFERROR(__xludf.DUMMYFUNCTION("IF(ISBLANK(A724),"""",GOOGLETRANSLATE(A724,""en"",""fr""))"),"")</f>
        <v/>
      </c>
    </row>
    <row r="725" spans="2:2">
      <c r="B725" s="3" t="str">
        <f ca="1">IFERROR(__xludf.DUMMYFUNCTION("IF(ISBLANK(A725),"""",GOOGLETRANSLATE(A725,""en"",""fr""))"),"")</f>
        <v/>
      </c>
    </row>
    <row r="726" spans="2:2">
      <c r="B726" s="3" t="str">
        <f ca="1">IFERROR(__xludf.DUMMYFUNCTION("IF(ISBLANK(A726),"""",GOOGLETRANSLATE(A726,""en"",""fr""))"),"")</f>
        <v/>
      </c>
    </row>
    <row r="727" spans="2:2">
      <c r="B727" s="3" t="str">
        <f ca="1">IFERROR(__xludf.DUMMYFUNCTION("IF(ISBLANK(A727),"""",GOOGLETRANSLATE(A727,""en"",""fr""))"),"")</f>
        <v/>
      </c>
    </row>
    <row r="728" spans="2:2">
      <c r="B728" s="3" t="str">
        <f ca="1">IFERROR(__xludf.DUMMYFUNCTION("IF(ISBLANK(A728),"""",GOOGLETRANSLATE(A728,""en"",""fr""))"),"")</f>
        <v/>
      </c>
    </row>
    <row r="729" spans="2:2">
      <c r="B729" s="3" t="str">
        <f ca="1">IFERROR(__xludf.DUMMYFUNCTION("IF(ISBLANK(A729),"""",GOOGLETRANSLATE(A729,""en"",""fr""))"),"")</f>
        <v/>
      </c>
    </row>
    <row r="730" spans="2:2">
      <c r="B730" s="3" t="str">
        <f ca="1">IFERROR(__xludf.DUMMYFUNCTION("IF(ISBLANK(A730),"""",GOOGLETRANSLATE(A730,""en"",""fr""))"),"")</f>
        <v/>
      </c>
    </row>
    <row r="731" spans="2:2">
      <c r="B731" s="3" t="str">
        <f ca="1">IFERROR(__xludf.DUMMYFUNCTION("IF(ISBLANK(A731),"""",GOOGLETRANSLATE(A731,""en"",""fr""))"),"")</f>
        <v/>
      </c>
    </row>
    <row r="732" spans="2:2">
      <c r="B732" s="3" t="str">
        <f ca="1">IFERROR(__xludf.DUMMYFUNCTION("IF(ISBLANK(A732),"""",GOOGLETRANSLATE(A732,""en"",""fr""))"),"")</f>
        <v/>
      </c>
    </row>
    <row r="733" spans="2:2">
      <c r="B733" s="3" t="str">
        <f ca="1">IFERROR(__xludf.DUMMYFUNCTION("IF(ISBLANK(A733),"""",GOOGLETRANSLATE(A733,""en"",""fr""))"),"")</f>
        <v/>
      </c>
    </row>
    <row r="734" spans="2:2">
      <c r="B734" s="3" t="str">
        <f ca="1">IFERROR(__xludf.DUMMYFUNCTION("IF(ISBLANK(A734),"""",GOOGLETRANSLATE(A734,""en"",""fr""))"),"")</f>
        <v/>
      </c>
    </row>
    <row r="735" spans="2:2">
      <c r="B735" s="3" t="str">
        <f ca="1">IFERROR(__xludf.DUMMYFUNCTION("IF(ISBLANK(A735),"""",GOOGLETRANSLATE(A735,""en"",""fr""))"),"")</f>
        <v/>
      </c>
    </row>
    <row r="736" spans="2:2">
      <c r="B736" s="3" t="str">
        <f ca="1">IFERROR(__xludf.DUMMYFUNCTION("IF(ISBLANK(A736),"""",GOOGLETRANSLATE(A736,""en"",""fr""))"),"")</f>
        <v/>
      </c>
    </row>
    <row r="737" spans="2:2">
      <c r="B737" s="3" t="str">
        <f ca="1">IFERROR(__xludf.DUMMYFUNCTION("IF(ISBLANK(A737),"""",GOOGLETRANSLATE(A737,""en"",""fr""))"),"")</f>
        <v/>
      </c>
    </row>
    <row r="738" spans="2:2">
      <c r="B738" s="3" t="str">
        <f ca="1">IFERROR(__xludf.DUMMYFUNCTION("IF(ISBLANK(A738),"""",GOOGLETRANSLATE(A738,""en"",""fr""))"),"")</f>
        <v/>
      </c>
    </row>
    <row r="739" spans="2:2">
      <c r="B739" s="3" t="str">
        <f ca="1">IFERROR(__xludf.DUMMYFUNCTION("IF(ISBLANK(A739),"""",GOOGLETRANSLATE(A739,""en"",""fr""))"),"")</f>
        <v/>
      </c>
    </row>
    <row r="740" spans="2:2">
      <c r="B740" s="3" t="str">
        <f ca="1">IFERROR(__xludf.DUMMYFUNCTION("IF(ISBLANK(A740),"""",GOOGLETRANSLATE(A740,""en"",""fr""))"),"")</f>
        <v/>
      </c>
    </row>
    <row r="741" spans="2:2">
      <c r="B741" s="3" t="str">
        <f ca="1">IFERROR(__xludf.DUMMYFUNCTION("IF(ISBLANK(A741),"""",GOOGLETRANSLATE(A741,""en"",""fr""))"),"")</f>
        <v/>
      </c>
    </row>
    <row r="742" spans="2:2">
      <c r="B742" s="3" t="str">
        <f ca="1">IFERROR(__xludf.DUMMYFUNCTION("IF(ISBLANK(A742),"""",GOOGLETRANSLATE(A742,""en"",""fr""))"),"")</f>
        <v/>
      </c>
    </row>
    <row r="743" spans="2:2">
      <c r="B743" s="3" t="str">
        <f ca="1">IFERROR(__xludf.DUMMYFUNCTION("IF(ISBLANK(A743),"""",GOOGLETRANSLATE(A743,""en"",""fr""))"),"")</f>
        <v/>
      </c>
    </row>
    <row r="744" spans="2:2">
      <c r="B744" s="3" t="str">
        <f ca="1">IFERROR(__xludf.DUMMYFUNCTION("IF(ISBLANK(A744),"""",GOOGLETRANSLATE(A744,""en"",""fr""))"),"")</f>
        <v/>
      </c>
    </row>
    <row r="745" spans="2:2">
      <c r="B745" s="3" t="str">
        <f ca="1">IFERROR(__xludf.DUMMYFUNCTION("IF(ISBLANK(A745),"""",GOOGLETRANSLATE(A745,""en"",""fr""))"),"")</f>
        <v/>
      </c>
    </row>
    <row r="746" spans="2:2">
      <c r="B746" s="3" t="str">
        <f ca="1">IFERROR(__xludf.DUMMYFUNCTION("IF(ISBLANK(A746),"""",GOOGLETRANSLATE(A746,""en"",""fr""))"),"")</f>
        <v/>
      </c>
    </row>
    <row r="747" spans="2:2">
      <c r="B747" s="3" t="str">
        <f ca="1">IFERROR(__xludf.DUMMYFUNCTION("IF(ISBLANK(A747),"""",GOOGLETRANSLATE(A747,""en"",""fr""))"),"")</f>
        <v/>
      </c>
    </row>
    <row r="748" spans="2:2">
      <c r="B748" s="3" t="str">
        <f ca="1">IFERROR(__xludf.DUMMYFUNCTION("IF(ISBLANK(A748),"""",GOOGLETRANSLATE(A748,""en"",""fr""))"),"")</f>
        <v/>
      </c>
    </row>
    <row r="749" spans="2:2">
      <c r="B749" s="3" t="str">
        <f ca="1">IFERROR(__xludf.DUMMYFUNCTION("IF(ISBLANK(A749),"""",GOOGLETRANSLATE(A749,""en"",""fr""))"),"")</f>
        <v/>
      </c>
    </row>
    <row r="750" spans="2:2">
      <c r="B750" s="3" t="str">
        <f ca="1">IFERROR(__xludf.DUMMYFUNCTION("IF(ISBLANK(A750),"""",GOOGLETRANSLATE(A750,""en"",""fr""))"),"")</f>
        <v/>
      </c>
    </row>
    <row r="751" spans="2:2">
      <c r="B751" s="3" t="str">
        <f ca="1">IFERROR(__xludf.DUMMYFUNCTION("IF(ISBLANK(A751),"""",GOOGLETRANSLATE(A751,""en"",""fr""))"),"")</f>
        <v/>
      </c>
    </row>
    <row r="752" spans="2:2">
      <c r="B752" s="3" t="str">
        <f ca="1">IFERROR(__xludf.DUMMYFUNCTION("IF(ISBLANK(A752),"""",GOOGLETRANSLATE(A752,""en"",""fr""))"),"")</f>
        <v/>
      </c>
    </row>
    <row r="753" spans="2:2">
      <c r="B753" s="3" t="str">
        <f ca="1">IFERROR(__xludf.DUMMYFUNCTION("IF(ISBLANK(A753),"""",GOOGLETRANSLATE(A753,""en"",""fr""))"),"")</f>
        <v/>
      </c>
    </row>
    <row r="754" spans="2:2">
      <c r="B754" s="3" t="str">
        <f ca="1">IFERROR(__xludf.DUMMYFUNCTION("IF(ISBLANK(A754),"""",GOOGLETRANSLATE(A754,""en"",""fr""))"),"")</f>
        <v/>
      </c>
    </row>
    <row r="755" spans="2:2">
      <c r="B755" s="3" t="str">
        <f ca="1">IFERROR(__xludf.DUMMYFUNCTION("IF(ISBLANK(A755),"""",GOOGLETRANSLATE(A755,""en"",""fr""))"),"")</f>
        <v/>
      </c>
    </row>
    <row r="756" spans="2:2">
      <c r="B756" s="3" t="str">
        <f ca="1">IFERROR(__xludf.DUMMYFUNCTION("IF(ISBLANK(A756),"""",GOOGLETRANSLATE(A756,""en"",""fr""))"),"")</f>
        <v/>
      </c>
    </row>
    <row r="757" spans="2:2">
      <c r="B757" s="3" t="str">
        <f ca="1">IFERROR(__xludf.DUMMYFUNCTION("IF(ISBLANK(A757),"""",GOOGLETRANSLATE(A757,""en"",""fr""))"),"")</f>
        <v/>
      </c>
    </row>
    <row r="758" spans="2:2">
      <c r="B758" s="3" t="str">
        <f ca="1">IFERROR(__xludf.DUMMYFUNCTION("IF(ISBLANK(A758),"""",GOOGLETRANSLATE(A758,""en"",""fr""))"),"")</f>
        <v/>
      </c>
    </row>
    <row r="759" spans="2:2">
      <c r="B759" s="3" t="str">
        <f ca="1">IFERROR(__xludf.DUMMYFUNCTION("IF(ISBLANK(A759),"""",GOOGLETRANSLATE(A759,""en"",""fr""))"),"")</f>
        <v/>
      </c>
    </row>
    <row r="760" spans="2:2">
      <c r="B760" s="3" t="str">
        <f ca="1">IFERROR(__xludf.DUMMYFUNCTION("IF(ISBLANK(A760),"""",GOOGLETRANSLATE(A760,""en"",""fr""))"),"")</f>
        <v/>
      </c>
    </row>
    <row r="761" spans="2:2">
      <c r="B761" s="3" t="str">
        <f ca="1">IFERROR(__xludf.DUMMYFUNCTION("IF(ISBLANK(A761),"""",GOOGLETRANSLATE(A761,""en"",""fr""))"),"")</f>
        <v/>
      </c>
    </row>
    <row r="762" spans="2:2">
      <c r="B762" s="3" t="str">
        <f ca="1">IFERROR(__xludf.DUMMYFUNCTION("IF(ISBLANK(A762),"""",GOOGLETRANSLATE(A762,""en"",""fr""))"),"")</f>
        <v/>
      </c>
    </row>
    <row r="763" spans="2:2">
      <c r="B763" s="3" t="str">
        <f ca="1">IFERROR(__xludf.DUMMYFUNCTION("IF(ISBLANK(A763),"""",GOOGLETRANSLATE(A763,""en"",""fr""))"),"")</f>
        <v/>
      </c>
    </row>
    <row r="764" spans="2:2">
      <c r="B764" s="3" t="str">
        <f ca="1">IFERROR(__xludf.DUMMYFUNCTION("IF(ISBLANK(A764),"""",GOOGLETRANSLATE(A764,""en"",""fr""))"),"")</f>
        <v/>
      </c>
    </row>
    <row r="765" spans="2:2">
      <c r="B765" s="3" t="str">
        <f ca="1">IFERROR(__xludf.DUMMYFUNCTION("IF(ISBLANK(A765),"""",GOOGLETRANSLATE(A765,""en"",""fr""))"),"")</f>
        <v/>
      </c>
    </row>
    <row r="766" spans="2:2">
      <c r="B766" s="3" t="str">
        <f ca="1">IFERROR(__xludf.DUMMYFUNCTION("IF(ISBLANK(A766),"""",GOOGLETRANSLATE(A766,""en"",""fr""))"),"")</f>
        <v/>
      </c>
    </row>
    <row r="767" spans="2:2">
      <c r="B767" s="3" t="str">
        <f ca="1">IFERROR(__xludf.DUMMYFUNCTION("IF(ISBLANK(A767),"""",GOOGLETRANSLATE(A767,""en"",""fr""))"),"")</f>
        <v/>
      </c>
    </row>
    <row r="768" spans="2:2">
      <c r="B768" s="3" t="str">
        <f ca="1">IFERROR(__xludf.DUMMYFUNCTION("IF(ISBLANK(A768),"""",GOOGLETRANSLATE(A768,""en"",""fr""))"),"")</f>
        <v/>
      </c>
    </row>
    <row r="769" spans="2:2">
      <c r="B769" s="3" t="str">
        <f ca="1">IFERROR(__xludf.DUMMYFUNCTION("IF(ISBLANK(A769),"""",GOOGLETRANSLATE(A769,""en"",""fr""))"),"")</f>
        <v/>
      </c>
    </row>
    <row r="770" spans="2:2">
      <c r="B770" s="3" t="str">
        <f ca="1">IFERROR(__xludf.DUMMYFUNCTION("IF(ISBLANK(A770),"""",GOOGLETRANSLATE(A770,""en"",""fr""))"),"")</f>
        <v/>
      </c>
    </row>
    <row r="771" spans="2:2">
      <c r="B771" s="3" t="str">
        <f ca="1">IFERROR(__xludf.DUMMYFUNCTION("IF(ISBLANK(A771),"""",GOOGLETRANSLATE(A771,""en"",""fr""))"),"")</f>
        <v/>
      </c>
    </row>
    <row r="772" spans="2:2">
      <c r="B772" s="3" t="str">
        <f ca="1">IFERROR(__xludf.DUMMYFUNCTION("IF(ISBLANK(A772),"""",GOOGLETRANSLATE(A772,""en"",""fr""))"),"")</f>
        <v/>
      </c>
    </row>
    <row r="773" spans="2:2">
      <c r="B773" s="3" t="str">
        <f ca="1">IFERROR(__xludf.DUMMYFUNCTION("IF(ISBLANK(A773),"""",GOOGLETRANSLATE(A773,""en"",""fr""))"),"")</f>
        <v/>
      </c>
    </row>
    <row r="774" spans="2:2">
      <c r="B774" s="3" t="str">
        <f ca="1">IFERROR(__xludf.DUMMYFUNCTION("IF(ISBLANK(A774),"""",GOOGLETRANSLATE(A774,""en"",""fr""))"),"")</f>
        <v/>
      </c>
    </row>
    <row r="775" spans="2:2">
      <c r="B775" s="3" t="str">
        <f ca="1">IFERROR(__xludf.DUMMYFUNCTION("IF(ISBLANK(A775),"""",GOOGLETRANSLATE(A775,""en"",""fr""))"),"")</f>
        <v/>
      </c>
    </row>
    <row r="776" spans="2:2">
      <c r="B776" s="3" t="str">
        <f ca="1">IFERROR(__xludf.DUMMYFUNCTION("IF(ISBLANK(A776),"""",GOOGLETRANSLATE(A776,""en"",""fr""))"),"")</f>
        <v/>
      </c>
    </row>
    <row r="777" spans="2:2">
      <c r="B777" s="3" t="str">
        <f ca="1">IFERROR(__xludf.DUMMYFUNCTION("IF(ISBLANK(A777),"""",GOOGLETRANSLATE(A777,""en"",""fr""))"),"")</f>
        <v/>
      </c>
    </row>
    <row r="778" spans="2:2">
      <c r="B778" s="3" t="str">
        <f ca="1">IFERROR(__xludf.DUMMYFUNCTION("IF(ISBLANK(A778),"""",GOOGLETRANSLATE(A778,""en"",""fr""))"),"")</f>
        <v/>
      </c>
    </row>
    <row r="779" spans="2:2">
      <c r="B779" s="3" t="str">
        <f ca="1">IFERROR(__xludf.DUMMYFUNCTION("IF(ISBLANK(A779),"""",GOOGLETRANSLATE(A779,""en"",""fr""))"),"")</f>
        <v/>
      </c>
    </row>
    <row r="780" spans="2:2">
      <c r="B780" s="3" t="str">
        <f ca="1">IFERROR(__xludf.DUMMYFUNCTION("IF(ISBLANK(A780),"""",GOOGLETRANSLATE(A780,""en"",""fr""))"),"")</f>
        <v/>
      </c>
    </row>
    <row r="781" spans="2:2">
      <c r="B781" s="3" t="str">
        <f ca="1">IFERROR(__xludf.DUMMYFUNCTION("IF(ISBLANK(A781),"""",GOOGLETRANSLATE(A781,""en"",""fr""))"),"")</f>
        <v/>
      </c>
    </row>
    <row r="782" spans="2:2">
      <c r="B782" s="3" t="str">
        <f ca="1">IFERROR(__xludf.DUMMYFUNCTION("IF(ISBLANK(A782),"""",GOOGLETRANSLATE(A782,""en"",""fr""))"),"")</f>
        <v/>
      </c>
    </row>
    <row r="783" spans="2:2">
      <c r="B783" s="3" t="str">
        <f ca="1">IFERROR(__xludf.DUMMYFUNCTION("IF(ISBLANK(A783),"""",GOOGLETRANSLATE(A783,""en"",""fr""))"),"")</f>
        <v/>
      </c>
    </row>
    <row r="784" spans="2:2">
      <c r="B784" s="3" t="str">
        <f ca="1">IFERROR(__xludf.DUMMYFUNCTION("IF(ISBLANK(A784),"""",GOOGLETRANSLATE(A784,""en"",""fr""))"),"")</f>
        <v/>
      </c>
    </row>
    <row r="785" spans="2:2">
      <c r="B785" s="3" t="str">
        <f ca="1">IFERROR(__xludf.DUMMYFUNCTION("IF(ISBLANK(A785),"""",GOOGLETRANSLATE(A785,""en"",""fr""))"),"")</f>
        <v/>
      </c>
    </row>
    <row r="786" spans="2:2">
      <c r="B786" s="3" t="str">
        <f ca="1">IFERROR(__xludf.DUMMYFUNCTION("IF(ISBLANK(A786),"""",GOOGLETRANSLATE(A786,""en"",""fr""))"),"")</f>
        <v/>
      </c>
    </row>
    <row r="787" spans="2:2">
      <c r="B787" s="3" t="str">
        <f ca="1">IFERROR(__xludf.DUMMYFUNCTION("IF(ISBLANK(A787),"""",GOOGLETRANSLATE(A787,""en"",""fr""))"),"")</f>
        <v/>
      </c>
    </row>
    <row r="788" spans="2:2">
      <c r="B788" s="3" t="str">
        <f ca="1">IFERROR(__xludf.DUMMYFUNCTION("IF(ISBLANK(A788),"""",GOOGLETRANSLATE(A788,""en"",""fr""))"),"")</f>
        <v/>
      </c>
    </row>
    <row r="789" spans="2:2">
      <c r="B789" s="3" t="str">
        <f ca="1">IFERROR(__xludf.DUMMYFUNCTION("IF(ISBLANK(A789),"""",GOOGLETRANSLATE(A789,""en"",""fr""))"),"")</f>
        <v/>
      </c>
    </row>
    <row r="790" spans="2:2">
      <c r="B790" s="3" t="str">
        <f ca="1">IFERROR(__xludf.DUMMYFUNCTION("IF(ISBLANK(A790),"""",GOOGLETRANSLATE(A790,""en"",""fr""))"),"")</f>
        <v/>
      </c>
    </row>
    <row r="791" spans="2:2">
      <c r="B791" s="3" t="str">
        <f ca="1">IFERROR(__xludf.DUMMYFUNCTION("IF(ISBLANK(A791),"""",GOOGLETRANSLATE(A791,""en"",""fr""))"),"")</f>
        <v/>
      </c>
    </row>
    <row r="792" spans="2:2">
      <c r="B792" s="3" t="str">
        <f ca="1">IFERROR(__xludf.DUMMYFUNCTION("IF(ISBLANK(A792),"""",GOOGLETRANSLATE(A792,""en"",""fr""))"),"")</f>
        <v/>
      </c>
    </row>
    <row r="793" spans="2:2">
      <c r="B793" s="3" t="str">
        <f ca="1">IFERROR(__xludf.DUMMYFUNCTION("IF(ISBLANK(A793),"""",GOOGLETRANSLATE(A793,""en"",""fr""))"),"")</f>
        <v/>
      </c>
    </row>
    <row r="794" spans="2:2">
      <c r="B794" s="3" t="str">
        <f ca="1">IFERROR(__xludf.DUMMYFUNCTION("IF(ISBLANK(A794),"""",GOOGLETRANSLATE(A794,""en"",""fr""))"),"")</f>
        <v/>
      </c>
    </row>
    <row r="795" spans="2:2">
      <c r="B795" s="3" t="str">
        <f ca="1">IFERROR(__xludf.DUMMYFUNCTION("IF(ISBLANK(A795),"""",GOOGLETRANSLATE(A795,""en"",""fr""))"),"")</f>
        <v/>
      </c>
    </row>
    <row r="796" spans="2:2">
      <c r="B796" s="3" t="str">
        <f ca="1">IFERROR(__xludf.DUMMYFUNCTION("IF(ISBLANK(A796),"""",GOOGLETRANSLATE(A796,""en"",""fr""))"),"")</f>
        <v/>
      </c>
    </row>
    <row r="797" spans="2:2">
      <c r="B797" s="3" t="str">
        <f ca="1">IFERROR(__xludf.DUMMYFUNCTION("IF(ISBLANK(A797),"""",GOOGLETRANSLATE(A797,""en"",""fr""))"),"")</f>
        <v/>
      </c>
    </row>
    <row r="798" spans="2:2">
      <c r="B798" s="3" t="str">
        <f ca="1">IFERROR(__xludf.DUMMYFUNCTION("IF(ISBLANK(A798),"""",GOOGLETRANSLATE(A798,""en"",""fr""))"),"")</f>
        <v/>
      </c>
    </row>
    <row r="799" spans="2:2">
      <c r="B799" s="3" t="str">
        <f ca="1">IFERROR(__xludf.DUMMYFUNCTION("IF(ISBLANK(A799),"""",GOOGLETRANSLATE(A799,""en"",""fr""))"),"")</f>
        <v/>
      </c>
    </row>
    <row r="800" spans="2:2">
      <c r="B800" s="3" t="str">
        <f ca="1">IFERROR(__xludf.DUMMYFUNCTION("IF(ISBLANK(A800),"""",GOOGLETRANSLATE(A800,""en"",""fr""))"),"")</f>
        <v/>
      </c>
    </row>
    <row r="801" spans="2:2">
      <c r="B801" s="3" t="str">
        <f ca="1">IFERROR(__xludf.DUMMYFUNCTION("IF(ISBLANK(A801),"""",GOOGLETRANSLATE(A801,""en"",""fr""))"),"")</f>
        <v/>
      </c>
    </row>
    <row r="802" spans="2:2">
      <c r="B802" s="3" t="str">
        <f ca="1">IFERROR(__xludf.DUMMYFUNCTION("IF(ISBLANK(A802),"""",GOOGLETRANSLATE(A802,""en"",""fr""))"),"")</f>
        <v/>
      </c>
    </row>
    <row r="803" spans="2:2">
      <c r="B803" s="3" t="str">
        <f ca="1">IFERROR(__xludf.DUMMYFUNCTION("IF(ISBLANK(A803),"""",GOOGLETRANSLATE(A803,""en"",""fr""))"),"")</f>
        <v/>
      </c>
    </row>
    <row r="804" spans="2:2">
      <c r="B804" s="3" t="str">
        <f ca="1">IFERROR(__xludf.DUMMYFUNCTION("IF(ISBLANK(A804),"""",GOOGLETRANSLATE(A804,""en"",""fr""))"),"")</f>
        <v/>
      </c>
    </row>
    <row r="805" spans="2:2">
      <c r="B805" s="3" t="str">
        <f ca="1">IFERROR(__xludf.DUMMYFUNCTION("IF(ISBLANK(A805),"""",GOOGLETRANSLATE(A805,""en"",""fr""))"),"")</f>
        <v/>
      </c>
    </row>
    <row r="806" spans="2:2">
      <c r="B806" s="3" t="str">
        <f ca="1">IFERROR(__xludf.DUMMYFUNCTION("IF(ISBLANK(A806),"""",GOOGLETRANSLATE(A806,""en"",""fr""))"),"")</f>
        <v/>
      </c>
    </row>
    <row r="807" spans="2:2">
      <c r="B807" s="3" t="str">
        <f ca="1">IFERROR(__xludf.DUMMYFUNCTION("IF(ISBLANK(A807),"""",GOOGLETRANSLATE(A807,""en"",""fr""))"),"")</f>
        <v/>
      </c>
    </row>
    <row r="808" spans="2:2">
      <c r="B808" s="3" t="str">
        <f ca="1">IFERROR(__xludf.DUMMYFUNCTION("IF(ISBLANK(A808),"""",GOOGLETRANSLATE(A808,""en"",""fr""))"),"")</f>
        <v/>
      </c>
    </row>
    <row r="809" spans="2:2">
      <c r="B809" s="3" t="str">
        <f ca="1">IFERROR(__xludf.DUMMYFUNCTION("IF(ISBLANK(A809),"""",GOOGLETRANSLATE(A809,""en"",""fr""))"),"")</f>
        <v/>
      </c>
    </row>
    <row r="810" spans="2:2">
      <c r="B810" s="3" t="str">
        <f ca="1">IFERROR(__xludf.DUMMYFUNCTION("IF(ISBLANK(A810),"""",GOOGLETRANSLATE(A810,""en"",""fr""))"),"")</f>
        <v/>
      </c>
    </row>
    <row r="811" spans="2:2">
      <c r="B811" s="3" t="str">
        <f ca="1">IFERROR(__xludf.DUMMYFUNCTION("IF(ISBLANK(A811),"""",GOOGLETRANSLATE(A811,""en"",""fr""))"),"")</f>
        <v/>
      </c>
    </row>
    <row r="812" spans="2:2">
      <c r="B812" s="3" t="str">
        <f ca="1">IFERROR(__xludf.DUMMYFUNCTION("IF(ISBLANK(A812),"""",GOOGLETRANSLATE(A812,""en"",""fr""))"),"")</f>
        <v/>
      </c>
    </row>
    <row r="813" spans="2:2">
      <c r="B813" s="3" t="str">
        <f ca="1">IFERROR(__xludf.DUMMYFUNCTION("IF(ISBLANK(A813),"""",GOOGLETRANSLATE(A813,""en"",""fr""))"),"")</f>
        <v/>
      </c>
    </row>
    <row r="814" spans="2:2">
      <c r="B814" s="3" t="str">
        <f ca="1">IFERROR(__xludf.DUMMYFUNCTION("IF(ISBLANK(A814),"""",GOOGLETRANSLATE(A814,""en"",""fr""))"),"")</f>
        <v/>
      </c>
    </row>
    <row r="815" spans="2:2">
      <c r="B815" s="3" t="str">
        <f ca="1">IFERROR(__xludf.DUMMYFUNCTION("IF(ISBLANK(A815),"""",GOOGLETRANSLATE(A815,""en"",""fr""))"),"")</f>
        <v/>
      </c>
    </row>
    <row r="816" spans="2:2">
      <c r="B816" s="3" t="str">
        <f ca="1">IFERROR(__xludf.DUMMYFUNCTION("IF(ISBLANK(A816),"""",GOOGLETRANSLATE(A816,""en"",""fr""))"),"")</f>
        <v/>
      </c>
    </row>
    <row r="817" spans="2:2">
      <c r="B817" s="3" t="str">
        <f ca="1">IFERROR(__xludf.DUMMYFUNCTION("IF(ISBLANK(A817),"""",GOOGLETRANSLATE(A817,""en"",""fr""))"),"")</f>
        <v/>
      </c>
    </row>
    <row r="818" spans="2:2">
      <c r="B818" s="3" t="str">
        <f ca="1">IFERROR(__xludf.DUMMYFUNCTION("IF(ISBLANK(A818),"""",GOOGLETRANSLATE(A818,""en"",""fr""))"),"")</f>
        <v/>
      </c>
    </row>
    <row r="819" spans="2:2">
      <c r="B819" s="3" t="str">
        <f ca="1">IFERROR(__xludf.DUMMYFUNCTION("IF(ISBLANK(A819),"""",GOOGLETRANSLATE(A819,""en"",""fr""))"),"")</f>
        <v/>
      </c>
    </row>
    <row r="820" spans="2:2">
      <c r="B820" s="3" t="str">
        <f ca="1">IFERROR(__xludf.DUMMYFUNCTION("IF(ISBLANK(A820),"""",GOOGLETRANSLATE(A820,""en"",""fr""))"),"")</f>
        <v/>
      </c>
    </row>
    <row r="821" spans="2:2">
      <c r="B821" s="3" t="str">
        <f ca="1">IFERROR(__xludf.DUMMYFUNCTION("IF(ISBLANK(A821),"""",GOOGLETRANSLATE(A821,""en"",""fr""))"),"")</f>
        <v/>
      </c>
    </row>
    <row r="822" spans="2:2">
      <c r="B822" s="3" t="str">
        <f ca="1">IFERROR(__xludf.DUMMYFUNCTION("IF(ISBLANK(A822),"""",GOOGLETRANSLATE(A822,""en"",""fr""))"),"")</f>
        <v/>
      </c>
    </row>
    <row r="823" spans="2:2">
      <c r="B823" s="3" t="str">
        <f ca="1">IFERROR(__xludf.DUMMYFUNCTION("IF(ISBLANK(A823),"""",GOOGLETRANSLATE(A823,""en"",""fr""))"),"")</f>
        <v/>
      </c>
    </row>
    <row r="824" spans="2:2">
      <c r="B824" s="3" t="str">
        <f ca="1">IFERROR(__xludf.DUMMYFUNCTION("IF(ISBLANK(A824),"""",GOOGLETRANSLATE(A824,""en"",""fr""))"),"")</f>
        <v/>
      </c>
    </row>
    <row r="825" spans="2:2">
      <c r="B825" s="3" t="str">
        <f ca="1">IFERROR(__xludf.DUMMYFUNCTION("IF(ISBLANK(A825),"""",GOOGLETRANSLATE(A825,""en"",""fr""))"),"")</f>
        <v/>
      </c>
    </row>
    <row r="826" spans="2:2">
      <c r="B826" s="3" t="str">
        <f ca="1">IFERROR(__xludf.DUMMYFUNCTION("IF(ISBLANK(A826),"""",GOOGLETRANSLATE(A826,""en"",""fr""))"),"")</f>
        <v/>
      </c>
    </row>
    <row r="827" spans="2:2">
      <c r="B827" s="3" t="str">
        <f ca="1">IFERROR(__xludf.DUMMYFUNCTION("IF(ISBLANK(A827),"""",GOOGLETRANSLATE(A827,""en"",""fr""))"),"")</f>
        <v/>
      </c>
    </row>
    <row r="828" spans="2:2">
      <c r="B828" s="3" t="str">
        <f ca="1">IFERROR(__xludf.DUMMYFUNCTION("IF(ISBLANK(A828),"""",GOOGLETRANSLATE(A828,""en"",""fr""))"),"")</f>
        <v/>
      </c>
    </row>
    <row r="829" spans="2:2">
      <c r="B829" s="3" t="str">
        <f ca="1">IFERROR(__xludf.DUMMYFUNCTION("IF(ISBLANK(A829),"""",GOOGLETRANSLATE(A829,""en"",""fr""))"),"")</f>
        <v/>
      </c>
    </row>
    <row r="830" spans="2:2">
      <c r="B830" s="3" t="str">
        <f ca="1">IFERROR(__xludf.DUMMYFUNCTION("IF(ISBLANK(A830),"""",GOOGLETRANSLATE(A830,""en"",""fr""))"),"")</f>
        <v/>
      </c>
    </row>
    <row r="831" spans="2:2">
      <c r="B831" s="3" t="str">
        <f ca="1">IFERROR(__xludf.DUMMYFUNCTION("IF(ISBLANK(A831),"""",GOOGLETRANSLATE(A831,""en"",""fr""))"),"")</f>
        <v/>
      </c>
    </row>
    <row r="832" spans="2:2">
      <c r="B832" s="3" t="str">
        <f ca="1">IFERROR(__xludf.DUMMYFUNCTION("IF(ISBLANK(A832),"""",GOOGLETRANSLATE(A832,""en"",""fr""))"),"")</f>
        <v/>
      </c>
    </row>
    <row r="833" spans="2:2">
      <c r="B833" s="3" t="str">
        <f ca="1">IFERROR(__xludf.DUMMYFUNCTION("IF(ISBLANK(A833),"""",GOOGLETRANSLATE(A833,""en"",""fr""))"),"")</f>
        <v/>
      </c>
    </row>
    <row r="834" spans="2:2">
      <c r="B834" s="3" t="str">
        <f ca="1">IFERROR(__xludf.DUMMYFUNCTION("IF(ISBLANK(A834),"""",GOOGLETRANSLATE(A834,""en"",""fr""))"),"")</f>
        <v/>
      </c>
    </row>
    <row r="835" spans="2:2">
      <c r="B835" s="3" t="str">
        <f ca="1">IFERROR(__xludf.DUMMYFUNCTION("IF(ISBLANK(A835),"""",GOOGLETRANSLATE(A835,""en"",""fr""))"),"")</f>
        <v/>
      </c>
    </row>
    <row r="836" spans="2:2">
      <c r="B836" s="3" t="str">
        <f ca="1">IFERROR(__xludf.DUMMYFUNCTION("IF(ISBLANK(A836),"""",GOOGLETRANSLATE(A836,""en"",""fr""))"),"")</f>
        <v/>
      </c>
    </row>
    <row r="837" spans="2:2">
      <c r="B837" s="3" t="str">
        <f ca="1">IFERROR(__xludf.DUMMYFUNCTION("IF(ISBLANK(A837),"""",GOOGLETRANSLATE(A837,""en"",""fr""))"),"")</f>
        <v/>
      </c>
    </row>
    <row r="838" spans="2:2">
      <c r="B838" s="3" t="str">
        <f ca="1">IFERROR(__xludf.DUMMYFUNCTION("IF(ISBLANK(A838),"""",GOOGLETRANSLATE(A838,""en"",""fr""))"),"")</f>
        <v/>
      </c>
    </row>
    <row r="839" spans="2:2">
      <c r="B839" s="3" t="str">
        <f ca="1">IFERROR(__xludf.DUMMYFUNCTION("IF(ISBLANK(A839),"""",GOOGLETRANSLATE(A839,""en"",""fr""))"),"")</f>
        <v/>
      </c>
    </row>
    <row r="840" spans="2:2">
      <c r="B840" s="3" t="str">
        <f ca="1">IFERROR(__xludf.DUMMYFUNCTION("IF(ISBLANK(A840),"""",GOOGLETRANSLATE(A840,""en"",""fr""))"),"")</f>
        <v/>
      </c>
    </row>
    <row r="841" spans="2:2">
      <c r="B841" s="3" t="str">
        <f ca="1">IFERROR(__xludf.DUMMYFUNCTION("IF(ISBLANK(A841),"""",GOOGLETRANSLATE(A841,""en"",""fr""))"),"")</f>
        <v/>
      </c>
    </row>
    <row r="842" spans="2:2">
      <c r="B842" s="3" t="str">
        <f ca="1">IFERROR(__xludf.DUMMYFUNCTION("IF(ISBLANK(A842),"""",GOOGLETRANSLATE(A842,""en"",""fr""))"),"")</f>
        <v/>
      </c>
    </row>
    <row r="843" spans="2:2">
      <c r="B843" s="3" t="str">
        <f ca="1">IFERROR(__xludf.DUMMYFUNCTION("IF(ISBLANK(A843),"""",GOOGLETRANSLATE(A843,""en"",""fr""))"),"")</f>
        <v/>
      </c>
    </row>
    <row r="844" spans="2:2">
      <c r="B844" s="3" t="str">
        <f ca="1">IFERROR(__xludf.DUMMYFUNCTION("IF(ISBLANK(A844),"""",GOOGLETRANSLATE(A844,""en"",""fr""))"),"")</f>
        <v/>
      </c>
    </row>
    <row r="845" spans="2:2">
      <c r="B845" s="3" t="str">
        <f ca="1">IFERROR(__xludf.DUMMYFUNCTION("IF(ISBLANK(A845),"""",GOOGLETRANSLATE(A845,""en"",""fr""))"),"")</f>
        <v/>
      </c>
    </row>
    <row r="846" spans="2:2">
      <c r="B846" s="3" t="str">
        <f ca="1">IFERROR(__xludf.DUMMYFUNCTION("IF(ISBLANK(A846),"""",GOOGLETRANSLATE(A846,""en"",""fr""))"),"")</f>
        <v/>
      </c>
    </row>
    <row r="847" spans="2:2">
      <c r="B847" s="3" t="str">
        <f ca="1">IFERROR(__xludf.DUMMYFUNCTION("IF(ISBLANK(A847),"""",GOOGLETRANSLATE(A847,""en"",""fr""))"),"")</f>
        <v/>
      </c>
    </row>
    <row r="848" spans="2:2">
      <c r="B848" s="3" t="str">
        <f ca="1">IFERROR(__xludf.DUMMYFUNCTION("IF(ISBLANK(A848),"""",GOOGLETRANSLATE(A848,""en"",""fr""))"),"")</f>
        <v/>
      </c>
    </row>
    <row r="849" spans="2:2">
      <c r="B849" s="3" t="str">
        <f ca="1">IFERROR(__xludf.DUMMYFUNCTION("IF(ISBLANK(A849),"""",GOOGLETRANSLATE(A849,""en"",""fr""))"),"")</f>
        <v/>
      </c>
    </row>
    <row r="850" spans="2:2">
      <c r="B850" s="3" t="str">
        <f ca="1">IFERROR(__xludf.DUMMYFUNCTION("IF(ISBLANK(A850),"""",GOOGLETRANSLATE(A850,""en"",""fr""))"),"")</f>
        <v/>
      </c>
    </row>
    <row r="851" spans="2:2">
      <c r="B851" s="3" t="str">
        <f ca="1">IFERROR(__xludf.DUMMYFUNCTION("IF(ISBLANK(A851),"""",GOOGLETRANSLATE(A851,""en"",""fr""))"),"")</f>
        <v/>
      </c>
    </row>
    <row r="852" spans="2:2">
      <c r="B852" s="3" t="str">
        <f ca="1">IFERROR(__xludf.DUMMYFUNCTION("IF(ISBLANK(A852),"""",GOOGLETRANSLATE(A852,""en"",""fr""))"),"")</f>
        <v/>
      </c>
    </row>
    <row r="853" spans="2:2">
      <c r="B853" s="3" t="str">
        <f ca="1">IFERROR(__xludf.DUMMYFUNCTION("IF(ISBLANK(A853),"""",GOOGLETRANSLATE(A853,""en"",""fr""))"),"")</f>
        <v/>
      </c>
    </row>
    <row r="854" spans="2:2">
      <c r="B854" s="3" t="str">
        <f ca="1">IFERROR(__xludf.DUMMYFUNCTION("IF(ISBLANK(A854),"""",GOOGLETRANSLATE(A854,""en"",""fr""))"),"")</f>
        <v/>
      </c>
    </row>
    <row r="855" spans="2:2">
      <c r="B855" s="3" t="str">
        <f ca="1">IFERROR(__xludf.DUMMYFUNCTION("IF(ISBLANK(A855),"""",GOOGLETRANSLATE(A855,""en"",""fr""))"),"")</f>
        <v/>
      </c>
    </row>
    <row r="856" spans="2:2">
      <c r="B856" s="3" t="str">
        <f ca="1">IFERROR(__xludf.DUMMYFUNCTION("IF(ISBLANK(A856),"""",GOOGLETRANSLATE(A856,""en"",""fr""))"),"")</f>
        <v/>
      </c>
    </row>
    <row r="857" spans="2:2">
      <c r="B857" s="3" t="str">
        <f ca="1">IFERROR(__xludf.DUMMYFUNCTION("IF(ISBLANK(A857),"""",GOOGLETRANSLATE(A857,""en"",""fr""))"),"")</f>
        <v/>
      </c>
    </row>
    <row r="858" spans="2:2">
      <c r="B858" s="3" t="str">
        <f ca="1">IFERROR(__xludf.DUMMYFUNCTION("IF(ISBLANK(A858),"""",GOOGLETRANSLATE(A858,""en"",""fr""))"),"")</f>
        <v/>
      </c>
    </row>
    <row r="859" spans="2:2">
      <c r="B859" s="3" t="str">
        <f ca="1">IFERROR(__xludf.DUMMYFUNCTION("IF(ISBLANK(A859),"""",GOOGLETRANSLATE(A859,""en"",""fr""))"),"")</f>
        <v/>
      </c>
    </row>
    <row r="860" spans="2:2">
      <c r="B860" s="3" t="str">
        <f ca="1">IFERROR(__xludf.DUMMYFUNCTION("IF(ISBLANK(A860),"""",GOOGLETRANSLATE(A860,""en"",""fr""))"),"")</f>
        <v/>
      </c>
    </row>
    <row r="861" spans="2:2">
      <c r="B861" s="3" t="str">
        <f ca="1">IFERROR(__xludf.DUMMYFUNCTION("IF(ISBLANK(A861),"""",GOOGLETRANSLATE(A861,""en"",""fr""))"),"")</f>
        <v/>
      </c>
    </row>
    <row r="862" spans="2:2">
      <c r="B862" s="3" t="str">
        <f ca="1">IFERROR(__xludf.DUMMYFUNCTION("IF(ISBLANK(A862),"""",GOOGLETRANSLATE(A862,""en"",""fr""))"),"")</f>
        <v/>
      </c>
    </row>
    <row r="863" spans="2:2">
      <c r="B863" s="3" t="str">
        <f ca="1">IFERROR(__xludf.DUMMYFUNCTION("IF(ISBLANK(A863),"""",GOOGLETRANSLATE(A863,""en"",""fr""))"),"")</f>
        <v/>
      </c>
    </row>
    <row r="864" spans="2:2">
      <c r="B864" s="3" t="str">
        <f ca="1">IFERROR(__xludf.DUMMYFUNCTION("IF(ISBLANK(A864),"""",GOOGLETRANSLATE(A864,""en"",""fr""))"),"")</f>
        <v/>
      </c>
    </row>
    <row r="865" spans="2:2">
      <c r="B865" s="3" t="str">
        <f ca="1">IFERROR(__xludf.DUMMYFUNCTION("IF(ISBLANK(A865),"""",GOOGLETRANSLATE(A865,""en"",""fr""))"),"")</f>
        <v/>
      </c>
    </row>
    <row r="866" spans="2:2">
      <c r="B866" s="3" t="str">
        <f ca="1">IFERROR(__xludf.DUMMYFUNCTION("IF(ISBLANK(A866),"""",GOOGLETRANSLATE(A866,""en"",""fr""))"),"")</f>
        <v/>
      </c>
    </row>
    <row r="867" spans="2:2">
      <c r="B867" s="3" t="str">
        <f ca="1">IFERROR(__xludf.DUMMYFUNCTION("IF(ISBLANK(A867),"""",GOOGLETRANSLATE(A867,""en"",""fr""))"),"")</f>
        <v/>
      </c>
    </row>
    <row r="868" spans="2:2">
      <c r="B868" s="3" t="str">
        <f ca="1">IFERROR(__xludf.DUMMYFUNCTION("IF(ISBLANK(A868),"""",GOOGLETRANSLATE(A868,""en"",""fr""))"),"")</f>
        <v/>
      </c>
    </row>
    <row r="869" spans="2:2">
      <c r="B869" s="3" t="str">
        <f ca="1">IFERROR(__xludf.DUMMYFUNCTION("IF(ISBLANK(A869),"""",GOOGLETRANSLATE(A869,""en"",""fr""))"),"")</f>
        <v/>
      </c>
    </row>
    <row r="870" spans="2:2">
      <c r="B870" s="3" t="str">
        <f ca="1">IFERROR(__xludf.DUMMYFUNCTION("IF(ISBLANK(A870),"""",GOOGLETRANSLATE(A870,""en"",""fr""))"),"")</f>
        <v/>
      </c>
    </row>
    <row r="871" spans="2:2">
      <c r="B871" s="3" t="str">
        <f ca="1">IFERROR(__xludf.DUMMYFUNCTION("IF(ISBLANK(A871),"""",GOOGLETRANSLATE(A871,""en"",""fr""))"),"")</f>
        <v/>
      </c>
    </row>
    <row r="872" spans="2:2">
      <c r="B872" s="3" t="str">
        <f ca="1">IFERROR(__xludf.DUMMYFUNCTION("IF(ISBLANK(A872),"""",GOOGLETRANSLATE(A872,""en"",""fr""))"),"")</f>
        <v/>
      </c>
    </row>
    <row r="873" spans="2:2">
      <c r="B873" s="3" t="str">
        <f ca="1">IFERROR(__xludf.DUMMYFUNCTION("IF(ISBLANK(A873),"""",GOOGLETRANSLATE(A873,""en"",""fr""))"),"")</f>
        <v/>
      </c>
    </row>
    <row r="874" spans="2:2">
      <c r="B874" s="3" t="str">
        <f ca="1">IFERROR(__xludf.DUMMYFUNCTION("IF(ISBLANK(A874),"""",GOOGLETRANSLATE(A874,""en"",""fr""))"),"")</f>
        <v/>
      </c>
    </row>
    <row r="875" spans="2:2">
      <c r="B875" s="3" t="str">
        <f ca="1">IFERROR(__xludf.DUMMYFUNCTION("IF(ISBLANK(A875),"""",GOOGLETRANSLATE(A875,""en"",""fr""))"),"")</f>
        <v/>
      </c>
    </row>
    <row r="876" spans="2:2">
      <c r="B876" s="3" t="str">
        <f ca="1">IFERROR(__xludf.DUMMYFUNCTION("IF(ISBLANK(A876),"""",GOOGLETRANSLATE(A876,""en"",""fr""))"),"")</f>
        <v/>
      </c>
    </row>
    <row r="877" spans="2:2">
      <c r="B877" s="3" t="str">
        <f ca="1">IFERROR(__xludf.DUMMYFUNCTION("IF(ISBLANK(A877),"""",GOOGLETRANSLATE(A877,""en"",""fr""))"),"")</f>
        <v/>
      </c>
    </row>
    <row r="878" spans="2:2">
      <c r="B878" s="3" t="str">
        <f ca="1">IFERROR(__xludf.DUMMYFUNCTION("IF(ISBLANK(A878),"""",GOOGLETRANSLATE(A878,""en"",""fr""))"),"")</f>
        <v/>
      </c>
    </row>
    <row r="879" spans="2:2">
      <c r="B879" s="3" t="str">
        <f ca="1">IFERROR(__xludf.DUMMYFUNCTION("IF(ISBLANK(A879),"""",GOOGLETRANSLATE(A879,""en"",""fr""))"),"")</f>
        <v/>
      </c>
    </row>
    <row r="880" spans="2:2">
      <c r="B880" s="3" t="str">
        <f ca="1">IFERROR(__xludf.DUMMYFUNCTION("IF(ISBLANK(A880),"""",GOOGLETRANSLATE(A880,""en"",""fr""))"),"")</f>
        <v/>
      </c>
    </row>
    <row r="881" spans="2:2">
      <c r="B881" s="3" t="str">
        <f ca="1">IFERROR(__xludf.DUMMYFUNCTION("IF(ISBLANK(A881),"""",GOOGLETRANSLATE(A881,""en"",""fr""))"),"")</f>
        <v/>
      </c>
    </row>
    <row r="882" spans="2:2">
      <c r="B882" s="3" t="str">
        <f ca="1">IFERROR(__xludf.DUMMYFUNCTION("IF(ISBLANK(A882),"""",GOOGLETRANSLATE(A882,""en"",""fr""))"),"")</f>
        <v/>
      </c>
    </row>
    <row r="883" spans="2:2">
      <c r="B883" s="3" t="str">
        <f ca="1">IFERROR(__xludf.DUMMYFUNCTION("IF(ISBLANK(A883),"""",GOOGLETRANSLATE(A883,""en"",""fr""))"),"")</f>
        <v/>
      </c>
    </row>
    <row r="884" spans="2:2">
      <c r="B884" s="3" t="str">
        <f ca="1">IFERROR(__xludf.DUMMYFUNCTION("IF(ISBLANK(A884),"""",GOOGLETRANSLATE(A884,""en"",""fr""))"),"")</f>
        <v/>
      </c>
    </row>
    <row r="885" spans="2:2">
      <c r="B885" s="3" t="str">
        <f ca="1">IFERROR(__xludf.DUMMYFUNCTION("IF(ISBLANK(A885),"""",GOOGLETRANSLATE(A885,""en"",""fr""))"),"")</f>
        <v/>
      </c>
    </row>
    <row r="886" spans="2:2">
      <c r="B886" s="3" t="str">
        <f ca="1">IFERROR(__xludf.DUMMYFUNCTION("IF(ISBLANK(A886),"""",GOOGLETRANSLATE(A886,""en"",""fr""))"),"")</f>
        <v/>
      </c>
    </row>
    <row r="887" spans="2:2">
      <c r="B887" s="3" t="str">
        <f ca="1">IFERROR(__xludf.DUMMYFUNCTION("IF(ISBLANK(A887),"""",GOOGLETRANSLATE(A887,""en"",""fr""))"),"")</f>
        <v/>
      </c>
    </row>
    <row r="888" spans="2:2">
      <c r="B888" s="3" t="str">
        <f ca="1">IFERROR(__xludf.DUMMYFUNCTION("IF(ISBLANK(A888),"""",GOOGLETRANSLATE(A888,""en"",""fr""))"),"")</f>
        <v/>
      </c>
    </row>
    <row r="889" spans="2:2">
      <c r="B889" s="3" t="str">
        <f ca="1">IFERROR(__xludf.DUMMYFUNCTION("IF(ISBLANK(A889),"""",GOOGLETRANSLATE(A889,""en"",""fr""))"),"")</f>
        <v/>
      </c>
    </row>
    <row r="890" spans="2:2">
      <c r="B890" s="3" t="str">
        <f ca="1">IFERROR(__xludf.DUMMYFUNCTION("IF(ISBLANK(A890),"""",GOOGLETRANSLATE(A890,""en"",""fr""))"),"")</f>
        <v/>
      </c>
    </row>
    <row r="891" spans="2:2">
      <c r="B891" s="3" t="str">
        <f ca="1">IFERROR(__xludf.DUMMYFUNCTION("IF(ISBLANK(A891),"""",GOOGLETRANSLATE(A891,""en"",""fr""))"),"")</f>
        <v/>
      </c>
    </row>
    <row r="892" spans="2:2">
      <c r="B892" s="3" t="str">
        <f ca="1">IFERROR(__xludf.DUMMYFUNCTION("IF(ISBLANK(A892),"""",GOOGLETRANSLATE(A892,""en"",""fr""))"),"")</f>
        <v/>
      </c>
    </row>
    <row r="893" spans="2:2">
      <c r="B893" s="3" t="str">
        <f ca="1">IFERROR(__xludf.DUMMYFUNCTION("IF(ISBLANK(A893),"""",GOOGLETRANSLATE(A893,""en"",""fr""))"),"")</f>
        <v/>
      </c>
    </row>
    <row r="894" spans="2:2">
      <c r="B894" s="3" t="str">
        <f ca="1">IFERROR(__xludf.DUMMYFUNCTION("IF(ISBLANK(A894),"""",GOOGLETRANSLATE(A894,""en"",""fr""))"),"")</f>
        <v/>
      </c>
    </row>
    <row r="895" spans="2:2">
      <c r="B895" s="3" t="str">
        <f ca="1">IFERROR(__xludf.DUMMYFUNCTION("IF(ISBLANK(A895),"""",GOOGLETRANSLATE(A895,""en"",""fr""))"),"")</f>
        <v/>
      </c>
    </row>
    <row r="896" spans="2:2">
      <c r="B896" s="3" t="str">
        <f ca="1">IFERROR(__xludf.DUMMYFUNCTION("IF(ISBLANK(A896),"""",GOOGLETRANSLATE(A896,""en"",""fr""))"),"")</f>
        <v/>
      </c>
    </row>
    <row r="897" spans="2:2">
      <c r="B897" s="3" t="str">
        <f ca="1">IFERROR(__xludf.DUMMYFUNCTION("IF(ISBLANK(A897),"""",GOOGLETRANSLATE(A897,""en"",""fr""))"),"")</f>
        <v/>
      </c>
    </row>
    <row r="898" spans="2:2">
      <c r="B898" s="3" t="str">
        <f ca="1">IFERROR(__xludf.DUMMYFUNCTION("IF(ISBLANK(A898),"""",GOOGLETRANSLATE(A898,""en"",""fr""))"),"")</f>
        <v/>
      </c>
    </row>
    <row r="899" spans="2:2">
      <c r="B899" s="3" t="str">
        <f ca="1">IFERROR(__xludf.DUMMYFUNCTION("IF(ISBLANK(A899),"""",GOOGLETRANSLATE(A899,""en"",""fr""))"),"")</f>
        <v/>
      </c>
    </row>
    <row r="900" spans="2:2">
      <c r="B900" s="3" t="str">
        <f ca="1">IFERROR(__xludf.DUMMYFUNCTION("IF(ISBLANK(A900),"""",GOOGLETRANSLATE(A900,""en"",""fr""))"),"")</f>
        <v/>
      </c>
    </row>
    <row r="901" spans="2:2">
      <c r="B901" s="3" t="str">
        <f ca="1">IFERROR(__xludf.DUMMYFUNCTION("IF(ISBLANK(A901),"""",GOOGLETRANSLATE(A901,""en"",""fr""))"),"")</f>
        <v/>
      </c>
    </row>
    <row r="902" spans="2:2">
      <c r="B902" s="3" t="str">
        <f ca="1">IFERROR(__xludf.DUMMYFUNCTION("IF(ISBLANK(A902),"""",GOOGLETRANSLATE(A902,""en"",""fr""))"),"")</f>
        <v/>
      </c>
    </row>
    <row r="903" spans="2:2">
      <c r="B903" s="3" t="str">
        <f ca="1">IFERROR(__xludf.DUMMYFUNCTION("IF(ISBLANK(A903),"""",GOOGLETRANSLATE(A903,""en"",""fr""))"),"")</f>
        <v/>
      </c>
    </row>
    <row r="904" spans="2:2">
      <c r="B904" s="3" t="str">
        <f ca="1">IFERROR(__xludf.DUMMYFUNCTION("IF(ISBLANK(A904),"""",GOOGLETRANSLATE(A904,""en"",""fr""))"),"")</f>
        <v/>
      </c>
    </row>
    <row r="905" spans="2:2">
      <c r="B905" s="3" t="str">
        <f ca="1">IFERROR(__xludf.DUMMYFUNCTION("IF(ISBLANK(A905),"""",GOOGLETRANSLATE(A905,""en"",""fr""))"),"")</f>
        <v/>
      </c>
    </row>
    <row r="906" spans="2:2">
      <c r="B906" s="3" t="str">
        <f ca="1">IFERROR(__xludf.DUMMYFUNCTION("IF(ISBLANK(A906),"""",GOOGLETRANSLATE(A906,""en"",""fr""))"),"")</f>
        <v/>
      </c>
    </row>
    <row r="907" spans="2:2">
      <c r="B907" s="3" t="str">
        <f ca="1">IFERROR(__xludf.DUMMYFUNCTION("IF(ISBLANK(A907),"""",GOOGLETRANSLATE(A907,""en"",""fr""))"),"")</f>
        <v/>
      </c>
    </row>
    <row r="908" spans="2:2">
      <c r="B908" s="3" t="str">
        <f ca="1">IFERROR(__xludf.DUMMYFUNCTION("IF(ISBLANK(A908),"""",GOOGLETRANSLATE(A908,""en"",""fr""))"),"")</f>
        <v/>
      </c>
    </row>
    <row r="909" spans="2:2">
      <c r="B909" s="3" t="str">
        <f ca="1">IFERROR(__xludf.DUMMYFUNCTION("IF(ISBLANK(A909),"""",GOOGLETRANSLATE(A909,""en"",""fr""))"),"")</f>
        <v/>
      </c>
    </row>
    <row r="910" spans="2:2">
      <c r="B910" s="3" t="str">
        <f ca="1">IFERROR(__xludf.DUMMYFUNCTION("IF(ISBLANK(A910),"""",GOOGLETRANSLATE(A910,""en"",""fr""))"),"")</f>
        <v/>
      </c>
    </row>
    <row r="911" spans="2:2">
      <c r="B911" s="3" t="str">
        <f ca="1">IFERROR(__xludf.DUMMYFUNCTION("IF(ISBLANK(A911),"""",GOOGLETRANSLATE(A911,""en"",""fr""))"),"")</f>
        <v/>
      </c>
    </row>
    <row r="912" spans="2:2">
      <c r="B912" s="3" t="str">
        <f ca="1">IFERROR(__xludf.DUMMYFUNCTION("IF(ISBLANK(A912),"""",GOOGLETRANSLATE(A912,""en"",""fr""))"),"")</f>
        <v/>
      </c>
    </row>
    <row r="913" spans="2:2">
      <c r="B913" s="3" t="str">
        <f ca="1">IFERROR(__xludf.DUMMYFUNCTION("IF(ISBLANK(A913),"""",GOOGLETRANSLATE(A913,""en"",""fr""))"),"")</f>
        <v/>
      </c>
    </row>
    <row r="914" spans="2:2">
      <c r="B914" s="3" t="str">
        <f ca="1">IFERROR(__xludf.DUMMYFUNCTION("IF(ISBLANK(A914),"""",GOOGLETRANSLATE(A914,""en"",""fr""))"),"")</f>
        <v/>
      </c>
    </row>
    <row r="915" spans="2:2">
      <c r="B915" s="3" t="str">
        <f ca="1">IFERROR(__xludf.DUMMYFUNCTION("IF(ISBLANK(A915),"""",GOOGLETRANSLATE(A915,""en"",""fr""))"),"")</f>
        <v/>
      </c>
    </row>
    <row r="916" spans="2:2">
      <c r="B916" s="3" t="str">
        <f ca="1">IFERROR(__xludf.DUMMYFUNCTION("IF(ISBLANK(A916),"""",GOOGLETRANSLATE(A916,""en"",""fr""))"),"")</f>
        <v/>
      </c>
    </row>
    <row r="917" spans="2:2">
      <c r="B917" s="3" t="str">
        <f ca="1">IFERROR(__xludf.DUMMYFUNCTION("IF(ISBLANK(A917),"""",GOOGLETRANSLATE(A917,""en"",""fr""))"),"")</f>
        <v/>
      </c>
    </row>
    <row r="918" spans="2:2">
      <c r="B918" s="3" t="str">
        <f ca="1">IFERROR(__xludf.DUMMYFUNCTION("IF(ISBLANK(A918),"""",GOOGLETRANSLATE(A918,""en"",""fr""))"),"")</f>
        <v/>
      </c>
    </row>
    <row r="919" spans="2:2">
      <c r="B919" s="3" t="str">
        <f ca="1">IFERROR(__xludf.DUMMYFUNCTION("IF(ISBLANK(A919),"""",GOOGLETRANSLATE(A919,""en"",""fr""))"),"")</f>
        <v/>
      </c>
    </row>
    <row r="920" spans="2:2">
      <c r="B920" s="3" t="str">
        <f ca="1">IFERROR(__xludf.DUMMYFUNCTION("IF(ISBLANK(A920),"""",GOOGLETRANSLATE(A920,""en"",""fr""))"),"")</f>
        <v/>
      </c>
    </row>
    <row r="921" spans="2:2">
      <c r="B921" s="3" t="str">
        <f ca="1">IFERROR(__xludf.DUMMYFUNCTION("IF(ISBLANK(A921),"""",GOOGLETRANSLATE(A921,""en"",""fr""))"),"")</f>
        <v/>
      </c>
    </row>
    <row r="922" spans="2:2">
      <c r="B922" s="3" t="str">
        <f ca="1">IFERROR(__xludf.DUMMYFUNCTION("IF(ISBLANK(A922),"""",GOOGLETRANSLATE(A922,""en"",""fr""))"),"")</f>
        <v/>
      </c>
    </row>
    <row r="923" spans="2:2">
      <c r="B923" s="3" t="str">
        <f ca="1">IFERROR(__xludf.DUMMYFUNCTION("IF(ISBLANK(A923),"""",GOOGLETRANSLATE(A923,""en"",""fr""))"),"")</f>
        <v/>
      </c>
    </row>
    <row r="924" spans="2:2">
      <c r="B924" s="3" t="str">
        <f ca="1">IFERROR(__xludf.DUMMYFUNCTION("IF(ISBLANK(A924),"""",GOOGLETRANSLATE(A924,""en"",""fr""))"),"")</f>
        <v/>
      </c>
    </row>
    <row r="925" spans="2:2">
      <c r="B925" s="3" t="str">
        <f ca="1">IFERROR(__xludf.DUMMYFUNCTION("IF(ISBLANK(A925),"""",GOOGLETRANSLATE(A925,""en"",""fr""))"),"")</f>
        <v/>
      </c>
    </row>
    <row r="926" spans="2:2">
      <c r="B926" s="3" t="str">
        <f ca="1">IFERROR(__xludf.DUMMYFUNCTION("IF(ISBLANK(A926),"""",GOOGLETRANSLATE(A926,""en"",""fr""))"),"")</f>
        <v/>
      </c>
    </row>
    <row r="927" spans="2:2">
      <c r="B927" s="3" t="str">
        <f ca="1">IFERROR(__xludf.DUMMYFUNCTION("IF(ISBLANK(A927),"""",GOOGLETRANSLATE(A927,""en"",""fr""))"),"")</f>
        <v/>
      </c>
    </row>
    <row r="928" spans="2:2">
      <c r="B928" s="3" t="str">
        <f ca="1">IFERROR(__xludf.DUMMYFUNCTION("IF(ISBLANK(A928),"""",GOOGLETRANSLATE(A928,""en"",""fr""))"),"")</f>
        <v/>
      </c>
    </row>
    <row r="929" spans="2:2">
      <c r="B929" s="3" t="str">
        <f ca="1">IFERROR(__xludf.DUMMYFUNCTION("IF(ISBLANK(A929),"""",GOOGLETRANSLATE(A929,""en"",""fr""))"),"")</f>
        <v/>
      </c>
    </row>
    <row r="930" spans="2:2">
      <c r="B930" s="3" t="str">
        <f ca="1">IFERROR(__xludf.DUMMYFUNCTION("IF(ISBLANK(A930),"""",GOOGLETRANSLATE(A930,""en"",""fr""))"),"")</f>
        <v/>
      </c>
    </row>
    <row r="931" spans="2:2">
      <c r="B931" s="3" t="str">
        <f ca="1">IFERROR(__xludf.DUMMYFUNCTION("IF(ISBLANK(A931),"""",GOOGLETRANSLATE(A931,""en"",""fr""))"),"")</f>
        <v/>
      </c>
    </row>
    <row r="932" spans="2:2">
      <c r="B932" s="3" t="str">
        <f ca="1">IFERROR(__xludf.DUMMYFUNCTION("IF(ISBLANK(A932),"""",GOOGLETRANSLATE(A932,""en"",""fr""))"),"")</f>
        <v/>
      </c>
    </row>
    <row r="933" spans="2:2">
      <c r="B933" s="3" t="str">
        <f ca="1">IFERROR(__xludf.DUMMYFUNCTION("IF(ISBLANK(A933),"""",GOOGLETRANSLATE(A933,""en"",""fr""))"),"")</f>
        <v/>
      </c>
    </row>
    <row r="934" spans="2:2">
      <c r="B934" s="3" t="str">
        <f ca="1">IFERROR(__xludf.DUMMYFUNCTION("IF(ISBLANK(A934),"""",GOOGLETRANSLATE(A934,""en"",""fr""))"),"")</f>
        <v/>
      </c>
    </row>
    <row r="935" spans="2:2">
      <c r="B935" s="3" t="str">
        <f ca="1">IFERROR(__xludf.DUMMYFUNCTION("IF(ISBLANK(A935),"""",GOOGLETRANSLATE(A935,""en"",""fr""))"),"")</f>
        <v/>
      </c>
    </row>
    <row r="936" spans="2:2">
      <c r="B936" s="3" t="str">
        <f ca="1">IFERROR(__xludf.DUMMYFUNCTION("IF(ISBLANK(A936),"""",GOOGLETRANSLATE(A936,""en"",""fr""))"),"")</f>
        <v/>
      </c>
    </row>
    <row r="937" spans="2:2">
      <c r="B937" s="3" t="str">
        <f ca="1">IFERROR(__xludf.DUMMYFUNCTION("IF(ISBLANK(A937),"""",GOOGLETRANSLATE(A937,""en"",""fr""))"),"")</f>
        <v/>
      </c>
    </row>
    <row r="938" spans="2:2">
      <c r="B938" s="3" t="str">
        <f ca="1">IFERROR(__xludf.DUMMYFUNCTION("IF(ISBLANK(A938),"""",GOOGLETRANSLATE(A938,""en"",""fr""))"),"")</f>
        <v/>
      </c>
    </row>
    <row r="939" spans="2:2">
      <c r="B939" s="3" t="str">
        <f ca="1">IFERROR(__xludf.DUMMYFUNCTION("IF(ISBLANK(A939),"""",GOOGLETRANSLATE(A939,""en"",""fr""))"),"")</f>
        <v/>
      </c>
    </row>
    <row r="940" spans="2:2">
      <c r="B940" s="3" t="str">
        <f ca="1">IFERROR(__xludf.DUMMYFUNCTION("IF(ISBLANK(A940),"""",GOOGLETRANSLATE(A940,""en"",""fr""))"),"")</f>
        <v/>
      </c>
    </row>
    <row r="941" spans="2:2">
      <c r="B941" s="3" t="str">
        <f ca="1">IFERROR(__xludf.DUMMYFUNCTION("IF(ISBLANK(A941),"""",GOOGLETRANSLATE(A941,""en"",""fr""))"),"")</f>
        <v/>
      </c>
    </row>
    <row r="942" spans="2:2">
      <c r="B942" s="3" t="str">
        <f ca="1">IFERROR(__xludf.DUMMYFUNCTION("IF(ISBLANK(A942),"""",GOOGLETRANSLATE(A942,""en"",""fr""))"),"")</f>
        <v/>
      </c>
    </row>
    <row r="943" spans="2:2">
      <c r="B943" s="3" t="str">
        <f ca="1">IFERROR(__xludf.DUMMYFUNCTION("IF(ISBLANK(A943),"""",GOOGLETRANSLATE(A943,""en"",""fr""))"),"")</f>
        <v/>
      </c>
    </row>
    <row r="944" spans="2:2">
      <c r="B944" s="3" t="str">
        <f ca="1">IFERROR(__xludf.DUMMYFUNCTION("IF(ISBLANK(A944),"""",GOOGLETRANSLATE(A944,""en"",""fr""))"),"")</f>
        <v/>
      </c>
    </row>
    <row r="945" spans="2:2">
      <c r="B945" s="3" t="str">
        <f ca="1">IFERROR(__xludf.DUMMYFUNCTION("IF(ISBLANK(A945),"""",GOOGLETRANSLATE(A945,""en"",""fr""))"),"")</f>
        <v/>
      </c>
    </row>
    <row r="946" spans="2:2">
      <c r="B946" s="3" t="str">
        <f ca="1">IFERROR(__xludf.DUMMYFUNCTION("IF(ISBLANK(A946),"""",GOOGLETRANSLATE(A946,""en"",""fr""))"),"")</f>
        <v/>
      </c>
    </row>
    <row r="947" spans="2:2">
      <c r="B947" s="3" t="str">
        <f ca="1">IFERROR(__xludf.DUMMYFUNCTION("IF(ISBLANK(A947),"""",GOOGLETRANSLATE(A947,""en"",""fr""))"),"")</f>
        <v/>
      </c>
    </row>
    <row r="948" spans="2:2">
      <c r="B948" s="3" t="str">
        <f ca="1">IFERROR(__xludf.DUMMYFUNCTION("IF(ISBLANK(A948),"""",GOOGLETRANSLATE(A948,""en"",""fr""))"),"")</f>
        <v/>
      </c>
    </row>
    <row r="949" spans="2:2">
      <c r="B949" s="3" t="str">
        <f ca="1">IFERROR(__xludf.DUMMYFUNCTION("IF(ISBLANK(A949),"""",GOOGLETRANSLATE(A949,""en"",""fr""))"),"")</f>
        <v/>
      </c>
    </row>
    <row r="950" spans="2:2">
      <c r="B950" s="3" t="str">
        <f ca="1">IFERROR(__xludf.DUMMYFUNCTION("IF(ISBLANK(A950),"""",GOOGLETRANSLATE(A950,""en"",""fr""))"),"")</f>
        <v/>
      </c>
    </row>
    <row r="951" spans="2:2">
      <c r="B951" s="3" t="str">
        <f ca="1">IFERROR(__xludf.DUMMYFUNCTION("IF(ISBLANK(A951),"""",GOOGLETRANSLATE(A951,""en"",""fr""))"),"")</f>
        <v/>
      </c>
    </row>
    <row r="952" spans="2:2">
      <c r="B952" s="3" t="str">
        <f ca="1">IFERROR(__xludf.DUMMYFUNCTION("IF(ISBLANK(A952),"""",GOOGLETRANSLATE(A952,""en"",""fr""))"),"")</f>
        <v/>
      </c>
    </row>
    <row r="953" spans="2:2">
      <c r="B953" s="3" t="str">
        <f ca="1">IFERROR(__xludf.DUMMYFUNCTION("IF(ISBLANK(A953),"""",GOOGLETRANSLATE(A953,""en"",""fr""))"),"")</f>
        <v/>
      </c>
    </row>
    <row r="954" spans="2:2">
      <c r="B954" s="3" t="str">
        <f ca="1">IFERROR(__xludf.DUMMYFUNCTION("IF(ISBLANK(A954),"""",GOOGLETRANSLATE(A954,""en"",""fr""))"),"")</f>
        <v/>
      </c>
    </row>
    <row r="955" spans="2:2">
      <c r="B955" s="3" t="str">
        <f ca="1">IFERROR(__xludf.DUMMYFUNCTION("IF(ISBLANK(A955),"""",GOOGLETRANSLATE(A955,""en"",""fr""))"),"")</f>
        <v/>
      </c>
    </row>
    <row r="956" spans="2:2">
      <c r="B956" s="3" t="str">
        <f ca="1">IFERROR(__xludf.DUMMYFUNCTION("IF(ISBLANK(A956),"""",GOOGLETRANSLATE(A956,""en"",""fr""))"),"")</f>
        <v/>
      </c>
    </row>
    <row r="957" spans="2:2">
      <c r="B957" s="3" t="str">
        <f ca="1">IFERROR(__xludf.DUMMYFUNCTION("IF(ISBLANK(A957),"""",GOOGLETRANSLATE(A957,""en"",""fr""))"),"")</f>
        <v/>
      </c>
    </row>
    <row r="958" spans="2:2">
      <c r="B958" s="3" t="str">
        <f ca="1">IFERROR(__xludf.DUMMYFUNCTION("IF(ISBLANK(A958),"""",GOOGLETRANSLATE(A958,""en"",""fr""))"),"")</f>
        <v/>
      </c>
    </row>
    <row r="959" spans="2:2">
      <c r="B959" s="3" t="str">
        <f ca="1">IFERROR(__xludf.DUMMYFUNCTION("IF(ISBLANK(A959),"""",GOOGLETRANSLATE(A959,""en"",""fr""))"),"")</f>
        <v/>
      </c>
    </row>
    <row r="960" spans="2:2">
      <c r="B960" s="3" t="str">
        <f ca="1">IFERROR(__xludf.DUMMYFUNCTION("IF(ISBLANK(A960),"""",GOOGLETRANSLATE(A960,""en"",""fr""))"),"")</f>
        <v/>
      </c>
    </row>
    <row r="961" spans="2:2">
      <c r="B961" s="3" t="str">
        <f ca="1">IFERROR(__xludf.DUMMYFUNCTION("IF(ISBLANK(A961),"""",GOOGLETRANSLATE(A961,""en"",""fr""))"),"")</f>
        <v/>
      </c>
    </row>
    <row r="962" spans="2:2">
      <c r="B962" s="3" t="str">
        <f ca="1">IFERROR(__xludf.DUMMYFUNCTION("IF(ISBLANK(A962),"""",GOOGLETRANSLATE(A962,""en"",""fr""))"),"")</f>
        <v/>
      </c>
    </row>
    <row r="963" spans="2:2">
      <c r="B963" s="3" t="str">
        <f ca="1">IFERROR(__xludf.DUMMYFUNCTION("IF(ISBLANK(A963),"""",GOOGLETRANSLATE(A963,""en"",""fr""))"),"")</f>
        <v/>
      </c>
    </row>
    <row r="964" spans="2:2">
      <c r="B964" s="3" t="str">
        <f ca="1">IFERROR(__xludf.DUMMYFUNCTION("IF(ISBLANK(A964),"""",GOOGLETRANSLATE(A964,""en"",""fr""))"),"")</f>
        <v/>
      </c>
    </row>
    <row r="965" spans="2:2">
      <c r="B965" s="3" t="str">
        <f ca="1">IFERROR(__xludf.DUMMYFUNCTION("IF(ISBLANK(A965),"""",GOOGLETRANSLATE(A965,""en"",""fr""))"),"")</f>
        <v/>
      </c>
    </row>
    <row r="966" spans="2:2">
      <c r="B966" s="3" t="str">
        <f ca="1">IFERROR(__xludf.DUMMYFUNCTION("IF(ISBLANK(A966),"""",GOOGLETRANSLATE(A966,""en"",""fr""))"),"")</f>
        <v/>
      </c>
    </row>
    <row r="967" spans="2:2">
      <c r="B967" s="3" t="str">
        <f ca="1">IFERROR(__xludf.DUMMYFUNCTION("IF(ISBLANK(A967),"""",GOOGLETRANSLATE(A967,""en"",""fr""))"),"")</f>
        <v/>
      </c>
    </row>
    <row r="968" spans="2:2">
      <c r="B968" s="3" t="str">
        <f ca="1">IFERROR(__xludf.DUMMYFUNCTION("IF(ISBLANK(A968),"""",GOOGLETRANSLATE(A968,""en"",""fr""))"),"")</f>
        <v/>
      </c>
    </row>
    <row r="969" spans="2:2">
      <c r="B969" s="3" t="str">
        <f ca="1">IFERROR(__xludf.DUMMYFUNCTION("IF(ISBLANK(A969),"""",GOOGLETRANSLATE(A969,""en"",""fr""))"),"")</f>
        <v/>
      </c>
    </row>
    <row r="970" spans="2:2">
      <c r="B970" s="3" t="str">
        <f ca="1">IFERROR(__xludf.DUMMYFUNCTION("IF(ISBLANK(A970),"""",GOOGLETRANSLATE(A970,""en"",""fr""))"),"")</f>
        <v/>
      </c>
    </row>
    <row r="971" spans="2:2">
      <c r="B971" s="3" t="str">
        <f ca="1">IFERROR(__xludf.DUMMYFUNCTION("IF(ISBLANK(A971),"""",GOOGLETRANSLATE(A971,""en"",""fr""))"),"")</f>
        <v/>
      </c>
    </row>
    <row r="972" spans="2:2">
      <c r="B972" s="3" t="str">
        <f ca="1">IFERROR(__xludf.DUMMYFUNCTION("IF(ISBLANK(A972),"""",GOOGLETRANSLATE(A972,""en"",""fr""))"),"")</f>
        <v/>
      </c>
    </row>
    <row r="973" spans="2:2">
      <c r="B973" s="3" t="str">
        <f ca="1">IFERROR(__xludf.DUMMYFUNCTION("IF(ISBLANK(A973),"""",GOOGLETRANSLATE(A973,""en"",""fr""))"),"")</f>
        <v/>
      </c>
    </row>
    <row r="974" spans="2:2">
      <c r="B974" s="3" t="str">
        <f ca="1">IFERROR(__xludf.DUMMYFUNCTION("IF(ISBLANK(A974),"""",GOOGLETRANSLATE(A974,""en"",""fr""))"),"")</f>
        <v/>
      </c>
    </row>
    <row r="975" spans="2:2">
      <c r="B975" s="3" t="str">
        <f ca="1">IFERROR(__xludf.DUMMYFUNCTION("IF(ISBLANK(A975),"""",GOOGLETRANSLATE(A975,""en"",""fr""))"),"")</f>
        <v/>
      </c>
    </row>
    <row r="976" spans="2:2">
      <c r="B976" s="3" t="str">
        <f ca="1">IFERROR(__xludf.DUMMYFUNCTION("IF(ISBLANK(A976),"""",GOOGLETRANSLATE(A976,""en"",""fr""))"),"")</f>
        <v/>
      </c>
    </row>
    <row r="977" spans="2:2">
      <c r="B977" s="3" t="str">
        <f ca="1">IFERROR(__xludf.DUMMYFUNCTION("IF(ISBLANK(A977),"""",GOOGLETRANSLATE(A977,""en"",""fr""))"),"")</f>
        <v/>
      </c>
    </row>
    <row r="978" spans="2:2">
      <c r="B978" s="3" t="str">
        <f ca="1">IFERROR(__xludf.DUMMYFUNCTION("IF(ISBLANK(A978),"""",GOOGLETRANSLATE(A978,""en"",""fr""))"),"")</f>
        <v/>
      </c>
    </row>
    <row r="979" spans="2:2">
      <c r="B979" s="3" t="str">
        <f ca="1">IFERROR(__xludf.DUMMYFUNCTION("IF(ISBLANK(A979),"""",GOOGLETRANSLATE(A979,""en"",""fr""))"),"")</f>
        <v/>
      </c>
    </row>
    <row r="980" spans="2:2">
      <c r="B980" s="3" t="str">
        <f ca="1">IFERROR(__xludf.DUMMYFUNCTION("IF(ISBLANK(A980),"""",GOOGLETRANSLATE(A980,""en"",""fr""))"),"")</f>
        <v/>
      </c>
    </row>
    <row r="981" spans="2:2">
      <c r="B981" s="3" t="str">
        <f ca="1">IFERROR(__xludf.DUMMYFUNCTION("IF(ISBLANK(A981),"""",GOOGLETRANSLATE(A981,""en"",""fr""))"),"")</f>
        <v/>
      </c>
    </row>
    <row r="982" spans="2:2">
      <c r="B982" s="3" t="str">
        <f ca="1">IFERROR(__xludf.DUMMYFUNCTION("IF(ISBLANK(A982),"""",GOOGLETRANSLATE(A982,""en"",""fr""))"),"")</f>
        <v/>
      </c>
    </row>
    <row r="983" spans="2:2">
      <c r="B983" s="3" t="str">
        <f ca="1">IFERROR(__xludf.DUMMYFUNCTION("IF(ISBLANK(A983),"""",GOOGLETRANSLATE(A983,""en"",""fr""))"),"")</f>
        <v/>
      </c>
    </row>
    <row r="984" spans="2:2">
      <c r="B984" s="3" t="str">
        <f ca="1">IFERROR(__xludf.DUMMYFUNCTION("IF(ISBLANK(A984),"""",GOOGLETRANSLATE(A984,""en"",""fr""))"),"")</f>
        <v/>
      </c>
    </row>
    <row r="985" spans="2:2">
      <c r="B985" s="3" t="str">
        <f ca="1">IFERROR(__xludf.DUMMYFUNCTION("IF(ISBLANK(A985),"""",GOOGLETRANSLATE(A985,""en"",""fr""))"),"")</f>
        <v/>
      </c>
    </row>
    <row r="986" spans="2:2">
      <c r="B986" s="3" t="str">
        <f ca="1">IFERROR(__xludf.DUMMYFUNCTION("IF(ISBLANK(A986),"""",GOOGLETRANSLATE(A986,""en"",""fr""))"),"")</f>
        <v/>
      </c>
    </row>
    <row r="987" spans="2:2">
      <c r="B987" s="3" t="str">
        <f ca="1">IFERROR(__xludf.DUMMYFUNCTION("IF(ISBLANK(A987),"""",GOOGLETRANSLATE(A987,""en"",""fr""))"),"")</f>
        <v/>
      </c>
    </row>
    <row r="988" spans="2:2">
      <c r="B988" s="3" t="str">
        <f ca="1">IFERROR(__xludf.DUMMYFUNCTION("IF(ISBLANK(A988),"""",GOOGLETRANSLATE(A988,""en"",""fr""))"),"")</f>
        <v/>
      </c>
    </row>
    <row r="989" spans="2:2">
      <c r="B989" s="3" t="str">
        <f ca="1">IFERROR(__xludf.DUMMYFUNCTION("IF(ISBLANK(A989),"""",GOOGLETRANSLATE(A989,""en"",""fr""))"),"")</f>
        <v/>
      </c>
    </row>
    <row r="990" spans="2:2">
      <c r="B990" s="3" t="str">
        <f ca="1">IFERROR(__xludf.DUMMYFUNCTION("IF(ISBLANK(A990),"""",GOOGLETRANSLATE(A990,""en"",""fr""))"),"")</f>
        <v/>
      </c>
    </row>
    <row r="991" spans="2:2">
      <c r="B991" s="3" t="str">
        <f ca="1">IFERROR(__xludf.DUMMYFUNCTION("IF(ISBLANK(A991),"""",GOOGLETRANSLATE(A991,""en"",""fr""))"),"")</f>
        <v/>
      </c>
    </row>
    <row r="992" spans="2:2">
      <c r="B992" s="3" t="str">
        <f ca="1">IFERROR(__xludf.DUMMYFUNCTION("IF(ISBLANK(A992),"""",GOOGLETRANSLATE(A992,""en"",""fr""))"),"")</f>
        <v/>
      </c>
    </row>
    <row r="993" spans="2:2">
      <c r="B993" s="3" t="str">
        <f ca="1">IFERROR(__xludf.DUMMYFUNCTION("IF(ISBLANK(A993),"""",GOOGLETRANSLATE(A993,""en"",""fr""))"),"")</f>
        <v/>
      </c>
    </row>
    <row r="994" spans="2:2">
      <c r="B994" s="3" t="str">
        <f ca="1">IFERROR(__xludf.DUMMYFUNCTION("IF(ISBLANK(A994),"""",GOOGLETRANSLATE(A994,""en"",""fr""))"),"")</f>
        <v/>
      </c>
    </row>
    <row r="995" spans="2:2">
      <c r="B995" s="3" t="str">
        <f ca="1">IFERROR(__xludf.DUMMYFUNCTION("IF(ISBLANK(A995),"""",GOOGLETRANSLATE(A995,""en"",""fr""))"),"")</f>
        <v/>
      </c>
    </row>
    <row r="996" spans="2:2">
      <c r="B996" s="3" t="str">
        <f ca="1">IFERROR(__xludf.DUMMYFUNCTION("IF(ISBLANK(A996),"""",GOOGLETRANSLATE(A996,""en"",""fr""))"),"")</f>
        <v/>
      </c>
    </row>
    <row r="997" spans="2:2">
      <c r="B997" s="3" t="str">
        <f ca="1">IFERROR(__xludf.DUMMYFUNCTION("IF(ISBLANK(A997),"""",GOOGLETRANSLATE(A997,""en"",""fr""))"),"")</f>
        <v/>
      </c>
    </row>
    <row r="998" spans="2:2">
      <c r="B998" s="3" t="str">
        <f ca="1">IFERROR(__xludf.DUMMYFUNCTION("IF(ISBLANK(A998),"""",GOOGLETRANSLATE(A998,""en"",""fr""))"),"")</f>
        <v/>
      </c>
    </row>
    <row r="999" spans="2:2">
      <c r="B999" s="3" t="str">
        <f ca="1">IFERROR(__xludf.DUMMYFUNCTION("IF(ISBLANK(A999),"""",GOOGLETRANSLATE(A999,""en"",""fr""))"),"")</f>
        <v/>
      </c>
    </row>
    <row r="1000" spans="2:2">
      <c r="B1000" s="3" t="str">
        <f ca="1">IFERROR(__xludf.DUMMYFUNCTION("IF(ISBLANK(A1000),"""",GOOGLETRANSLATE(A1000,""en"",""fr""))"),"")</f>
        <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B1000"/>
  <sheetViews>
    <sheetView topLeftCell="A51" workbookViewId="0">
      <selection activeCell="B80" sqref="B80"/>
    </sheetView>
  </sheetViews>
  <sheetFormatPr defaultColWidth="12.6640625" defaultRowHeight="15.75" customHeight="1"/>
  <cols>
    <col min="1" max="1" width="113.6640625" customWidth="1"/>
  </cols>
  <sheetData>
    <row r="1" spans="1:2">
      <c r="A1" s="1" t="s">
        <v>0</v>
      </c>
      <c r="B1" s="1"/>
    </row>
    <row r="2" spans="1:2">
      <c r="A2" s="3" t="s">
        <v>138</v>
      </c>
      <c r="B2" s="3" t="s">
        <v>1203</v>
      </c>
    </row>
    <row r="3" spans="1:2">
      <c r="A3" s="3" t="s">
        <v>623</v>
      </c>
      <c r="B3" s="3" t="s">
        <v>1204</v>
      </c>
    </row>
    <row r="4" spans="1:2">
      <c r="A4" s="3" t="s">
        <v>624</v>
      </c>
      <c r="B4" s="3" t="s">
        <v>1205</v>
      </c>
    </row>
    <row r="5" spans="1:2">
      <c r="A5" s="3" t="s">
        <v>70</v>
      </c>
      <c r="B5" s="3" t="s">
        <v>1206</v>
      </c>
    </row>
    <row r="6" spans="1:2">
      <c r="A6" s="3" t="s">
        <v>14</v>
      </c>
      <c r="B6" s="3" t="s">
        <v>1084</v>
      </c>
    </row>
    <row r="7" spans="1:2">
      <c r="A7" s="3" t="s">
        <v>625</v>
      </c>
      <c r="B7" s="3" t="s">
        <v>1207</v>
      </c>
    </row>
    <row r="8" spans="1:2">
      <c r="A8" s="3" t="s">
        <v>626</v>
      </c>
      <c r="B8" s="3" t="s">
        <v>1208</v>
      </c>
    </row>
    <row r="9" spans="1:2">
      <c r="A9" s="3" t="s">
        <v>627</v>
      </c>
      <c r="B9" s="3" t="s">
        <v>1209</v>
      </c>
    </row>
    <row r="10" spans="1:2">
      <c r="A10" s="3" t="s">
        <v>628</v>
      </c>
      <c r="B10" s="3" t="s">
        <v>1210</v>
      </c>
    </row>
    <row r="11" spans="1:2">
      <c r="A11" s="3" t="s">
        <v>629</v>
      </c>
      <c r="B11" s="3" t="s">
        <v>1211</v>
      </c>
    </row>
    <row r="12" spans="1:2">
      <c r="A12" s="3" t="s">
        <v>630</v>
      </c>
      <c r="B12" s="3" t="s">
        <v>1212</v>
      </c>
    </row>
    <row r="13" spans="1:2">
      <c r="A13" s="3" t="s">
        <v>631</v>
      </c>
      <c r="B13" s="3" t="s">
        <v>1213</v>
      </c>
    </row>
    <row r="14" spans="1:2">
      <c r="A14" s="3" t="s">
        <v>632</v>
      </c>
      <c r="B14" s="3" t="s">
        <v>1214</v>
      </c>
    </row>
    <row r="15" spans="1:2">
      <c r="A15" s="3" t="s">
        <v>633</v>
      </c>
      <c r="B15" s="3" t="s">
        <v>1215</v>
      </c>
    </row>
    <row r="16" spans="1:2">
      <c r="A16" s="3" t="s">
        <v>634</v>
      </c>
      <c r="B16" s="3" t="s">
        <v>1216</v>
      </c>
    </row>
    <row r="17" spans="1:2">
      <c r="A17" s="3" t="s">
        <v>635</v>
      </c>
      <c r="B17" s="3" t="s">
        <v>1217</v>
      </c>
    </row>
    <row r="18" spans="1:2">
      <c r="A18" s="3" t="s">
        <v>636</v>
      </c>
      <c r="B18" s="3" t="s">
        <v>1218</v>
      </c>
    </row>
    <row r="19" spans="1:2">
      <c r="A19" s="3" t="s">
        <v>637</v>
      </c>
      <c r="B19" s="3" t="s">
        <v>1219</v>
      </c>
    </row>
    <row r="20" spans="1:2">
      <c r="A20" s="3" t="s">
        <v>638</v>
      </c>
      <c r="B20" s="3" t="s">
        <v>1220</v>
      </c>
    </row>
    <row r="21" spans="1:2">
      <c r="A21" s="3" t="s">
        <v>639</v>
      </c>
      <c r="B21" s="3" t="s">
        <v>1221</v>
      </c>
    </row>
    <row r="22" spans="1:2">
      <c r="A22" s="3" t="s">
        <v>640</v>
      </c>
      <c r="B22" s="3" t="s">
        <v>1222</v>
      </c>
    </row>
    <row r="23" spans="1:2">
      <c r="A23" s="3" t="s">
        <v>641</v>
      </c>
      <c r="B23" s="3" t="s">
        <v>1223</v>
      </c>
    </row>
    <row r="24" spans="1:2">
      <c r="A24" s="3" t="s">
        <v>642</v>
      </c>
      <c r="B24" s="3" t="s">
        <v>1224</v>
      </c>
    </row>
    <row r="25" spans="1:2">
      <c r="A25" s="3" t="s">
        <v>643</v>
      </c>
      <c r="B25" s="3" t="s">
        <v>1225</v>
      </c>
    </row>
    <row r="26" spans="1:2">
      <c r="A26" s="3" t="s">
        <v>644</v>
      </c>
      <c r="B26" s="3" t="s">
        <v>1226</v>
      </c>
    </row>
    <row r="27" spans="1:2">
      <c r="A27" s="3" t="s">
        <v>645</v>
      </c>
      <c r="B27" s="3" t="s">
        <v>1227</v>
      </c>
    </row>
    <row r="28" spans="1:2">
      <c r="A28" s="3" t="s">
        <v>646</v>
      </c>
      <c r="B28" s="3" t="s">
        <v>1228</v>
      </c>
    </row>
    <row r="29" spans="1:2">
      <c r="A29" s="3" t="s">
        <v>647</v>
      </c>
      <c r="B29" s="3" t="s">
        <v>1229</v>
      </c>
    </row>
    <row r="30" spans="1:2">
      <c r="A30" s="3" t="s">
        <v>106</v>
      </c>
      <c r="B30" s="3" t="s">
        <v>1230</v>
      </c>
    </row>
    <row r="31" spans="1:2">
      <c r="A31" s="3" t="s">
        <v>648</v>
      </c>
      <c r="B31" s="3" t="s">
        <v>1231</v>
      </c>
    </row>
    <row r="32" spans="1:2">
      <c r="B32" s="3"/>
    </row>
    <row r="33" spans="1:2">
      <c r="A33" s="3" t="s">
        <v>94</v>
      </c>
      <c r="B33" s="3" t="s">
        <v>1232</v>
      </c>
    </row>
    <row r="34" spans="1:2">
      <c r="A34" s="10" t="s">
        <v>95</v>
      </c>
      <c r="B34" s="3" t="s">
        <v>1200</v>
      </c>
    </row>
    <row r="35" spans="1:2">
      <c r="A35" s="3" t="s">
        <v>96</v>
      </c>
      <c r="B35" s="3" t="s">
        <v>96</v>
      </c>
    </row>
    <row r="36" spans="1:2">
      <c r="A36" s="3" t="s">
        <v>97</v>
      </c>
      <c r="B36" s="3" t="s">
        <v>1201</v>
      </c>
    </row>
    <row r="37" spans="1:2">
      <c r="A37" s="3" t="s">
        <v>23</v>
      </c>
      <c r="B37" s="3" t="s">
        <v>1060</v>
      </c>
    </row>
    <row r="38" spans="1:2">
      <c r="B38" s="3"/>
    </row>
    <row r="39" spans="1:2">
      <c r="A39" s="3" t="s">
        <v>98</v>
      </c>
      <c r="B39" s="3" t="s">
        <v>1202</v>
      </c>
    </row>
    <row r="40" spans="1:2">
      <c r="B40" s="3"/>
    </row>
    <row r="41" spans="1:2">
      <c r="B41" s="3"/>
    </row>
    <row r="42" spans="1:2">
      <c r="A42" s="3" t="s">
        <v>99</v>
      </c>
      <c r="B42" s="3" t="s">
        <v>1239</v>
      </c>
    </row>
    <row r="43" spans="1:2">
      <c r="B43" s="3"/>
    </row>
    <row r="44" spans="1:2">
      <c r="B44" s="3"/>
    </row>
    <row r="45" spans="1:2">
      <c r="A45" s="3" t="s">
        <v>100</v>
      </c>
      <c r="B45" s="3" t="s">
        <v>1240</v>
      </c>
    </row>
    <row r="46" spans="1:2">
      <c r="B46" s="3"/>
    </row>
    <row r="47" spans="1:2">
      <c r="B47" s="3"/>
    </row>
    <row r="48" spans="1:2">
      <c r="A48" s="6" t="s">
        <v>101</v>
      </c>
      <c r="B48" s="3" t="s">
        <v>1233</v>
      </c>
    </row>
    <row r="49" spans="1:2">
      <c r="B49" s="3"/>
    </row>
    <row r="50" spans="1:2">
      <c r="B50" s="3"/>
    </row>
    <row r="51" spans="1:2">
      <c r="A51" s="3" t="s">
        <v>102</v>
      </c>
      <c r="B51" s="3" t="s">
        <v>1234</v>
      </c>
    </row>
    <row r="52" spans="1:2">
      <c r="B52" s="3"/>
    </row>
    <row r="53" spans="1:2">
      <c r="B53" s="3"/>
    </row>
    <row r="54" spans="1:2">
      <c r="A54" s="3" t="s">
        <v>103</v>
      </c>
      <c r="B54" s="3" t="s">
        <v>1235</v>
      </c>
    </row>
    <row r="55" spans="1:2">
      <c r="B55" s="3"/>
    </row>
    <row r="56" spans="1:2">
      <c r="B56" s="3"/>
    </row>
    <row r="57" spans="1:2">
      <c r="A57" s="3" t="s">
        <v>104</v>
      </c>
      <c r="B57" s="3" t="s">
        <v>1236</v>
      </c>
    </row>
    <row r="58" spans="1:2">
      <c r="B58" s="3"/>
    </row>
    <row r="59" spans="1:2">
      <c r="B59" s="3"/>
    </row>
    <row r="60" spans="1:2">
      <c r="A60" s="3" t="s">
        <v>105</v>
      </c>
      <c r="B60" s="3" t="s">
        <v>1237</v>
      </c>
    </row>
    <row r="61" spans="1:2">
      <c r="B61" s="3"/>
    </row>
    <row r="62" spans="1:2">
      <c r="A62" s="3" t="s">
        <v>108</v>
      </c>
      <c r="B62" s="3" t="s">
        <v>1238</v>
      </c>
    </row>
    <row r="63" spans="1:2">
      <c r="A63" s="3" t="s">
        <v>109</v>
      </c>
      <c r="B63" s="3" t="s">
        <v>109</v>
      </c>
    </row>
    <row r="64" spans="1:2">
      <c r="A64" s="3" t="s">
        <v>110</v>
      </c>
      <c r="B64" s="3" t="s">
        <v>1241</v>
      </c>
    </row>
    <row r="65" spans="2:2">
      <c r="B65" s="3" t="str">
        <f ca="1">IFERROR(__xludf.DUMMYFUNCTION("IF(ISBLANK(A65),"""",GOOGLETRANSLATE(A65,""en"",""fr""))"),"")</f>
        <v/>
      </c>
    </row>
    <row r="66" spans="2:2">
      <c r="B66" s="3" t="str">
        <f ca="1">IFERROR(__xludf.DUMMYFUNCTION("IF(ISBLANK(A66),"""",GOOGLETRANSLATE(A66,""en"",""fr""))"),"")</f>
        <v/>
      </c>
    </row>
    <row r="67" spans="2:2">
      <c r="B67" s="3" t="str">
        <f ca="1">IFERROR(__xludf.DUMMYFUNCTION("IF(ISBLANK(A67),"""",GOOGLETRANSLATE(A67,""en"",""fr""))"),"")</f>
        <v/>
      </c>
    </row>
    <row r="68" spans="2:2">
      <c r="B68" s="3" t="str">
        <f ca="1">IFERROR(__xludf.DUMMYFUNCTION("IF(ISBLANK(A68),"""",GOOGLETRANSLATE(A68,""en"",""fr""))"),"")</f>
        <v/>
      </c>
    </row>
    <row r="69" spans="2:2">
      <c r="B69" s="3" t="str">
        <f ca="1">IFERROR(__xludf.DUMMYFUNCTION("IF(ISBLANK(A69),"""",GOOGLETRANSLATE(A69,""en"",""fr""))"),"")</f>
        <v/>
      </c>
    </row>
    <row r="70" spans="2:2">
      <c r="B70" s="3" t="str">
        <f ca="1">IFERROR(__xludf.DUMMYFUNCTION("IF(ISBLANK(A70),"""",GOOGLETRANSLATE(A70,""en"",""fr""))"),"")</f>
        <v/>
      </c>
    </row>
    <row r="71" spans="2:2">
      <c r="B71" s="3" t="str">
        <f ca="1">IFERROR(__xludf.DUMMYFUNCTION("IF(ISBLANK(A71),"""",GOOGLETRANSLATE(A71,""en"",""fr""))"),"")</f>
        <v/>
      </c>
    </row>
    <row r="72" spans="2:2">
      <c r="B72" s="3" t="str">
        <f ca="1">IFERROR(__xludf.DUMMYFUNCTION("IF(ISBLANK(A72),"""",GOOGLETRANSLATE(A72,""en"",""fr""))"),"")</f>
        <v/>
      </c>
    </row>
    <row r="73" spans="2:2">
      <c r="B73" s="3" t="str">
        <f ca="1">IFERROR(__xludf.DUMMYFUNCTION("IF(ISBLANK(A73),"""",GOOGLETRANSLATE(A73,""en"",""fr""))"),"")</f>
        <v/>
      </c>
    </row>
    <row r="74" spans="2:2">
      <c r="B74" s="3" t="str">
        <f ca="1">IFERROR(__xludf.DUMMYFUNCTION("IF(ISBLANK(A74),"""",GOOGLETRANSLATE(A74,""en"",""fr""))"),"")</f>
        <v/>
      </c>
    </row>
    <row r="75" spans="2:2">
      <c r="B75" s="3" t="str">
        <f ca="1">IFERROR(__xludf.DUMMYFUNCTION("IF(ISBLANK(A75),"""",GOOGLETRANSLATE(A75,""en"",""fr""))"),"")</f>
        <v/>
      </c>
    </row>
    <row r="76" spans="2:2">
      <c r="B76" s="3" t="str">
        <f ca="1">IFERROR(__xludf.DUMMYFUNCTION("IF(ISBLANK(A76),"""",GOOGLETRANSLATE(A76,""en"",""fr""))"),"")</f>
        <v/>
      </c>
    </row>
    <row r="77" spans="2:2">
      <c r="B77" s="3" t="str">
        <f ca="1">IFERROR(__xludf.DUMMYFUNCTION("IF(ISBLANK(A77),"""",GOOGLETRANSLATE(A77,""en"",""fr""))"),"")</f>
        <v/>
      </c>
    </row>
    <row r="78" spans="2:2">
      <c r="B78" s="3" t="str">
        <f ca="1">IFERROR(__xludf.DUMMYFUNCTION("IF(ISBLANK(A78),"""",GOOGLETRANSLATE(A78,""en"",""fr""))"),"")</f>
        <v/>
      </c>
    </row>
    <row r="79" spans="2:2">
      <c r="B79" s="3" t="str">
        <f ca="1">IFERROR(__xludf.DUMMYFUNCTION("IF(ISBLANK(A79),"""",GOOGLETRANSLATE(A79,""en"",""fr""))"),"")</f>
        <v/>
      </c>
    </row>
    <row r="80" spans="2:2">
      <c r="B80" s="3" t="str">
        <f ca="1">IFERROR(__xludf.DUMMYFUNCTION("IF(ISBLANK(A80),"""",GOOGLETRANSLATE(A80,""en"",""fr""))"),"")</f>
        <v/>
      </c>
    </row>
    <row r="81" spans="2:2">
      <c r="B81" s="3" t="str">
        <f ca="1">IFERROR(__xludf.DUMMYFUNCTION("IF(ISBLANK(A81),"""",GOOGLETRANSLATE(A81,""en"",""fr""))"),"")</f>
        <v/>
      </c>
    </row>
    <row r="82" spans="2:2">
      <c r="B82" s="3" t="str">
        <f ca="1">IFERROR(__xludf.DUMMYFUNCTION("IF(ISBLANK(A82),"""",GOOGLETRANSLATE(A82,""en"",""fr""))"),"")</f>
        <v/>
      </c>
    </row>
    <row r="83" spans="2:2">
      <c r="B83" s="3" t="str">
        <f ca="1">IFERROR(__xludf.DUMMYFUNCTION("IF(ISBLANK(A83),"""",GOOGLETRANSLATE(A83,""en"",""fr""))"),"")</f>
        <v/>
      </c>
    </row>
    <row r="84" spans="2:2">
      <c r="B84" s="3" t="str">
        <f ca="1">IFERROR(__xludf.DUMMYFUNCTION("IF(ISBLANK(A84),"""",GOOGLETRANSLATE(A84,""en"",""fr""))"),"")</f>
        <v/>
      </c>
    </row>
    <row r="85" spans="2:2">
      <c r="B85" s="3" t="str">
        <f ca="1">IFERROR(__xludf.DUMMYFUNCTION("IF(ISBLANK(A85),"""",GOOGLETRANSLATE(A85,""en"",""fr""))"),"")</f>
        <v/>
      </c>
    </row>
    <row r="86" spans="2:2">
      <c r="B86" s="3" t="str">
        <f ca="1">IFERROR(__xludf.DUMMYFUNCTION("IF(ISBLANK(A86),"""",GOOGLETRANSLATE(A86,""en"",""fr""))"),"")</f>
        <v/>
      </c>
    </row>
    <row r="87" spans="2:2">
      <c r="B87" s="3" t="str">
        <f ca="1">IFERROR(__xludf.DUMMYFUNCTION("IF(ISBLANK(A87),"""",GOOGLETRANSLATE(A87,""en"",""fr""))"),"")</f>
        <v/>
      </c>
    </row>
    <row r="88" spans="2:2">
      <c r="B88" s="3" t="str">
        <f ca="1">IFERROR(__xludf.DUMMYFUNCTION("IF(ISBLANK(A88),"""",GOOGLETRANSLATE(A88,""en"",""fr""))"),"")</f>
        <v/>
      </c>
    </row>
    <row r="89" spans="2:2">
      <c r="B89" s="3" t="str">
        <f ca="1">IFERROR(__xludf.DUMMYFUNCTION("IF(ISBLANK(A89),"""",GOOGLETRANSLATE(A89,""en"",""fr""))"),"")</f>
        <v/>
      </c>
    </row>
    <row r="90" spans="2:2">
      <c r="B90" s="3" t="str">
        <f ca="1">IFERROR(__xludf.DUMMYFUNCTION("IF(ISBLANK(A90),"""",GOOGLETRANSLATE(A90,""en"",""fr""))"),"")</f>
        <v/>
      </c>
    </row>
    <row r="91" spans="2:2">
      <c r="B91" s="3" t="str">
        <f ca="1">IFERROR(__xludf.DUMMYFUNCTION("IF(ISBLANK(A91),"""",GOOGLETRANSLATE(A91,""en"",""fr""))"),"")</f>
        <v/>
      </c>
    </row>
    <row r="92" spans="2:2">
      <c r="B92" s="3" t="str">
        <f ca="1">IFERROR(__xludf.DUMMYFUNCTION("IF(ISBLANK(A92),"""",GOOGLETRANSLATE(A92,""en"",""fr""))"),"")</f>
        <v/>
      </c>
    </row>
    <row r="93" spans="2:2">
      <c r="B93" s="3" t="str">
        <f ca="1">IFERROR(__xludf.DUMMYFUNCTION("IF(ISBLANK(A93),"""",GOOGLETRANSLATE(A93,""en"",""fr""))"),"")</f>
        <v/>
      </c>
    </row>
    <row r="94" spans="2:2">
      <c r="B94" s="3" t="str">
        <f ca="1">IFERROR(__xludf.DUMMYFUNCTION("IF(ISBLANK(A94),"""",GOOGLETRANSLATE(A94,""en"",""fr""))"),"")</f>
        <v/>
      </c>
    </row>
    <row r="95" spans="2:2">
      <c r="B95" s="3" t="str">
        <f ca="1">IFERROR(__xludf.DUMMYFUNCTION("IF(ISBLANK(A95),"""",GOOGLETRANSLATE(A95,""en"",""fr""))"),"")</f>
        <v/>
      </c>
    </row>
    <row r="96" spans="2:2">
      <c r="B96" s="3" t="str">
        <f ca="1">IFERROR(__xludf.DUMMYFUNCTION("IF(ISBLANK(A96),"""",GOOGLETRANSLATE(A96,""en"",""fr""))"),"")</f>
        <v/>
      </c>
    </row>
    <row r="97" spans="2:2">
      <c r="B97" s="3" t="str">
        <f ca="1">IFERROR(__xludf.DUMMYFUNCTION("IF(ISBLANK(A97),"""",GOOGLETRANSLATE(A97,""en"",""fr""))"),"")</f>
        <v/>
      </c>
    </row>
    <row r="98" spans="2:2">
      <c r="B98" s="3" t="str">
        <f ca="1">IFERROR(__xludf.DUMMYFUNCTION("IF(ISBLANK(A98),"""",GOOGLETRANSLATE(A98,""en"",""fr""))"),"")</f>
        <v/>
      </c>
    </row>
    <row r="99" spans="2:2">
      <c r="B99" s="3" t="str">
        <f ca="1">IFERROR(__xludf.DUMMYFUNCTION("IF(ISBLANK(A99),"""",GOOGLETRANSLATE(A99,""en"",""fr""))"),"")</f>
        <v/>
      </c>
    </row>
    <row r="100" spans="2:2">
      <c r="B100" s="3" t="str">
        <f ca="1">IFERROR(__xludf.DUMMYFUNCTION("IF(ISBLANK(A100),"""",GOOGLETRANSLATE(A100,""en"",""fr""))"),"")</f>
        <v/>
      </c>
    </row>
    <row r="101" spans="2:2">
      <c r="B101" s="3" t="str">
        <f ca="1">IFERROR(__xludf.DUMMYFUNCTION("IF(ISBLANK(A101),"""",GOOGLETRANSLATE(A101,""en"",""fr""))"),"")</f>
        <v/>
      </c>
    </row>
    <row r="102" spans="2:2">
      <c r="B102" s="3" t="str">
        <f ca="1">IFERROR(__xludf.DUMMYFUNCTION("IF(ISBLANK(A102),"""",GOOGLETRANSLATE(A102,""en"",""fr""))"),"")</f>
        <v/>
      </c>
    </row>
    <row r="103" spans="2:2">
      <c r="B103" s="3" t="str">
        <f ca="1">IFERROR(__xludf.DUMMYFUNCTION("IF(ISBLANK(A103),"""",GOOGLETRANSLATE(A103,""en"",""fr""))"),"")</f>
        <v/>
      </c>
    </row>
    <row r="104" spans="2:2">
      <c r="B104" s="3" t="str">
        <f ca="1">IFERROR(__xludf.DUMMYFUNCTION("IF(ISBLANK(A104),"""",GOOGLETRANSLATE(A104,""en"",""fr""))"),"")</f>
        <v/>
      </c>
    </row>
    <row r="105" spans="2:2">
      <c r="B105" s="3" t="str">
        <f ca="1">IFERROR(__xludf.DUMMYFUNCTION("IF(ISBLANK(A105),"""",GOOGLETRANSLATE(A105,""en"",""fr""))"),"")</f>
        <v/>
      </c>
    </row>
    <row r="106" spans="2:2">
      <c r="B106" s="3" t="str">
        <f ca="1">IFERROR(__xludf.DUMMYFUNCTION("IF(ISBLANK(A106),"""",GOOGLETRANSLATE(A106,""en"",""fr""))"),"")</f>
        <v/>
      </c>
    </row>
    <row r="107" spans="2:2">
      <c r="B107" s="3" t="str">
        <f ca="1">IFERROR(__xludf.DUMMYFUNCTION("IF(ISBLANK(A107),"""",GOOGLETRANSLATE(A107,""en"",""fr""))"),"")</f>
        <v/>
      </c>
    </row>
    <row r="108" spans="2:2">
      <c r="B108" s="3" t="str">
        <f ca="1">IFERROR(__xludf.DUMMYFUNCTION("IF(ISBLANK(A108),"""",GOOGLETRANSLATE(A108,""en"",""fr""))"),"")</f>
        <v/>
      </c>
    </row>
    <row r="109" spans="2:2">
      <c r="B109" s="3" t="str">
        <f ca="1">IFERROR(__xludf.DUMMYFUNCTION("IF(ISBLANK(A109),"""",GOOGLETRANSLATE(A109,""en"",""fr""))"),"")</f>
        <v/>
      </c>
    </row>
    <row r="110" spans="2:2">
      <c r="B110" s="3" t="str">
        <f ca="1">IFERROR(__xludf.DUMMYFUNCTION("IF(ISBLANK(A110),"""",GOOGLETRANSLATE(A110,""en"",""fr""))"),"")</f>
        <v/>
      </c>
    </row>
    <row r="111" spans="2:2">
      <c r="B111" s="3" t="str">
        <f ca="1">IFERROR(__xludf.DUMMYFUNCTION("IF(ISBLANK(A111),"""",GOOGLETRANSLATE(A111,""en"",""fr""))"),"")</f>
        <v/>
      </c>
    </row>
    <row r="112" spans="2:2">
      <c r="B112" s="3" t="str">
        <f ca="1">IFERROR(__xludf.DUMMYFUNCTION("IF(ISBLANK(A112),"""",GOOGLETRANSLATE(A112,""en"",""fr""))"),"")</f>
        <v/>
      </c>
    </row>
    <row r="113" spans="2:2">
      <c r="B113" s="3" t="str">
        <f ca="1">IFERROR(__xludf.DUMMYFUNCTION("IF(ISBLANK(A113),"""",GOOGLETRANSLATE(A113,""en"",""fr""))"),"")</f>
        <v/>
      </c>
    </row>
    <row r="114" spans="2:2">
      <c r="B114" s="3" t="str">
        <f ca="1">IFERROR(__xludf.DUMMYFUNCTION("IF(ISBLANK(A114),"""",GOOGLETRANSLATE(A114,""en"",""fr""))"),"")</f>
        <v/>
      </c>
    </row>
    <row r="115" spans="2:2">
      <c r="B115" s="3" t="str">
        <f ca="1">IFERROR(__xludf.DUMMYFUNCTION("IF(ISBLANK(A115),"""",GOOGLETRANSLATE(A115,""en"",""fr""))"),"")</f>
        <v/>
      </c>
    </row>
    <row r="116" spans="2:2">
      <c r="B116" s="3" t="str">
        <f ca="1">IFERROR(__xludf.DUMMYFUNCTION("IF(ISBLANK(A116),"""",GOOGLETRANSLATE(A116,""en"",""fr""))"),"")</f>
        <v/>
      </c>
    </row>
    <row r="117" spans="2:2">
      <c r="B117" s="3" t="str">
        <f ca="1">IFERROR(__xludf.DUMMYFUNCTION("IF(ISBLANK(A117),"""",GOOGLETRANSLATE(A117,""en"",""fr""))"),"")</f>
        <v/>
      </c>
    </row>
    <row r="118" spans="2:2">
      <c r="B118" s="3" t="str">
        <f ca="1">IFERROR(__xludf.DUMMYFUNCTION("IF(ISBLANK(A118),"""",GOOGLETRANSLATE(A118,""en"",""fr""))"),"")</f>
        <v/>
      </c>
    </row>
    <row r="119" spans="2:2">
      <c r="B119" s="3" t="str">
        <f ca="1">IFERROR(__xludf.DUMMYFUNCTION("IF(ISBLANK(A119),"""",GOOGLETRANSLATE(A119,""en"",""fr""))"),"")</f>
        <v/>
      </c>
    </row>
    <row r="120" spans="2:2">
      <c r="B120" s="3" t="str">
        <f ca="1">IFERROR(__xludf.DUMMYFUNCTION("IF(ISBLANK(A120),"""",GOOGLETRANSLATE(A120,""en"",""fr""))"),"")</f>
        <v/>
      </c>
    </row>
    <row r="121" spans="2:2">
      <c r="B121" s="3" t="str">
        <f ca="1">IFERROR(__xludf.DUMMYFUNCTION("IF(ISBLANK(A121),"""",GOOGLETRANSLATE(A121,""en"",""fr""))"),"")</f>
        <v/>
      </c>
    </row>
    <row r="122" spans="2:2">
      <c r="B122" s="3" t="str">
        <f ca="1">IFERROR(__xludf.DUMMYFUNCTION("IF(ISBLANK(A122),"""",GOOGLETRANSLATE(A122,""en"",""fr""))"),"")</f>
        <v/>
      </c>
    </row>
    <row r="123" spans="2:2">
      <c r="B123" s="3" t="str">
        <f ca="1">IFERROR(__xludf.DUMMYFUNCTION("IF(ISBLANK(A123),"""",GOOGLETRANSLATE(A123,""en"",""fr""))"),"")</f>
        <v/>
      </c>
    </row>
    <row r="124" spans="2:2">
      <c r="B124" s="3" t="str">
        <f ca="1">IFERROR(__xludf.DUMMYFUNCTION("IF(ISBLANK(A124),"""",GOOGLETRANSLATE(A124,""en"",""fr""))"),"")</f>
        <v/>
      </c>
    </row>
    <row r="125" spans="2:2">
      <c r="B125" s="3" t="str">
        <f ca="1">IFERROR(__xludf.DUMMYFUNCTION("IF(ISBLANK(A125),"""",GOOGLETRANSLATE(A125,""en"",""fr""))"),"")</f>
        <v/>
      </c>
    </row>
    <row r="126" spans="2:2">
      <c r="B126" s="3" t="str">
        <f ca="1">IFERROR(__xludf.DUMMYFUNCTION("IF(ISBLANK(A126),"""",GOOGLETRANSLATE(A126,""en"",""fr""))"),"")</f>
        <v/>
      </c>
    </row>
    <row r="127" spans="2:2">
      <c r="B127" s="3" t="str">
        <f ca="1">IFERROR(__xludf.DUMMYFUNCTION("IF(ISBLANK(A127),"""",GOOGLETRANSLATE(A127,""en"",""fr""))"),"")</f>
        <v/>
      </c>
    </row>
    <row r="128" spans="2:2">
      <c r="B128" s="3" t="str">
        <f ca="1">IFERROR(__xludf.DUMMYFUNCTION("IF(ISBLANK(A128),"""",GOOGLETRANSLATE(A128,""en"",""fr""))"),"")</f>
        <v/>
      </c>
    </row>
    <row r="129" spans="2:2">
      <c r="B129" s="3" t="str">
        <f ca="1">IFERROR(__xludf.DUMMYFUNCTION("IF(ISBLANK(A129),"""",GOOGLETRANSLATE(A129,""en"",""fr""))"),"")</f>
        <v/>
      </c>
    </row>
    <row r="130" spans="2:2">
      <c r="B130" s="3" t="str">
        <f ca="1">IFERROR(__xludf.DUMMYFUNCTION("IF(ISBLANK(A130),"""",GOOGLETRANSLATE(A130,""en"",""fr""))"),"")</f>
        <v/>
      </c>
    </row>
    <row r="131" spans="2:2">
      <c r="B131" s="3" t="str">
        <f ca="1">IFERROR(__xludf.DUMMYFUNCTION("IF(ISBLANK(A131),"""",GOOGLETRANSLATE(A131,""en"",""fr""))"),"")</f>
        <v/>
      </c>
    </row>
    <row r="132" spans="2:2">
      <c r="B132" s="3" t="str">
        <f ca="1">IFERROR(__xludf.DUMMYFUNCTION("IF(ISBLANK(A132),"""",GOOGLETRANSLATE(A132,""en"",""fr""))"),"")</f>
        <v/>
      </c>
    </row>
    <row r="133" spans="2:2">
      <c r="B133" s="3" t="str">
        <f ca="1">IFERROR(__xludf.DUMMYFUNCTION("IF(ISBLANK(A133),"""",GOOGLETRANSLATE(A133,""en"",""fr""))"),"")</f>
        <v/>
      </c>
    </row>
    <row r="134" spans="2:2">
      <c r="B134" s="3" t="str">
        <f ca="1">IFERROR(__xludf.DUMMYFUNCTION("IF(ISBLANK(A134),"""",GOOGLETRANSLATE(A134,""en"",""fr""))"),"")</f>
        <v/>
      </c>
    </row>
    <row r="135" spans="2:2">
      <c r="B135" s="3" t="str">
        <f ca="1">IFERROR(__xludf.DUMMYFUNCTION("IF(ISBLANK(A135),"""",GOOGLETRANSLATE(A135,""en"",""fr""))"),"")</f>
        <v/>
      </c>
    </row>
    <row r="136" spans="2:2">
      <c r="B136" s="3" t="str">
        <f ca="1">IFERROR(__xludf.DUMMYFUNCTION("IF(ISBLANK(A136),"""",GOOGLETRANSLATE(A136,""en"",""fr""))"),"")</f>
        <v/>
      </c>
    </row>
    <row r="137" spans="2:2">
      <c r="B137" s="3" t="str">
        <f ca="1">IFERROR(__xludf.DUMMYFUNCTION("IF(ISBLANK(A137),"""",GOOGLETRANSLATE(A137,""en"",""fr""))"),"")</f>
        <v/>
      </c>
    </row>
    <row r="138" spans="2:2">
      <c r="B138" s="3" t="str">
        <f ca="1">IFERROR(__xludf.DUMMYFUNCTION("IF(ISBLANK(A138),"""",GOOGLETRANSLATE(A138,""en"",""fr""))"),"")</f>
        <v/>
      </c>
    </row>
    <row r="139" spans="2:2">
      <c r="B139" s="3" t="str">
        <f ca="1">IFERROR(__xludf.DUMMYFUNCTION("IF(ISBLANK(A139),"""",GOOGLETRANSLATE(A139,""en"",""fr""))"),"")</f>
        <v/>
      </c>
    </row>
    <row r="140" spans="2:2">
      <c r="B140" s="3" t="str">
        <f ca="1">IFERROR(__xludf.DUMMYFUNCTION("IF(ISBLANK(A140),"""",GOOGLETRANSLATE(A140,""en"",""fr""))"),"")</f>
        <v/>
      </c>
    </row>
    <row r="141" spans="2:2">
      <c r="B141" s="3" t="str">
        <f ca="1">IFERROR(__xludf.DUMMYFUNCTION("IF(ISBLANK(A141),"""",GOOGLETRANSLATE(A141,""en"",""fr""))"),"")</f>
        <v/>
      </c>
    </row>
    <row r="142" spans="2:2">
      <c r="B142" s="3" t="str">
        <f ca="1">IFERROR(__xludf.DUMMYFUNCTION("IF(ISBLANK(A142),"""",GOOGLETRANSLATE(A142,""en"",""fr""))"),"")</f>
        <v/>
      </c>
    </row>
    <row r="143" spans="2:2">
      <c r="B143" s="3" t="str">
        <f ca="1">IFERROR(__xludf.DUMMYFUNCTION("IF(ISBLANK(A143),"""",GOOGLETRANSLATE(A143,""en"",""fr""))"),"")</f>
        <v/>
      </c>
    </row>
    <row r="144" spans="2:2">
      <c r="B144" s="3" t="str">
        <f ca="1">IFERROR(__xludf.DUMMYFUNCTION("IF(ISBLANK(A144),"""",GOOGLETRANSLATE(A144,""en"",""fr""))"),"")</f>
        <v/>
      </c>
    </row>
    <row r="145" spans="2:2">
      <c r="B145" s="3" t="str">
        <f ca="1">IFERROR(__xludf.DUMMYFUNCTION("IF(ISBLANK(A145),"""",GOOGLETRANSLATE(A145,""en"",""fr""))"),"")</f>
        <v/>
      </c>
    </row>
    <row r="146" spans="2:2">
      <c r="B146" s="3" t="str">
        <f ca="1">IFERROR(__xludf.DUMMYFUNCTION("IF(ISBLANK(A146),"""",GOOGLETRANSLATE(A146,""en"",""fr""))"),"")</f>
        <v/>
      </c>
    </row>
    <row r="147" spans="2:2">
      <c r="B147" s="3" t="str">
        <f ca="1">IFERROR(__xludf.DUMMYFUNCTION("IF(ISBLANK(A147),"""",GOOGLETRANSLATE(A147,""en"",""fr""))"),"")</f>
        <v/>
      </c>
    </row>
    <row r="148" spans="2:2">
      <c r="B148" s="3" t="str">
        <f ca="1">IFERROR(__xludf.DUMMYFUNCTION("IF(ISBLANK(A148),"""",GOOGLETRANSLATE(A148,""en"",""fr""))"),"")</f>
        <v/>
      </c>
    </row>
    <row r="149" spans="2:2">
      <c r="B149" s="3" t="str">
        <f ca="1">IFERROR(__xludf.DUMMYFUNCTION("IF(ISBLANK(A149),"""",GOOGLETRANSLATE(A149,""en"",""fr""))"),"")</f>
        <v/>
      </c>
    </row>
    <row r="150" spans="2:2">
      <c r="B150" s="3" t="str">
        <f ca="1">IFERROR(__xludf.DUMMYFUNCTION("IF(ISBLANK(A150),"""",GOOGLETRANSLATE(A150,""en"",""fr""))"),"")</f>
        <v/>
      </c>
    </row>
    <row r="151" spans="2:2">
      <c r="B151" s="3" t="str">
        <f ca="1">IFERROR(__xludf.DUMMYFUNCTION("IF(ISBLANK(A151),"""",GOOGLETRANSLATE(A151,""en"",""fr""))"),"")</f>
        <v/>
      </c>
    </row>
    <row r="152" spans="2:2">
      <c r="B152" s="3" t="str">
        <f ca="1">IFERROR(__xludf.DUMMYFUNCTION("IF(ISBLANK(A152),"""",GOOGLETRANSLATE(A152,""en"",""fr""))"),"")</f>
        <v/>
      </c>
    </row>
    <row r="153" spans="2:2">
      <c r="B153" s="3" t="str">
        <f ca="1">IFERROR(__xludf.DUMMYFUNCTION("IF(ISBLANK(A153),"""",GOOGLETRANSLATE(A153,""en"",""fr""))"),"")</f>
        <v/>
      </c>
    </row>
    <row r="154" spans="2:2">
      <c r="B154" s="3" t="str">
        <f ca="1">IFERROR(__xludf.DUMMYFUNCTION("IF(ISBLANK(A154),"""",GOOGLETRANSLATE(A154,""en"",""fr""))"),"")</f>
        <v/>
      </c>
    </row>
    <row r="155" spans="2:2">
      <c r="B155" s="3" t="str">
        <f ca="1">IFERROR(__xludf.DUMMYFUNCTION("IF(ISBLANK(A155),"""",GOOGLETRANSLATE(A155,""en"",""fr""))"),"")</f>
        <v/>
      </c>
    </row>
    <row r="156" spans="2:2">
      <c r="B156" s="3" t="str">
        <f ca="1">IFERROR(__xludf.DUMMYFUNCTION("IF(ISBLANK(A156),"""",GOOGLETRANSLATE(A156,""en"",""fr""))"),"")</f>
        <v/>
      </c>
    </row>
    <row r="157" spans="2:2">
      <c r="B157" s="3" t="str">
        <f ca="1">IFERROR(__xludf.DUMMYFUNCTION("IF(ISBLANK(A157),"""",GOOGLETRANSLATE(A157,""en"",""fr""))"),"")</f>
        <v/>
      </c>
    </row>
    <row r="158" spans="2:2">
      <c r="B158" s="3" t="str">
        <f ca="1">IFERROR(__xludf.DUMMYFUNCTION("IF(ISBLANK(A158),"""",GOOGLETRANSLATE(A158,""en"",""fr""))"),"")</f>
        <v/>
      </c>
    </row>
    <row r="159" spans="2:2">
      <c r="B159" s="3" t="str">
        <f ca="1">IFERROR(__xludf.DUMMYFUNCTION("IF(ISBLANK(A159),"""",GOOGLETRANSLATE(A159,""en"",""fr""))"),"")</f>
        <v/>
      </c>
    </row>
    <row r="160" spans="2:2">
      <c r="B160" s="3" t="str">
        <f ca="1">IFERROR(__xludf.DUMMYFUNCTION("IF(ISBLANK(A160),"""",GOOGLETRANSLATE(A160,""en"",""fr""))"),"")</f>
        <v/>
      </c>
    </row>
    <row r="161" spans="2:2">
      <c r="B161" s="3" t="str">
        <f ca="1">IFERROR(__xludf.DUMMYFUNCTION("IF(ISBLANK(A161),"""",GOOGLETRANSLATE(A161,""en"",""fr""))"),"")</f>
        <v/>
      </c>
    </row>
    <row r="162" spans="2:2">
      <c r="B162" s="3" t="str">
        <f ca="1">IFERROR(__xludf.DUMMYFUNCTION("IF(ISBLANK(A162),"""",GOOGLETRANSLATE(A162,""en"",""fr""))"),"")</f>
        <v/>
      </c>
    </row>
    <row r="163" spans="2:2">
      <c r="B163" s="3" t="str">
        <f ca="1">IFERROR(__xludf.DUMMYFUNCTION("IF(ISBLANK(A163),"""",GOOGLETRANSLATE(A163,""en"",""fr""))"),"")</f>
        <v/>
      </c>
    </row>
    <row r="164" spans="2:2">
      <c r="B164" s="3" t="str">
        <f ca="1">IFERROR(__xludf.DUMMYFUNCTION("IF(ISBLANK(A164),"""",GOOGLETRANSLATE(A164,""en"",""fr""))"),"")</f>
        <v/>
      </c>
    </row>
    <row r="165" spans="2:2">
      <c r="B165" s="3" t="str">
        <f ca="1">IFERROR(__xludf.DUMMYFUNCTION("IF(ISBLANK(A165),"""",GOOGLETRANSLATE(A165,""en"",""fr""))"),"")</f>
        <v/>
      </c>
    </row>
    <row r="166" spans="2:2">
      <c r="B166" s="3" t="str">
        <f ca="1">IFERROR(__xludf.DUMMYFUNCTION("IF(ISBLANK(A166),"""",GOOGLETRANSLATE(A166,""en"",""fr""))"),"")</f>
        <v/>
      </c>
    </row>
    <row r="167" spans="2:2">
      <c r="B167" s="3" t="str">
        <f ca="1">IFERROR(__xludf.DUMMYFUNCTION("IF(ISBLANK(A167),"""",GOOGLETRANSLATE(A167,""en"",""fr""))"),"")</f>
        <v/>
      </c>
    </row>
    <row r="168" spans="2:2">
      <c r="B168" s="3" t="str">
        <f ca="1">IFERROR(__xludf.DUMMYFUNCTION("IF(ISBLANK(A168),"""",GOOGLETRANSLATE(A168,""en"",""fr""))"),"")</f>
        <v/>
      </c>
    </row>
    <row r="169" spans="2:2">
      <c r="B169" s="3" t="str">
        <f ca="1">IFERROR(__xludf.DUMMYFUNCTION("IF(ISBLANK(A169),"""",GOOGLETRANSLATE(A169,""en"",""fr""))"),"")</f>
        <v/>
      </c>
    </row>
    <row r="170" spans="2:2">
      <c r="B170" s="3" t="str">
        <f ca="1">IFERROR(__xludf.DUMMYFUNCTION("IF(ISBLANK(A170),"""",GOOGLETRANSLATE(A170,""en"",""fr""))"),"")</f>
        <v/>
      </c>
    </row>
    <row r="171" spans="2:2">
      <c r="B171" s="3" t="str">
        <f ca="1">IFERROR(__xludf.DUMMYFUNCTION("IF(ISBLANK(A171),"""",GOOGLETRANSLATE(A171,""en"",""fr""))"),"")</f>
        <v/>
      </c>
    </row>
    <row r="172" spans="2:2">
      <c r="B172" s="3" t="str">
        <f ca="1">IFERROR(__xludf.DUMMYFUNCTION("IF(ISBLANK(A172),"""",GOOGLETRANSLATE(A172,""en"",""fr""))"),"")</f>
        <v/>
      </c>
    </row>
    <row r="173" spans="2:2">
      <c r="B173" s="3" t="str">
        <f ca="1">IFERROR(__xludf.DUMMYFUNCTION("IF(ISBLANK(A173),"""",GOOGLETRANSLATE(A173,""en"",""fr""))"),"")</f>
        <v/>
      </c>
    </row>
    <row r="174" spans="2:2">
      <c r="B174" s="3" t="str">
        <f ca="1">IFERROR(__xludf.DUMMYFUNCTION("IF(ISBLANK(A174),"""",GOOGLETRANSLATE(A174,""en"",""fr""))"),"")</f>
        <v/>
      </c>
    </row>
    <row r="175" spans="2:2">
      <c r="B175" s="3" t="str">
        <f ca="1">IFERROR(__xludf.DUMMYFUNCTION("IF(ISBLANK(A175),"""",GOOGLETRANSLATE(A175,""en"",""fr""))"),"")</f>
        <v/>
      </c>
    </row>
    <row r="176" spans="2:2">
      <c r="B176" s="3" t="str">
        <f ca="1">IFERROR(__xludf.DUMMYFUNCTION("IF(ISBLANK(A176),"""",GOOGLETRANSLATE(A176,""en"",""fr""))"),"")</f>
        <v/>
      </c>
    </row>
    <row r="177" spans="2:2">
      <c r="B177" s="3" t="str">
        <f ca="1">IFERROR(__xludf.DUMMYFUNCTION("IF(ISBLANK(A177),"""",GOOGLETRANSLATE(A177,""en"",""fr""))"),"")</f>
        <v/>
      </c>
    </row>
    <row r="178" spans="2:2">
      <c r="B178" s="3" t="str">
        <f ca="1">IFERROR(__xludf.DUMMYFUNCTION("IF(ISBLANK(A178),"""",GOOGLETRANSLATE(A178,""en"",""fr""))"),"")</f>
        <v/>
      </c>
    </row>
    <row r="179" spans="2:2">
      <c r="B179" s="3" t="str">
        <f ca="1">IFERROR(__xludf.DUMMYFUNCTION("IF(ISBLANK(A179),"""",GOOGLETRANSLATE(A179,""en"",""fr""))"),"")</f>
        <v/>
      </c>
    </row>
    <row r="180" spans="2:2">
      <c r="B180" s="3" t="str">
        <f ca="1">IFERROR(__xludf.DUMMYFUNCTION("IF(ISBLANK(A180),"""",GOOGLETRANSLATE(A180,""en"",""fr""))"),"")</f>
        <v/>
      </c>
    </row>
    <row r="181" spans="2:2">
      <c r="B181" s="3" t="str">
        <f ca="1">IFERROR(__xludf.DUMMYFUNCTION("IF(ISBLANK(A181),"""",GOOGLETRANSLATE(A181,""en"",""fr""))"),"")</f>
        <v/>
      </c>
    </row>
    <row r="182" spans="2:2">
      <c r="B182" s="3" t="str">
        <f ca="1">IFERROR(__xludf.DUMMYFUNCTION("IF(ISBLANK(A182),"""",GOOGLETRANSLATE(A182,""en"",""fr""))"),"")</f>
        <v/>
      </c>
    </row>
    <row r="183" spans="2:2">
      <c r="B183" s="3" t="str">
        <f ca="1">IFERROR(__xludf.DUMMYFUNCTION("IF(ISBLANK(A183),"""",GOOGLETRANSLATE(A183,""en"",""fr""))"),"")</f>
        <v/>
      </c>
    </row>
    <row r="184" spans="2:2">
      <c r="B184" s="3" t="str">
        <f ca="1">IFERROR(__xludf.DUMMYFUNCTION("IF(ISBLANK(A184),"""",GOOGLETRANSLATE(A184,""en"",""fr""))"),"")</f>
        <v/>
      </c>
    </row>
    <row r="185" spans="2:2">
      <c r="B185" s="3" t="str">
        <f ca="1">IFERROR(__xludf.DUMMYFUNCTION("IF(ISBLANK(A185),"""",GOOGLETRANSLATE(A185,""en"",""fr""))"),"")</f>
        <v/>
      </c>
    </row>
    <row r="186" spans="2:2">
      <c r="B186" s="3" t="str">
        <f ca="1">IFERROR(__xludf.DUMMYFUNCTION("IF(ISBLANK(A186),"""",GOOGLETRANSLATE(A186,""en"",""fr""))"),"")</f>
        <v/>
      </c>
    </row>
    <row r="187" spans="2:2">
      <c r="B187" s="3" t="str">
        <f ca="1">IFERROR(__xludf.DUMMYFUNCTION("IF(ISBLANK(A187),"""",GOOGLETRANSLATE(A187,""en"",""fr""))"),"")</f>
        <v/>
      </c>
    </row>
    <row r="188" spans="2:2">
      <c r="B188" s="3" t="str">
        <f ca="1">IFERROR(__xludf.DUMMYFUNCTION("IF(ISBLANK(A188),"""",GOOGLETRANSLATE(A188,""en"",""fr""))"),"")</f>
        <v/>
      </c>
    </row>
    <row r="189" spans="2:2">
      <c r="B189" s="3" t="str">
        <f ca="1">IFERROR(__xludf.DUMMYFUNCTION("IF(ISBLANK(A189),"""",GOOGLETRANSLATE(A189,""en"",""fr""))"),"")</f>
        <v/>
      </c>
    </row>
    <row r="190" spans="2:2">
      <c r="B190" s="3" t="str">
        <f ca="1">IFERROR(__xludf.DUMMYFUNCTION("IF(ISBLANK(A190),"""",GOOGLETRANSLATE(A190,""en"",""fr""))"),"")</f>
        <v/>
      </c>
    </row>
    <row r="191" spans="2:2">
      <c r="B191" s="3" t="str">
        <f ca="1">IFERROR(__xludf.DUMMYFUNCTION("IF(ISBLANK(A191),"""",GOOGLETRANSLATE(A191,""en"",""fr""))"),"")</f>
        <v/>
      </c>
    </row>
    <row r="192" spans="2:2">
      <c r="B192" s="3" t="str">
        <f ca="1">IFERROR(__xludf.DUMMYFUNCTION("IF(ISBLANK(A192),"""",GOOGLETRANSLATE(A192,""en"",""fr""))"),"")</f>
        <v/>
      </c>
    </row>
    <row r="193" spans="2:2">
      <c r="B193" s="3" t="str">
        <f ca="1">IFERROR(__xludf.DUMMYFUNCTION("IF(ISBLANK(A193),"""",GOOGLETRANSLATE(A193,""en"",""fr""))"),"")</f>
        <v/>
      </c>
    </row>
    <row r="194" spans="2:2">
      <c r="B194" s="3" t="str">
        <f ca="1">IFERROR(__xludf.DUMMYFUNCTION("IF(ISBLANK(A194),"""",GOOGLETRANSLATE(A194,""en"",""fr""))"),"")</f>
        <v/>
      </c>
    </row>
    <row r="195" spans="2:2">
      <c r="B195" s="3" t="str">
        <f ca="1">IFERROR(__xludf.DUMMYFUNCTION("IF(ISBLANK(A195),"""",GOOGLETRANSLATE(A195,""en"",""fr""))"),"")</f>
        <v/>
      </c>
    </row>
    <row r="196" spans="2:2">
      <c r="B196" s="3" t="str">
        <f ca="1">IFERROR(__xludf.DUMMYFUNCTION("IF(ISBLANK(A196),"""",GOOGLETRANSLATE(A196,""en"",""fr""))"),"")</f>
        <v/>
      </c>
    </row>
    <row r="197" spans="2:2">
      <c r="B197" s="3" t="str">
        <f ca="1">IFERROR(__xludf.DUMMYFUNCTION("IF(ISBLANK(A197),"""",GOOGLETRANSLATE(A197,""en"",""fr""))"),"")</f>
        <v/>
      </c>
    </row>
    <row r="198" spans="2:2">
      <c r="B198" s="3" t="str">
        <f ca="1">IFERROR(__xludf.DUMMYFUNCTION("IF(ISBLANK(A198),"""",GOOGLETRANSLATE(A198,""en"",""fr""))"),"")</f>
        <v/>
      </c>
    </row>
    <row r="199" spans="2:2">
      <c r="B199" s="3" t="str">
        <f ca="1">IFERROR(__xludf.DUMMYFUNCTION("IF(ISBLANK(A199),"""",GOOGLETRANSLATE(A199,""en"",""fr""))"),"")</f>
        <v/>
      </c>
    </row>
    <row r="200" spans="2:2">
      <c r="B200" s="3" t="str">
        <f ca="1">IFERROR(__xludf.DUMMYFUNCTION("IF(ISBLANK(A200),"""",GOOGLETRANSLATE(A200,""en"",""fr""))"),"")</f>
        <v/>
      </c>
    </row>
    <row r="201" spans="2:2">
      <c r="B201" s="3" t="str">
        <f ca="1">IFERROR(__xludf.DUMMYFUNCTION("IF(ISBLANK(A201),"""",GOOGLETRANSLATE(A201,""en"",""fr""))"),"")</f>
        <v/>
      </c>
    </row>
    <row r="202" spans="2:2">
      <c r="B202" s="3" t="str">
        <f ca="1">IFERROR(__xludf.DUMMYFUNCTION("IF(ISBLANK(A202),"""",GOOGLETRANSLATE(A202,""en"",""fr""))"),"")</f>
        <v/>
      </c>
    </row>
    <row r="203" spans="2:2">
      <c r="B203" s="3" t="str">
        <f ca="1">IFERROR(__xludf.DUMMYFUNCTION("IF(ISBLANK(A203),"""",GOOGLETRANSLATE(A203,""en"",""fr""))"),"")</f>
        <v/>
      </c>
    </row>
    <row r="204" spans="2:2">
      <c r="B204" s="3" t="str">
        <f ca="1">IFERROR(__xludf.DUMMYFUNCTION("IF(ISBLANK(A204),"""",GOOGLETRANSLATE(A204,""en"",""fr""))"),"")</f>
        <v/>
      </c>
    </row>
    <row r="205" spans="2:2">
      <c r="B205" s="3" t="str">
        <f ca="1">IFERROR(__xludf.DUMMYFUNCTION("IF(ISBLANK(A205),"""",GOOGLETRANSLATE(A205,""en"",""fr""))"),"")</f>
        <v/>
      </c>
    </row>
    <row r="206" spans="2:2">
      <c r="B206" s="3" t="str">
        <f ca="1">IFERROR(__xludf.DUMMYFUNCTION("IF(ISBLANK(A206),"""",GOOGLETRANSLATE(A206,""en"",""fr""))"),"")</f>
        <v/>
      </c>
    </row>
    <row r="207" spans="2:2">
      <c r="B207" s="3" t="str">
        <f ca="1">IFERROR(__xludf.DUMMYFUNCTION("IF(ISBLANK(A207),"""",GOOGLETRANSLATE(A207,""en"",""fr""))"),"")</f>
        <v/>
      </c>
    </row>
    <row r="208" spans="2:2">
      <c r="B208" s="3" t="str">
        <f ca="1">IFERROR(__xludf.DUMMYFUNCTION("IF(ISBLANK(A208),"""",GOOGLETRANSLATE(A208,""en"",""fr""))"),"")</f>
        <v/>
      </c>
    </row>
    <row r="209" spans="2:2">
      <c r="B209" s="3" t="str">
        <f ca="1">IFERROR(__xludf.DUMMYFUNCTION("IF(ISBLANK(A209),"""",GOOGLETRANSLATE(A209,""en"",""fr""))"),"")</f>
        <v/>
      </c>
    </row>
    <row r="210" spans="2:2">
      <c r="B210" s="3" t="str">
        <f ca="1">IFERROR(__xludf.DUMMYFUNCTION("IF(ISBLANK(A210),"""",GOOGLETRANSLATE(A210,""en"",""fr""))"),"")</f>
        <v/>
      </c>
    </row>
    <row r="211" spans="2:2">
      <c r="B211" s="3" t="str">
        <f ca="1">IFERROR(__xludf.DUMMYFUNCTION("IF(ISBLANK(A211),"""",GOOGLETRANSLATE(A211,""en"",""fr""))"),"")</f>
        <v/>
      </c>
    </row>
    <row r="212" spans="2:2">
      <c r="B212" s="3" t="str">
        <f ca="1">IFERROR(__xludf.DUMMYFUNCTION("IF(ISBLANK(A212),"""",GOOGLETRANSLATE(A212,""en"",""fr""))"),"")</f>
        <v/>
      </c>
    </row>
    <row r="213" spans="2:2">
      <c r="B213" s="3" t="str">
        <f ca="1">IFERROR(__xludf.DUMMYFUNCTION("IF(ISBLANK(A213),"""",GOOGLETRANSLATE(A213,""en"",""fr""))"),"")</f>
        <v/>
      </c>
    </row>
    <row r="214" spans="2:2">
      <c r="B214" s="3" t="str">
        <f ca="1">IFERROR(__xludf.DUMMYFUNCTION("IF(ISBLANK(A214),"""",GOOGLETRANSLATE(A214,""en"",""fr""))"),"")</f>
        <v/>
      </c>
    </row>
    <row r="215" spans="2:2">
      <c r="B215" s="3" t="str">
        <f ca="1">IFERROR(__xludf.DUMMYFUNCTION("IF(ISBLANK(A215),"""",GOOGLETRANSLATE(A215,""en"",""fr""))"),"")</f>
        <v/>
      </c>
    </row>
    <row r="216" spans="2:2">
      <c r="B216" s="3" t="str">
        <f ca="1">IFERROR(__xludf.DUMMYFUNCTION("IF(ISBLANK(A216),"""",GOOGLETRANSLATE(A216,""en"",""fr""))"),"")</f>
        <v/>
      </c>
    </row>
    <row r="217" spans="2:2">
      <c r="B217" s="3" t="str">
        <f ca="1">IFERROR(__xludf.DUMMYFUNCTION("IF(ISBLANK(A217),"""",GOOGLETRANSLATE(A217,""en"",""fr""))"),"")</f>
        <v/>
      </c>
    </row>
    <row r="218" spans="2:2">
      <c r="B218" s="3" t="str">
        <f ca="1">IFERROR(__xludf.DUMMYFUNCTION("IF(ISBLANK(A218),"""",GOOGLETRANSLATE(A218,""en"",""fr""))"),"")</f>
        <v/>
      </c>
    </row>
    <row r="219" spans="2:2">
      <c r="B219" s="3" t="str">
        <f ca="1">IFERROR(__xludf.DUMMYFUNCTION("IF(ISBLANK(A219),"""",GOOGLETRANSLATE(A219,""en"",""fr""))"),"")</f>
        <v/>
      </c>
    </row>
    <row r="220" spans="2:2">
      <c r="B220" s="3" t="str">
        <f ca="1">IFERROR(__xludf.DUMMYFUNCTION("IF(ISBLANK(A220),"""",GOOGLETRANSLATE(A220,""en"",""fr""))"),"")</f>
        <v/>
      </c>
    </row>
    <row r="221" spans="2:2">
      <c r="B221" s="3" t="str">
        <f ca="1">IFERROR(__xludf.DUMMYFUNCTION("IF(ISBLANK(A221),"""",GOOGLETRANSLATE(A221,""en"",""fr""))"),"")</f>
        <v/>
      </c>
    </row>
    <row r="222" spans="2:2">
      <c r="B222" s="3" t="str">
        <f ca="1">IFERROR(__xludf.DUMMYFUNCTION("IF(ISBLANK(A222),"""",GOOGLETRANSLATE(A222,""en"",""fr""))"),"")</f>
        <v/>
      </c>
    </row>
    <row r="223" spans="2:2">
      <c r="B223" s="3" t="str">
        <f ca="1">IFERROR(__xludf.DUMMYFUNCTION("IF(ISBLANK(A223),"""",GOOGLETRANSLATE(A223,""en"",""fr""))"),"")</f>
        <v/>
      </c>
    </row>
    <row r="224" spans="2:2">
      <c r="B224" s="3" t="str">
        <f ca="1">IFERROR(__xludf.DUMMYFUNCTION("IF(ISBLANK(A224),"""",GOOGLETRANSLATE(A224,""en"",""fr""))"),"")</f>
        <v/>
      </c>
    </row>
    <row r="225" spans="2:2">
      <c r="B225" s="3" t="str">
        <f ca="1">IFERROR(__xludf.DUMMYFUNCTION("IF(ISBLANK(A225),"""",GOOGLETRANSLATE(A225,""en"",""fr""))"),"")</f>
        <v/>
      </c>
    </row>
    <row r="226" spans="2:2">
      <c r="B226" s="3" t="str">
        <f ca="1">IFERROR(__xludf.DUMMYFUNCTION("IF(ISBLANK(A226),"""",GOOGLETRANSLATE(A226,""en"",""fr""))"),"")</f>
        <v/>
      </c>
    </row>
    <row r="227" spans="2:2">
      <c r="B227" s="3" t="str">
        <f ca="1">IFERROR(__xludf.DUMMYFUNCTION("IF(ISBLANK(A227),"""",GOOGLETRANSLATE(A227,""en"",""fr""))"),"")</f>
        <v/>
      </c>
    </row>
    <row r="228" spans="2:2">
      <c r="B228" s="3" t="str">
        <f ca="1">IFERROR(__xludf.DUMMYFUNCTION("IF(ISBLANK(A228),"""",GOOGLETRANSLATE(A228,""en"",""fr""))"),"")</f>
        <v/>
      </c>
    </row>
    <row r="229" spans="2:2">
      <c r="B229" s="3" t="str">
        <f ca="1">IFERROR(__xludf.DUMMYFUNCTION("IF(ISBLANK(A229),"""",GOOGLETRANSLATE(A229,""en"",""fr""))"),"")</f>
        <v/>
      </c>
    </row>
    <row r="230" spans="2:2">
      <c r="B230" s="3" t="str">
        <f ca="1">IFERROR(__xludf.DUMMYFUNCTION("IF(ISBLANK(A230),"""",GOOGLETRANSLATE(A230,""en"",""fr""))"),"")</f>
        <v/>
      </c>
    </row>
    <row r="231" spans="2:2">
      <c r="B231" s="3" t="str">
        <f ca="1">IFERROR(__xludf.DUMMYFUNCTION("IF(ISBLANK(A231),"""",GOOGLETRANSLATE(A231,""en"",""fr""))"),"")</f>
        <v/>
      </c>
    </row>
    <row r="232" spans="2:2">
      <c r="B232" s="3" t="str">
        <f ca="1">IFERROR(__xludf.DUMMYFUNCTION("IF(ISBLANK(A232),"""",GOOGLETRANSLATE(A232,""en"",""fr""))"),"")</f>
        <v/>
      </c>
    </row>
    <row r="233" spans="2:2">
      <c r="B233" s="3" t="str">
        <f ca="1">IFERROR(__xludf.DUMMYFUNCTION("IF(ISBLANK(A233),"""",GOOGLETRANSLATE(A233,""en"",""fr""))"),"")</f>
        <v/>
      </c>
    </row>
    <row r="234" spans="2:2">
      <c r="B234" s="3" t="str">
        <f ca="1">IFERROR(__xludf.DUMMYFUNCTION("IF(ISBLANK(A234),"""",GOOGLETRANSLATE(A234,""en"",""fr""))"),"")</f>
        <v/>
      </c>
    </row>
    <row r="235" spans="2:2">
      <c r="B235" s="3" t="str">
        <f ca="1">IFERROR(__xludf.DUMMYFUNCTION("IF(ISBLANK(A235),"""",GOOGLETRANSLATE(A235,""en"",""fr""))"),"")</f>
        <v/>
      </c>
    </row>
    <row r="236" spans="2:2">
      <c r="B236" s="3" t="str">
        <f ca="1">IFERROR(__xludf.DUMMYFUNCTION("IF(ISBLANK(A236),"""",GOOGLETRANSLATE(A236,""en"",""fr""))"),"")</f>
        <v/>
      </c>
    </row>
    <row r="237" spans="2:2">
      <c r="B237" s="3" t="str">
        <f ca="1">IFERROR(__xludf.DUMMYFUNCTION("IF(ISBLANK(A237),"""",GOOGLETRANSLATE(A237,""en"",""fr""))"),"")</f>
        <v/>
      </c>
    </row>
    <row r="238" spans="2:2">
      <c r="B238" s="3" t="str">
        <f ca="1">IFERROR(__xludf.DUMMYFUNCTION("IF(ISBLANK(A238),"""",GOOGLETRANSLATE(A238,""en"",""fr""))"),"")</f>
        <v/>
      </c>
    </row>
    <row r="239" spans="2:2">
      <c r="B239" s="3" t="str">
        <f ca="1">IFERROR(__xludf.DUMMYFUNCTION("IF(ISBLANK(A239),"""",GOOGLETRANSLATE(A239,""en"",""fr""))"),"")</f>
        <v/>
      </c>
    </row>
    <row r="240" spans="2:2">
      <c r="B240" s="3" t="str">
        <f ca="1">IFERROR(__xludf.DUMMYFUNCTION("IF(ISBLANK(A240),"""",GOOGLETRANSLATE(A240,""en"",""fr""))"),"")</f>
        <v/>
      </c>
    </row>
    <row r="241" spans="2:2">
      <c r="B241" s="3" t="str">
        <f ca="1">IFERROR(__xludf.DUMMYFUNCTION("IF(ISBLANK(A241),"""",GOOGLETRANSLATE(A241,""en"",""fr""))"),"")</f>
        <v/>
      </c>
    </row>
    <row r="242" spans="2:2">
      <c r="B242" s="3" t="str">
        <f ca="1">IFERROR(__xludf.DUMMYFUNCTION("IF(ISBLANK(A242),"""",GOOGLETRANSLATE(A242,""en"",""fr""))"),"")</f>
        <v/>
      </c>
    </row>
    <row r="243" spans="2:2">
      <c r="B243" s="3" t="str">
        <f ca="1">IFERROR(__xludf.DUMMYFUNCTION("IF(ISBLANK(A243),"""",GOOGLETRANSLATE(A243,""en"",""fr""))"),"")</f>
        <v/>
      </c>
    </row>
    <row r="244" spans="2:2">
      <c r="B244" s="3" t="str">
        <f ca="1">IFERROR(__xludf.DUMMYFUNCTION("IF(ISBLANK(A244),"""",GOOGLETRANSLATE(A244,""en"",""fr""))"),"")</f>
        <v/>
      </c>
    </row>
    <row r="245" spans="2:2">
      <c r="B245" s="3" t="str">
        <f ca="1">IFERROR(__xludf.DUMMYFUNCTION("IF(ISBLANK(A245),"""",GOOGLETRANSLATE(A245,""en"",""fr""))"),"")</f>
        <v/>
      </c>
    </row>
    <row r="246" spans="2:2">
      <c r="B246" s="3" t="str">
        <f ca="1">IFERROR(__xludf.DUMMYFUNCTION("IF(ISBLANK(A246),"""",GOOGLETRANSLATE(A246,""en"",""fr""))"),"")</f>
        <v/>
      </c>
    </row>
    <row r="247" spans="2:2">
      <c r="B247" s="3" t="str">
        <f ca="1">IFERROR(__xludf.DUMMYFUNCTION("IF(ISBLANK(A247),"""",GOOGLETRANSLATE(A247,""en"",""fr""))"),"")</f>
        <v/>
      </c>
    </row>
    <row r="248" spans="2:2">
      <c r="B248" s="3" t="str">
        <f ca="1">IFERROR(__xludf.DUMMYFUNCTION("IF(ISBLANK(A248),"""",GOOGLETRANSLATE(A248,""en"",""fr""))"),"")</f>
        <v/>
      </c>
    </row>
    <row r="249" spans="2:2">
      <c r="B249" s="3" t="str">
        <f ca="1">IFERROR(__xludf.DUMMYFUNCTION("IF(ISBLANK(A249),"""",GOOGLETRANSLATE(A249,""en"",""fr""))"),"")</f>
        <v/>
      </c>
    </row>
    <row r="250" spans="2:2">
      <c r="B250" s="3" t="str">
        <f ca="1">IFERROR(__xludf.DUMMYFUNCTION("IF(ISBLANK(A250),"""",GOOGLETRANSLATE(A250,""en"",""fr""))"),"")</f>
        <v/>
      </c>
    </row>
    <row r="251" spans="2:2">
      <c r="B251" s="3" t="str">
        <f ca="1">IFERROR(__xludf.DUMMYFUNCTION("IF(ISBLANK(A251),"""",GOOGLETRANSLATE(A251,""en"",""fr""))"),"")</f>
        <v/>
      </c>
    </row>
    <row r="252" spans="2:2">
      <c r="B252" s="3" t="str">
        <f ca="1">IFERROR(__xludf.DUMMYFUNCTION("IF(ISBLANK(A252),"""",GOOGLETRANSLATE(A252,""en"",""fr""))"),"")</f>
        <v/>
      </c>
    </row>
    <row r="253" spans="2:2">
      <c r="B253" s="3" t="str">
        <f ca="1">IFERROR(__xludf.DUMMYFUNCTION("IF(ISBLANK(A253),"""",GOOGLETRANSLATE(A253,""en"",""fr""))"),"")</f>
        <v/>
      </c>
    </row>
    <row r="254" spans="2:2">
      <c r="B254" s="3" t="str">
        <f ca="1">IFERROR(__xludf.DUMMYFUNCTION("IF(ISBLANK(A254),"""",GOOGLETRANSLATE(A254,""en"",""fr""))"),"")</f>
        <v/>
      </c>
    </row>
    <row r="255" spans="2:2">
      <c r="B255" s="3" t="str">
        <f ca="1">IFERROR(__xludf.DUMMYFUNCTION("IF(ISBLANK(A255),"""",GOOGLETRANSLATE(A255,""en"",""fr""))"),"")</f>
        <v/>
      </c>
    </row>
    <row r="256" spans="2:2">
      <c r="B256" s="3" t="str">
        <f ca="1">IFERROR(__xludf.DUMMYFUNCTION("IF(ISBLANK(A256),"""",GOOGLETRANSLATE(A256,""en"",""fr""))"),"")</f>
        <v/>
      </c>
    </row>
    <row r="257" spans="2:2">
      <c r="B257" s="3" t="str">
        <f ca="1">IFERROR(__xludf.DUMMYFUNCTION("IF(ISBLANK(A257),"""",GOOGLETRANSLATE(A257,""en"",""fr""))"),"")</f>
        <v/>
      </c>
    </row>
    <row r="258" spans="2:2">
      <c r="B258" s="3" t="str">
        <f ca="1">IFERROR(__xludf.DUMMYFUNCTION("IF(ISBLANK(A258),"""",GOOGLETRANSLATE(A258,""en"",""fr""))"),"")</f>
        <v/>
      </c>
    </row>
    <row r="259" spans="2:2">
      <c r="B259" s="3" t="str">
        <f ca="1">IFERROR(__xludf.DUMMYFUNCTION("IF(ISBLANK(A259),"""",GOOGLETRANSLATE(A259,""en"",""fr""))"),"")</f>
        <v/>
      </c>
    </row>
    <row r="260" spans="2:2">
      <c r="B260" s="3" t="str">
        <f ca="1">IFERROR(__xludf.DUMMYFUNCTION("IF(ISBLANK(A260),"""",GOOGLETRANSLATE(A260,""en"",""fr""))"),"")</f>
        <v/>
      </c>
    </row>
    <row r="261" spans="2:2">
      <c r="B261" s="3" t="str">
        <f ca="1">IFERROR(__xludf.DUMMYFUNCTION("IF(ISBLANK(A261),"""",GOOGLETRANSLATE(A261,""en"",""fr""))"),"")</f>
        <v/>
      </c>
    </row>
    <row r="262" spans="2:2">
      <c r="B262" s="3" t="str">
        <f ca="1">IFERROR(__xludf.DUMMYFUNCTION("IF(ISBLANK(A262),"""",GOOGLETRANSLATE(A262,""en"",""fr""))"),"")</f>
        <v/>
      </c>
    </row>
    <row r="263" spans="2:2">
      <c r="B263" s="3" t="str">
        <f ca="1">IFERROR(__xludf.DUMMYFUNCTION("IF(ISBLANK(A263),"""",GOOGLETRANSLATE(A263,""en"",""fr""))"),"")</f>
        <v/>
      </c>
    </row>
    <row r="264" spans="2:2">
      <c r="B264" s="3" t="str">
        <f ca="1">IFERROR(__xludf.DUMMYFUNCTION("IF(ISBLANK(A264),"""",GOOGLETRANSLATE(A264,""en"",""fr""))"),"")</f>
        <v/>
      </c>
    </row>
    <row r="265" spans="2:2">
      <c r="B265" s="3" t="str">
        <f ca="1">IFERROR(__xludf.DUMMYFUNCTION("IF(ISBLANK(A265),"""",GOOGLETRANSLATE(A265,""en"",""fr""))"),"")</f>
        <v/>
      </c>
    </row>
    <row r="266" spans="2:2">
      <c r="B266" s="3" t="str">
        <f ca="1">IFERROR(__xludf.DUMMYFUNCTION("IF(ISBLANK(A266),"""",GOOGLETRANSLATE(A266,""en"",""fr""))"),"")</f>
        <v/>
      </c>
    </row>
    <row r="267" spans="2:2">
      <c r="B267" s="3" t="str">
        <f ca="1">IFERROR(__xludf.DUMMYFUNCTION("IF(ISBLANK(A267),"""",GOOGLETRANSLATE(A267,""en"",""fr""))"),"")</f>
        <v/>
      </c>
    </row>
    <row r="268" spans="2:2">
      <c r="B268" s="3" t="str">
        <f ca="1">IFERROR(__xludf.DUMMYFUNCTION("IF(ISBLANK(A268),"""",GOOGLETRANSLATE(A268,""en"",""fr""))"),"")</f>
        <v/>
      </c>
    </row>
    <row r="269" spans="2:2">
      <c r="B269" s="3" t="str">
        <f ca="1">IFERROR(__xludf.DUMMYFUNCTION("IF(ISBLANK(A269),"""",GOOGLETRANSLATE(A269,""en"",""fr""))"),"")</f>
        <v/>
      </c>
    </row>
    <row r="270" spans="2:2">
      <c r="B270" s="3" t="str">
        <f ca="1">IFERROR(__xludf.DUMMYFUNCTION("IF(ISBLANK(A270),"""",GOOGLETRANSLATE(A270,""en"",""fr""))"),"")</f>
        <v/>
      </c>
    </row>
    <row r="271" spans="2:2">
      <c r="B271" s="3" t="str">
        <f ca="1">IFERROR(__xludf.DUMMYFUNCTION("IF(ISBLANK(A271),"""",GOOGLETRANSLATE(A271,""en"",""fr""))"),"")</f>
        <v/>
      </c>
    </row>
    <row r="272" spans="2:2">
      <c r="B272" s="3" t="str">
        <f ca="1">IFERROR(__xludf.DUMMYFUNCTION("IF(ISBLANK(A272),"""",GOOGLETRANSLATE(A272,""en"",""fr""))"),"")</f>
        <v/>
      </c>
    </row>
    <row r="273" spans="2:2">
      <c r="B273" s="3" t="str">
        <f ca="1">IFERROR(__xludf.DUMMYFUNCTION("IF(ISBLANK(A273),"""",GOOGLETRANSLATE(A273,""en"",""fr""))"),"")</f>
        <v/>
      </c>
    </row>
    <row r="274" spans="2:2">
      <c r="B274" s="3" t="str">
        <f ca="1">IFERROR(__xludf.DUMMYFUNCTION("IF(ISBLANK(A274),"""",GOOGLETRANSLATE(A274,""en"",""fr""))"),"")</f>
        <v/>
      </c>
    </row>
    <row r="275" spans="2:2">
      <c r="B275" s="3" t="str">
        <f ca="1">IFERROR(__xludf.DUMMYFUNCTION("IF(ISBLANK(A275),"""",GOOGLETRANSLATE(A275,""en"",""fr""))"),"")</f>
        <v/>
      </c>
    </row>
    <row r="276" spans="2:2">
      <c r="B276" s="3" t="str">
        <f ca="1">IFERROR(__xludf.DUMMYFUNCTION("IF(ISBLANK(A276),"""",GOOGLETRANSLATE(A276,""en"",""fr""))"),"")</f>
        <v/>
      </c>
    </row>
    <row r="277" spans="2:2">
      <c r="B277" s="3" t="str">
        <f ca="1">IFERROR(__xludf.DUMMYFUNCTION("IF(ISBLANK(A277),"""",GOOGLETRANSLATE(A277,""en"",""fr""))"),"")</f>
        <v/>
      </c>
    </row>
    <row r="278" spans="2:2">
      <c r="B278" s="3" t="str">
        <f ca="1">IFERROR(__xludf.DUMMYFUNCTION("IF(ISBLANK(A278),"""",GOOGLETRANSLATE(A278,""en"",""fr""))"),"")</f>
        <v/>
      </c>
    </row>
    <row r="279" spans="2:2">
      <c r="B279" s="3" t="str">
        <f ca="1">IFERROR(__xludf.DUMMYFUNCTION("IF(ISBLANK(A279),"""",GOOGLETRANSLATE(A279,""en"",""fr""))"),"")</f>
        <v/>
      </c>
    </row>
    <row r="280" spans="2:2">
      <c r="B280" s="3" t="str">
        <f ca="1">IFERROR(__xludf.DUMMYFUNCTION("IF(ISBLANK(A280),"""",GOOGLETRANSLATE(A280,""en"",""fr""))"),"")</f>
        <v/>
      </c>
    </row>
    <row r="281" spans="2:2">
      <c r="B281" s="3" t="str">
        <f ca="1">IFERROR(__xludf.DUMMYFUNCTION("IF(ISBLANK(A281),"""",GOOGLETRANSLATE(A281,""en"",""fr""))"),"")</f>
        <v/>
      </c>
    </row>
    <row r="282" spans="2:2">
      <c r="B282" s="3" t="str">
        <f ca="1">IFERROR(__xludf.DUMMYFUNCTION("IF(ISBLANK(A282),"""",GOOGLETRANSLATE(A282,""en"",""fr""))"),"")</f>
        <v/>
      </c>
    </row>
    <row r="283" spans="2:2">
      <c r="B283" s="3" t="str">
        <f ca="1">IFERROR(__xludf.DUMMYFUNCTION("IF(ISBLANK(A283),"""",GOOGLETRANSLATE(A283,""en"",""fr""))"),"")</f>
        <v/>
      </c>
    </row>
    <row r="284" spans="2:2">
      <c r="B284" s="3" t="str">
        <f ca="1">IFERROR(__xludf.DUMMYFUNCTION("IF(ISBLANK(A284),"""",GOOGLETRANSLATE(A284,""en"",""fr""))"),"")</f>
        <v/>
      </c>
    </row>
    <row r="285" spans="2:2">
      <c r="B285" s="3" t="str">
        <f ca="1">IFERROR(__xludf.DUMMYFUNCTION("IF(ISBLANK(A285),"""",GOOGLETRANSLATE(A285,""en"",""fr""))"),"")</f>
        <v/>
      </c>
    </row>
    <row r="286" spans="2:2">
      <c r="B286" s="3" t="str">
        <f ca="1">IFERROR(__xludf.DUMMYFUNCTION("IF(ISBLANK(A286),"""",GOOGLETRANSLATE(A286,""en"",""fr""))"),"")</f>
        <v/>
      </c>
    </row>
    <row r="287" spans="2:2">
      <c r="B287" s="3" t="str">
        <f ca="1">IFERROR(__xludf.DUMMYFUNCTION("IF(ISBLANK(A287),"""",GOOGLETRANSLATE(A287,""en"",""fr""))"),"")</f>
        <v/>
      </c>
    </row>
    <row r="288" spans="2:2">
      <c r="B288" s="3" t="str">
        <f ca="1">IFERROR(__xludf.DUMMYFUNCTION("IF(ISBLANK(A288),"""",GOOGLETRANSLATE(A288,""en"",""fr""))"),"")</f>
        <v/>
      </c>
    </row>
    <row r="289" spans="2:2">
      <c r="B289" s="3" t="str">
        <f ca="1">IFERROR(__xludf.DUMMYFUNCTION("IF(ISBLANK(A289),"""",GOOGLETRANSLATE(A289,""en"",""fr""))"),"")</f>
        <v/>
      </c>
    </row>
    <row r="290" spans="2:2">
      <c r="B290" s="3" t="str">
        <f ca="1">IFERROR(__xludf.DUMMYFUNCTION("IF(ISBLANK(A290),"""",GOOGLETRANSLATE(A290,""en"",""fr""))"),"")</f>
        <v/>
      </c>
    </row>
    <row r="291" spans="2:2">
      <c r="B291" s="3" t="str">
        <f ca="1">IFERROR(__xludf.DUMMYFUNCTION("IF(ISBLANK(A291),"""",GOOGLETRANSLATE(A291,""en"",""fr""))"),"")</f>
        <v/>
      </c>
    </row>
    <row r="292" spans="2:2">
      <c r="B292" s="3" t="str">
        <f ca="1">IFERROR(__xludf.DUMMYFUNCTION("IF(ISBLANK(A292),"""",GOOGLETRANSLATE(A292,""en"",""fr""))"),"")</f>
        <v/>
      </c>
    </row>
    <row r="293" spans="2:2">
      <c r="B293" s="3" t="str">
        <f ca="1">IFERROR(__xludf.DUMMYFUNCTION("IF(ISBLANK(A293),"""",GOOGLETRANSLATE(A293,""en"",""fr""))"),"")</f>
        <v/>
      </c>
    </row>
    <row r="294" spans="2:2">
      <c r="B294" s="3" t="str">
        <f ca="1">IFERROR(__xludf.DUMMYFUNCTION("IF(ISBLANK(A294),"""",GOOGLETRANSLATE(A294,""en"",""fr""))"),"")</f>
        <v/>
      </c>
    </row>
    <row r="295" spans="2:2">
      <c r="B295" s="3" t="str">
        <f ca="1">IFERROR(__xludf.DUMMYFUNCTION("IF(ISBLANK(A295),"""",GOOGLETRANSLATE(A295,""en"",""fr""))"),"")</f>
        <v/>
      </c>
    </row>
    <row r="296" spans="2:2">
      <c r="B296" s="3" t="str">
        <f ca="1">IFERROR(__xludf.DUMMYFUNCTION("IF(ISBLANK(A296),"""",GOOGLETRANSLATE(A296,""en"",""fr""))"),"")</f>
        <v/>
      </c>
    </row>
    <row r="297" spans="2:2">
      <c r="B297" s="3" t="str">
        <f ca="1">IFERROR(__xludf.DUMMYFUNCTION("IF(ISBLANK(A297),"""",GOOGLETRANSLATE(A297,""en"",""fr""))"),"")</f>
        <v/>
      </c>
    </row>
    <row r="298" spans="2:2">
      <c r="B298" s="3" t="str">
        <f ca="1">IFERROR(__xludf.DUMMYFUNCTION("IF(ISBLANK(A298),"""",GOOGLETRANSLATE(A298,""en"",""fr""))"),"")</f>
        <v/>
      </c>
    </row>
    <row r="299" spans="2:2">
      <c r="B299" s="3" t="str">
        <f ca="1">IFERROR(__xludf.DUMMYFUNCTION("IF(ISBLANK(A299),"""",GOOGLETRANSLATE(A299,""en"",""fr""))"),"")</f>
        <v/>
      </c>
    </row>
    <row r="300" spans="2:2">
      <c r="B300" s="3" t="str">
        <f ca="1">IFERROR(__xludf.DUMMYFUNCTION("IF(ISBLANK(A300),"""",GOOGLETRANSLATE(A300,""en"",""fr""))"),"")</f>
        <v/>
      </c>
    </row>
    <row r="301" spans="2:2">
      <c r="B301" s="3" t="str">
        <f ca="1">IFERROR(__xludf.DUMMYFUNCTION("IF(ISBLANK(A301),"""",GOOGLETRANSLATE(A301,""en"",""fr""))"),"")</f>
        <v/>
      </c>
    </row>
    <row r="302" spans="2:2">
      <c r="B302" s="3" t="str">
        <f ca="1">IFERROR(__xludf.DUMMYFUNCTION("IF(ISBLANK(A302),"""",GOOGLETRANSLATE(A302,""en"",""fr""))"),"")</f>
        <v/>
      </c>
    </row>
    <row r="303" spans="2:2">
      <c r="B303" s="3" t="str">
        <f ca="1">IFERROR(__xludf.DUMMYFUNCTION("IF(ISBLANK(A303),"""",GOOGLETRANSLATE(A303,""en"",""fr""))"),"")</f>
        <v/>
      </c>
    </row>
    <row r="304" spans="2:2">
      <c r="B304" s="3" t="str">
        <f ca="1">IFERROR(__xludf.DUMMYFUNCTION("IF(ISBLANK(A304),"""",GOOGLETRANSLATE(A304,""en"",""fr""))"),"")</f>
        <v/>
      </c>
    </row>
    <row r="305" spans="2:2">
      <c r="B305" s="3" t="str">
        <f ca="1">IFERROR(__xludf.DUMMYFUNCTION("IF(ISBLANK(A305),"""",GOOGLETRANSLATE(A305,""en"",""fr""))"),"")</f>
        <v/>
      </c>
    </row>
    <row r="306" spans="2:2">
      <c r="B306" s="3" t="str">
        <f ca="1">IFERROR(__xludf.DUMMYFUNCTION("IF(ISBLANK(A306),"""",GOOGLETRANSLATE(A306,""en"",""fr""))"),"")</f>
        <v/>
      </c>
    </row>
    <row r="307" spans="2:2">
      <c r="B307" s="3" t="str">
        <f ca="1">IFERROR(__xludf.DUMMYFUNCTION("IF(ISBLANK(A307),"""",GOOGLETRANSLATE(A307,""en"",""fr""))"),"")</f>
        <v/>
      </c>
    </row>
    <row r="308" spans="2:2">
      <c r="B308" s="3" t="str">
        <f ca="1">IFERROR(__xludf.DUMMYFUNCTION("IF(ISBLANK(A308),"""",GOOGLETRANSLATE(A308,""en"",""fr""))"),"")</f>
        <v/>
      </c>
    </row>
    <row r="309" spans="2:2">
      <c r="B309" s="3" t="str">
        <f ca="1">IFERROR(__xludf.DUMMYFUNCTION("IF(ISBLANK(A309),"""",GOOGLETRANSLATE(A309,""en"",""fr""))"),"")</f>
        <v/>
      </c>
    </row>
    <row r="310" spans="2:2">
      <c r="B310" s="3" t="str">
        <f ca="1">IFERROR(__xludf.DUMMYFUNCTION("IF(ISBLANK(A310),"""",GOOGLETRANSLATE(A310,""en"",""fr""))"),"")</f>
        <v/>
      </c>
    </row>
    <row r="311" spans="2:2">
      <c r="B311" s="3" t="str">
        <f ca="1">IFERROR(__xludf.DUMMYFUNCTION("IF(ISBLANK(A311),"""",GOOGLETRANSLATE(A311,""en"",""fr""))"),"")</f>
        <v/>
      </c>
    </row>
    <row r="312" spans="2:2">
      <c r="B312" s="3" t="str">
        <f ca="1">IFERROR(__xludf.DUMMYFUNCTION("IF(ISBLANK(A312),"""",GOOGLETRANSLATE(A312,""en"",""fr""))"),"")</f>
        <v/>
      </c>
    </row>
    <row r="313" spans="2:2">
      <c r="B313" s="3" t="str">
        <f ca="1">IFERROR(__xludf.DUMMYFUNCTION("IF(ISBLANK(A313),"""",GOOGLETRANSLATE(A313,""en"",""fr""))"),"")</f>
        <v/>
      </c>
    </row>
    <row r="314" spans="2:2">
      <c r="B314" s="3" t="str">
        <f ca="1">IFERROR(__xludf.DUMMYFUNCTION("IF(ISBLANK(A314),"""",GOOGLETRANSLATE(A314,""en"",""fr""))"),"")</f>
        <v/>
      </c>
    </row>
    <row r="315" spans="2:2">
      <c r="B315" s="3" t="str">
        <f ca="1">IFERROR(__xludf.DUMMYFUNCTION("IF(ISBLANK(A315),"""",GOOGLETRANSLATE(A315,""en"",""fr""))"),"")</f>
        <v/>
      </c>
    </row>
    <row r="316" spans="2:2">
      <c r="B316" s="3" t="str">
        <f ca="1">IFERROR(__xludf.DUMMYFUNCTION("IF(ISBLANK(A316),"""",GOOGLETRANSLATE(A316,""en"",""fr""))"),"")</f>
        <v/>
      </c>
    </row>
    <row r="317" spans="2:2">
      <c r="B317" s="3" t="str">
        <f ca="1">IFERROR(__xludf.DUMMYFUNCTION("IF(ISBLANK(A317),"""",GOOGLETRANSLATE(A317,""en"",""fr""))"),"")</f>
        <v/>
      </c>
    </row>
    <row r="318" spans="2:2">
      <c r="B318" s="3" t="str">
        <f ca="1">IFERROR(__xludf.DUMMYFUNCTION("IF(ISBLANK(A318),"""",GOOGLETRANSLATE(A318,""en"",""fr""))"),"")</f>
        <v/>
      </c>
    </row>
    <row r="319" spans="2:2">
      <c r="B319" s="3" t="str">
        <f ca="1">IFERROR(__xludf.DUMMYFUNCTION("IF(ISBLANK(A319),"""",GOOGLETRANSLATE(A319,""en"",""fr""))"),"")</f>
        <v/>
      </c>
    </row>
    <row r="320" spans="2:2">
      <c r="B320" s="3" t="str">
        <f ca="1">IFERROR(__xludf.DUMMYFUNCTION("IF(ISBLANK(A320),"""",GOOGLETRANSLATE(A320,""en"",""fr""))"),"")</f>
        <v/>
      </c>
    </row>
    <row r="321" spans="2:2">
      <c r="B321" s="3" t="str">
        <f ca="1">IFERROR(__xludf.DUMMYFUNCTION("IF(ISBLANK(A321),"""",GOOGLETRANSLATE(A321,""en"",""fr""))"),"")</f>
        <v/>
      </c>
    </row>
    <row r="322" spans="2:2">
      <c r="B322" s="3" t="str">
        <f ca="1">IFERROR(__xludf.DUMMYFUNCTION("IF(ISBLANK(A322),"""",GOOGLETRANSLATE(A322,""en"",""fr""))"),"")</f>
        <v/>
      </c>
    </row>
    <row r="323" spans="2:2">
      <c r="B323" s="3" t="str">
        <f ca="1">IFERROR(__xludf.DUMMYFUNCTION("IF(ISBLANK(A323),"""",GOOGLETRANSLATE(A323,""en"",""fr""))"),"")</f>
        <v/>
      </c>
    </row>
    <row r="324" spans="2:2">
      <c r="B324" s="3" t="str">
        <f ca="1">IFERROR(__xludf.DUMMYFUNCTION("IF(ISBLANK(A324),"""",GOOGLETRANSLATE(A324,""en"",""fr""))"),"")</f>
        <v/>
      </c>
    </row>
    <row r="325" spans="2:2">
      <c r="B325" s="3" t="str">
        <f ca="1">IFERROR(__xludf.DUMMYFUNCTION("IF(ISBLANK(A325),"""",GOOGLETRANSLATE(A325,""en"",""fr""))"),"")</f>
        <v/>
      </c>
    </row>
    <row r="326" spans="2:2">
      <c r="B326" s="3" t="str">
        <f ca="1">IFERROR(__xludf.DUMMYFUNCTION("IF(ISBLANK(A326),"""",GOOGLETRANSLATE(A326,""en"",""fr""))"),"")</f>
        <v/>
      </c>
    </row>
    <row r="327" spans="2:2">
      <c r="B327" s="3" t="str">
        <f ca="1">IFERROR(__xludf.DUMMYFUNCTION("IF(ISBLANK(A327),"""",GOOGLETRANSLATE(A327,""en"",""fr""))"),"")</f>
        <v/>
      </c>
    </row>
    <row r="328" spans="2:2">
      <c r="B328" s="3" t="str">
        <f ca="1">IFERROR(__xludf.DUMMYFUNCTION("IF(ISBLANK(A328),"""",GOOGLETRANSLATE(A328,""en"",""fr""))"),"")</f>
        <v/>
      </c>
    </row>
    <row r="329" spans="2:2">
      <c r="B329" s="3" t="str">
        <f ca="1">IFERROR(__xludf.DUMMYFUNCTION("IF(ISBLANK(A329),"""",GOOGLETRANSLATE(A329,""en"",""fr""))"),"")</f>
        <v/>
      </c>
    </row>
    <row r="330" spans="2:2">
      <c r="B330" s="3" t="str">
        <f ca="1">IFERROR(__xludf.DUMMYFUNCTION("IF(ISBLANK(A330),"""",GOOGLETRANSLATE(A330,""en"",""fr""))"),"")</f>
        <v/>
      </c>
    </row>
    <row r="331" spans="2:2">
      <c r="B331" s="3" t="str">
        <f ca="1">IFERROR(__xludf.DUMMYFUNCTION("IF(ISBLANK(A331),"""",GOOGLETRANSLATE(A331,""en"",""fr""))"),"")</f>
        <v/>
      </c>
    </row>
    <row r="332" spans="2:2">
      <c r="B332" s="3" t="str">
        <f ca="1">IFERROR(__xludf.DUMMYFUNCTION("IF(ISBLANK(A332),"""",GOOGLETRANSLATE(A332,""en"",""fr""))"),"")</f>
        <v/>
      </c>
    </row>
    <row r="333" spans="2:2">
      <c r="B333" s="3" t="str">
        <f ca="1">IFERROR(__xludf.DUMMYFUNCTION("IF(ISBLANK(A333),"""",GOOGLETRANSLATE(A333,""en"",""fr""))"),"")</f>
        <v/>
      </c>
    </row>
    <row r="334" spans="2:2">
      <c r="B334" s="3" t="str">
        <f ca="1">IFERROR(__xludf.DUMMYFUNCTION("IF(ISBLANK(A334),"""",GOOGLETRANSLATE(A334,""en"",""fr""))"),"")</f>
        <v/>
      </c>
    </row>
    <row r="335" spans="2:2">
      <c r="B335" s="3" t="str">
        <f ca="1">IFERROR(__xludf.DUMMYFUNCTION("IF(ISBLANK(A335),"""",GOOGLETRANSLATE(A335,""en"",""fr""))"),"")</f>
        <v/>
      </c>
    </row>
    <row r="336" spans="2:2">
      <c r="B336" s="3" t="str">
        <f ca="1">IFERROR(__xludf.DUMMYFUNCTION("IF(ISBLANK(A336),"""",GOOGLETRANSLATE(A336,""en"",""fr""))"),"")</f>
        <v/>
      </c>
    </row>
    <row r="337" spans="2:2">
      <c r="B337" s="3" t="str">
        <f ca="1">IFERROR(__xludf.DUMMYFUNCTION("IF(ISBLANK(A337),"""",GOOGLETRANSLATE(A337,""en"",""fr""))"),"")</f>
        <v/>
      </c>
    </row>
    <row r="338" spans="2:2">
      <c r="B338" s="3" t="str">
        <f ca="1">IFERROR(__xludf.DUMMYFUNCTION("IF(ISBLANK(A338),"""",GOOGLETRANSLATE(A338,""en"",""fr""))"),"")</f>
        <v/>
      </c>
    </row>
    <row r="339" spans="2:2">
      <c r="B339" s="3" t="str">
        <f ca="1">IFERROR(__xludf.DUMMYFUNCTION("IF(ISBLANK(A339),"""",GOOGLETRANSLATE(A339,""en"",""fr""))"),"")</f>
        <v/>
      </c>
    </row>
    <row r="340" spans="2:2">
      <c r="B340" s="3" t="str">
        <f ca="1">IFERROR(__xludf.DUMMYFUNCTION("IF(ISBLANK(A340),"""",GOOGLETRANSLATE(A340,""en"",""fr""))"),"")</f>
        <v/>
      </c>
    </row>
    <row r="341" spans="2:2">
      <c r="B341" s="3" t="str">
        <f ca="1">IFERROR(__xludf.DUMMYFUNCTION("IF(ISBLANK(A341),"""",GOOGLETRANSLATE(A341,""en"",""fr""))"),"")</f>
        <v/>
      </c>
    </row>
    <row r="342" spans="2:2">
      <c r="B342" s="3" t="str">
        <f ca="1">IFERROR(__xludf.DUMMYFUNCTION("IF(ISBLANK(A342),"""",GOOGLETRANSLATE(A342,""en"",""fr""))"),"")</f>
        <v/>
      </c>
    </row>
    <row r="343" spans="2:2">
      <c r="B343" s="3" t="str">
        <f ca="1">IFERROR(__xludf.DUMMYFUNCTION("IF(ISBLANK(A343),"""",GOOGLETRANSLATE(A343,""en"",""fr""))"),"")</f>
        <v/>
      </c>
    </row>
    <row r="344" spans="2:2">
      <c r="B344" s="3" t="str">
        <f ca="1">IFERROR(__xludf.DUMMYFUNCTION("IF(ISBLANK(A344),"""",GOOGLETRANSLATE(A344,""en"",""fr""))"),"")</f>
        <v/>
      </c>
    </row>
    <row r="345" spans="2:2">
      <c r="B345" s="3" t="str">
        <f ca="1">IFERROR(__xludf.DUMMYFUNCTION("IF(ISBLANK(A345),"""",GOOGLETRANSLATE(A345,""en"",""fr""))"),"")</f>
        <v/>
      </c>
    </row>
    <row r="346" spans="2:2">
      <c r="B346" s="3" t="str">
        <f ca="1">IFERROR(__xludf.DUMMYFUNCTION("IF(ISBLANK(A346),"""",GOOGLETRANSLATE(A346,""en"",""fr""))"),"")</f>
        <v/>
      </c>
    </row>
    <row r="347" spans="2:2">
      <c r="B347" s="3" t="str">
        <f ca="1">IFERROR(__xludf.DUMMYFUNCTION("IF(ISBLANK(A347),"""",GOOGLETRANSLATE(A347,""en"",""fr""))"),"")</f>
        <v/>
      </c>
    </row>
    <row r="348" spans="2:2">
      <c r="B348" s="3" t="str">
        <f ca="1">IFERROR(__xludf.DUMMYFUNCTION("IF(ISBLANK(A348),"""",GOOGLETRANSLATE(A348,""en"",""fr""))"),"")</f>
        <v/>
      </c>
    </row>
    <row r="349" spans="2:2">
      <c r="B349" s="3" t="str">
        <f ca="1">IFERROR(__xludf.DUMMYFUNCTION("IF(ISBLANK(A349),"""",GOOGLETRANSLATE(A349,""en"",""fr""))"),"")</f>
        <v/>
      </c>
    </row>
    <row r="350" spans="2:2">
      <c r="B350" s="3" t="str">
        <f ca="1">IFERROR(__xludf.DUMMYFUNCTION("IF(ISBLANK(A350),"""",GOOGLETRANSLATE(A350,""en"",""fr""))"),"")</f>
        <v/>
      </c>
    </row>
    <row r="351" spans="2:2">
      <c r="B351" s="3" t="str">
        <f ca="1">IFERROR(__xludf.DUMMYFUNCTION("IF(ISBLANK(A351),"""",GOOGLETRANSLATE(A351,""en"",""fr""))"),"")</f>
        <v/>
      </c>
    </row>
    <row r="352" spans="2:2">
      <c r="B352" s="3" t="str">
        <f ca="1">IFERROR(__xludf.DUMMYFUNCTION("IF(ISBLANK(A352),"""",GOOGLETRANSLATE(A352,""en"",""fr""))"),"")</f>
        <v/>
      </c>
    </row>
    <row r="353" spans="2:2">
      <c r="B353" s="3" t="str">
        <f ca="1">IFERROR(__xludf.DUMMYFUNCTION("IF(ISBLANK(A353),"""",GOOGLETRANSLATE(A353,""en"",""fr""))"),"")</f>
        <v/>
      </c>
    </row>
    <row r="354" spans="2:2">
      <c r="B354" s="3" t="str">
        <f ca="1">IFERROR(__xludf.DUMMYFUNCTION("IF(ISBLANK(A354),"""",GOOGLETRANSLATE(A354,""en"",""fr""))"),"")</f>
        <v/>
      </c>
    </row>
    <row r="355" spans="2:2">
      <c r="B355" s="3" t="str">
        <f ca="1">IFERROR(__xludf.DUMMYFUNCTION("IF(ISBLANK(A355),"""",GOOGLETRANSLATE(A355,""en"",""fr""))"),"")</f>
        <v/>
      </c>
    </row>
    <row r="356" spans="2:2">
      <c r="B356" s="3" t="str">
        <f ca="1">IFERROR(__xludf.DUMMYFUNCTION("IF(ISBLANK(A356),"""",GOOGLETRANSLATE(A356,""en"",""fr""))"),"")</f>
        <v/>
      </c>
    </row>
    <row r="357" spans="2:2">
      <c r="B357" s="3" t="str">
        <f ca="1">IFERROR(__xludf.DUMMYFUNCTION("IF(ISBLANK(A357),"""",GOOGLETRANSLATE(A357,""en"",""fr""))"),"")</f>
        <v/>
      </c>
    </row>
    <row r="358" spans="2:2">
      <c r="B358" s="3" t="str">
        <f ca="1">IFERROR(__xludf.DUMMYFUNCTION("IF(ISBLANK(A358),"""",GOOGLETRANSLATE(A358,""en"",""fr""))"),"")</f>
        <v/>
      </c>
    </row>
    <row r="359" spans="2:2">
      <c r="B359" s="3" t="str">
        <f ca="1">IFERROR(__xludf.DUMMYFUNCTION("IF(ISBLANK(A359),"""",GOOGLETRANSLATE(A359,""en"",""fr""))"),"")</f>
        <v/>
      </c>
    </row>
    <row r="360" spans="2:2">
      <c r="B360" s="3" t="str">
        <f ca="1">IFERROR(__xludf.DUMMYFUNCTION("IF(ISBLANK(A360),"""",GOOGLETRANSLATE(A360,""en"",""fr""))"),"")</f>
        <v/>
      </c>
    </row>
    <row r="361" spans="2:2">
      <c r="B361" s="3" t="str">
        <f ca="1">IFERROR(__xludf.DUMMYFUNCTION("IF(ISBLANK(A361),"""",GOOGLETRANSLATE(A361,""en"",""fr""))"),"")</f>
        <v/>
      </c>
    </row>
    <row r="362" spans="2:2">
      <c r="B362" s="3" t="str">
        <f ca="1">IFERROR(__xludf.DUMMYFUNCTION("IF(ISBLANK(A362),"""",GOOGLETRANSLATE(A362,""en"",""fr""))"),"")</f>
        <v/>
      </c>
    </row>
    <row r="363" spans="2:2">
      <c r="B363" s="3" t="str">
        <f ca="1">IFERROR(__xludf.DUMMYFUNCTION("IF(ISBLANK(A363),"""",GOOGLETRANSLATE(A363,""en"",""fr""))"),"")</f>
        <v/>
      </c>
    </row>
    <row r="364" spans="2:2">
      <c r="B364" s="3" t="str">
        <f ca="1">IFERROR(__xludf.DUMMYFUNCTION("IF(ISBLANK(A364),"""",GOOGLETRANSLATE(A364,""en"",""fr""))"),"")</f>
        <v/>
      </c>
    </row>
    <row r="365" spans="2:2">
      <c r="B365" s="3" t="str">
        <f ca="1">IFERROR(__xludf.DUMMYFUNCTION("IF(ISBLANK(A365),"""",GOOGLETRANSLATE(A365,""en"",""fr""))"),"")</f>
        <v/>
      </c>
    </row>
    <row r="366" spans="2:2">
      <c r="B366" s="3" t="str">
        <f ca="1">IFERROR(__xludf.DUMMYFUNCTION("IF(ISBLANK(A366),"""",GOOGLETRANSLATE(A366,""en"",""fr""))"),"")</f>
        <v/>
      </c>
    </row>
    <row r="367" spans="2:2">
      <c r="B367" s="3" t="str">
        <f ca="1">IFERROR(__xludf.DUMMYFUNCTION("IF(ISBLANK(A367),"""",GOOGLETRANSLATE(A367,""en"",""fr""))"),"")</f>
        <v/>
      </c>
    </row>
    <row r="368" spans="2:2">
      <c r="B368" s="3" t="str">
        <f ca="1">IFERROR(__xludf.DUMMYFUNCTION("IF(ISBLANK(A368),"""",GOOGLETRANSLATE(A368,""en"",""fr""))"),"")</f>
        <v/>
      </c>
    </row>
    <row r="369" spans="2:2">
      <c r="B369" s="3" t="str">
        <f ca="1">IFERROR(__xludf.DUMMYFUNCTION("IF(ISBLANK(A369),"""",GOOGLETRANSLATE(A369,""en"",""fr""))"),"")</f>
        <v/>
      </c>
    </row>
    <row r="370" spans="2:2">
      <c r="B370" s="3" t="str">
        <f ca="1">IFERROR(__xludf.DUMMYFUNCTION("IF(ISBLANK(A370),"""",GOOGLETRANSLATE(A370,""en"",""fr""))"),"")</f>
        <v/>
      </c>
    </row>
    <row r="371" spans="2:2">
      <c r="B371" s="3" t="str">
        <f ca="1">IFERROR(__xludf.DUMMYFUNCTION("IF(ISBLANK(A371),"""",GOOGLETRANSLATE(A371,""en"",""fr""))"),"")</f>
        <v/>
      </c>
    </row>
    <row r="372" spans="2:2">
      <c r="B372" s="3" t="str">
        <f ca="1">IFERROR(__xludf.DUMMYFUNCTION("IF(ISBLANK(A372),"""",GOOGLETRANSLATE(A372,""en"",""fr""))"),"")</f>
        <v/>
      </c>
    </row>
    <row r="373" spans="2:2">
      <c r="B373" s="3" t="str">
        <f ca="1">IFERROR(__xludf.DUMMYFUNCTION("IF(ISBLANK(A373),"""",GOOGLETRANSLATE(A373,""en"",""fr""))"),"")</f>
        <v/>
      </c>
    </row>
    <row r="374" spans="2:2">
      <c r="B374" s="3" t="str">
        <f ca="1">IFERROR(__xludf.DUMMYFUNCTION("IF(ISBLANK(A374),"""",GOOGLETRANSLATE(A374,""en"",""fr""))"),"")</f>
        <v/>
      </c>
    </row>
    <row r="375" spans="2:2">
      <c r="B375" s="3" t="str">
        <f ca="1">IFERROR(__xludf.DUMMYFUNCTION("IF(ISBLANK(A375),"""",GOOGLETRANSLATE(A375,""en"",""fr""))"),"")</f>
        <v/>
      </c>
    </row>
    <row r="376" spans="2:2">
      <c r="B376" s="3" t="str">
        <f ca="1">IFERROR(__xludf.DUMMYFUNCTION("IF(ISBLANK(A376),"""",GOOGLETRANSLATE(A376,""en"",""fr""))"),"")</f>
        <v/>
      </c>
    </row>
    <row r="377" spans="2:2">
      <c r="B377" s="3" t="str">
        <f ca="1">IFERROR(__xludf.DUMMYFUNCTION("IF(ISBLANK(A377),"""",GOOGLETRANSLATE(A377,""en"",""fr""))"),"")</f>
        <v/>
      </c>
    </row>
    <row r="378" spans="2:2">
      <c r="B378" s="3" t="str">
        <f ca="1">IFERROR(__xludf.DUMMYFUNCTION("IF(ISBLANK(A378),"""",GOOGLETRANSLATE(A378,""en"",""fr""))"),"")</f>
        <v/>
      </c>
    </row>
    <row r="379" spans="2:2">
      <c r="B379" s="3" t="str">
        <f ca="1">IFERROR(__xludf.DUMMYFUNCTION("IF(ISBLANK(A379),"""",GOOGLETRANSLATE(A379,""en"",""fr""))"),"")</f>
        <v/>
      </c>
    </row>
    <row r="380" spans="2:2">
      <c r="B380" s="3" t="str">
        <f ca="1">IFERROR(__xludf.DUMMYFUNCTION("IF(ISBLANK(A380),"""",GOOGLETRANSLATE(A380,""en"",""fr""))"),"")</f>
        <v/>
      </c>
    </row>
    <row r="381" spans="2:2">
      <c r="B381" s="3" t="str">
        <f ca="1">IFERROR(__xludf.DUMMYFUNCTION("IF(ISBLANK(A381),"""",GOOGLETRANSLATE(A381,""en"",""fr""))"),"")</f>
        <v/>
      </c>
    </row>
    <row r="382" spans="2:2">
      <c r="B382" s="3" t="str">
        <f ca="1">IFERROR(__xludf.DUMMYFUNCTION("IF(ISBLANK(A382),"""",GOOGLETRANSLATE(A382,""en"",""fr""))"),"")</f>
        <v/>
      </c>
    </row>
    <row r="383" spans="2:2">
      <c r="B383" s="3" t="str">
        <f ca="1">IFERROR(__xludf.DUMMYFUNCTION("IF(ISBLANK(A383),"""",GOOGLETRANSLATE(A383,""en"",""fr""))"),"")</f>
        <v/>
      </c>
    </row>
    <row r="384" spans="2:2">
      <c r="B384" s="3" t="str">
        <f ca="1">IFERROR(__xludf.DUMMYFUNCTION("IF(ISBLANK(A384),"""",GOOGLETRANSLATE(A384,""en"",""fr""))"),"")</f>
        <v/>
      </c>
    </row>
    <row r="385" spans="2:2">
      <c r="B385" s="3" t="str">
        <f ca="1">IFERROR(__xludf.DUMMYFUNCTION("IF(ISBLANK(A385),"""",GOOGLETRANSLATE(A385,""en"",""fr""))"),"")</f>
        <v/>
      </c>
    </row>
    <row r="386" spans="2:2">
      <c r="B386" s="3" t="str">
        <f ca="1">IFERROR(__xludf.DUMMYFUNCTION("IF(ISBLANK(A386),"""",GOOGLETRANSLATE(A386,""en"",""fr""))"),"")</f>
        <v/>
      </c>
    </row>
    <row r="387" spans="2:2">
      <c r="B387" s="3" t="str">
        <f ca="1">IFERROR(__xludf.DUMMYFUNCTION("IF(ISBLANK(A387),"""",GOOGLETRANSLATE(A387,""en"",""fr""))"),"")</f>
        <v/>
      </c>
    </row>
    <row r="388" spans="2:2">
      <c r="B388" s="3" t="str">
        <f ca="1">IFERROR(__xludf.DUMMYFUNCTION("IF(ISBLANK(A388),"""",GOOGLETRANSLATE(A388,""en"",""fr""))"),"")</f>
        <v/>
      </c>
    </row>
    <row r="389" spans="2:2">
      <c r="B389" s="3" t="str">
        <f ca="1">IFERROR(__xludf.DUMMYFUNCTION("IF(ISBLANK(A389),"""",GOOGLETRANSLATE(A389,""en"",""fr""))"),"")</f>
        <v/>
      </c>
    </row>
    <row r="390" spans="2:2">
      <c r="B390" s="3" t="str">
        <f ca="1">IFERROR(__xludf.DUMMYFUNCTION("IF(ISBLANK(A390),"""",GOOGLETRANSLATE(A390,""en"",""fr""))"),"")</f>
        <v/>
      </c>
    </row>
    <row r="391" spans="2:2">
      <c r="B391" s="3" t="str">
        <f ca="1">IFERROR(__xludf.DUMMYFUNCTION("IF(ISBLANK(A391),"""",GOOGLETRANSLATE(A391,""en"",""fr""))"),"")</f>
        <v/>
      </c>
    </row>
    <row r="392" spans="2:2">
      <c r="B392" s="3" t="str">
        <f ca="1">IFERROR(__xludf.DUMMYFUNCTION("IF(ISBLANK(A392),"""",GOOGLETRANSLATE(A392,""en"",""fr""))"),"")</f>
        <v/>
      </c>
    </row>
    <row r="393" spans="2:2">
      <c r="B393" s="3" t="str">
        <f ca="1">IFERROR(__xludf.DUMMYFUNCTION("IF(ISBLANK(A393),"""",GOOGLETRANSLATE(A393,""en"",""fr""))"),"")</f>
        <v/>
      </c>
    </row>
    <row r="394" spans="2:2">
      <c r="B394" s="3" t="str">
        <f ca="1">IFERROR(__xludf.DUMMYFUNCTION("IF(ISBLANK(A394),"""",GOOGLETRANSLATE(A394,""en"",""fr""))"),"")</f>
        <v/>
      </c>
    </row>
    <row r="395" spans="2:2">
      <c r="B395" s="3" t="str">
        <f ca="1">IFERROR(__xludf.DUMMYFUNCTION("IF(ISBLANK(A395),"""",GOOGLETRANSLATE(A395,""en"",""fr""))"),"")</f>
        <v/>
      </c>
    </row>
    <row r="396" spans="2:2">
      <c r="B396" s="3" t="str">
        <f ca="1">IFERROR(__xludf.DUMMYFUNCTION("IF(ISBLANK(A396),"""",GOOGLETRANSLATE(A396,""en"",""fr""))"),"")</f>
        <v/>
      </c>
    </row>
    <row r="397" spans="2:2">
      <c r="B397" s="3" t="str">
        <f ca="1">IFERROR(__xludf.DUMMYFUNCTION("IF(ISBLANK(A397),"""",GOOGLETRANSLATE(A397,""en"",""fr""))"),"")</f>
        <v/>
      </c>
    </row>
    <row r="398" spans="2:2">
      <c r="B398" s="3" t="str">
        <f ca="1">IFERROR(__xludf.DUMMYFUNCTION("IF(ISBLANK(A398),"""",GOOGLETRANSLATE(A398,""en"",""fr""))"),"")</f>
        <v/>
      </c>
    </row>
    <row r="399" spans="2:2">
      <c r="B399" s="3" t="str">
        <f ca="1">IFERROR(__xludf.DUMMYFUNCTION("IF(ISBLANK(A399),"""",GOOGLETRANSLATE(A399,""en"",""fr""))"),"")</f>
        <v/>
      </c>
    </row>
    <row r="400" spans="2:2">
      <c r="B400" s="3" t="str">
        <f ca="1">IFERROR(__xludf.DUMMYFUNCTION("IF(ISBLANK(A400),"""",GOOGLETRANSLATE(A400,""en"",""fr""))"),"")</f>
        <v/>
      </c>
    </row>
    <row r="401" spans="2:2">
      <c r="B401" s="3" t="str">
        <f ca="1">IFERROR(__xludf.DUMMYFUNCTION("IF(ISBLANK(A401),"""",GOOGLETRANSLATE(A401,""en"",""fr""))"),"")</f>
        <v/>
      </c>
    </row>
    <row r="402" spans="2:2">
      <c r="B402" s="3" t="str">
        <f ca="1">IFERROR(__xludf.DUMMYFUNCTION("IF(ISBLANK(A402),"""",GOOGLETRANSLATE(A402,""en"",""fr""))"),"")</f>
        <v/>
      </c>
    </row>
    <row r="403" spans="2:2">
      <c r="B403" s="3" t="str">
        <f ca="1">IFERROR(__xludf.DUMMYFUNCTION("IF(ISBLANK(A403),"""",GOOGLETRANSLATE(A403,""en"",""fr""))"),"")</f>
        <v/>
      </c>
    </row>
    <row r="404" spans="2:2">
      <c r="B404" s="3" t="str">
        <f ca="1">IFERROR(__xludf.DUMMYFUNCTION("IF(ISBLANK(A404),"""",GOOGLETRANSLATE(A404,""en"",""fr""))"),"")</f>
        <v/>
      </c>
    </row>
    <row r="405" spans="2:2">
      <c r="B405" s="3" t="str">
        <f ca="1">IFERROR(__xludf.DUMMYFUNCTION("IF(ISBLANK(A405),"""",GOOGLETRANSLATE(A405,""en"",""fr""))"),"")</f>
        <v/>
      </c>
    </row>
    <row r="406" spans="2:2">
      <c r="B406" s="3" t="str">
        <f ca="1">IFERROR(__xludf.DUMMYFUNCTION("IF(ISBLANK(A406),"""",GOOGLETRANSLATE(A406,""en"",""fr""))"),"")</f>
        <v/>
      </c>
    </row>
    <row r="407" spans="2:2">
      <c r="B407" s="3" t="str">
        <f ca="1">IFERROR(__xludf.DUMMYFUNCTION("IF(ISBLANK(A407),"""",GOOGLETRANSLATE(A407,""en"",""fr""))"),"")</f>
        <v/>
      </c>
    </row>
    <row r="408" spans="2:2">
      <c r="B408" s="3" t="str">
        <f ca="1">IFERROR(__xludf.DUMMYFUNCTION("IF(ISBLANK(A408),"""",GOOGLETRANSLATE(A408,""en"",""fr""))"),"")</f>
        <v/>
      </c>
    </row>
    <row r="409" spans="2:2">
      <c r="B409" s="3" t="str">
        <f ca="1">IFERROR(__xludf.DUMMYFUNCTION("IF(ISBLANK(A409),"""",GOOGLETRANSLATE(A409,""en"",""fr""))"),"")</f>
        <v/>
      </c>
    </row>
    <row r="410" spans="2:2">
      <c r="B410" s="3" t="str">
        <f ca="1">IFERROR(__xludf.DUMMYFUNCTION("IF(ISBLANK(A410),"""",GOOGLETRANSLATE(A410,""en"",""fr""))"),"")</f>
        <v/>
      </c>
    </row>
    <row r="411" spans="2:2">
      <c r="B411" s="3" t="str">
        <f ca="1">IFERROR(__xludf.DUMMYFUNCTION("IF(ISBLANK(A411),"""",GOOGLETRANSLATE(A411,""en"",""fr""))"),"")</f>
        <v/>
      </c>
    </row>
    <row r="412" spans="2:2">
      <c r="B412" s="3" t="str">
        <f ca="1">IFERROR(__xludf.DUMMYFUNCTION("IF(ISBLANK(A412),"""",GOOGLETRANSLATE(A412,""en"",""fr""))"),"")</f>
        <v/>
      </c>
    </row>
    <row r="413" spans="2:2">
      <c r="B413" s="3" t="str">
        <f ca="1">IFERROR(__xludf.DUMMYFUNCTION("IF(ISBLANK(A413),"""",GOOGLETRANSLATE(A413,""en"",""fr""))"),"")</f>
        <v/>
      </c>
    </row>
    <row r="414" spans="2:2">
      <c r="B414" s="3" t="str">
        <f ca="1">IFERROR(__xludf.DUMMYFUNCTION("IF(ISBLANK(A414),"""",GOOGLETRANSLATE(A414,""en"",""fr""))"),"")</f>
        <v/>
      </c>
    </row>
    <row r="415" spans="2:2">
      <c r="B415" s="3" t="str">
        <f ca="1">IFERROR(__xludf.DUMMYFUNCTION("IF(ISBLANK(A415),"""",GOOGLETRANSLATE(A415,""en"",""fr""))"),"")</f>
        <v/>
      </c>
    </row>
    <row r="416" spans="2:2">
      <c r="B416" s="3" t="str">
        <f ca="1">IFERROR(__xludf.DUMMYFUNCTION("IF(ISBLANK(A416),"""",GOOGLETRANSLATE(A416,""en"",""fr""))"),"")</f>
        <v/>
      </c>
    </row>
    <row r="417" spans="2:2">
      <c r="B417" s="3" t="str">
        <f ca="1">IFERROR(__xludf.DUMMYFUNCTION("IF(ISBLANK(A417),"""",GOOGLETRANSLATE(A417,""en"",""fr""))"),"")</f>
        <v/>
      </c>
    </row>
    <row r="418" spans="2:2">
      <c r="B418" s="3" t="str">
        <f ca="1">IFERROR(__xludf.DUMMYFUNCTION("IF(ISBLANK(A418),"""",GOOGLETRANSLATE(A418,""en"",""fr""))"),"")</f>
        <v/>
      </c>
    </row>
    <row r="419" spans="2:2">
      <c r="B419" s="3" t="str">
        <f ca="1">IFERROR(__xludf.DUMMYFUNCTION("IF(ISBLANK(A419),"""",GOOGLETRANSLATE(A419,""en"",""fr""))"),"")</f>
        <v/>
      </c>
    </row>
    <row r="420" spans="2:2">
      <c r="B420" s="3" t="str">
        <f ca="1">IFERROR(__xludf.DUMMYFUNCTION("IF(ISBLANK(A420),"""",GOOGLETRANSLATE(A420,""en"",""fr""))"),"")</f>
        <v/>
      </c>
    </row>
    <row r="421" spans="2:2">
      <c r="B421" s="3" t="str">
        <f ca="1">IFERROR(__xludf.DUMMYFUNCTION("IF(ISBLANK(A421),"""",GOOGLETRANSLATE(A421,""en"",""fr""))"),"")</f>
        <v/>
      </c>
    </row>
    <row r="422" spans="2:2">
      <c r="B422" s="3" t="str">
        <f ca="1">IFERROR(__xludf.DUMMYFUNCTION("IF(ISBLANK(A422),"""",GOOGLETRANSLATE(A422,""en"",""fr""))"),"")</f>
        <v/>
      </c>
    </row>
    <row r="423" spans="2:2">
      <c r="B423" s="3" t="str">
        <f ca="1">IFERROR(__xludf.DUMMYFUNCTION("IF(ISBLANK(A423),"""",GOOGLETRANSLATE(A423,""en"",""fr""))"),"")</f>
        <v/>
      </c>
    </row>
    <row r="424" spans="2:2">
      <c r="B424" s="3" t="str">
        <f ca="1">IFERROR(__xludf.DUMMYFUNCTION("IF(ISBLANK(A424),"""",GOOGLETRANSLATE(A424,""en"",""fr""))"),"")</f>
        <v/>
      </c>
    </row>
    <row r="425" spans="2:2">
      <c r="B425" s="3" t="str">
        <f ca="1">IFERROR(__xludf.DUMMYFUNCTION("IF(ISBLANK(A425),"""",GOOGLETRANSLATE(A425,""en"",""fr""))"),"")</f>
        <v/>
      </c>
    </row>
    <row r="426" spans="2:2">
      <c r="B426" s="3" t="str">
        <f ca="1">IFERROR(__xludf.DUMMYFUNCTION("IF(ISBLANK(A426),"""",GOOGLETRANSLATE(A426,""en"",""fr""))"),"")</f>
        <v/>
      </c>
    </row>
    <row r="427" spans="2:2">
      <c r="B427" s="3" t="str">
        <f ca="1">IFERROR(__xludf.DUMMYFUNCTION("IF(ISBLANK(A427),"""",GOOGLETRANSLATE(A427,""en"",""fr""))"),"")</f>
        <v/>
      </c>
    </row>
    <row r="428" spans="2:2">
      <c r="B428" s="3" t="str">
        <f ca="1">IFERROR(__xludf.DUMMYFUNCTION("IF(ISBLANK(A428),"""",GOOGLETRANSLATE(A428,""en"",""fr""))"),"")</f>
        <v/>
      </c>
    </row>
    <row r="429" spans="2:2">
      <c r="B429" s="3" t="str">
        <f ca="1">IFERROR(__xludf.DUMMYFUNCTION("IF(ISBLANK(A429),"""",GOOGLETRANSLATE(A429,""en"",""fr""))"),"")</f>
        <v/>
      </c>
    </row>
    <row r="430" spans="2:2">
      <c r="B430" s="3" t="str">
        <f ca="1">IFERROR(__xludf.DUMMYFUNCTION("IF(ISBLANK(A430),"""",GOOGLETRANSLATE(A430,""en"",""fr""))"),"")</f>
        <v/>
      </c>
    </row>
    <row r="431" spans="2:2">
      <c r="B431" s="3" t="str">
        <f ca="1">IFERROR(__xludf.DUMMYFUNCTION("IF(ISBLANK(A431),"""",GOOGLETRANSLATE(A431,""en"",""fr""))"),"")</f>
        <v/>
      </c>
    </row>
    <row r="432" spans="2:2">
      <c r="B432" s="3" t="str">
        <f ca="1">IFERROR(__xludf.DUMMYFUNCTION("IF(ISBLANK(A432),"""",GOOGLETRANSLATE(A432,""en"",""fr""))"),"")</f>
        <v/>
      </c>
    </row>
    <row r="433" spans="2:2">
      <c r="B433" s="3" t="str">
        <f ca="1">IFERROR(__xludf.DUMMYFUNCTION("IF(ISBLANK(A433),"""",GOOGLETRANSLATE(A433,""en"",""fr""))"),"")</f>
        <v/>
      </c>
    </row>
    <row r="434" spans="2:2">
      <c r="B434" s="3" t="str">
        <f ca="1">IFERROR(__xludf.DUMMYFUNCTION("IF(ISBLANK(A434),"""",GOOGLETRANSLATE(A434,""en"",""fr""))"),"")</f>
        <v/>
      </c>
    </row>
    <row r="435" spans="2:2">
      <c r="B435" s="3" t="str">
        <f ca="1">IFERROR(__xludf.DUMMYFUNCTION("IF(ISBLANK(A435),"""",GOOGLETRANSLATE(A435,""en"",""fr""))"),"")</f>
        <v/>
      </c>
    </row>
    <row r="436" spans="2:2">
      <c r="B436" s="3" t="str">
        <f ca="1">IFERROR(__xludf.DUMMYFUNCTION("IF(ISBLANK(A436),"""",GOOGLETRANSLATE(A436,""en"",""fr""))"),"")</f>
        <v/>
      </c>
    </row>
    <row r="437" spans="2:2">
      <c r="B437" s="3" t="str">
        <f ca="1">IFERROR(__xludf.DUMMYFUNCTION("IF(ISBLANK(A437),"""",GOOGLETRANSLATE(A437,""en"",""fr""))"),"")</f>
        <v/>
      </c>
    </row>
    <row r="438" spans="2:2">
      <c r="B438" s="3" t="str">
        <f ca="1">IFERROR(__xludf.DUMMYFUNCTION("IF(ISBLANK(A438),"""",GOOGLETRANSLATE(A438,""en"",""fr""))"),"")</f>
        <v/>
      </c>
    </row>
    <row r="439" spans="2:2">
      <c r="B439" s="3" t="str">
        <f ca="1">IFERROR(__xludf.DUMMYFUNCTION("IF(ISBLANK(A439),"""",GOOGLETRANSLATE(A439,""en"",""fr""))"),"")</f>
        <v/>
      </c>
    </row>
    <row r="440" spans="2:2">
      <c r="B440" s="3" t="str">
        <f ca="1">IFERROR(__xludf.DUMMYFUNCTION("IF(ISBLANK(A440),"""",GOOGLETRANSLATE(A440,""en"",""fr""))"),"")</f>
        <v/>
      </c>
    </row>
    <row r="441" spans="2:2">
      <c r="B441" s="3" t="str">
        <f ca="1">IFERROR(__xludf.DUMMYFUNCTION("IF(ISBLANK(A441),"""",GOOGLETRANSLATE(A441,""en"",""fr""))"),"")</f>
        <v/>
      </c>
    </row>
    <row r="442" spans="2:2">
      <c r="B442" s="3" t="str">
        <f ca="1">IFERROR(__xludf.DUMMYFUNCTION("IF(ISBLANK(A442),"""",GOOGLETRANSLATE(A442,""en"",""fr""))"),"")</f>
        <v/>
      </c>
    </row>
    <row r="443" spans="2:2">
      <c r="B443" s="3" t="str">
        <f ca="1">IFERROR(__xludf.DUMMYFUNCTION("IF(ISBLANK(A443),"""",GOOGLETRANSLATE(A443,""en"",""fr""))"),"")</f>
        <v/>
      </c>
    </row>
    <row r="444" spans="2:2">
      <c r="B444" s="3" t="str">
        <f ca="1">IFERROR(__xludf.DUMMYFUNCTION("IF(ISBLANK(A444),"""",GOOGLETRANSLATE(A444,""en"",""fr""))"),"")</f>
        <v/>
      </c>
    </row>
    <row r="445" spans="2:2">
      <c r="B445" s="3" t="str">
        <f ca="1">IFERROR(__xludf.DUMMYFUNCTION("IF(ISBLANK(A445),"""",GOOGLETRANSLATE(A445,""en"",""fr""))"),"")</f>
        <v/>
      </c>
    </row>
    <row r="446" spans="2:2">
      <c r="B446" s="3" t="str">
        <f ca="1">IFERROR(__xludf.DUMMYFUNCTION("IF(ISBLANK(A446),"""",GOOGLETRANSLATE(A446,""en"",""fr""))"),"")</f>
        <v/>
      </c>
    </row>
    <row r="447" spans="2:2">
      <c r="B447" s="3" t="str">
        <f ca="1">IFERROR(__xludf.DUMMYFUNCTION("IF(ISBLANK(A447),"""",GOOGLETRANSLATE(A447,""en"",""fr""))"),"")</f>
        <v/>
      </c>
    </row>
    <row r="448" spans="2:2">
      <c r="B448" s="3" t="str">
        <f ca="1">IFERROR(__xludf.DUMMYFUNCTION("IF(ISBLANK(A448),"""",GOOGLETRANSLATE(A448,""en"",""fr""))"),"")</f>
        <v/>
      </c>
    </row>
    <row r="449" spans="2:2">
      <c r="B449" s="3" t="str">
        <f ca="1">IFERROR(__xludf.DUMMYFUNCTION("IF(ISBLANK(A449),"""",GOOGLETRANSLATE(A449,""en"",""fr""))"),"")</f>
        <v/>
      </c>
    </row>
    <row r="450" spans="2:2">
      <c r="B450" s="3" t="str">
        <f ca="1">IFERROR(__xludf.DUMMYFUNCTION("IF(ISBLANK(A450),"""",GOOGLETRANSLATE(A450,""en"",""fr""))"),"")</f>
        <v/>
      </c>
    </row>
    <row r="451" spans="2:2">
      <c r="B451" s="3" t="str">
        <f ca="1">IFERROR(__xludf.DUMMYFUNCTION("IF(ISBLANK(A451),"""",GOOGLETRANSLATE(A451,""en"",""fr""))"),"")</f>
        <v/>
      </c>
    </row>
    <row r="452" spans="2:2">
      <c r="B452" s="3" t="str">
        <f ca="1">IFERROR(__xludf.DUMMYFUNCTION("IF(ISBLANK(A452),"""",GOOGLETRANSLATE(A452,""en"",""fr""))"),"")</f>
        <v/>
      </c>
    </row>
    <row r="453" spans="2:2">
      <c r="B453" s="3" t="str">
        <f ca="1">IFERROR(__xludf.DUMMYFUNCTION("IF(ISBLANK(A453),"""",GOOGLETRANSLATE(A453,""en"",""fr""))"),"")</f>
        <v/>
      </c>
    </row>
    <row r="454" spans="2:2">
      <c r="B454" s="3" t="str">
        <f ca="1">IFERROR(__xludf.DUMMYFUNCTION("IF(ISBLANK(A454),"""",GOOGLETRANSLATE(A454,""en"",""fr""))"),"")</f>
        <v/>
      </c>
    </row>
    <row r="455" spans="2:2">
      <c r="B455" s="3" t="str">
        <f ca="1">IFERROR(__xludf.DUMMYFUNCTION("IF(ISBLANK(A455),"""",GOOGLETRANSLATE(A455,""en"",""fr""))"),"")</f>
        <v/>
      </c>
    </row>
    <row r="456" spans="2:2">
      <c r="B456" s="3" t="str">
        <f ca="1">IFERROR(__xludf.DUMMYFUNCTION("IF(ISBLANK(A456),"""",GOOGLETRANSLATE(A456,""en"",""fr""))"),"")</f>
        <v/>
      </c>
    </row>
    <row r="457" spans="2:2">
      <c r="B457" s="3" t="str">
        <f ca="1">IFERROR(__xludf.DUMMYFUNCTION("IF(ISBLANK(A457),"""",GOOGLETRANSLATE(A457,""en"",""fr""))"),"")</f>
        <v/>
      </c>
    </row>
    <row r="458" spans="2:2">
      <c r="B458" s="3" t="str">
        <f ca="1">IFERROR(__xludf.DUMMYFUNCTION("IF(ISBLANK(A458),"""",GOOGLETRANSLATE(A458,""en"",""fr""))"),"")</f>
        <v/>
      </c>
    </row>
    <row r="459" spans="2:2">
      <c r="B459" s="3" t="str">
        <f ca="1">IFERROR(__xludf.DUMMYFUNCTION("IF(ISBLANK(A459),"""",GOOGLETRANSLATE(A459,""en"",""fr""))"),"")</f>
        <v/>
      </c>
    </row>
    <row r="460" spans="2:2">
      <c r="B460" s="3" t="str">
        <f ca="1">IFERROR(__xludf.DUMMYFUNCTION("IF(ISBLANK(A460),"""",GOOGLETRANSLATE(A460,""en"",""fr""))"),"")</f>
        <v/>
      </c>
    </row>
    <row r="461" spans="2:2">
      <c r="B461" s="3" t="str">
        <f ca="1">IFERROR(__xludf.DUMMYFUNCTION("IF(ISBLANK(A461),"""",GOOGLETRANSLATE(A461,""en"",""fr""))"),"")</f>
        <v/>
      </c>
    </row>
    <row r="462" spans="2:2">
      <c r="B462" s="3" t="str">
        <f ca="1">IFERROR(__xludf.DUMMYFUNCTION("IF(ISBLANK(A462),"""",GOOGLETRANSLATE(A462,""en"",""fr""))"),"")</f>
        <v/>
      </c>
    </row>
    <row r="463" spans="2:2">
      <c r="B463" s="3" t="str">
        <f ca="1">IFERROR(__xludf.DUMMYFUNCTION("IF(ISBLANK(A463),"""",GOOGLETRANSLATE(A463,""en"",""fr""))"),"")</f>
        <v/>
      </c>
    </row>
    <row r="464" spans="2:2">
      <c r="B464" s="3" t="str">
        <f ca="1">IFERROR(__xludf.DUMMYFUNCTION("IF(ISBLANK(A464),"""",GOOGLETRANSLATE(A464,""en"",""fr""))"),"")</f>
        <v/>
      </c>
    </row>
    <row r="465" spans="2:2">
      <c r="B465" s="3" t="str">
        <f ca="1">IFERROR(__xludf.DUMMYFUNCTION("IF(ISBLANK(A465),"""",GOOGLETRANSLATE(A465,""en"",""fr""))"),"")</f>
        <v/>
      </c>
    </row>
    <row r="466" spans="2:2">
      <c r="B466" s="3" t="str">
        <f ca="1">IFERROR(__xludf.DUMMYFUNCTION("IF(ISBLANK(A466),"""",GOOGLETRANSLATE(A466,""en"",""fr""))"),"")</f>
        <v/>
      </c>
    </row>
    <row r="467" spans="2:2">
      <c r="B467" s="3" t="str">
        <f ca="1">IFERROR(__xludf.DUMMYFUNCTION("IF(ISBLANK(A467),"""",GOOGLETRANSLATE(A467,""en"",""fr""))"),"")</f>
        <v/>
      </c>
    </row>
    <row r="468" spans="2:2">
      <c r="B468" s="3" t="str">
        <f ca="1">IFERROR(__xludf.DUMMYFUNCTION("IF(ISBLANK(A468),"""",GOOGLETRANSLATE(A468,""en"",""fr""))"),"")</f>
        <v/>
      </c>
    </row>
    <row r="469" spans="2:2">
      <c r="B469" s="3" t="str">
        <f ca="1">IFERROR(__xludf.DUMMYFUNCTION("IF(ISBLANK(A469),"""",GOOGLETRANSLATE(A469,""en"",""fr""))"),"")</f>
        <v/>
      </c>
    </row>
    <row r="470" spans="2:2">
      <c r="B470" s="3" t="str">
        <f ca="1">IFERROR(__xludf.DUMMYFUNCTION("IF(ISBLANK(A470),"""",GOOGLETRANSLATE(A470,""en"",""fr""))"),"")</f>
        <v/>
      </c>
    </row>
    <row r="471" spans="2:2">
      <c r="B471" s="3" t="str">
        <f ca="1">IFERROR(__xludf.DUMMYFUNCTION("IF(ISBLANK(A471),"""",GOOGLETRANSLATE(A471,""en"",""fr""))"),"")</f>
        <v/>
      </c>
    </row>
    <row r="472" spans="2:2">
      <c r="B472" s="3" t="str">
        <f ca="1">IFERROR(__xludf.DUMMYFUNCTION("IF(ISBLANK(A472),"""",GOOGLETRANSLATE(A472,""en"",""fr""))"),"")</f>
        <v/>
      </c>
    </row>
    <row r="473" spans="2:2">
      <c r="B473" s="3" t="str">
        <f ca="1">IFERROR(__xludf.DUMMYFUNCTION("IF(ISBLANK(A473),"""",GOOGLETRANSLATE(A473,""en"",""fr""))"),"")</f>
        <v/>
      </c>
    </row>
    <row r="474" spans="2:2">
      <c r="B474" s="3" t="str">
        <f ca="1">IFERROR(__xludf.DUMMYFUNCTION("IF(ISBLANK(A474),"""",GOOGLETRANSLATE(A474,""en"",""fr""))"),"")</f>
        <v/>
      </c>
    </row>
    <row r="475" spans="2:2">
      <c r="B475" s="3" t="str">
        <f ca="1">IFERROR(__xludf.DUMMYFUNCTION("IF(ISBLANK(A475),"""",GOOGLETRANSLATE(A475,""en"",""fr""))"),"")</f>
        <v/>
      </c>
    </row>
    <row r="476" spans="2:2">
      <c r="B476" s="3" t="str">
        <f ca="1">IFERROR(__xludf.DUMMYFUNCTION("IF(ISBLANK(A476),"""",GOOGLETRANSLATE(A476,""en"",""fr""))"),"")</f>
        <v/>
      </c>
    </row>
    <row r="477" spans="2:2">
      <c r="B477" s="3" t="str">
        <f ca="1">IFERROR(__xludf.DUMMYFUNCTION("IF(ISBLANK(A477),"""",GOOGLETRANSLATE(A477,""en"",""fr""))"),"")</f>
        <v/>
      </c>
    </row>
    <row r="478" spans="2:2">
      <c r="B478" s="3" t="str">
        <f ca="1">IFERROR(__xludf.DUMMYFUNCTION("IF(ISBLANK(A478),"""",GOOGLETRANSLATE(A478,""en"",""fr""))"),"")</f>
        <v/>
      </c>
    </row>
    <row r="479" spans="2:2">
      <c r="B479" s="3" t="str">
        <f ca="1">IFERROR(__xludf.DUMMYFUNCTION("IF(ISBLANK(A479),"""",GOOGLETRANSLATE(A479,""en"",""fr""))"),"")</f>
        <v/>
      </c>
    </row>
    <row r="480" spans="2:2">
      <c r="B480" s="3" t="str">
        <f ca="1">IFERROR(__xludf.DUMMYFUNCTION("IF(ISBLANK(A480),"""",GOOGLETRANSLATE(A480,""en"",""fr""))"),"")</f>
        <v/>
      </c>
    </row>
    <row r="481" spans="2:2">
      <c r="B481" s="3" t="str">
        <f ca="1">IFERROR(__xludf.DUMMYFUNCTION("IF(ISBLANK(A481),"""",GOOGLETRANSLATE(A481,""en"",""fr""))"),"")</f>
        <v/>
      </c>
    </row>
    <row r="482" spans="2:2">
      <c r="B482" s="3" t="str">
        <f ca="1">IFERROR(__xludf.DUMMYFUNCTION("IF(ISBLANK(A482),"""",GOOGLETRANSLATE(A482,""en"",""fr""))"),"")</f>
        <v/>
      </c>
    </row>
    <row r="483" spans="2:2">
      <c r="B483" s="3" t="str">
        <f ca="1">IFERROR(__xludf.DUMMYFUNCTION("IF(ISBLANK(A483),"""",GOOGLETRANSLATE(A483,""en"",""fr""))"),"")</f>
        <v/>
      </c>
    </row>
    <row r="484" spans="2:2">
      <c r="B484" s="3" t="str">
        <f ca="1">IFERROR(__xludf.DUMMYFUNCTION("IF(ISBLANK(A484),"""",GOOGLETRANSLATE(A484,""en"",""fr""))"),"")</f>
        <v/>
      </c>
    </row>
    <row r="485" spans="2:2">
      <c r="B485" s="3" t="str">
        <f ca="1">IFERROR(__xludf.DUMMYFUNCTION("IF(ISBLANK(A485),"""",GOOGLETRANSLATE(A485,""en"",""fr""))"),"")</f>
        <v/>
      </c>
    </row>
    <row r="486" spans="2:2">
      <c r="B486" s="3" t="str">
        <f ca="1">IFERROR(__xludf.DUMMYFUNCTION("IF(ISBLANK(A486),"""",GOOGLETRANSLATE(A486,""en"",""fr""))"),"")</f>
        <v/>
      </c>
    </row>
    <row r="487" spans="2:2">
      <c r="B487" s="3" t="str">
        <f ca="1">IFERROR(__xludf.DUMMYFUNCTION("IF(ISBLANK(A487),"""",GOOGLETRANSLATE(A487,""en"",""fr""))"),"")</f>
        <v/>
      </c>
    </row>
    <row r="488" spans="2:2">
      <c r="B488" s="3" t="str">
        <f ca="1">IFERROR(__xludf.DUMMYFUNCTION("IF(ISBLANK(A488),"""",GOOGLETRANSLATE(A488,""en"",""fr""))"),"")</f>
        <v/>
      </c>
    </row>
    <row r="489" spans="2:2">
      <c r="B489" s="3" t="str">
        <f ca="1">IFERROR(__xludf.DUMMYFUNCTION("IF(ISBLANK(A489),"""",GOOGLETRANSLATE(A489,""en"",""fr""))"),"")</f>
        <v/>
      </c>
    </row>
    <row r="490" spans="2:2">
      <c r="B490" s="3" t="str">
        <f ca="1">IFERROR(__xludf.DUMMYFUNCTION("IF(ISBLANK(A490),"""",GOOGLETRANSLATE(A490,""en"",""fr""))"),"")</f>
        <v/>
      </c>
    </row>
    <row r="491" spans="2:2">
      <c r="B491" s="3" t="str">
        <f ca="1">IFERROR(__xludf.DUMMYFUNCTION("IF(ISBLANK(A491),"""",GOOGLETRANSLATE(A491,""en"",""fr""))"),"")</f>
        <v/>
      </c>
    </row>
    <row r="492" spans="2:2">
      <c r="B492" s="3" t="str">
        <f ca="1">IFERROR(__xludf.DUMMYFUNCTION("IF(ISBLANK(A492),"""",GOOGLETRANSLATE(A492,""en"",""fr""))"),"")</f>
        <v/>
      </c>
    </row>
    <row r="493" spans="2:2">
      <c r="B493" s="3" t="str">
        <f ca="1">IFERROR(__xludf.DUMMYFUNCTION("IF(ISBLANK(A493),"""",GOOGLETRANSLATE(A493,""en"",""fr""))"),"")</f>
        <v/>
      </c>
    </row>
    <row r="494" spans="2:2">
      <c r="B494" s="3" t="str">
        <f ca="1">IFERROR(__xludf.DUMMYFUNCTION("IF(ISBLANK(A494),"""",GOOGLETRANSLATE(A494,""en"",""fr""))"),"")</f>
        <v/>
      </c>
    </row>
    <row r="495" spans="2:2">
      <c r="B495" s="3" t="str">
        <f ca="1">IFERROR(__xludf.DUMMYFUNCTION("IF(ISBLANK(A495),"""",GOOGLETRANSLATE(A495,""en"",""fr""))"),"")</f>
        <v/>
      </c>
    </row>
    <row r="496" spans="2:2">
      <c r="B496" s="3" t="str">
        <f ca="1">IFERROR(__xludf.DUMMYFUNCTION("IF(ISBLANK(A496),"""",GOOGLETRANSLATE(A496,""en"",""fr""))"),"")</f>
        <v/>
      </c>
    </row>
    <row r="497" spans="2:2">
      <c r="B497" s="3" t="str">
        <f ca="1">IFERROR(__xludf.DUMMYFUNCTION("IF(ISBLANK(A497),"""",GOOGLETRANSLATE(A497,""en"",""fr""))"),"")</f>
        <v/>
      </c>
    </row>
    <row r="498" spans="2:2">
      <c r="B498" s="3" t="str">
        <f ca="1">IFERROR(__xludf.DUMMYFUNCTION("IF(ISBLANK(A498),"""",GOOGLETRANSLATE(A498,""en"",""fr""))"),"")</f>
        <v/>
      </c>
    </row>
    <row r="499" spans="2:2">
      <c r="B499" s="3" t="str">
        <f ca="1">IFERROR(__xludf.DUMMYFUNCTION("IF(ISBLANK(A499),"""",GOOGLETRANSLATE(A499,""en"",""fr""))"),"")</f>
        <v/>
      </c>
    </row>
    <row r="500" spans="2:2">
      <c r="B500" s="3" t="str">
        <f ca="1">IFERROR(__xludf.DUMMYFUNCTION("IF(ISBLANK(A500),"""",GOOGLETRANSLATE(A500,""en"",""fr""))"),"")</f>
        <v/>
      </c>
    </row>
    <row r="501" spans="2:2">
      <c r="B501" s="3" t="str">
        <f ca="1">IFERROR(__xludf.DUMMYFUNCTION("IF(ISBLANK(A501),"""",GOOGLETRANSLATE(A501,""en"",""fr""))"),"")</f>
        <v/>
      </c>
    </row>
    <row r="502" spans="2:2">
      <c r="B502" s="3" t="str">
        <f ca="1">IFERROR(__xludf.DUMMYFUNCTION("IF(ISBLANK(A502),"""",GOOGLETRANSLATE(A502,""en"",""fr""))"),"")</f>
        <v/>
      </c>
    </row>
    <row r="503" spans="2:2">
      <c r="B503" s="3" t="str">
        <f ca="1">IFERROR(__xludf.DUMMYFUNCTION("IF(ISBLANK(A503),"""",GOOGLETRANSLATE(A503,""en"",""fr""))"),"")</f>
        <v/>
      </c>
    </row>
    <row r="504" spans="2:2">
      <c r="B504" s="3" t="str">
        <f ca="1">IFERROR(__xludf.DUMMYFUNCTION("IF(ISBLANK(A504),"""",GOOGLETRANSLATE(A504,""en"",""fr""))"),"")</f>
        <v/>
      </c>
    </row>
    <row r="505" spans="2:2">
      <c r="B505" s="3" t="str">
        <f ca="1">IFERROR(__xludf.DUMMYFUNCTION("IF(ISBLANK(A505),"""",GOOGLETRANSLATE(A505,""en"",""fr""))"),"")</f>
        <v/>
      </c>
    </row>
    <row r="506" spans="2:2">
      <c r="B506" s="3" t="str">
        <f ca="1">IFERROR(__xludf.DUMMYFUNCTION("IF(ISBLANK(A506),"""",GOOGLETRANSLATE(A506,""en"",""fr""))"),"")</f>
        <v/>
      </c>
    </row>
    <row r="507" spans="2:2">
      <c r="B507" s="3" t="str">
        <f ca="1">IFERROR(__xludf.DUMMYFUNCTION("IF(ISBLANK(A507),"""",GOOGLETRANSLATE(A507,""en"",""fr""))"),"")</f>
        <v/>
      </c>
    </row>
    <row r="508" spans="2:2">
      <c r="B508" s="3" t="str">
        <f ca="1">IFERROR(__xludf.DUMMYFUNCTION("IF(ISBLANK(A508),"""",GOOGLETRANSLATE(A508,""en"",""fr""))"),"")</f>
        <v/>
      </c>
    </row>
    <row r="509" spans="2:2">
      <c r="B509" s="3" t="str">
        <f ca="1">IFERROR(__xludf.DUMMYFUNCTION("IF(ISBLANK(A509),"""",GOOGLETRANSLATE(A509,""en"",""fr""))"),"")</f>
        <v/>
      </c>
    </row>
    <row r="510" spans="2:2">
      <c r="B510" s="3" t="str">
        <f ca="1">IFERROR(__xludf.DUMMYFUNCTION("IF(ISBLANK(A510),"""",GOOGLETRANSLATE(A510,""en"",""fr""))"),"")</f>
        <v/>
      </c>
    </row>
    <row r="511" spans="2:2">
      <c r="B511" s="3" t="str">
        <f ca="1">IFERROR(__xludf.DUMMYFUNCTION("IF(ISBLANK(A511),"""",GOOGLETRANSLATE(A511,""en"",""fr""))"),"")</f>
        <v/>
      </c>
    </row>
    <row r="512" spans="2:2">
      <c r="B512" s="3" t="str">
        <f ca="1">IFERROR(__xludf.DUMMYFUNCTION("IF(ISBLANK(A512),"""",GOOGLETRANSLATE(A512,""en"",""fr""))"),"")</f>
        <v/>
      </c>
    </row>
    <row r="513" spans="2:2">
      <c r="B513" s="3" t="str">
        <f ca="1">IFERROR(__xludf.DUMMYFUNCTION("IF(ISBLANK(A513),"""",GOOGLETRANSLATE(A513,""en"",""fr""))"),"")</f>
        <v/>
      </c>
    </row>
    <row r="514" spans="2:2">
      <c r="B514" s="3" t="str">
        <f ca="1">IFERROR(__xludf.DUMMYFUNCTION("IF(ISBLANK(A514),"""",GOOGLETRANSLATE(A514,""en"",""fr""))"),"")</f>
        <v/>
      </c>
    </row>
    <row r="515" spans="2:2">
      <c r="B515" s="3" t="str">
        <f ca="1">IFERROR(__xludf.DUMMYFUNCTION("IF(ISBLANK(A515),"""",GOOGLETRANSLATE(A515,""en"",""fr""))"),"")</f>
        <v/>
      </c>
    </row>
    <row r="516" spans="2:2">
      <c r="B516" s="3" t="str">
        <f ca="1">IFERROR(__xludf.DUMMYFUNCTION("IF(ISBLANK(A516),"""",GOOGLETRANSLATE(A516,""en"",""fr""))"),"")</f>
        <v/>
      </c>
    </row>
    <row r="517" spans="2:2">
      <c r="B517" s="3" t="str">
        <f ca="1">IFERROR(__xludf.DUMMYFUNCTION("IF(ISBLANK(A517),"""",GOOGLETRANSLATE(A517,""en"",""fr""))"),"")</f>
        <v/>
      </c>
    </row>
    <row r="518" spans="2:2">
      <c r="B518" s="3" t="str">
        <f ca="1">IFERROR(__xludf.DUMMYFUNCTION("IF(ISBLANK(A518),"""",GOOGLETRANSLATE(A518,""en"",""fr""))"),"")</f>
        <v/>
      </c>
    </row>
    <row r="519" spans="2:2">
      <c r="B519" s="3" t="str">
        <f ca="1">IFERROR(__xludf.DUMMYFUNCTION("IF(ISBLANK(A519),"""",GOOGLETRANSLATE(A519,""en"",""fr""))"),"")</f>
        <v/>
      </c>
    </row>
    <row r="520" spans="2:2">
      <c r="B520" s="3" t="str">
        <f ca="1">IFERROR(__xludf.DUMMYFUNCTION("IF(ISBLANK(A520),"""",GOOGLETRANSLATE(A520,""en"",""fr""))"),"")</f>
        <v/>
      </c>
    </row>
    <row r="521" spans="2:2">
      <c r="B521" s="3" t="str">
        <f ca="1">IFERROR(__xludf.DUMMYFUNCTION("IF(ISBLANK(A521),"""",GOOGLETRANSLATE(A521,""en"",""fr""))"),"")</f>
        <v/>
      </c>
    </row>
    <row r="522" spans="2:2">
      <c r="B522" s="3" t="str">
        <f ca="1">IFERROR(__xludf.DUMMYFUNCTION("IF(ISBLANK(A522),"""",GOOGLETRANSLATE(A522,""en"",""fr""))"),"")</f>
        <v/>
      </c>
    </row>
    <row r="523" spans="2:2">
      <c r="B523" s="3" t="str">
        <f ca="1">IFERROR(__xludf.DUMMYFUNCTION("IF(ISBLANK(A523),"""",GOOGLETRANSLATE(A523,""en"",""fr""))"),"")</f>
        <v/>
      </c>
    </row>
    <row r="524" spans="2:2">
      <c r="B524" s="3" t="str">
        <f ca="1">IFERROR(__xludf.DUMMYFUNCTION("IF(ISBLANK(A524),"""",GOOGLETRANSLATE(A524,""en"",""fr""))"),"")</f>
        <v/>
      </c>
    </row>
    <row r="525" spans="2:2">
      <c r="B525" s="3" t="str">
        <f ca="1">IFERROR(__xludf.DUMMYFUNCTION("IF(ISBLANK(A525),"""",GOOGLETRANSLATE(A525,""en"",""fr""))"),"")</f>
        <v/>
      </c>
    </row>
    <row r="526" spans="2:2">
      <c r="B526" s="3" t="str">
        <f ca="1">IFERROR(__xludf.DUMMYFUNCTION("IF(ISBLANK(A526),"""",GOOGLETRANSLATE(A526,""en"",""fr""))"),"")</f>
        <v/>
      </c>
    </row>
    <row r="527" spans="2:2">
      <c r="B527" s="3" t="str">
        <f ca="1">IFERROR(__xludf.DUMMYFUNCTION("IF(ISBLANK(A527),"""",GOOGLETRANSLATE(A527,""en"",""fr""))"),"")</f>
        <v/>
      </c>
    </row>
    <row r="528" spans="2:2">
      <c r="B528" s="3" t="str">
        <f ca="1">IFERROR(__xludf.DUMMYFUNCTION("IF(ISBLANK(A528),"""",GOOGLETRANSLATE(A528,""en"",""fr""))"),"")</f>
        <v/>
      </c>
    </row>
    <row r="529" spans="2:2">
      <c r="B529" s="3" t="str">
        <f ca="1">IFERROR(__xludf.DUMMYFUNCTION("IF(ISBLANK(A529),"""",GOOGLETRANSLATE(A529,""en"",""fr""))"),"")</f>
        <v/>
      </c>
    </row>
    <row r="530" spans="2:2">
      <c r="B530" s="3" t="str">
        <f ca="1">IFERROR(__xludf.DUMMYFUNCTION("IF(ISBLANK(A530),"""",GOOGLETRANSLATE(A530,""en"",""fr""))"),"")</f>
        <v/>
      </c>
    </row>
    <row r="531" spans="2:2">
      <c r="B531" s="3" t="str">
        <f ca="1">IFERROR(__xludf.DUMMYFUNCTION("IF(ISBLANK(A531),"""",GOOGLETRANSLATE(A531,""en"",""fr""))"),"")</f>
        <v/>
      </c>
    </row>
    <row r="532" spans="2:2">
      <c r="B532" s="3" t="str">
        <f ca="1">IFERROR(__xludf.DUMMYFUNCTION("IF(ISBLANK(A532),"""",GOOGLETRANSLATE(A532,""en"",""fr""))"),"")</f>
        <v/>
      </c>
    </row>
    <row r="533" spans="2:2">
      <c r="B533" s="3" t="str">
        <f ca="1">IFERROR(__xludf.DUMMYFUNCTION("IF(ISBLANK(A533),"""",GOOGLETRANSLATE(A533,""en"",""fr""))"),"")</f>
        <v/>
      </c>
    </row>
    <row r="534" spans="2:2">
      <c r="B534" s="3" t="str">
        <f ca="1">IFERROR(__xludf.DUMMYFUNCTION("IF(ISBLANK(A534),"""",GOOGLETRANSLATE(A534,""en"",""fr""))"),"")</f>
        <v/>
      </c>
    </row>
    <row r="535" spans="2:2">
      <c r="B535" s="3" t="str">
        <f ca="1">IFERROR(__xludf.DUMMYFUNCTION("IF(ISBLANK(A535),"""",GOOGLETRANSLATE(A535,""en"",""fr""))"),"")</f>
        <v/>
      </c>
    </row>
    <row r="536" spans="2:2">
      <c r="B536" s="3" t="str">
        <f ca="1">IFERROR(__xludf.DUMMYFUNCTION("IF(ISBLANK(A536),"""",GOOGLETRANSLATE(A536,""en"",""fr""))"),"")</f>
        <v/>
      </c>
    </row>
    <row r="537" spans="2:2">
      <c r="B537" s="3" t="str">
        <f ca="1">IFERROR(__xludf.DUMMYFUNCTION("IF(ISBLANK(A537),"""",GOOGLETRANSLATE(A537,""en"",""fr""))"),"")</f>
        <v/>
      </c>
    </row>
    <row r="538" spans="2:2">
      <c r="B538" s="3" t="str">
        <f ca="1">IFERROR(__xludf.DUMMYFUNCTION("IF(ISBLANK(A538),"""",GOOGLETRANSLATE(A538,""en"",""fr""))"),"")</f>
        <v/>
      </c>
    </row>
    <row r="539" spans="2:2">
      <c r="B539" s="3" t="str">
        <f ca="1">IFERROR(__xludf.DUMMYFUNCTION("IF(ISBLANK(A539),"""",GOOGLETRANSLATE(A539,""en"",""fr""))"),"")</f>
        <v/>
      </c>
    </row>
    <row r="540" spans="2:2">
      <c r="B540" s="3" t="str">
        <f ca="1">IFERROR(__xludf.DUMMYFUNCTION("IF(ISBLANK(A540),"""",GOOGLETRANSLATE(A540,""en"",""fr""))"),"")</f>
        <v/>
      </c>
    </row>
    <row r="541" spans="2:2">
      <c r="B541" s="3" t="str">
        <f ca="1">IFERROR(__xludf.DUMMYFUNCTION("IF(ISBLANK(A541),"""",GOOGLETRANSLATE(A541,""en"",""fr""))"),"")</f>
        <v/>
      </c>
    </row>
    <row r="542" spans="2:2">
      <c r="B542" s="3" t="str">
        <f ca="1">IFERROR(__xludf.DUMMYFUNCTION("IF(ISBLANK(A542),"""",GOOGLETRANSLATE(A542,""en"",""fr""))"),"")</f>
        <v/>
      </c>
    </row>
    <row r="543" spans="2:2">
      <c r="B543" s="3" t="str">
        <f ca="1">IFERROR(__xludf.DUMMYFUNCTION("IF(ISBLANK(A543),"""",GOOGLETRANSLATE(A543,""en"",""fr""))"),"")</f>
        <v/>
      </c>
    </row>
    <row r="544" spans="2:2">
      <c r="B544" s="3" t="str">
        <f ca="1">IFERROR(__xludf.DUMMYFUNCTION("IF(ISBLANK(A544),"""",GOOGLETRANSLATE(A544,""en"",""fr""))"),"")</f>
        <v/>
      </c>
    </row>
    <row r="545" spans="2:2">
      <c r="B545" s="3" t="str">
        <f ca="1">IFERROR(__xludf.DUMMYFUNCTION("IF(ISBLANK(A545),"""",GOOGLETRANSLATE(A545,""en"",""fr""))"),"")</f>
        <v/>
      </c>
    </row>
    <row r="546" spans="2:2">
      <c r="B546" s="3" t="str">
        <f ca="1">IFERROR(__xludf.DUMMYFUNCTION("IF(ISBLANK(A546),"""",GOOGLETRANSLATE(A546,""en"",""fr""))"),"")</f>
        <v/>
      </c>
    </row>
    <row r="547" spans="2:2">
      <c r="B547" s="3" t="str">
        <f ca="1">IFERROR(__xludf.DUMMYFUNCTION("IF(ISBLANK(A547),"""",GOOGLETRANSLATE(A547,""en"",""fr""))"),"")</f>
        <v/>
      </c>
    </row>
    <row r="548" spans="2:2">
      <c r="B548" s="3" t="str">
        <f ca="1">IFERROR(__xludf.DUMMYFUNCTION("IF(ISBLANK(A548),"""",GOOGLETRANSLATE(A548,""en"",""fr""))"),"")</f>
        <v/>
      </c>
    </row>
    <row r="549" spans="2:2">
      <c r="B549" s="3" t="str">
        <f ca="1">IFERROR(__xludf.DUMMYFUNCTION("IF(ISBLANK(A549),"""",GOOGLETRANSLATE(A549,""en"",""fr""))"),"")</f>
        <v/>
      </c>
    </row>
    <row r="550" spans="2:2">
      <c r="B550" s="3" t="str">
        <f ca="1">IFERROR(__xludf.DUMMYFUNCTION("IF(ISBLANK(A550),"""",GOOGLETRANSLATE(A550,""en"",""fr""))"),"")</f>
        <v/>
      </c>
    </row>
    <row r="551" spans="2:2">
      <c r="B551" s="3" t="str">
        <f ca="1">IFERROR(__xludf.DUMMYFUNCTION("IF(ISBLANK(A551),"""",GOOGLETRANSLATE(A551,""en"",""fr""))"),"")</f>
        <v/>
      </c>
    </row>
    <row r="552" spans="2:2">
      <c r="B552" s="3" t="str">
        <f ca="1">IFERROR(__xludf.DUMMYFUNCTION("IF(ISBLANK(A552),"""",GOOGLETRANSLATE(A552,""en"",""fr""))"),"")</f>
        <v/>
      </c>
    </row>
    <row r="553" spans="2:2">
      <c r="B553" s="3" t="str">
        <f ca="1">IFERROR(__xludf.DUMMYFUNCTION("IF(ISBLANK(A553),"""",GOOGLETRANSLATE(A553,""en"",""fr""))"),"")</f>
        <v/>
      </c>
    </row>
    <row r="554" spans="2:2">
      <c r="B554" s="3" t="str">
        <f ca="1">IFERROR(__xludf.DUMMYFUNCTION("IF(ISBLANK(A554),"""",GOOGLETRANSLATE(A554,""en"",""fr""))"),"")</f>
        <v/>
      </c>
    </row>
    <row r="555" spans="2:2">
      <c r="B555" s="3" t="str">
        <f ca="1">IFERROR(__xludf.DUMMYFUNCTION("IF(ISBLANK(A555),"""",GOOGLETRANSLATE(A555,""en"",""fr""))"),"")</f>
        <v/>
      </c>
    </row>
    <row r="556" spans="2:2">
      <c r="B556" s="3" t="str">
        <f ca="1">IFERROR(__xludf.DUMMYFUNCTION("IF(ISBLANK(A556),"""",GOOGLETRANSLATE(A556,""en"",""fr""))"),"")</f>
        <v/>
      </c>
    </row>
    <row r="557" spans="2:2">
      <c r="B557" s="3" t="str">
        <f ca="1">IFERROR(__xludf.DUMMYFUNCTION("IF(ISBLANK(A557),"""",GOOGLETRANSLATE(A557,""en"",""fr""))"),"")</f>
        <v/>
      </c>
    </row>
    <row r="558" spans="2:2">
      <c r="B558" s="3" t="str">
        <f ca="1">IFERROR(__xludf.DUMMYFUNCTION("IF(ISBLANK(A558),"""",GOOGLETRANSLATE(A558,""en"",""fr""))"),"")</f>
        <v/>
      </c>
    </row>
    <row r="559" spans="2:2">
      <c r="B559" s="3" t="str">
        <f ca="1">IFERROR(__xludf.DUMMYFUNCTION("IF(ISBLANK(A559),"""",GOOGLETRANSLATE(A559,""en"",""fr""))"),"")</f>
        <v/>
      </c>
    </row>
    <row r="560" spans="2:2">
      <c r="B560" s="3" t="str">
        <f ca="1">IFERROR(__xludf.DUMMYFUNCTION("IF(ISBLANK(A560),"""",GOOGLETRANSLATE(A560,""en"",""fr""))"),"")</f>
        <v/>
      </c>
    </row>
    <row r="561" spans="2:2">
      <c r="B561" s="3" t="str">
        <f ca="1">IFERROR(__xludf.DUMMYFUNCTION("IF(ISBLANK(A561),"""",GOOGLETRANSLATE(A561,""en"",""fr""))"),"")</f>
        <v/>
      </c>
    </row>
    <row r="562" spans="2:2">
      <c r="B562" s="3" t="str">
        <f ca="1">IFERROR(__xludf.DUMMYFUNCTION("IF(ISBLANK(A562),"""",GOOGLETRANSLATE(A562,""en"",""fr""))"),"")</f>
        <v/>
      </c>
    </row>
    <row r="563" spans="2:2">
      <c r="B563" s="3" t="str">
        <f ca="1">IFERROR(__xludf.DUMMYFUNCTION("IF(ISBLANK(A563),"""",GOOGLETRANSLATE(A563,""en"",""fr""))"),"")</f>
        <v/>
      </c>
    </row>
    <row r="564" spans="2:2">
      <c r="B564" s="3" t="str">
        <f ca="1">IFERROR(__xludf.DUMMYFUNCTION("IF(ISBLANK(A564),"""",GOOGLETRANSLATE(A564,""en"",""fr""))"),"")</f>
        <v/>
      </c>
    </row>
    <row r="565" spans="2:2">
      <c r="B565" s="3" t="str">
        <f ca="1">IFERROR(__xludf.DUMMYFUNCTION("IF(ISBLANK(A565),"""",GOOGLETRANSLATE(A565,""en"",""fr""))"),"")</f>
        <v/>
      </c>
    </row>
    <row r="566" spans="2:2">
      <c r="B566" s="3" t="str">
        <f ca="1">IFERROR(__xludf.DUMMYFUNCTION("IF(ISBLANK(A566),"""",GOOGLETRANSLATE(A566,""en"",""fr""))"),"")</f>
        <v/>
      </c>
    </row>
    <row r="567" spans="2:2">
      <c r="B567" s="3" t="str">
        <f ca="1">IFERROR(__xludf.DUMMYFUNCTION("IF(ISBLANK(A567),"""",GOOGLETRANSLATE(A567,""en"",""fr""))"),"")</f>
        <v/>
      </c>
    </row>
    <row r="568" spans="2:2">
      <c r="B568" s="3" t="str">
        <f ca="1">IFERROR(__xludf.DUMMYFUNCTION("IF(ISBLANK(A568),"""",GOOGLETRANSLATE(A568,""en"",""fr""))"),"")</f>
        <v/>
      </c>
    </row>
    <row r="569" spans="2:2">
      <c r="B569" s="3" t="str">
        <f ca="1">IFERROR(__xludf.DUMMYFUNCTION("IF(ISBLANK(A569),"""",GOOGLETRANSLATE(A569,""en"",""fr""))"),"")</f>
        <v/>
      </c>
    </row>
    <row r="570" spans="2:2">
      <c r="B570" s="3" t="str">
        <f ca="1">IFERROR(__xludf.DUMMYFUNCTION("IF(ISBLANK(A570),"""",GOOGLETRANSLATE(A570,""en"",""fr""))"),"")</f>
        <v/>
      </c>
    </row>
    <row r="571" spans="2:2">
      <c r="B571" s="3" t="str">
        <f ca="1">IFERROR(__xludf.DUMMYFUNCTION("IF(ISBLANK(A571),"""",GOOGLETRANSLATE(A571,""en"",""fr""))"),"")</f>
        <v/>
      </c>
    </row>
    <row r="572" spans="2:2">
      <c r="B572" s="3" t="str">
        <f ca="1">IFERROR(__xludf.DUMMYFUNCTION("IF(ISBLANK(A572),"""",GOOGLETRANSLATE(A572,""en"",""fr""))"),"")</f>
        <v/>
      </c>
    </row>
    <row r="573" spans="2:2">
      <c r="B573" s="3" t="str">
        <f ca="1">IFERROR(__xludf.DUMMYFUNCTION("IF(ISBLANK(A573),"""",GOOGLETRANSLATE(A573,""en"",""fr""))"),"")</f>
        <v/>
      </c>
    </row>
    <row r="574" spans="2:2">
      <c r="B574" s="3" t="str">
        <f ca="1">IFERROR(__xludf.DUMMYFUNCTION("IF(ISBLANK(A574),"""",GOOGLETRANSLATE(A574,""en"",""fr""))"),"")</f>
        <v/>
      </c>
    </row>
    <row r="575" spans="2:2">
      <c r="B575" s="3" t="str">
        <f ca="1">IFERROR(__xludf.DUMMYFUNCTION("IF(ISBLANK(A575),"""",GOOGLETRANSLATE(A575,""en"",""fr""))"),"")</f>
        <v/>
      </c>
    </row>
    <row r="576" spans="2:2">
      <c r="B576" s="3" t="str">
        <f ca="1">IFERROR(__xludf.DUMMYFUNCTION("IF(ISBLANK(A576),"""",GOOGLETRANSLATE(A576,""en"",""fr""))"),"")</f>
        <v/>
      </c>
    </row>
    <row r="577" spans="2:2">
      <c r="B577" s="3" t="str">
        <f ca="1">IFERROR(__xludf.DUMMYFUNCTION("IF(ISBLANK(A577),"""",GOOGLETRANSLATE(A577,""en"",""fr""))"),"")</f>
        <v/>
      </c>
    </row>
    <row r="578" spans="2:2">
      <c r="B578" s="3" t="str">
        <f ca="1">IFERROR(__xludf.DUMMYFUNCTION("IF(ISBLANK(A578),"""",GOOGLETRANSLATE(A578,""en"",""fr""))"),"")</f>
        <v/>
      </c>
    </row>
    <row r="579" spans="2:2">
      <c r="B579" s="3" t="str">
        <f ca="1">IFERROR(__xludf.DUMMYFUNCTION("IF(ISBLANK(A579),"""",GOOGLETRANSLATE(A579,""en"",""fr""))"),"")</f>
        <v/>
      </c>
    </row>
    <row r="580" spans="2:2">
      <c r="B580" s="3" t="str">
        <f ca="1">IFERROR(__xludf.DUMMYFUNCTION("IF(ISBLANK(A580),"""",GOOGLETRANSLATE(A580,""en"",""fr""))"),"")</f>
        <v/>
      </c>
    </row>
    <row r="581" spans="2:2">
      <c r="B581" s="3" t="str">
        <f ca="1">IFERROR(__xludf.DUMMYFUNCTION("IF(ISBLANK(A581),"""",GOOGLETRANSLATE(A581,""en"",""fr""))"),"")</f>
        <v/>
      </c>
    </row>
    <row r="582" spans="2:2">
      <c r="B582" s="3" t="str">
        <f ca="1">IFERROR(__xludf.DUMMYFUNCTION("IF(ISBLANK(A582),"""",GOOGLETRANSLATE(A582,""en"",""fr""))"),"")</f>
        <v/>
      </c>
    </row>
    <row r="583" spans="2:2">
      <c r="B583" s="3" t="str">
        <f ca="1">IFERROR(__xludf.DUMMYFUNCTION("IF(ISBLANK(A583),"""",GOOGLETRANSLATE(A583,""en"",""fr""))"),"")</f>
        <v/>
      </c>
    </row>
    <row r="584" spans="2:2">
      <c r="B584" s="3" t="str">
        <f ca="1">IFERROR(__xludf.DUMMYFUNCTION("IF(ISBLANK(A584),"""",GOOGLETRANSLATE(A584,""en"",""fr""))"),"")</f>
        <v/>
      </c>
    </row>
    <row r="585" spans="2:2">
      <c r="B585" s="3" t="str">
        <f ca="1">IFERROR(__xludf.DUMMYFUNCTION("IF(ISBLANK(A585),"""",GOOGLETRANSLATE(A585,""en"",""fr""))"),"")</f>
        <v/>
      </c>
    </row>
    <row r="586" spans="2:2">
      <c r="B586" s="3" t="str">
        <f ca="1">IFERROR(__xludf.DUMMYFUNCTION("IF(ISBLANK(A586),"""",GOOGLETRANSLATE(A586,""en"",""fr""))"),"")</f>
        <v/>
      </c>
    </row>
    <row r="587" spans="2:2">
      <c r="B587" s="3" t="str">
        <f ca="1">IFERROR(__xludf.DUMMYFUNCTION("IF(ISBLANK(A587),"""",GOOGLETRANSLATE(A587,""en"",""fr""))"),"")</f>
        <v/>
      </c>
    </row>
    <row r="588" spans="2:2">
      <c r="B588" s="3" t="str">
        <f ca="1">IFERROR(__xludf.DUMMYFUNCTION("IF(ISBLANK(A588),"""",GOOGLETRANSLATE(A588,""en"",""fr""))"),"")</f>
        <v/>
      </c>
    </row>
    <row r="589" spans="2:2">
      <c r="B589" s="3" t="str">
        <f ca="1">IFERROR(__xludf.DUMMYFUNCTION("IF(ISBLANK(A589),"""",GOOGLETRANSLATE(A589,""en"",""fr""))"),"")</f>
        <v/>
      </c>
    </row>
    <row r="590" spans="2:2">
      <c r="B590" s="3" t="str">
        <f ca="1">IFERROR(__xludf.DUMMYFUNCTION("IF(ISBLANK(A590),"""",GOOGLETRANSLATE(A590,""en"",""fr""))"),"")</f>
        <v/>
      </c>
    </row>
    <row r="591" spans="2:2">
      <c r="B591" s="3" t="str">
        <f ca="1">IFERROR(__xludf.DUMMYFUNCTION("IF(ISBLANK(A591),"""",GOOGLETRANSLATE(A591,""en"",""fr""))"),"")</f>
        <v/>
      </c>
    </row>
    <row r="592" spans="2:2">
      <c r="B592" s="3" t="str">
        <f ca="1">IFERROR(__xludf.DUMMYFUNCTION("IF(ISBLANK(A592),"""",GOOGLETRANSLATE(A592,""en"",""fr""))"),"")</f>
        <v/>
      </c>
    </row>
    <row r="593" spans="2:2">
      <c r="B593" s="3" t="str">
        <f ca="1">IFERROR(__xludf.DUMMYFUNCTION("IF(ISBLANK(A593),"""",GOOGLETRANSLATE(A593,""en"",""fr""))"),"")</f>
        <v/>
      </c>
    </row>
    <row r="594" spans="2:2">
      <c r="B594" s="3" t="str">
        <f ca="1">IFERROR(__xludf.DUMMYFUNCTION("IF(ISBLANK(A594),"""",GOOGLETRANSLATE(A594,""en"",""fr""))"),"")</f>
        <v/>
      </c>
    </row>
    <row r="595" spans="2:2">
      <c r="B595" s="3" t="str">
        <f ca="1">IFERROR(__xludf.DUMMYFUNCTION("IF(ISBLANK(A595),"""",GOOGLETRANSLATE(A595,""en"",""fr""))"),"")</f>
        <v/>
      </c>
    </row>
    <row r="596" spans="2:2">
      <c r="B596" s="3" t="str">
        <f ca="1">IFERROR(__xludf.DUMMYFUNCTION("IF(ISBLANK(A596),"""",GOOGLETRANSLATE(A596,""en"",""fr""))"),"")</f>
        <v/>
      </c>
    </row>
    <row r="597" spans="2:2">
      <c r="B597" s="3" t="str">
        <f ca="1">IFERROR(__xludf.DUMMYFUNCTION("IF(ISBLANK(A597),"""",GOOGLETRANSLATE(A597,""en"",""fr""))"),"")</f>
        <v/>
      </c>
    </row>
    <row r="598" spans="2:2">
      <c r="B598" s="3" t="str">
        <f ca="1">IFERROR(__xludf.DUMMYFUNCTION("IF(ISBLANK(A598),"""",GOOGLETRANSLATE(A598,""en"",""fr""))"),"")</f>
        <v/>
      </c>
    </row>
    <row r="599" spans="2:2">
      <c r="B599" s="3" t="str">
        <f ca="1">IFERROR(__xludf.DUMMYFUNCTION("IF(ISBLANK(A599),"""",GOOGLETRANSLATE(A599,""en"",""fr""))"),"")</f>
        <v/>
      </c>
    </row>
    <row r="600" spans="2:2">
      <c r="B600" s="3" t="str">
        <f ca="1">IFERROR(__xludf.DUMMYFUNCTION("IF(ISBLANK(A600),"""",GOOGLETRANSLATE(A600,""en"",""fr""))"),"")</f>
        <v/>
      </c>
    </row>
    <row r="601" spans="2:2">
      <c r="B601" s="3" t="str">
        <f ca="1">IFERROR(__xludf.DUMMYFUNCTION("IF(ISBLANK(A601),"""",GOOGLETRANSLATE(A601,""en"",""fr""))"),"")</f>
        <v/>
      </c>
    </row>
    <row r="602" spans="2:2">
      <c r="B602" s="3" t="str">
        <f ca="1">IFERROR(__xludf.DUMMYFUNCTION("IF(ISBLANK(A602),"""",GOOGLETRANSLATE(A602,""en"",""fr""))"),"")</f>
        <v/>
      </c>
    </row>
    <row r="603" spans="2:2">
      <c r="B603" s="3" t="str">
        <f ca="1">IFERROR(__xludf.DUMMYFUNCTION("IF(ISBLANK(A603),"""",GOOGLETRANSLATE(A603,""en"",""fr""))"),"")</f>
        <v/>
      </c>
    </row>
    <row r="604" spans="2:2">
      <c r="B604" s="3" t="str">
        <f ca="1">IFERROR(__xludf.DUMMYFUNCTION("IF(ISBLANK(A604),"""",GOOGLETRANSLATE(A604,""en"",""fr""))"),"")</f>
        <v/>
      </c>
    </row>
    <row r="605" spans="2:2">
      <c r="B605" s="3" t="str">
        <f ca="1">IFERROR(__xludf.DUMMYFUNCTION("IF(ISBLANK(A605),"""",GOOGLETRANSLATE(A605,""en"",""fr""))"),"")</f>
        <v/>
      </c>
    </row>
    <row r="606" spans="2:2">
      <c r="B606" s="3" t="str">
        <f ca="1">IFERROR(__xludf.DUMMYFUNCTION("IF(ISBLANK(A606),"""",GOOGLETRANSLATE(A606,""en"",""fr""))"),"")</f>
        <v/>
      </c>
    </row>
    <row r="607" spans="2:2">
      <c r="B607" s="3" t="str">
        <f ca="1">IFERROR(__xludf.DUMMYFUNCTION("IF(ISBLANK(A607),"""",GOOGLETRANSLATE(A607,""en"",""fr""))"),"")</f>
        <v/>
      </c>
    </row>
    <row r="608" spans="2:2">
      <c r="B608" s="3" t="str">
        <f ca="1">IFERROR(__xludf.DUMMYFUNCTION("IF(ISBLANK(A608),"""",GOOGLETRANSLATE(A608,""en"",""fr""))"),"")</f>
        <v/>
      </c>
    </row>
    <row r="609" spans="2:2">
      <c r="B609" s="3" t="str">
        <f ca="1">IFERROR(__xludf.DUMMYFUNCTION("IF(ISBLANK(A609),"""",GOOGLETRANSLATE(A609,""en"",""fr""))"),"")</f>
        <v/>
      </c>
    </row>
    <row r="610" spans="2:2">
      <c r="B610" s="3" t="str">
        <f ca="1">IFERROR(__xludf.DUMMYFUNCTION("IF(ISBLANK(A610),"""",GOOGLETRANSLATE(A610,""en"",""fr""))"),"")</f>
        <v/>
      </c>
    </row>
    <row r="611" spans="2:2">
      <c r="B611" s="3" t="str">
        <f ca="1">IFERROR(__xludf.DUMMYFUNCTION("IF(ISBLANK(A611),"""",GOOGLETRANSLATE(A611,""en"",""fr""))"),"")</f>
        <v/>
      </c>
    </row>
    <row r="612" spans="2:2">
      <c r="B612" s="3" t="str">
        <f ca="1">IFERROR(__xludf.DUMMYFUNCTION("IF(ISBLANK(A612),"""",GOOGLETRANSLATE(A612,""en"",""fr""))"),"")</f>
        <v/>
      </c>
    </row>
    <row r="613" spans="2:2">
      <c r="B613" s="3" t="str">
        <f ca="1">IFERROR(__xludf.DUMMYFUNCTION("IF(ISBLANK(A613),"""",GOOGLETRANSLATE(A613,""en"",""fr""))"),"")</f>
        <v/>
      </c>
    </row>
    <row r="614" spans="2:2">
      <c r="B614" s="3" t="str">
        <f ca="1">IFERROR(__xludf.DUMMYFUNCTION("IF(ISBLANK(A614),"""",GOOGLETRANSLATE(A614,""en"",""fr""))"),"")</f>
        <v/>
      </c>
    </row>
    <row r="615" spans="2:2">
      <c r="B615" s="3" t="str">
        <f ca="1">IFERROR(__xludf.DUMMYFUNCTION("IF(ISBLANK(A615),"""",GOOGLETRANSLATE(A615,""en"",""fr""))"),"")</f>
        <v/>
      </c>
    </row>
    <row r="616" spans="2:2">
      <c r="B616" s="3" t="str">
        <f ca="1">IFERROR(__xludf.DUMMYFUNCTION("IF(ISBLANK(A616),"""",GOOGLETRANSLATE(A616,""en"",""fr""))"),"")</f>
        <v/>
      </c>
    </row>
    <row r="617" spans="2:2">
      <c r="B617" s="3" t="str">
        <f ca="1">IFERROR(__xludf.DUMMYFUNCTION("IF(ISBLANK(A617),"""",GOOGLETRANSLATE(A617,""en"",""fr""))"),"")</f>
        <v/>
      </c>
    </row>
    <row r="618" spans="2:2">
      <c r="B618" s="3" t="str">
        <f ca="1">IFERROR(__xludf.DUMMYFUNCTION("IF(ISBLANK(A618),"""",GOOGLETRANSLATE(A618,""en"",""fr""))"),"")</f>
        <v/>
      </c>
    </row>
    <row r="619" spans="2:2">
      <c r="B619" s="3" t="str">
        <f ca="1">IFERROR(__xludf.DUMMYFUNCTION("IF(ISBLANK(A619),"""",GOOGLETRANSLATE(A619,""en"",""fr""))"),"")</f>
        <v/>
      </c>
    </row>
    <row r="620" spans="2:2">
      <c r="B620" s="3" t="str">
        <f ca="1">IFERROR(__xludf.DUMMYFUNCTION("IF(ISBLANK(A620),"""",GOOGLETRANSLATE(A620,""en"",""fr""))"),"")</f>
        <v/>
      </c>
    </row>
    <row r="621" spans="2:2">
      <c r="B621" s="3" t="str">
        <f ca="1">IFERROR(__xludf.DUMMYFUNCTION("IF(ISBLANK(A621),"""",GOOGLETRANSLATE(A621,""en"",""fr""))"),"")</f>
        <v/>
      </c>
    </row>
    <row r="622" spans="2:2">
      <c r="B622" s="3" t="str">
        <f ca="1">IFERROR(__xludf.DUMMYFUNCTION("IF(ISBLANK(A622),"""",GOOGLETRANSLATE(A622,""en"",""fr""))"),"")</f>
        <v/>
      </c>
    </row>
    <row r="623" spans="2:2">
      <c r="B623" s="3" t="str">
        <f ca="1">IFERROR(__xludf.DUMMYFUNCTION("IF(ISBLANK(A623),"""",GOOGLETRANSLATE(A623,""en"",""fr""))"),"")</f>
        <v/>
      </c>
    </row>
    <row r="624" spans="2:2">
      <c r="B624" s="3" t="str">
        <f ca="1">IFERROR(__xludf.DUMMYFUNCTION("IF(ISBLANK(A624),"""",GOOGLETRANSLATE(A624,""en"",""fr""))"),"")</f>
        <v/>
      </c>
    </row>
    <row r="625" spans="2:2">
      <c r="B625" s="3" t="str">
        <f ca="1">IFERROR(__xludf.DUMMYFUNCTION("IF(ISBLANK(A625),"""",GOOGLETRANSLATE(A625,""en"",""fr""))"),"")</f>
        <v/>
      </c>
    </row>
    <row r="626" spans="2:2">
      <c r="B626" s="3" t="str">
        <f ca="1">IFERROR(__xludf.DUMMYFUNCTION("IF(ISBLANK(A626),"""",GOOGLETRANSLATE(A626,""en"",""fr""))"),"")</f>
        <v/>
      </c>
    </row>
    <row r="627" spans="2:2">
      <c r="B627" s="3" t="str">
        <f ca="1">IFERROR(__xludf.DUMMYFUNCTION("IF(ISBLANK(A627),"""",GOOGLETRANSLATE(A627,""en"",""fr""))"),"")</f>
        <v/>
      </c>
    </row>
    <row r="628" spans="2:2">
      <c r="B628" s="3" t="str">
        <f ca="1">IFERROR(__xludf.DUMMYFUNCTION("IF(ISBLANK(A628),"""",GOOGLETRANSLATE(A628,""en"",""fr""))"),"")</f>
        <v/>
      </c>
    </row>
    <row r="629" spans="2:2">
      <c r="B629" s="3" t="str">
        <f ca="1">IFERROR(__xludf.DUMMYFUNCTION("IF(ISBLANK(A629),"""",GOOGLETRANSLATE(A629,""en"",""fr""))"),"")</f>
        <v/>
      </c>
    </row>
    <row r="630" spans="2:2">
      <c r="B630" s="3" t="str">
        <f ca="1">IFERROR(__xludf.DUMMYFUNCTION("IF(ISBLANK(A630),"""",GOOGLETRANSLATE(A630,""en"",""fr""))"),"")</f>
        <v/>
      </c>
    </row>
    <row r="631" spans="2:2">
      <c r="B631" s="3" t="str">
        <f ca="1">IFERROR(__xludf.DUMMYFUNCTION("IF(ISBLANK(A631),"""",GOOGLETRANSLATE(A631,""en"",""fr""))"),"")</f>
        <v/>
      </c>
    </row>
    <row r="632" spans="2:2">
      <c r="B632" s="3" t="str">
        <f ca="1">IFERROR(__xludf.DUMMYFUNCTION("IF(ISBLANK(A632),"""",GOOGLETRANSLATE(A632,""en"",""fr""))"),"")</f>
        <v/>
      </c>
    </row>
    <row r="633" spans="2:2">
      <c r="B633" s="3" t="str">
        <f ca="1">IFERROR(__xludf.DUMMYFUNCTION("IF(ISBLANK(A633),"""",GOOGLETRANSLATE(A633,""en"",""fr""))"),"")</f>
        <v/>
      </c>
    </row>
    <row r="634" spans="2:2">
      <c r="B634" s="3" t="str">
        <f ca="1">IFERROR(__xludf.DUMMYFUNCTION("IF(ISBLANK(A634),"""",GOOGLETRANSLATE(A634,""en"",""fr""))"),"")</f>
        <v/>
      </c>
    </row>
    <row r="635" spans="2:2">
      <c r="B635" s="3" t="str">
        <f ca="1">IFERROR(__xludf.DUMMYFUNCTION("IF(ISBLANK(A635),"""",GOOGLETRANSLATE(A635,""en"",""fr""))"),"")</f>
        <v/>
      </c>
    </row>
    <row r="636" spans="2:2">
      <c r="B636" s="3" t="str">
        <f ca="1">IFERROR(__xludf.DUMMYFUNCTION("IF(ISBLANK(A636),"""",GOOGLETRANSLATE(A636,""en"",""fr""))"),"")</f>
        <v/>
      </c>
    </row>
    <row r="637" spans="2:2">
      <c r="B637" s="3" t="str">
        <f ca="1">IFERROR(__xludf.DUMMYFUNCTION("IF(ISBLANK(A637),"""",GOOGLETRANSLATE(A637,""en"",""fr""))"),"")</f>
        <v/>
      </c>
    </row>
    <row r="638" spans="2:2">
      <c r="B638" s="3" t="str">
        <f ca="1">IFERROR(__xludf.DUMMYFUNCTION("IF(ISBLANK(A638),"""",GOOGLETRANSLATE(A638,""en"",""fr""))"),"")</f>
        <v/>
      </c>
    </row>
    <row r="639" spans="2:2">
      <c r="B639" s="3" t="str">
        <f ca="1">IFERROR(__xludf.DUMMYFUNCTION("IF(ISBLANK(A639),"""",GOOGLETRANSLATE(A639,""en"",""fr""))"),"")</f>
        <v/>
      </c>
    </row>
    <row r="640" spans="2:2">
      <c r="B640" s="3" t="str">
        <f ca="1">IFERROR(__xludf.DUMMYFUNCTION("IF(ISBLANK(A640),"""",GOOGLETRANSLATE(A640,""en"",""fr""))"),"")</f>
        <v/>
      </c>
    </row>
    <row r="641" spans="2:2">
      <c r="B641" s="3" t="str">
        <f ca="1">IFERROR(__xludf.DUMMYFUNCTION("IF(ISBLANK(A641),"""",GOOGLETRANSLATE(A641,""en"",""fr""))"),"")</f>
        <v/>
      </c>
    </row>
    <row r="642" spans="2:2">
      <c r="B642" s="3" t="str">
        <f ca="1">IFERROR(__xludf.DUMMYFUNCTION("IF(ISBLANK(A642),"""",GOOGLETRANSLATE(A642,""en"",""fr""))"),"")</f>
        <v/>
      </c>
    </row>
    <row r="643" spans="2:2">
      <c r="B643" s="3" t="str">
        <f ca="1">IFERROR(__xludf.DUMMYFUNCTION("IF(ISBLANK(A643),"""",GOOGLETRANSLATE(A643,""en"",""fr""))"),"")</f>
        <v/>
      </c>
    </row>
    <row r="644" spans="2:2">
      <c r="B644" s="3" t="str">
        <f ca="1">IFERROR(__xludf.DUMMYFUNCTION("IF(ISBLANK(A644),"""",GOOGLETRANSLATE(A644,""en"",""fr""))"),"")</f>
        <v/>
      </c>
    </row>
    <row r="645" spans="2:2">
      <c r="B645" s="3" t="str">
        <f ca="1">IFERROR(__xludf.DUMMYFUNCTION("IF(ISBLANK(A645),"""",GOOGLETRANSLATE(A645,""en"",""fr""))"),"")</f>
        <v/>
      </c>
    </row>
    <row r="646" spans="2:2">
      <c r="B646" s="3" t="str">
        <f ca="1">IFERROR(__xludf.DUMMYFUNCTION("IF(ISBLANK(A646),"""",GOOGLETRANSLATE(A646,""en"",""fr""))"),"")</f>
        <v/>
      </c>
    </row>
    <row r="647" spans="2:2">
      <c r="B647" s="3" t="str">
        <f ca="1">IFERROR(__xludf.DUMMYFUNCTION("IF(ISBLANK(A647),"""",GOOGLETRANSLATE(A647,""en"",""fr""))"),"")</f>
        <v/>
      </c>
    </row>
    <row r="648" spans="2:2">
      <c r="B648" s="3" t="str">
        <f ca="1">IFERROR(__xludf.DUMMYFUNCTION("IF(ISBLANK(A648),"""",GOOGLETRANSLATE(A648,""en"",""fr""))"),"")</f>
        <v/>
      </c>
    </row>
    <row r="649" spans="2:2">
      <c r="B649" s="3" t="str">
        <f ca="1">IFERROR(__xludf.DUMMYFUNCTION("IF(ISBLANK(A649),"""",GOOGLETRANSLATE(A649,""en"",""fr""))"),"")</f>
        <v/>
      </c>
    </row>
    <row r="650" spans="2:2">
      <c r="B650" s="3" t="str">
        <f ca="1">IFERROR(__xludf.DUMMYFUNCTION("IF(ISBLANK(A650),"""",GOOGLETRANSLATE(A650,""en"",""fr""))"),"")</f>
        <v/>
      </c>
    </row>
    <row r="651" spans="2:2">
      <c r="B651" s="3" t="str">
        <f ca="1">IFERROR(__xludf.DUMMYFUNCTION("IF(ISBLANK(A651),"""",GOOGLETRANSLATE(A651,""en"",""fr""))"),"")</f>
        <v/>
      </c>
    </row>
    <row r="652" spans="2:2">
      <c r="B652" s="3" t="str">
        <f ca="1">IFERROR(__xludf.DUMMYFUNCTION("IF(ISBLANK(A652),"""",GOOGLETRANSLATE(A652,""en"",""fr""))"),"")</f>
        <v/>
      </c>
    </row>
    <row r="653" spans="2:2">
      <c r="B653" s="3" t="str">
        <f ca="1">IFERROR(__xludf.DUMMYFUNCTION("IF(ISBLANK(A653),"""",GOOGLETRANSLATE(A653,""en"",""fr""))"),"")</f>
        <v/>
      </c>
    </row>
    <row r="654" spans="2:2">
      <c r="B654" s="3" t="str">
        <f ca="1">IFERROR(__xludf.DUMMYFUNCTION("IF(ISBLANK(A654),"""",GOOGLETRANSLATE(A654,""en"",""fr""))"),"")</f>
        <v/>
      </c>
    </row>
    <row r="655" spans="2:2">
      <c r="B655" s="3" t="str">
        <f ca="1">IFERROR(__xludf.DUMMYFUNCTION("IF(ISBLANK(A655),"""",GOOGLETRANSLATE(A655,""en"",""fr""))"),"")</f>
        <v/>
      </c>
    </row>
    <row r="656" spans="2:2">
      <c r="B656" s="3" t="str">
        <f ca="1">IFERROR(__xludf.DUMMYFUNCTION("IF(ISBLANK(A656),"""",GOOGLETRANSLATE(A656,""en"",""fr""))"),"")</f>
        <v/>
      </c>
    </row>
    <row r="657" spans="2:2">
      <c r="B657" s="3" t="str">
        <f ca="1">IFERROR(__xludf.DUMMYFUNCTION("IF(ISBLANK(A657),"""",GOOGLETRANSLATE(A657,""en"",""fr""))"),"")</f>
        <v/>
      </c>
    </row>
    <row r="658" spans="2:2">
      <c r="B658" s="3" t="str">
        <f ca="1">IFERROR(__xludf.DUMMYFUNCTION("IF(ISBLANK(A658),"""",GOOGLETRANSLATE(A658,""en"",""fr""))"),"")</f>
        <v/>
      </c>
    </row>
    <row r="659" spans="2:2">
      <c r="B659" s="3" t="str">
        <f ca="1">IFERROR(__xludf.DUMMYFUNCTION("IF(ISBLANK(A659),"""",GOOGLETRANSLATE(A659,""en"",""fr""))"),"")</f>
        <v/>
      </c>
    </row>
    <row r="660" spans="2:2">
      <c r="B660" s="3" t="str">
        <f ca="1">IFERROR(__xludf.DUMMYFUNCTION("IF(ISBLANK(A660),"""",GOOGLETRANSLATE(A660,""en"",""fr""))"),"")</f>
        <v/>
      </c>
    </row>
    <row r="661" spans="2:2">
      <c r="B661" s="3" t="str">
        <f ca="1">IFERROR(__xludf.DUMMYFUNCTION("IF(ISBLANK(A661),"""",GOOGLETRANSLATE(A661,""en"",""fr""))"),"")</f>
        <v/>
      </c>
    </row>
    <row r="662" spans="2:2">
      <c r="B662" s="3" t="str">
        <f ca="1">IFERROR(__xludf.DUMMYFUNCTION("IF(ISBLANK(A662),"""",GOOGLETRANSLATE(A662,""en"",""fr""))"),"")</f>
        <v/>
      </c>
    </row>
    <row r="663" spans="2:2">
      <c r="B663" s="3" t="str">
        <f ca="1">IFERROR(__xludf.DUMMYFUNCTION("IF(ISBLANK(A663),"""",GOOGLETRANSLATE(A663,""en"",""fr""))"),"")</f>
        <v/>
      </c>
    </row>
    <row r="664" spans="2:2">
      <c r="B664" s="3" t="str">
        <f ca="1">IFERROR(__xludf.DUMMYFUNCTION("IF(ISBLANK(A664),"""",GOOGLETRANSLATE(A664,""en"",""fr""))"),"")</f>
        <v/>
      </c>
    </row>
    <row r="665" spans="2:2">
      <c r="B665" s="3" t="str">
        <f ca="1">IFERROR(__xludf.DUMMYFUNCTION("IF(ISBLANK(A665),"""",GOOGLETRANSLATE(A665,""en"",""fr""))"),"")</f>
        <v/>
      </c>
    </row>
    <row r="666" spans="2:2">
      <c r="B666" s="3" t="str">
        <f ca="1">IFERROR(__xludf.DUMMYFUNCTION("IF(ISBLANK(A666),"""",GOOGLETRANSLATE(A666,""en"",""fr""))"),"")</f>
        <v/>
      </c>
    </row>
    <row r="667" spans="2:2">
      <c r="B667" s="3" t="str">
        <f ca="1">IFERROR(__xludf.DUMMYFUNCTION("IF(ISBLANK(A667),"""",GOOGLETRANSLATE(A667,""en"",""fr""))"),"")</f>
        <v/>
      </c>
    </row>
    <row r="668" spans="2:2">
      <c r="B668" s="3" t="str">
        <f ca="1">IFERROR(__xludf.DUMMYFUNCTION("IF(ISBLANK(A668),"""",GOOGLETRANSLATE(A668,""en"",""fr""))"),"")</f>
        <v/>
      </c>
    </row>
    <row r="669" spans="2:2">
      <c r="B669" s="3" t="str">
        <f ca="1">IFERROR(__xludf.DUMMYFUNCTION("IF(ISBLANK(A669),"""",GOOGLETRANSLATE(A669,""en"",""fr""))"),"")</f>
        <v/>
      </c>
    </row>
    <row r="670" spans="2:2">
      <c r="B670" s="3" t="str">
        <f ca="1">IFERROR(__xludf.DUMMYFUNCTION("IF(ISBLANK(A670),"""",GOOGLETRANSLATE(A670,""en"",""fr""))"),"")</f>
        <v/>
      </c>
    </row>
    <row r="671" spans="2:2">
      <c r="B671" s="3" t="str">
        <f ca="1">IFERROR(__xludf.DUMMYFUNCTION("IF(ISBLANK(A671),"""",GOOGLETRANSLATE(A671,""en"",""fr""))"),"")</f>
        <v/>
      </c>
    </row>
    <row r="672" spans="2:2">
      <c r="B672" s="3" t="str">
        <f ca="1">IFERROR(__xludf.DUMMYFUNCTION("IF(ISBLANK(A672),"""",GOOGLETRANSLATE(A672,""en"",""fr""))"),"")</f>
        <v/>
      </c>
    </row>
    <row r="673" spans="2:2">
      <c r="B673" s="3" t="str">
        <f ca="1">IFERROR(__xludf.DUMMYFUNCTION("IF(ISBLANK(A673),"""",GOOGLETRANSLATE(A673,""en"",""fr""))"),"")</f>
        <v/>
      </c>
    </row>
    <row r="674" spans="2:2">
      <c r="B674" s="3" t="str">
        <f ca="1">IFERROR(__xludf.DUMMYFUNCTION("IF(ISBLANK(A674),"""",GOOGLETRANSLATE(A674,""en"",""fr""))"),"")</f>
        <v/>
      </c>
    </row>
    <row r="675" spans="2:2">
      <c r="B675" s="3" t="str">
        <f ca="1">IFERROR(__xludf.DUMMYFUNCTION("IF(ISBLANK(A675),"""",GOOGLETRANSLATE(A675,""en"",""fr""))"),"")</f>
        <v/>
      </c>
    </row>
    <row r="676" spans="2:2">
      <c r="B676" s="3" t="str">
        <f ca="1">IFERROR(__xludf.DUMMYFUNCTION("IF(ISBLANK(A676),"""",GOOGLETRANSLATE(A676,""en"",""fr""))"),"")</f>
        <v/>
      </c>
    </row>
    <row r="677" spans="2:2">
      <c r="B677" s="3" t="str">
        <f ca="1">IFERROR(__xludf.DUMMYFUNCTION("IF(ISBLANK(A677),"""",GOOGLETRANSLATE(A677,""en"",""fr""))"),"")</f>
        <v/>
      </c>
    </row>
    <row r="678" spans="2:2">
      <c r="B678" s="3" t="str">
        <f ca="1">IFERROR(__xludf.DUMMYFUNCTION("IF(ISBLANK(A678),"""",GOOGLETRANSLATE(A678,""en"",""fr""))"),"")</f>
        <v/>
      </c>
    </row>
    <row r="679" spans="2:2">
      <c r="B679" s="3" t="str">
        <f ca="1">IFERROR(__xludf.DUMMYFUNCTION("IF(ISBLANK(A679),"""",GOOGLETRANSLATE(A679,""en"",""fr""))"),"")</f>
        <v/>
      </c>
    </row>
    <row r="680" spans="2:2">
      <c r="B680" s="3" t="str">
        <f ca="1">IFERROR(__xludf.DUMMYFUNCTION("IF(ISBLANK(A680),"""",GOOGLETRANSLATE(A680,""en"",""fr""))"),"")</f>
        <v/>
      </c>
    </row>
    <row r="681" spans="2:2">
      <c r="B681" s="3" t="str">
        <f ca="1">IFERROR(__xludf.DUMMYFUNCTION("IF(ISBLANK(A681),"""",GOOGLETRANSLATE(A681,""en"",""fr""))"),"")</f>
        <v/>
      </c>
    </row>
    <row r="682" spans="2:2">
      <c r="B682" s="3" t="str">
        <f ca="1">IFERROR(__xludf.DUMMYFUNCTION("IF(ISBLANK(A682),"""",GOOGLETRANSLATE(A682,""en"",""fr""))"),"")</f>
        <v/>
      </c>
    </row>
    <row r="683" spans="2:2">
      <c r="B683" s="3" t="str">
        <f ca="1">IFERROR(__xludf.DUMMYFUNCTION("IF(ISBLANK(A683),"""",GOOGLETRANSLATE(A683,""en"",""fr""))"),"")</f>
        <v/>
      </c>
    </row>
    <row r="684" spans="2:2">
      <c r="B684" s="3" t="str">
        <f ca="1">IFERROR(__xludf.DUMMYFUNCTION("IF(ISBLANK(A684),"""",GOOGLETRANSLATE(A684,""en"",""fr""))"),"")</f>
        <v/>
      </c>
    </row>
    <row r="685" spans="2:2">
      <c r="B685" s="3" t="str">
        <f ca="1">IFERROR(__xludf.DUMMYFUNCTION("IF(ISBLANK(A685),"""",GOOGLETRANSLATE(A685,""en"",""fr""))"),"")</f>
        <v/>
      </c>
    </row>
    <row r="686" spans="2:2">
      <c r="B686" s="3" t="str">
        <f ca="1">IFERROR(__xludf.DUMMYFUNCTION("IF(ISBLANK(A686),"""",GOOGLETRANSLATE(A686,""en"",""fr""))"),"")</f>
        <v/>
      </c>
    </row>
    <row r="687" spans="2:2">
      <c r="B687" s="3" t="str">
        <f ca="1">IFERROR(__xludf.DUMMYFUNCTION("IF(ISBLANK(A687),"""",GOOGLETRANSLATE(A687,""en"",""fr""))"),"")</f>
        <v/>
      </c>
    </row>
    <row r="688" spans="2:2">
      <c r="B688" s="3" t="str">
        <f ca="1">IFERROR(__xludf.DUMMYFUNCTION("IF(ISBLANK(A688),"""",GOOGLETRANSLATE(A688,""en"",""fr""))"),"")</f>
        <v/>
      </c>
    </row>
    <row r="689" spans="2:2">
      <c r="B689" s="3" t="str">
        <f ca="1">IFERROR(__xludf.DUMMYFUNCTION("IF(ISBLANK(A689),"""",GOOGLETRANSLATE(A689,""en"",""fr""))"),"")</f>
        <v/>
      </c>
    </row>
    <row r="690" spans="2:2">
      <c r="B690" s="3" t="str">
        <f ca="1">IFERROR(__xludf.DUMMYFUNCTION("IF(ISBLANK(A690),"""",GOOGLETRANSLATE(A690,""en"",""fr""))"),"")</f>
        <v/>
      </c>
    </row>
    <row r="691" spans="2:2">
      <c r="B691" s="3" t="str">
        <f ca="1">IFERROR(__xludf.DUMMYFUNCTION("IF(ISBLANK(A691),"""",GOOGLETRANSLATE(A691,""en"",""fr""))"),"")</f>
        <v/>
      </c>
    </row>
    <row r="692" spans="2:2">
      <c r="B692" s="3" t="str">
        <f ca="1">IFERROR(__xludf.DUMMYFUNCTION("IF(ISBLANK(A692),"""",GOOGLETRANSLATE(A692,""en"",""fr""))"),"")</f>
        <v/>
      </c>
    </row>
    <row r="693" spans="2:2">
      <c r="B693" s="3" t="str">
        <f ca="1">IFERROR(__xludf.DUMMYFUNCTION("IF(ISBLANK(A693),"""",GOOGLETRANSLATE(A693,""en"",""fr""))"),"")</f>
        <v/>
      </c>
    </row>
    <row r="694" spans="2:2">
      <c r="B694" s="3" t="str">
        <f ca="1">IFERROR(__xludf.DUMMYFUNCTION("IF(ISBLANK(A694),"""",GOOGLETRANSLATE(A694,""en"",""fr""))"),"")</f>
        <v/>
      </c>
    </row>
    <row r="695" spans="2:2">
      <c r="B695" s="3" t="str">
        <f ca="1">IFERROR(__xludf.DUMMYFUNCTION("IF(ISBLANK(A695),"""",GOOGLETRANSLATE(A695,""en"",""fr""))"),"")</f>
        <v/>
      </c>
    </row>
    <row r="696" spans="2:2">
      <c r="B696" s="3" t="str">
        <f ca="1">IFERROR(__xludf.DUMMYFUNCTION("IF(ISBLANK(A696),"""",GOOGLETRANSLATE(A696,""en"",""fr""))"),"")</f>
        <v/>
      </c>
    </row>
    <row r="697" spans="2:2">
      <c r="B697" s="3" t="str">
        <f ca="1">IFERROR(__xludf.DUMMYFUNCTION("IF(ISBLANK(A697),"""",GOOGLETRANSLATE(A697,""en"",""fr""))"),"")</f>
        <v/>
      </c>
    </row>
    <row r="698" spans="2:2">
      <c r="B698" s="3" t="str">
        <f ca="1">IFERROR(__xludf.DUMMYFUNCTION("IF(ISBLANK(A698),"""",GOOGLETRANSLATE(A698,""en"",""fr""))"),"")</f>
        <v/>
      </c>
    </row>
    <row r="699" spans="2:2">
      <c r="B699" s="3" t="str">
        <f ca="1">IFERROR(__xludf.DUMMYFUNCTION("IF(ISBLANK(A699),"""",GOOGLETRANSLATE(A699,""en"",""fr""))"),"")</f>
        <v/>
      </c>
    </row>
    <row r="700" spans="2:2">
      <c r="B700" s="3" t="str">
        <f ca="1">IFERROR(__xludf.DUMMYFUNCTION("IF(ISBLANK(A700),"""",GOOGLETRANSLATE(A700,""en"",""fr""))"),"")</f>
        <v/>
      </c>
    </row>
    <row r="701" spans="2:2">
      <c r="B701" s="3" t="str">
        <f ca="1">IFERROR(__xludf.DUMMYFUNCTION("IF(ISBLANK(A701),"""",GOOGLETRANSLATE(A701,""en"",""fr""))"),"")</f>
        <v/>
      </c>
    </row>
    <row r="702" spans="2:2">
      <c r="B702" s="3" t="str">
        <f ca="1">IFERROR(__xludf.DUMMYFUNCTION("IF(ISBLANK(A702),"""",GOOGLETRANSLATE(A702,""en"",""fr""))"),"")</f>
        <v/>
      </c>
    </row>
    <row r="703" spans="2:2">
      <c r="B703" s="3" t="str">
        <f ca="1">IFERROR(__xludf.DUMMYFUNCTION("IF(ISBLANK(A703),"""",GOOGLETRANSLATE(A703,""en"",""fr""))"),"")</f>
        <v/>
      </c>
    </row>
    <row r="704" spans="2:2">
      <c r="B704" s="3" t="str">
        <f ca="1">IFERROR(__xludf.DUMMYFUNCTION("IF(ISBLANK(A704),"""",GOOGLETRANSLATE(A704,""en"",""fr""))"),"")</f>
        <v/>
      </c>
    </row>
    <row r="705" spans="2:2">
      <c r="B705" s="3" t="str">
        <f ca="1">IFERROR(__xludf.DUMMYFUNCTION("IF(ISBLANK(A705),"""",GOOGLETRANSLATE(A705,""en"",""fr""))"),"")</f>
        <v/>
      </c>
    </row>
    <row r="706" spans="2:2">
      <c r="B706" s="3" t="str">
        <f ca="1">IFERROR(__xludf.DUMMYFUNCTION("IF(ISBLANK(A706),"""",GOOGLETRANSLATE(A706,""en"",""fr""))"),"")</f>
        <v/>
      </c>
    </row>
    <row r="707" spans="2:2">
      <c r="B707" s="3" t="str">
        <f ca="1">IFERROR(__xludf.DUMMYFUNCTION("IF(ISBLANK(A707),"""",GOOGLETRANSLATE(A707,""en"",""fr""))"),"")</f>
        <v/>
      </c>
    </row>
    <row r="708" spans="2:2">
      <c r="B708" s="3" t="str">
        <f ca="1">IFERROR(__xludf.DUMMYFUNCTION("IF(ISBLANK(A708),"""",GOOGLETRANSLATE(A708,""en"",""fr""))"),"")</f>
        <v/>
      </c>
    </row>
    <row r="709" spans="2:2">
      <c r="B709" s="3" t="str">
        <f ca="1">IFERROR(__xludf.DUMMYFUNCTION("IF(ISBLANK(A709),"""",GOOGLETRANSLATE(A709,""en"",""fr""))"),"")</f>
        <v/>
      </c>
    </row>
    <row r="710" spans="2:2">
      <c r="B710" s="3" t="str">
        <f ca="1">IFERROR(__xludf.DUMMYFUNCTION("IF(ISBLANK(A710),"""",GOOGLETRANSLATE(A710,""en"",""fr""))"),"")</f>
        <v/>
      </c>
    </row>
    <row r="711" spans="2:2">
      <c r="B711" s="3" t="str">
        <f ca="1">IFERROR(__xludf.DUMMYFUNCTION("IF(ISBLANK(A711),"""",GOOGLETRANSLATE(A711,""en"",""fr""))"),"")</f>
        <v/>
      </c>
    </row>
    <row r="712" spans="2:2">
      <c r="B712" s="3" t="str">
        <f ca="1">IFERROR(__xludf.DUMMYFUNCTION("IF(ISBLANK(A712),"""",GOOGLETRANSLATE(A712,""en"",""fr""))"),"")</f>
        <v/>
      </c>
    </row>
    <row r="713" spans="2:2">
      <c r="B713" s="3" t="str">
        <f ca="1">IFERROR(__xludf.DUMMYFUNCTION("IF(ISBLANK(A713),"""",GOOGLETRANSLATE(A713,""en"",""fr""))"),"")</f>
        <v/>
      </c>
    </row>
    <row r="714" spans="2:2">
      <c r="B714" s="3" t="str">
        <f ca="1">IFERROR(__xludf.DUMMYFUNCTION("IF(ISBLANK(A714),"""",GOOGLETRANSLATE(A714,""en"",""fr""))"),"")</f>
        <v/>
      </c>
    </row>
    <row r="715" spans="2:2">
      <c r="B715" s="3" t="str">
        <f ca="1">IFERROR(__xludf.DUMMYFUNCTION("IF(ISBLANK(A715),"""",GOOGLETRANSLATE(A715,""en"",""fr""))"),"")</f>
        <v/>
      </c>
    </row>
    <row r="716" spans="2:2">
      <c r="B716" s="3" t="str">
        <f ca="1">IFERROR(__xludf.DUMMYFUNCTION("IF(ISBLANK(A716),"""",GOOGLETRANSLATE(A716,""en"",""fr""))"),"")</f>
        <v/>
      </c>
    </row>
    <row r="717" spans="2:2">
      <c r="B717" s="3" t="str">
        <f ca="1">IFERROR(__xludf.DUMMYFUNCTION("IF(ISBLANK(A717),"""",GOOGLETRANSLATE(A717,""en"",""fr""))"),"")</f>
        <v/>
      </c>
    </row>
    <row r="718" spans="2:2">
      <c r="B718" s="3" t="str">
        <f ca="1">IFERROR(__xludf.DUMMYFUNCTION("IF(ISBLANK(A718),"""",GOOGLETRANSLATE(A718,""en"",""fr""))"),"")</f>
        <v/>
      </c>
    </row>
    <row r="719" spans="2:2">
      <c r="B719" s="3" t="str">
        <f ca="1">IFERROR(__xludf.DUMMYFUNCTION("IF(ISBLANK(A719),"""",GOOGLETRANSLATE(A719,""en"",""fr""))"),"")</f>
        <v/>
      </c>
    </row>
    <row r="720" spans="2:2">
      <c r="B720" s="3" t="str">
        <f ca="1">IFERROR(__xludf.DUMMYFUNCTION("IF(ISBLANK(A720),"""",GOOGLETRANSLATE(A720,""en"",""fr""))"),"")</f>
        <v/>
      </c>
    </row>
    <row r="721" spans="2:2">
      <c r="B721" s="3" t="str">
        <f ca="1">IFERROR(__xludf.DUMMYFUNCTION("IF(ISBLANK(A721),"""",GOOGLETRANSLATE(A721,""en"",""fr""))"),"")</f>
        <v/>
      </c>
    </row>
    <row r="722" spans="2:2">
      <c r="B722" s="3" t="str">
        <f ca="1">IFERROR(__xludf.DUMMYFUNCTION("IF(ISBLANK(A722),"""",GOOGLETRANSLATE(A722,""en"",""fr""))"),"")</f>
        <v/>
      </c>
    </row>
    <row r="723" spans="2:2">
      <c r="B723" s="3" t="str">
        <f ca="1">IFERROR(__xludf.DUMMYFUNCTION("IF(ISBLANK(A723),"""",GOOGLETRANSLATE(A723,""en"",""fr""))"),"")</f>
        <v/>
      </c>
    </row>
    <row r="724" spans="2:2">
      <c r="B724" s="3" t="str">
        <f ca="1">IFERROR(__xludf.DUMMYFUNCTION("IF(ISBLANK(A724),"""",GOOGLETRANSLATE(A724,""en"",""fr""))"),"")</f>
        <v/>
      </c>
    </row>
    <row r="725" spans="2:2">
      <c r="B725" s="3" t="str">
        <f ca="1">IFERROR(__xludf.DUMMYFUNCTION("IF(ISBLANK(A725),"""",GOOGLETRANSLATE(A725,""en"",""fr""))"),"")</f>
        <v/>
      </c>
    </row>
    <row r="726" spans="2:2">
      <c r="B726" s="3" t="str">
        <f ca="1">IFERROR(__xludf.DUMMYFUNCTION("IF(ISBLANK(A726),"""",GOOGLETRANSLATE(A726,""en"",""fr""))"),"")</f>
        <v/>
      </c>
    </row>
    <row r="727" spans="2:2">
      <c r="B727" s="3" t="str">
        <f ca="1">IFERROR(__xludf.DUMMYFUNCTION("IF(ISBLANK(A727),"""",GOOGLETRANSLATE(A727,""en"",""fr""))"),"")</f>
        <v/>
      </c>
    </row>
    <row r="728" spans="2:2">
      <c r="B728" s="3" t="str">
        <f ca="1">IFERROR(__xludf.DUMMYFUNCTION("IF(ISBLANK(A728),"""",GOOGLETRANSLATE(A728,""en"",""fr""))"),"")</f>
        <v/>
      </c>
    </row>
    <row r="729" spans="2:2">
      <c r="B729" s="3" t="str">
        <f ca="1">IFERROR(__xludf.DUMMYFUNCTION("IF(ISBLANK(A729),"""",GOOGLETRANSLATE(A729,""en"",""fr""))"),"")</f>
        <v/>
      </c>
    </row>
    <row r="730" spans="2:2">
      <c r="B730" s="3" t="str">
        <f ca="1">IFERROR(__xludf.DUMMYFUNCTION("IF(ISBLANK(A730),"""",GOOGLETRANSLATE(A730,""en"",""fr""))"),"")</f>
        <v/>
      </c>
    </row>
    <row r="731" spans="2:2">
      <c r="B731" s="3" t="str">
        <f ca="1">IFERROR(__xludf.DUMMYFUNCTION("IF(ISBLANK(A731),"""",GOOGLETRANSLATE(A731,""en"",""fr""))"),"")</f>
        <v/>
      </c>
    </row>
    <row r="732" spans="2:2">
      <c r="B732" s="3" t="str">
        <f ca="1">IFERROR(__xludf.DUMMYFUNCTION("IF(ISBLANK(A732),"""",GOOGLETRANSLATE(A732,""en"",""fr""))"),"")</f>
        <v/>
      </c>
    </row>
    <row r="733" spans="2:2">
      <c r="B733" s="3" t="str">
        <f ca="1">IFERROR(__xludf.DUMMYFUNCTION("IF(ISBLANK(A733),"""",GOOGLETRANSLATE(A733,""en"",""fr""))"),"")</f>
        <v/>
      </c>
    </row>
    <row r="734" spans="2:2">
      <c r="B734" s="3" t="str">
        <f ca="1">IFERROR(__xludf.DUMMYFUNCTION("IF(ISBLANK(A734),"""",GOOGLETRANSLATE(A734,""en"",""fr""))"),"")</f>
        <v/>
      </c>
    </row>
    <row r="735" spans="2:2">
      <c r="B735" s="3" t="str">
        <f ca="1">IFERROR(__xludf.DUMMYFUNCTION("IF(ISBLANK(A735),"""",GOOGLETRANSLATE(A735,""en"",""fr""))"),"")</f>
        <v/>
      </c>
    </row>
    <row r="736" spans="2:2">
      <c r="B736" s="3" t="str">
        <f ca="1">IFERROR(__xludf.DUMMYFUNCTION("IF(ISBLANK(A736),"""",GOOGLETRANSLATE(A736,""en"",""fr""))"),"")</f>
        <v/>
      </c>
    </row>
    <row r="737" spans="2:2">
      <c r="B737" s="3" t="str">
        <f ca="1">IFERROR(__xludf.DUMMYFUNCTION("IF(ISBLANK(A737),"""",GOOGLETRANSLATE(A737,""en"",""fr""))"),"")</f>
        <v/>
      </c>
    </row>
    <row r="738" spans="2:2">
      <c r="B738" s="3" t="str">
        <f ca="1">IFERROR(__xludf.DUMMYFUNCTION("IF(ISBLANK(A738),"""",GOOGLETRANSLATE(A738,""en"",""fr""))"),"")</f>
        <v/>
      </c>
    </row>
    <row r="739" spans="2:2">
      <c r="B739" s="3" t="str">
        <f ca="1">IFERROR(__xludf.DUMMYFUNCTION("IF(ISBLANK(A739),"""",GOOGLETRANSLATE(A739,""en"",""fr""))"),"")</f>
        <v/>
      </c>
    </row>
    <row r="740" spans="2:2">
      <c r="B740" s="3" t="str">
        <f ca="1">IFERROR(__xludf.DUMMYFUNCTION("IF(ISBLANK(A740),"""",GOOGLETRANSLATE(A740,""en"",""fr""))"),"")</f>
        <v/>
      </c>
    </row>
    <row r="741" spans="2:2">
      <c r="B741" s="3" t="str">
        <f ca="1">IFERROR(__xludf.DUMMYFUNCTION("IF(ISBLANK(A741),"""",GOOGLETRANSLATE(A741,""en"",""fr""))"),"")</f>
        <v/>
      </c>
    </row>
    <row r="742" spans="2:2">
      <c r="B742" s="3" t="str">
        <f ca="1">IFERROR(__xludf.DUMMYFUNCTION("IF(ISBLANK(A742),"""",GOOGLETRANSLATE(A742,""en"",""fr""))"),"")</f>
        <v/>
      </c>
    </row>
    <row r="743" spans="2:2">
      <c r="B743" s="3" t="str">
        <f ca="1">IFERROR(__xludf.DUMMYFUNCTION("IF(ISBLANK(A743),"""",GOOGLETRANSLATE(A743,""en"",""fr""))"),"")</f>
        <v/>
      </c>
    </row>
    <row r="744" spans="2:2">
      <c r="B744" s="3" t="str">
        <f ca="1">IFERROR(__xludf.DUMMYFUNCTION("IF(ISBLANK(A744),"""",GOOGLETRANSLATE(A744,""en"",""fr""))"),"")</f>
        <v/>
      </c>
    </row>
    <row r="745" spans="2:2">
      <c r="B745" s="3" t="str">
        <f ca="1">IFERROR(__xludf.DUMMYFUNCTION("IF(ISBLANK(A745),"""",GOOGLETRANSLATE(A745,""en"",""fr""))"),"")</f>
        <v/>
      </c>
    </row>
    <row r="746" spans="2:2">
      <c r="B746" s="3" t="str">
        <f ca="1">IFERROR(__xludf.DUMMYFUNCTION("IF(ISBLANK(A746),"""",GOOGLETRANSLATE(A746,""en"",""fr""))"),"")</f>
        <v/>
      </c>
    </row>
    <row r="747" spans="2:2">
      <c r="B747" s="3" t="str">
        <f ca="1">IFERROR(__xludf.DUMMYFUNCTION("IF(ISBLANK(A747),"""",GOOGLETRANSLATE(A747,""en"",""fr""))"),"")</f>
        <v/>
      </c>
    </row>
    <row r="748" spans="2:2">
      <c r="B748" s="3" t="str">
        <f ca="1">IFERROR(__xludf.DUMMYFUNCTION("IF(ISBLANK(A748),"""",GOOGLETRANSLATE(A748,""en"",""fr""))"),"")</f>
        <v/>
      </c>
    </row>
    <row r="749" spans="2:2">
      <c r="B749" s="3" t="str">
        <f ca="1">IFERROR(__xludf.DUMMYFUNCTION("IF(ISBLANK(A749),"""",GOOGLETRANSLATE(A749,""en"",""fr""))"),"")</f>
        <v/>
      </c>
    </row>
    <row r="750" spans="2:2">
      <c r="B750" s="3" t="str">
        <f ca="1">IFERROR(__xludf.DUMMYFUNCTION("IF(ISBLANK(A750),"""",GOOGLETRANSLATE(A750,""en"",""fr""))"),"")</f>
        <v/>
      </c>
    </row>
    <row r="751" spans="2:2">
      <c r="B751" s="3" t="str">
        <f ca="1">IFERROR(__xludf.DUMMYFUNCTION("IF(ISBLANK(A751),"""",GOOGLETRANSLATE(A751,""en"",""fr""))"),"")</f>
        <v/>
      </c>
    </row>
    <row r="752" spans="2:2">
      <c r="B752" s="3" t="str">
        <f ca="1">IFERROR(__xludf.DUMMYFUNCTION("IF(ISBLANK(A752),"""",GOOGLETRANSLATE(A752,""en"",""fr""))"),"")</f>
        <v/>
      </c>
    </row>
    <row r="753" spans="2:2">
      <c r="B753" s="3" t="str">
        <f ca="1">IFERROR(__xludf.DUMMYFUNCTION("IF(ISBLANK(A753),"""",GOOGLETRANSLATE(A753,""en"",""fr""))"),"")</f>
        <v/>
      </c>
    </row>
    <row r="754" spans="2:2">
      <c r="B754" s="3" t="str">
        <f ca="1">IFERROR(__xludf.DUMMYFUNCTION("IF(ISBLANK(A754),"""",GOOGLETRANSLATE(A754,""en"",""fr""))"),"")</f>
        <v/>
      </c>
    </row>
    <row r="755" spans="2:2">
      <c r="B755" s="3" t="str">
        <f ca="1">IFERROR(__xludf.DUMMYFUNCTION("IF(ISBLANK(A755),"""",GOOGLETRANSLATE(A755,""en"",""fr""))"),"")</f>
        <v/>
      </c>
    </row>
    <row r="756" spans="2:2">
      <c r="B756" s="3" t="str">
        <f ca="1">IFERROR(__xludf.DUMMYFUNCTION("IF(ISBLANK(A756),"""",GOOGLETRANSLATE(A756,""en"",""fr""))"),"")</f>
        <v/>
      </c>
    </row>
    <row r="757" spans="2:2">
      <c r="B757" s="3" t="str">
        <f ca="1">IFERROR(__xludf.DUMMYFUNCTION("IF(ISBLANK(A757),"""",GOOGLETRANSLATE(A757,""en"",""fr""))"),"")</f>
        <v/>
      </c>
    </row>
    <row r="758" spans="2:2">
      <c r="B758" s="3" t="str">
        <f ca="1">IFERROR(__xludf.DUMMYFUNCTION("IF(ISBLANK(A758),"""",GOOGLETRANSLATE(A758,""en"",""fr""))"),"")</f>
        <v/>
      </c>
    </row>
    <row r="759" spans="2:2">
      <c r="B759" s="3" t="str">
        <f ca="1">IFERROR(__xludf.DUMMYFUNCTION("IF(ISBLANK(A759),"""",GOOGLETRANSLATE(A759,""en"",""fr""))"),"")</f>
        <v/>
      </c>
    </row>
    <row r="760" spans="2:2">
      <c r="B760" s="3" t="str">
        <f ca="1">IFERROR(__xludf.DUMMYFUNCTION("IF(ISBLANK(A760),"""",GOOGLETRANSLATE(A760,""en"",""fr""))"),"")</f>
        <v/>
      </c>
    </row>
    <row r="761" spans="2:2">
      <c r="B761" s="3" t="str">
        <f ca="1">IFERROR(__xludf.DUMMYFUNCTION("IF(ISBLANK(A761),"""",GOOGLETRANSLATE(A761,""en"",""fr""))"),"")</f>
        <v/>
      </c>
    </row>
    <row r="762" spans="2:2">
      <c r="B762" s="3" t="str">
        <f ca="1">IFERROR(__xludf.DUMMYFUNCTION("IF(ISBLANK(A762),"""",GOOGLETRANSLATE(A762,""en"",""fr""))"),"")</f>
        <v/>
      </c>
    </row>
    <row r="763" spans="2:2">
      <c r="B763" s="3" t="str">
        <f ca="1">IFERROR(__xludf.DUMMYFUNCTION("IF(ISBLANK(A763),"""",GOOGLETRANSLATE(A763,""en"",""fr""))"),"")</f>
        <v/>
      </c>
    </row>
    <row r="764" spans="2:2">
      <c r="B764" s="3" t="str">
        <f ca="1">IFERROR(__xludf.DUMMYFUNCTION("IF(ISBLANK(A764),"""",GOOGLETRANSLATE(A764,""en"",""fr""))"),"")</f>
        <v/>
      </c>
    </row>
    <row r="765" spans="2:2">
      <c r="B765" s="3" t="str">
        <f ca="1">IFERROR(__xludf.DUMMYFUNCTION("IF(ISBLANK(A765),"""",GOOGLETRANSLATE(A765,""en"",""fr""))"),"")</f>
        <v/>
      </c>
    </row>
    <row r="766" spans="2:2">
      <c r="B766" s="3" t="str">
        <f ca="1">IFERROR(__xludf.DUMMYFUNCTION("IF(ISBLANK(A766),"""",GOOGLETRANSLATE(A766,""en"",""fr""))"),"")</f>
        <v/>
      </c>
    </row>
    <row r="767" spans="2:2">
      <c r="B767" s="3" t="str">
        <f ca="1">IFERROR(__xludf.DUMMYFUNCTION("IF(ISBLANK(A767),"""",GOOGLETRANSLATE(A767,""en"",""fr""))"),"")</f>
        <v/>
      </c>
    </row>
    <row r="768" spans="2:2">
      <c r="B768" s="3" t="str">
        <f ca="1">IFERROR(__xludf.DUMMYFUNCTION("IF(ISBLANK(A768),"""",GOOGLETRANSLATE(A768,""en"",""fr""))"),"")</f>
        <v/>
      </c>
    </row>
    <row r="769" spans="2:2">
      <c r="B769" s="3" t="str">
        <f ca="1">IFERROR(__xludf.DUMMYFUNCTION("IF(ISBLANK(A769),"""",GOOGLETRANSLATE(A769,""en"",""fr""))"),"")</f>
        <v/>
      </c>
    </row>
    <row r="770" spans="2:2">
      <c r="B770" s="3" t="str">
        <f ca="1">IFERROR(__xludf.DUMMYFUNCTION("IF(ISBLANK(A770),"""",GOOGLETRANSLATE(A770,""en"",""fr""))"),"")</f>
        <v/>
      </c>
    </row>
    <row r="771" spans="2:2">
      <c r="B771" s="3" t="str">
        <f ca="1">IFERROR(__xludf.DUMMYFUNCTION("IF(ISBLANK(A771),"""",GOOGLETRANSLATE(A771,""en"",""fr""))"),"")</f>
        <v/>
      </c>
    </row>
    <row r="772" spans="2:2">
      <c r="B772" s="3" t="str">
        <f ca="1">IFERROR(__xludf.DUMMYFUNCTION("IF(ISBLANK(A772),"""",GOOGLETRANSLATE(A772,""en"",""fr""))"),"")</f>
        <v/>
      </c>
    </row>
    <row r="773" spans="2:2">
      <c r="B773" s="3" t="str">
        <f ca="1">IFERROR(__xludf.DUMMYFUNCTION("IF(ISBLANK(A773),"""",GOOGLETRANSLATE(A773,""en"",""fr""))"),"")</f>
        <v/>
      </c>
    </row>
    <row r="774" spans="2:2">
      <c r="B774" s="3" t="str">
        <f ca="1">IFERROR(__xludf.DUMMYFUNCTION("IF(ISBLANK(A774),"""",GOOGLETRANSLATE(A774,""en"",""fr""))"),"")</f>
        <v/>
      </c>
    </row>
    <row r="775" spans="2:2">
      <c r="B775" s="3" t="str">
        <f ca="1">IFERROR(__xludf.DUMMYFUNCTION("IF(ISBLANK(A775),"""",GOOGLETRANSLATE(A775,""en"",""fr""))"),"")</f>
        <v/>
      </c>
    </row>
    <row r="776" spans="2:2">
      <c r="B776" s="3" t="str">
        <f ca="1">IFERROR(__xludf.DUMMYFUNCTION("IF(ISBLANK(A776),"""",GOOGLETRANSLATE(A776,""en"",""fr""))"),"")</f>
        <v/>
      </c>
    </row>
    <row r="777" spans="2:2">
      <c r="B777" s="3" t="str">
        <f ca="1">IFERROR(__xludf.DUMMYFUNCTION("IF(ISBLANK(A777),"""",GOOGLETRANSLATE(A777,""en"",""fr""))"),"")</f>
        <v/>
      </c>
    </row>
    <row r="778" spans="2:2">
      <c r="B778" s="3" t="str">
        <f ca="1">IFERROR(__xludf.DUMMYFUNCTION("IF(ISBLANK(A778),"""",GOOGLETRANSLATE(A778,""en"",""fr""))"),"")</f>
        <v/>
      </c>
    </row>
    <row r="779" spans="2:2">
      <c r="B779" s="3" t="str">
        <f ca="1">IFERROR(__xludf.DUMMYFUNCTION("IF(ISBLANK(A779),"""",GOOGLETRANSLATE(A779,""en"",""fr""))"),"")</f>
        <v/>
      </c>
    </row>
    <row r="780" spans="2:2">
      <c r="B780" s="3" t="str">
        <f ca="1">IFERROR(__xludf.DUMMYFUNCTION("IF(ISBLANK(A780),"""",GOOGLETRANSLATE(A780,""en"",""fr""))"),"")</f>
        <v/>
      </c>
    </row>
    <row r="781" spans="2:2">
      <c r="B781" s="3" t="str">
        <f ca="1">IFERROR(__xludf.DUMMYFUNCTION("IF(ISBLANK(A781),"""",GOOGLETRANSLATE(A781,""en"",""fr""))"),"")</f>
        <v/>
      </c>
    </row>
    <row r="782" spans="2:2">
      <c r="B782" s="3" t="str">
        <f ca="1">IFERROR(__xludf.DUMMYFUNCTION("IF(ISBLANK(A782),"""",GOOGLETRANSLATE(A782,""en"",""fr""))"),"")</f>
        <v/>
      </c>
    </row>
    <row r="783" spans="2:2">
      <c r="B783" s="3" t="str">
        <f ca="1">IFERROR(__xludf.DUMMYFUNCTION("IF(ISBLANK(A783),"""",GOOGLETRANSLATE(A783,""en"",""fr""))"),"")</f>
        <v/>
      </c>
    </row>
    <row r="784" spans="2:2">
      <c r="B784" s="3" t="str">
        <f ca="1">IFERROR(__xludf.DUMMYFUNCTION("IF(ISBLANK(A784),"""",GOOGLETRANSLATE(A784,""en"",""fr""))"),"")</f>
        <v/>
      </c>
    </row>
    <row r="785" spans="2:2">
      <c r="B785" s="3" t="str">
        <f ca="1">IFERROR(__xludf.DUMMYFUNCTION("IF(ISBLANK(A785),"""",GOOGLETRANSLATE(A785,""en"",""fr""))"),"")</f>
        <v/>
      </c>
    </row>
    <row r="786" spans="2:2">
      <c r="B786" s="3" t="str">
        <f ca="1">IFERROR(__xludf.DUMMYFUNCTION("IF(ISBLANK(A786),"""",GOOGLETRANSLATE(A786,""en"",""fr""))"),"")</f>
        <v/>
      </c>
    </row>
    <row r="787" spans="2:2">
      <c r="B787" s="3" t="str">
        <f ca="1">IFERROR(__xludf.DUMMYFUNCTION("IF(ISBLANK(A787),"""",GOOGLETRANSLATE(A787,""en"",""fr""))"),"")</f>
        <v/>
      </c>
    </row>
    <row r="788" spans="2:2">
      <c r="B788" s="3" t="str">
        <f ca="1">IFERROR(__xludf.DUMMYFUNCTION("IF(ISBLANK(A788),"""",GOOGLETRANSLATE(A788,""en"",""fr""))"),"")</f>
        <v/>
      </c>
    </row>
    <row r="789" spans="2:2">
      <c r="B789" s="3" t="str">
        <f ca="1">IFERROR(__xludf.DUMMYFUNCTION("IF(ISBLANK(A789),"""",GOOGLETRANSLATE(A789,""en"",""fr""))"),"")</f>
        <v/>
      </c>
    </row>
    <row r="790" spans="2:2">
      <c r="B790" s="3" t="str">
        <f ca="1">IFERROR(__xludf.DUMMYFUNCTION("IF(ISBLANK(A790),"""",GOOGLETRANSLATE(A790,""en"",""fr""))"),"")</f>
        <v/>
      </c>
    </row>
    <row r="791" spans="2:2">
      <c r="B791" s="3" t="str">
        <f ca="1">IFERROR(__xludf.DUMMYFUNCTION("IF(ISBLANK(A791),"""",GOOGLETRANSLATE(A791,""en"",""fr""))"),"")</f>
        <v/>
      </c>
    </row>
    <row r="792" spans="2:2">
      <c r="B792" s="3" t="str">
        <f ca="1">IFERROR(__xludf.DUMMYFUNCTION("IF(ISBLANK(A792),"""",GOOGLETRANSLATE(A792,""en"",""fr""))"),"")</f>
        <v/>
      </c>
    </row>
    <row r="793" spans="2:2">
      <c r="B793" s="3" t="str">
        <f ca="1">IFERROR(__xludf.DUMMYFUNCTION("IF(ISBLANK(A793),"""",GOOGLETRANSLATE(A793,""en"",""fr""))"),"")</f>
        <v/>
      </c>
    </row>
    <row r="794" spans="2:2">
      <c r="B794" s="3" t="str">
        <f ca="1">IFERROR(__xludf.DUMMYFUNCTION("IF(ISBLANK(A794),"""",GOOGLETRANSLATE(A794,""en"",""fr""))"),"")</f>
        <v/>
      </c>
    </row>
    <row r="795" spans="2:2">
      <c r="B795" s="3" t="str">
        <f ca="1">IFERROR(__xludf.DUMMYFUNCTION("IF(ISBLANK(A795),"""",GOOGLETRANSLATE(A795,""en"",""fr""))"),"")</f>
        <v/>
      </c>
    </row>
    <row r="796" spans="2:2">
      <c r="B796" s="3" t="str">
        <f ca="1">IFERROR(__xludf.DUMMYFUNCTION("IF(ISBLANK(A796),"""",GOOGLETRANSLATE(A796,""en"",""fr""))"),"")</f>
        <v/>
      </c>
    </row>
    <row r="797" spans="2:2">
      <c r="B797" s="3" t="str">
        <f ca="1">IFERROR(__xludf.DUMMYFUNCTION("IF(ISBLANK(A797),"""",GOOGLETRANSLATE(A797,""en"",""fr""))"),"")</f>
        <v/>
      </c>
    </row>
    <row r="798" spans="2:2">
      <c r="B798" s="3" t="str">
        <f ca="1">IFERROR(__xludf.DUMMYFUNCTION("IF(ISBLANK(A798),"""",GOOGLETRANSLATE(A798,""en"",""fr""))"),"")</f>
        <v/>
      </c>
    </row>
    <row r="799" spans="2:2">
      <c r="B799" s="3" t="str">
        <f ca="1">IFERROR(__xludf.DUMMYFUNCTION("IF(ISBLANK(A799),"""",GOOGLETRANSLATE(A799,""en"",""fr""))"),"")</f>
        <v/>
      </c>
    </row>
    <row r="800" spans="2:2">
      <c r="B800" s="3" t="str">
        <f ca="1">IFERROR(__xludf.DUMMYFUNCTION("IF(ISBLANK(A800),"""",GOOGLETRANSLATE(A800,""en"",""fr""))"),"")</f>
        <v/>
      </c>
    </row>
    <row r="801" spans="2:2">
      <c r="B801" s="3" t="str">
        <f ca="1">IFERROR(__xludf.DUMMYFUNCTION("IF(ISBLANK(A801),"""",GOOGLETRANSLATE(A801,""en"",""fr""))"),"")</f>
        <v/>
      </c>
    </row>
    <row r="802" spans="2:2">
      <c r="B802" s="3" t="str">
        <f ca="1">IFERROR(__xludf.DUMMYFUNCTION("IF(ISBLANK(A802),"""",GOOGLETRANSLATE(A802,""en"",""fr""))"),"")</f>
        <v/>
      </c>
    </row>
    <row r="803" spans="2:2">
      <c r="B803" s="3" t="str">
        <f ca="1">IFERROR(__xludf.DUMMYFUNCTION("IF(ISBLANK(A803),"""",GOOGLETRANSLATE(A803,""en"",""fr""))"),"")</f>
        <v/>
      </c>
    </row>
    <row r="804" spans="2:2">
      <c r="B804" s="3" t="str">
        <f ca="1">IFERROR(__xludf.DUMMYFUNCTION("IF(ISBLANK(A804),"""",GOOGLETRANSLATE(A804,""en"",""fr""))"),"")</f>
        <v/>
      </c>
    </row>
    <row r="805" spans="2:2">
      <c r="B805" s="3" t="str">
        <f ca="1">IFERROR(__xludf.DUMMYFUNCTION("IF(ISBLANK(A805),"""",GOOGLETRANSLATE(A805,""en"",""fr""))"),"")</f>
        <v/>
      </c>
    </row>
    <row r="806" spans="2:2">
      <c r="B806" s="3" t="str">
        <f ca="1">IFERROR(__xludf.DUMMYFUNCTION("IF(ISBLANK(A806),"""",GOOGLETRANSLATE(A806,""en"",""fr""))"),"")</f>
        <v/>
      </c>
    </row>
    <row r="807" spans="2:2">
      <c r="B807" s="3" t="str">
        <f ca="1">IFERROR(__xludf.DUMMYFUNCTION("IF(ISBLANK(A807),"""",GOOGLETRANSLATE(A807,""en"",""fr""))"),"")</f>
        <v/>
      </c>
    </row>
    <row r="808" spans="2:2">
      <c r="B808" s="3" t="str">
        <f ca="1">IFERROR(__xludf.DUMMYFUNCTION("IF(ISBLANK(A808),"""",GOOGLETRANSLATE(A808,""en"",""fr""))"),"")</f>
        <v/>
      </c>
    </row>
    <row r="809" spans="2:2">
      <c r="B809" s="3" t="str">
        <f ca="1">IFERROR(__xludf.DUMMYFUNCTION("IF(ISBLANK(A809),"""",GOOGLETRANSLATE(A809,""en"",""fr""))"),"")</f>
        <v/>
      </c>
    </row>
    <row r="810" spans="2:2">
      <c r="B810" s="3" t="str">
        <f ca="1">IFERROR(__xludf.DUMMYFUNCTION("IF(ISBLANK(A810),"""",GOOGLETRANSLATE(A810,""en"",""fr""))"),"")</f>
        <v/>
      </c>
    </row>
    <row r="811" spans="2:2">
      <c r="B811" s="3" t="str">
        <f ca="1">IFERROR(__xludf.DUMMYFUNCTION("IF(ISBLANK(A811),"""",GOOGLETRANSLATE(A811,""en"",""fr""))"),"")</f>
        <v/>
      </c>
    </row>
    <row r="812" spans="2:2">
      <c r="B812" s="3" t="str">
        <f ca="1">IFERROR(__xludf.DUMMYFUNCTION("IF(ISBLANK(A812),"""",GOOGLETRANSLATE(A812,""en"",""fr""))"),"")</f>
        <v/>
      </c>
    </row>
    <row r="813" spans="2:2">
      <c r="B813" s="3" t="str">
        <f ca="1">IFERROR(__xludf.DUMMYFUNCTION("IF(ISBLANK(A813),"""",GOOGLETRANSLATE(A813,""en"",""fr""))"),"")</f>
        <v/>
      </c>
    </row>
    <row r="814" spans="2:2">
      <c r="B814" s="3" t="str">
        <f ca="1">IFERROR(__xludf.DUMMYFUNCTION("IF(ISBLANK(A814),"""",GOOGLETRANSLATE(A814,""en"",""fr""))"),"")</f>
        <v/>
      </c>
    </row>
    <row r="815" spans="2:2">
      <c r="B815" s="3" t="str">
        <f ca="1">IFERROR(__xludf.DUMMYFUNCTION("IF(ISBLANK(A815),"""",GOOGLETRANSLATE(A815,""en"",""fr""))"),"")</f>
        <v/>
      </c>
    </row>
    <row r="816" spans="2:2">
      <c r="B816" s="3" t="str">
        <f ca="1">IFERROR(__xludf.DUMMYFUNCTION("IF(ISBLANK(A816),"""",GOOGLETRANSLATE(A816,""en"",""fr""))"),"")</f>
        <v/>
      </c>
    </row>
    <row r="817" spans="2:2">
      <c r="B817" s="3" t="str">
        <f ca="1">IFERROR(__xludf.DUMMYFUNCTION("IF(ISBLANK(A817),"""",GOOGLETRANSLATE(A817,""en"",""fr""))"),"")</f>
        <v/>
      </c>
    </row>
    <row r="818" spans="2:2">
      <c r="B818" s="3" t="str">
        <f ca="1">IFERROR(__xludf.DUMMYFUNCTION("IF(ISBLANK(A818),"""",GOOGLETRANSLATE(A818,""en"",""fr""))"),"")</f>
        <v/>
      </c>
    </row>
    <row r="819" spans="2:2">
      <c r="B819" s="3" t="str">
        <f ca="1">IFERROR(__xludf.DUMMYFUNCTION("IF(ISBLANK(A819),"""",GOOGLETRANSLATE(A819,""en"",""fr""))"),"")</f>
        <v/>
      </c>
    </row>
    <row r="820" spans="2:2">
      <c r="B820" s="3" t="str">
        <f ca="1">IFERROR(__xludf.DUMMYFUNCTION("IF(ISBLANK(A820),"""",GOOGLETRANSLATE(A820,""en"",""fr""))"),"")</f>
        <v/>
      </c>
    </row>
    <row r="821" spans="2:2">
      <c r="B821" s="3" t="str">
        <f ca="1">IFERROR(__xludf.DUMMYFUNCTION("IF(ISBLANK(A821),"""",GOOGLETRANSLATE(A821,""en"",""fr""))"),"")</f>
        <v/>
      </c>
    </row>
    <row r="822" spans="2:2">
      <c r="B822" s="3" t="str">
        <f ca="1">IFERROR(__xludf.DUMMYFUNCTION("IF(ISBLANK(A822),"""",GOOGLETRANSLATE(A822,""en"",""fr""))"),"")</f>
        <v/>
      </c>
    </row>
    <row r="823" spans="2:2">
      <c r="B823" s="3" t="str">
        <f ca="1">IFERROR(__xludf.DUMMYFUNCTION("IF(ISBLANK(A823),"""",GOOGLETRANSLATE(A823,""en"",""fr""))"),"")</f>
        <v/>
      </c>
    </row>
    <row r="824" spans="2:2">
      <c r="B824" s="3" t="str">
        <f ca="1">IFERROR(__xludf.DUMMYFUNCTION("IF(ISBLANK(A824),"""",GOOGLETRANSLATE(A824,""en"",""fr""))"),"")</f>
        <v/>
      </c>
    </row>
    <row r="825" spans="2:2">
      <c r="B825" s="3" t="str">
        <f ca="1">IFERROR(__xludf.DUMMYFUNCTION("IF(ISBLANK(A825),"""",GOOGLETRANSLATE(A825,""en"",""fr""))"),"")</f>
        <v/>
      </c>
    </row>
    <row r="826" spans="2:2">
      <c r="B826" s="3" t="str">
        <f ca="1">IFERROR(__xludf.DUMMYFUNCTION("IF(ISBLANK(A826),"""",GOOGLETRANSLATE(A826,""en"",""fr""))"),"")</f>
        <v/>
      </c>
    </row>
    <row r="827" spans="2:2">
      <c r="B827" s="3" t="str">
        <f ca="1">IFERROR(__xludf.DUMMYFUNCTION("IF(ISBLANK(A827),"""",GOOGLETRANSLATE(A827,""en"",""fr""))"),"")</f>
        <v/>
      </c>
    </row>
    <row r="828" spans="2:2">
      <c r="B828" s="3" t="str">
        <f ca="1">IFERROR(__xludf.DUMMYFUNCTION("IF(ISBLANK(A828),"""",GOOGLETRANSLATE(A828,""en"",""fr""))"),"")</f>
        <v/>
      </c>
    </row>
    <row r="829" spans="2:2">
      <c r="B829" s="3" t="str">
        <f ca="1">IFERROR(__xludf.DUMMYFUNCTION("IF(ISBLANK(A829),"""",GOOGLETRANSLATE(A829,""en"",""fr""))"),"")</f>
        <v/>
      </c>
    </row>
    <row r="830" spans="2:2">
      <c r="B830" s="3" t="str">
        <f ca="1">IFERROR(__xludf.DUMMYFUNCTION("IF(ISBLANK(A830),"""",GOOGLETRANSLATE(A830,""en"",""fr""))"),"")</f>
        <v/>
      </c>
    </row>
    <row r="831" spans="2:2">
      <c r="B831" s="3" t="str">
        <f ca="1">IFERROR(__xludf.DUMMYFUNCTION("IF(ISBLANK(A831),"""",GOOGLETRANSLATE(A831,""en"",""fr""))"),"")</f>
        <v/>
      </c>
    </row>
    <row r="832" spans="2:2">
      <c r="B832" s="3" t="str">
        <f ca="1">IFERROR(__xludf.DUMMYFUNCTION("IF(ISBLANK(A832),"""",GOOGLETRANSLATE(A832,""en"",""fr""))"),"")</f>
        <v/>
      </c>
    </row>
    <row r="833" spans="2:2">
      <c r="B833" s="3" t="str">
        <f ca="1">IFERROR(__xludf.DUMMYFUNCTION("IF(ISBLANK(A833),"""",GOOGLETRANSLATE(A833,""en"",""fr""))"),"")</f>
        <v/>
      </c>
    </row>
    <row r="834" spans="2:2">
      <c r="B834" s="3" t="str">
        <f ca="1">IFERROR(__xludf.DUMMYFUNCTION("IF(ISBLANK(A834),"""",GOOGLETRANSLATE(A834,""en"",""fr""))"),"")</f>
        <v/>
      </c>
    </row>
    <row r="835" spans="2:2">
      <c r="B835" s="3" t="str">
        <f ca="1">IFERROR(__xludf.DUMMYFUNCTION("IF(ISBLANK(A835),"""",GOOGLETRANSLATE(A835,""en"",""fr""))"),"")</f>
        <v/>
      </c>
    </row>
    <row r="836" spans="2:2">
      <c r="B836" s="3" t="str">
        <f ca="1">IFERROR(__xludf.DUMMYFUNCTION("IF(ISBLANK(A836),"""",GOOGLETRANSLATE(A836,""en"",""fr""))"),"")</f>
        <v/>
      </c>
    </row>
    <row r="837" spans="2:2">
      <c r="B837" s="3" t="str">
        <f ca="1">IFERROR(__xludf.DUMMYFUNCTION("IF(ISBLANK(A837),"""",GOOGLETRANSLATE(A837,""en"",""fr""))"),"")</f>
        <v/>
      </c>
    </row>
    <row r="838" spans="2:2">
      <c r="B838" s="3" t="str">
        <f ca="1">IFERROR(__xludf.DUMMYFUNCTION("IF(ISBLANK(A838),"""",GOOGLETRANSLATE(A838,""en"",""fr""))"),"")</f>
        <v/>
      </c>
    </row>
    <row r="839" spans="2:2">
      <c r="B839" s="3" t="str">
        <f ca="1">IFERROR(__xludf.DUMMYFUNCTION("IF(ISBLANK(A839),"""",GOOGLETRANSLATE(A839,""en"",""fr""))"),"")</f>
        <v/>
      </c>
    </row>
    <row r="840" spans="2:2">
      <c r="B840" s="3" t="str">
        <f ca="1">IFERROR(__xludf.DUMMYFUNCTION("IF(ISBLANK(A840),"""",GOOGLETRANSLATE(A840,""en"",""fr""))"),"")</f>
        <v/>
      </c>
    </row>
    <row r="841" spans="2:2">
      <c r="B841" s="3" t="str">
        <f ca="1">IFERROR(__xludf.DUMMYFUNCTION("IF(ISBLANK(A841),"""",GOOGLETRANSLATE(A841,""en"",""fr""))"),"")</f>
        <v/>
      </c>
    </row>
    <row r="842" spans="2:2">
      <c r="B842" s="3" t="str">
        <f ca="1">IFERROR(__xludf.DUMMYFUNCTION("IF(ISBLANK(A842),"""",GOOGLETRANSLATE(A842,""en"",""fr""))"),"")</f>
        <v/>
      </c>
    </row>
    <row r="843" spans="2:2">
      <c r="B843" s="3" t="str">
        <f ca="1">IFERROR(__xludf.DUMMYFUNCTION("IF(ISBLANK(A843),"""",GOOGLETRANSLATE(A843,""en"",""fr""))"),"")</f>
        <v/>
      </c>
    </row>
    <row r="844" spans="2:2">
      <c r="B844" s="3" t="str">
        <f ca="1">IFERROR(__xludf.DUMMYFUNCTION("IF(ISBLANK(A844),"""",GOOGLETRANSLATE(A844,""en"",""fr""))"),"")</f>
        <v/>
      </c>
    </row>
    <row r="845" spans="2:2">
      <c r="B845" s="3" t="str">
        <f ca="1">IFERROR(__xludf.DUMMYFUNCTION("IF(ISBLANK(A845),"""",GOOGLETRANSLATE(A845,""en"",""fr""))"),"")</f>
        <v/>
      </c>
    </row>
    <row r="846" spans="2:2">
      <c r="B846" s="3" t="str">
        <f ca="1">IFERROR(__xludf.DUMMYFUNCTION("IF(ISBLANK(A846),"""",GOOGLETRANSLATE(A846,""en"",""fr""))"),"")</f>
        <v/>
      </c>
    </row>
    <row r="847" spans="2:2">
      <c r="B847" s="3" t="str">
        <f ca="1">IFERROR(__xludf.DUMMYFUNCTION("IF(ISBLANK(A847),"""",GOOGLETRANSLATE(A847,""en"",""fr""))"),"")</f>
        <v/>
      </c>
    </row>
    <row r="848" spans="2:2">
      <c r="B848" s="3" t="str">
        <f ca="1">IFERROR(__xludf.DUMMYFUNCTION("IF(ISBLANK(A848),"""",GOOGLETRANSLATE(A848,""en"",""fr""))"),"")</f>
        <v/>
      </c>
    </row>
    <row r="849" spans="2:2">
      <c r="B849" s="3" t="str">
        <f ca="1">IFERROR(__xludf.DUMMYFUNCTION("IF(ISBLANK(A849),"""",GOOGLETRANSLATE(A849,""en"",""fr""))"),"")</f>
        <v/>
      </c>
    </row>
    <row r="850" spans="2:2">
      <c r="B850" s="3" t="str">
        <f ca="1">IFERROR(__xludf.DUMMYFUNCTION("IF(ISBLANK(A850),"""",GOOGLETRANSLATE(A850,""en"",""fr""))"),"")</f>
        <v/>
      </c>
    </row>
    <row r="851" spans="2:2">
      <c r="B851" s="3" t="str">
        <f ca="1">IFERROR(__xludf.DUMMYFUNCTION("IF(ISBLANK(A851),"""",GOOGLETRANSLATE(A851,""en"",""fr""))"),"")</f>
        <v/>
      </c>
    </row>
    <row r="852" spans="2:2">
      <c r="B852" s="3" t="str">
        <f ca="1">IFERROR(__xludf.DUMMYFUNCTION("IF(ISBLANK(A852),"""",GOOGLETRANSLATE(A852,""en"",""fr""))"),"")</f>
        <v/>
      </c>
    </row>
    <row r="853" spans="2:2">
      <c r="B853" s="3" t="str">
        <f ca="1">IFERROR(__xludf.DUMMYFUNCTION("IF(ISBLANK(A853),"""",GOOGLETRANSLATE(A853,""en"",""fr""))"),"")</f>
        <v/>
      </c>
    </row>
    <row r="854" spans="2:2">
      <c r="B854" s="3" t="str">
        <f ca="1">IFERROR(__xludf.DUMMYFUNCTION("IF(ISBLANK(A854),"""",GOOGLETRANSLATE(A854,""en"",""fr""))"),"")</f>
        <v/>
      </c>
    </row>
    <row r="855" spans="2:2">
      <c r="B855" s="3" t="str">
        <f ca="1">IFERROR(__xludf.DUMMYFUNCTION("IF(ISBLANK(A855),"""",GOOGLETRANSLATE(A855,""en"",""fr""))"),"")</f>
        <v/>
      </c>
    </row>
    <row r="856" spans="2:2">
      <c r="B856" s="3" t="str">
        <f ca="1">IFERROR(__xludf.DUMMYFUNCTION("IF(ISBLANK(A856),"""",GOOGLETRANSLATE(A856,""en"",""fr""))"),"")</f>
        <v/>
      </c>
    </row>
    <row r="857" spans="2:2">
      <c r="B857" s="3" t="str">
        <f ca="1">IFERROR(__xludf.DUMMYFUNCTION("IF(ISBLANK(A857),"""",GOOGLETRANSLATE(A857,""en"",""fr""))"),"")</f>
        <v/>
      </c>
    </row>
    <row r="858" spans="2:2">
      <c r="B858" s="3" t="str">
        <f ca="1">IFERROR(__xludf.DUMMYFUNCTION("IF(ISBLANK(A858),"""",GOOGLETRANSLATE(A858,""en"",""fr""))"),"")</f>
        <v/>
      </c>
    </row>
    <row r="859" spans="2:2">
      <c r="B859" s="3" t="str">
        <f ca="1">IFERROR(__xludf.DUMMYFUNCTION("IF(ISBLANK(A859),"""",GOOGLETRANSLATE(A859,""en"",""fr""))"),"")</f>
        <v/>
      </c>
    </row>
    <row r="860" spans="2:2">
      <c r="B860" s="3" t="str">
        <f ca="1">IFERROR(__xludf.DUMMYFUNCTION("IF(ISBLANK(A860),"""",GOOGLETRANSLATE(A860,""en"",""fr""))"),"")</f>
        <v/>
      </c>
    </row>
    <row r="861" spans="2:2">
      <c r="B861" s="3" t="str">
        <f ca="1">IFERROR(__xludf.DUMMYFUNCTION("IF(ISBLANK(A861),"""",GOOGLETRANSLATE(A861,""en"",""fr""))"),"")</f>
        <v/>
      </c>
    </row>
    <row r="862" spans="2:2">
      <c r="B862" s="3" t="str">
        <f ca="1">IFERROR(__xludf.DUMMYFUNCTION("IF(ISBLANK(A862),"""",GOOGLETRANSLATE(A862,""en"",""fr""))"),"")</f>
        <v/>
      </c>
    </row>
    <row r="863" spans="2:2">
      <c r="B863" s="3" t="str">
        <f ca="1">IFERROR(__xludf.DUMMYFUNCTION("IF(ISBLANK(A863),"""",GOOGLETRANSLATE(A863,""en"",""fr""))"),"")</f>
        <v/>
      </c>
    </row>
    <row r="864" spans="2:2">
      <c r="B864" s="3" t="str">
        <f ca="1">IFERROR(__xludf.DUMMYFUNCTION("IF(ISBLANK(A864),"""",GOOGLETRANSLATE(A864,""en"",""fr""))"),"")</f>
        <v/>
      </c>
    </row>
    <row r="865" spans="2:2">
      <c r="B865" s="3" t="str">
        <f ca="1">IFERROR(__xludf.DUMMYFUNCTION("IF(ISBLANK(A865),"""",GOOGLETRANSLATE(A865,""en"",""fr""))"),"")</f>
        <v/>
      </c>
    </row>
    <row r="866" spans="2:2">
      <c r="B866" s="3" t="str">
        <f ca="1">IFERROR(__xludf.DUMMYFUNCTION("IF(ISBLANK(A866),"""",GOOGLETRANSLATE(A866,""en"",""fr""))"),"")</f>
        <v/>
      </c>
    </row>
    <row r="867" spans="2:2">
      <c r="B867" s="3" t="str">
        <f ca="1">IFERROR(__xludf.DUMMYFUNCTION("IF(ISBLANK(A867),"""",GOOGLETRANSLATE(A867,""en"",""fr""))"),"")</f>
        <v/>
      </c>
    </row>
    <row r="868" spans="2:2">
      <c r="B868" s="3" t="str">
        <f ca="1">IFERROR(__xludf.DUMMYFUNCTION("IF(ISBLANK(A868),"""",GOOGLETRANSLATE(A868,""en"",""fr""))"),"")</f>
        <v/>
      </c>
    </row>
    <row r="869" spans="2:2">
      <c r="B869" s="3" t="str">
        <f ca="1">IFERROR(__xludf.DUMMYFUNCTION("IF(ISBLANK(A869),"""",GOOGLETRANSLATE(A869,""en"",""fr""))"),"")</f>
        <v/>
      </c>
    </row>
    <row r="870" spans="2:2">
      <c r="B870" s="3" t="str">
        <f ca="1">IFERROR(__xludf.DUMMYFUNCTION("IF(ISBLANK(A870),"""",GOOGLETRANSLATE(A870,""en"",""fr""))"),"")</f>
        <v/>
      </c>
    </row>
    <row r="871" spans="2:2">
      <c r="B871" s="3" t="str">
        <f ca="1">IFERROR(__xludf.DUMMYFUNCTION("IF(ISBLANK(A871),"""",GOOGLETRANSLATE(A871,""en"",""fr""))"),"")</f>
        <v/>
      </c>
    </row>
    <row r="872" spans="2:2">
      <c r="B872" s="3" t="str">
        <f ca="1">IFERROR(__xludf.DUMMYFUNCTION("IF(ISBLANK(A872),"""",GOOGLETRANSLATE(A872,""en"",""fr""))"),"")</f>
        <v/>
      </c>
    </row>
    <row r="873" spans="2:2">
      <c r="B873" s="3" t="str">
        <f ca="1">IFERROR(__xludf.DUMMYFUNCTION("IF(ISBLANK(A873),"""",GOOGLETRANSLATE(A873,""en"",""fr""))"),"")</f>
        <v/>
      </c>
    </row>
    <row r="874" spans="2:2">
      <c r="B874" s="3" t="str">
        <f ca="1">IFERROR(__xludf.DUMMYFUNCTION("IF(ISBLANK(A874),"""",GOOGLETRANSLATE(A874,""en"",""fr""))"),"")</f>
        <v/>
      </c>
    </row>
    <row r="875" spans="2:2">
      <c r="B875" s="3" t="str">
        <f ca="1">IFERROR(__xludf.DUMMYFUNCTION("IF(ISBLANK(A875),"""",GOOGLETRANSLATE(A875,""en"",""fr""))"),"")</f>
        <v/>
      </c>
    </row>
    <row r="876" spans="2:2">
      <c r="B876" s="3" t="str">
        <f ca="1">IFERROR(__xludf.DUMMYFUNCTION("IF(ISBLANK(A876),"""",GOOGLETRANSLATE(A876,""en"",""fr""))"),"")</f>
        <v/>
      </c>
    </row>
    <row r="877" spans="2:2">
      <c r="B877" s="3" t="str">
        <f ca="1">IFERROR(__xludf.DUMMYFUNCTION("IF(ISBLANK(A877),"""",GOOGLETRANSLATE(A877,""en"",""fr""))"),"")</f>
        <v/>
      </c>
    </row>
    <row r="878" spans="2:2">
      <c r="B878" s="3" t="str">
        <f ca="1">IFERROR(__xludf.DUMMYFUNCTION("IF(ISBLANK(A878),"""",GOOGLETRANSLATE(A878,""en"",""fr""))"),"")</f>
        <v/>
      </c>
    </row>
    <row r="879" spans="2:2">
      <c r="B879" s="3" t="str">
        <f ca="1">IFERROR(__xludf.DUMMYFUNCTION("IF(ISBLANK(A879),"""",GOOGLETRANSLATE(A879,""en"",""fr""))"),"")</f>
        <v/>
      </c>
    </row>
    <row r="880" spans="2:2">
      <c r="B880" s="3" t="str">
        <f ca="1">IFERROR(__xludf.DUMMYFUNCTION("IF(ISBLANK(A880),"""",GOOGLETRANSLATE(A880,""en"",""fr""))"),"")</f>
        <v/>
      </c>
    </row>
    <row r="881" spans="2:2">
      <c r="B881" s="3" t="str">
        <f ca="1">IFERROR(__xludf.DUMMYFUNCTION("IF(ISBLANK(A881),"""",GOOGLETRANSLATE(A881,""en"",""fr""))"),"")</f>
        <v/>
      </c>
    </row>
    <row r="882" spans="2:2">
      <c r="B882" s="3" t="str">
        <f ca="1">IFERROR(__xludf.DUMMYFUNCTION("IF(ISBLANK(A882),"""",GOOGLETRANSLATE(A882,""en"",""fr""))"),"")</f>
        <v/>
      </c>
    </row>
    <row r="883" spans="2:2">
      <c r="B883" s="3" t="str">
        <f ca="1">IFERROR(__xludf.DUMMYFUNCTION("IF(ISBLANK(A883),"""",GOOGLETRANSLATE(A883,""en"",""fr""))"),"")</f>
        <v/>
      </c>
    </row>
    <row r="884" spans="2:2">
      <c r="B884" s="3" t="str">
        <f ca="1">IFERROR(__xludf.DUMMYFUNCTION("IF(ISBLANK(A884),"""",GOOGLETRANSLATE(A884,""en"",""fr""))"),"")</f>
        <v/>
      </c>
    </row>
    <row r="885" spans="2:2">
      <c r="B885" s="3" t="str">
        <f ca="1">IFERROR(__xludf.DUMMYFUNCTION("IF(ISBLANK(A885),"""",GOOGLETRANSLATE(A885,""en"",""fr""))"),"")</f>
        <v/>
      </c>
    </row>
    <row r="886" spans="2:2">
      <c r="B886" s="3" t="str">
        <f ca="1">IFERROR(__xludf.DUMMYFUNCTION("IF(ISBLANK(A886),"""",GOOGLETRANSLATE(A886,""en"",""fr""))"),"")</f>
        <v/>
      </c>
    </row>
    <row r="887" spans="2:2">
      <c r="B887" s="3" t="str">
        <f ca="1">IFERROR(__xludf.DUMMYFUNCTION("IF(ISBLANK(A887),"""",GOOGLETRANSLATE(A887,""en"",""fr""))"),"")</f>
        <v/>
      </c>
    </row>
    <row r="888" spans="2:2">
      <c r="B888" s="3" t="str">
        <f ca="1">IFERROR(__xludf.DUMMYFUNCTION("IF(ISBLANK(A888),"""",GOOGLETRANSLATE(A888,""en"",""fr""))"),"")</f>
        <v/>
      </c>
    </row>
    <row r="889" spans="2:2">
      <c r="B889" s="3" t="str">
        <f ca="1">IFERROR(__xludf.DUMMYFUNCTION("IF(ISBLANK(A889),"""",GOOGLETRANSLATE(A889,""en"",""fr""))"),"")</f>
        <v/>
      </c>
    </row>
    <row r="890" spans="2:2">
      <c r="B890" s="3" t="str">
        <f ca="1">IFERROR(__xludf.DUMMYFUNCTION("IF(ISBLANK(A890),"""",GOOGLETRANSLATE(A890,""en"",""fr""))"),"")</f>
        <v/>
      </c>
    </row>
    <row r="891" spans="2:2">
      <c r="B891" s="3" t="str">
        <f ca="1">IFERROR(__xludf.DUMMYFUNCTION("IF(ISBLANK(A891),"""",GOOGLETRANSLATE(A891,""en"",""fr""))"),"")</f>
        <v/>
      </c>
    </row>
    <row r="892" spans="2:2">
      <c r="B892" s="3" t="str">
        <f ca="1">IFERROR(__xludf.DUMMYFUNCTION("IF(ISBLANK(A892),"""",GOOGLETRANSLATE(A892,""en"",""fr""))"),"")</f>
        <v/>
      </c>
    </row>
    <row r="893" spans="2:2">
      <c r="B893" s="3" t="str">
        <f ca="1">IFERROR(__xludf.DUMMYFUNCTION("IF(ISBLANK(A893),"""",GOOGLETRANSLATE(A893,""en"",""fr""))"),"")</f>
        <v/>
      </c>
    </row>
    <row r="894" spans="2:2">
      <c r="B894" s="3" t="str">
        <f ca="1">IFERROR(__xludf.DUMMYFUNCTION("IF(ISBLANK(A894),"""",GOOGLETRANSLATE(A894,""en"",""fr""))"),"")</f>
        <v/>
      </c>
    </row>
    <row r="895" spans="2:2">
      <c r="B895" s="3" t="str">
        <f ca="1">IFERROR(__xludf.DUMMYFUNCTION("IF(ISBLANK(A895),"""",GOOGLETRANSLATE(A895,""en"",""fr""))"),"")</f>
        <v/>
      </c>
    </row>
    <row r="896" spans="2:2">
      <c r="B896" s="3" t="str">
        <f ca="1">IFERROR(__xludf.DUMMYFUNCTION("IF(ISBLANK(A896),"""",GOOGLETRANSLATE(A896,""en"",""fr""))"),"")</f>
        <v/>
      </c>
    </row>
    <row r="897" spans="2:2">
      <c r="B897" s="3" t="str">
        <f ca="1">IFERROR(__xludf.DUMMYFUNCTION("IF(ISBLANK(A897),"""",GOOGLETRANSLATE(A897,""en"",""fr""))"),"")</f>
        <v/>
      </c>
    </row>
    <row r="898" spans="2:2">
      <c r="B898" s="3" t="str">
        <f ca="1">IFERROR(__xludf.DUMMYFUNCTION("IF(ISBLANK(A898),"""",GOOGLETRANSLATE(A898,""en"",""fr""))"),"")</f>
        <v/>
      </c>
    </row>
    <row r="899" spans="2:2">
      <c r="B899" s="3" t="str">
        <f ca="1">IFERROR(__xludf.DUMMYFUNCTION("IF(ISBLANK(A899),"""",GOOGLETRANSLATE(A899,""en"",""fr""))"),"")</f>
        <v/>
      </c>
    </row>
    <row r="900" spans="2:2">
      <c r="B900" s="3" t="str">
        <f ca="1">IFERROR(__xludf.DUMMYFUNCTION("IF(ISBLANK(A900),"""",GOOGLETRANSLATE(A900,""en"",""fr""))"),"")</f>
        <v/>
      </c>
    </row>
    <row r="901" spans="2:2">
      <c r="B901" s="3" t="str">
        <f ca="1">IFERROR(__xludf.DUMMYFUNCTION("IF(ISBLANK(A901),"""",GOOGLETRANSLATE(A901,""en"",""fr""))"),"")</f>
        <v/>
      </c>
    </row>
    <row r="902" spans="2:2">
      <c r="B902" s="3" t="str">
        <f ca="1">IFERROR(__xludf.DUMMYFUNCTION("IF(ISBLANK(A902),"""",GOOGLETRANSLATE(A902,""en"",""fr""))"),"")</f>
        <v/>
      </c>
    </row>
    <row r="903" spans="2:2">
      <c r="B903" s="3" t="str">
        <f ca="1">IFERROR(__xludf.DUMMYFUNCTION("IF(ISBLANK(A903),"""",GOOGLETRANSLATE(A903,""en"",""fr""))"),"")</f>
        <v/>
      </c>
    </row>
    <row r="904" spans="2:2">
      <c r="B904" s="3" t="str">
        <f ca="1">IFERROR(__xludf.DUMMYFUNCTION("IF(ISBLANK(A904),"""",GOOGLETRANSLATE(A904,""en"",""fr""))"),"")</f>
        <v/>
      </c>
    </row>
    <row r="905" spans="2:2">
      <c r="B905" s="3" t="str">
        <f ca="1">IFERROR(__xludf.DUMMYFUNCTION("IF(ISBLANK(A905),"""",GOOGLETRANSLATE(A905,""en"",""fr""))"),"")</f>
        <v/>
      </c>
    </row>
    <row r="906" spans="2:2">
      <c r="B906" s="3" t="str">
        <f ca="1">IFERROR(__xludf.DUMMYFUNCTION("IF(ISBLANK(A906),"""",GOOGLETRANSLATE(A906,""en"",""fr""))"),"")</f>
        <v/>
      </c>
    </row>
    <row r="907" spans="2:2">
      <c r="B907" s="3" t="str">
        <f ca="1">IFERROR(__xludf.DUMMYFUNCTION("IF(ISBLANK(A907),"""",GOOGLETRANSLATE(A907,""en"",""fr""))"),"")</f>
        <v/>
      </c>
    </row>
    <row r="908" spans="2:2">
      <c r="B908" s="3" t="str">
        <f ca="1">IFERROR(__xludf.DUMMYFUNCTION("IF(ISBLANK(A908),"""",GOOGLETRANSLATE(A908,""en"",""fr""))"),"")</f>
        <v/>
      </c>
    </row>
    <row r="909" spans="2:2">
      <c r="B909" s="3" t="str">
        <f ca="1">IFERROR(__xludf.DUMMYFUNCTION("IF(ISBLANK(A909),"""",GOOGLETRANSLATE(A909,""en"",""fr""))"),"")</f>
        <v/>
      </c>
    </row>
    <row r="910" spans="2:2">
      <c r="B910" s="3" t="str">
        <f ca="1">IFERROR(__xludf.DUMMYFUNCTION("IF(ISBLANK(A910),"""",GOOGLETRANSLATE(A910,""en"",""fr""))"),"")</f>
        <v/>
      </c>
    </row>
    <row r="911" spans="2:2">
      <c r="B911" s="3" t="str">
        <f ca="1">IFERROR(__xludf.DUMMYFUNCTION("IF(ISBLANK(A911),"""",GOOGLETRANSLATE(A911,""en"",""fr""))"),"")</f>
        <v/>
      </c>
    </row>
    <row r="912" spans="2:2">
      <c r="B912" s="3" t="str">
        <f ca="1">IFERROR(__xludf.DUMMYFUNCTION("IF(ISBLANK(A912),"""",GOOGLETRANSLATE(A912,""en"",""fr""))"),"")</f>
        <v/>
      </c>
    </row>
    <row r="913" spans="2:2">
      <c r="B913" s="3" t="str">
        <f ca="1">IFERROR(__xludf.DUMMYFUNCTION("IF(ISBLANK(A913),"""",GOOGLETRANSLATE(A913,""en"",""fr""))"),"")</f>
        <v/>
      </c>
    </row>
    <row r="914" spans="2:2">
      <c r="B914" s="3" t="str">
        <f ca="1">IFERROR(__xludf.DUMMYFUNCTION("IF(ISBLANK(A914),"""",GOOGLETRANSLATE(A914,""en"",""fr""))"),"")</f>
        <v/>
      </c>
    </row>
    <row r="915" spans="2:2">
      <c r="B915" s="3" t="str">
        <f ca="1">IFERROR(__xludf.DUMMYFUNCTION("IF(ISBLANK(A915),"""",GOOGLETRANSLATE(A915,""en"",""fr""))"),"")</f>
        <v/>
      </c>
    </row>
    <row r="916" spans="2:2">
      <c r="B916" s="3" t="str">
        <f ca="1">IFERROR(__xludf.DUMMYFUNCTION("IF(ISBLANK(A916),"""",GOOGLETRANSLATE(A916,""en"",""fr""))"),"")</f>
        <v/>
      </c>
    </row>
    <row r="917" spans="2:2">
      <c r="B917" s="3" t="str">
        <f ca="1">IFERROR(__xludf.DUMMYFUNCTION("IF(ISBLANK(A917),"""",GOOGLETRANSLATE(A917,""en"",""fr""))"),"")</f>
        <v/>
      </c>
    </row>
    <row r="918" spans="2:2">
      <c r="B918" s="3" t="str">
        <f ca="1">IFERROR(__xludf.DUMMYFUNCTION("IF(ISBLANK(A918),"""",GOOGLETRANSLATE(A918,""en"",""fr""))"),"")</f>
        <v/>
      </c>
    </row>
    <row r="919" spans="2:2">
      <c r="B919" s="3" t="str">
        <f ca="1">IFERROR(__xludf.DUMMYFUNCTION("IF(ISBLANK(A919),"""",GOOGLETRANSLATE(A919,""en"",""fr""))"),"")</f>
        <v/>
      </c>
    </row>
    <row r="920" spans="2:2">
      <c r="B920" s="3" t="str">
        <f ca="1">IFERROR(__xludf.DUMMYFUNCTION("IF(ISBLANK(A920),"""",GOOGLETRANSLATE(A920,""en"",""fr""))"),"")</f>
        <v/>
      </c>
    </row>
    <row r="921" spans="2:2">
      <c r="B921" s="3" t="str">
        <f ca="1">IFERROR(__xludf.DUMMYFUNCTION("IF(ISBLANK(A921),"""",GOOGLETRANSLATE(A921,""en"",""fr""))"),"")</f>
        <v/>
      </c>
    </row>
    <row r="922" spans="2:2">
      <c r="B922" s="3" t="str">
        <f ca="1">IFERROR(__xludf.DUMMYFUNCTION("IF(ISBLANK(A922),"""",GOOGLETRANSLATE(A922,""en"",""fr""))"),"")</f>
        <v/>
      </c>
    </row>
    <row r="923" spans="2:2">
      <c r="B923" s="3" t="str">
        <f ca="1">IFERROR(__xludf.DUMMYFUNCTION("IF(ISBLANK(A923),"""",GOOGLETRANSLATE(A923,""en"",""fr""))"),"")</f>
        <v/>
      </c>
    </row>
    <row r="924" spans="2:2">
      <c r="B924" s="3" t="str">
        <f ca="1">IFERROR(__xludf.DUMMYFUNCTION("IF(ISBLANK(A924),"""",GOOGLETRANSLATE(A924,""en"",""fr""))"),"")</f>
        <v/>
      </c>
    </row>
    <row r="925" spans="2:2">
      <c r="B925" s="3" t="str">
        <f ca="1">IFERROR(__xludf.DUMMYFUNCTION("IF(ISBLANK(A925),"""",GOOGLETRANSLATE(A925,""en"",""fr""))"),"")</f>
        <v/>
      </c>
    </row>
    <row r="926" spans="2:2">
      <c r="B926" s="3" t="str">
        <f ca="1">IFERROR(__xludf.DUMMYFUNCTION("IF(ISBLANK(A926),"""",GOOGLETRANSLATE(A926,""en"",""fr""))"),"")</f>
        <v/>
      </c>
    </row>
    <row r="927" spans="2:2">
      <c r="B927" s="3" t="str">
        <f ca="1">IFERROR(__xludf.DUMMYFUNCTION("IF(ISBLANK(A927),"""",GOOGLETRANSLATE(A927,""en"",""fr""))"),"")</f>
        <v/>
      </c>
    </row>
    <row r="928" spans="2:2">
      <c r="B928" s="3" t="str">
        <f ca="1">IFERROR(__xludf.DUMMYFUNCTION("IF(ISBLANK(A928),"""",GOOGLETRANSLATE(A928,""en"",""fr""))"),"")</f>
        <v/>
      </c>
    </row>
    <row r="929" spans="2:2">
      <c r="B929" s="3" t="str">
        <f ca="1">IFERROR(__xludf.DUMMYFUNCTION("IF(ISBLANK(A929),"""",GOOGLETRANSLATE(A929,""en"",""fr""))"),"")</f>
        <v/>
      </c>
    </row>
    <row r="930" spans="2:2">
      <c r="B930" s="3" t="str">
        <f ca="1">IFERROR(__xludf.DUMMYFUNCTION("IF(ISBLANK(A930),"""",GOOGLETRANSLATE(A930,""en"",""fr""))"),"")</f>
        <v/>
      </c>
    </row>
    <row r="931" spans="2:2">
      <c r="B931" s="3" t="str">
        <f ca="1">IFERROR(__xludf.DUMMYFUNCTION("IF(ISBLANK(A931),"""",GOOGLETRANSLATE(A931,""en"",""fr""))"),"")</f>
        <v/>
      </c>
    </row>
    <row r="932" spans="2:2">
      <c r="B932" s="3" t="str">
        <f ca="1">IFERROR(__xludf.DUMMYFUNCTION("IF(ISBLANK(A932),"""",GOOGLETRANSLATE(A932,""en"",""fr""))"),"")</f>
        <v/>
      </c>
    </row>
    <row r="933" spans="2:2">
      <c r="B933" s="3" t="str">
        <f ca="1">IFERROR(__xludf.DUMMYFUNCTION("IF(ISBLANK(A933),"""",GOOGLETRANSLATE(A933,""en"",""fr""))"),"")</f>
        <v/>
      </c>
    </row>
    <row r="934" spans="2:2">
      <c r="B934" s="3" t="str">
        <f ca="1">IFERROR(__xludf.DUMMYFUNCTION("IF(ISBLANK(A934),"""",GOOGLETRANSLATE(A934,""en"",""fr""))"),"")</f>
        <v/>
      </c>
    </row>
    <row r="935" spans="2:2">
      <c r="B935" s="3" t="str">
        <f ca="1">IFERROR(__xludf.DUMMYFUNCTION("IF(ISBLANK(A935),"""",GOOGLETRANSLATE(A935,""en"",""fr""))"),"")</f>
        <v/>
      </c>
    </row>
    <row r="936" spans="2:2">
      <c r="B936" s="3" t="str">
        <f ca="1">IFERROR(__xludf.DUMMYFUNCTION("IF(ISBLANK(A936),"""",GOOGLETRANSLATE(A936,""en"",""fr""))"),"")</f>
        <v/>
      </c>
    </row>
    <row r="937" spans="2:2">
      <c r="B937" s="3" t="str">
        <f ca="1">IFERROR(__xludf.DUMMYFUNCTION("IF(ISBLANK(A937),"""",GOOGLETRANSLATE(A937,""en"",""fr""))"),"")</f>
        <v/>
      </c>
    </row>
    <row r="938" spans="2:2">
      <c r="B938" s="3" t="str">
        <f ca="1">IFERROR(__xludf.DUMMYFUNCTION("IF(ISBLANK(A938),"""",GOOGLETRANSLATE(A938,""en"",""fr""))"),"")</f>
        <v/>
      </c>
    </row>
    <row r="939" spans="2:2">
      <c r="B939" s="3" t="str">
        <f ca="1">IFERROR(__xludf.DUMMYFUNCTION("IF(ISBLANK(A939),"""",GOOGLETRANSLATE(A939,""en"",""fr""))"),"")</f>
        <v/>
      </c>
    </row>
    <row r="940" spans="2:2">
      <c r="B940" s="3" t="str">
        <f ca="1">IFERROR(__xludf.DUMMYFUNCTION("IF(ISBLANK(A940),"""",GOOGLETRANSLATE(A940,""en"",""fr""))"),"")</f>
        <v/>
      </c>
    </row>
    <row r="941" spans="2:2">
      <c r="B941" s="3" t="str">
        <f ca="1">IFERROR(__xludf.DUMMYFUNCTION("IF(ISBLANK(A941),"""",GOOGLETRANSLATE(A941,""en"",""fr""))"),"")</f>
        <v/>
      </c>
    </row>
    <row r="942" spans="2:2">
      <c r="B942" s="3" t="str">
        <f ca="1">IFERROR(__xludf.DUMMYFUNCTION("IF(ISBLANK(A942),"""",GOOGLETRANSLATE(A942,""en"",""fr""))"),"")</f>
        <v/>
      </c>
    </row>
    <row r="943" spans="2:2">
      <c r="B943" s="3" t="str">
        <f ca="1">IFERROR(__xludf.DUMMYFUNCTION("IF(ISBLANK(A943),"""",GOOGLETRANSLATE(A943,""en"",""fr""))"),"")</f>
        <v/>
      </c>
    </row>
    <row r="944" spans="2:2">
      <c r="B944" s="3" t="str">
        <f ca="1">IFERROR(__xludf.DUMMYFUNCTION("IF(ISBLANK(A944),"""",GOOGLETRANSLATE(A944,""en"",""fr""))"),"")</f>
        <v/>
      </c>
    </row>
    <row r="945" spans="2:2">
      <c r="B945" s="3" t="str">
        <f ca="1">IFERROR(__xludf.DUMMYFUNCTION("IF(ISBLANK(A945),"""",GOOGLETRANSLATE(A945,""en"",""fr""))"),"")</f>
        <v/>
      </c>
    </row>
    <row r="946" spans="2:2">
      <c r="B946" s="3" t="str">
        <f ca="1">IFERROR(__xludf.DUMMYFUNCTION("IF(ISBLANK(A946),"""",GOOGLETRANSLATE(A946,""en"",""fr""))"),"")</f>
        <v/>
      </c>
    </row>
    <row r="947" spans="2:2">
      <c r="B947" s="3" t="str">
        <f ca="1">IFERROR(__xludf.DUMMYFUNCTION("IF(ISBLANK(A947),"""",GOOGLETRANSLATE(A947,""en"",""fr""))"),"")</f>
        <v/>
      </c>
    </row>
    <row r="948" spans="2:2">
      <c r="B948" s="3" t="str">
        <f ca="1">IFERROR(__xludf.DUMMYFUNCTION("IF(ISBLANK(A948),"""",GOOGLETRANSLATE(A948,""en"",""fr""))"),"")</f>
        <v/>
      </c>
    </row>
    <row r="949" spans="2:2">
      <c r="B949" s="3" t="str">
        <f ca="1">IFERROR(__xludf.DUMMYFUNCTION("IF(ISBLANK(A949),"""",GOOGLETRANSLATE(A949,""en"",""fr""))"),"")</f>
        <v/>
      </c>
    </row>
    <row r="950" spans="2:2">
      <c r="B950" s="3" t="str">
        <f ca="1">IFERROR(__xludf.DUMMYFUNCTION("IF(ISBLANK(A950),"""",GOOGLETRANSLATE(A950,""en"",""fr""))"),"")</f>
        <v/>
      </c>
    </row>
    <row r="951" spans="2:2">
      <c r="B951" s="3" t="str">
        <f ca="1">IFERROR(__xludf.DUMMYFUNCTION("IF(ISBLANK(A951),"""",GOOGLETRANSLATE(A951,""en"",""fr""))"),"")</f>
        <v/>
      </c>
    </row>
    <row r="952" spans="2:2">
      <c r="B952" s="3" t="str">
        <f ca="1">IFERROR(__xludf.DUMMYFUNCTION("IF(ISBLANK(A952),"""",GOOGLETRANSLATE(A952,""en"",""fr""))"),"")</f>
        <v/>
      </c>
    </row>
    <row r="953" spans="2:2">
      <c r="B953" s="3" t="str">
        <f ca="1">IFERROR(__xludf.DUMMYFUNCTION("IF(ISBLANK(A953),"""",GOOGLETRANSLATE(A953,""en"",""fr""))"),"")</f>
        <v/>
      </c>
    </row>
    <row r="954" spans="2:2">
      <c r="B954" s="3" t="str">
        <f ca="1">IFERROR(__xludf.DUMMYFUNCTION("IF(ISBLANK(A954),"""",GOOGLETRANSLATE(A954,""en"",""fr""))"),"")</f>
        <v/>
      </c>
    </row>
    <row r="955" spans="2:2">
      <c r="B955" s="3" t="str">
        <f ca="1">IFERROR(__xludf.DUMMYFUNCTION("IF(ISBLANK(A955),"""",GOOGLETRANSLATE(A955,""en"",""fr""))"),"")</f>
        <v/>
      </c>
    </row>
    <row r="956" spans="2:2">
      <c r="B956" s="3" t="str">
        <f ca="1">IFERROR(__xludf.DUMMYFUNCTION("IF(ISBLANK(A956),"""",GOOGLETRANSLATE(A956,""en"",""fr""))"),"")</f>
        <v/>
      </c>
    </row>
    <row r="957" spans="2:2">
      <c r="B957" s="3" t="str">
        <f ca="1">IFERROR(__xludf.DUMMYFUNCTION("IF(ISBLANK(A957),"""",GOOGLETRANSLATE(A957,""en"",""fr""))"),"")</f>
        <v/>
      </c>
    </row>
    <row r="958" spans="2:2">
      <c r="B958" s="3" t="str">
        <f ca="1">IFERROR(__xludf.DUMMYFUNCTION("IF(ISBLANK(A958),"""",GOOGLETRANSLATE(A958,""en"",""fr""))"),"")</f>
        <v/>
      </c>
    </row>
    <row r="959" spans="2:2">
      <c r="B959" s="3" t="str">
        <f ca="1">IFERROR(__xludf.DUMMYFUNCTION("IF(ISBLANK(A959),"""",GOOGLETRANSLATE(A959,""en"",""fr""))"),"")</f>
        <v/>
      </c>
    </row>
    <row r="960" spans="2:2">
      <c r="B960" s="3" t="str">
        <f ca="1">IFERROR(__xludf.DUMMYFUNCTION("IF(ISBLANK(A960),"""",GOOGLETRANSLATE(A960,""en"",""fr""))"),"")</f>
        <v/>
      </c>
    </row>
    <row r="961" spans="2:2">
      <c r="B961" s="3" t="str">
        <f ca="1">IFERROR(__xludf.DUMMYFUNCTION("IF(ISBLANK(A961),"""",GOOGLETRANSLATE(A961,""en"",""fr""))"),"")</f>
        <v/>
      </c>
    </row>
    <row r="962" spans="2:2">
      <c r="B962" s="3" t="str">
        <f ca="1">IFERROR(__xludf.DUMMYFUNCTION("IF(ISBLANK(A962),"""",GOOGLETRANSLATE(A962,""en"",""fr""))"),"")</f>
        <v/>
      </c>
    </row>
    <row r="963" spans="2:2">
      <c r="B963" s="3" t="str">
        <f ca="1">IFERROR(__xludf.DUMMYFUNCTION("IF(ISBLANK(A963),"""",GOOGLETRANSLATE(A963,""en"",""fr""))"),"")</f>
        <v/>
      </c>
    </row>
    <row r="964" spans="2:2">
      <c r="B964" s="3" t="str">
        <f ca="1">IFERROR(__xludf.DUMMYFUNCTION("IF(ISBLANK(A964),"""",GOOGLETRANSLATE(A964,""en"",""fr""))"),"")</f>
        <v/>
      </c>
    </row>
    <row r="965" spans="2:2">
      <c r="B965" s="3" t="str">
        <f ca="1">IFERROR(__xludf.DUMMYFUNCTION("IF(ISBLANK(A965),"""",GOOGLETRANSLATE(A965,""en"",""fr""))"),"")</f>
        <v/>
      </c>
    </row>
    <row r="966" spans="2:2">
      <c r="B966" s="3" t="str">
        <f ca="1">IFERROR(__xludf.DUMMYFUNCTION("IF(ISBLANK(A966),"""",GOOGLETRANSLATE(A966,""en"",""fr""))"),"")</f>
        <v/>
      </c>
    </row>
    <row r="967" spans="2:2">
      <c r="B967" s="3" t="str">
        <f ca="1">IFERROR(__xludf.DUMMYFUNCTION("IF(ISBLANK(A967),"""",GOOGLETRANSLATE(A967,""en"",""fr""))"),"")</f>
        <v/>
      </c>
    </row>
    <row r="968" spans="2:2">
      <c r="B968" s="3" t="str">
        <f ca="1">IFERROR(__xludf.DUMMYFUNCTION("IF(ISBLANK(A968),"""",GOOGLETRANSLATE(A968,""en"",""fr""))"),"")</f>
        <v/>
      </c>
    </row>
    <row r="969" spans="2:2">
      <c r="B969" s="3" t="str">
        <f ca="1">IFERROR(__xludf.DUMMYFUNCTION("IF(ISBLANK(A969),"""",GOOGLETRANSLATE(A969,""en"",""fr""))"),"")</f>
        <v/>
      </c>
    </row>
    <row r="970" spans="2:2">
      <c r="B970" s="3" t="str">
        <f ca="1">IFERROR(__xludf.DUMMYFUNCTION("IF(ISBLANK(A970),"""",GOOGLETRANSLATE(A970,""en"",""fr""))"),"")</f>
        <v/>
      </c>
    </row>
    <row r="971" spans="2:2">
      <c r="B971" s="3" t="str">
        <f ca="1">IFERROR(__xludf.DUMMYFUNCTION("IF(ISBLANK(A971),"""",GOOGLETRANSLATE(A971,""en"",""fr""))"),"")</f>
        <v/>
      </c>
    </row>
    <row r="972" spans="2:2">
      <c r="B972" s="3" t="str">
        <f ca="1">IFERROR(__xludf.DUMMYFUNCTION("IF(ISBLANK(A972),"""",GOOGLETRANSLATE(A972,""en"",""fr""))"),"")</f>
        <v/>
      </c>
    </row>
    <row r="973" spans="2:2">
      <c r="B973" s="3" t="str">
        <f ca="1">IFERROR(__xludf.DUMMYFUNCTION("IF(ISBLANK(A973),"""",GOOGLETRANSLATE(A973,""en"",""fr""))"),"")</f>
        <v/>
      </c>
    </row>
    <row r="974" spans="2:2">
      <c r="B974" s="3" t="str">
        <f ca="1">IFERROR(__xludf.DUMMYFUNCTION("IF(ISBLANK(A974),"""",GOOGLETRANSLATE(A974,""en"",""fr""))"),"")</f>
        <v/>
      </c>
    </row>
    <row r="975" spans="2:2">
      <c r="B975" s="3" t="str">
        <f ca="1">IFERROR(__xludf.DUMMYFUNCTION("IF(ISBLANK(A975),"""",GOOGLETRANSLATE(A975,""en"",""fr""))"),"")</f>
        <v/>
      </c>
    </row>
    <row r="976" spans="2:2">
      <c r="B976" s="3" t="str">
        <f ca="1">IFERROR(__xludf.DUMMYFUNCTION("IF(ISBLANK(A976),"""",GOOGLETRANSLATE(A976,""en"",""fr""))"),"")</f>
        <v/>
      </c>
    </row>
    <row r="977" spans="2:2">
      <c r="B977" s="3" t="str">
        <f ca="1">IFERROR(__xludf.DUMMYFUNCTION("IF(ISBLANK(A977),"""",GOOGLETRANSLATE(A977,""en"",""fr""))"),"")</f>
        <v/>
      </c>
    </row>
    <row r="978" spans="2:2">
      <c r="B978" s="3" t="str">
        <f ca="1">IFERROR(__xludf.DUMMYFUNCTION("IF(ISBLANK(A978),"""",GOOGLETRANSLATE(A978,""en"",""fr""))"),"")</f>
        <v/>
      </c>
    </row>
    <row r="979" spans="2:2">
      <c r="B979" s="3" t="str">
        <f ca="1">IFERROR(__xludf.DUMMYFUNCTION("IF(ISBLANK(A979),"""",GOOGLETRANSLATE(A979,""en"",""fr""))"),"")</f>
        <v/>
      </c>
    </row>
    <row r="980" spans="2:2">
      <c r="B980" s="3" t="str">
        <f ca="1">IFERROR(__xludf.DUMMYFUNCTION("IF(ISBLANK(A980),"""",GOOGLETRANSLATE(A980,""en"",""fr""))"),"")</f>
        <v/>
      </c>
    </row>
    <row r="981" spans="2:2">
      <c r="B981" s="3" t="str">
        <f ca="1">IFERROR(__xludf.DUMMYFUNCTION("IF(ISBLANK(A981),"""",GOOGLETRANSLATE(A981,""en"",""fr""))"),"")</f>
        <v/>
      </c>
    </row>
    <row r="982" spans="2:2">
      <c r="B982" s="3" t="str">
        <f ca="1">IFERROR(__xludf.DUMMYFUNCTION("IF(ISBLANK(A982),"""",GOOGLETRANSLATE(A982,""en"",""fr""))"),"")</f>
        <v/>
      </c>
    </row>
    <row r="983" spans="2:2">
      <c r="B983" s="3" t="str">
        <f ca="1">IFERROR(__xludf.DUMMYFUNCTION("IF(ISBLANK(A983),"""",GOOGLETRANSLATE(A983,""en"",""fr""))"),"")</f>
        <v/>
      </c>
    </row>
    <row r="984" spans="2:2">
      <c r="B984" s="3" t="str">
        <f ca="1">IFERROR(__xludf.DUMMYFUNCTION("IF(ISBLANK(A984),"""",GOOGLETRANSLATE(A984,""en"",""fr""))"),"")</f>
        <v/>
      </c>
    </row>
    <row r="985" spans="2:2">
      <c r="B985" s="3" t="str">
        <f ca="1">IFERROR(__xludf.DUMMYFUNCTION("IF(ISBLANK(A985),"""",GOOGLETRANSLATE(A985,""en"",""fr""))"),"")</f>
        <v/>
      </c>
    </row>
    <row r="986" spans="2:2">
      <c r="B986" s="3" t="str">
        <f ca="1">IFERROR(__xludf.DUMMYFUNCTION("IF(ISBLANK(A986),"""",GOOGLETRANSLATE(A986,""en"",""fr""))"),"")</f>
        <v/>
      </c>
    </row>
    <row r="987" spans="2:2">
      <c r="B987" s="3" t="str">
        <f ca="1">IFERROR(__xludf.DUMMYFUNCTION("IF(ISBLANK(A987),"""",GOOGLETRANSLATE(A987,""en"",""fr""))"),"")</f>
        <v/>
      </c>
    </row>
    <row r="988" spans="2:2">
      <c r="B988" s="3" t="str">
        <f ca="1">IFERROR(__xludf.DUMMYFUNCTION("IF(ISBLANK(A988),"""",GOOGLETRANSLATE(A988,""en"",""fr""))"),"")</f>
        <v/>
      </c>
    </row>
    <row r="989" spans="2:2">
      <c r="B989" s="3" t="str">
        <f ca="1">IFERROR(__xludf.DUMMYFUNCTION("IF(ISBLANK(A989),"""",GOOGLETRANSLATE(A989,""en"",""fr""))"),"")</f>
        <v/>
      </c>
    </row>
    <row r="990" spans="2:2">
      <c r="B990" s="3" t="str">
        <f ca="1">IFERROR(__xludf.DUMMYFUNCTION("IF(ISBLANK(A990),"""",GOOGLETRANSLATE(A990,""en"",""fr""))"),"")</f>
        <v/>
      </c>
    </row>
    <row r="991" spans="2:2">
      <c r="B991" s="3" t="str">
        <f ca="1">IFERROR(__xludf.DUMMYFUNCTION("IF(ISBLANK(A991),"""",GOOGLETRANSLATE(A991,""en"",""fr""))"),"")</f>
        <v/>
      </c>
    </row>
    <row r="992" spans="2:2">
      <c r="B992" s="3" t="str">
        <f ca="1">IFERROR(__xludf.DUMMYFUNCTION("IF(ISBLANK(A992),"""",GOOGLETRANSLATE(A992,""en"",""fr""))"),"")</f>
        <v/>
      </c>
    </row>
    <row r="993" spans="2:2">
      <c r="B993" s="3" t="str">
        <f ca="1">IFERROR(__xludf.DUMMYFUNCTION("IF(ISBLANK(A993),"""",GOOGLETRANSLATE(A993,""en"",""fr""))"),"")</f>
        <v/>
      </c>
    </row>
    <row r="994" spans="2:2">
      <c r="B994" s="3" t="str">
        <f ca="1">IFERROR(__xludf.DUMMYFUNCTION("IF(ISBLANK(A994),"""",GOOGLETRANSLATE(A994,""en"",""fr""))"),"")</f>
        <v/>
      </c>
    </row>
    <row r="995" spans="2:2">
      <c r="B995" s="3" t="str">
        <f ca="1">IFERROR(__xludf.DUMMYFUNCTION("IF(ISBLANK(A995),"""",GOOGLETRANSLATE(A995,""en"",""fr""))"),"")</f>
        <v/>
      </c>
    </row>
    <row r="996" spans="2:2">
      <c r="B996" s="3" t="str">
        <f ca="1">IFERROR(__xludf.DUMMYFUNCTION("IF(ISBLANK(A996),"""",GOOGLETRANSLATE(A996,""en"",""fr""))"),"")</f>
        <v/>
      </c>
    </row>
    <row r="997" spans="2:2">
      <c r="B997" s="3" t="str">
        <f ca="1">IFERROR(__xludf.DUMMYFUNCTION("IF(ISBLANK(A997),"""",GOOGLETRANSLATE(A997,""en"",""fr""))"),"")</f>
        <v/>
      </c>
    </row>
    <row r="998" spans="2:2">
      <c r="B998" s="3" t="str">
        <f ca="1">IFERROR(__xludf.DUMMYFUNCTION("IF(ISBLANK(A998),"""",GOOGLETRANSLATE(A998,""en"",""fr""))"),"")</f>
        <v/>
      </c>
    </row>
    <row r="999" spans="2:2">
      <c r="B999" s="3" t="str">
        <f ca="1">IFERROR(__xludf.DUMMYFUNCTION("IF(ISBLANK(A999),"""",GOOGLETRANSLATE(A999,""en"",""fr""))"),"")</f>
        <v/>
      </c>
    </row>
    <row r="1000" spans="2:2">
      <c r="B1000" s="3" t="str">
        <f ca="1">IFERROR(__xludf.DUMMYFUNCTION("IF(ISBLANK(A1000),"""",GOOGLETRANSLATE(A1000,""en"",""fr""))"),"")</f>
        <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B1000"/>
  <sheetViews>
    <sheetView topLeftCell="A50" workbookViewId="0">
      <selection activeCell="A79" sqref="A79"/>
    </sheetView>
  </sheetViews>
  <sheetFormatPr defaultColWidth="12.6640625" defaultRowHeight="15.75" customHeight="1"/>
  <cols>
    <col min="1" max="1" width="113" customWidth="1"/>
  </cols>
  <sheetData>
    <row r="1" spans="1:2">
      <c r="A1" s="1" t="s">
        <v>0</v>
      </c>
      <c r="B1" s="1"/>
    </row>
    <row r="2" spans="1:2">
      <c r="A2" s="3" t="s">
        <v>141</v>
      </c>
      <c r="B2" s="3" t="str">
        <f ca="1">IFERROR(__xludf.DUMMYFUNCTION("IF(ISBLANK(A2),"""",GOOGLETRANSLATE(A2,""en"",""fr""))"),"Ingénierie des données")</f>
        <v>Ingénierie des données</v>
      </c>
    </row>
    <row r="3" spans="1:2">
      <c r="A3" s="3" t="s">
        <v>683</v>
      </c>
      <c r="B3" s="3" t="str">
        <f ca="1">IFERROR(__xludf.DUMMYFUNCTION("IF(ISBLANK(A3),"""",GOOGLETRANSLATE(A3,""en"",""fr""))"),"Services et solutions d'ingénierie des données robustes")</f>
        <v>Services et solutions d'ingénierie des données robustes</v>
      </c>
    </row>
    <row r="4" spans="1:2">
      <c r="A4" s="3" t="s">
        <v>684</v>
      </c>
      <c r="B4" s="3" t="str">
        <f ca="1">IFERROR(__xludf.DUMMYFUNCTION("IF(ISBLANK(A4),"""",GOOGLETRANSLATE(A4,""en"",""fr""))"),"Avec les services AWS d'ingénierie des données, créez des pipelines de données évolutifs pour accompagner la croissance de votre entreprise.")</f>
        <v>Avec les services AWS d'ingénierie des données, créez des pipelines de données évolutifs pour accompagner la croissance de votre entreprise.</v>
      </c>
    </row>
    <row r="5" spans="1:2">
      <c r="A5" s="3" t="s">
        <v>70</v>
      </c>
      <c r="B5" s="3" t="str">
        <f ca="1">IFERROR(__xludf.DUMMYFUNCTION("IF(ISBLANK(A5),"""",GOOGLETRANSLATE(A5,""en"",""fr""))"),"Connectez-vous avec nous")</f>
        <v>Connectez-vous avec nous</v>
      </c>
    </row>
    <row r="6" spans="1:2">
      <c r="A6" s="3" t="s">
        <v>14</v>
      </c>
      <c r="B6" s="3" t="str">
        <f ca="1">IFERROR(__xludf.DUMMYFUNCTION("IF(ISBLANK(A6),"""",GOOGLETRANSLATE(A6,""en"",""fr""))"),"Les plus grandes marques mondiales sont propulsées par NETSOL")</f>
        <v>Les plus grandes marques mondiales sont propulsées par NETSOL</v>
      </c>
    </row>
    <row r="7" spans="1:2">
      <c r="A7" s="3" t="s">
        <v>685</v>
      </c>
      <c r="B7" s="3" t="str">
        <f ca="1">IFERROR(__xludf.DUMMYFUNCTION("IF(ISBLANK(A7),"""",GOOGLETRANSLATE(A7,""en"",""fr""))"),"Générer des informations exploitables grâce à des plateformes de données matures")</f>
        <v>Générer des informations exploitables grâce à des plateformes de données matures</v>
      </c>
    </row>
    <row r="8" spans="1:2">
      <c r="A8" s="3" t="s">
        <v>686</v>
      </c>
      <c r="B8" s="3" t="str">
        <f ca="1">IFERROR(__xludf.DUMMYFUNCTION("IF(ISBLANK(A8),"""",GOOGLETRANSLATE(A8,""en"",""fr""))"),"En raison de problèmes de confiance dans les données, de plateformes de données limitées et de connaissances insuffisantes, les entreprises peinent à fournir des informations pertinentes en temps opportun. Grâce aux services d'ingénierie et d'analyse des "&amp;"données, les entreprises peuvent tirer parti de conseils et d'avantages opérationnels, en se concentrant sur la réduction des coûts de possession et l'amélioration de la pérennité de leurs activités. NETSOL propose des services AWS pour l'ingénierie des d"&amp;"onnées, l'extraction de données à partir de diverses plateformes, tout en exploitant un catalogage intelligent grâce à des tests de confiance et un déploiement rapide. NETSOL accélère également vos efforts en matière de données grâce à son partenariat ave"&amp;"c les technologies d'intelligence artificielle et d'apprentissage automatique.")</f>
        <v>En raison de problèmes de confiance dans les données, de plateformes de données limitées et de connaissances insuffisantes, les entreprises peinent à fournir des informations pertinentes en temps opportun. Grâce aux services d'ingénierie et d'analyse des données, les entreprises peuvent tirer parti de conseils et d'avantages opérationnels, en se concentrant sur la réduction des coûts de possession et l'amélioration de la pérennité de leurs activités. NETSOL propose des services AWS pour l'ingénierie des données, l'extraction de données à partir de diverses plateformes, tout en exploitant un catalogage intelligent grâce à des tests de confiance et un déploiement rapide. NETSOL accélère également vos efforts en matière de données grâce à son partenariat avec les technologies d'intelligence artificielle et d'apprentissage automatique.</v>
      </c>
    </row>
    <row r="9" spans="1:2">
      <c r="A9" s="3" t="s">
        <v>687</v>
      </c>
      <c r="B9" s="3" t="str">
        <f ca="1">IFERROR(__xludf.DUMMYFUNCTION("IF(ISBLANK(A9),"""",GOOGLETRANSLATE(A9,""en"",""fr""))"),"pertes de données")</f>
        <v>pertes de données</v>
      </c>
    </row>
    <row r="10" spans="1:2">
      <c r="A10" s="3" t="s">
        <v>688</v>
      </c>
      <c r="B10" s="3" t="str">
        <f ca="1">IFERROR(__xludf.DUMMYFUNCTION("IF(ISBLANK(A10),"""",GOOGLETRANSLATE(A10,""en"",""fr""))"),"À l’échelle mondiale, les entreprises perdent plus de 15 millions de dollars par an en raison d’une mauvaise qualité et d’une mauvaise gestion des données.")</f>
        <v>À l’échelle mondiale, les entreprises perdent plus de 15 millions de dollars par an en raison d’une mauvaise qualité et d’une mauvaise gestion des données.</v>
      </c>
    </row>
    <row r="11" spans="1:2">
      <c r="A11" s="3" t="s">
        <v>689</v>
      </c>
      <c r="B11" s="3" t="str">
        <f ca="1">IFERROR(__xludf.DUMMYFUNCTION("IF(ISBLANK(A11),"""",GOOGLETRANSLATE(A11,""en"",""fr""))"),"Hausse du marché")</f>
        <v>Hausse du marché</v>
      </c>
    </row>
    <row r="12" spans="1:2">
      <c r="A12" s="3" t="s">
        <v>690</v>
      </c>
      <c r="B12" s="3" t="str">
        <f ca="1">IFERROR(__xludf.DUMMYFUNCTION("IF(ISBLANK(A12),"""",GOOGLETRANSLATE(A12,""en"",""fr""))"),"Le marché mondial des données devrait atteindre 274,3 milliards de dollars d'ici 2026.")</f>
        <v>Le marché mondial des données devrait atteindre 274,3 milliards de dollars d'ici 2026.</v>
      </c>
    </row>
    <row r="13" spans="1:2">
      <c r="A13" s="3" t="s">
        <v>691</v>
      </c>
      <c r="B13" s="3" t="str">
        <f ca="1">IFERROR(__xludf.DUMMYFUNCTION("IF(ISBLANK(A13),"""",GOOGLETRANSLATE(A13,""en"",""fr""))"),"Lacs de données")</f>
        <v>Lacs de données</v>
      </c>
    </row>
    <row r="14" spans="1:2">
      <c r="A14" s="3" t="s">
        <v>692</v>
      </c>
      <c r="B14" s="3" t="str">
        <f ca="1">IFERROR(__xludf.DUMMYFUNCTION("IF(ISBLANK(A14),"""",GOOGLETRANSLATE(A14,""en"",""fr""))"),"Le marché des lacs de données devrait atteindre un sommet de 20,04 milliards de dollars d’ici 2028.")</f>
        <v>Le marché des lacs de données devrait atteindre un sommet de 20,04 milliards de dollars d’ici 2028.</v>
      </c>
    </row>
    <row r="15" spans="1:2">
      <c r="A15" s="3" t="s">
        <v>693</v>
      </c>
      <c r="B15" s="3" t="str">
        <f ca="1">IFERROR(__xludf.DUMMYFUNCTION("IF(ISBLANK(A15),"""",GOOGLETRANSLATE(A15,""en"",""fr""))"),"Croissance de l'ingénierie")</f>
        <v>Croissance de l'ingénierie</v>
      </c>
    </row>
    <row r="16" spans="1:2">
      <c r="A16" s="3" t="s">
        <v>694</v>
      </c>
      <c r="B16" s="3" t="str">
        <f ca="1">IFERROR(__xludf.DUMMYFUNCTION("IF(ISBLANK(A16),"""",GOOGLETRANSLATE(A16,""en"",""fr""))"),"Le marché de l’ingénierie des données doublera pour atteindre 89,02 milliards de dollars d’ici 2027, contre 43,04 milliards de dollars en 2022.")</f>
        <v>Le marché de l’ingénierie des données doublera pour atteindre 89,02 milliards de dollars d’ici 2027, contre 43,04 milliards de dollars en 2022.</v>
      </c>
    </row>
    <row r="17" spans="1:2">
      <c r="A17" s="3" t="s">
        <v>695</v>
      </c>
      <c r="B17" s="3" t="str">
        <f ca="1">IFERROR(__xludf.DUMMYFUNCTION("IF(ISBLANK(A17),"""",GOOGLETRANSLATE(A17,""en"",""fr""))"),"Des informations exploitables avec la bonne stratégie de données")</f>
        <v>Des informations exploitables avec la bonne stratégie de données</v>
      </c>
    </row>
    <row r="18" spans="1:2">
      <c r="A18" s="3" t="s">
        <v>478</v>
      </c>
      <c r="B18" s="3" t="str">
        <f ca="1">IFERROR(__xludf.DUMMYFUNCTION("IF(ISBLANK(A18),"""",GOOGLETRANSLATE(A18,""en"",""fr""))"),"NETSOL propose des stratégies de sécurité axées sur les risques pour protéger vos données, garantir la conformité et améliorer l'agilité opérationnelle.")</f>
        <v>NETSOL propose des stratégies de sécurité axées sur les risques pour protéger vos données, garantir la conformité et améliorer l'agilité opérationnelle.</v>
      </c>
    </row>
    <row r="19" spans="1:2">
      <c r="B19" s="3" t="str">
        <f ca="1">IFERROR(__xludf.DUMMYFUNCTION("IF(ISBLANK(A19),"""",GOOGLETRANSLATE(A19,""en"",""fr""))"),"")</f>
        <v/>
      </c>
    </row>
    <row r="20" spans="1:2">
      <c r="A20" s="3" t="s">
        <v>696</v>
      </c>
      <c r="B20" s="3" t="str">
        <f ca="1">IFERROR(__xludf.DUMMYFUNCTION("IF(ISBLANK(A20),"""",GOOGLETRANSLATE(A20,""en"",""fr""))"),"3,1 milliards de dollars de plus en matière de durabilité")</f>
        <v>3,1 milliards de dollars de plus en matière de durabilité</v>
      </c>
    </row>
    <row r="21" spans="1:2">
      <c r="A21" s="3" t="s">
        <v>697</v>
      </c>
      <c r="B21" s="3" t="str">
        <f ca="1">IFERROR(__xludf.DUMMYFUNCTION("IF(ISBLANK(A21),"""",GOOGLETRANSLATE(A21,""en"",""fr""))"),"Le secteur peut garantir des économies annuelles de 3,1 billions de dollars grâce à une surveillance environnementale basée sur les données d’ici 2030.")</f>
        <v>Le secteur peut garantir des économies annuelles de 3,1 billions de dollars grâce à une surveillance environnementale basée sur les données d’ici 2030.</v>
      </c>
    </row>
    <row r="22" spans="1:2">
      <c r="A22" s="3" t="s">
        <v>698</v>
      </c>
      <c r="B22" s="3" t="str">
        <f ca="1">IFERROR(__xludf.DUMMYFUNCTION("IF(ISBLANK(A22),"""",GOOGLETRANSLATE(A22,""en"",""fr""))"),"Augmentation de 67,4 milliards de dollars de la blockchain")</f>
        <v>Augmentation de 67,4 milliards de dollars de la blockchain</v>
      </c>
    </row>
    <row r="23" spans="1:2">
      <c r="A23" s="3" t="s">
        <v>699</v>
      </c>
      <c r="B23" s="3" t="str">
        <f ca="1">IFERROR(__xludf.DUMMYFUNCTION("IF(ISBLANK(A23),"""",GOOGLETRANSLATE(A23,""en"",""fr""))"),"Le marché mondial de la blockchain est prêt à atteindre 67,4 milliards de dollars d'ici 2026, intégrant la sécurité et la traçabilité des données dans l'ingénierie des données.")</f>
        <v>Le marché mondial de la blockchain est prêt à atteindre 67,4 milliards de dollars d'ici 2026, intégrant la sécurité et la traçabilité des données dans l'ingénierie des données.</v>
      </c>
    </row>
    <row r="24" spans="1:2">
      <c r="A24" s="3" t="s">
        <v>700</v>
      </c>
      <c r="B24" s="3" t="str">
        <f ca="1">IFERROR(__xludf.DUMMYFUNCTION("IF(ISBLANK(A24),"""",GOOGLETRANSLATE(A24,""en"",""fr""))"),"70 % d'évolutivité")</f>
        <v>70 % d'évolutivité</v>
      </c>
    </row>
    <row r="25" spans="1:2">
      <c r="A25" s="3" t="s">
        <v>701</v>
      </c>
      <c r="B25" s="3" t="str">
        <f ca="1">IFERROR(__xludf.DUMMYFUNCTION("IF(ISBLANK(A25),"""",GOOGLETRANSLATE(A25,""en"",""fr""))"),"En intégrant les technologies low-code/no-code dans l'ingénierie des données, les entreprises peuvent constater une évolutivité de 70 % de leur pipeline de données.")</f>
        <v>En intégrant les technologies low-code/no-code dans l'ingénierie des données, les entreprises peuvent constater une évolutivité de 70 % de leur pipeline de données.</v>
      </c>
    </row>
    <row r="26" spans="1:2">
      <c r="A26" s="3" t="s">
        <v>702</v>
      </c>
      <c r="B26" s="3" t="str">
        <f ca="1">IFERROR(__xludf.DUMMYFUNCTION("IF(ISBLANK(A26),"""",GOOGLETRANSLATE(A26,""en"",""fr""))"),"Intelligence pilotée par l'IA basée sur des bases solides d'ingénierie des données")</f>
        <v>Intelligence pilotée par l'IA basée sur des bases solides d'ingénierie des données</v>
      </c>
    </row>
    <row r="27" spans="1:2">
      <c r="A27" s="3" t="s">
        <v>703</v>
      </c>
      <c r="B27" s="3" t="str">
        <f ca="1">IFERROR(__xludf.DUMMYFUNCTION("IF(ISBLANK(A27),"""",GOOGLETRANSLATE(A27,""en"",""fr""))"),"Stratégie de migration de données, développement et mise en œuvre")</f>
        <v>Stratégie de migration de données, développement et mise en œuvre</v>
      </c>
    </row>
    <row r="28" spans="1:2">
      <c r="A28" s="3" t="s">
        <v>704</v>
      </c>
      <c r="B28" s="3" t="str">
        <f ca="1">IFERROR(__xludf.DUMMYFUNCTION("IF(ISBLANK(A28),"""",GOOGLETRANSLATE(A28,""en"",""fr""))"),"Grâce à une stratégie de migration de données adaptée, les entreprises peuvent évaluer leurs données, les tester et les valider, et transformer ces informations en informations précieuses. Les outils de développement et de mise en œuvre facilitent la gest"&amp;"ion du changement tout en assurant la validation post-migration et pré-migration, avec un accompagnement continu.")</f>
        <v>Grâce à une stratégie de migration de données adaptée, les entreprises peuvent évaluer leurs données, les tester et les valider, et transformer ces informations en informations précieuses. Les outils de développement et de mise en œuvre facilitent la gestion du changement tout en assurant la validation post-migration et pré-migration, avec un accompagnement continu.</v>
      </c>
    </row>
    <row r="29" spans="1:2">
      <c r="A29" s="3" t="s">
        <v>705</v>
      </c>
      <c r="B29" s="3" t="str">
        <f ca="1">IFERROR(__xludf.DUMMYFUNCTION("IF(ISBLANK(A29),"""",GOOGLETRANSLATE(A29,""en"",""fr""))"),"Services de traitement et d'intégration de données")</f>
        <v>Services de traitement et d'intégration de données</v>
      </c>
    </row>
    <row r="30" spans="1:2">
      <c r="A30" s="3" t="s">
        <v>706</v>
      </c>
      <c r="B30" s="3" t="str">
        <f ca="1">IFERROR(__xludf.DUMMYFUNCTION("IF(ISBLANK(A30),"""",GOOGLETRANSLATE(A30,""en"",""fr""))"),"Les services d'ingénierie d'analyse de données permettent de relever le défi du traitement des données grâce à des sources de données diversifiées et de les convertir en informations commerciales précieuses. Nous les combinons en extrayant les données de "&amp;"sources uniques, en les harmonisant et en simplifiant le flux de travail.")</f>
        <v>Les services d'ingénierie d'analyse de données permettent de relever le défi du traitement des données grâce à des sources de données diversifiées et de les convertir en informations commerciales précieuses. Nous les combinons en extrayant les données de sources uniques, en les harmonisant et en simplifiant le flux de travail.</v>
      </c>
    </row>
    <row r="31" spans="1:2">
      <c r="A31" s="3" t="s">
        <v>707</v>
      </c>
      <c r="B31" s="3" t="str">
        <f ca="1">IFERROR(__xludf.DUMMYFUNCTION("IF(ISBLANK(A31),"""",GOOGLETRANSLATE(A31,""en"",""fr""))"),"Lacs de données, entrepôts de données et data marts")</f>
        <v>Lacs de données, entrepôts de données et data marts</v>
      </c>
    </row>
    <row r="32" spans="1:2">
      <c r="A32" s="3" t="s">
        <v>708</v>
      </c>
      <c r="B32" s="3" t="str">
        <f ca="1">IFERROR(__xludf.DUMMYFUNCTION("IF(ISBLANK(A32),"""",GOOGLETRANSLATE(A32,""en"",""fr""))"),"L'ingénierie des données repose sur des solutions de stockage robustes, où les lacs de données, les entrepôts de données et les data marts jouent un rôle essentiel. Choisissez avec nous la solution la mieux adaptée à vos besoins en termes de coût, d'acces"&amp;"sibilité et de structure des données.")</f>
        <v>L'ingénierie des données repose sur des solutions de stockage robustes, où les lacs de données, les entrepôts de données et les data marts jouent un rôle essentiel. Choisissez avec nous la solution la mieux adaptée à vos besoins en termes de coût, d'accessibilité et de structure des données.</v>
      </c>
    </row>
    <row r="33" spans="1:2">
      <c r="A33" s="3" t="s">
        <v>709</v>
      </c>
      <c r="B33" s="3" t="str">
        <f ca="1">IFERROR(__xludf.DUMMYFUNCTION("IF(ISBLANK(A33),"""",GOOGLETRANSLATE(A33,""en"",""fr""))"),"Analyse, reporting et visualisation des données")</f>
        <v>Analyse, reporting et visualisation des données</v>
      </c>
    </row>
    <row r="34" spans="1:2">
      <c r="A34" s="3" t="s">
        <v>710</v>
      </c>
      <c r="B34" s="3" t="str">
        <f ca="1">IFERROR(__xludf.DUMMYFUNCTION("IF(ISBLANK(A34),"""",GOOGLETRANSLATE(A34,""en"",""fr""))"),"Intégrez des solutions d'analyse de données à votre entreprise pour en extraire la véritable signification grâce à des outils d'analyse avancés. Obtenez des rapports personnalisés et automatisés grâce à la création de rapports de données, et ajoutez un ta"&amp;"bleau de bord interactif pour une visualisation optimisée des données.")</f>
        <v>Intégrez des solutions d'analyse de données à votre entreprise pour en extraire la véritable signification grâce à des outils d'analyse avancés. Obtenez des rapports personnalisés et automatisés grâce à la création de rapports de données, et ajoutez un tableau de bord interactif pour une visualisation optimisée des données.</v>
      </c>
    </row>
    <row r="35" spans="1:2">
      <c r="A35" s="3" t="s">
        <v>711</v>
      </c>
      <c r="B35" s="3" t="str">
        <f ca="1">IFERROR(__xludf.DUMMYFUNCTION("IF(ISBLANK(A35),"""",GOOGLETRANSLATE(A35,""en"",""fr""))"),"ETL, ELT, pipeline de données, workflow et orchestration")</f>
        <v>ETL, ELT, pipeline de données, workflow et orchestration</v>
      </c>
    </row>
    <row r="36" spans="1:2">
      <c r="A36" s="3" t="s">
        <v>712</v>
      </c>
      <c r="B36" s="3" t="str">
        <f ca="1">IFERROR(__xludf.DUMMYFUNCTION("IF(ISBLANK(A36),"""",GOOGLETRANSLATE(A36,""en"",""fr""))"),"Les techniques d'extraction, de transformation et de chargement (ETL) et d'extraction, de chargement et de transformation (ELT) aident les entreprises à transformer leurs données en informations pertinentes. Grâce aux pipelines de données modernes, les en"&amp;"treprises peuvent gérer efficacement le volume et la complexité des données.")</f>
        <v>Les techniques d'extraction, de transformation et de chargement (ETL) et d'extraction, de chargement et de transformation (ELT) aident les entreprises à transformer leurs données en informations pertinentes. Grâce aux pipelines de données modernes, les entreprises peuvent gérer efficacement le volume et la complexité des données.</v>
      </c>
    </row>
    <row r="37" spans="1:2">
      <c r="A37" s="3" t="s">
        <v>713</v>
      </c>
      <c r="B37" s="3" t="str">
        <f ca="1">IFERROR(__xludf.DUMMYFUNCTION("IF(ISBLANK(A37),"""",GOOGLETRANSLATE(A37,""en"",""fr""))"),"Modélisation, optimisation et architecture des données")</f>
        <v>Modélisation, optimisation et architecture des données</v>
      </c>
    </row>
    <row r="38" spans="1:2">
      <c r="A38" s="3" t="s">
        <v>714</v>
      </c>
      <c r="B38" s="3" t="str">
        <f ca="1">IFERROR(__xludf.DUMMYFUNCTION("IF(ISBLANK(A38),"""",GOOGLETRANSLATE(A38,""en"",""fr""))"),"L'ingénierie des données repose sur la modélisation, l'optimisation et l'architecture des données. De la définition des relations entre les données à la prise en compte des performances et à la conception stratégique des données, NETSOL vous permet de gér"&amp;"er ces processus avec brio.")</f>
        <v>L'ingénierie des données repose sur la modélisation, l'optimisation et l'architecture des données. De la définition des relations entre les données à la prise en compte des performances et à la conception stratégique des données, NETSOL vous permet de gérer ces processus avec brio.</v>
      </c>
    </row>
    <row r="39" spans="1:2">
      <c r="A39" s="3" t="s">
        <v>621</v>
      </c>
      <c r="B39" s="3" t="str">
        <f ca="1">IFERROR(__xludf.DUMMYFUNCTION("IF(ISBLANK(A39),"""",GOOGLETRANSLATE(A39,""en"",""fr""))"),"Prêt à commencer ?")</f>
        <v>Prêt à commencer ?</v>
      </c>
    </row>
    <row r="40" spans="1:2">
      <c r="A40" s="3" t="s">
        <v>715</v>
      </c>
      <c r="B40" s="3" t="str">
        <f ca="1">IFERROR(__xludf.DUMMYFUNCTION("IF(ISBLANK(A40),"""",GOOGLETRANSLATE(A40,""en"",""fr""))"),"Découvrez comment NETSOL développe une conception d'architecture de données complète, renforçant votre infrastructure de données avec des services d'ingénierie de données.")</f>
        <v>Découvrez comment NETSOL développe une conception d'architecture de données complète, renforçant votre infrastructure de données avec des services d'ingénierie de données.</v>
      </c>
    </row>
    <row r="41" spans="1:2">
      <c r="B41" s="3" t="str">
        <f ca="1">IFERROR(__xludf.DUMMYFUNCTION("IF(ISBLANK(A41),"""",GOOGLETRANSLATE(A41,""en"",""fr""))"),"")</f>
        <v/>
      </c>
    </row>
    <row r="42" spans="1:2">
      <c r="A42" s="3" t="s">
        <v>94</v>
      </c>
      <c r="B42" s="3" t="str">
        <f ca="1">IFERROR(__xludf.DUMMYFUNCTION("IF(ISBLANK(A42),"""",GOOGLETRANSLATE(A42,""en"",""fr""))"),"Lectures et idées en vedette")</f>
        <v>Lectures et idées en vedette</v>
      </c>
    </row>
    <row r="43" spans="1:2">
      <c r="A43" s="10" t="s">
        <v>95</v>
      </c>
      <c r="B43" s="3" t="str">
        <f ca="1">IFERROR(__xludf.DUMMYFUNCTION("IF(ISBLANK(A43),"""",GOOGLETRANSLATE(A43,""en"",""fr""))"),"Restez informé des dernières actualités de NETSOL. Réflexions stratégiques, mises à jour produits, perspectives sectorielles et actualités de l'entreprise, tout est réuni au même endroit.")</f>
        <v>Restez informé des dernières actualités de NETSOL. Réflexions stratégiques, mises à jour produits, perspectives sectorielles et actualités de l'entreprise, tout est réuni au même endroit.</v>
      </c>
    </row>
    <row r="44" spans="1:2">
      <c r="A44" s="3" t="s">
        <v>96</v>
      </c>
      <c r="B44" s="3" t="str">
        <f ca="1">IFERROR(__xludf.DUMMYFUNCTION("IF(ISBLANK(A44),"""",GOOGLETRANSLATE(A44,""en"",""fr""))"),"Blog")</f>
        <v>Blog</v>
      </c>
    </row>
    <row r="45" spans="1:2">
      <c r="A45" s="3" t="s">
        <v>97</v>
      </c>
      <c r="B45" s="3" t="str">
        <f ca="1">IFERROR(__xludf.DUMMYFUNCTION("IF(ISBLANK(A45),"""",GOOGLETRANSLATE(A45,""en"",""fr""))"),"Au-delà du DMS : pourquoi l’avenir du commerce automobile repose sur les API")</f>
        <v>Au-delà du DMS : pourquoi l’avenir du commerce automobile repose sur les API</v>
      </c>
    </row>
    <row r="46" spans="1:2">
      <c r="A46" s="3" t="s">
        <v>23</v>
      </c>
      <c r="B46" s="3" t="str">
        <f ca="1">IFERROR(__xludf.DUMMYFUNCTION("IF(ISBLANK(A46),"""",GOOGLETRANSLATE(A46,""en"",""fr""))"),"Apprendre encore plus")</f>
        <v>Apprendre encore plus</v>
      </c>
    </row>
    <row r="47" spans="1:2">
      <c r="B47" s="3" t="str">
        <f ca="1">IFERROR(__xludf.DUMMYFUNCTION("IF(ISBLANK(A47),"""",GOOGLETRANSLATE(A47,""en"",""fr""))"),"")</f>
        <v/>
      </c>
    </row>
    <row r="48" spans="1:2">
      <c r="A48" s="3" t="s">
        <v>98</v>
      </c>
      <c r="B48" s="3" t="str">
        <f ca="1">IFERROR(__xludf.DUMMYFUNCTION("IF(ISBLANK(A48),"""",GOOGLETRANSLATE(A48,""en"",""fr""))"),"NETSOL est présent à la conférence et aux prix GlobalData Automotive Europe 2025.")</f>
        <v>NETSOL est présent à la conférence et aux prix GlobalData Automotive Europe 2025.</v>
      </c>
    </row>
    <row r="49" spans="1:2">
      <c r="B49" s="3" t="str">
        <f ca="1">IFERROR(__xludf.DUMMYFUNCTION("IF(ISBLANK(A49),"""",GOOGLETRANSLATE(A49,""en"",""fr""))"),"")</f>
        <v/>
      </c>
    </row>
    <row r="50" spans="1:2">
      <c r="B50" s="3" t="str">
        <f ca="1">IFERROR(__xludf.DUMMYFUNCTION("IF(ISBLANK(A50),"""",GOOGLETRANSLATE(A50,""en"",""fr""))"),"")</f>
        <v/>
      </c>
    </row>
    <row r="51" spans="1:2">
      <c r="A51" s="3" t="s">
        <v>99</v>
      </c>
      <c r="B51" s="3" t="str">
        <f ca="1">IFERROR(__xludf.DUMMYFUNCTION("IF(ISBLANK(A51),"""",GOOGLETRANSLATE(A51,""en"",""fr""))"),"NETSOL participe au 25e Sommet annuel du financement automobile : Piloter l'avenir du financement automobile")</f>
        <v>NETSOL participe au 25e Sommet annuel du financement automobile : Piloter l'avenir du financement automobile</v>
      </c>
    </row>
    <row r="52" spans="1:2">
      <c r="B52" s="3" t="str">
        <f ca="1">IFERROR(__xludf.DUMMYFUNCTION("IF(ISBLANK(A52),"""",GOOGLETRANSLATE(A52,""en"",""fr""))"),"")</f>
        <v/>
      </c>
    </row>
    <row r="53" spans="1:2">
      <c r="B53" s="3" t="str">
        <f ca="1">IFERROR(__xludf.DUMMYFUNCTION("IF(ISBLANK(A53),"""",GOOGLETRANSLATE(A53,""en"",""fr""))"),"")</f>
        <v/>
      </c>
    </row>
    <row r="54" spans="1:2">
      <c r="A54" s="3" t="s">
        <v>100</v>
      </c>
      <c r="B54" s="3" t="str">
        <f ca="1">IFERROR(__xludf.DUMMYFUNCTION("IF(ISBLANK(A54),"""",GOOGLETRANSLATE(A54,""en"",""fr""))"),"NETSOL est présent à Digital Dealer 2025 : façonner l’avenir de la vente automobile")</f>
        <v>NETSOL est présent à Digital Dealer 2025 : façonner l’avenir de la vente automobile</v>
      </c>
    </row>
    <row r="55" spans="1:2">
      <c r="B55" s="3" t="str">
        <f ca="1">IFERROR(__xludf.DUMMYFUNCTION("IF(ISBLANK(A55),"""",GOOGLETRANSLATE(A55,""en"",""fr""))"),"")</f>
        <v/>
      </c>
    </row>
    <row r="56" spans="1:2">
      <c r="B56" s="3" t="str">
        <f ca="1">IFERROR(__xludf.DUMMYFUNCTION("IF(ISBLANK(A56),"""",GOOGLETRANSLATE(A56,""en"",""fr""))"),"")</f>
        <v/>
      </c>
    </row>
    <row r="57" spans="1:2">
      <c r="A57" s="6" t="s">
        <v>101</v>
      </c>
      <c r="B57" s="3" t="str">
        <f ca="1">IFERROR(__xludf.DUMMYFUNCTION("IF(ISBLANK(A57),"""",GOOGLETRANSLATE(A57,""en"",""fr""))"),"L'IA dans le secteur des services financiers et de l'investissement : révolutionner la gestion des risques")</f>
        <v>L'IA dans le secteur des services financiers et de l'investissement : révolutionner la gestion des risques</v>
      </c>
    </row>
    <row r="58" spans="1:2">
      <c r="B58" s="3" t="str">
        <f ca="1">IFERROR(__xludf.DUMMYFUNCTION("IF(ISBLANK(A58),"""",GOOGLETRANSLATE(A58,""en"",""fr""))"),"")</f>
        <v/>
      </c>
    </row>
    <row r="59" spans="1:2">
      <c r="B59" s="3" t="str">
        <f ca="1">IFERROR(__xludf.DUMMYFUNCTION("IF(ISBLANK(A59),"""",GOOGLETRANSLATE(A59,""en"",""fr""))"),"")</f>
        <v/>
      </c>
    </row>
    <row r="60" spans="1:2">
      <c r="A60" s="3" t="s">
        <v>102</v>
      </c>
      <c r="B60" s="3" t="str">
        <f ca="1">IFERROR(__xludf.DUMMYFUNCTION("IF(ISBLANK(A60),"""",GOOGLETRANSLATE(A60,""en"",""fr""))"),"L'importance de la personnalisation du service client : adapter la gestion des paiements et des litiges aux besoins des clients")</f>
        <v>L'importance de la personnalisation du service client : adapter la gestion des paiements et des litiges aux besoins des clients</v>
      </c>
    </row>
    <row r="61" spans="1:2">
      <c r="B61" s="3" t="str">
        <f ca="1">IFERROR(__xludf.DUMMYFUNCTION("IF(ISBLANK(A61),"""",GOOGLETRANSLATE(A61,""en"",""fr""))"),"")</f>
        <v/>
      </c>
    </row>
    <row r="62" spans="1:2">
      <c r="B62" s="3" t="str">
        <f ca="1">IFERROR(__xludf.DUMMYFUNCTION("IF(ISBLANK(A62),"""",GOOGLETRANSLATE(A62,""en"",""fr""))"),"")</f>
        <v/>
      </c>
    </row>
    <row r="63" spans="1:2">
      <c r="A63" s="3" t="s">
        <v>103</v>
      </c>
      <c r="B63" s="3" t="str">
        <f ca="1">IFERROR(__xludf.DUMMYFUNCTION("IF(ISBLANK(A63),"""",GOOGLETRANSLATE(A63,""en"",""fr""))"),"Le véritable coût des systèmes déconnectés dans le commerce de détail automobile")</f>
        <v>Le véritable coût des systèmes déconnectés dans le commerce de détail automobile</v>
      </c>
    </row>
    <row r="64" spans="1:2">
      <c r="B64" s="3" t="str">
        <f ca="1">IFERROR(__xludf.DUMMYFUNCTION("IF(ISBLANK(A64),"""",GOOGLETRANSLATE(A64,""en"",""fr""))"),"")</f>
        <v/>
      </c>
    </row>
    <row r="65" spans="1:2">
      <c r="B65" s="3" t="str">
        <f ca="1">IFERROR(__xludf.DUMMYFUNCTION("IF(ISBLANK(A65),"""",GOOGLETRANSLATE(A65,""en"",""fr""))"),"")</f>
        <v/>
      </c>
    </row>
    <row r="66" spans="1:2">
      <c r="A66" s="3" t="s">
        <v>104</v>
      </c>
      <c r="B66" s="3" t="str">
        <f ca="1">IFERROR(__xludf.DUMMYFUNCTION("IF(ISBLANK(A66),"""",GOOGLETRANSLATE(A66,""en"",""fr""))"),"Captive du futur : Comment la technologie redéfinit les opérations financières des captives - Points clés du webinaire de l'AFSA")</f>
        <v>Captive du futur : Comment la technologie redéfinit les opérations financières des captives - Points clés du webinaire de l'AFSA</v>
      </c>
    </row>
    <row r="67" spans="1:2">
      <c r="B67" s="3" t="str">
        <f ca="1">IFERROR(__xludf.DUMMYFUNCTION("IF(ISBLANK(A67),"""",GOOGLETRANSLATE(A67,""en"",""fr""))"),"")</f>
        <v/>
      </c>
    </row>
    <row r="68" spans="1:2">
      <c r="B68" s="3" t="str">
        <f ca="1">IFERROR(__xludf.DUMMYFUNCTION("IF(ISBLANK(A68),"""",GOOGLETRANSLATE(A68,""en"",""fr""))"),"")</f>
        <v/>
      </c>
    </row>
    <row r="69" spans="1:2">
      <c r="A69" s="3" t="s">
        <v>105</v>
      </c>
      <c r="B69" s="3" t="str">
        <f ca="1">IFERROR(__xludf.DUMMYFUNCTION("IF(ISBLANK(A69),"""",GOOGLETRANSLATE(A69,""en"",""fr""))"),"Lutte contre la fraude dans le secteur financier de gros : exploiter la technologie pour une détection précoce et une atténuation des risques")</f>
        <v>Lutte contre la fraude dans le secteur financier de gros : exploiter la technologie pour une détection précoce et une atténuation des risques</v>
      </c>
    </row>
    <row r="70" spans="1:2">
      <c r="B70" s="3" t="str">
        <f ca="1">IFERROR(__xludf.DUMMYFUNCTION("IF(ISBLANK(A70),"""",GOOGLETRANSLATE(A70,""en"",""fr""))"),"")</f>
        <v/>
      </c>
    </row>
    <row r="71" spans="1:2">
      <c r="A71" s="3" t="s">
        <v>108</v>
      </c>
      <c r="B71" s="3" t="str">
        <f ca="1">IFERROR(__xludf.DUMMYFUNCTION("IF(ISBLANK(A71),"""",GOOGLETRANSLATE(A71,""en"",""fr""))"),"Abonnez-vous à notre newsletter pour recevoir les dernières nouvelles dans votre boîte mail.")</f>
        <v>Abonnez-vous à notre newsletter pour recevoir les dernières nouvelles dans votre boîte mail.</v>
      </c>
    </row>
    <row r="72" spans="1:2">
      <c r="A72" s="3" t="s">
        <v>109</v>
      </c>
      <c r="B72" s="3" t="str">
        <f ca="1">IFERROR(__xludf.DUMMYFUNCTION("IF(ISBLANK(A72),"""",GOOGLETRANSLATE(A72,""en"",""fr""))"),"abc@exemple.com")</f>
        <v>abc@exemple.com</v>
      </c>
    </row>
    <row r="73" spans="1:2">
      <c r="A73" s="3" t="s">
        <v>110</v>
      </c>
      <c r="B73" s="3" t="str">
        <f ca="1">IFERROR(__xludf.DUMMYFUNCTION("IF(ISBLANK(A73),"""",GOOGLETRANSLATE(A73,""en"",""fr""))"),"S'abonner ")</f>
        <v xml:space="preserve">S'abonner </v>
      </c>
    </row>
    <row r="74" spans="1:2">
      <c r="B74" s="3" t="str">
        <f ca="1">IFERROR(__xludf.DUMMYFUNCTION("IF(ISBLANK(A74),"""",GOOGLETRANSLATE(A74,""en"",""fr""))"),"")</f>
        <v/>
      </c>
    </row>
    <row r="75" spans="1:2">
      <c r="B75" s="3" t="str">
        <f ca="1">IFERROR(__xludf.DUMMYFUNCTION("IF(ISBLANK(A75),"""",GOOGLETRANSLATE(A75,""en"",""fr""))"),"")</f>
        <v/>
      </c>
    </row>
    <row r="76" spans="1:2">
      <c r="B76" s="3" t="str">
        <f ca="1">IFERROR(__xludf.DUMMYFUNCTION("IF(ISBLANK(A76),"""",GOOGLETRANSLATE(A76,""en"",""fr""))"),"")</f>
        <v/>
      </c>
    </row>
    <row r="77" spans="1:2">
      <c r="B77" s="3" t="str">
        <f ca="1">IFERROR(__xludf.DUMMYFUNCTION("IF(ISBLANK(A77),"""",GOOGLETRANSLATE(A77,""en"",""fr""))"),"")</f>
        <v/>
      </c>
    </row>
    <row r="78" spans="1:2">
      <c r="B78" s="3" t="str">
        <f ca="1">IFERROR(__xludf.DUMMYFUNCTION("IF(ISBLANK(A78),"""",GOOGLETRANSLATE(A78,""en"",""fr""))"),"")</f>
        <v/>
      </c>
    </row>
    <row r="79" spans="1:2">
      <c r="B79" s="3" t="str">
        <f ca="1">IFERROR(__xludf.DUMMYFUNCTION("IF(ISBLANK(A79),"""",GOOGLETRANSLATE(A79,""en"",""fr""))"),"")</f>
        <v/>
      </c>
    </row>
    <row r="80" spans="1:2">
      <c r="B80" s="3" t="str">
        <f ca="1">IFERROR(__xludf.DUMMYFUNCTION("IF(ISBLANK(A80),"""",GOOGLETRANSLATE(A80,""en"",""fr""))"),"")</f>
        <v/>
      </c>
    </row>
    <row r="81" spans="2:2">
      <c r="B81" s="3" t="str">
        <f ca="1">IFERROR(__xludf.DUMMYFUNCTION("IF(ISBLANK(A81),"""",GOOGLETRANSLATE(A81,""en"",""fr""))"),"")</f>
        <v/>
      </c>
    </row>
    <row r="82" spans="2:2">
      <c r="B82" s="3" t="str">
        <f ca="1">IFERROR(__xludf.DUMMYFUNCTION("IF(ISBLANK(A82),"""",GOOGLETRANSLATE(A82,""en"",""fr""))"),"")</f>
        <v/>
      </c>
    </row>
    <row r="83" spans="2:2">
      <c r="B83" s="3" t="str">
        <f ca="1">IFERROR(__xludf.DUMMYFUNCTION("IF(ISBLANK(A83),"""",GOOGLETRANSLATE(A83,""en"",""fr""))"),"")</f>
        <v/>
      </c>
    </row>
    <row r="84" spans="2:2">
      <c r="B84" s="3" t="str">
        <f ca="1">IFERROR(__xludf.DUMMYFUNCTION("IF(ISBLANK(A84),"""",GOOGLETRANSLATE(A84,""en"",""fr""))"),"")</f>
        <v/>
      </c>
    </row>
    <row r="85" spans="2:2">
      <c r="B85" s="3" t="str">
        <f ca="1">IFERROR(__xludf.DUMMYFUNCTION("IF(ISBLANK(A85),"""",GOOGLETRANSLATE(A85,""en"",""fr""))"),"")</f>
        <v/>
      </c>
    </row>
    <row r="86" spans="2:2">
      <c r="B86" s="3" t="str">
        <f ca="1">IFERROR(__xludf.DUMMYFUNCTION("IF(ISBLANK(A86),"""",GOOGLETRANSLATE(A86,""en"",""fr""))"),"")</f>
        <v/>
      </c>
    </row>
    <row r="87" spans="2:2">
      <c r="B87" s="3" t="str">
        <f ca="1">IFERROR(__xludf.DUMMYFUNCTION("IF(ISBLANK(A87),"""",GOOGLETRANSLATE(A87,""en"",""fr""))"),"")</f>
        <v/>
      </c>
    </row>
    <row r="88" spans="2:2">
      <c r="B88" s="3" t="str">
        <f ca="1">IFERROR(__xludf.DUMMYFUNCTION("IF(ISBLANK(A88),"""",GOOGLETRANSLATE(A88,""en"",""fr""))"),"")</f>
        <v/>
      </c>
    </row>
    <row r="89" spans="2:2">
      <c r="B89" s="3" t="str">
        <f ca="1">IFERROR(__xludf.DUMMYFUNCTION("IF(ISBLANK(A89),"""",GOOGLETRANSLATE(A89,""en"",""fr""))"),"")</f>
        <v/>
      </c>
    </row>
    <row r="90" spans="2:2">
      <c r="B90" s="3" t="str">
        <f ca="1">IFERROR(__xludf.DUMMYFUNCTION("IF(ISBLANK(A90),"""",GOOGLETRANSLATE(A90,""en"",""fr""))"),"")</f>
        <v/>
      </c>
    </row>
    <row r="91" spans="2:2">
      <c r="B91" s="3" t="str">
        <f ca="1">IFERROR(__xludf.DUMMYFUNCTION("IF(ISBLANK(A91),"""",GOOGLETRANSLATE(A91,""en"",""fr""))"),"")</f>
        <v/>
      </c>
    </row>
    <row r="92" spans="2:2">
      <c r="B92" s="3" t="str">
        <f ca="1">IFERROR(__xludf.DUMMYFUNCTION("IF(ISBLANK(A92),"""",GOOGLETRANSLATE(A92,""en"",""fr""))"),"")</f>
        <v/>
      </c>
    </row>
    <row r="93" spans="2:2">
      <c r="B93" s="3" t="str">
        <f ca="1">IFERROR(__xludf.DUMMYFUNCTION("IF(ISBLANK(A93),"""",GOOGLETRANSLATE(A93,""en"",""fr""))"),"")</f>
        <v/>
      </c>
    </row>
    <row r="94" spans="2:2">
      <c r="B94" s="3" t="str">
        <f ca="1">IFERROR(__xludf.DUMMYFUNCTION("IF(ISBLANK(A94),"""",GOOGLETRANSLATE(A94,""en"",""fr""))"),"")</f>
        <v/>
      </c>
    </row>
    <row r="95" spans="2:2">
      <c r="B95" s="3" t="str">
        <f ca="1">IFERROR(__xludf.DUMMYFUNCTION("IF(ISBLANK(A95),"""",GOOGLETRANSLATE(A95,""en"",""fr""))"),"")</f>
        <v/>
      </c>
    </row>
    <row r="96" spans="2:2">
      <c r="B96" s="3" t="str">
        <f ca="1">IFERROR(__xludf.DUMMYFUNCTION("IF(ISBLANK(A96),"""",GOOGLETRANSLATE(A96,""en"",""fr""))"),"")</f>
        <v/>
      </c>
    </row>
    <row r="97" spans="2:2">
      <c r="B97" s="3" t="str">
        <f ca="1">IFERROR(__xludf.DUMMYFUNCTION("IF(ISBLANK(A97),"""",GOOGLETRANSLATE(A97,""en"",""fr""))"),"")</f>
        <v/>
      </c>
    </row>
    <row r="98" spans="2:2">
      <c r="B98" s="3" t="str">
        <f ca="1">IFERROR(__xludf.DUMMYFUNCTION("IF(ISBLANK(A98),"""",GOOGLETRANSLATE(A98,""en"",""fr""))"),"")</f>
        <v/>
      </c>
    </row>
    <row r="99" spans="2:2">
      <c r="B99" s="3" t="str">
        <f ca="1">IFERROR(__xludf.DUMMYFUNCTION("IF(ISBLANK(A99),"""",GOOGLETRANSLATE(A99,""en"",""fr""))"),"")</f>
        <v/>
      </c>
    </row>
    <row r="100" spans="2:2">
      <c r="B100" s="3" t="str">
        <f ca="1">IFERROR(__xludf.DUMMYFUNCTION("IF(ISBLANK(A100),"""",GOOGLETRANSLATE(A100,""en"",""fr""))"),"")</f>
        <v/>
      </c>
    </row>
    <row r="101" spans="2:2">
      <c r="B101" s="3" t="str">
        <f ca="1">IFERROR(__xludf.DUMMYFUNCTION("IF(ISBLANK(A101),"""",GOOGLETRANSLATE(A101,""en"",""fr""))"),"")</f>
        <v/>
      </c>
    </row>
    <row r="102" spans="2:2">
      <c r="B102" s="3" t="str">
        <f ca="1">IFERROR(__xludf.DUMMYFUNCTION("IF(ISBLANK(A102),"""",GOOGLETRANSLATE(A102,""en"",""fr""))"),"")</f>
        <v/>
      </c>
    </row>
    <row r="103" spans="2:2">
      <c r="B103" s="3" t="str">
        <f ca="1">IFERROR(__xludf.DUMMYFUNCTION("IF(ISBLANK(A103),"""",GOOGLETRANSLATE(A103,""en"",""fr""))"),"")</f>
        <v/>
      </c>
    </row>
    <row r="104" spans="2:2">
      <c r="B104" s="3" t="str">
        <f ca="1">IFERROR(__xludf.DUMMYFUNCTION("IF(ISBLANK(A104),"""",GOOGLETRANSLATE(A104,""en"",""fr""))"),"")</f>
        <v/>
      </c>
    </row>
    <row r="105" spans="2:2">
      <c r="B105" s="3" t="str">
        <f ca="1">IFERROR(__xludf.DUMMYFUNCTION("IF(ISBLANK(A105),"""",GOOGLETRANSLATE(A105,""en"",""fr""))"),"")</f>
        <v/>
      </c>
    </row>
    <row r="106" spans="2:2">
      <c r="B106" s="3" t="str">
        <f ca="1">IFERROR(__xludf.DUMMYFUNCTION("IF(ISBLANK(A106),"""",GOOGLETRANSLATE(A106,""en"",""fr""))"),"")</f>
        <v/>
      </c>
    </row>
    <row r="107" spans="2:2">
      <c r="B107" s="3" t="str">
        <f ca="1">IFERROR(__xludf.DUMMYFUNCTION("IF(ISBLANK(A107),"""",GOOGLETRANSLATE(A107,""en"",""fr""))"),"")</f>
        <v/>
      </c>
    </row>
    <row r="108" spans="2:2">
      <c r="B108" s="3" t="str">
        <f ca="1">IFERROR(__xludf.DUMMYFUNCTION("IF(ISBLANK(A108),"""",GOOGLETRANSLATE(A108,""en"",""fr""))"),"")</f>
        <v/>
      </c>
    </row>
    <row r="109" spans="2:2">
      <c r="B109" s="3" t="str">
        <f ca="1">IFERROR(__xludf.DUMMYFUNCTION("IF(ISBLANK(A109),"""",GOOGLETRANSLATE(A109,""en"",""fr""))"),"")</f>
        <v/>
      </c>
    </row>
    <row r="110" spans="2:2">
      <c r="B110" s="3" t="str">
        <f ca="1">IFERROR(__xludf.DUMMYFUNCTION("IF(ISBLANK(A110),"""",GOOGLETRANSLATE(A110,""en"",""fr""))"),"")</f>
        <v/>
      </c>
    </row>
    <row r="111" spans="2:2">
      <c r="B111" s="3" t="str">
        <f ca="1">IFERROR(__xludf.DUMMYFUNCTION("IF(ISBLANK(A111),"""",GOOGLETRANSLATE(A111,""en"",""fr""))"),"")</f>
        <v/>
      </c>
    </row>
    <row r="112" spans="2:2">
      <c r="B112" s="3" t="str">
        <f ca="1">IFERROR(__xludf.DUMMYFUNCTION("IF(ISBLANK(A112),"""",GOOGLETRANSLATE(A112,""en"",""fr""))"),"")</f>
        <v/>
      </c>
    </row>
    <row r="113" spans="2:2">
      <c r="B113" s="3" t="str">
        <f ca="1">IFERROR(__xludf.DUMMYFUNCTION("IF(ISBLANK(A113),"""",GOOGLETRANSLATE(A113,""en"",""fr""))"),"")</f>
        <v/>
      </c>
    </row>
    <row r="114" spans="2:2">
      <c r="B114" s="3" t="str">
        <f ca="1">IFERROR(__xludf.DUMMYFUNCTION("IF(ISBLANK(A114),"""",GOOGLETRANSLATE(A114,""en"",""fr""))"),"")</f>
        <v/>
      </c>
    </row>
    <row r="115" spans="2:2">
      <c r="B115" s="3" t="str">
        <f ca="1">IFERROR(__xludf.DUMMYFUNCTION("IF(ISBLANK(A115),"""",GOOGLETRANSLATE(A115,""en"",""fr""))"),"")</f>
        <v/>
      </c>
    </row>
    <row r="116" spans="2:2">
      <c r="B116" s="3" t="str">
        <f ca="1">IFERROR(__xludf.DUMMYFUNCTION("IF(ISBLANK(A116),"""",GOOGLETRANSLATE(A116,""en"",""fr""))"),"")</f>
        <v/>
      </c>
    </row>
    <row r="117" spans="2:2">
      <c r="B117" s="3" t="str">
        <f ca="1">IFERROR(__xludf.DUMMYFUNCTION("IF(ISBLANK(A117),"""",GOOGLETRANSLATE(A117,""en"",""fr""))"),"")</f>
        <v/>
      </c>
    </row>
    <row r="118" spans="2:2">
      <c r="B118" s="3" t="str">
        <f ca="1">IFERROR(__xludf.DUMMYFUNCTION("IF(ISBLANK(A118),"""",GOOGLETRANSLATE(A118,""en"",""fr""))"),"")</f>
        <v/>
      </c>
    </row>
    <row r="119" spans="2:2">
      <c r="B119" s="3" t="str">
        <f ca="1">IFERROR(__xludf.DUMMYFUNCTION("IF(ISBLANK(A119),"""",GOOGLETRANSLATE(A119,""en"",""fr""))"),"")</f>
        <v/>
      </c>
    </row>
    <row r="120" spans="2:2">
      <c r="B120" s="3" t="str">
        <f ca="1">IFERROR(__xludf.DUMMYFUNCTION("IF(ISBLANK(A120),"""",GOOGLETRANSLATE(A120,""en"",""fr""))"),"")</f>
        <v/>
      </c>
    </row>
    <row r="121" spans="2:2">
      <c r="B121" s="3" t="str">
        <f ca="1">IFERROR(__xludf.DUMMYFUNCTION("IF(ISBLANK(A121),"""",GOOGLETRANSLATE(A121,""en"",""fr""))"),"")</f>
        <v/>
      </c>
    </row>
    <row r="122" spans="2:2">
      <c r="B122" s="3" t="str">
        <f ca="1">IFERROR(__xludf.DUMMYFUNCTION("IF(ISBLANK(A122),"""",GOOGLETRANSLATE(A122,""en"",""fr""))"),"")</f>
        <v/>
      </c>
    </row>
    <row r="123" spans="2:2">
      <c r="B123" s="3" t="str">
        <f ca="1">IFERROR(__xludf.DUMMYFUNCTION("IF(ISBLANK(A123),"""",GOOGLETRANSLATE(A123,""en"",""fr""))"),"")</f>
        <v/>
      </c>
    </row>
    <row r="124" spans="2:2">
      <c r="B124" s="3" t="str">
        <f ca="1">IFERROR(__xludf.DUMMYFUNCTION("IF(ISBLANK(A124),"""",GOOGLETRANSLATE(A124,""en"",""fr""))"),"")</f>
        <v/>
      </c>
    </row>
    <row r="125" spans="2:2">
      <c r="B125" s="3" t="str">
        <f ca="1">IFERROR(__xludf.DUMMYFUNCTION("IF(ISBLANK(A125),"""",GOOGLETRANSLATE(A125,""en"",""fr""))"),"")</f>
        <v/>
      </c>
    </row>
    <row r="126" spans="2:2">
      <c r="B126" s="3" t="str">
        <f ca="1">IFERROR(__xludf.DUMMYFUNCTION("IF(ISBLANK(A126),"""",GOOGLETRANSLATE(A126,""en"",""fr""))"),"")</f>
        <v/>
      </c>
    </row>
    <row r="127" spans="2:2">
      <c r="B127" s="3" t="str">
        <f ca="1">IFERROR(__xludf.DUMMYFUNCTION("IF(ISBLANK(A127),"""",GOOGLETRANSLATE(A127,""en"",""fr""))"),"")</f>
        <v/>
      </c>
    </row>
    <row r="128" spans="2:2">
      <c r="B128" s="3" t="str">
        <f ca="1">IFERROR(__xludf.DUMMYFUNCTION("IF(ISBLANK(A128),"""",GOOGLETRANSLATE(A128,""en"",""fr""))"),"")</f>
        <v/>
      </c>
    </row>
    <row r="129" spans="2:2">
      <c r="B129" s="3" t="str">
        <f ca="1">IFERROR(__xludf.DUMMYFUNCTION("IF(ISBLANK(A129),"""",GOOGLETRANSLATE(A129,""en"",""fr""))"),"")</f>
        <v/>
      </c>
    </row>
    <row r="130" spans="2:2">
      <c r="B130" s="3" t="str">
        <f ca="1">IFERROR(__xludf.DUMMYFUNCTION("IF(ISBLANK(A130),"""",GOOGLETRANSLATE(A130,""en"",""fr""))"),"")</f>
        <v/>
      </c>
    </row>
    <row r="131" spans="2:2">
      <c r="B131" s="3" t="str">
        <f ca="1">IFERROR(__xludf.DUMMYFUNCTION("IF(ISBLANK(A131),"""",GOOGLETRANSLATE(A131,""en"",""fr""))"),"")</f>
        <v/>
      </c>
    </row>
    <row r="132" spans="2:2">
      <c r="B132" s="3" t="str">
        <f ca="1">IFERROR(__xludf.DUMMYFUNCTION("IF(ISBLANK(A132),"""",GOOGLETRANSLATE(A132,""en"",""fr""))"),"")</f>
        <v/>
      </c>
    </row>
    <row r="133" spans="2:2">
      <c r="B133" s="3" t="str">
        <f ca="1">IFERROR(__xludf.DUMMYFUNCTION("IF(ISBLANK(A133),"""",GOOGLETRANSLATE(A133,""en"",""fr""))"),"")</f>
        <v/>
      </c>
    </row>
    <row r="134" spans="2:2">
      <c r="B134" s="3" t="str">
        <f ca="1">IFERROR(__xludf.DUMMYFUNCTION("IF(ISBLANK(A134),"""",GOOGLETRANSLATE(A134,""en"",""fr""))"),"")</f>
        <v/>
      </c>
    </row>
    <row r="135" spans="2:2">
      <c r="B135" s="3" t="str">
        <f ca="1">IFERROR(__xludf.DUMMYFUNCTION("IF(ISBLANK(A135),"""",GOOGLETRANSLATE(A135,""en"",""fr""))"),"")</f>
        <v/>
      </c>
    </row>
    <row r="136" spans="2:2">
      <c r="B136" s="3" t="str">
        <f ca="1">IFERROR(__xludf.DUMMYFUNCTION("IF(ISBLANK(A136),"""",GOOGLETRANSLATE(A136,""en"",""fr""))"),"")</f>
        <v/>
      </c>
    </row>
    <row r="137" spans="2:2">
      <c r="B137" s="3" t="str">
        <f ca="1">IFERROR(__xludf.DUMMYFUNCTION("IF(ISBLANK(A137),"""",GOOGLETRANSLATE(A137,""en"",""fr""))"),"")</f>
        <v/>
      </c>
    </row>
    <row r="138" spans="2:2">
      <c r="B138" s="3" t="str">
        <f ca="1">IFERROR(__xludf.DUMMYFUNCTION("IF(ISBLANK(A138),"""",GOOGLETRANSLATE(A138,""en"",""fr""))"),"")</f>
        <v/>
      </c>
    </row>
    <row r="139" spans="2:2">
      <c r="B139" s="3" t="str">
        <f ca="1">IFERROR(__xludf.DUMMYFUNCTION("IF(ISBLANK(A139),"""",GOOGLETRANSLATE(A139,""en"",""fr""))"),"")</f>
        <v/>
      </c>
    </row>
    <row r="140" spans="2:2">
      <c r="B140" s="3" t="str">
        <f ca="1">IFERROR(__xludf.DUMMYFUNCTION("IF(ISBLANK(A140),"""",GOOGLETRANSLATE(A140,""en"",""fr""))"),"")</f>
        <v/>
      </c>
    </row>
    <row r="141" spans="2:2">
      <c r="B141" s="3" t="str">
        <f ca="1">IFERROR(__xludf.DUMMYFUNCTION("IF(ISBLANK(A141),"""",GOOGLETRANSLATE(A141,""en"",""fr""))"),"")</f>
        <v/>
      </c>
    </row>
    <row r="142" spans="2:2">
      <c r="B142" s="3" t="str">
        <f ca="1">IFERROR(__xludf.DUMMYFUNCTION("IF(ISBLANK(A142),"""",GOOGLETRANSLATE(A142,""en"",""fr""))"),"")</f>
        <v/>
      </c>
    </row>
    <row r="143" spans="2:2">
      <c r="B143" s="3" t="str">
        <f ca="1">IFERROR(__xludf.DUMMYFUNCTION("IF(ISBLANK(A143),"""",GOOGLETRANSLATE(A143,""en"",""fr""))"),"")</f>
        <v/>
      </c>
    </row>
    <row r="144" spans="2:2">
      <c r="B144" s="3" t="str">
        <f ca="1">IFERROR(__xludf.DUMMYFUNCTION("IF(ISBLANK(A144),"""",GOOGLETRANSLATE(A144,""en"",""fr""))"),"")</f>
        <v/>
      </c>
    </row>
    <row r="145" spans="2:2">
      <c r="B145" s="3" t="str">
        <f ca="1">IFERROR(__xludf.DUMMYFUNCTION("IF(ISBLANK(A145),"""",GOOGLETRANSLATE(A145,""en"",""fr""))"),"")</f>
        <v/>
      </c>
    </row>
    <row r="146" spans="2:2">
      <c r="B146" s="3" t="str">
        <f ca="1">IFERROR(__xludf.DUMMYFUNCTION("IF(ISBLANK(A146),"""",GOOGLETRANSLATE(A146,""en"",""fr""))"),"")</f>
        <v/>
      </c>
    </row>
    <row r="147" spans="2:2">
      <c r="B147" s="3" t="str">
        <f ca="1">IFERROR(__xludf.DUMMYFUNCTION("IF(ISBLANK(A147),"""",GOOGLETRANSLATE(A147,""en"",""fr""))"),"")</f>
        <v/>
      </c>
    </row>
    <row r="148" spans="2:2">
      <c r="B148" s="3" t="str">
        <f ca="1">IFERROR(__xludf.DUMMYFUNCTION("IF(ISBLANK(A148),"""",GOOGLETRANSLATE(A148,""en"",""fr""))"),"")</f>
        <v/>
      </c>
    </row>
    <row r="149" spans="2:2">
      <c r="B149" s="3" t="str">
        <f ca="1">IFERROR(__xludf.DUMMYFUNCTION("IF(ISBLANK(A149),"""",GOOGLETRANSLATE(A149,""en"",""fr""))"),"")</f>
        <v/>
      </c>
    </row>
    <row r="150" spans="2:2">
      <c r="B150" s="3" t="str">
        <f ca="1">IFERROR(__xludf.DUMMYFUNCTION("IF(ISBLANK(A150),"""",GOOGLETRANSLATE(A150,""en"",""fr""))"),"")</f>
        <v/>
      </c>
    </row>
    <row r="151" spans="2:2">
      <c r="B151" s="3" t="str">
        <f ca="1">IFERROR(__xludf.DUMMYFUNCTION("IF(ISBLANK(A151),"""",GOOGLETRANSLATE(A151,""en"",""fr""))"),"")</f>
        <v/>
      </c>
    </row>
    <row r="152" spans="2:2">
      <c r="B152" s="3" t="str">
        <f ca="1">IFERROR(__xludf.DUMMYFUNCTION("IF(ISBLANK(A152),"""",GOOGLETRANSLATE(A152,""en"",""fr""))"),"")</f>
        <v/>
      </c>
    </row>
    <row r="153" spans="2:2">
      <c r="B153" s="3" t="str">
        <f ca="1">IFERROR(__xludf.DUMMYFUNCTION("IF(ISBLANK(A153),"""",GOOGLETRANSLATE(A153,""en"",""fr""))"),"")</f>
        <v/>
      </c>
    </row>
    <row r="154" spans="2:2">
      <c r="B154" s="3" t="str">
        <f ca="1">IFERROR(__xludf.DUMMYFUNCTION("IF(ISBLANK(A154),"""",GOOGLETRANSLATE(A154,""en"",""fr""))"),"")</f>
        <v/>
      </c>
    </row>
    <row r="155" spans="2:2">
      <c r="B155" s="3" t="str">
        <f ca="1">IFERROR(__xludf.DUMMYFUNCTION("IF(ISBLANK(A155),"""",GOOGLETRANSLATE(A155,""en"",""fr""))"),"")</f>
        <v/>
      </c>
    </row>
    <row r="156" spans="2:2">
      <c r="B156" s="3" t="str">
        <f ca="1">IFERROR(__xludf.DUMMYFUNCTION("IF(ISBLANK(A156),"""",GOOGLETRANSLATE(A156,""en"",""fr""))"),"")</f>
        <v/>
      </c>
    </row>
    <row r="157" spans="2:2">
      <c r="B157" s="3" t="str">
        <f ca="1">IFERROR(__xludf.DUMMYFUNCTION("IF(ISBLANK(A157),"""",GOOGLETRANSLATE(A157,""en"",""fr""))"),"")</f>
        <v/>
      </c>
    </row>
    <row r="158" spans="2:2">
      <c r="B158" s="3" t="str">
        <f ca="1">IFERROR(__xludf.DUMMYFUNCTION("IF(ISBLANK(A158),"""",GOOGLETRANSLATE(A158,""en"",""fr""))"),"")</f>
        <v/>
      </c>
    </row>
    <row r="159" spans="2:2">
      <c r="B159" s="3" t="str">
        <f ca="1">IFERROR(__xludf.DUMMYFUNCTION("IF(ISBLANK(A159),"""",GOOGLETRANSLATE(A159,""en"",""fr""))"),"")</f>
        <v/>
      </c>
    </row>
    <row r="160" spans="2:2">
      <c r="B160" s="3" t="str">
        <f ca="1">IFERROR(__xludf.DUMMYFUNCTION("IF(ISBLANK(A160),"""",GOOGLETRANSLATE(A160,""en"",""fr""))"),"")</f>
        <v/>
      </c>
    </row>
    <row r="161" spans="2:2">
      <c r="B161" s="3" t="str">
        <f ca="1">IFERROR(__xludf.DUMMYFUNCTION("IF(ISBLANK(A161),"""",GOOGLETRANSLATE(A161,""en"",""fr""))"),"")</f>
        <v/>
      </c>
    </row>
    <row r="162" spans="2:2">
      <c r="B162" s="3" t="str">
        <f ca="1">IFERROR(__xludf.DUMMYFUNCTION("IF(ISBLANK(A162),"""",GOOGLETRANSLATE(A162,""en"",""fr""))"),"")</f>
        <v/>
      </c>
    </row>
    <row r="163" spans="2:2">
      <c r="B163" s="3" t="str">
        <f ca="1">IFERROR(__xludf.DUMMYFUNCTION("IF(ISBLANK(A163),"""",GOOGLETRANSLATE(A163,""en"",""fr""))"),"")</f>
        <v/>
      </c>
    </row>
    <row r="164" spans="2:2">
      <c r="B164" s="3" t="str">
        <f ca="1">IFERROR(__xludf.DUMMYFUNCTION("IF(ISBLANK(A164),"""",GOOGLETRANSLATE(A164,""en"",""fr""))"),"")</f>
        <v/>
      </c>
    </row>
    <row r="165" spans="2:2">
      <c r="B165" s="3" t="str">
        <f ca="1">IFERROR(__xludf.DUMMYFUNCTION("IF(ISBLANK(A165),"""",GOOGLETRANSLATE(A165,""en"",""fr""))"),"")</f>
        <v/>
      </c>
    </row>
    <row r="166" spans="2:2">
      <c r="B166" s="3" t="str">
        <f ca="1">IFERROR(__xludf.DUMMYFUNCTION("IF(ISBLANK(A166),"""",GOOGLETRANSLATE(A166,""en"",""fr""))"),"")</f>
        <v/>
      </c>
    </row>
    <row r="167" spans="2:2">
      <c r="B167" s="3" t="str">
        <f ca="1">IFERROR(__xludf.DUMMYFUNCTION("IF(ISBLANK(A167),"""",GOOGLETRANSLATE(A167,""en"",""fr""))"),"")</f>
        <v/>
      </c>
    </row>
    <row r="168" spans="2:2">
      <c r="B168" s="3" t="str">
        <f ca="1">IFERROR(__xludf.DUMMYFUNCTION("IF(ISBLANK(A168),"""",GOOGLETRANSLATE(A168,""en"",""fr""))"),"")</f>
        <v/>
      </c>
    </row>
    <row r="169" spans="2:2">
      <c r="B169" s="3" t="str">
        <f ca="1">IFERROR(__xludf.DUMMYFUNCTION("IF(ISBLANK(A169),"""",GOOGLETRANSLATE(A169,""en"",""fr""))"),"")</f>
        <v/>
      </c>
    </row>
    <row r="170" spans="2:2">
      <c r="B170" s="3" t="str">
        <f ca="1">IFERROR(__xludf.DUMMYFUNCTION("IF(ISBLANK(A170),"""",GOOGLETRANSLATE(A170,""en"",""fr""))"),"")</f>
        <v/>
      </c>
    </row>
    <row r="171" spans="2:2">
      <c r="B171" s="3" t="str">
        <f ca="1">IFERROR(__xludf.DUMMYFUNCTION("IF(ISBLANK(A171),"""",GOOGLETRANSLATE(A171,""en"",""fr""))"),"")</f>
        <v/>
      </c>
    </row>
    <row r="172" spans="2:2">
      <c r="B172" s="3" t="str">
        <f ca="1">IFERROR(__xludf.DUMMYFUNCTION("IF(ISBLANK(A172),"""",GOOGLETRANSLATE(A172,""en"",""fr""))"),"")</f>
        <v/>
      </c>
    </row>
    <row r="173" spans="2:2">
      <c r="B173" s="3" t="str">
        <f ca="1">IFERROR(__xludf.DUMMYFUNCTION("IF(ISBLANK(A173),"""",GOOGLETRANSLATE(A173,""en"",""fr""))"),"")</f>
        <v/>
      </c>
    </row>
    <row r="174" spans="2:2">
      <c r="B174" s="3" t="str">
        <f ca="1">IFERROR(__xludf.DUMMYFUNCTION("IF(ISBLANK(A174),"""",GOOGLETRANSLATE(A174,""en"",""fr""))"),"")</f>
        <v/>
      </c>
    </row>
    <row r="175" spans="2:2">
      <c r="B175" s="3" t="str">
        <f ca="1">IFERROR(__xludf.DUMMYFUNCTION("IF(ISBLANK(A175),"""",GOOGLETRANSLATE(A175,""en"",""fr""))"),"")</f>
        <v/>
      </c>
    </row>
    <row r="176" spans="2:2">
      <c r="B176" s="3" t="str">
        <f ca="1">IFERROR(__xludf.DUMMYFUNCTION("IF(ISBLANK(A176),"""",GOOGLETRANSLATE(A176,""en"",""fr""))"),"")</f>
        <v/>
      </c>
    </row>
    <row r="177" spans="2:2">
      <c r="B177" s="3" t="str">
        <f ca="1">IFERROR(__xludf.DUMMYFUNCTION("IF(ISBLANK(A177),"""",GOOGLETRANSLATE(A177,""en"",""fr""))"),"")</f>
        <v/>
      </c>
    </row>
    <row r="178" spans="2:2">
      <c r="B178" s="3" t="str">
        <f ca="1">IFERROR(__xludf.DUMMYFUNCTION("IF(ISBLANK(A178),"""",GOOGLETRANSLATE(A178,""en"",""fr""))"),"")</f>
        <v/>
      </c>
    </row>
    <row r="179" spans="2:2">
      <c r="B179" s="3" t="str">
        <f ca="1">IFERROR(__xludf.DUMMYFUNCTION("IF(ISBLANK(A179),"""",GOOGLETRANSLATE(A179,""en"",""fr""))"),"")</f>
        <v/>
      </c>
    </row>
    <row r="180" spans="2:2">
      <c r="B180" s="3" t="str">
        <f ca="1">IFERROR(__xludf.DUMMYFUNCTION("IF(ISBLANK(A180),"""",GOOGLETRANSLATE(A180,""en"",""fr""))"),"")</f>
        <v/>
      </c>
    </row>
    <row r="181" spans="2:2">
      <c r="B181" s="3" t="str">
        <f ca="1">IFERROR(__xludf.DUMMYFUNCTION("IF(ISBLANK(A181),"""",GOOGLETRANSLATE(A181,""en"",""fr""))"),"")</f>
        <v/>
      </c>
    </row>
    <row r="182" spans="2:2">
      <c r="B182" s="3" t="str">
        <f ca="1">IFERROR(__xludf.DUMMYFUNCTION("IF(ISBLANK(A182),"""",GOOGLETRANSLATE(A182,""en"",""fr""))"),"")</f>
        <v/>
      </c>
    </row>
    <row r="183" spans="2:2">
      <c r="B183" s="3" t="str">
        <f ca="1">IFERROR(__xludf.DUMMYFUNCTION("IF(ISBLANK(A183),"""",GOOGLETRANSLATE(A183,""en"",""fr""))"),"")</f>
        <v/>
      </c>
    </row>
    <row r="184" spans="2:2">
      <c r="B184" s="3" t="str">
        <f ca="1">IFERROR(__xludf.DUMMYFUNCTION("IF(ISBLANK(A184),"""",GOOGLETRANSLATE(A184,""en"",""fr""))"),"")</f>
        <v/>
      </c>
    </row>
    <row r="185" spans="2:2">
      <c r="B185" s="3" t="str">
        <f ca="1">IFERROR(__xludf.DUMMYFUNCTION("IF(ISBLANK(A185),"""",GOOGLETRANSLATE(A185,""en"",""fr""))"),"")</f>
        <v/>
      </c>
    </row>
    <row r="186" spans="2:2">
      <c r="B186" s="3" t="str">
        <f ca="1">IFERROR(__xludf.DUMMYFUNCTION("IF(ISBLANK(A186),"""",GOOGLETRANSLATE(A186,""en"",""fr""))"),"")</f>
        <v/>
      </c>
    </row>
    <row r="187" spans="2:2">
      <c r="B187" s="3" t="str">
        <f ca="1">IFERROR(__xludf.DUMMYFUNCTION("IF(ISBLANK(A187),"""",GOOGLETRANSLATE(A187,""en"",""fr""))"),"")</f>
        <v/>
      </c>
    </row>
    <row r="188" spans="2:2">
      <c r="B188" s="3" t="str">
        <f ca="1">IFERROR(__xludf.DUMMYFUNCTION("IF(ISBLANK(A188),"""",GOOGLETRANSLATE(A188,""en"",""fr""))"),"")</f>
        <v/>
      </c>
    </row>
    <row r="189" spans="2:2">
      <c r="B189" s="3" t="str">
        <f ca="1">IFERROR(__xludf.DUMMYFUNCTION("IF(ISBLANK(A189),"""",GOOGLETRANSLATE(A189,""en"",""fr""))"),"")</f>
        <v/>
      </c>
    </row>
    <row r="190" spans="2:2">
      <c r="B190" s="3" t="str">
        <f ca="1">IFERROR(__xludf.DUMMYFUNCTION("IF(ISBLANK(A190),"""",GOOGLETRANSLATE(A190,""en"",""fr""))"),"")</f>
        <v/>
      </c>
    </row>
    <row r="191" spans="2:2">
      <c r="B191" s="3" t="str">
        <f ca="1">IFERROR(__xludf.DUMMYFUNCTION("IF(ISBLANK(A191),"""",GOOGLETRANSLATE(A191,""en"",""fr""))"),"")</f>
        <v/>
      </c>
    </row>
    <row r="192" spans="2:2">
      <c r="B192" s="3" t="str">
        <f ca="1">IFERROR(__xludf.DUMMYFUNCTION("IF(ISBLANK(A192),"""",GOOGLETRANSLATE(A192,""en"",""fr""))"),"")</f>
        <v/>
      </c>
    </row>
    <row r="193" spans="2:2">
      <c r="B193" s="3" t="str">
        <f ca="1">IFERROR(__xludf.DUMMYFUNCTION("IF(ISBLANK(A193),"""",GOOGLETRANSLATE(A193,""en"",""fr""))"),"")</f>
        <v/>
      </c>
    </row>
    <row r="194" spans="2:2">
      <c r="B194" s="3" t="str">
        <f ca="1">IFERROR(__xludf.DUMMYFUNCTION("IF(ISBLANK(A194),"""",GOOGLETRANSLATE(A194,""en"",""fr""))"),"")</f>
        <v/>
      </c>
    </row>
    <row r="195" spans="2:2">
      <c r="B195" s="3" t="str">
        <f ca="1">IFERROR(__xludf.DUMMYFUNCTION("IF(ISBLANK(A195),"""",GOOGLETRANSLATE(A195,""en"",""fr""))"),"")</f>
        <v/>
      </c>
    </row>
    <row r="196" spans="2:2">
      <c r="B196" s="3" t="str">
        <f ca="1">IFERROR(__xludf.DUMMYFUNCTION("IF(ISBLANK(A196),"""",GOOGLETRANSLATE(A196,""en"",""fr""))"),"")</f>
        <v/>
      </c>
    </row>
    <row r="197" spans="2:2">
      <c r="B197" s="3" t="str">
        <f ca="1">IFERROR(__xludf.DUMMYFUNCTION("IF(ISBLANK(A197),"""",GOOGLETRANSLATE(A197,""en"",""fr""))"),"")</f>
        <v/>
      </c>
    </row>
    <row r="198" spans="2:2">
      <c r="B198" s="3" t="str">
        <f ca="1">IFERROR(__xludf.DUMMYFUNCTION("IF(ISBLANK(A198),"""",GOOGLETRANSLATE(A198,""en"",""fr""))"),"")</f>
        <v/>
      </c>
    </row>
    <row r="199" spans="2:2">
      <c r="B199" s="3" t="str">
        <f ca="1">IFERROR(__xludf.DUMMYFUNCTION("IF(ISBLANK(A199),"""",GOOGLETRANSLATE(A199,""en"",""fr""))"),"")</f>
        <v/>
      </c>
    </row>
    <row r="200" spans="2:2">
      <c r="B200" s="3" t="str">
        <f ca="1">IFERROR(__xludf.DUMMYFUNCTION("IF(ISBLANK(A200),"""",GOOGLETRANSLATE(A200,""en"",""fr""))"),"")</f>
        <v/>
      </c>
    </row>
    <row r="201" spans="2:2">
      <c r="B201" s="3" t="str">
        <f ca="1">IFERROR(__xludf.DUMMYFUNCTION("IF(ISBLANK(A201),"""",GOOGLETRANSLATE(A201,""en"",""fr""))"),"")</f>
        <v/>
      </c>
    </row>
    <row r="202" spans="2:2">
      <c r="B202" s="3" t="str">
        <f ca="1">IFERROR(__xludf.DUMMYFUNCTION("IF(ISBLANK(A202),"""",GOOGLETRANSLATE(A202,""en"",""fr""))"),"")</f>
        <v/>
      </c>
    </row>
    <row r="203" spans="2:2">
      <c r="B203" s="3" t="str">
        <f ca="1">IFERROR(__xludf.DUMMYFUNCTION("IF(ISBLANK(A203),"""",GOOGLETRANSLATE(A203,""en"",""fr""))"),"")</f>
        <v/>
      </c>
    </row>
    <row r="204" spans="2:2">
      <c r="B204" s="3" t="str">
        <f ca="1">IFERROR(__xludf.DUMMYFUNCTION("IF(ISBLANK(A204),"""",GOOGLETRANSLATE(A204,""en"",""fr""))"),"")</f>
        <v/>
      </c>
    </row>
    <row r="205" spans="2:2">
      <c r="B205" s="3" t="str">
        <f ca="1">IFERROR(__xludf.DUMMYFUNCTION("IF(ISBLANK(A205),"""",GOOGLETRANSLATE(A205,""en"",""fr""))"),"")</f>
        <v/>
      </c>
    </row>
    <row r="206" spans="2:2">
      <c r="B206" s="3" t="str">
        <f ca="1">IFERROR(__xludf.DUMMYFUNCTION("IF(ISBLANK(A206),"""",GOOGLETRANSLATE(A206,""en"",""fr""))"),"")</f>
        <v/>
      </c>
    </row>
    <row r="207" spans="2:2">
      <c r="B207" s="3" t="str">
        <f ca="1">IFERROR(__xludf.DUMMYFUNCTION("IF(ISBLANK(A207),"""",GOOGLETRANSLATE(A207,""en"",""fr""))"),"")</f>
        <v/>
      </c>
    </row>
    <row r="208" spans="2:2">
      <c r="B208" s="3" t="str">
        <f ca="1">IFERROR(__xludf.DUMMYFUNCTION("IF(ISBLANK(A208),"""",GOOGLETRANSLATE(A208,""en"",""fr""))"),"")</f>
        <v/>
      </c>
    </row>
    <row r="209" spans="2:2">
      <c r="B209" s="3" t="str">
        <f ca="1">IFERROR(__xludf.DUMMYFUNCTION("IF(ISBLANK(A209),"""",GOOGLETRANSLATE(A209,""en"",""fr""))"),"")</f>
        <v/>
      </c>
    </row>
    <row r="210" spans="2:2">
      <c r="B210" s="3" t="str">
        <f ca="1">IFERROR(__xludf.DUMMYFUNCTION("IF(ISBLANK(A210),"""",GOOGLETRANSLATE(A210,""en"",""fr""))"),"")</f>
        <v/>
      </c>
    </row>
    <row r="211" spans="2:2">
      <c r="B211" s="3" t="str">
        <f ca="1">IFERROR(__xludf.DUMMYFUNCTION("IF(ISBLANK(A211),"""",GOOGLETRANSLATE(A211,""en"",""fr""))"),"")</f>
        <v/>
      </c>
    </row>
    <row r="212" spans="2:2">
      <c r="B212" s="3" t="str">
        <f ca="1">IFERROR(__xludf.DUMMYFUNCTION("IF(ISBLANK(A212),"""",GOOGLETRANSLATE(A212,""en"",""fr""))"),"")</f>
        <v/>
      </c>
    </row>
    <row r="213" spans="2:2">
      <c r="B213" s="3" t="str">
        <f ca="1">IFERROR(__xludf.DUMMYFUNCTION("IF(ISBLANK(A213),"""",GOOGLETRANSLATE(A213,""en"",""fr""))"),"")</f>
        <v/>
      </c>
    </row>
    <row r="214" spans="2:2">
      <c r="B214" s="3" t="str">
        <f ca="1">IFERROR(__xludf.DUMMYFUNCTION("IF(ISBLANK(A214),"""",GOOGLETRANSLATE(A214,""en"",""fr""))"),"")</f>
        <v/>
      </c>
    </row>
    <row r="215" spans="2:2">
      <c r="B215" s="3" t="str">
        <f ca="1">IFERROR(__xludf.DUMMYFUNCTION("IF(ISBLANK(A215),"""",GOOGLETRANSLATE(A215,""en"",""fr""))"),"")</f>
        <v/>
      </c>
    </row>
    <row r="216" spans="2:2">
      <c r="B216" s="3" t="str">
        <f ca="1">IFERROR(__xludf.DUMMYFUNCTION("IF(ISBLANK(A216),"""",GOOGLETRANSLATE(A216,""en"",""fr""))"),"")</f>
        <v/>
      </c>
    </row>
    <row r="217" spans="2:2">
      <c r="B217" s="3" t="str">
        <f ca="1">IFERROR(__xludf.DUMMYFUNCTION("IF(ISBLANK(A217),"""",GOOGLETRANSLATE(A217,""en"",""fr""))"),"")</f>
        <v/>
      </c>
    </row>
    <row r="218" spans="2:2">
      <c r="B218" s="3" t="str">
        <f ca="1">IFERROR(__xludf.DUMMYFUNCTION("IF(ISBLANK(A218),"""",GOOGLETRANSLATE(A218,""en"",""fr""))"),"")</f>
        <v/>
      </c>
    </row>
    <row r="219" spans="2:2">
      <c r="B219" s="3" t="str">
        <f ca="1">IFERROR(__xludf.DUMMYFUNCTION("IF(ISBLANK(A219),"""",GOOGLETRANSLATE(A219,""en"",""fr""))"),"")</f>
        <v/>
      </c>
    </row>
    <row r="220" spans="2:2">
      <c r="B220" s="3" t="str">
        <f ca="1">IFERROR(__xludf.DUMMYFUNCTION("IF(ISBLANK(A220),"""",GOOGLETRANSLATE(A220,""en"",""fr""))"),"")</f>
        <v/>
      </c>
    </row>
    <row r="221" spans="2:2">
      <c r="B221" s="3" t="str">
        <f ca="1">IFERROR(__xludf.DUMMYFUNCTION("IF(ISBLANK(A221),"""",GOOGLETRANSLATE(A221,""en"",""fr""))"),"")</f>
        <v/>
      </c>
    </row>
    <row r="222" spans="2:2">
      <c r="B222" s="3" t="str">
        <f ca="1">IFERROR(__xludf.DUMMYFUNCTION("IF(ISBLANK(A222),"""",GOOGLETRANSLATE(A222,""en"",""fr""))"),"")</f>
        <v/>
      </c>
    </row>
    <row r="223" spans="2:2">
      <c r="B223" s="3" t="str">
        <f ca="1">IFERROR(__xludf.DUMMYFUNCTION("IF(ISBLANK(A223),"""",GOOGLETRANSLATE(A223,""en"",""fr""))"),"")</f>
        <v/>
      </c>
    </row>
    <row r="224" spans="2:2">
      <c r="B224" s="3" t="str">
        <f ca="1">IFERROR(__xludf.DUMMYFUNCTION("IF(ISBLANK(A224),"""",GOOGLETRANSLATE(A224,""en"",""fr""))"),"")</f>
        <v/>
      </c>
    </row>
    <row r="225" spans="2:2">
      <c r="B225" s="3" t="str">
        <f ca="1">IFERROR(__xludf.DUMMYFUNCTION("IF(ISBLANK(A225),"""",GOOGLETRANSLATE(A225,""en"",""fr""))"),"")</f>
        <v/>
      </c>
    </row>
    <row r="226" spans="2:2">
      <c r="B226" s="3" t="str">
        <f ca="1">IFERROR(__xludf.DUMMYFUNCTION("IF(ISBLANK(A226),"""",GOOGLETRANSLATE(A226,""en"",""fr""))"),"")</f>
        <v/>
      </c>
    </row>
    <row r="227" spans="2:2">
      <c r="B227" s="3" t="str">
        <f ca="1">IFERROR(__xludf.DUMMYFUNCTION("IF(ISBLANK(A227),"""",GOOGLETRANSLATE(A227,""en"",""fr""))"),"")</f>
        <v/>
      </c>
    </row>
    <row r="228" spans="2:2">
      <c r="B228" s="3" t="str">
        <f ca="1">IFERROR(__xludf.DUMMYFUNCTION("IF(ISBLANK(A228),"""",GOOGLETRANSLATE(A228,""en"",""fr""))"),"")</f>
        <v/>
      </c>
    </row>
    <row r="229" spans="2:2">
      <c r="B229" s="3" t="str">
        <f ca="1">IFERROR(__xludf.DUMMYFUNCTION("IF(ISBLANK(A229),"""",GOOGLETRANSLATE(A229,""en"",""fr""))"),"")</f>
        <v/>
      </c>
    </row>
    <row r="230" spans="2:2">
      <c r="B230" s="3" t="str">
        <f ca="1">IFERROR(__xludf.DUMMYFUNCTION("IF(ISBLANK(A230),"""",GOOGLETRANSLATE(A230,""en"",""fr""))"),"")</f>
        <v/>
      </c>
    </row>
    <row r="231" spans="2:2">
      <c r="B231" s="3" t="str">
        <f ca="1">IFERROR(__xludf.DUMMYFUNCTION("IF(ISBLANK(A231),"""",GOOGLETRANSLATE(A231,""en"",""fr""))"),"")</f>
        <v/>
      </c>
    </row>
    <row r="232" spans="2:2">
      <c r="B232" s="3" t="str">
        <f ca="1">IFERROR(__xludf.DUMMYFUNCTION("IF(ISBLANK(A232),"""",GOOGLETRANSLATE(A232,""en"",""fr""))"),"")</f>
        <v/>
      </c>
    </row>
    <row r="233" spans="2:2">
      <c r="B233" s="3" t="str">
        <f ca="1">IFERROR(__xludf.DUMMYFUNCTION("IF(ISBLANK(A233),"""",GOOGLETRANSLATE(A233,""en"",""fr""))"),"")</f>
        <v/>
      </c>
    </row>
    <row r="234" spans="2:2">
      <c r="B234" s="3" t="str">
        <f ca="1">IFERROR(__xludf.DUMMYFUNCTION("IF(ISBLANK(A234),"""",GOOGLETRANSLATE(A234,""en"",""fr""))"),"")</f>
        <v/>
      </c>
    </row>
    <row r="235" spans="2:2">
      <c r="B235" s="3" t="str">
        <f ca="1">IFERROR(__xludf.DUMMYFUNCTION("IF(ISBLANK(A235),"""",GOOGLETRANSLATE(A235,""en"",""fr""))"),"")</f>
        <v/>
      </c>
    </row>
    <row r="236" spans="2:2">
      <c r="B236" s="3" t="str">
        <f ca="1">IFERROR(__xludf.DUMMYFUNCTION("IF(ISBLANK(A236),"""",GOOGLETRANSLATE(A236,""en"",""fr""))"),"")</f>
        <v/>
      </c>
    </row>
    <row r="237" spans="2:2">
      <c r="B237" s="3" t="str">
        <f ca="1">IFERROR(__xludf.DUMMYFUNCTION("IF(ISBLANK(A237),"""",GOOGLETRANSLATE(A237,""en"",""fr""))"),"")</f>
        <v/>
      </c>
    </row>
    <row r="238" spans="2:2">
      <c r="B238" s="3" t="str">
        <f ca="1">IFERROR(__xludf.DUMMYFUNCTION("IF(ISBLANK(A238),"""",GOOGLETRANSLATE(A238,""en"",""fr""))"),"")</f>
        <v/>
      </c>
    </row>
    <row r="239" spans="2:2">
      <c r="B239" s="3" t="str">
        <f ca="1">IFERROR(__xludf.DUMMYFUNCTION("IF(ISBLANK(A239),"""",GOOGLETRANSLATE(A239,""en"",""fr""))"),"")</f>
        <v/>
      </c>
    </row>
    <row r="240" spans="2:2">
      <c r="B240" s="3" t="str">
        <f ca="1">IFERROR(__xludf.DUMMYFUNCTION("IF(ISBLANK(A240),"""",GOOGLETRANSLATE(A240,""en"",""fr""))"),"")</f>
        <v/>
      </c>
    </row>
    <row r="241" spans="2:2">
      <c r="B241" s="3" t="str">
        <f ca="1">IFERROR(__xludf.DUMMYFUNCTION("IF(ISBLANK(A241),"""",GOOGLETRANSLATE(A241,""en"",""fr""))"),"")</f>
        <v/>
      </c>
    </row>
    <row r="242" spans="2:2">
      <c r="B242" s="3" t="str">
        <f ca="1">IFERROR(__xludf.DUMMYFUNCTION("IF(ISBLANK(A242),"""",GOOGLETRANSLATE(A242,""en"",""fr""))"),"")</f>
        <v/>
      </c>
    </row>
    <row r="243" spans="2:2">
      <c r="B243" s="3" t="str">
        <f ca="1">IFERROR(__xludf.DUMMYFUNCTION("IF(ISBLANK(A243),"""",GOOGLETRANSLATE(A243,""en"",""fr""))"),"")</f>
        <v/>
      </c>
    </row>
    <row r="244" spans="2:2">
      <c r="B244" s="3" t="str">
        <f ca="1">IFERROR(__xludf.DUMMYFUNCTION("IF(ISBLANK(A244),"""",GOOGLETRANSLATE(A244,""en"",""fr""))"),"")</f>
        <v/>
      </c>
    </row>
    <row r="245" spans="2:2">
      <c r="B245" s="3" t="str">
        <f ca="1">IFERROR(__xludf.DUMMYFUNCTION("IF(ISBLANK(A245),"""",GOOGLETRANSLATE(A245,""en"",""fr""))"),"")</f>
        <v/>
      </c>
    </row>
    <row r="246" spans="2:2">
      <c r="B246" s="3" t="str">
        <f ca="1">IFERROR(__xludf.DUMMYFUNCTION("IF(ISBLANK(A246),"""",GOOGLETRANSLATE(A246,""en"",""fr""))"),"")</f>
        <v/>
      </c>
    </row>
    <row r="247" spans="2:2">
      <c r="B247" s="3" t="str">
        <f ca="1">IFERROR(__xludf.DUMMYFUNCTION("IF(ISBLANK(A247),"""",GOOGLETRANSLATE(A247,""en"",""fr""))"),"")</f>
        <v/>
      </c>
    </row>
    <row r="248" spans="2:2">
      <c r="B248" s="3" t="str">
        <f ca="1">IFERROR(__xludf.DUMMYFUNCTION("IF(ISBLANK(A248),"""",GOOGLETRANSLATE(A248,""en"",""fr""))"),"")</f>
        <v/>
      </c>
    </row>
    <row r="249" spans="2:2">
      <c r="B249" s="3" t="str">
        <f ca="1">IFERROR(__xludf.DUMMYFUNCTION("IF(ISBLANK(A249),"""",GOOGLETRANSLATE(A249,""en"",""fr""))"),"")</f>
        <v/>
      </c>
    </row>
    <row r="250" spans="2:2">
      <c r="B250" s="3" t="str">
        <f ca="1">IFERROR(__xludf.DUMMYFUNCTION("IF(ISBLANK(A250),"""",GOOGLETRANSLATE(A250,""en"",""fr""))"),"")</f>
        <v/>
      </c>
    </row>
    <row r="251" spans="2:2">
      <c r="B251" s="3" t="str">
        <f ca="1">IFERROR(__xludf.DUMMYFUNCTION("IF(ISBLANK(A251),"""",GOOGLETRANSLATE(A251,""en"",""fr""))"),"")</f>
        <v/>
      </c>
    </row>
    <row r="252" spans="2:2">
      <c r="B252" s="3" t="str">
        <f ca="1">IFERROR(__xludf.DUMMYFUNCTION("IF(ISBLANK(A252),"""",GOOGLETRANSLATE(A252,""en"",""fr""))"),"")</f>
        <v/>
      </c>
    </row>
    <row r="253" spans="2:2">
      <c r="B253" s="3" t="str">
        <f ca="1">IFERROR(__xludf.DUMMYFUNCTION("IF(ISBLANK(A253),"""",GOOGLETRANSLATE(A253,""en"",""fr""))"),"")</f>
        <v/>
      </c>
    </row>
    <row r="254" spans="2:2">
      <c r="B254" s="3" t="str">
        <f ca="1">IFERROR(__xludf.DUMMYFUNCTION("IF(ISBLANK(A254),"""",GOOGLETRANSLATE(A254,""en"",""fr""))"),"")</f>
        <v/>
      </c>
    </row>
    <row r="255" spans="2:2">
      <c r="B255" s="3" t="str">
        <f ca="1">IFERROR(__xludf.DUMMYFUNCTION("IF(ISBLANK(A255),"""",GOOGLETRANSLATE(A255,""en"",""fr""))"),"")</f>
        <v/>
      </c>
    </row>
    <row r="256" spans="2:2">
      <c r="B256" s="3" t="str">
        <f ca="1">IFERROR(__xludf.DUMMYFUNCTION("IF(ISBLANK(A256),"""",GOOGLETRANSLATE(A256,""en"",""fr""))"),"")</f>
        <v/>
      </c>
    </row>
    <row r="257" spans="2:2">
      <c r="B257" s="3" t="str">
        <f ca="1">IFERROR(__xludf.DUMMYFUNCTION("IF(ISBLANK(A257),"""",GOOGLETRANSLATE(A257,""en"",""fr""))"),"")</f>
        <v/>
      </c>
    </row>
    <row r="258" spans="2:2">
      <c r="B258" s="3" t="str">
        <f ca="1">IFERROR(__xludf.DUMMYFUNCTION("IF(ISBLANK(A258),"""",GOOGLETRANSLATE(A258,""en"",""fr""))"),"")</f>
        <v/>
      </c>
    </row>
    <row r="259" spans="2:2">
      <c r="B259" s="3" t="str">
        <f ca="1">IFERROR(__xludf.DUMMYFUNCTION("IF(ISBLANK(A259),"""",GOOGLETRANSLATE(A259,""en"",""fr""))"),"")</f>
        <v/>
      </c>
    </row>
    <row r="260" spans="2:2">
      <c r="B260" s="3" t="str">
        <f ca="1">IFERROR(__xludf.DUMMYFUNCTION("IF(ISBLANK(A260),"""",GOOGLETRANSLATE(A260,""en"",""fr""))"),"")</f>
        <v/>
      </c>
    </row>
    <row r="261" spans="2:2">
      <c r="B261" s="3" t="str">
        <f ca="1">IFERROR(__xludf.DUMMYFUNCTION("IF(ISBLANK(A261),"""",GOOGLETRANSLATE(A261,""en"",""fr""))"),"")</f>
        <v/>
      </c>
    </row>
    <row r="262" spans="2:2">
      <c r="B262" s="3" t="str">
        <f ca="1">IFERROR(__xludf.DUMMYFUNCTION("IF(ISBLANK(A262),"""",GOOGLETRANSLATE(A262,""en"",""fr""))"),"")</f>
        <v/>
      </c>
    </row>
    <row r="263" spans="2:2">
      <c r="B263" s="3" t="str">
        <f ca="1">IFERROR(__xludf.DUMMYFUNCTION("IF(ISBLANK(A263),"""",GOOGLETRANSLATE(A263,""en"",""fr""))"),"")</f>
        <v/>
      </c>
    </row>
    <row r="264" spans="2:2">
      <c r="B264" s="3" t="str">
        <f ca="1">IFERROR(__xludf.DUMMYFUNCTION("IF(ISBLANK(A264),"""",GOOGLETRANSLATE(A264,""en"",""fr""))"),"")</f>
        <v/>
      </c>
    </row>
    <row r="265" spans="2:2">
      <c r="B265" s="3" t="str">
        <f ca="1">IFERROR(__xludf.DUMMYFUNCTION("IF(ISBLANK(A265),"""",GOOGLETRANSLATE(A265,""en"",""fr""))"),"")</f>
        <v/>
      </c>
    </row>
    <row r="266" spans="2:2">
      <c r="B266" s="3" t="str">
        <f ca="1">IFERROR(__xludf.DUMMYFUNCTION("IF(ISBLANK(A266),"""",GOOGLETRANSLATE(A266,""en"",""fr""))"),"")</f>
        <v/>
      </c>
    </row>
    <row r="267" spans="2:2">
      <c r="B267" s="3" t="str">
        <f ca="1">IFERROR(__xludf.DUMMYFUNCTION("IF(ISBLANK(A267),"""",GOOGLETRANSLATE(A267,""en"",""fr""))"),"")</f>
        <v/>
      </c>
    </row>
    <row r="268" spans="2:2">
      <c r="B268" s="3" t="str">
        <f ca="1">IFERROR(__xludf.DUMMYFUNCTION("IF(ISBLANK(A268),"""",GOOGLETRANSLATE(A268,""en"",""fr""))"),"")</f>
        <v/>
      </c>
    </row>
    <row r="269" spans="2:2">
      <c r="B269" s="3" t="str">
        <f ca="1">IFERROR(__xludf.DUMMYFUNCTION("IF(ISBLANK(A269),"""",GOOGLETRANSLATE(A269,""en"",""fr""))"),"")</f>
        <v/>
      </c>
    </row>
    <row r="270" spans="2:2">
      <c r="B270" s="3" t="str">
        <f ca="1">IFERROR(__xludf.DUMMYFUNCTION("IF(ISBLANK(A270),"""",GOOGLETRANSLATE(A270,""en"",""fr""))"),"")</f>
        <v/>
      </c>
    </row>
    <row r="271" spans="2:2">
      <c r="B271" s="3" t="str">
        <f ca="1">IFERROR(__xludf.DUMMYFUNCTION("IF(ISBLANK(A271),"""",GOOGLETRANSLATE(A271,""en"",""fr""))"),"")</f>
        <v/>
      </c>
    </row>
    <row r="272" spans="2:2">
      <c r="B272" s="3" t="str">
        <f ca="1">IFERROR(__xludf.DUMMYFUNCTION("IF(ISBLANK(A272),"""",GOOGLETRANSLATE(A272,""en"",""fr""))"),"")</f>
        <v/>
      </c>
    </row>
    <row r="273" spans="2:2">
      <c r="B273" s="3" t="str">
        <f ca="1">IFERROR(__xludf.DUMMYFUNCTION("IF(ISBLANK(A273),"""",GOOGLETRANSLATE(A273,""en"",""fr""))"),"")</f>
        <v/>
      </c>
    </row>
    <row r="274" spans="2:2">
      <c r="B274" s="3" t="str">
        <f ca="1">IFERROR(__xludf.DUMMYFUNCTION("IF(ISBLANK(A274),"""",GOOGLETRANSLATE(A274,""en"",""fr""))"),"")</f>
        <v/>
      </c>
    </row>
    <row r="275" spans="2:2">
      <c r="B275" s="3" t="str">
        <f ca="1">IFERROR(__xludf.DUMMYFUNCTION("IF(ISBLANK(A275),"""",GOOGLETRANSLATE(A275,""en"",""fr""))"),"")</f>
        <v/>
      </c>
    </row>
    <row r="276" spans="2:2">
      <c r="B276" s="3" t="str">
        <f ca="1">IFERROR(__xludf.DUMMYFUNCTION("IF(ISBLANK(A276),"""",GOOGLETRANSLATE(A276,""en"",""fr""))"),"")</f>
        <v/>
      </c>
    </row>
    <row r="277" spans="2:2">
      <c r="B277" s="3" t="str">
        <f ca="1">IFERROR(__xludf.DUMMYFUNCTION("IF(ISBLANK(A277),"""",GOOGLETRANSLATE(A277,""en"",""fr""))"),"")</f>
        <v/>
      </c>
    </row>
    <row r="278" spans="2:2">
      <c r="B278" s="3" t="str">
        <f ca="1">IFERROR(__xludf.DUMMYFUNCTION("IF(ISBLANK(A278),"""",GOOGLETRANSLATE(A278,""en"",""fr""))"),"")</f>
        <v/>
      </c>
    </row>
    <row r="279" spans="2:2">
      <c r="B279" s="3" t="str">
        <f ca="1">IFERROR(__xludf.DUMMYFUNCTION("IF(ISBLANK(A279),"""",GOOGLETRANSLATE(A279,""en"",""fr""))"),"")</f>
        <v/>
      </c>
    </row>
    <row r="280" spans="2:2">
      <c r="B280" s="3" t="str">
        <f ca="1">IFERROR(__xludf.DUMMYFUNCTION("IF(ISBLANK(A280),"""",GOOGLETRANSLATE(A280,""en"",""fr""))"),"")</f>
        <v/>
      </c>
    </row>
    <row r="281" spans="2:2">
      <c r="B281" s="3" t="str">
        <f ca="1">IFERROR(__xludf.DUMMYFUNCTION("IF(ISBLANK(A281),"""",GOOGLETRANSLATE(A281,""en"",""fr""))"),"")</f>
        <v/>
      </c>
    </row>
    <row r="282" spans="2:2">
      <c r="B282" s="3" t="str">
        <f ca="1">IFERROR(__xludf.DUMMYFUNCTION("IF(ISBLANK(A282),"""",GOOGLETRANSLATE(A282,""en"",""fr""))"),"")</f>
        <v/>
      </c>
    </row>
    <row r="283" spans="2:2">
      <c r="B283" s="3" t="str">
        <f ca="1">IFERROR(__xludf.DUMMYFUNCTION("IF(ISBLANK(A283),"""",GOOGLETRANSLATE(A283,""en"",""fr""))"),"")</f>
        <v/>
      </c>
    </row>
    <row r="284" spans="2:2">
      <c r="B284" s="3" t="str">
        <f ca="1">IFERROR(__xludf.DUMMYFUNCTION("IF(ISBLANK(A284),"""",GOOGLETRANSLATE(A284,""en"",""fr""))"),"")</f>
        <v/>
      </c>
    </row>
    <row r="285" spans="2:2">
      <c r="B285" s="3" t="str">
        <f ca="1">IFERROR(__xludf.DUMMYFUNCTION("IF(ISBLANK(A285),"""",GOOGLETRANSLATE(A285,""en"",""fr""))"),"")</f>
        <v/>
      </c>
    </row>
    <row r="286" spans="2:2">
      <c r="B286" s="3" t="str">
        <f ca="1">IFERROR(__xludf.DUMMYFUNCTION("IF(ISBLANK(A286),"""",GOOGLETRANSLATE(A286,""en"",""fr""))"),"")</f>
        <v/>
      </c>
    </row>
    <row r="287" spans="2:2">
      <c r="B287" s="3" t="str">
        <f ca="1">IFERROR(__xludf.DUMMYFUNCTION("IF(ISBLANK(A287),"""",GOOGLETRANSLATE(A287,""en"",""fr""))"),"")</f>
        <v/>
      </c>
    </row>
    <row r="288" spans="2:2">
      <c r="B288" s="3" t="str">
        <f ca="1">IFERROR(__xludf.DUMMYFUNCTION("IF(ISBLANK(A288),"""",GOOGLETRANSLATE(A288,""en"",""fr""))"),"")</f>
        <v/>
      </c>
    </row>
    <row r="289" spans="2:2">
      <c r="B289" s="3" t="str">
        <f ca="1">IFERROR(__xludf.DUMMYFUNCTION("IF(ISBLANK(A289),"""",GOOGLETRANSLATE(A289,""en"",""fr""))"),"")</f>
        <v/>
      </c>
    </row>
    <row r="290" spans="2:2">
      <c r="B290" s="3" t="str">
        <f ca="1">IFERROR(__xludf.DUMMYFUNCTION("IF(ISBLANK(A290),"""",GOOGLETRANSLATE(A290,""en"",""fr""))"),"")</f>
        <v/>
      </c>
    </row>
    <row r="291" spans="2:2">
      <c r="B291" s="3" t="str">
        <f ca="1">IFERROR(__xludf.DUMMYFUNCTION("IF(ISBLANK(A291),"""",GOOGLETRANSLATE(A291,""en"",""fr""))"),"")</f>
        <v/>
      </c>
    </row>
    <row r="292" spans="2:2">
      <c r="B292" s="3" t="str">
        <f ca="1">IFERROR(__xludf.DUMMYFUNCTION("IF(ISBLANK(A292),"""",GOOGLETRANSLATE(A292,""en"",""fr""))"),"")</f>
        <v/>
      </c>
    </row>
    <row r="293" spans="2:2">
      <c r="B293" s="3" t="str">
        <f ca="1">IFERROR(__xludf.DUMMYFUNCTION("IF(ISBLANK(A293),"""",GOOGLETRANSLATE(A293,""en"",""fr""))"),"")</f>
        <v/>
      </c>
    </row>
    <row r="294" spans="2:2">
      <c r="B294" s="3" t="str">
        <f ca="1">IFERROR(__xludf.DUMMYFUNCTION("IF(ISBLANK(A294),"""",GOOGLETRANSLATE(A294,""en"",""fr""))"),"")</f>
        <v/>
      </c>
    </row>
    <row r="295" spans="2:2">
      <c r="B295" s="3" t="str">
        <f ca="1">IFERROR(__xludf.DUMMYFUNCTION("IF(ISBLANK(A295),"""",GOOGLETRANSLATE(A295,""en"",""fr""))"),"")</f>
        <v/>
      </c>
    </row>
    <row r="296" spans="2:2">
      <c r="B296" s="3" t="str">
        <f ca="1">IFERROR(__xludf.DUMMYFUNCTION("IF(ISBLANK(A296),"""",GOOGLETRANSLATE(A296,""en"",""fr""))"),"")</f>
        <v/>
      </c>
    </row>
    <row r="297" spans="2:2">
      <c r="B297" s="3" t="str">
        <f ca="1">IFERROR(__xludf.DUMMYFUNCTION("IF(ISBLANK(A297),"""",GOOGLETRANSLATE(A297,""en"",""fr""))"),"")</f>
        <v/>
      </c>
    </row>
    <row r="298" spans="2:2">
      <c r="B298" s="3" t="str">
        <f ca="1">IFERROR(__xludf.DUMMYFUNCTION("IF(ISBLANK(A298),"""",GOOGLETRANSLATE(A298,""en"",""fr""))"),"")</f>
        <v/>
      </c>
    </row>
    <row r="299" spans="2:2">
      <c r="B299" s="3" t="str">
        <f ca="1">IFERROR(__xludf.DUMMYFUNCTION("IF(ISBLANK(A299),"""",GOOGLETRANSLATE(A299,""en"",""fr""))"),"")</f>
        <v/>
      </c>
    </row>
    <row r="300" spans="2:2">
      <c r="B300" s="3" t="str">
        <f ca="1">IFERROR(__xludf.DUMMYFUNCTION("IF(ISBLANK(A300),"""",GOOGLETRANSLATE(A300,""en"",""fr""))"),"")</f>
        <v/>
      </c>
    </row>
    <row r="301" spans="2:2">
      <c r="B301" s="3" t="str">
        <f ca="1">IFERROR(__xludf.DUMMYFUNCTION("IF(ISBLANK(A301),"""",GOOGLETRANSLATE(A301,""en"",""fr""))"),"")</f>
        <v/>
      </c>
    </row>
    <row r="302" spans="2:2">
      <c r="B302" s="3" t="str">
        <f ca="1">IFERROR(__xludf.DUMMYFUNCTION("IF(ISBLANK(A302),"""",GOOGLETRANSLATE(A302,""en"",""fr""))"),"")</f>
        <v/>
      </c>
    </row>
    <row r="303" spans="2:2">
      <c r="B303" s="3" t="str">
        <f ca="1">IFERROR(__xludf.DUMMYFUNCTION("IF(ISBLANK(A303),"""",GOOGLETRANSLATE(A303,""en"",""fr""))"),"")</f>
        <v/>
      </c>
    </row>
    <row r="304" spans="2:2">
      <c r="B304" s="3" t="str">
        <f ca="1">IFERROR(__xludf.DUMMYFUNCTION("IF(ISBLANK(A304),"""",GOOGLETRANSLATE(A304,""en"",""fr""))"),"")</f>
        <v/>
      </c>
    </row>
    <row r="305" spans="2:2">
      <c r="B305" s="3" t="str">
        <f ca="1">IFERROR(__xludf.DUMMYFUNCTION("IF(ISBLANK(A305),"""",GOOGLETRANSLATE(A305,""en"",""fr""))"),"")</f>
        <v/>
      </c>
    </row>
    <row r="306" spans="2:2">
      <c r="B306" s="3" t="str">
        <f ca="1">IFERROR(__xludf.DUMMYFUNCTION("IF(ISBLANK(A306),"""",GOOGLETRANSLATE(A306,""en"",""fr""))"),"")</f>
        <v/>
      </c>
    </row>
    <row r="307" spans="2:2">
      <c r="B307" s="3" t="str">
        <f ca="1">IFERROR(__xludf.DUMMYFUNCTION("IF(ISBLANK(A307),"""",GOOGLETRANSLATE(A307,""en"",""fr""))"),"")</f>
        <v/>
      </c>
    </row>
    <row r="308" spans="2:2">
      <c r="B308" s="3" t="str">
        <f ca="1">IFERROR(__xludf.DUMMYFUNCTION("IF(ISBLANK(A308),"""",GOOGLETRANSLATE(A308,""en"",""fr""))"),"")</f>
        <v/>
      </c>
    </row>
    <row r="309" spans="2:2">
      <c r="B309" s="3" t="str">
        <f ca="1">IFERROR(__xludf.DUMMYFUNCTION("IF(ISBLANK(A309),"""",GOOGLETRANSLATE(A309,""en"",""fr""))"),"")</f>
        <v/>
      </c>
    </row>
    <row r="310" spans="2:2">
      <c r="B310" s="3" t="str">
        <f ca="1">IFERROR(__xludf.DUMMYFUNCTION("IF(ISBLANK(A310),"""",GOOGLETRANSLATE(A310,""en"",""fr""))"),"")</f>
        <v/>
      </c>
    </row>
    <row r="311" spans="2:2">
      <c r="B311" s="3" t="str">
        <f ca="1">IFERROR(__xludf.DUMMYFUNCTION("IF(ISBLANK(A311),"""",GOOGLETRANSLATE(A311,""en"",""fr""))"),"")</f>
        <v/>
      </c>
    </row>
    <row r="312" spans="2:2">
      <c r="B312" s="3" t="str">
        <f ca="1">IFERROR(__xludf.DUMMYFUNCTION("IF(ISBLANK(A312),"""",GOOGLETRANSLATE(A312,""en"",""fr""))"),"")</f>
        <v/>
      </c>
    </row>
    <row r="313" spans="2:2">
      <c r="B313" s="3" t="str">
        <f ca="1">IFERROR(__xludf.DUMMYFUNCTION("IF(ISBLANK(A313),"""",GOOGLETRANSLATE(A313,""en"",""fr""))"),"")</f>
        <v/>
      </c>
    </row>
    <row r="314" spans="2:2">
      <c r="B314" s="3" t="str">
        <f ca="1">IFERROR(__xludf.DUMMYFUNCTION("IF(ISBLANK(A314),"""",GOOGLETRANSLATE(A314,""en"",""fr""))"),"")</f>
        <v/>
      </c>
    </row>
    <row r="315" spans="2:2">
      <c r="B315" s="3" t="str">
        <f ca="1">IFERROR(__xludf.DUMMYFUNCTION("IF(ISBLANK(A315),"""",GOOGLETRANSLATE(A315,""en"",""fr""))"),"")</f>
        <v/>
      </c>
    </row>
    <row r="316" spans="2:2">
      <c r="B316" s="3" t="str">
        <f ca="1">IFERROR(__xludf.DUMMYFUNCTION("IF(ISBLANK(A316),"""",GOOGLETRANSLATE(A316,""en"",""fr""))"),"")</f>
        <v/>
      </c>
    </row>
    <row r="317" spans="2:2">
      <c r="B317" s="3" t="str">
        <f ca="1">IFERROR(__xludf.DUMMYFUNCTION("IF(ISBLANK(A317),"""",GOOGLETRANSLATE(A317,""en"",""fr""))"),"")</f>
        <v/>
      </c>
    </row>
    <row r="318" spans="2:2">
      <c r="B318" s="3" t="str">
        <f ca="1">IFERROR(__xludf.DUMMYFUNCTION("IF(ISBLANK(A318),"""",GOOGLETRANSLATE(A318,""en"",""fr""))"),"")</f>
        <v/>
      </c>
    </row>
    <row r="319" spans="2:2">
      <c r="B319" s="3" t="str">
        <f ca="1">IFERROR(__xludf.DUMMYFUNCTION("IF(ISBLANK(A319),"""",GOOGLETRANSLATE(A319,""en"",""fr""))"),"")</f>
        <v/>
      </c>
    </row>
    <row r="320" spans="2:2">
      <c r="B320" s="3" t="str">
        <f ca="1">IFERROR(__xludf.DUMMYFUNCTION("IF(ISBLANK(A320),"""",GOOGLETRANSLATE(A320,""en"",""fr""))"),"")</f>
        <v/>
      </c>
    </row>
    <row r="321" spans="2:2">
      <c r="B321" s="3" t="str">
        <f ca="1">IFERROR(__xludf.DUMMYFUNCTION("IF(ISBLANK(A321),"""",GOOGLETRANSLATE(A321,""en"",""fr""))"),"")</f>
        <v/>
      </c>
    </row>
    <row r="322" spans="2:2">
      <c r="B322" s="3" t="str">
        <f ca="1">IFERROR(__xludf.DUMMYFUNCTION("IF(ISBLANK(A322),"""",GOOGLETRANSLATE(A322,""en"",""fr""))"),"")</f>
        <v/>
      </c>
    </row>
    <row r="323" spans="2:2">
      <c r="B323" s="3" t="str">
        <f ca="1">IFERROR(__xludf.DUMMYFUNCTION("IF(ISBLANK(A323),"""",GOOGLETRANSLATE(A323,""en"",""fr""))"),"")</f>
        <v/>
      </c>
    </row>
    <row r="324" spans="2:2">
      <c r="B324" s="3" t="str">
        <f ca="1">IFERROR(__xludf.DUMMYFUNCTION("IF(ISBLANK(A324),"""",GOOGLETRANSLATE(A324,""en"",""fr""))"),"")</f>
        <v/>
      </c>
    </row>
    <row r="325" spans="2:2">
      <c r="B325" s="3" t="str">
        <f ca="1">IFERROR(__xludf.DUMMYFUNCTION("IF(ISBLANK(A325),"""",GOOGLETRANSLATE(A325,""en"",""fr""))"),"")</f>
        <v/>
      </c>
    </row>
    <row r="326" spans="2:2">
      <c r="B326" s="3" t="str">
        <f ca="1">IFERROR(__xludf.DUMMYFUNCTION("IF(ISBLANK(A326),"""",GOOGLETRANSLATE(A326,""en"",""fr""))"),"")</f>
        <v/>
      </c>
    </row>
    <row r="327" spans="2:2">
      <c r="B327" s="3" t="str">
        <f ca="1">IFERROR(__xludf.DUMMYFUNCTION("IF(ISBLANK(A327),"""",GOOGLETRANSLATE(A327,""en"",""fr""))"),"")</f>
        <v/>
      </c>
    </row>
    <row r="328" spans="2:2">
      <c r="B328" s="3" t="str">
        <f ca="1">IFERROR(__xludf.DUMMYFUNCTION("IF(ISBLANK(A328),"""",GOOGLETRANSLATE(A328,""en"",""fr""))"),"")</f>
        <v/>
      </c>
    </row>
    <row r="329" spans="2:2">
      <c r="B329" s="3" t="str">
        <f ca="1">IFERROR(__xludf.DUMMYFUNCTION("IF(ISBLANK(A329),"""",GOOGLETRANSLATE(A329,""en"",""fr""))"),"")</f>
        <v/>
      </c>
    </row>
    <row r="330" spans="2:2">
      <c r="B330" s="3" t="str">
        <f ca="1">IFERROR(__xludf.DUMMYFUNCTION("IF(ISBLANK(A330),"""",GOOGLETRANSLATE(A330,""en"",""fr""))"),"")</f>
        <v/>
      </c>
    </row>
    <row r="331" spans="2:2">
      <c r="B331" s="3" t="str">
        <f ca="1">IFERROR(__xludf.DUMMYFUNCTION("IF(ISBLANK(A331),"""",GOOGLETRANSLATE(A331,""en"",""fr""))"),"")</f>
        <v/>
      </c>
    </row>
    <row r="332" spans="2:2">
      <c r="B332" s="3" t="str">
        <f ca="1">IFERROR(__xludf.DUMMYFUNCTION("IF(ISBLANK(A332),"""",GOOGLETRANSLATE(A332,""en"",""fr""))"),"")</f>
        <v/>
      </c>
    </row>
    <row r="333" spans="2:2">
      <c r="B333" s="3" t="str">
        <f ca="1">IFERROR(__xludf.DUMMYFUNCTION("IF(ISBLANK(A333),"""",GOOGLETRANSLATE(A333,""en"",""fr""))"),"")</f>
        <v/>
      </c>
    </row>
    <row r="334" spans="2:2">
      <c r="B334" s="3" t="str">
        <f ca="1">IFERROR(__xludf.DUMMYFUNCTION("IF(ISBLANK(A334),"""",GOOGLETRANSLATE(A334,""en"",""fr""))"),"")</f>
        <v/>
      </c>
    </row>
    <row r="335" spans="2:2">
      <c r="B335" s="3" t="str">
        <f ca="1">IFERROR(__xludf.DUMMYFUNCTION("IF(ISBLANK(A335),"""",GOOGLETRANSLATE(A335,""en"",""fr""))"),"")</f>
        <v/>
      </c>
    </row>
    <row r="336" spans="2:2">
      <c r="B336" s="3" t="str">
        <f ca="1">IFERROR(__xludf.DUMMYFUNCTION("IF(ISBLANK(A336),"""",GOOGLETRANSLATE(A336,""en"",""fr""))"),"")</f>
        <v/>
      </c>
    </row>
    <row r="337" spans="2:2">
      <c r="B337" s="3" t="str">
        <f ca="1">IFERROR(__xludf.DUMMYFUNCTION("IF(ISBLANK(A337),"""",GOOGLETRANSLATE(A337,""en"",""fr""))"),"")</f>
        <v/>
      </c>
    </row>
    <row r="338" spans="2:2">
      <c r="B338" s="3" t="str">
        <f ca="1">IFERROR(__xludf.DUMMYFUNCTION("IF(ISBLANK(A338),"""",GOOGLETRANSLATE(A338,""en"",""fr""))"),"")</f>
        <v/>
      </c>
    </row>
    <row r="339" spans="2:2">
      <c r="B339" s="3" t="str">
        <f ca="1">IFERROR(__xludf.DUMMYFUNCTION("IF(ISBLANK(A339),"""",GOOGLETRANSLATE(A339,""en"",""fr""))"),"")</f>
        <v/>
      </c>
    </row>
    <row r="340" spans="2:2">
      <c r="B340" s="3" t="str">
        <f ca="1">IFERROR(__xludf.DUMMYFUNCTION("IF(ISBLANK(A340),"""",GOOGLETRANSLATE(A340,""en"",""fr""))"),"")</f>
        <v/>
      </c>
    </row>
    <row r="341" spans="2:2">
      <c r="B341" s="3" t="str">
        <f ca="1">IFERROR(__xludf.DUMMYFUNCTION("IF(ISBLANK(A341),"""",GOOGLETRANSLATE(A341,""en"",""fr""))"),"")</f>
        <v/>
      </c>
    </row>
    <row r="342" spans="2:2">
      <c r="B342" s="3" t="str">
        <f ca="1">IFERROR(__xludf.DUMMYFUNCTION("IF(ISBLANK(A342),"""",GOOGLETRANSLATE(A342,""en"",""fr""))"),"")</f>
        <v/>
      </c>
    </row>
    <row r="343" spans="2:2">
      <c r="B343" s="3" t="str">
        <f ca="1">IFERROR(__xludf.DUMMYFUNCTION("IF(ISBLANK(A343),"""",GOOGLETRANSLATE(A343,""en"",""fr""))"),"")</f>
        <v/>
      </c>
    </row>
    <row r="344" spans="2:2">
      <c r="B344" s="3" t="str">
        <f ca="1">IFERROR(__xludf.DUMMYFUNCTION("IF(ISBLANK(A344),"""",GOOGLETRANSLATE(A344,""en"",""fr""))"),"")</f>
        <v/>
      </c>
    </row>
    <row r="345" spans="2:2">
      <c r="B345" s="3" t="str">
        <f ca="1">IFERROR(__xludf.DUMMYFUNCTION("IF(ISBLANK(A345),"""",GOOGLETRANSLATE(A345,""en"",""fr""))"),"")</f>
        <v/>
      </c>
    </row>
    <row r="346" spans="2:2">
      <c r="B346" s="3" t="str">
        <f ca="1">IFERROR(__xludf.DUMMYFUNCTION("IF(ISBLANK(A346),"""",GOOGLETRANSLATE(A346,""en"",""fr""))"),"")</f>
        <v/>
      </c>
    </row>
    <row r="347" spans="2:2">
      <c r="B347" s="3" t="str">
        <f ca="1">IFERROR(__xludf.DUMMYFUNCTION("IF(ISBLANK(A347),"""",GOOGLETRANSLATE(A347,""en"",""fr""))"),"")</f>
        <v/>
      </c>
    </row>
    <row r="348" spans="2:2">
      <c r="B348" s="3" t="str">
        <f ca="1">IFERROR(__xludf.DUMMYFUNCTION("IF(ISBLANK(A348),"""",GOOGLETRANSLATE(A348,""en"",""fr""))"),"")</f>
        <v/>
      </c>
    </row>
    <row r="349" spans="2:2">
      <c r="B349" s="3" t="str">
        <f ca="1">IFERROR(__xludf.DUMMYFUNCTION("IF(ISBLANK(A349),"""",GOOGLETRANSLATE(A349,""en"",""fr""))"),"")</f>
        <v/>
      </c>
    </row>
    <row r="350" spans="2:2">
      <c r="B350" s="3" t="str">
        <f ca="1">IFERROR(__xludf.DUMMYFUNCTION("IF(ISBLANK(A350),"""",GOOGLETRANSLATE(A350,""en"",""fr""))"),"")</f>
        <v/>
      </c>
    </row>
    <row r="351" spans="2:2">
      <c r="B351" s="3" t="str">
        <f ca="1">IFERROR(__xludf.DUMMYFUNCTION("IF(ISBLANK(A351),"""",GOOGLETRANSLATE(A351,""en"",""fr""))"),"")</f>
        <v/>
      </c>
    </row>
    <row r="352" spans="2:2">
      <c r="B352" s="3" t="str">
        <f ca="1">IFERROR(__xludf.DUMMYFUNCTION("IF(ISBLANK(A352),"""",GOOGLETRANSLATE(A352,""en"",""fr""))"),"")</f>
        <v/>
      </c>
    </row>
    <row r="353" spans="2:2">
      <c r="B353" s="3" t="str">
        <f ca="1">IFERROR(__xludf.DUMMYFUNCTION("IF(ISBLANK(A353),"""",GOOGLETRANSLATE(A353,""en"",""fr""))"),"")</f>
        <v/>
      </c>
    </row>
    <row r="354" spans="2:2">
      <c r="B354" s="3" t="str">
        <f ca="1">IFERROR(__xludf.DUMMYFUNCTION("IF(ISBLANK(A354),"""",GOOGLETRANSLATE(A354,""en"",""fr""))"),"")</f>
        <v/>
      </c>
    </row>
    <row r="355" spans="2:2">
      <c r="B355" s="3" t="str">
        <f ca="1">IFERROR(__xludf.DUMMYFUNCTION("IF(ISBLANK(A355),"""",GOOGLETRANSLATE(A355,""en"",""fr""))"),"")</f>
        <v/>
      </c>
    </row>
    <row r="356" spans="2:2">
      <c r="B356" s="3" t="str">
        <f ca="1">IFERROR(__xludf.DUMMYFUNCTION("IF(ISBLANK(A356),"""",GOOGLETRANSLATE(A356,""en"",""fr""))"),"")</f>
        <v/>
      </c>
    </row>
    <row r="357" spans="2:2">
      <c r="B357" s="3" t="str">
        <f ca="1">IFERROR(__xludf.DUMMYFUNCTION("IF(ISBLANK(A357),"""",GOOGLETRANSLATE(A357,""en"",""fr""))"),"")</f>
        <v/>
      </c>
    </row>
    <row r="358" spans="2:2">
      <c r="B358" s="3" t="str">
        <f ca="1">IFERROR(__xludf.DUMMYFUNCTION("IF(ISBLANK(A358),"""",GOOGLETRANSLATE(A358,""en"",""fr""))"),"")</f>
        <v/>
      </c>
    </row>
    <row r="359" spans="2:2">
      <c r="B359" s="3" t="str">
        <f ca="1">IFERROR(__xludf.DUMMYFUNCTION("IF(ISBLANK(A359),"""",GOOGLETRANSLATE(A359,""en"",""fr""))"),"")</f>
        <v/>
      </c>
    </row>
    <row r="360" spans="2:2">
      <c r="B360" s="3" t="str">
        <f ca="1">IFERROR(__xludf.DUMMYFUNCTION("IF(ISBLANK(A360),"""",GOOGLETRANSLATE(A360,""en"",""fr""))"),"")</f>
        <v/>
      </c>
    </row>
    <row r="361" spans="2:2">
      <c r="B361" s="3" t="str">
        <f ca="1">IFERROR(__xludf.DUMMYFUNCTION("IF(ISBLANK(A361),"""",GOOGLETRANSLATE(A361,""en"",""fr""))"),"")</f>
        <v/>
      </c>
    </row>
    <row r="362" spans="2:2">
      <c r="B362" s="3" t="str">
        <f ca="1">IFERROR(__xludf.DUMMYFUNCTION("IF(ISBLANK(A362),"""",GOOGLETRANSLATE(A362,""en"",""fr""))"),"")</f>
        <v/>
      </c>
    </row>
    <row r="363" spans="2:2">
      <c r="B363" s="3" t="str">
        <f ca="1">IFERROR(__xludf.DUMMYFUNCTION("IF(ISBLANK(A363),"""",GOOGLETRANSLATE(A363,""en"",""fr""))"),"")</f>
        <v/>
      </c>
    </row>
    <row r="364" spans="2:2">
      <c r="B364" s="3" t="str">
        <f ca="1">IFERROR(__xludf.DUMMYFUNCTION("IF(ISBLANK(A364),"""",GOOGLETRANSLATE(A364,""en"",""fr""))"),"")</f>
        <v/>
      </c>
    </row>
    <row r="365" spans="2:2">
      <c r="B365" s="3" t="str">
        <f ca="1">IFERROR(__xludf.DUMMYFUNCTION("IF(ISBLANK(A365),"""",GOOGLETRANSLATE(A365,""en"",""fr""))"),"")</f>
        <v/>
      </c>
    </row>
    <row r="366" spans="2:2">
      <c r="B366" s="3" t="str">
        <f ca="1">IFERROR(__xludf.DUMMYFUNCTION("IF(ISBLANK(A366),"""",GOOGLETRANSLATE(A366,""en"",""fr""))"),"")</f>
        <v/>
      </c>
    </row>
    <row r="367" spans="2:2">
      <c r="B367" s="3" t="str">
        <f ca="1">IFERROR(__xludf.DUMMYFUNCTION("IF(ISBLANK(A367),"""",GOOGLETRANSLATE(A367,""en"",""fr""))"),"")</f>
        <v/>
      </c>
    </row>
    <row r="368" spans="2:2">
      <c r="B368" s="3" t="str">
        <f ca="1">IFERROR(__xludf.DUMMYFUNCTION("IF(ISBLANK(A368),"""",GOOGLETRANSLATE(A368,""en"",""fr""))"),"")</f>
        <v/>
      </c>
    </row>
    <row r="369" spans="2:2">
      <c r="B369" s="3" t="str">
        <f ca="1">IFERROR(__xludf.DUMMYFUNCTION("IF(ISBLANK(A369),"""",GOOGLETRANSLATE(A369,""en"",""fr""))"),"")</f>
        <v/>
      </c>
    </row>
    <row r="370" spans="2:2">
      <c r="B370" s="3" t="str">
        <f ca="1">IFERROR(__xludf.DUMMYFUNCTION("IF(ISBLANK(A370),"""",GOOGLETRANSLATE(A370,""en"",""fr""))"),"")</f>
        <v/>
      </c>
    </row>
    <row r="371" spans="2:2">
      <c r="B371" s="3" t="str">
        <f ca="1">IFERROR(__xludf.DUMMYFUNCTION("IF(ISBLANK(A371),"""",GOOGLETRANSLATE(A371,""en"",""fr""))"),"")</f>
        <v/>
      </c>
    </row>
    <row r="372" spans="2:2">
      <c r="B372" s="3" t="str">
        <f ca="1">IFERROR(__xludf.DUMMYFUNCTION("IF(ISBLANK(A372),"""",GOOGLETRANSLATE(A372,""en"",""fr""))"),"")</f>
        <v/>
      </c>
    </row>
    <row r="373" spans="2:2">
      <c r="B373" s="3" t="str">
        <f ca="1">IFERROR(__xludf.DUMMYFUNCTION("IF(ISBLANK(A373),"""",GOOGLETRANSLATE(A373,""en"",""fr""))"),"")</f>
        <v/>
      </c>
    </row>
    <row r="374" spans="2:2">
      <c r="B374" s="3" t="str">
        <f ca="1">IFERROR(__xludf.DUMMYFUNCTION("IF(ISBLANK(A374),"""",GOOGLETRANSLATE(A374,""en"",""fr""))"),"")</f>
        <v/>
      </c>
    </row>
    <row r="375" spans="2:2">
      <c r="B375" s="3" t="str">
        <f ca="1">IFERROR(__xludf.DUMMYFUNCTION("IF(ISBLANK(A375),"""",GOOGLETRANSLATE(A375,""en"",""fr""))"),"")</f>
        <v/>
      </c>
    </row>
    <row r="376" spans="2:2">
      <c r="B376" s="3" t="str">
        <f ca="1">IFERROR(__xludf.DUMMYFUNCTION("IF(ISBLANK(A376),"""",GOOGLETRANSLATE(A376,""en"",""fr""))"),"")</f>
        <v/>
      </c>
    </row>
    <row r="377" spans="2:2">
      <c r="B377" s="3" t="str">
        <f ca="1">IFERROR(__xludf.DUMMYFUNCTION("IF(ISBLANK(A377),"""",GOOGLETRANSLATE(A377,""en"",""fr""))"),"")</f>
        <v/>
      </c>
    </row>
    <row r="378" spans="2:2">
      <c r="B378" s="3" t="str">
        <f ca="1">IFERROR(__xludf.DUMMYFUNCTION("IF(ISBLANK(A378),"""",GOOGLETRANSLATE(A378,""en"",""fr""))"),"")</f>
        <v/>
      </c>
    </row>
    <row r="379" spans="2:2">
      <c r="B379" s="3" t="str">
        <f ca="1">IFERROR(__xludf.DUMMYFUNCTION("IF(ISBLANK(A379),"""",GOOGLETRANSLATE(A379,""en"",""fr""))"),"")</f>
        <v/>
      </c>
    </row>
    <row r="380" spans="2:2">
      <c r="B380" s="3" t="str">
        <f ca="1">IFERROR(__xludf.DUMMYFUNCTION("IF(ISBLANK(A380),"""",GOOGLETRANSLATE(A380,""en"",""fr""))"),"")</f>
        <v/>
      </c>
    </row>
    <row r="381" spans="2:2">
      <c r="B381" s="3" t="str">
        <f ca="1">IFERROR(__xludf.DUMMYFUNCTION("IF(ISBLANK(A381),"""",GOOGLETRANSLATE(A381,""en"",""fr""))"),"")</f>
        <v/>
      </c>
    </row>
    <row r="382" spans="2:2">
      <c r="B382" s="3" t="str">
        <f ca="1">IFERROR(__xludf.DUMMYFUNCTION("IF(ISBLANK(A382),"""",GOOGLETRANSLATE(A382,""en"",""fr""))"),"")</f>
        <v/>
      </c>
    </row>
    <row r="383" spans="2:2">
      <c r="B383" s="3" t="str">
        <f ca="1">IFERROR(__xludf.DUMMYFUNCTION("IF(ISBLANK(A383),"""",GOOGLETRANSLATE(A383,""en"",""fr""))"),"")</f>
        <v/>
      </c>
    </row>
    <row r="384" spans="2:2">
      <c r="B384" s="3" t="str">
        <f ca="1">IFERROR(__xludf.DUMMYFUNCTION("IF(ISBLANK(A384),"""",GOOGLETRANSLATE(A384,""en"",""fr""))"),"")</f>
        <v/>
      </c>
    </row>
    <row r="385" spans="2:2">
      <c r="B385" s="3" t="str">
        <f ca="1">IFERROR(__xludf.DUMMYFUNCTION("IF(ISBLANK(A385),"""",GOOGLETRANSLATE(A385,""en"",""fr""))"),"")</f>
        <v/>
      </c>
    </row>
    <row r="386" spans="2:2">
      <c r="B386" s="3" t="str">
        <f ca="1">IFERROR(__xludf.DUMMYFUNCTION("IF(ISBLANK(A386),"""",GOOGLETRANSLATE(A386,""en"",""fr""))"),"")</f>
        <v/>
      </c>
    </row>
    <row r="387" spans="2:2">
      <c r="B387" s="3" t="str">
        <f ca="1">IFERROR(__xludf.DUMMYFUNCTION("IF(ISBLANK(A387),"""",GOOGLETRANSLATE(A387,""en"",""fr""))"),"")</f>
        <v/>
      </c>
    </row>
    <row r="388" spans="2:2">
      <c r="B388" s="3" t="str">
        <f ca="1">IFERROR(__xludf.DUMMYFUNCTION("IF(ISBLANK(A388),"""",GOOGLETRANSLATE(A388,""en"",""fr""))"),"")</f>
        <v/>
      </c>
    </row>
    <row r="389" spans="2:2">
      <c r="B389" s="3" t="str">
        <f ca="1">IFERROR(__xludf.DUMMYFUNCTION("IF(ISBLANK(A389),"""",GOOGLETRANSLATE(A389,""en"",""fr""))"),"")</f>
        <v/>
      </c>
    </row>
    <row r="390" spans="2:2">
      <c r="B390" s="3" t="str">
        <f ca="1">IFERROR(__xludf.DUMMYFUNCTION("IF(ISBLANK(A390),"""",GOOGLETRANSLATE(A390,""en"",""fr""))"),"")</f>
        <v/>
      </c>
    </row>
    <row r="391" spans="2:2">
      <c r="B391" s="3" t="str">
        <f ca="1">IFERROR(__xludf.DUMMYFUNCTION("IF(ISBLANK(A391),"""",GOOGLETRANSLATE(A391,""en"",""fr""))"),"")</f>
        <v/>
      </c>
    </row>
    <row r="392" spans="2:2">
      <c r="B392" s="3" t="str">
        <f ca="1">IFERROR(__xludf.DUMMYFUNCTION("IF(ISBLANK(A392),"""",GOOGLETRANSLATE(A392,""en"",""fr""))"),"")</f>
        <v/>
      </c>
    </row>
    <row r="393" spans="2:2">
      <c r="B393" s="3" t="str">
        <f ca="1">IFERROR(__xludf.DUMMYFUNCTION("IF(ISBLANK(A393),"""",GOOGLETRANSLATE(A393,""en"",""fr""))"),"")</f>
        <v/>
      </c>
    </row>
    <row r="394" spans="2:2">
      <c r="B394" s="3" t="str">
        <f ca="1">IFERROR(__xludf.DUMMYFUNCTION("IF(ISBLANK(A394),"""",GOOGLETRANSLATE(A394,""en"",""fr""))"),"")</f>
        <v/>
      </c>
    </row>
    <row r="395" spans="2:2">
      <c r="B395" s="3" t="str">
        <f ca="1">IFERROR(__xludf.DUMMYFUNCTION("IF(ISBLANK(A395),"""",GOOGLETRANSLATE(A395,""en"",""fr""))"),"")</f>
        <v/>
      </c>
    </row>
    <row r="396" spans="2:2">
      <c r="B396" s="3" t="str">
        <f ca="1">IFERROR(__xludf.DUMMYFUNCTION("IF(ISBLANK(A396),"""",GOOGLETRANSLATE(A396,""en"",""fr""))"),"")</f>
        <v/>
      </c>
    </row>
    <row r="397" spans="2:2">
      <c r="B397" s="3" t="str">
        <f ca="1">IFERROR(__xludf.DUMMYFUNCTION("IF(ISBLANK(A397),"""",GOOGLETRANSLATE(A397,""en"",""fr""))"),"")</f>
        <v/>
      </c>
    </row>
    <row r="398" spans="2:2">
      <c r="B398" s="3" t="str">
        <f ca="1">IFERROR(__xludf.DUMMYFUNCTION("IF(ISBLANK(A398),"""",GOOGLETRANSLATE(A398,""en"",""fr""))"),"")</f>
        <v/>
      </c>
    </row>
    <row r="399" spans="2:2">
      <c r="B399" s="3" t="str">
        <f ca="1">IFERROR(__xludf.DUMMYFUNCTION("IF(ISBLANK(A399),"""",GOOGLETRANSLATE(A399,""en"",""fr""))"),"")</f>
        <v/>
      </c>
    </row>
    <row r="400" spans="2:2">
      <c r="B400" s="3" t="str">
        <f ca="1">IFERROR(__xludf.DUMMYFUNCTION("IF(ISBLANK(A400),"""",GOOGLETRANSLATE(A400,""en"",""fr""))"),"")</f>
        <v/>
      </c>
    </row>
    <row r="401" spans="2:2">
      <c r="B401" s="3" t="str">
        <f ca="1">IFERROR(__xludf.DUMMYFUNCTION("IF(ISBLANK(A401),"""",GOOGLETRANSLATE(A401,""en"",""fr""))"),"")</f>
        <v/>
      </c>
    </row>
    <row r="402" spans="2:2">
      <c r="B402" s="3" t="str">
        <f ca="1">IFERROR(__xludf.DUMMYFUNCTION("IF(ISBLANK(A402),"""",GOOGLETRANSLATE(A402,""en"",""fr""))"),"")</f>
        <v/>
      </c>
    </row>
    <row r="403" spans="2:2">
      <c r="B403" s="3" t="str">
        <f ca="1">IFERROR(__xludf.DUMMYFUNCTION("IF(ISBLANK(A403),"""",GOOGLETRANSLATE(A403,""en"",""fr""))"),"")</f>
        <v/>
      </c>
    </row>
    <row r="404" spans="2:2">
      <c r="B404" s="3" t="str">
        <f ca="1">IFERROR(__xludf.DUMMYFUNCTION("IF(ISBLANK(A404),"""",GOOGLETRANSLATE(A404,""en"",""fr""))"),"")</f>
        <v/>
      </c>
    </row>
    <row r="405" spans="2:2">
      <c r="B405" s="3" t="str">
        <f ca="1">IFERROR(__xludf.DUMMYFUNCTION("IF(ISBLANK(A405),"""",GOOGLETRANSLATE(A405,""en"",""fr""))"),"")</f>
        <v/>
      </c>
    </row>
    <row r="406" spans="2:2">
      <c r="B406" s="3" t="str">
        <f ca="1">IFERROR(__xludf.DUMMYFUNCTION("IF(ISBLANK(A406),"""",GOOGLETRANSLATE(A406,""en"",""fr""))"),"")</f>
        <v/>
      </c>
    </row>
    <row r="407" spans="2:2">
      <c r="B407" s="3" t="str">
        <f ca="1">IFERROR(__xludf.DUMMYFUNCTION("IF(ISBLANK(A407),"""",GOOGLETRANSLATE(A407,""en"",""fr""))"),"")</f>
        <v/>
      </c>
    </row>
    <row r="408" spans="2:2">
      <c r="B408" s="3" t="str">
        <f ca="1">IFERROR(__xludf.DUMMYFUNCTION("IF(ISBLANK(A408),"""",GOOGLETRANSLATE(A408,""en"",""fr""))"),"")</f>
        <v/>
      </c>
    </row>
    <row r="409" spans="2:2">
      <c r="B409" s="3" t="str">
        <f ca="1">IFERROR(__xludf.DUMMYFUNCTION("IF(ISBLANK(A409),"""",GOOGLETRANSLATE(A409,""en"",""fr""))"),"")</f>
        <v/>
      </c>
    </row>
    <row r="410" spans="2:2">
      <c r="B410" s="3" t="str">
        <f ca="1">IFERROR(__xludf.DUMMYFUNCTION("IF(ISBLANK(A410),"""",GOOGLETRANSLATE(A410,""en"",""fr""))"),"")</f>
        <v/>
      </c>
    </row>
    <row r="411" spans="2:2">
      <c r="B411" s="3" t="str">
        <f ca="1">IFERROR(__xludf.DUMMYFUNCTION("IF(ISBLANK(A411),"""",GOOGLETRANSLATE(A411,""en"",""fr""))"),"")</f>
        <v/>
      </c>
    </row>
    <row r="412" spans="2:2">
      <c r="B412" s="3" t="str">
        <f ca="1">IFERROR(__xludf.DUMMYFUNCTION("IF(ISBLANK(A412),"""",GOOGLETRANSLATE(A412,""en"",""fr""))"),"")</f>
        <v/>
      </c>
    </row>
    <row r="413" spans="2:2">
      <c r="B413" s="3" t="str">
        <f ca="1">IFERROR(__xludf.DUMMYFUNCTION("IF(ISBLANK(A413),"""",GOOGLETRANSLATE(A413,""en"",""fr""))"),"")</f>
        <v/>
      </c>
    </row>
    <row r="414" spans="2:2">
      <c r="B414" s="3" t="str">
        <f ca="1">IFERROR(__xludf.DUMMYFUNCTION("IF(ISBLANK(A414),"""",GOOGLETRANSLATE(A414,""en"",""fr""))"),"")</f>
        <v/>
      </c>
    </row>
    <row r="415" spans="2:2">
      <c r="B415" s="3" t="str">
        <f ca="1">IFERROR(__xludf.DUMMYFUNCTION("IF(ISBLANK(A415),"""",GOOGLETRANSLATE(A415,""en"",""fr""))"),"")</f>
        <v/>
      </c>
    </row>
    <row r="416" spans="2:2">
      <c r="B416" s="3" t="str">
        <f ca="1">IFERROR(__xludf.DUMMYFUNCTION("IF(ISBLANK(A416),"""",GOOGLETRANSLATE(A416,""en"",""fr""))"),"")</f>
        <v/>
      </c>
    </row>
    <row r="417" spans="2:2">
      <c r="B417" s="3" t="str">
        <f ca="1">IFERROR(__xludf.DUMMYFUNCTION("IF(ISBLANK(A417),"""",GOOGLETRANSLATE(A417,""en"",""fr""))"),"")</f>
        <v/>
      </c>
    </row>
    <row r="418" spans="2:2">
      <c r="B418" s="3" t="str">
        <f ca="1">IFERROR(__xludf.DUMMYFUNCTION("IF(ISBLANK(A418),"""",GOOGLETRANSLATE(A418,""en"",""fr""))"),"")</f>
        <v/>
      </c>
    </row>
    <row r="419" spans="2:2">
      <c r="B419" s="3" t="str">
        <f ca="1">IFERROR(__xludf.DUMMYFUNCTION("IF(ISBLANK(A419),"""",GOOGLETRANSLATE(A419,""en"",""fr""))"),"")</f>
        <v/>
      </c>
    </row>
    <row r="420" spans="2:2">
      <c r="B420" s="3" t="str">
        <f ca="1">IFERROR(__xludf.DUMMYFUNCTION("IF(ISBLANK(A420),"""",GOOGLETRANSLATE(A420,""en"",""fr""))"),"")</f>
        <v/>
      </c>
    </row>
    <row r="421" spans="2:2">
      <c r="B421" s="3" t="str">
        <f ca="1">IFERROR(__xludf.DUMMYFUNCTION("IF(ISBLANK(A421),"""",GOOGLETRANSLATE(A421,""en"",""fr""))"),"")</f>
        <v/>
      </c>
    </row>
    <row r="422" spans="2:2">
      <c r="B422" s="3" t="str">
        <f ca="1">IFERROR(__xludf.DUMMYFUNCTION("IF(ISBLANK(A422),"""",GOOGLETRANSLATE(A422,""en"",""fr""))"),"")</f>
        <v/>
      </c>
    </row>
    <row r="423" spans="2:2">
      <c r="B423" s="3" t="str">
        <f ca="1">IFERROR(__xludf.DUMMYFUNCTION("IF(ISBLANK(A423),"""",GOOGLETRANSLATE(A423,""en"",""fr""))"),"")</f>
        <v/>
      </c>
    </row>
    <row r="424" spans="2:2">
      <c r="B424" s="3" t="str">
        <f ca="1">IFERROR(__xludf.DUMMYFUNCTION("IF(ISBLANK(A424),"""",GOOGLETRANSLATE(A424,""en"",""fr""))"),"")</f>
        <v/>
      </c>
    </row>
    <row r="425" spans="2:2">
      <c r="B425" s="3" t="str">
        <f ca="1">IFERROR(__xludf.DUMMYFUNCTION("IF(ISBLANK(A425),"""",GOOGLETRANSLATE(A425,""en"",""fr""))"),"")</f>
        <v/>
      </c>
    </row>
    <row r="426" spans="2:2">
      <c r="B426" s="3" t="str">
        <f ca="1">IFERROR(__xludf.DUMMYFUNCTION("IF(ISBLANK(A426),"""",GOOGLETRANSLATE(A426,""en"",""fr""))"),"")</f>
        <v/>
      </c>
    </row>
    <row r="427" spans="2:2">
      <c r="B427" s="3" t="str">
        <f ca="1">IFERROR(__xludf.DUMMYFUNCTION("IF(ISBLANK(A427),"""",GOOGLETRANSLATE(A427,""en"",""fr""))"),"")</f>
        <v/>
      </c>
    </row>
    <row r="428" spans="2:2">
      <c r="B428" s="3" t="str">
        <f ca="1">IFERROR(__xludf.DUMMYFUNCTION("IF(ISBLANK(A428),"""",GOOGLETRANSLATE(A428,""en"",""fr""))"),"")</f>
        <v/>
      </c>
    </row>
    <row r="429" spans="2:2">
      <c r="B429" s="3" t="str">
        <f ca="1">IFERROR(__xludf.DUMMYFUNCTION("IF(ISBLANK(A429),"""",GOOGLETRANSLATE(A429,""en"",""fr""))"),"")</f>
        <v/>
      </c>
    </row>
    <row r="430" spans="2:2">
      <c r="B430" s="3" t="str">
        <f ca="1">IFERROR(__xludf.DUMMYFUNCTION("IF(ISBLANK(A430),"""",GOOGLETRANSLATE(A430,""en"",""fr""))"),"")</f>
        <v/>
      </c>
    </row>
    <row r="431" spans="2:2">
      <c r="B431" s="3" t="str">
        <f ca="1">IFERROR(__xludf.DUMMYFUNCTION("IF(ISBLANK(A431),"""",GOOGLETRANSLATE(A431,""en"",""fr""))"),"")</f>
        <v/>
      </c>
    </row>
    <row r="432" spans="2:2">
      <c r="B432" s="3" t="str">
        <f ca="1">IFERROR(__xludf.DUMMYFUNCTION("IF(ISBLANK(A432),"""",GOOGLETRANSLATE(A432,""en"",""fr""))"),"")</f>
        <v/>
      </c>
    </row>
    <row r="433" spans="2:2">
      <c r="B433" s="3" t="str">
        <f ca="1">IFERROR(__xludf.DUMMYFUNCTION("IF(ISBLANK(A433),"""",GOOGLETRANSLATE(A433,""en"",""fr""))"),"")</f>
        <v/>
      </c>
    </row>
    <row r="434" spans="2:2">
      <c r="B434" s="3" t="str">
        <f ca="1">IFERROR(__xludf.DUMMYFUNCTION("IF(ISBLANK(A434),"""",GOOGLETRANSLATE(A434,""en"",""fr""))"),"")</f>
        <v/>
      </c>
    </row>
    <row r="435" spans="2:2">
      <c r="B435" s="3" t="str">
        <f ca="1">IFERROR(__xludf.DUMMYFUNCTION("IF(ISBLANK(A435),"""",GOOGLETRANSLATE(A435,""en"",""fr""))"),"")</f>
        <v/>
      </c>
    </row>
    <row r="436" spans="2:2">
      <c r="B436" s="3" t="str">
        <f ca="1">IFERROR(__xludf.DUMMYFUNCTION("IF(ISBLANK(A436),"""",GOOGLETRANSLATE(A436,""en"",""fr""))"),"")</f>
        <v/>
      </c>
    </row>
    <row r="437" spans="2:2">
      <c r="B437" s="3" t="str">
        <f ca="1">IFERROR(__xludf.DUMMYFUNCTION("IF(ISBLANK(A437),"""",GOOGLETRANSLATE(A437,""en"",""fr""))"),"")</f>
        <v/>
      </c>
    </row>
    <row r="438" spans="2:2">
      <c r="B438" s="3" t="str">
        <f ca="1">IFERROR(__xludf.DUMMYFUNCTION("IF(ISBLANK(A438),"""",GOOGLETRANSLATE(A438,""en"",""fr""))"),"")</f>
        <v/>
      </c>
    </row>
    <row r="439" spans="2:2">
      <c r="B439" s="3" t="str">
        <f ca="1">IFERROR(__xludf.DUMMYFUNCTION("IF(ISBLANK(A439),"""",GOOGLETRANSLATE(A439,""en"",""fr""))"),"")</f>
        <v/>
      </c>
    </row>
    <row r="440" spans="2:2">
      <c r="B440" s="3" t="str">
        <f ca="1">IFERROR(__xludf.DUMMYFUNCTION("IF(ISBLANK(A440),"""",GOOGLETRANSLATE(A440,""en"",""fr""))"),"")</f>
        <v/>
      </c>
    </row>
    <row r="441" spans="2:2">
      <c r="B441" s="3" t="str">
        <f ca="1">IFERROR(__xludf.DUMMYFUNCTION("IF(ISBLANK(A441),"""",GOOGLETRANSLATE(A441,""en"",""fr""))"),"")</f>
        <v/>
      </c>
    </row>
    <row r="442" spans="2:2">
      <c r="B442" s="3" t="str">
        <f ca="1">IFERROR(__xludf.DUMMYFUNCTION("IF(ISBLANK(A442),"""",GOOGLETRANSLATE(A442,""en"",""fr""))"),"")</f>
        <v/>
      </c>
    </row>
    <row r="443" spans="2:2">
      <c r="B443" s="3" t="str">
        <f ca="1">IFERROR(__xludf.DUMMYFUNCTION("IF(ISBLANK(A443),"""",GOOGLETRANSLATE(A443,""en"",""fr""))"),"")</f>
        <v/>
      </c>
    </row>
    <row r="444" spans="2:2">
      <c r="B444" s="3" t="str">
        <f ca="1">IFERROR(__xludf.DUMMYFUNCTION("IF(ISBLANK(A444),"""",GOOGLETRANSLATE(A444,""en"",""fr""))"),"")</f>
        <v/>
      </c>
    </row>
    <row r="445" spans="2:2">
      <c r="B445" s="3" t="str">
        <f ca="1">IFERROR(__xludf.DUMMYFUNCTION("IF(ISBLANK(A445),"""",GOOGLETRANSLATE(A445,""en"",""fr""))"),"")</f>
        <v/>
      </c>
    </row>
    <row r="446" spans="2:2">
      <c r="B446" s="3" t="str">
        <f ca="1">IFERROR(__xludf.DUMMYFUNCTION("IF(ISBLANK(A446),"""",GOOGLETRANSLATE(A446,""en"",""fr""))"),"")</f>
        <v/>
      </c>
    </row>
    <row r="447" spans="2:2">
      <c r="B447" s="3" t="str">
        <f ca="1">IFERROR(__xludf.DUMMYFUNCTION("IF(ISBLANK(A447),"""",GOOGLETRANSLATE(A447,""en"",""fr""))"),"")</f>
        <v/>
      </c>
    </row>
    <row r="448" spans="2:2">
      <c r="B448" s="3" t="str">
        <f ca="1">IFERROR(__xludf.DUMMYFUNCTION("IF(ISBLANK(A448),"""",GOOGLETRANSLATE(A448,""en"",""fr""))"),"")</f>
        <v/>
      </c>
    </row>
    <row r="449" spans="2:2">
      <c r="B449" s="3" t="str">
        <f ca="1">IFERROR(__xludf.DUMMYFUNCTION("IF(ISBLANK(A449),"""",GOOGLETRANSLATE(A449,""en"",""fr""))"),"")</f>
        <v/>
      </c>
    </row>
    <row r="450" spans="2:2">
      <c r="B450" s="3" t="str">
        <f ca="1">IFERROR(__xludf.DUMMYFUNCTION("IF(ISBLANK(A450),"""",GOOGLETRANSLATE(A450,""en"",""fr""))"),"")</f>
        <v/>
      </c>
    </row>
    <row r="451" spans="2:2">
      <c r="B451" s="3" t="str">
        <f ca="1">IFERROR(__xludf.DUMMYFUNCTION("IF(ISBLANK(A451),"""",GOOGLETRANSLATE(A451,""en"",""fr""))"),"")</f>
        <v/>
      </c>
    </row>
    <row r="452" spans="2:2">
      <c r="B452" s="3" t="str">
        <f ca="1">IFERROR(__xludf.DUMMYFUNCTION("IF(ISBLANK(A452),"""",GOOGLETRANSLATE(A452,""en"",""fr""))"),"")</f>
        <v/>
      </c>
    </row>
    <row r="453" spans="2:2">
      <c r="B453" s="3" t="str">
        <f ca="1">IFERROR(__xludf.DUMMYFUNCTION("IF(ISBLANK(A453),"""",GOOGLETRANSLATE(A453,""en"",""fr""))"),"")</f>
        <v/>
      </c>
    </row>
    <row r="454" spans="2:2">
      <c r="B454" s="3" t="str">
        <f ca="1">IFERROR(__xludf.DUMMYFUNCTION("IF(ISBLANK(A454),"""",GOOGLETRANSLATE(A454,""en"",""fr""))"),"")</f>
        <v/>
      </c>
    </row>
    <row r="455" spans="2:2">
      <c r="B455" s="3" t="str">
        <f ca="1">IFERROR(__xludf.DUMMYFUNCTION("IF(ISBLANK(A455),"""",GOOGLETRANSLATE(A455,""en"",""fr""))"),"")</f>
        <v/>
      </c>
    </row>
    <row r="456" spans="2:2">
      <c r="B456" s="3" t="str">
        <f ca="1">IFERROR(__xludf.DUMMYFUNCTION("IF(ISBLANK(A456),"""",GOOGLETRANSLATE(A456,""en"",""fr""))"),"")</f>
        <v/>
      </c>
    </row>
    <row r="457" spans="2:2">
      <c r="B457" s="3" t="str">
        <f ca="1">IFERROR(__xludf.DUMMYFUNCTION("IF(ISBLANK(A457),"""",GOOGLETRANSLATE(A457,""en"",""fr""))"),"")</f>
        <v/>
      </c>
    </row>
    <row r="458" spans="2:2">
      <c r="B458" s="3" t="str">
        <f ca="1">IFERROR(__xludf.DUMMYFUNCTION("IF(ISBLANK(A458),"""",GOOGLETRANSLATE(A458,""en"",""fr""))"),"")</f>
        <v/>
      </c>
    </row>
    <row r="459" spans="2:2">
      <c r="B459" s="3" t="str">
        <f ca="1">IFERROR(__xludf.DUMMYFUNCTION("IF(ISBLANK(A459),"""",GOOGLETRANSLATE(A459,""en"",""fr""))"),"")</f>
        <v/>
      </c>
    </row>
    <row r="460" spans="2:2">
      <c r="B460" s="3" t="str">
        <f ca="1">IFERROR(__xludf.DUMMYFUNCTION("IF(ISBLANK(A460),"""",GOOGLETRANSLATE(A460,""en"",""fr""))"),"")</f>
        <v/>
      </c>
    </row>
    <row r="461" spans="2:2">
      <c r="B461" s="3" t="str">
        <f ca="1">IFERROR(__xludf.DUMMYFUNCTION("IF(ISBLANK(A461),"""",GOOGLETRANSLATE(A461,""en"",""fr""))"),"")</f>
        <v/>
      </c>
    </row>
    <row r="462" spans="2:2">
      <c r="B462" s="3" t="str">
        <f ca="1">IFERROR(__xludf.DUMMYFUNCTION("IF(ISBLANK(A462),"""",GOOGLETRANSLATE(A462,""en"",""fr""))"),"")</f>
        <v/>
      </c>
    </row>
    <row r="463" spans="2:2">
      <c r="B463" s="3" t="str">
        <f ca="1">IFERROR(__xludf.DUMMYFUNCTION("IF(ISBLANK(A463),"""",GOOGLETRANSLATE(A463,""en"",""fr""))"),"")</f>
        <v/>
      </c>
    </row>
    <row r="464" spans="2:2">
      <c r="B464" s="3" t="str">
        <f ca="1">IFERROR(__xludf.DUMMYFUNCTION("IF(ISBLANK(A464),"""",GOOGLETRANSLATE(A464,""en"",""fr""))"),"")</f>
        <v/>
      </c>
    </row>
    <row r="465" spans="2:2">
      <c r="B465" s="3" t="str">
        <f ca="1">IFERROR(__xludf.DUMMYFUNCTION("IF(ISBLANK(A465),"""",GOOGLETRANSLATE(A465,""en"",""fr""))"),"")</f>
        <v/>
      </c>
    </row>
    <row r="466" spans="2:2">
      <c r="B466" s="3" t="str">
        <f ca="1">IFERROR(__xludf.DUMMYFUNCTION("IF(ISBLANK(A466),"""",GOOGLETRANSLATE(A466,""en"",""fr""))"),"")</f>
        <v/>
      </c>
    </row>
    <row r="467" spans="2:2">
      <c r="B467" s="3" t="str">
        <f ca="1">IFERROR(__xludf.DUMMYFUNCTION("IF(ISBLANK(A467),"""",GOOGLETRANSLATE(A467,""en"",""fr""))"),"")</f>
        <v/>
      </c>
    </row>
    <row r="468" spans="2:2">
      <c r="B468" s="3" t="str">
        <f ca="1">IFERROR(__xludf.DUMMYFUNCTION("IF(ISBLANK(A468),"""",GOOGLETRANSLATE(A468,""en"",""fr""))"),"")</f>
        <v/>
      </c>
    </row>
    <row r="469" spans="2:2">
      <c r="B469" s="3" t="str">
        <f ca="1">IFERROR(__xludf.DUMMYFUNCTION("IF(ISBLANK(A469),"""",GOOGLETRANSLATE(A469,""en"",""fr""))"),"")</f>
        <v/>
      </c>
    </row>
    <row r="470" spans="2:2">
      <c r="B470" s="3" t="str">
        <f ca="1">IFERROR(__xludf.DUMMYFUNCTION("IF(ISBLANK(A470),"""",GOOGLETRANSLATE(A470,""en"",""fr""))"),"")</f>
        <v/>
      </c>
    </row>
    <row r="471" spans="2:2">
      <c r="B471" s="3" t="str">
        <f ca="1">IFERROR(__xludf.DUMMYFUNCTION("IF(ISBLANK(A471),"""",GOOGLETRANSLATE(A471,""en"",""fr""))"),"")</f>
        <v/>
      </c>
    </row>
    <row r="472" spans="2:2">
      <c r="B472" s="3" t="str">
        <f ca="1">IFERROR(__xludf.DUMMYFUNCTION("IF(ISBLANK(A472),"""",GOOGLETRANSLATE(A472,""en"",""fr""))"),"")</f>
        <v/>
      </c>
    </row>
    <row r="473" spans="2:2">
      <c r="B473" s="3" t="str">
        <f ca="1">IFERROR(__xludf.DUMMYFUNCTION("IF(ISBLANK(A473),"""",GOOGLETRANSLATE(A473,""en"",""fr""))"),"")</f>
        <v/>
      </c>
    </row>
    <row r="474" spans="2:2">
      <c r="B474" s="3" t="str">
        <f ca="1">IFERROR(__xludf.DUMMYFUNCTION("IF(ISBLANK(A474),"""",GOOGLETRANSLATE(A474,""en"",""fr""))"),"")</f>
        <v/>
      </c>
    </row>
    <row r="475" spans="2:2">
      <c r="B475" s="3" t="str">
        <f ca="1">IFERROR(__xludf.DUMMYFUNCTION("IF(ISBLANK(A475),"""",GOOGLETRANSLATE(A475,""en"",""fr""))"),"")</f>
        <v/>
      </c>
    </row>
    <row r="476" spans="2:2">
      <c r="B476" s="3" t="str">
        <f ca="1">IFERROR(__xludf.DUMMYFUNCTION("IF(ISBLANK(A476),"""",GOOGLETRANSLATE(A476,""en"",""fr""))"),"")</f>
        <v/>
      </c>
    </row>
    <row r="477" spans="2:2">
      <c r="B477" s="3" t="str">
        <f ca="1">IFERROR(__xludf.DUMMYFUNCTION("IF(ISBLANK(A477),"""",GOOGLETRANSLATE(A477,""en"",""fr""))"),"")</f>
        <v/>
      </c>
    </row>
    <row r="478" spans="2:2">
      <c r="B478" s="3" t="str">
        <f ca="1">IFERROR(__xludf.DUMMYFUNCTION("IF(ISBLANK(A478),"""",GOOGLETRANSLATE(A478,""en"",""fr""))"),"")</f>
        <v/>
      </c>
    </row>
    <row r="479" spans="2:2">
      <c r="B479" s="3" t="str">
        <f ca="1">IFERROR(__xludf.DUMMYFUNCTION("IF(ISBLANK(A479),"""",GOOGLETRANSLATE(A479,""en"",""fr""))"),"")</f>
        <v/>
      </c>
    </row>
    <row r="480" spans="2:2">
      <c r="B480" s="3" t="str">
        <f ca="1">IFERROR(__xludf.DUMMYFUNCTION("IF(ISBLANK(A480),"""",GOOGLETRANSLATE(A480,""en"",""fr""))"),"")</f>
        <v/>
      </c>
    </row>
    <row r="481" spans="2:2">
      <c r="B481" s="3" t="str">
        <f ca="1">IFERROR(__xludf.DUMMYFUNCTION("IF(ISBLANK(A481),"""",GOOGLETRANSLATE(A481,""en"",""fr""))"),"")</f>
        <v/>
      </c>
    </row>
    <row r="482" spans="2:2">
      <c r="B482" s="3" t="str">
        <f ca="1">IFERROR(__xludf.DUMMYFUNCTION("IF(ISBLANK(A482),"""",GOOGLETRANSLATE(A482,""en"",""fr""))"),"")</f>
        <v/>
      </c>
    </row>
    <row r="483" spans="2:2">
      <c r="B483" s="3" t="str">
        <f ca="1">IFERROR(__xludf.DUMMYFUNCTION("IF(ISBLANK(A483),"""",GOOGLETRANSLATE(A483,""en"",""fr""))"),"")</f>
        <v/>
      </c>
    </row>
    <row r="484" spans="2:2">
      <c r="B484" s="3" t="str">
        <f ca="1">IFERROR(__xludf.DUMMYFUNCTION("IF(ISBLANK(A484),"""",GOOGLETRANSLATE(A484,""en"",""fr""))"),"")</f>
        <v/>
      </c>
    </row>
    <row r="485" spans="2:2">
      <c r="B485" s="3" t="str">
        <f ca="1">IFERROR(__xludf.DUMMYFUNCTION("IF(ISBLANK(A485),"""",GOOGLETRANSLATE(A485,""en"",""fr""))"),"")</f>
        <v/>
      </c>
    </row>
    <row r="486" spans="2:2">
      <c r="B486" s="3" t="str">
        <f ca="1">IFERROR(__xludf.DUMMYFUNCTION("IF(ISBLANK(A486),"""",GOOGLETRANSLATE(A486,""en"",""fr""))"),"")</f>
        <v/>
      </c>
    </row>
    <row r="487" spans="2:2">
      <c r="B487" s="3" t="str">
        <f ca="1">IFERROR(__xludf.DUMMYFUNCTION("IF(ISBLANK(A487),"""",GOOGLETRANSLATE(A487,""en"",""fr""))"),"")</f>
        <v/>
      </c>
    </row>
    <row r="488" spans="2:2">
      <c r="B488" s="3" t="str">
        <f ca="1">IFERROR(__xludf.DUMMYFUNCTION("IF(ISBLANK(A488),"""",GOOGLETRANSLATE(A488,""en"",""fr""))"),"")</f>
        <v/>
      </c>
    </row>
    <row r="489" spans="2:2">
      <c r="B489" s="3" t="str">
        <f ca="1">IFERROR(__xludf.DUMMYFUNCTION("IF(ISBLANK(A489),"""",GOOGLETRANSLATE(A489,""en"",""fr""))"),"")</f>
        <v/>
      </c>
    </row>
    <row r="490" spans="2:2">
      <c r="B490" s="3" t="str">
        <f ca="1">IFERROR(__xludf.DUMMYFUNCTION("IF(ISBLANK(A490),"""",GOOGLETRANSLATE(A490,""en"",""fr""))"),"")</f>
        <v/>
      </c>
    </row>
    <row r="491" spans="2:2">
      <c r="B491" s="3" t="str">
        <f ca="1">IFERROR(__xludf.DUMMYFUNCTION("IF(ISBLANK(A491),"""",GOOGLETRANSLATE(A491,""en"",""fr""))"),"")</f>
        <v/>
      </c>
    </row>
    <row r="492" spans="2:2">
      <c r="B492" s="3" t="str">
        <f ca="1">IFERROR(__xludf.DUMMYFUNCTION("IF(ISBLANK(A492),"""",GOOGLETRANSLATE(A492,""en"",""fr""))"),"")</f>
        <v/>
      </c>
    </row>
    <row r="493" spans="2:2">
      <c r="B493" s="3" t="str">
        <f ca="1">IFERROR(__xludf.DUMMYFUNCTION("IF(ISBLANK(A493),"""",GOOGLETRANSLATE(A493,""en"",""fr""))"),"")</f>
        <v/>
      </c>
    </row>
    <row r="494" spans="2:2">
      <c r="B494" s="3" t="str">
        <f ca="1">IFERROR(__xludf.DUMMYFUNCTION("IF(ISBLANK(A494),"""",GOOGLETRANSLATE(A494,""en"",""fr""))"),"")</f>
        <v/>
      </c>
    </row>
    <row r="495" spans="2:2">
      <c r="B495" s="3" t="str">
        <f ca="1">IFERROR(__xludf.DUMMYFUNCTION("IF(ISBLANK(A495),"""",GOOGLETRANSLATE(A495,""en"",""fr""))"),"")</f>
        <v/>
      </c>
    </row>
    <row r="496" spans="2:2">
      <c r="B496" s="3" t="str">
        <f ca="1">IFERROR(__xludf.DUMMYFUNCTION("IF(ISBLANK(A496),"""",GOOGLETRANSLATE(A496,""en"",""fr""))"),"")</f>
        <v/>
      </c>
    </row>
    <row r="497" spans="2:2">
      <c r="B497" s="3" t="str">
        <f ca="1">IFERROR(__xludf.DUMMYFUNCTION("IF(ISBLANK(A497),"""",GOOGLETRANSLATE(A497,""en"",""fr""))"),"")</f>
        <v/>
      </c>
    </row>
    <row r="498" spans="2:2">
      <c r="B498" s="3" t="str">
        <f ca="1">IFERROR(__xludf.DUMMYFUNCTION("IF(ISBLANK(A498),"""",GOOGLETRANSLATE(A498,""en"",""fr""))"),"")</f>
        <v/>
      </c>
    </row>
    <row r="499" spans="2:2">
      <c r="B499" s="3" t="str">
        <f ca="1">IFERROR(__xludf.DUMMYFUNCTION("IF(ISBLANK(A499),"""",GOOGLETRANSLATE(A499,""en"",""fr""))"),"")</f>
        <v/>
      </c>
    </row>
    <row r="500" spans="2:2">
      <c r="B500" s="3" t="str">
        <f ca="1">IFERROR(__xludf.DUMMYFUNCTION("IF(ISBLANK(A500),"""",GOOGLETRANSLATE(A500,""en"",""fr""))"),"")</f>
        <v/>
      </c>
    </row>
    <row r="501" spans="2:2">
      <c r="B501" s="3" t="str">
        <f ca="1">IFERROR(__xludf.DUMMYFUNCTION("IF(ISBLANK(A501),"""",GOOGLETRANSLATE(A501,""en"",""fr""))"),"")</f>
        <v/>
      </c>
    </row>
    <row r="502" spans="2:2">
      <c r="B502" s="3" t="str">
        <f ca="1">IFERROR(__xludf.DUMMYFUNCTION("IF(ISBLANK(A502),"""",GOOGLETRANSLATE(A502,""en"",""fr""))"),"")</f>
        <v/>
      </c>
    </row>
    <row r="503" spans="2:2">
      <c r="B503" s="3" t="str">
        <f ca="1">IFERROR(__xludf.DUMMYFUNCTION("IF(ISBLANK(A503),"""",GOOGLETRANSLATE(A503,""en"",""fr""))"),"")</f>
        <v/>
      </c>
    </row>
    <row r="504" spans="2:2">
      <c r="B504" s="3" t="str">
        <f ca="1">IFERROR(__xludf.DUMMYFUNCTION("IF(ISBLANK(A504),"""",GOOGLETRANSLATE(A504,""en"",""fr""))"),"")</f>
        <v/>
      </c>
    </row>
    <row r="505" spans="2:2">
      <c r="B505" s="3" t="str">
        <f ca="1">IFERROR(__xludf.DUMMYFUNCTION("IF(ISBLANK(A505),"""",GOOGLETRANSLATE(A505,""en"",""fr""))"),"")</f>
        <v/>
      </c>
    </row>
    <row r="506" spans="2:2">
      <c r="B506" s="3" t="str">
        <f ca="1">IFERROR(__xludf.DUMMYFUNCTION("IF(ISBLANK(A506),"""",GOOGLETRANSLATE(A506,""en"",""fr""))"),"")</f>
        <v/>
      </c>
    </row>
    <row r="507" spans="2:2">
      <c r="B507" s="3" t="str">
        <f ca="1">IFERROR(__xludf.DUMMYFUNCTION("IF(ISBLANK(A507),"""",GOOGLETRANSLATE(A507,""en"",""fr""))"),"")</f>
        <v/>
      </c>
    </row>
    <row r="508" spans="2:2">
      <c r="B508" s="3" t="str">
        <f ca="1">IFERROR(__xludf.DUMMYFUNCTION("IF(ISBLANK(A508),"""",GOOGLETRANSLATE(A508,""en"",""fr""))"),"")</f>
        <v/>
      </c>
    </row>
    <row r="509" spans="2:2">
      <c r="B509" s="3" t="str">
        <f ca="1">IFERROR(__xludf.DUMMYFUNCTION("IF(ISBLANK(A509),"""",GOOGLETRANSLATE(A509,""en"",""fr""))"),"")</f>
        <v/>
      </c>
    </row>
    <row r="510" spans="2:2">
      <c r="B510" s="3" t="str">
        <f ca="1">IFERROR(__xludf.DUMMYFUNCTION("IF(ISBLANK(A510),"""",GOOGLETRANSLATE(A510,""en"",""fr""))"),"")</f>
        <v/>
      </c>
    </row>
    <row r="511" spans="2:2">
      <c r="B511" s="3" t="str">
        <f ca="1">IFERROR(__xludf.DUMMYFUNCTION("IF(ISBLANK(A511),"""",GOOGLETRANSLATE(A511,""en"",""fr""))"),"")</f>
        <v/>
      </c>
    </row>
    <row r="512" spans="2:2">
      <c r="B512" s="3" t="str">
        <f ca="1">IFERROR(__xludf.DUMMYFUNCTION("IF(ISBLANK(A512),"""",GOOGLETRANSLATE(A512,""en"",""fr""))"),"")</f>
        <v/>
      </c>
    </row>
    <row r="513" spans="2:2">
      <c r="B513" s="3" t="str">
        <f ca="1">IFERROR(__xludf.DUMMYFUNCTION("IF(ISBLANK(A513),"""",GOOGLETRANSLATE(A513,""en"",""fr""))"),"")</f>
        <v/>
      </c>
    </row>
    <row r="514" spans="2:2">
      <c r="B514" s="3" t="str">
        <f ca="1">IFERROR(__xludf.DUMMYFUNCTION("IF(ISBLANK(A514),"""",GOOGLETRANSLATE(A514,""en"",""fr""))"),"")</f>
        <v/>
      </c>
    </row>
    <row r="515" spans="2:2">
      <c r="B515" s="3" t="str">
        <f ca="1">IFERROR(__xludf.DUMMYFUNCTION("IF(ISBLANK(A515),"""",GOOGLETRANSLATE(A515,""en"",""fr""))"),"")</f>
        <v/>
      </c>
    </row>
    <row r="516" spans="2:2">
      <c r="B516" s="3" t="str">
        <f ca="1">IFERROR(__xludf.DUMMYFUNCTION("IF(ISBLANK(A516),"""",GOOGLETRANSLATE(A516,""en"",""fr""))"),"")</f>
        <v/>
      </c>
    </row>
    <row r="517" spans="2:2">
      <c r="B517" s="3" t="str">
        <f ca="1">IFERROR(__xludf.DUMMYFUNCTION("IF(ISBLANK(A517),"""",GOOGLETRANSLATE(A517,""en"",""fr""))"),"")</f>
        <v/>
      </c>
    </row>
    <row r="518" spans="2:2">
      <c r="B518" s="3" t="str">
        <f ca="1">IFERROR(__xludf.DUMMYFUNCTION("IF(ISBLANK(A518),"""",GOOGLETRANSLATE(A518,""en"",""fr""))"),"")</f>
        <v/>
      </c>
    </row>
    <row r="519" spans="2:2">
      <c r="B519" s="3" t="str">
        <f ca="1">IFERROR(__xludf.DUMMYFUNCTION("IF(ISBLANK(A519),"""",GOOGLETRANSLATE(A519,""en"",""fr""))"),"")</f>
        <v/>
      </c>
    </row>
    <row r="520" spans="2:2">
      <c r="B520" s="3" t="str">
        <f ca="1">IFERROR(__xludf.DUMMYFUNCTION("IF(ISBLANK(A520),"""",GOOGLETRANSLATE(A520,""en"",""fr""))"),"")</f>
        <v/>
      </c>
    </row>
    <row r="521" spans="2:2">
      <c r="B521" s="3" t="str">
        <f ca="1">IFERROR(__xludf.DUMMYFUNCTION("IF(ISBLANK(A521),"""",GOOGLETRANSLATE(A521,""en"",""fr""))"),"")</f>
        <v/>
      </c>
    </row>
    <row r="522" spans="2:2">
      <c r="B522" s="3" t="str">
        <f ca="1">IFERROR(__xludf.DUMMYFUNCTION("IF(ISBLANK(A522),"""",GOOGLETRANSLATE(A522,""en"",""fr""))"),"")</f>
        <v/>
      </c>
    </row>
    <row r="523" spans="2:2">
      <c r="B523" s="3" t="str">
        <f ca="1">IFERROR(__xludf.DUMMYFUNCTION("IF(ISBLANK(A523),"""",GOOGLETRANSLATE(A523,""en"",""fr""))"),"")</f>
        <v/>
      </c>
    </row>
    <row r="524" spans="2:2">
      <c r="B524" s="3" t="str">
        <f ca="1">IFERROR(__xludf.DUMMYFUNCTION("IF(ISBLANK(A524),"""",GOOGLETRANSLATE(A524,""en"",""fr""))"),"")</f>
        <v/>
      </c>
    </row>
    <row r="525" spans="2:2">
      <c r="B525" s="3" t="str">
        <f ca="1">IFERROR(__xludf.DUMMYFUNCTION("IF(ISBLANK(A525),"""",GOOGLETRANSLATE(A525,""en"",""fr""))"),"")</f>
        <v/>
      </c>
    </row>
    <row r="526" spans="2:2">
      <c r="B526" s="3" t="str">
        <f ca="1">IFERROR(__xludf.DUMMYFUNCTION("IF(ISBLANK(A526),"""",GOOGLETRANSLATE(A526,""en"",""fr""))"),"")</f>
        <v/>
      </c>
    </row>
    <row r="527" spans="2:2">
      <c r="B527" s="3" t="str">
        <f ca="1">IFERROR(__xludf.DUMMYFUNCTION("IF(ISBLANK(A527),"""",GOOGLETRANSLATE(A527,""en"",""fr""))"),"")</f>
        <v/>
      </c>
    </row>
    <row r="528" spans="2:2">
      <c r="B528" s="3" t="str">
        <f ca="1">IFERROR(__xludf.DUMMYFUNCTION("IF(ISBLANK(A528),"""",GOOGLETRANSLATE(A528,""en"",""fr""))"),"")</f>
        <v/>
      </c>
    </row>
    <row r="529" spans="2:2">
      <c r="B529" s="3" t="str">
        <f ca="1">IFERROR(__xludf.DUMMYFUNCTION("IF(ISBLANK(A529),"""",GOOGLETRANSLATE(A529,""en"",""fr""))"),"")</f>
        <v/>
      </c>
    </row>
    <row r="530" spans="2:2">
      <c r="B530" s="3" t="str">
        <f ca="1">IFERROR(__xludf.DUMMYFUNCTION("IF(ISBLANK(A530),"""",GOOGLETRANSLATE(A530,""en"",""fr""))"),"")</f>
        <v/>
      </c>
    </row>
    <row r="531" spans="2:2">
      <c r="B531" s="3" t="str">
        <f ca="1">IFERROR(__xludf.DUMMYFUNCTION("IF(ISBLANK(A531),"""",GOOGLETRANSLATE(A531,""en"",""fr""))"),"")</f>
        <v/>
      </c>
    </row>
    <row r="532" spans="2:2">
      <c r="B532" s="3" t="str">
        <f ca="1">IFERROR(__xludf.DUMMYFUNCTION("IF(ISBLANK(A532),"""",GOOGLETRANSLATE(A532,""en"",""fr""))"),"")</f>
        <v/>
      </c>
    </row>
    <row r="533" spans="2:2">
      <c r="B533" s="3" t="str">
        <f ca="1">IFERROR(__xludf.DUMMYFUNCTION("IF(ISBLANK(A533),"""",GOOGLETRANSLATE(A533,""en"",""fr""))"),"")</f>
        <v/>
      </c>
    </row>
    <row r="534" spans="2:2">
      <c r="B534" s="3" t="str">
        <f ca="1">IFERROR(__xludf.DUMMYFUNCTION("IF(ISBLANK(A534),"""",GOOGLETRANSLATE(A534,""en"",""fr""))"),"")</f>
        <v/>
      </c>
    </row>
    <row r="535" spans="2:2">
      <c r="B535" s="3" t="str">
        <f ca="1">IFERROR(__xludf.DUMMYFUNCTION("IF(ISBLANK(A535),"""",GOOGLETRANSLATE(A535,""en"",""fr""))"),"")</f>
        <v/>
      </c>
    </row>
    <row r="536" spans="2:2">
      <c r="B536" s="3" t="str">
        <f ca="1">IFERROR(__xludf.DUMMYFUNCTION("IF(ISBLANK(A536),"""",GOOGLETRANSLATE(A536,""en"",""fr""))"),"")</f>
        <v/>
      </c>
    </row>
    <row r="537" spans="2:2">
      <c r="B537" s="3" t="str">
        <f ca="1">IFERROR(__xludf.DUMMYFUNCTION("IF(ISBLANK(A537),"""",GOOGLETRANSLATE(A537,""en"",""fr""))"),"")</f>
        <v/>
      </c>
    </row>
    <row r="538" spans="2:2">
      <c r="B538" s="3" t="str">
        <f ca="1">IFERROR(__xludf.DUMMYFUNCTION("IF(ISBLANK(A538),"""",GOOGLETRANSLATE(A538,""en"",""fr""))"),"")</f>
        <v/>
      </c>
    </row>
    <row r="539" spans="2:2">
      <c r="B539" s="3" t="str">
        <f ca="1">IFERROR(__xludf.DUMMYFUNCTION("IF(ISBLANK(A539),"""",GOOGLETRANSLATE(A539,""en"",""fr""))"),"")</f>
        <v/>
      </c>
    </row>
    <row r="540" spans="2:2">
      <c r="B540" s="3" t="str">
        <f ca="1">IFERROR(__xludf.DUMMYFUNCTION("IF(ISBLANK(A540),"""",GOOGLETRANSLATE(A540,""en"",""fr""))"),"")</f>
        <v/>
      </c>
    </row>
    <row r="541" spans="2:2">
      <c r="B541" s="3" t="str">
        <f ca="1">IFERROR(__xludf.DUMMYFUNCTION("IF(ISBLANK(A541),"""",GOOGLETRANSLATE(A541,""en"",""fr""))"),"")</f>
        <v/>
      </c>
    </row>
    <row r="542" spans="2:2">
      <c r="B542" s="3" t="str">
        <f ca="1">IFERROR(__xludf.DUMMYFUNCTION("IF(ISBLANK(A542),"""",GOOGLETRANSLATE(A542,""en"",""fr""))"),"")</f>
        <v/>
      </c>
    </row>
    <row r="543" spans="2:2">
      <c r="B543" s="3" t="str">
        <f ca="1">IFERROR(__xludf.DUMMYFUNCTION("IF(ISBLANK(A543),"""",GOOGLETRANSLATE(A543,""en"",""fr""))"),"")</f>
        <v/>
      </c>
    </row>
    <row r="544" spans="2:2">
      <c r="B544" s="3" t="str">
        <f ca="1">IFERROR(__xludf.DUMMYFUNCTION("IF(ISBLANK(A544),"""",GOOGLETRANSLATE(A544,""en"",""fr""))"),"")</f>
        <v/>
      </c>
    </row>
    <row r="545" spans="2:2">
      <c r="B545" s="3" t="str">
        <f ca="1">IFERROR(__xludf.DUMMYFUNCTION("IF(ISBLANK(A545),"""",GOOGLETRANSLATE(A545,""en"",""fr""))"),"")</f>
        <v/>
      </c>
    </row>
    <row r="546" spans="2:2">
      <c r="B546" s="3" t="str">
        <f ca="1">IFERROR(__xludf.DUMMYFUNCTION("IF(ISBLANK(A546),"""",GOOGLETRANSLATE(A546,""en"",""fr""))"),"")</f>
        <v/>
      </c>
    </row>
    <row r="547" spans="2:2">
      <c r="B547" s="3" t="str">
        <f ca="1">IFERROR(__xludf.DUMMYFUNCTION("IF(ISBLANK(A547),"""",GOOGLETRANSLATE(A547,""en"",""fr""))"),"")</f>
        <v/>
      </c>
    </row>
    <row r="548" spans="2:2">
      <c r="B548" s="3" t="str">
        <f ca="1">IFERROR(__xludf.DUMMYFUNCTION("IF(ISBLANK(A548),"""",GOOGLETRANSLATE(A548,""en"",""fr""))"),"")</f>
        <v/>
      </c>
    </row>
    <row r="549" spans="2:2">
      <c r="B549" s="3" t="str">
        <f ca="1">IFERROR(__xludf.DUMMYFUNCTION("IF(ISBLANK(A549),"""",GOOGLETRANSLATE(A549,""en"",""fr""))"),"")</f>
        <v/>
      </c>
    </row>
    <row r="550" spans="2:2">
      <c r="B550" s="3" t="str">
        <f ca="1">IFERROR(__xludf.DUMMYFUNCTION("IF(ISBLANK(A550),"""",GOOGLETRANSLATE(A550,""en"",""fr""))"),"")</f>
        <v/>
      </c>
    </row>
    <row r="551" spans="2:2">
      <c r="B551" s="3" t="str">
        <f ca="1">IFERROR(__xludf.DUMMYFUNCTION("IF(ISBLANK(A551),"""",GOOGLETRANSLATE(A551,""en"",""fr""))"),"")</f>
        <v/>
      </c>
    </row>
    <row r="552" spans="2:2">
      <c r="B552" s="3" t="str">
        <f ca="1">IFERROR(__xludf.DUMMYFUNCTION("IF(ISBLANK(A552),"""",GOOGLETRANSLATE(A552,""en"",""fr""))"),"")</f>
        <v/>
      </c>
    </row>
    <row r="553" spans="2:2">
      <c r="B553" s="3" t="str">
        <f ca="1">IFERROR(__xludf.DUMMYFUNCTION("IF(ISBLANK(A553),"""",GOOGLETRANSLATE(A553,""en"",""fr""))"),"")</f>
        <v/>
      </c>
    </row>
    <row r="554" spans="2:2">
      <c r="B554" s="3" t="str">
        <f ca="1">IFERROR(__xludf.DUMMYFUNCTION("IF(ISBLANK(A554),"""",GOOGLETRANSLATE(A554,""en"",""fr""))"),"")</f>
        <v/>
      </c>
    </row>
    <row r="555" spans="2:2">
      <c r="B555" s="3" t="str">
        <f ca="1">IFERROR(__xludf.DUMMYFUNCTION("IF(ISBLANK(A555),"""",GOOGLETRANSLATE(A555,""en"",""fr""))"),"")</f>
        <v/>
      </c>
    </row>
    <row r="556" spans="2:2">
      <c r="B556" s="3" t="str">
        <f ca="1">IFERROR(__xludf.DUMMYFUNCTION("IF(ISBLANK(A556),"""",GOOGLETRANSLATE(A556,""en"",""fr""))"),"")</f>
        <v/>
      </c>
    </row>
    <row r="557" spans="2:2">
      <c r="B557" s="3" t="str">
        <f ca="1">IFERROR(__xludf.DUMMYFUNCTION("IF(ISBLANK(A557),"""",GOOGLETRANSLATE(A557,""en"",""fr""))"),"")</f>
        <v/>
      </c>
    </row>
    <row r="558" spans="2:2">
      <c r="B558" s="3" t="str">
        <f ca="1">IFERROR(__xludf.DUMMYFUNCTION("IF(ISBLANK(A558),"""",GOOGLETRANSLATE(A558,""en"",""fr""))"),"")</f>
        <v/>
      </c>
    </row>
    <row r="559" spans="2:2">
      <c r="B559" s="3" t="str">
        <f ca="1">IFERROR(__xludf.DUMMYFUNCTION("IF(ISBLANK(A559),"""",GOOGLETRANSLATE(A559,""en"",""fr""))"),"")</f>
        <v/>
      </c>
    </row>
    <row r="560" spans="2:2">
      <c r="B560" s="3" t="str">
        <f ca="1">IFERROR(__xludf.DUMMYFUNCTION("IF(ISBLANK(A560),"""",GOOGLETRANSLATE(A560,""en"",""fr""))"),"")</f>
        <v/>
      </c>
    </row>
    <row r="561" spans="2:2">
      <c r="B561" s="3" t="str">
        <f ca="1">IFERROR(__xludf.DUMMYFUNCTION("IF(ISBLANK(A561),"""",GOOGLETRANSLATE(A561,""en"",""fr""))"),"")</f>
        <v/>
      </c>
    </row>
    <row r="562" spans="2:2">
      <c r="B562" s="3" t="str">
        <f ca="1">IFERROR(__xludf.DUMMYFUNCTION("IF(ISBLANK(A562),"""",GOOGLETRANSLATE(A562,""en"",""fr""))"),"")</f>
        <v/>
      </c>
    </row>
    <row r="563" spans="2:2">
      <c r="B563" s="3" t="str">
        <f ca="1">IFERROR(__xludf.DUMMYFUNCTION("IF(ISBLANK(A563),"""",GOOGLETRANSLATE(A563,""en"",""fr""))"),"")</f>
        <v/>
      </c>
    </row>
    <row r="564" spans="2:2">
      <c r="B564" s="3" t="str">
        <f ca="1">IFERROR(__xludf.DUMMYFUNCTION("IF(ISBLANK(A564),"""",GOOGLETRANSLATE(A564,""en"",""fr""))"),"")</f>
        <v/>
      </c>
    </row>
    <row r="565" spans="2:2">
      <c r="B565" s="3" t="str">
        <f ca="1">IFERROR(__xludf.DUMMYFUNCTION("IF(ISBLANK(A565),"""",GOOGLETRANSLATE(A565,""en"",""fr""))"),"")</f>
        <v/>
      </c>
    </row>
    <row r="566" spans="2:2">
      <c r="B566" s="3" t="str">
        <f ca="1">IFERROR(__xludf.DUMMYFUNCTION("IF(ISBLANK(A566),"""",GOOGLETRANSLATE(A566,""en"",""fr""))"),"")</f>
        <v/>
      </c>
    </row>
    <row r="567" spans="2:2">
      <c r="B567" s="3" t="str">
        <f ca="1">IFERROR(__xludf.DUMMYFUNCTION("IF(ISBLANK(A567),"""",GOOGLETRANSLATE(A567,""en"",""fr""))"),"")</f>
        <v/>
      </c>
    </row>
    <row r="568" spans="2:2">
      <c r="B568" s="3" t="str">
        <f ca="1">IFERROR(__xludf.DUMMYFUNCTION("IF(ISBLANK(A568),"""",GOOGLETRANSLATE(A568,""en"",""fr""))"),"")</f>
        <v/>
      </c>
    </row>
    <row r="569" spans="2:2">
      <c r="B569" s="3" t="str">
        <f ca="1">IFERROR(__xludf.DUMMYFUNCTION("IF(ISBLANK(A569),"""",GOOGLETRANSLATE(A569,""en"",""fr""))"),"")</f>
        <v/>
      </c>
    </row>
    <row r="570" spans="2:2">
      <c r="B570" s="3" t="str">
        <f ca="1">IFERROR(__xludf.DUMMYFUNCTION("IF(ISBLANK(A570),"""",GOOGLETRANSLATE(A570,""en"",""fr""))"),"")</f>
        <v/>
      </c>
    </row>
    <row r="571" spans="2:2">
      <c r="B571" s="3" t="str">
        <f ca="1">IFERROR(__xludf.DUMMYFUNCTION("IF(ISBLANK(A571),"""",GOOGLETRANSLATE(A571,""en"",""fr""))"),"")</f>
        <v/>
      </c>
    </row>
    <row r="572" spans="2:2">
      <c r="B572" s="3" t="str">
        <f ca="1">IFERROR(__xludf.DUMMYFUNCTION("IF(ISBLANK(A572),"""",GOOGLETRANSLATE(A572,""en"",""fr""))"),"")</f>
        <v/>
      </c>
    </row>
    <row r="573" spans="2:2">
      <c r="B573" s="3" t="str">
        <f ca="1">IFERROR(__xludf.DUMMYFUNCTION("IF(ISBLANK(A573),"""",GOOGLETRANSLATE(A573,""en"",""fr""))"),"")</f>
        <v/>
      </c>
    </row>
    <row r="574" spans="2:2">
      <c r="B574" s="3" t="str">
        <f ca="1">IFERROR(__xludf.DUMMYFUNCTION("IF(ISBLANK(A574),"""",GOOGLETRANSLATE(A574,""en"",""fr""))"),"")</f>
        <v/>
      </c>
    </row>
    <row r="575" spans="2:2">
      <c r="B575" s="3" t="str">
        <f ca="1">IFERROR(__xludf.DUMMYFUNCTION("IF(ISBLANK(A575),"""",GOOGLETRANSLATE(A575,""en"",""fr""))"),"")</f>
        <v/>
      </c>
    </row>
    <row r="576" spans="2:2">
      <c r="B576" s="3" t="str">
        <f ca="1">IFERROR(__xludf.DUMMYFUNCTION("IF(ISBLANK(A576),"""",GOOGLETRANSLATE(A576,""en"",""fr""))"),"")</f>
        <v/>
      </c>
    </row>
    <row r="577" spans="2:2">
      <c r="B577" s="3" t="str">
        <f ca="1">IFERROR(__xludf.DUMMYFUNCTION("IF(ISBLANK(A577),"""",GOOGLETRANSLATE(A577,""en"",""fr""))"),"")</f>
        <v/>
      </c>
    </row>
    <row r="578" spans="2:2">
      <c r="B578" s="3" t="str">
        <f ca="1">IFERROR(__xludf.DUMMYFUNCTION("IF(ISBLANK(A578),"""",GOOGLETRANSLATE(A578,""en"",""fr""))"),"")</f>
        <v/>
      </c>
    </row>
    <row r="579" spans="2:2">
      <c r="B579" s="3" t="str">
        <f ca="1">IFERROR(__xludf.DUMMYFUNCTION("IF(ISBLANK(A579),"""",GOOGLETRANSLATE(A579,""en"",""fr""))"),"")</f>
        <v/>
      </c>
    </row>
    <row r="580" spans="2:2">
      <c r="B580" s="3" t="str">
        <f ca="1">IFERROR(__xludf.DUMMYFUNCTION("IF(ISBLANK(A580),"""",GOOGLETRANSLATE(A580,""en"",""fr""))"),"")</f>
        <v/>
      </c>
    </row>
    <row r="581" spans="2:2">
      <c r="B581" s="3" t="str">
        <f ca="1">IFERROR(__xludf.DUMMYFUNCTION("IF(ISBLANK(A581),"""",GOOGLETRANSLATE(A581,""en"",""fr""))"),"")</f>
        <v/>
      </c>
    </row>
    <row r="582" spans="2:2">
      <c r="B582" s="3" t="str">
        <f ca="1">IFERROR(__xludf.DUMMYFUNCTION("IF(ISBLANK(A582),"""",GOOGLETRANSLATE(A582,""en"",""fr""))"),"")</f>
        <v/>
      </c>
    </row>
    <row r="583" spans="2:2">
      <c r="B583" s="3" t="str">
        <f ca="1">IFERROR(__xludf.DUMMYFUNCTION("IF(ISBLANK(A583),"""",GOOGLETRANSLATE(A583,""en"",""fr""))"),"")</f>
        <v/>
      </c>
    </row>
    <row r="584" spans="2:2">
      <c r="B584" s="3" t="str">
        <f ca="1">IFERROR(__xludf.DUMMYFUNCTION("IF(ISBLANK(A584),"""",GOOGLETRANSLATE(A584,""en"",""fr""))"),"")</f>
        <v/>
      </c>
    </row>
    <row r="585" spans="2:2">
      <c r="B585" s="3" t="str">
        <f ca="1">IFERROR(__xludf.DUMMYFUNCTION("IF(ISBLANK(A585),"""",GOOGLETRANSLATE(A585,""en"",""fr""))"),"")</f>
        <v/>
      </c>
    </row>
    <row r="586" spans="2:2">
      <c r="B586" s="3" t="str">
        <f ca="1">IFERROR(__xludf.DUMMYFUNCTION("IF(ISBLANK(A586),"""",GOOGLETRANSLATE(A586,""en"",""fr""))"),"")</f>
        <v/>
      </c>
    </row>
    <row r="587" spans="2:2">
      <c r="B587" s="3" t="str">
        <f ca="1">IFERROR(__xludf.DUMMYFUNCTION("IF(ISBLANK(A587),"""",GOOGLETRANSLATE(A587,""en"",""fr""))"),"")</f>
        <v/>
      </c>
    </row>
    <row r="588" spans="2:2">
      <c r="B588" s="3" t="str">
        <f ca="1">IFERROR(__xludf.DUMMYFUNCTION("IF(ISBLANK(A588),"""",GOOGLETRANSLATE(A588,""en"",""fr""))"),"")</f>
        <v/>
      </c>
    </row>
    <row r="589" spans="2:2">
      <c r="B589" s="3" t="str">
        <f ca="1">IFERROR(__xludf.DUMMYFUNCTION("IF(ISBLANK(A589),"""",GOOGLETRANSLATE(A589,""en"",""fr""))"),"")</f>
        <v/>
      </c>
    </row>
    <row r="590" spans="2:2">
      <c r="B590" s="3" t="str">
        <f ca="1">IFERROR(__xludf.DUMMYFUNCTION("IF(ISBLANK(A590),"""",GOOGLETRANSLATE(A590,""en"",""fr""))"),"")</f>
        <v/>
      </c>
    </row>
    <row r="591" spans="2:2">
      <c r="B591" s="3" t="str">
        <f ca="1">IFERROR(__xludf.DUMMYFUNCTION("IF(ISBLANK(A591),"""",GOOGLETRANSLATE(A591,""en"",""fr""))"),"")</f>
        <v/>
      </c>
    </row>
    <row r="592" spans="2:2">
      <c r="B592" s="3" t="str">
        <f ca="1">IFERROR(__xludf.DUMMYFUNCTION("IF(ISBLANK(A592),"""",GOOGLETRANSLATE(A592,""en"",""fr""))"),"")</f>
        <v/>
      </c>
    </row>
    <row r="593" spans="2:2">
      <c r="B593" s="3" t="str">
        <f ca="1">IFERROR(__xludf.DUMMYFUNCTION("IF(ISBLANK(A593),"""",GOOGLETRANSLATE(A593,""en"",""fr""))"),"")</f>
        <v/>
      </c>
    </row>
    <row r="594" spans="2:2">
      <c r="B594" s="3" t="str">
        <f ca="1">IFERROR(__xludf.DUMMYFUNCTION("IF(ISBLANK(A594),"""",GOOGLETRANSLATE(A594,""en"",""fr""))"),"")</f>
        <v/>
      </c>
    </row>
    <row r="595" spans="2:2">
      <c r="B595" s="3" t="str">
        <f ca="1">IFERROR(__xludf.DUMMYFUNCTION("IF(ISBLANK(A595),"""",GOOGLETRANSLATE(A595,""en"",""fr""))"),"")</f>
        <v/>
      </c>
    </row>
    <row r="596" spans="2:2">
      <c r="B596" s="3" t="str">
        <f ca="1">IFERROR(__xludf.DUMMYFUNCTION("IF(ISBLANK(A596),"""",GOOGLETRANSLATE(A596,""en"",""fr""))"),"")</f>
        <v/>
      </c>
    </row>
    <row r="597" spans="2:2">
      <c r="B597" s="3" t="str">
        <f ca="1">IFERROR(__xludf.DUMMYFUNCTION("IF(ISBLANK(A597),"""",GOOGLETRANSLATE(A597,""en"",""fr""))"),"")</f>
        <v/>
      </c>
    </row>
    <row r="598" spans="2:2">
      <c r="B598" s="3" t="str">
        <f ca="1">IFERROR(__xludf.DUMMYFUNCTION("IF(ISBLANK(A598),"""",GOOGLETRANSLATE(A598,""en"",""fr""))"),"")</f>
        <v/>
      </c>
    </row>
    <row r="599" spans="2:2">
      <c r="B599" s="3" t="str">
        <f ca="1">IFERROR(__xludf.DUMMYFUNCTION("IF(ISBLANK(A599),"""",GOOGLETRANSLATE(A599,""en"",""fr""))"),"")</f>
        <v/>
      </c>
    </row>
    <row r="600" spans="2:2">
      <c r="B600" s="3" t="str">
        <f ca="1">IFERROR(__xludf.DUMMYFUNCTION("IF(ISBLANK(A600),"""",GOOGLETRANSLATE(A600,""en"",""fr""))"),"")</f>
        <v/>
      </c>
    </row>
    <row r="601" spans="2:2">
      <c r="B601" s="3" t="str">
        <f ca="1">IFERROR(__xludf.DUMMYFUNCTION("IF(ISBLANK(A601),"""",GOOGLETRANSLATE(A601,""en"",""fr""))"),"")</f>
        <v/>
      </c>
    </row>
    <row r="602" spans="2:2">
      <c r="B602" s="3" t="str">
        <f ca="1">IFERROR(__xludf.DUMMYFUNCTION("IF(ISBLANK(A602),"""",GOOGLETRANSLATE(A602,""en"",""fr""))"),"")</f>
        <v/>
      </c>
    </row>
    <row r="603" spans="2:2">
      <c r="B603" s="3" t="str">
        <f ca="1">IFERROR(__xludf.DUMMYFUNCTION("IF(ISBLANK(A603),"""",GOOGLETRANSLATE(A603,""en"",""fr""))"),"")</f>
        <v/>
      </c>
    </row>
    <row r="604" spans="2:2">
      <c r="B604" s="3" t="str">
        <f ca="1">IFERROR(__xludf.DUMMYFUNCTION("IF(ISBLANK(A604),"""",GOOGLETRANSLATE(A604,""en"",""fr""))"),"")</f>
        <v/>
      </c>
    </row>
    <row r="605" spans="2:2">
      <c r="B605" s="3" t="str">
        <f ca="1">IFERROR(__xludf.DUMMYFUNCTION("IF(ISBLANK(A605),"""",GOOGLETRANSLATE(A605,""en"",""fr""))"),"")</f>
        <v/>
      </c>
    </row>
    <row r="606" spans="2:2">
      <c r="B606" s="3" t="str">
        <f ca="1">IFERROR(__xludf.DUMMYFUNCTION("IF(ISBLANK(A606),"""",GOOGLETRANSLATE(A606,""en"",""fr""))"),"")</f>
        <v/>
      </c>
    </row>
    <row r="607" spans="2:2">
      <c r="B607" s="3" t="str">
        <f ca="1">IFERROR(__xludf.DUMMYFUNCTION("IF(ISBLANK(A607),"""",GOOGLETRANSLATE(A607,""en"",""fr""))"),"")</f>
        <v/>
      </c>
    </row>
    <row r="608" spans="2:2">
      <c r="B608" s="3" t="str">
        <f ca="1">IFERROR(__xludf.DUMMYFUNCTION("IF(ISBLANK(A608),"""",GOOGLETRANSLATE(A608,""en"",""fr""))"),"")</f>
        <v/>
      </c>
    </row>
    <row r="609" spans="2:2">
      <c r="B609" s="3" t="str">
        <f ca="1">IFERROR(__xludf.DUMMYFUNCTION("IF(ISBLANK(A609),"""",GOOGLETRANSLATE(A609,""en"",""fr""))"),"")</f>
        <v/>
      </c>
    </row>
    <row r="610" spans="2:2">
      <c r="B610" s="3" t="str">
        <f ca="1">IFERROR(__xludf.DUMMYFUNCTION("IF(ISBLANK(A610),"""",GOOGLETRANSLATE(A610,""en"",""fr""))"),"")</f>
        <v/>
      </c>
    </row>
    <row r="611" spans="2:2">
      <c r="B611" s="3" t="str">
        <f ca="1">IFERROR(__xludf.DUMMYFUNCTION("IF(ISBLANK(A611),"""",GOOGLETRANSLATE(A611,""en"",""fr""))"),"")</f>
        <v/>
      </c>
    </row>
    <row r="612" spans="2:2">
      <c r="B612" s="3" t="str">
        <f ca="1">IFERROR(__xludf.DUMMYFUNCTION("IF(ISBLANK(A612),"""",GOOGLETRANSLATE(A612,""en"",""fr""))"),"")</f>
        <v/>
      </c>
    </row>
    <row r="613" spans="2:2">
      <c r="B613" s="3" t="str">
        <f ca="1">IFERROR(__xludf.DUMMYFUNCTION("IF(ISBLANK(A613),"""",GOOGLETRANSLATE(A613,""en"",""fr""))"),"")</f>
        <v/>
      </c>
    </row>
    <row r="614" spans="2:2">
      <c r="B614" s="3" t="str">
        <f ca="1">IFERROR(__xludf.DUMMYFUNCTION("IF(ISBLANK(A614),"""",GOOGLETRANSLATE(A614,""en"",""fr""))"),"")</f>
        <v/>
      </c>
    </row>
    <row r="615" spans="2:2">
      <c r="B615" s="3" t="str">
        <f ca="1">IFERROR(__xludf.DUMMYFUNCTION("IF(ISBLANK(A615),"""",GOOGLETRANSLATE(A615,""en"",""fr""))"),"")</f>
        <v/>
      </c>
    </row>
    <row r="616" spans="2:2">
      <c r="B616" s="3" t="str">
        <f ca="1">IFERROR(__xludf.DUMMYFUNCTION("IF(ISBLANK(A616),"""",GOOGLETRANSLATE(A616,""en"",""fr""))"),"")</f>
        <v/>
      </c>
    </row>
    <row r="617" spans="2:2">
      <c r="B617" s="3" t="str">
        <f ca="1">IFERROR(__xludf.DUMMYFUNCTION("IF(ISBLANK(A617),"""",GOOGLETRANSLATE(A617,""en"",""fr""))"),"")</f>
        <v/>
      </c>
    </row>
    <row r="618" spans="2:2">
      <c r="B618" s="3" t="str">
        <f ca="1">IFERROR(__xludf.DUMMYFUNCTION("IF(ISBLANK(A618),"""",GOOGLETRANSLATE(A618,""en"",""fr""))"),"")</f>
        <v/>
      </c>
    </row>
    <row r="619" spans="2:2">
      <c r="B619" s="3" t="str">
        <f ca="1">IFERROR(__xludf.DUMMYFUNCTION("IF(ISBLANK(A619),"""",GOOGLETRANSLATE(A619,""en"",""fr""))"),"")</f>
        <v/>
      </c>
    </row>
    <row r="620" spans="2:2">
      <c r="B620" s="3" t="str">
        <f ca="1">IFERROR(__xludf.DUMMYFUNCTION("IF(ISBLANK(A620),"""",GOOGLETRANSLATE(A620,""en"",""fr""))"),"")</f>
        <v/>
      </c>
    </row>
    <row r="621" spans="2:2">
      <c r="B621" s="3" t="str">
        <f ca="1">IFERROR(__xludf.DUMMYFUNCTION("IF(ISBLANK(A621),"""",GOOGLETRANSLATE(A621,""en"",""fr""))"),"")</f>
        <v/>
      </c>
    </row>
    <row r="622" spans="2:2">
      <c r="B622" s="3" t="str">
        <f ca="1">IFERROR(__xludf.DUMMYFUNCTION("IF(ISBLANK(A622),"""",GOOGLETRANSLATE(A622,""en"",""fr""))"),"")</f>
        <v/>
      </c>
    </row>
    <row r="623" spans="2:2">
      <c r="B623" s="3" t="str">
        <f ca="1">IFERROR(__xludf.DUMMYFUNCTION("IF(ISBLANK(A623),"""",GOOGLETRANSLATE(A623,""en"",""fr""))"),"")</f>
        <v/>
      </c>
    </row>
    <row r="624" spans="2:2">
      <c r="B624" s="3" t="str">
        <f ca="1">IFERROR(__xludf.DUMMYFUNCTION("IF(ISBLANK(A624),"""",GOOGLETRANSLATE(A624,""en"",""fr""))"),"")</f>
        <v/>
      </c>
    </row>
    <row r="625" spans="2:2">
      <c r="B625" s="3" t="str">
        <f ca="1">IFERROR(__xludf.DUMMYFUNCTION("IF(ISBLANK(A625),"""",GOOGLETRANSLATE(A625,""en"",""fr""))"),"")</f>
        <v/>
      </c>
    </row>
    <row r="626" spans="2:2">
      <c r="B626" s="3" t="str">
        <f ca="1">IFERROR(__xludf.DUMMYFUNCTION("IF(ISBLANK(A626),"""",GOOGLETRANSLATE(A626,""en"",""fr""))"),"")</f>
        <v/>
      </c>
    </row>
    <row r="627" spans="2:2">
      <c r="B627" s="3" t="str">
        <f ca="1">IFERROR(__xludf.DUMMYFUNCTION("IF(ISBLANK(A627),"""",GOOGLETRANSLATE(A627,""en"",""fr""))"),"")</f>
        <v/>
      </c>
    </row>
    <row r="628" spans="2:2">
      <c r="B628" s="3" t="str">
        <f ca="1">IFERROR(__xludf.DUMMYFUNCTION("IF(ISBLANK(A628),"""",GOOGLETRANSLATE(A628,""en"",""fr""))"),"")</f>
        <v/>
      </c>
    </row>
    <row r="629" spans="2:2">
      <c r="B629" s="3" t="str">
        <f ca="1">IFERROR(__xludf.DUMMYFUNCTION("IF(ISBLANK(A629),"""",GOOGLETRANSLATE(A629,""en"",""fr""))"),"")</f>
        <v/>
      </c>
    </row>
    <row r="630" spans="2:2">
      <c r="B630" s="3" t="str">
        <f ca="1">IFERROR(__xludf.DUMMYFUNCTION("IF(ISBLANK(A630),"""",GOOGLETRANSLATE(A630,""en"",""fr""))"),"")</f>
        <v/>
      </c>
    </row>
    <row r="631" spans="2:2">
      <c r="B631" s="3" t="str">
        <f ca="1">IFERROR(__xludf.DUMMYFUNCTION("IF(ISBLANK(A631),"""",GOOGLETRANSLATE(A631,""en"",""fr""))"),"")</f>
        <v/>
      </c>
    </row>
    <row r="632" spans="2:2">
      <c r="B632" s="3" t="str">
        <f ca="1">IFERROR(__xludf.DUMMYFUNCTION("IF(ISBLANK(A632),"""",GOOGLETRANSLATE(A632,""en"",""fr""))"),"")</f>
        <v/>
      </c>
    </row>
    <row r="633" spans="2:2">
      <c r="B633" s="3" t="str">
        <f ca="1">IFERROR(__xludf.DUMMYFUNCTION("IF(ISBLANK(A633),"""",GOOGLETRANSLATE(A633,""en"",""fr""))"),"")</f>
        <v/>
      </c>
    </row>
    <row r="634" spans="2:2">
      <c r="B634" s="3" t="str">
        <f ca="1">IFERROR(__xludf.DUMMYFUNCTION("IF(ISBLANK(A634),"""",GOOGLETRANSLATE(A634,""en"",""fr""))"),"")</f>
        <v/>
      </c>
    </row>
    <row r="635" spans="2:2">
      <c r="B635" s="3" t="str">
        <f ca="1">IFERROR(__xludf.DUMMYFUNCTION("IF(ISBLANK(A635),"""",GOOGLETRANSLATE(A635,""en"",""fr""))"),"")</f>
        <v/>
      </c>
    </row>
    <row r="636" spans="2:2">
      <c r="B636" s="3" t="str">
        <f ca="1">IFERROR(__xludf.DUMMYFUNCTION("IF(ISBLANK(A636),"""",GOOGLETRANSLATE(A636,""en"",""fr""))"),"")</f>
        <v/>
      </c>
    </row>
    <row r="637" spans="2:2">
      <c r="B637" s="3" t="str">
        <f ca="1">IFERROR(__xludf.DUMMYFUNCTION("IF(ISBLANK(A637),"""",GOOGLETRANSLATE(A637,""en"",""fr""))"),"")</f>
        <v/>
      </c>
    </row>
    <row r="638" spans="2:2">
      <c r="B638" s="3" t="str">
        <f ca="1">IFERROR(__xludf.DUMMYFUNCTION("IF(ISBLANK(A638),"""",GOOGLETRANSLATE(A638,""en"",""fr""))"),"")</f>
        <v/>
      </c>
    </row>
    <row r="639" spans="2:2">
      <c r="B639" s="3" t="str">
        <f ca="1">IFERROR(__xludf.DUMMYFUNCTION("IF(ISBLANK(A639),"""",GOOGLETRANSLATE(A639,""en"",""fr""))"),"")</f>
        <v/>
      </c>
    </row>
    <row r="640" spans="2:2">
      <c r="B640" s="3" t="str">
        <f ca="1">IFERROR(__xludf.DUMMYFUNCTION("IF(ISBLANK(A640),"""",GOOGLETRANSLATE(A640,""en"",""fr""))"),"")</f>
        <v/>
      </c>
    </row>
    <row r="641" spans="2:2">
      <c r="B641" s="3" t="str">
        <f ca="1">IFERROR(__xludf.DUMMYFUNCTION("IF(ISBLANK(A641),"""",GOOGLETRANSLATE(A641,""en"",""fr""))"),"")</f>
        <v/>
      </c>
    </row>
    <row r="642" spans="2:2">
      <c r="B642" s="3" t="str">
        <f ca="1">IFERROR(__xludf.DUMMYFUNCTION("IF(ISBLANK(A642),"""",GOOGLETRANSLATE(A642,""en"",""fr""))"),"")</f>
        <v/>
      </c>
    </row>
    <row r="643" spans="2:2">
      <c r="B643" s="3" t="str">
        <f ca="1">IFERROR(__xludf.DUMMYFUNCTION("IF(ISBLANK(A643),"""",GOOGLETRANSLATE(A643,""en"",""fr""))"),"")</f>
        <v/>
      </c>
    </row>
    <row r="644" spans="2:2">
      <c r="B644" s="3" t="str">
        <f ca="1">IFERROR(__xludf.DUMMYFUNCTION("IF(ISBLANK(A644),"""",GOOGLETRANSLATE(A644,""en"",""fr""))"),"")</f>
        <v/>
      </c>
    </row>
    <row r="645" spans="2:2">
      <c r="B645" s="3" t="str">
        <f ca="1">IFERROR(__xludf.DUMMYFUNCTION("IF(ISBLANK(A645),"""",GOOGLETRANSLATE(A645,""en"",""fr""))"),"")</f>
        <v/>
      </c>
    </row>
    <row r="646" spans="2:2">
      <c r="B646" s="3" t="str">
        <f ca="1">IFERROR(__xludf.DUMMYFUNCTION("IF(ISBLANK(A646),"""",GOOGLETRANSLATE(A646,""en"",""fr""))"),"")</f>
        <v/>
      </c>
    </row>
    <row r="647" spans="2:2">
      <c r="B647" s="3" t="str">
        <f ca="1">IFERROR(__xludf.DUMMYFUNCTION("IF(ISBLANK(A647),"""",GOOGLETRANSLATE(A647,""en"",""fr""))"),"")</f>
        <v/>
      </c>
    </row>
    <row r="648" spans="2:2">
      <c r="B648" s="3" t="str">
        <f ca="1">IFERROR(__xludf.DUMMYFUNCTION("IF(ISBLANK(A648),"""",GOOGLETRANSLATE(A648,""en"",""fr""))"),"")</f>
        <v/>
      </c>
    </row>
    <row r="649" spans="2:2">
      <c r="B649" s="3" t="str">
        <f ca="1">IFERROR(__xludf.DUMMYFUNCTION("IF(ISBLANK(A649),"""",GOOGLETRANSLATE(A649,""en"",""fr""))"),"")</f>
        <v/>
      </c>
    </row>
    <row r="650" spans="2:2">
      <c r="B650" s="3" t="str">
        <f ca="1">IFERROR(__xludf.DUMMYFUNCTION("IF(ISBLANK(A650),"""",GOOGLETRANSLATE(A650,""en"",""fr""))"),"")</f>
        <v/>
      </c>
    </row>
    <row r="651" spans="2:2">
      <c r="B651" s="3" t="str">
        <f ca="1">IFERROR(__xludf.DUMMYFUNCTION("IF(ISBLANK(A651),"""",GOOGLETRANSLATE(A651,""en"",""fr""))"),"")</f>
        <v/>
      </c>
    </row>
    <row r="652" spans="2:2">
      <c r="B652" s="3" t="str">
        <f ca="1">IFERROR(__xludf.DUMMYFUNCTION("IF(ISBLANK(A652),"""",GOOGLETRANSLATE(A652,""en"",""fr""))"),"")</f>
        <v/>
      </c>
    </row>
    <row r="653" spans="2:2">
      <c r="B653" s="3" t="str">
        <f ca="1">IFERROR(__xludf.DUMMYFUNCTION("IF(ISBLANK(A653),"""",GOOGLETRANSLATE(A653,""en"",""fr""))"),"")</f>
        <v/>
      </c>
    </row>
    <row r="654" spans="2:2">
      <c r="B654" s="3" t="str">
        <f ca="1">IFERROR(__xludf.DUMMYFUNCTION("IF(ISBLANK(A654),"""",GOOGLETRANSLATE(A654,""en"",""fr""))"),"")</f>
        <v/>
      </c>
    </row>
    <row r="655" spans="2:2">
      <c r="B655" s="3" t="str">
        <f ca="1">IFERROR(__xludf.DUMMYFUNCTION("IF(ISBLANK(A655),"""",GOOGLETRANSLATE(A655,""en"",""fr""))"),"")</f>
        <v/>
      </c>
    </row>
    <row r="656" spans="2:2">
      <c r="B656" s="3" t="str">
        <f ca="1">IFERROR(__xludf.DUMMYFUNCTION("IF(ISBLANK(A656),"""",GOOGLETRANSLATE(A656,""en"",""fr""))"),"")</f>
        <v/>
      </c>
    </row>
    <row r="657" spans="2:2">
      <c r="B657" s="3" t="str">
        <f ca="1">IFERROR(__xludf.DUMMYFUNCTION("IF(ISBLANK(A657),"""",GOOGLETRANSLATE(A657,""en"",""fr""))"),"")</f>
        <v/>
      </c>
    </row>
    <row r="658" spans="2:2">
      <c r="B658" s="3" t="str">
        <f ca="1">IFERROR(__xludf.DUMMYFUNCTION("IF(ISBLANK(A658),"""",GOOGLETRANSLATE(A658,""en"",""fr""))"),"")</f>
        <v/>
      </c>
    </row>
    <row r="659" spans="2:2">
      <c r="B659" s="3" t="str">
        <f ca="1">IFERROR(__xludf.DUMMYFUNCTION("IF(ISBLANK(A659),"""",GOOGLETRANSLATE(A659,""en"",""fr""))"),"")</f>
        <v/>
      </c>
    </row>
    <row r="660" spans="2:2">
      <c r="B660" s="3" t="str">
        <f ca="1">IFERROR(__xludf.DUMMYFUNCTION("IF(ISBLANK(A660),"""",GOOGLETRANSLATE(A660,""en"",""fr""))"),"")</f>
        <v/>
      </c>
    </row>
    <row r="661" spans="2:2">
      <c r="B661" s="3" t="str">
        <f ca="1">IFERROR(__xludf.DUMMYFUNCTION("IF(ISBLANK(A661),"""",GOOGLETRANSLATE(A661,""en"",""fr""))"),"")</f>
        <v/>
      </c>
    </row>
    <row r="662" spans="2:2">
      <c r="B662" s="3" t="str">
        <f ca="1">IFERROR(__xludf.DUMMYFUNCTION("IF(ISBLANK(A662),"""",GOOGLETRANSLATE(A662,""en"",""fr""))"),"")</f>
        <v/>
      </c>
    </row>
    <row r="663" spans="2:2">
      <c r="B663" s="3" t="str">
        <f ca="1">IFERROR(__xludf.DUMMYFUNCTION("IF(ISBLANK(A663),"""",GOOGLETRANSLATE(A663,""en"",""fr""))"),"")</f>
        <v/>
      </c>
    </row>
    <row r="664" spans="2:2">
      <c r="B664" s="3" t="str">
        <f ca="1">IFERROR(__xludf.DUMMYFUNCTION("IF(ISBLANK(A664),"""",GOOGLETRANSLATE(A664,""en"",""fr""))"),"")</f>
        <v/>
      </c>
    </row>
    <row r="665" spans="2:2">
      <c r="B665" s="3" t="str">
        <f ca="1">IFERROR(__xludf.DUMMYFUNCTION("IF(ISBLANK(A665),"""",GOOGLETRANSLATE(A665,""en"",""fr""))"),"")</f>
        <v/>
      </c>
    </row>
    <row r="666" spans="2:2">
      <c r="B666" s="3" t="str">
        <f ca="1">IFERROR(__xludf.DUMMYFUNCTION("IF(ISBLANK(A666),"""",GOOGLETRANSLATE(A666,""en"",""fr""))"),"")</f>
        <v/>
      </c>
    </row>
    <row r="667" spans="2:2">
      <c r="B667" s="3" t="str">
        <f ca="1">IFERROR(__xludf.DUMMYFUNCTION("IF(ISBLANK(A667),"""",GOOGLETRANSLATE(A667,""en"",""fr""))"),"")</f>
        <v/>
      </c>
    </row>
    <row r="668" spans="2:2">
      <c r="B668" s="3" t="str">
        <f ca="1">IFERROR(__xludf.DUMMYFUNCTION("IF(ISBLANK(A668),"""",GOOGLETRANSLATE(A668,""en"",""fr""))"),"")</f>
        <v/>
      </c>
    </row>
    <row r="669" spans="2:2">
      <c r="B669" s="3" t="str">
        <f ca="1">IFERROR(__xludf.DUMMYFUNCTION("IF(ISBLANK(A669),"""",GOOGLETRANSLATE(A669,""en"",""fr""))"),"")</f>
        <v/>
      </c>
    </row>
    <row r="670" spans="2:2">
      <c r="B670" s="3" t="str">
        <f ca="1">IFERROR(__xludf.DUMMYFUNCTION("IF(ISBLANK(A670),"""",GOOGLETRANSLATE(A670,""en"",""fr""))"),"")</f>
        <v/>
      </c>
    </row>
    <row r="671" spans="2:2">
      <c r="B671" s="3" t="str">
        <f ca="1">IFERROR(__xludf.DUMMYFUNCTION("IF(ISBLANK(A671),"""",GOOGLETRANSLATE(A671,""en"",""fr""))"),"")</f>
        <v/>
      </c>
    </row>
    <row r="672" spans="2:2">
      <c r="B672" s="3" t="str">
        <f ca="1">IFERROR(__xludf.DUMMYFUNCTION("IF(ISBLANK(A672),"""",GOOGLETRANSLATE(A672,""en"",""fr""))"),"")</f>
        <v/>
      </c>
    </row>
    <row r="673" spans="2:2">
      <c r="B673" s="3" t="str">
        <f ca="1">IFERROR(__xludf.DUMMYFUNCTION("IF(ISBLANK(A673),"""",GOOGLETRANSLATE(A673,""en"",""fr""))"),"")</f>
        <v/>
      </c>
    </row>
    <row r="674" spans="2:2">
      <c r="B674" s="3" t="str">
        <f ca="1">IFERROR(__xludf.DUMMYFUNCTION("IF(ISBLANK(A674),"""",GOOGLETRANSLATE(A674,""en"",""fr""))"),"")</f>
        <v/>
      </c>
    </row>
    <row r="675" spans="2:2">
      <c r="B675" s="3" t="str">
        <f ca="1">IFERROR(__xludf.DUMMYFUNCTION("IF(ISBLANK(A675),"""",GOOGLETRANSLATE(A675,""en"",""fr""))"),"")</f>
        <v/>
      </c>
    </row>
    <row r="676" spans="2:2">
      <c r="B676" s="3" t="str">
        <f ca="1">IFERROR(__xludf.DUMMYFUNCTION("IF(ISBLANK(A676),"""",GOOGLETRANSLATE(A676,""en"",""fr""))"),"")</f>
        <v/>
      </c>
    </row>
    <row r="677" spans="2:2">
      <c r="B677" s="3" t="str">
        <f ca="1">IFERROR(__xludf.DUMMYFUNCTION("IF(ISBLANK(A677),"""",GOOGLETRANSLATE(A677,""en"",""fr""))"),"")</f>
        <v/>
      </c>
    </row>
    <row r="678" spans="2:2">
      <c r="B678" s="3" t="str">
        <f ca="1">IFERROR(__xludf.DUMMYFUNCTION("IF(ISBLANK(A678),"""",GOOGLETRANSLATE(A678,""en"",""fr""))"),"")</f>
        <v/>
      </c>
    </row>
    <row r="679" spans="2:2">
      <c r="B679" s="3" t="str">
        <f ca="1">IFERROR(__xludf.DUMMYFUNCTION("IF(ISBLANK(A679),"""",GOOGLETRANSLATE(A679,""en"",""fr""))"),"")</f>
        <v/>
      </c>
    </row>
    <row r="680" spans="2:2">
      <c r="B680" s="3" t="str">
        <f ca="1">IFERROR(__xludf.DUMMYFUNCTION("IF(ISBLANK(A680),"""",GOOGLETRANSLATE(A680,""en"",""fr""))"),"")</f>
        <v/>
      </c>
    </row>
    <row r="681" spans="2:2">
      <c r="B681" s="3" t="str">
        <f ca="1">IFERROR(__xludf.DUMMYFUNCTION("IF(ISBLANK(A681),"""",GOOGLETRANSLATE(A681,""en"",""fr""))"),"")</f>
        <v/>
      </c>
    </row>
    <row r="682" spans="2:2">
      <c r="B682" s="3" t="str">
        <f ca="1">IFERROR(__xludf.DUMMYFUNCTION("IF(ISBLANK(A682),"""",GOOGLETRANSLATE(A682,""en"",""fr""))"),"")</f>
        <v/>
      </c>
    </row>
    <row r="683" spans="2:2">
      <c r="B683" s="3" t="str">
        <f ca="1">IFERROR(__xludf.DUMMYFUNCTION("IF(ISBLANK(A683),"""",GOOGLETRANSLATE(A683,""en"",""fr""))"),"")</f>
        <v/>
      </c>
    </row>
    <row r="684" spans="2:2">
      <c r="B684" s="3" t="str">
        <f ca="1">IFERROR(__xludf.DUMMYFUNCTION("IF(ISBLANK(A684),"""",GOOGLETRANSLATE(A684,""en"",""fr""))"),"")</f>
        <v/>
      </c>
    </row>
    <row r="685" spans="2:2">
      <c r="B685" s="3" t="str">
        <f ca="1">IFERROR(__xludf.DUMMYFUNCTION("IF(ISBLANK(A685),"""",GOOGLETRANSLATE(A685,""en"",""fr""))"),"")</f>
        <v/>
      </c>
    </row>
    <row r="686" spans="2:2">
      <c r="B686" s="3" t="str">
        <f ca="1">IFERROR(__xludf.DUMMYFUNCTION("IF(ISBLANK(A686),"""",GOOGLETRANSLATE(A686,""en"",""fr""))"),"")</f>
        <v/>
      </c>
    </row>
    <row r="687" spans="2:2">
      <c r="B687" s="3" t="str">
        <f ca="1">IFERROR(__xludf.DUMMYFUNCTION("IF(ISBLANK(A687),"""",GOOGLETRANSLATE(A687,""en"",""fr""))"),"")</f>
        <v/>
      </c>
    </row>
    <row r="688" spans="2:2">
      <c r="B688" s="3" t="str">
        <f ca="1">IFERROR(__xludf.DUMMYFUNCTION("IF(ISBLANK(A688),"""",GOOGLETRANSLATE(A688,""en"",""fr""))"),"")</f>
        <v/>
      </c>
    </row>
    <row r="689" spans="2:2">
      <c r="B689" s="3" t="str">
        <f ca="1">IFERROR(__xludf.DUMMYFUNCTION("IF(ISBLANK(A689),"""",GOOGLETRANSLATE(A689,""en"",""fr""))"),"")</f>
        <v/>
      </c>
    </row>
    <row r="690" spans="2:2">
      <c r="B690" s="3" t="str">
        <f ca="1">IFERROR(__xludf.DUMMYFUNCTION("IF(ISBLANK(A690),"""",GOOGLETRANSLATE(A690,""en"",""fr""))"),"")</f>
        <v/>
      </c>
    </row>
    <row r="691" spans="2:2">
      <c r="B691" s="3" t="str">
        <f ca="1">IFERROR(__xludf.DUMMYFUNCTION("IF(ISBLANK(A691),"""",GOOGLETRANSLATE(A691,""en"",""fr""))"),"")</f>
        <v/>
      </c>
    </row>
    <row r="692" spans="2:2">
      <c r="B692" s="3" t="str">
        <f ca="1">IFERROR(__xludf.DUMMYFUNCTION("IF(ISBLANK(A692),"""",GOOGLETRANSLATE(A692,""en"",""fr""))"),"")</f>
        <v/>
      </c>
    </row>
    <row r="693" spans="2:2">
      <c r="B693" s="3" t="str">
        <f ca="1">IFERROR(__xludf.DUMMYFUNCTION("IF(ISBLANK(A693),"""",GOOGLETRANSLATE(A693,""en"",""fr""))"),"")</f>
        <v/>
      </c>
    </row>
    <row r="694" spans="2:2">
      <c r="B694" s="3" t="str">
        <f ca="1">IFERROR(__xludf.DUMMYFUNCTION("IF(ISBLANK(A694),"""",GOOGLETRANSLATE(A694,""en"",""fr""))"),"")</f>
        <v/>
      </c>
    </row>
    <row r="695" spans="2:2">
      <c r="B695" s="3" t="str">
        <f ca="1">IFERROR(__xludf.DUMMYFUNCTION("IF(ISBLANK(A695),"""",GOOGLETRANSLATE(A695,""en"",""fr""))"),"")</f>
        <v/>
      </c>
    </row>
    <row r="696" spans="2:2">
      <c r="B696" s="3" t="str">
        <f ca="1">IFERROR(__xludf.DUMMYFUNCTION("IF(ISBLANK(A696),"""",GOOGLETRANSLATE(A696,""en"",""fr""))"),"")</f>
        <v/>
      </c>
    </row>
    <row r="697" spans="2:2">
      <c r="B697" s="3" t="str">
        <f ca="1">IFERROR(__xludf.DUMMYFUNCTION("IF(ISBLANK(A697),"""",GOOGLETRANSLATE(A697,""en"",""fr""))"),"")</f>
        <v/>
      </c>
    </row>
    <row r="698" spans="2:2">
      <c r="B698" s="3" t="str">
        <f ca="1">IFERROR(__xludf.DUMMYFUNCTION("IF(ISBLANK(A698),"""",GOOGLETRANSLATE(A698,""en"",""fr""))"),"")</f>
        <v/>
      </c>
    </row>
    <row r="699" spans="2:2">
      <c r="B699" s="3" t="str">
        <f ca="1">IFERROR(__xludf.DUMMYFUNCTION("IF(ISBLANK(A699),"""",GOOGLETRANSLATE(A699,""en"",""fr""))"),"")</f>
        <v/>
      </c>
    </row>
    <row r="700" spans="2:2">
      <c r="B700" s="3" t="str">
        <f ca="1">IFERROR(__xludf.DUMMYFUNCTION("IF(ISBLANK(A700),"""",GOOGLETRANSLATE(A700,""en"",""fr""))"),"")</f>
        <v/>
      </c>
    </row>
    <row r="701" spans="2:2">
      <c r="B701" s="3" t="str">
        <f ca="1">IFERROR(__xludf.DUMMYFUNCTION("IF(ISBLANK(A701),"""",GOOGLETRANSLATE(A701,""en"",""fr""))"),"")</f>
        <v/>
      </c>
    </row>
    <row r="702" spans="2:2">
      <c r="B702" s="3" t="str">
        <f ca="1">IFERROR(__xludf.DUMMYFUNCTION("IF(ISBLANK(A702),"""",GOOGLETRANSLATE(A702,""en"",""fr""))"),"")</f>
        <v/>
      </c>
    </row>
    <row r="703" spans="2:2">
      <c r="B703" s="3" t="str">
        <f ca="1">IFERROR(__xludf.DUMMYFUNCTION("IF(ISBLANK(A703),"""",GOOGLETRANSLATE(A703,""en"",""fr""))"),"")</f>
        <v/>
      </c>
    </row>
    <row r="704" spans="2:2">
      <c r="B704" s="3" t="str">
        <f ca="1">IFERROR(__xludf.DUMMYFUNCTION("IF(ISBLANK(A704),"""",GOOGLETRANSLATE(A704,""en"",""fr""))"),"")</f>
        <v/>
      </c>
    </row>
    <row r="705" spans="2:2">
      <c r="B705" s="3" t="str">
        <f ca="1">IFERROR(__xludf.DUMMYFUNCTION("IF(ISBLANK(A705),"""",GOOGLETRANSLATE(A705,""en"",""fr""))"),"")</f>
        <v/>
      </c>
    </row>
    <row r="706" spans="2:2">
      <c r="B706" s="3" t="str">
        <f ca="1">IFERROR(__xludf.DUMMYFUNCTION("IF(ISBLANK(A706),"""",GOOGLETRANSLATE(A706,""en"",""fr""))"),"")</f>
        <v/>
      </c>
    </row>
    <row r="707" spans="2:2">
      <c r="B707" s="3" t="str">
        <f ca="1">IFERROR(__xludf.DUMMYFUNCTION("IF(ISBLANK(A707),"""",GOOGLETRANSLATE(A707,""en"",""fr""))"),"")</f>
        <v/>
      </c>
    </row>
    <row r="708" spans="2:2">
      <c r="B708" s="3" t="str">
        <f ca="1">IFERROR(__xludf.DUMMYFUNCTION("IF(ISBLANK(A708),"""",GOOGLETRANSLATE(A708,""en"",""fr""))"),"")</f>
        <v/>
      </c>
    </row>
    <row r="709" spans="2:2">
      <c r="B709" s="3" t="str">
        <f ca="1">IFERROR(__xludf.DUMMYFUNCTION("IF(ISBLANK(A709),"""",GOOGLETRANSLATE(A709,""en"",""fr""))"),"")</f>
        <v/>
      </c>
    </row>
    <row r="710" spans="2:2">
      <c r="B710" s="3" t="str">
        <f ca="1">IFERROR(__xludf.DUMMYFUNCTION("IF(ISBLANK(A710),"""",GOOGLETRANSLATE(A710,""en"",""fr""))"),"")</f>
        <v/>
      </c>
    </row>
    <row r="711" spans="2:2">
      <c r="B711" s="3" t="str">
        <f ca="1">IFERROR(__xludf.DUMMYFUNCTION("IF(ISBLANK(A711),"""",GOOGLETRANSLATE(A711,""en"",""fr""))"),"")</f>
        <v/>
      </c>
    </row>
    <row r="712" spans="2:2">
      <c r="B712" s="3" t="str">
        <f ca="1">IFERROR(__xludf.DUMMYFUNCTION("IF(ISBLANK(A712),"""",GOOGLETRANSLATE(A712,""en"",""fr""))"),"")</f>
        <v/>
      </c>
    </row>
    <row r="713" spans="2:2">
      <c r="B713" s="3" t="str">
        <f ca="1">IFERROR(__xludf.DUMMYFUNCTION("IF(ISBLANK(A713),"""",GOOGLETRANSLATE(A713,""en"",""fr""))"),"")</f>
        <v/>
      </c>
    </row>
    <row r="714" spans="2:2">
      <c r="B714" s="3" t="str">
        <f ca="1">IFERROR(__xludf.DUMMYFUNCTION("IF(ISBLANK(A714),"""",GOOGLETRANSLATE(A714,""en"",""fr""))"),"")</f>
        <v/>
      </c>
    </row>
    <row r="715" spans="2:2">
      <c r="B715" s="3" t="str">
        <f ca="1">IFERROR(__xludf.DUMMYFUNCTION("IF(ISBLANK(A715),"""",GOOGLETRANSLATE(A715,""en"",""fr""))"),"")</f>
        <v/>
      </c>
    </row>
    <row r="716" spans="2:2">
      <c r="B716" s="3" t="str">
        <f ca="1">IFERROR(__xludf.DUMMYFUNCTION("IF(ISBLANK(A716),"""",GOOGLETRANSLATE(A716,""en"",""fr""))"),"")</f>
        <v/>
      </c>
    </row>
    <row r="717" spans="2:2">
      <c r="B717" s="3" t="str">
        <f ca="1">IFERROR(__xludf.DUMMYFUNCTION("IF(ISBLANK(A717),"""",GOOGLETRANSLATE(A717,""en"",""fr""))"),"")</f>
        <v/>
      </c>
    </row>
    <row r="718" spans="2:2">
      <c r="B718" s="3" t="str">
        <f ca="1">IFERROR(__xludf.DUMMYFUNCTION("IF(ISBLANK(A718),"""",GOOGLETRANSLATE(A718,""en"",""fr""))"),"")</f>
        <v/>
      </c>
    </row>
    <row r="719" spans="2:2">
      <c r="B719" s="3" t="str">
        <f ca="1">IFERROR(__xludf.DUMMYFUNCTION("IF(ISBLANK(A719),"""",GOOGLETRANSLATE(A719,""en"",""fr""))"),"")</f>
        <v/>
      </c>
    </row>
    <row r="720" spans="2:2">
      <c r="B720" s="3" t="str">
        <f ca="1">IFERROR(__xludf.DUMMYFUNCTION("IF(ISBLANK(A720),"""",GOOGLETRANSLATE(A720,""en"",""fr""))"),"")</f>
        <v/>
      </c>
    </row>
    <row r="721" spans="2:2">
      <c r="B721" s="3" t="str">
        <f ca="1">IFERROR(__xludf.DUMMYFUNCTION("IF(ISBLANK(A721),"""",GOOGLETRANSLATE(A721,""en"",""fr""))"),"")</f>
        <v/>
      </c>
    </row>
    <row r="722" spans="2:2">
      <c r="B722" s="3" t="str">
        <f ca="1">IFERROR(__xludf.DUMMYFUNCTION("IF(ISBLANK(A722),"""",GOOGLETRANSLATE(A722,""en"",""fr""))"),"")</f>
        <v/>
      </c>
    </row>
    <row r="723" spans="2:2">
      <c r="B723" s="3" t="str">
        <f ca="1">IFERROR(__xludf.DUMMYFUNCTION("IF(ISBLANK(A723),"""",GOOGLETRANSLATE(A723,""en"",""fr""))"),"")</f>
        <v/>
      </c>
    </row>
    <row r="724" spans="2:2">
      <c r="B724" s="3" t="str">
        <f ca="1">IFERROR(__xludf.DUMMYFUNCTION("IF(ISBLANK(A724),"""",GOOGLETRANSLATE(A724,""en"",""fr""))"),"")</f>
        <v/>
      </c>
    </row>
    <row r="725" spans="2:2">
      <c r="B725" s="3" t="str">
        <f ca="1">IFERROR(__xludf.DUMMYFUNCTION("IF(ISBLANK(A725),"""",GOOGLETRANSLATE(A725,""en"",""fr""))"),"")</f>
        <v/>
      </c>
    </row>
    <row r="726" spans="2:2">
      <c r="B726" s="3" t="str">
        <f ca="1">IFERROR(__xludf.DUMMYFUNCTION("IF(ISBLANK(A726),"""",GOOGLETRANSLATE(A726,""en"",""fr""))"),"")</f>
        <v/>
      </c>
    </row>
    <row r="727" spans="2:2">
      <c r="B727" s="3" t="str">
        <f ca="1">IFERROR(__xludf.DUMMYFUNCTION("IF(ISBLANK(A727),"""",GOOGLETRANSLATE(A727,""en"",""fr""))"),"")</f>
        <v/>
      </c>
    </row>
    <row r="728" spans="2:2">
      <c r="B728" s="3" t="str">
        <f ca="1">IFERROR(__xludf.DUMMYFUNCTION("IF(ISBLANK(A728),"""",GOOGLETRANSLATE(A728,""en"",""fr""))"),"")</f>
        <v/>
      </c>
    </row>
    <row r="729" spans="2:2">
      <c r="B729" s="3" t="str">
        <f ca="1">IFERROR(__xludf.DUMMYFUNCTION("IF(ISBLANK(A729),"""",GOOGLETRANSLATE(A729,""en"",""fr""))"),"")</f>
        <v/>
      </c>
    </row>
    <row r="730" spans="2:2">
      <c r="B730" s="3" t="str">
        <f ca="1">IFERROR(__xludf.DUMMYFUNCTION("IF(ISBLANK(A730),"""",GOOGLETRANSLATE(A730,""en"",""fr""))"),"")</f>
        <v/>
      </c>
    </row>
    <row r="731" spans="2:2">
      <c r="B731" s="3" t="str">
        <f ca="1">IFERROR(__xludf.DUMMYFUNCTION("IF(ISBLANK(A731),"""",GOOGLETRANSLATE(A731,""en"",""fr""))"),"")</f>
        <v/>
      </c>
    </row>
    <row r="732" spans="2:2">
      <c r="B732" s="3" t="str">
        <f ca="1">IFERROR(__xludf.DUMMYFUNCTION("IF(ISBLANK(A732),"""",GOOGLETRANSLATE(A732,""en"",""fr""))"),"")</f>
        <v/>
      </c>
    </row>
    <row r="733" spans="2:2">
      <c r="B733" s="3" t="str">
        <f ca="1">IFERROR(__xludf.DUMMYFUNCTION("IF(ISBLANK(A733),"""",GOOGLETRANSLATE(A733,""en"",""fr""))"),"")</f>
        <v/>
      </c>
    </row>
    <row r="734" spans="2:2">
      <c r="B734" s="3" t="str">
        <f ca="1">IFERROR(__xludf.DUMMYFUNCTION("IF(ISBLANK(A734),"""",GOOGLETRANSLATE(A734,""en"",""fr""))"),"")</f>
        <v/>
      </c>
    </row>
    <row r="735" spans="2:2">
      <c r="B735" s="3" t="str">
        <f ca="1">IFERROR(__xludf.DUMMYFUNCTION("IF(ISBLANK(A735),"""",GOOGLETRANSLATE(A735,""en"",""fr""))"),"")</f>
        <v/>
      </c>
    </row>
    <row r="736" spans="2:2">
      <c r="B736" s="3" t="str">
        <f ca="1">IFERROR(__xludf.DUMMYFUNCTION("IF(ISBLANK(A736),"""",GOOGLETRANSLATE(A736,""en"",""fr""))"),"")</f>
        <v/>
      </c>
    </row>
    <row r="737" spans="2:2">
      <c r="B737" s="3" t="str">
        <f ca="1">IFERROR(__xludf.DUMMYFUNCTION("IF(ISBLANK(A737),"""",GOOGLETRANSLATE(A737,""en"",""fr""))"),"")</f>
        <v/>
      </c>
    </row>
    <row r="738" spans="2:2">
      <c r="B738" s="3" t="str">
        <f ca="1">IFERROR(__xludf.DUMMYFUNCTION("IF(ISBLANK(A738),"""",GOOGLETRANSLATE(A738,""en"",""fr""))"),"")</f>
        <v/>
      </c>
    </row>
    <row r="739" spans="2:2">
      <c r="B739" s="3" t="str">
        <f ca="1">IFERROR(__xludf.DUMMYFUNCTION("IF(ISBLANK(A739),"""",GOOGLETRANSLATE(A739,""en"",""fr""))"),"")</f>
        <v/>
      </c>
    </row>
    <row r="740" spans="2:2">
      <c r="B740" s="3" t="str">
        <f ca="1">IFERROR(__xludf.DUMMYFUNCTION("IF(ISBLANK(A740),"""",GOOGLETRANSLATE(A740,""en"",""fr""))"),"")</f>
        <v/>
      </c>
    </row>
    <row r="741" spans="2:2">
      <c r="B741" s="3" t="str">
        <f ca="1">IFERROR(__xludf.DUMMYFUNCTION("IF(ISBLANK(A741),"""",GOOGLETRANSLATE(A741,""en"",""fr""))"),"")</f>
        <v/>
      </c>
    </row>
    <row r="742" spans="2:2">
      <c r="B742" s="3" t="str">
        <f ca="1">IFERROR(__xludf.DUMMYFUNCTION("IF(ISBLANK(A742),"""",GOOGLETRANSLATE(A742,""en"",""fr""))"),"")</f>
        <v/>
      </c>
    </row>
    <row r="743" spans="2:2">
      <c r="B743" s="3" t="str">
        <f ca="1">IFERROR(__xludf.DUMMYFUNCTION("IF(ISBLANK(A743),"""",GOOGLETRANSLATE(A743,""en"",""fr""))"),"")</f>
        <v/>
      </c>
    </row>
    <row r="744" spans="2:2">
      <c r="B744" s="3" t="str">
        <f ca="1">IFERROR(__xludf.DUMMYFUNCTION("IF(ISBLANK(A744),"""",GOOGLETRANSLATE(A744,""en"",""fr""))"),"")</f>
        <v/>
      </c>
    </row>
    <row r="745" spans="2:2">
      <c r="B745" s="3" t="str">
        <f ca="1">IFERROR(__xludf.DUMMYFUNCTION("IF(ISBLANK(A745),"""",GOOGLETRANSLATE(A745,""en"",""fr""))"),"")</f>
        <v/>
      </c>
    </row>
    <row r="746" spans="2:2">
      <c r="B746" s="3" t="str">
        <f ca="1">IFERROR(__xludf.DUMMYFUNCTION("IF(ISBLANK(A746),"""",GOOGLETRANSLATE(A746,""en"",""fr""))"),"")</f>
        <v/>
      </c>
    </row>
    <row r="747" spans="2:2">
      <c r="B747" s="3" t="str">
        <f ca="1">IFERROR(__xludf.DUMMYFUNCTION("IF(ISBLANK(A747),"""",GOOGLETRANSLATE(A747,""en"",""fr""))"),"")</f>
        <v/>
      </c>
    </row>
    <row r="748" spans="2:2">
      <c r="B748" s="3" t="str">
        <f ca="1">IFERROR(__xludf.DUMMYFUNCTION("IF(ISBLANK(A748),"""",GOOGLETRANSLATE(A748,""en"",""fr""))"),"")</f>
        <v/>
      </c>
    </row>
    <row r="749" spans="2:2">
      <c r="B749" s="3" t="str">
        <f ca="1">IFERROR(__xludf.DUMMYFUNCTION("IF(ISBLANK(A749),"""",GOOGLETRANSLATE(A749,""en"",""fr""))"),"")</f>
        <v/>
      </c>
    </row>
    <row r="750" spans="2:2">
      <c r="B750" s="3" t="str">
        <f ca="1">IFERROR(__xludf.DUMMYFUNCTION("IF(ISBLANK(A750),"""",GOOGLETRANSLATE(A750,""en"",""fr""))"),"")</f>
        <v/>
      </c>
    </row>
    <row r="751" spans="2:2">
      <c r="B751" s="3" t="str">
        <f ca="1">IFERROR(__xludf.DUMMYFUNCTION("IF(ISBLANK(A751),"""",GOOGLETRANSLATE(A751,""en"",""fr""))"),"")</f>
        <v/>
      </c>
    </row>
    <row r="752" spans="2:2">
      <c r="B752" s="3" t="str">
        <f ca="1">IFERROR(__xludf.DUMMYFUNCTION("IF(ISBLANK(A752),"""",GOOGLETRANSLATE(A752,""en"",""fr""))"),"")</f>
        <v/>
      </c>
    </row>
    <row r="753" spans="2:2">
      <c r="B753" s="3" t="str">
        <f ca="1">IFERROR(__xludf.DUMMYFUNCTION("IF(ISBLANK(A753),"""",GOOGLETRANSLATE(A753,""en"",""fr""))"),"")</f>
        <v/>
      </c>
    </row>
    <row r="754" spans="2:2">
      <c r="B754" s="3" t="str">
        <f ca="1">IFERROR(__xludf.DUMMYFUNCTION("IF(ISBLANK(A754),"""",GOOGLETRANSLATE(A754,""en"",""fr""))"),"")</f>
        <v/>
      </c>
    </row>
    <row r="755" spans="2:2">
      <c r="B755" s="3" t="str">
        <f ca="1">IFERROR(__xludf.DUMMYFUNCTION("IF(ISBLANK(A755),"""",GOOGLETRANSLATE(A755,""en"",""fr""))"),"")</f>
        <v/>
      </c>
    </row>
    <row r="756" spans="2:2">
      <c r="B756" s="3" t="str">
        <f ca="1">IFERROR(__xludf.DUMMYFUNCTION("IF(ISBLANK(A756),"""",GOOGLETRANSLATE(A756,""en"",""fr""))"),"")</f>
        <v/>
      </c>
    </row>
    <row r="757" spans="2:2">
      <c r="B757" s="3" t="str">
        <f ca="1">IFERROR(__xludf.DUMMYFUNCTION("IF(ISBLANK(A757),"""",GOOGLETRANSLATE(A757,""en"",""fr""))"),"")</f>
        <v/>
      </c>
    </row>
    <row r="758" spans="2:2">
      <c r="B758" s="3" t="str">
        <f ca="1">IFERROR(__xludf.DUMMYFUNCTION("IF(ISBLANK(A758),"""",GOOGLETRANSLATE(A758,""en"",""fr""))"),"")</f>
        <v/>
      </c>
    </row>
    <row r="759" spans="2:2">
      <c r="B759" s="3" t="str">
        <f ca="1">IFERROR(__xludf.DUMMYFUNCTION("IF(ISBLANK(A759),"""",GOOGLETRANSLATE(A759,""en"",""fr""))"),"")</f>
        <v/>
      </c>
    </row>
    <row r="760" spans="2:2">
      <c r="B760" s="3" t="str">
        <f ca="1">IFERROR(__xludf.DUMMYFUNCTION("IF(ISBLANK(A760),"""",GOOGLETRANSLATE(A760,""en"",""fr""))"),"")</f>
        <v/>
      </c>
    </row>
    <row r="761" spans="2:2">
      <c r="B761" s="3" t="str">
        <f ca="1">IFERROR(__xludf.DUMMYFUNCTION("IF(ISBLANK(A761),"""",GOOGLETRANSLATE(A761,""en"",""fr""))"),"")</f>
        <v/>
      </c>
    </row>
    <row r="762" spans="2:2">
      <c r="B762" s="3" t="str">
        <f ca="1">IFERROR(__xludf.DUMMYFUNCTION("IF(ISBLANK(A762),"""",GOOGLETRANSLATE(A762,""en"",""fr""))"),"")</f>
        <v/>
      </c>
    </row>
    <row r="763" spans="2:2">
      <c r="B763" s="3" t="str">
        <f ca="1">IFERROR(__xludf.DUMMYFUNCTION("IF(ISBLANK(A763),"""",GOOGLETRANSLATE(A763,""en"",""fr""))"),"")</f>
        <v/>
      </c>
    </row>
    <row r="764" spans="2:2">
      <c r="B764" s="3" t="str">
        <f ca="1">IFERROR(__xludf.DUMMYFUNCTION("IF(ISBLANK(A764),"""",GOOGLETRANSLATE(A764,""en"",""fr""))"),"")</f>
        <v/>
      </c>
    </row>
    <row r="765" spans="2:2">
      <c r="B765" s="3" t="str">
        <f ca="1">IFERROR(__xludf.DUMMYFUNCTION("IF(ISBLANK(A765),"""",GOOGLETRANSLATE(A765,""en"",""fr""))"),"")</f>
        <v/>
      </c>
    </row>
    <row r="766" spans="2:2">
      <c r="B766" s="3" t="str">
        <f ca="1">IFERROR(__xludf.DUMMYFUNCTION("IF(ISBLANK(A766),"""",GOOGLETRANSLATE(A766,""en"",""fr""))"),"")</f>
        <v/>
      </c>
    </row>
    <row r="767" spans="2:2">
      <c r="B767" s="3" t="str">
        <f ca="1">IFERROR(__xludf.DUMMYFUNCTION("IF(ISBLANK(A767),"""",GOOGLETRANSLATE(A767,""en"",""fr""))"),"")</f>
        <v/>
      </c>
    </row>
    <row r="768" spans="2:2">
      <c r="B768" s="3" t="str">
        <f ca="1">IFERROR(__xludf.DUMMYFUNCTION("IF(ISBLANK(A768),"""",GOOGLETRANSLATE(A768,""en"",""fr""))"),"")</f>
        <v/>
      </c>
    </row>
    <row r="769" spans="2:2">
      <c r="B769" s="3" t="str">
        <f ca="1">IFERROR(__xludf.DUMMYFUNCTION("IF(ISBLANK(A769),"""",GOOGLETRANSLATE(A769,""en"",""fr""))"),"")</f>
        <v/>
      </c>
    </row>
    <row r="770" spans="2:2">
      <c r="B770" s="3" t="str">
        <f ca="1">IFERROR(__xludf.DUMMYFUNCTION("IF(ISBLANK(A770),"""",GOOGLETRANSLATE(A770,""en"",""fr""))"),"")</f>
        <v/>
      </c>
    </row>
    <row r="771" spans="2:2">
      <c r="B771" s="3" t="str">
        <f ca="1">IFERROR(__xludf.DUMMYFUNCTION("IF(ISBLANK(A771),"""",GOOGLETRANSLATE(A771,""en"",""fr""))"),"")</f>
        <v/>
      </c>
    </row>
    <row r="772" spans="2:2">
      <c r="B772" s="3" t="str">
        <f ca="1">IFERROR(__xludf.DUMMYFUNCTION("IF(ISBLANK(A772),"""",GOOGLETRANSLATE(A772,""en"",""fr""))"),"")</f>
        <v/>
      </c>
    </row>
    <row r="773" spans="2:2">
      <c r="B773" s="3" t="str">
        <f ca="1">IFERROR(__xludf.DUMMYFUNCTION("IF(ISBLANK(A773),"""",GOOGLETRANSLATE(A773,""en"",""fr""))"),"")</f>
        <v/>
      </c>
    </row>
    <row r="774" spans="2:2">
      <c r="B774" s="3" t="str">
        <f ca="1">IFERROR(__xludf.DUMMYFUNCTION("IF(ISBLANK(A774),"""",GOOGLETRANSLATE(A774,""en"",""fr""))"),"")</f>
        <v/>
      </c>
    </row>
    <row r="775" spans="2:2">
      <c r="B775" s="3" t="str">
        <f ca="1">IFERROR(__xludf.DUMMYFUNCTION("IF(ISBLANK(A775),"""",GOOGLETRANSLATE(A775,""en"",""fr""))"),"")</f>
        <v/>
      </c>
    </row>
    <row r="776" spans="2:2">
      <c r="B776" s="3" t="str">
        <f ca="1">IFERROR(__xludf.DUMMYFUNCTION("IF(ISBLANK(A776),"""",GOOGLETRANSLATE(A776,""en"",""fr""))"),"")</f>
        <v/>
      </c>
    </row>
    <row r="777" spans="2:2">
      <c r="B777" s="3" t="str">
        <f ca="1">IFERROR(__xludf.DUMMYFUNCTION("IF(ISBLANK(A777),"""",GOOGLETRANSLATE(A777,""en"",""fr""))"),"")</f>
        <v/>
      </c>
    </row>
    <row r="778" spans="2:2">
      <c r="B778" s="3" t="str">
        <f ca="1">IFERROR(__xludf.DUMMYFUNCTION("IF(ISBLANK(A778),"""",GOOGLETRANSLATE(A778,""en"",""fr""))"),"")</f>
        <v/>
      </c>
    </row>
    <row r="779" spans="2:2">
      <c r="B779" s="3" t="str">
        <f ca="1">IFERROR(__xludf.DUMMYFUNCTION("IF(ISBLANK(A779),"""",GOOGLETRANSLATE(A779,""en"",""fr""))"),"")</f>
        <v/>
      </c>
    </row>
    <row r="780" spans="2:2">
      <c r="B780" s="3" t="str">
        <f ca="1">IFERROR(__xludf.DUMMYFUNCTION("IF(ISBLANK(A780),"""",GOOGLETRANSLATE(A780,""en"",""fr""))"),"")</f>
        <v/>
      </c>
    </row>
    <row r="781" spans="2:2">
      <c r="B781" s="3" t="str">
        <f ca="1">IFERROR(__xludf.DUMMYFUNCTION("IF(ISBLANK(A781),"""",GOOGLETRANSLATE(A781,""en"",""fr""))"),"")</f>
        <v/>
      </c>
    </row>
    <row r="782" spans="2:2">
      <c r="B782" s="3" t="str">
        <f ca="1">IFERROR(__xludf.DUMMYFUNCTION("IF(ISBLANK(A782),"""",GOOGLETRANSLATE(A782,""en"",""fr""))"),"")</f>
        <v/>
      </c>
    </row>
    <row r="783" spans="2:2">
      <c r="B783" s="3" t="str">
        <f ca="1">IFERROR(__xludf.DUMMYFUNCTION("IF(ISBLANK(A783),"""",GOOGLETRANSLATE(A783,""en"",""fr""))"),"")</f>
        <v/>
      </c>
    </row>
    <row r="784" spans="2:2">
      <c r="B784" s="3" t="str">
        <f ca="1">IFERROR(__xludf.DUMMYFUNCTION("IF(ISBLANK(A784),"""",GOOGLETRANSLATE(A784,""en"",""fr""))"),"")</f>
        <v/>
      </c>
    </row>
    <row r="785" spans="2:2">
      <c r="B785" s="3" t="str">
        <f ca="1">IFERROR(__xludf.DUMMYFUNCTION("IF(ISBLANK(A785),"""",GOOGLETRANSLATE(A785,""en"",""fr""))"),"")</f>
        <v/>
      </c>
    </row>
    <row r="786" spans="2:2">
      <c r="B786" s="3" t="str">
        <f ca="1">IFERROR(__xludf.DUMMYFUNCTION("IF(ISBLANK(A786),"""",GOOGLETRANSLATE(A786,""en"",""fr""))"),"")</f>
        <v/>
      </c>
    </row>
    <row r="787" spans="2:2">
      <c r="B787" s="3" t="str">
        <f ca="1">IFERROR(__xludf.DUMMYFUNCTION("IF(ISBLANK(A787),"""",GOOGLETRANSLATE(A787,""en"",""fr""))"),"")</f>
        <v/>
      </c>
    </row>
    <row r="788" spans="2:2">
      <c r="B788" s="3" t="str">
        <f ca="1">IFERROR(__xludf.DUMMYFUNCTION("IF(ISBLANK(A788),"""",GOOGLETRANSLATE(A788,""en"",""fr""))"),"")</f>
        <v/>
      </c>
    </row>
    <row r="789" spans="2:2">
      <c r="B789" s="3" t="str">
        <f ca="1">IFERROR(__xludf.DUMMYFUNCTION("IF(ISBLANK(A789),"""",GOOGLETRANSLATE(A789,""en"",""fr""))"),"")</f>
        <v/>
      </c>
    </row>
    <row r="790" spans="2:2">
      <c r="B790" s="3" t="str">
        <f ca="1">IFERROR(__xludf.DUMMYFUNCTION("IF(ISBLANK(A790),"""",GOOGLETRANSLATE(A790,""en"",""fr""))"),"")</f>
        <v/>
      </c>
    </row>
    <row r="791" spans="2:2">
      <c r="B791" s="3" t="str">
        <f ca="1">IFERROR(__xludf.DUMMYFUNCTION("IF(ISBLANK(A791),"""",GOOGLETRANSLATE(A791,""en"",""fr""))"),"")</f>
        <v/>
      </c>
    </row>
    <row r="792" spans="2:2">
      <c r="B792" s="3" t="str">
        <f ca="1">IFERROR(__xludf.DUMMYFUNCTION("IF(ISBLANK(A792),"""",GOOGLETRANSLATE(A792,""en"",""fr""))"),"")</f>
        <v/>
      </c>
    </row>
    <row r="793" spans="2:2">
      <c r="B793" s="3" t="str">
        <f ca="1">IFERROR(__xludf.DUMMYFUNCTION("IF(ISBLANK(A793),"""",GOOGLETRANSLATE(A793,""en"",""fr""))"),"")</f>
        <v/>
      </c>
    </row>
    <row r="794" spans="2:2">
      <c r="B794" s="3" t="str">
        <f ca="1">IFERROR(__xludf.DUMMYFUNCTION("IF(ISBLANK(A794),"""",GOOGLETRANSLATE(A794,""en"",""fr""))"),"")</f>
        <v/>
      </c>
    </row>
    <row r="795" spans="2:2">
      <c r="B795" s="3" t="str">
        <f ca="1">IFERROR(__xludf.DUMMYFUNCTION("IF(ISBLANK(A795),"""",GOOGLETRANSLATE(A795,""en"",""fr""))"),"")</f>
        <v/>
      </c>
    </row>
    <row r="796" spans="2:2">
      <c r="B796" s="3" t="str">
        <f ca="1">IFERROR(__xludf.DUMMYFUNCTION("IF(ISBLANK(A796),"""",GOOGLETRANSLATE(A796,""en"",""fr""))"),"")</f>
        <v/>
      </c>
    </row>
    <row r="797" spans="2:2">
      <c r="B797" s="3" t="str">
        <f ca="1">IFERROR(__xludf.DUMMYFUNCTION("IF(ISBLANK(A797),"""",GOOGLETRANSLATE(A797,""en"",""fr""))"),"")</f>
        <v/>
      </c>
    </row>
    <row r="798" spans="2:2">
      <c r="B798" s="3" t="str">
        <f ca="1">IFERROR(__xludf.DUMMYFUNCTION("IF(ISBLANK(A798),"""",GOOGLETRANSLATE(A798,""en"",""fr""))"),"")</f>
        <v/>
      </c>
    </row>
    <row r="799" spans="2:2">
      <c r="B799" s="3" t="str">
        <f ca="1">IFERROR(__xludf.DUMMYFUNCTION("IF(ISBLANK(A799),"""",GOOGLETRANSLATE(A799,""en"",""fr""))"),"")</f>
        <v/>
      </c>
    </row>
    <row r="800" spans="2:2">
      <c r="B800" s="3" t="str">
        <f ca="1">IFERROR(__xludf.DUMMYFUNCTION("IF(ISBLANK(A800),"""",GOOGLETRANSLATE(A800,""en"",""fr""))"),"")</f>
        <v/>
      </c>
    </row>
    <row r="801" spans="2:2">
      <c r="B801" s="3" t="str">
        <f ca="1">IFERROR(__xludf.DUMMYFUNCTION("IF(ISBLANK(A801),"""",GOOGLETRANSLATE(A801,""en"",""fr""))"),"")</f>
        <v/>
      </c>
    </row>
    <row r="802" spans="2:2">
      <c r="B802" s="3" t="str">
        <f ca="1">IFERROR(__xludf.DUMMYFUNCTION("IF(ISBLANK(A802),"""",GOOGLETRANSLATE(A802,""en"",""fr""))"),"")</f>
        <v/>
      </c>
    </row>
    <row r="803" spans="2:2">
      <c r="B803" s="3" t="str">
        <f ca="1">IFERROR(__xludf.DUMMYFUNCTION("IF(ISBLANK(A803),"""",GOOGLETRANSLATE(A803,""en"",""fr""))"),"")</f>
        <v/>
      </c>
    </row>
    <row r="804" spans="2:2">
      <c r="B804" s="3" t="str">
        <f ca="1">IFERROR(__xludf.DUMMYFUNCTION("IF(ISBLANK(A804),"""",GOOGLETRANSLATE(A804,""en"",""fr""))"),"")</f>
        <v/>
      </c>
    </row>
    <row r="805" spans="2:2">
      <c r="B805" s="3" t="str">
        <f ca="1">IFERROR(__xludf.DUMMYFUNCTION("IF(ISBLANK(A805),"""",GOOGLETRANSLATE(A805,""en"",""fr""))"),"")</f>
        <v/>
      </c>
    </row>
    <row r="806" spans="2:2">
      <c r="B806" s="3" t="str">
        <f ca="1">IFERROR(__xludf.DUMMYFUNCTION("IF(ISBLANK(A806),"""",GOOGLETRANSLATE(A806,""en"",""fr""))"),"")</f>
        <v/>
      </c>
    </row>
    <row r="807" spans="2:2">
      <c r="B807" s="3" t="str">
        <f ca="1">IFERROR(__xludf.DUMMYFUNCTION("IF(ISBLANK(A807),"""",GOOGLETRANSLATE(A807,""en"",""fr""))"),"")</f>
        <v/>
      </c>
    </row>
    <row r="808" spans="2:2">
      <c r="B808" s="3" t="str">
        <f ca="1">IFERROR(__xludf.DUMMYFUNCTION("IF(ISBLANK(A808),"""",GOOGLETRANSLATE(A808,""en"",""fr""))"),"")</f>
        <v/>
      </c>
    </row>
    <row r="809" spans="2:2">
      <c r="B809" s="3" t="str">
        <f ca="1">IFERROR(__xludf.DUMMYFUNCTION("IF(ISBLANK(A809),"""",GOOGLETRANSLATE(A809,""en"",""fr""))"),"")</f>
        <v/>
      </c>
    </row>
    <row r="810" spans="2:2">
      <c r="B810" s="3" t="str">
        <f ca="1">IFERROR(__xludf.DUMMYFUNCTION("IF(ISBLANK(A810),"""",GOOGLETRANSLATE(A810,""en"",""fr""))"),"")</f>
        <v/>
      </c>
    </row>
    <row r="811" spans="2:2">
      <c r="B811" s="3" t="str">
        <f ca="1">IFERROR(__xludf.DUMMYFUNCTION("IF(ISBLANK(A811),"""",GOOGLETRANSLATE(A811,""en"",""fr""))"),"")</f>
        <v/>
      </c>
    </row>
    <row r="812" spans="2:2">
      <c r="B812" s="3" t="str">
        <f ca="1">IFERROR(__xludf.DUMMYFUNCTION("IF(ISBLANK(A812),"""",GOOGLETRANSLATE(A812,""en"",""fr""))"),"")</f>
        <v/>
      </c>
    </row>
    <row r="813" spans="2:2">
      <c r="B813" s="3" t="str">
        <f ca="1">IFERROR(__xludf.DUMMYFUNCTION("IF(ISBLANK(A813),"""",GOOGLETRANSLATE(A813,""en"",""fr""))"),"")</f>
        <v/>
      </c>
    </row>
    <row r="814" spans="2:2">
      <c r="B814" s="3" t="str">
        <f ca="1">IFERROR(__xludf.DUMMYFUNCTION("IF(ISBLANK(A814),"""",GOOGLETRANSLATE(A814,""en"",""fr""))"),"")</f>
        <v/>
      </c>
    </row>
    <row r="815" spans="2:2">
      <c r="B815" s="3" t="str">
        <f ca="1">IFERROR(__xludf.DUMMYFUNCTION("IF(ISBLANK(A815),"""",GOOGLETRANSLATE(A815,""en"",""fr""))"),"")</f>
        <v/>
      </c>
    </row>
    <row r="816" spans="2:2">
      <c r="B816" s="3" t="str">
        <f ca="1">IFERROR(__xludf.DUMMYFUNCTION("IF(ISBLANK(A816),"""",GOOGLETRANSLATE(A816,""en"",""fr""))"),"")</f>
        <v/>
      </c>
    </row>
    <row r="817" spans="2:2">
      <c r="B817" s="3" t="str">
        <f ca="1">IFERROR(__xludf.DUMMYFUNCTION("IF(ISBLANK(A817),"""",GOOGLETRANSLATE(A817,""en"",""fr""))"),"")</f>
        <v/>
      </c>
    </row>
    <row r="818" spans="2:2">
      <c r="B818" s="3" t="str">
        <f ca="1">IFERROR(__xludf.DUMMYFUNCTION("IF(ISBLANK(A818),"""",GOOGLETRANSLATE(A818,""en"",""fr""))"),"")</f>
        <v/>
      </c>
    </row>
    <row r="819" spans="2:2">
      <c r="B819" s="3" t="str">
        <f ca="1">IFERROR(__xludf.DUMMYFUNCTION("IF(ISBLANK(A819),"""",GOOGLETRANSLATE(A819,""en"",""fr""))"),"")</f>
        <v/>
      </c>
    </row>
    <row r="820" spans="2:2">
      <c r="B820" s="3" t="str">
        <f ca="1">IFERROR(__xludf.DUMMYFUNCTION("IF(ISBLANK(A820),"""",GOOGLETRANSLATE(A820,""en"",""fr""))"),"")</f>
        <v/>
      </c>
    </row>
    <row r="821" spans="2:2">
      <c r="B821" s="3" t="str">
        <f ca="1">IFERROR(__xludf.DUMMYFUNCTION("IF(ISBLANK(A821),"""",GOOGLETRANSLATE(A821,""en"",""fr""))"),"")</f>
        <v/>
      </c>
    </row>
    <row r="822" spans="2:2">
      <c r="B822" s="3" t="str">
        <f ca="1">IFERROR(__xludf.DUMMYFUNCTION("IF(ISBLANK(A822),"""",GOOGLETRANSLATE(A822,""en"",""fr""))"),"")</f>
        <v/>
      </c>
    </row>
    <row r="823" spans="2:2">
      <c r="B823" s="3" t="str">
        <f ca="1">IFERROR(__xludf.DUMMYFUNCTION("IF(ISBLANK(A823),"""",GOOGLETRANSLATE(A823,""en"",""fr""))"),"")</f>
        <v/>
      </c>
    </row>
    <row r="824" spans="2:2">
      <c r="B824" s="3" t="str">
        <f ca="1">IFERROR(__xludf.DUMMYFUNCTION("IF(ISBLANK(A824),"""",GOOGLETRANSLATE(A824,""en"",""fr""))"),"")</f>
        <v/>
      </c>
    </row>
    <row r="825" spans="2:2">
      <c r="B825" s="3" t="str">
        <f ca="1">IFERROR(__xludf.DUMMYFUNCTION("IF(ISBLANK(A825),"""",GOOGLETRANSLATE(A825,""en"",""fr""))"),"")</f>
        <v/>
      </c>
    </row>
    <row r="826" spans="2:2">
      <c r="B826" s="3" t="str">
        <f ca="1">IFERROR(__xludf.DUMMYFUNCTION("IF(ISBLANK(A826),"""",GOOGLETRANSLATE(A826,""en"",""fr""))"),"")</f>
        <v/>
      </c>
    </row>
    <row r="827" spans="2:2">
      <c r="B827" s="3" t="str">
        <f ca="1">IFERROR(__xludf.DUMMYFUNCTION("IF(ISBLANK(A827),"""",GOOGLETRANSLATE(A827,""en"",""fr""))"),"")</f>
        <v/>
      </c>
    </row>
    <row r="828" spans="2:2">
      <c r="B828" s="3" t="str">
        <f ca="1">IFERROR(__xludf.DUMMYFUNCTION("IF(ISBLANK(A828),"""",GOOGLETRANSLATE(A828,""en"",""fr""))"),"")</f>
        <v/>
      </c>
    </row>
    <row r="829" spans="2:2">
      <c r="B829" s="3" t="str">
        <f ca="1">IFERROR(__xludf.DUMMYFUNCTION("IF(ISBLANK(A829),"""",GOOGLETRANSLATE(A829,""en"",""fr""))"),"")</f>
        <v/>
      </c>
    </row>
    <row r="830" spans="2:2">
      <c r="B830" s="3" t="str">
        <f ca="1">IFERROR(__xludf.DUMMYFUNCTION("IF(ISBLANK(A830),"""",GOOGLETRANSLATE(A830,""en"",""fr""))"),"")</f>
        <v/>
      </c>
    </row>
    <row r="831" spans="2:2">
      <c r="B831" s="3" t="str">
        <f ca="1">IFERROR(__xludf.DUMMYFUNCTION("IF(ISBLANK(A831),"""",GOOGLETRANSLATE(A831,""en"",""fr""))"),"")</f>
        <v/>
      </c>
    </row>
    <row r="832" spans="2:2">
      <c r="B832" s="3" t="str">
        <f ca="1">IFERROR(__xludf.DUMMYFUNCTION("IF(ISBLANK(A832),"""",GOOGLETRANSLATE(A832,""en"",""fr""))"),"")</f>
        <v/>
      </c>
    </row>
    <row r="833" spans="2:2">
      <c r="B833" s="3" t="str">
        <f ca="1">IFERROR(__xludf.DUMMYFUNCTION("IF(ISBLANK(A833),"""",GOOGLETRANSLATE(A833,""en"",""fr""))"),"")</f>
        <v/>
      </c>
    </row>
    <row r="834" spans="2:2">
      <c r="B834" s="3" t="str">
        <f ca="1">IFERROR(__xludf.DUMMYFUNCTION("IF(ISBLANK(A834),"""",GOOGLETRANSLATE(A834,""en"",""fr""))"),"")</f>
        <v/>
      </c>
    </row>
    <row r="835" spans="2:2">
      <c r="B835" s="3" t="str">
        <f ca="1">IFERROR(__xludf.DUMMYFUNCTION("IF(ISBLANK(A835),"""",GOOGLETRANSLATE(A835,""en"",""fr""))"),"")</f>
        <v/>
      </c>
    </row>
    <row r="836" spans="2:2">
      <c r="B836" s="3" t="str">
        <f ca="1">IFERROR(__xludf.DUMMYFUNCTION("IF(ISBLANK(A836),"""",GOOGLETRANSLATE(A836,""en"",""fr""))"),"")</f>
        <v/>
      </c>
    </row>
    <row r="837" spans="2:2">
      <c r="B837" s="3" t="str">
        <f ca="1">IFERROR(__xludf.DUMMYFUNCTION("IF(ISBLANK(A837),"""",GOOGLETRANSLATE(A837,""en"",""fr""))"),"")</f>
        <v/>
      </c>
    </row>
    <row r="838" spans="2:2">
      <c r="B838" s="3" t="str">
        <f ca="1">IFERROR(__xludf.DUMMYFUNCTION("IF(ISBLANK(A838),"""",GOOGLETRANSLATE(A838,""en"",""fr""))"),"")</f>
        <v/>
      </c>
    </row>
    <row r="839" spans="2:2">
      <c r="B839" s="3" t="str">
        <f ca="1">IFERROR(__xludf.DUMMYFUNCTION("IF(ISBLANK(A839),"""",GOOGLETRANSLATE(A839,""en"",""fr""))"),"")</f>
        <v/>
      </c>
    </row>
    <row r="840" spans="2:2">
      <c r="B840" s="3" t="str">
        <f ca="1">IFERROR(__xludf.DUMMYFUNCTION("IF(ISBLANK(A840),"""",GOOGLETRANSLATE(A840,""en"",""fr""))"),"")</f>
        <v/>
      </c>
    </row>
    <row r="841" spans="2:2">
      <c r="B841" s="3" t="str">
        <f ca="1">IFERROR(__xludf.DUMMYFUNCTION("IF(ISBLANK(A841),"""",GOOGLETRANSLATE(A841,""en"",""fr""))"),"")</f>
        <v/>
      </c>
    </row>
    <row r="842" spans="2:2">
      <c r="B842" s="3" t="str">
        <f ca="1">IFERROR(__xludf.DUMMYFUNCTION("IF(ISBLANK(A842),"""",GOOGLETRANSLATE(A842,""en"",""fr""))"),"")</f>
        <v/>
      </c>
    </row>
    <row r="843" spans="2:2">
      <c r="B843" s="3" t="str">
        <f ca="1">IFERROR(__xludf.DUMMYFUNCTION("IF(ISBLANK(A843),"""",GOOGLETRANSLATE(A843,""en"",""fr""))"),"")</f>
        <v/>
      </c>
    </row>
    <row r="844" spans="2:2">
      <c r="B844" s="3" t="str">
        <f ca="1">IFERROR(__xludf.DUMMYFUNCTION("IF(ISBLANK(A844),"""",GOOGLETRANSLATE(A844,""en"",""fr""))"),"")</f>
        <v/>
      </c>
    </row>
    <row r="845" spans="2:2">
      <c r="B845" s="3" t="str">
        <f ca="1">IFERROR(__xludf.DUMMYFUNCTION("IF(ISBLANK(A845),"""",GOOGLETRANSLATE(A845,""en"",""fr""))"),"")</f>
        <v/>
      </c>
    </row>
    <row r="846" spans="2:2">
      <c r="B846" s="3" t="str">
        <f ca="1">IFERROR(__xludf.DUMMYFUNCTION("IF(ISBLANK(A846),"""",GOOGLETRANSLATE(A846,""en"",""fr""))"),"")</f>
        <v/>
      </c>
    </row>
    <row r="847" spans="2:2">
      <c r="B847" s="3" t="str">
        <f ca="1">IFERROR(__xludf.DUMMYFUNCTION("IF(ISBLANK(A847),"""",GOOGLETRANSLATE(A847,""en"",""fr""))"),"")</f>
        <v/>
      </c>
    </row>
    <row r="848" spans="2:2">
      <c r="B848" s="3" t="str">
        <f ca="1">IFERROR(__xludf.DUMMYFUNCTION("IF(ISBLANK(A848),"""",GOOGLETRANSLATE(A848,""en"",""fr""))"),"")</f>
        <v/>
      </c>
    </row>
    <row r="849" spans="2:2">
      <c r="B849" s="3" t="str">
        <f ca="1">IFERROR(__xludf.DUMMYFUNCTION("IF(ISBLANK(A849),"""",GOOGLETRANSLATE(A849,""en"",""fr""))"),"")</f>
        <v/>
      </c>
    </row>
    <row r="850" spans="2:2">
      <c r="B850" s="3" t="str">
        <f ca="1">IFERROR(__xludf.DUMMYFUNCTION("IF(ISBLANK(A850),"""",GOOGLETRANSLATE(A850,""en"",""fr""))"),"")</f>
        <v/>
      </c>
    </row>
    <row r="851" spans="2:2">
      <c r="B851" s="3" t="str">
        <f ca="1">IFERROR(__xludf.DUMMYFUNCTION("IF(ISBLANK(A851),"""",GOOGLETRANSLATE(A851,""en"",""fr""))"),"")</f>
        <v/>
      </c>
    </row>
    <row r="852" spans="2:2">
      <c r="B852" s="3" t="str">
        <f ca="1">IFERROR(__xludf.DUMMYFUNCTION("IF(ISBLANK(A852),"""",GOOGLETRANSLATE(A852,""en"",""fr""))"),"")</f>
        <v/>
      </c>
    </row>
    <row r="853" spans="2:2">
      <c r="B853" s="3" t="str">
        <f ca="1">IFERROR(__xludf.DUMMYFUNCTION("IF(ISBLANK(A853),"""",GOOGLETRANSLATE(A853,""en"",""fr""))"),"")</f>
        <v/>
      </c>
    </row>
    <row r="854" spans="2:2">
      <c r="B854" s="3" t="str">
        <f ca="1">IFERROR(__xludf.DUMMYFUNCTION("IF(ISBLANK(A854),"""",GOOGLETRANSLATE(A854,""en"",""fr""))"),"")</f>
        <v/>
      </c>
    </row>
    <row r="855" spans="2:2">
      <c r="B855" s="3" t="str">
        <f ca="1">IFERROR(__xludf.DUMMYFUNCTION("IF(ISBLANK(A855),"""",GOOGLETRANSLATE(A855,""en"",""fr""))"),"")</f>
        <v/>
      </c>
    </row>
    <row r="856" spans="2:2">
      <c r="B856" s="3" t="str">
        <f ca="1">IFERROR(__xludf.DUMMYFUNCTION("IF(ISBLANK(A856),"""",GOOGLETRANSLATE(A856,""en"",""fr""))"),"")</f>
        <v/>
      </c>
    </row>
    <row r="857" spans="2:2">
      <c r="B857" s="3" t="str">
        <f ca="1">IFERROR(__xludf.DUMMYFUNCTION("IF(ISBLANK(A857),"""",GOOGLETRANSLATE(A857,""en"",""fr""))"),"")</f>
        <v/>
      </c>
    </row>
    <row r="858" spans="2:2">
      <c r="B858" s="3" t="str">
        <f ca="1">IFERROR(__xludf.DUMMYFUNCTION("IF(ISBLANK(A858),"""",GOOGLETRANSLATE(A858,""en"",""fr""))"),"")</f>
        <v/>
      </c>
    </row>
    <row r="859" spans="2:2">
      <c r="B859" s="3" t="str">
        <f ca="1">IFERROR(__xludf.DUMMYFUNCTION("IF(ISBLANK(A859),"""",GOOGLETRANSLATE(A859,""en"",""fr""))"),"")</f>
        <v/>
      </c>
    </row>
    <row r="860" spans="2:2">
      <c r="B860" s="3" t="str">
        <f ca="1">IFERROR(__xludf.DUMMYFUNCTION("IF(ISBLANK(A860),"""",GOOGLETRANSLATE(A860,""en"",""fr""))"),"")</f>
        <v/>
      </c>
    </row>
    <row r="861" spans="2:2">
      <c r="B861" s="3" t="str">
        <f ca="1">IFERROR(__xludf.DUMMYFUNCTION("IF(ISBLANK(A861),"""",GOOGLETRANSLATE(A861,""en"",""fr""))"),"")</f>
        <v/>
      </c>
    </row>
    <row r="862" spans="2:2">
      <c r="B862" s="3" t="str">
        <f ca="1">IFERROR(__xludf.DUMMYFUNCTION("IF(ISBLANK(A862),"""",GOOGLETRANSLATE(A862,""en"",""fr""))"),"")</f>
        <v/>
      </c>
    </row>
    <row r="863" spans="2:2">
      <c r="B863" s="3" t="str">
        <f ca="1">IFERROR(__xludf.DUMMYFUNCTION("IF(ISBLANK(A863),"""",GOOGLETRANSLATE(A863,""en"",""fr""))"),"")</f>
        <v/>
      </c>
    </row>
    <row r="864" spans="2:2">
      <c r="B864" s="3" t="str">
        <f ca="1">IFERROR(__xludf.DUMMYFUNCTION("IF(ISBLANK(A864),"""",GOOGLETRANSLATE(A864,""en"",""fr""))"),"")</f>
        <v/>
      </c>
    </row>
    <row r="865" spans="2:2">
      <c r="B865" s="3" t="str">
        <f ca="1">IFERROR(__xludf.DUMMYFUNCTION("IF(ISBLANK(A865),"""",GOOGLETRANSLATE(A865,""en"",""fr""))"),"")</f>
        <v/>
      </c>
    </row>
    <row r="866" spans="2:2">
      <c r="B866" s="3" t="str">
        <f ca="1">IFERROR(__xludf.DUMMYFUNCTION("IF(ISBLANK(A866),"""",GOOGLETRANSLATE(A866,""en"",""fr""))"),"")</f>
        <v/>
      </c>
    </row>
    <row r="867" spans="2:2">
      <c r="B867" s="3" t="str">
        <f ca="1">IFERROR(__xludf.DUMMYFUNCTION("IF(ISBLANK(A867),"""",GOOGLETRANSLATE(A867,""en"",""fr""))"),"")</f>
        <v/>
      </c>
    </row>
    <row r="868" spans="2:2">
      <c r="B868" s="3" t="str">
        <f ca="1">IFERROR(__xludf.DUMMYFUNCTION("IF(ISBLANK(A868),"""",GOOGLETRANSLATE(A868,""en"",""fr""))"),"")</f>
        <v/>
      </c>
    </row>
    <row r="869" spans="2:2">
      <c r="B869" s="3" t="str">
        <f ca="1">IFERROR(__xludf.DUMMYFUNCTION("IF(ISBLANK(A869),"""",GOOGLETRANSLATE(A869,""en"",""fr""))"),"")</f>
        <v/>
      </c>
    </row>
    <row r="870" spans="2:2">
      <c r="B870" s="3" t="str">
        <f ca="1">IFERROR(__xludf.DUMMYFUNCTION("IF(ISBLANK(A870),"""",GOOGLETRANSLATE(A870,""en"",""fr""))"),"")</f>
        <v/>
      </c>
    </row>
    <row r="871" spans="2:2">
      <c r="B871" s="3" t="str">
        <f ca="1">IFERROR(__xludf.DUMMYFUNCTION("IF(ISBLANK(A871),"""",GOOGLETRANSLATE(A871,""en"",""fr""))"),"")</f>
        <v/>
      </c>
    </row>
    <row r="872" spans="2:2">
      <c r="B872" s="3" t="str">
        <f ca="1">IFERROR(__xludf.DUMMYFUNCTION("IF(ISBLANK(A872),"""",GOOGLETRANSLATE(A872,""en"",""fr""))"),"")</f>
        <v/>
      </c>
    </row>
    <row r="873" spans="2:2">
      <c r="B873" s="3" t="str">
        <f ca="1">IFERROR(__xludf.DUMMYFUNCTION("IF(ISBLANK(A873),"""",GOOGLETRANSLATE(A873,""en"",""fr""))"),"")</f>
        <v/>
      </c>
    </row>
    <row r="874" spans="2:2">
      <c r="B874" s="3" t="str">
        <f ca="1">IFERROR(__xludf.DUMMYFUNCTION("IF(ISBLANK(A874),"""",GOOGLETRANSLATE(A874,""en"",""fr""))"),"")</f>
        <v/>
      </c>
    </row>
    <row r="875" spans="2:2">
      <c r="B875" s="3" t="str">
        <f ca="1">IFERROR(__xludf.DUMMYFUNCTION("IF(ISBLANK(A875),"""",GOOGLETRANSLATE(A875,""en"",""fr""))"),"")</f>
        <v/>
      </c>
    </row>
    <row r="876" spans="2:2">
      <c r="B876" s="3" t="str">
        <f ca="1">IFERROR(__xludf.DUMMYFUNCTION("IF(ISBLANK(A876),"""",GOOGLETRANSLATE(A876,""en"",""fr""))"),"")</f>
        <v/>
      </c>
    </row>
    <row r="877" spans="2:2">
      <c r="B877" s="3" t="str">
        <f ca="1">IFERROR(__xludf.DUMMYFUNCTION("IF(ISBLANK(A877),"""",GOOGLETRANSLATE(A877,""en"",""fr""))"),"")</f>
        <v/>
      </c>
    </row>
    <row r="878" spans="2:2">
      <c r="B878" s="3" t="str">
        <f ca="1">IFERROR(__xludf.DUMMYFUNCTION("IF(ISBLANK(A878),"""",GOOGLETRANSLATE(A878,""en"",""fr""))"),"")</f>
        <v/>
      </c>
    </row>
    <row r="879" spans="2:2">
      <c r="B879" s="3" t="str">
        <f ca="1">IFERROR(__xludf.DUMMYFUNCTION("IF(ISBLANK(A879),"""",GOOGLETRANSLATE(A879,""en"",""fr""))"),"")</f>
        <v/>
      </c>
    </row>
    <row r="880" spans="2:2">
      <c r="B880" s="3" t="str">
        <f ca="1">IFERROR(__xludf.DUMMYFUNCTION("IF(ISBLANK(A880),"""",GOOGLETRANSLATE(A880,""en"",""fr""))"),"")</f>
        <v/>
      </c>
    </row>
    <row r="881" spans="2:2">
      <c r="B881" s="3" t="str">
        <f ca="1">IFERROR(__xludf.DUMMYFUNCTION("IF(ISBLANK(A881),"""",GOOGLETRANSLATE(A881,""en"",""fr""))"),"")</f>
        <v/>
      </c>
    </row>
    <row r="882" spans="2:2">
      <c r="B882" s="3" t="str">
        <f ca="1">IFERROR(__xludf.DUMMYFUNCTION("IF(ISBLANK(A882),"""",GOOGLETRANSLATE(A882,""en"",""fr""))"),"")</f>
        <v/>
      </c>
    </row>
    <row r="883" spans="2:2">
      <c r="B883" s="3" t="str">
        <f ca="1">IFERROR(__xludf.DUMMYFUNCTION("IF(ISBLANK(A883),"""",GOOGLETRANSLATE(A883,""en"",""fr""))"),"")</f>
        <v/>
      </c>
    </row>
    <row r="884" spans="2:2">
      <c r="B884" s="3" t="str">
        <f ca="1">IFERROR(__xludf.DUMMYFUNCTION("IF(ISBLANK(A884),"""",GOOGLETRANSLATE(A884,""en"",""fr""))"),"")</f>
        <v/>
      </c>
    </row>
    <row r="885" spans="2:2">
      <c r="B885" s="3" t="str">
        <f ca="1">IFERROR(__xludf.DUMMYFUNCTION("IF(ISBLANK(A885),"""",GOOGLETRANSLATE(A885,""en"",""fr""))"),"")</f>
        <v/>
      </c>
    </row>
    <row r="886" spans="2:2">
      <c r="B886" s="3" t="str">
        <f ca="1">IFERROR(__xludf.DUMMYFUNCTION("IF(ISBLANK(A886),"""",GOOGLETRANSLATE(A886,""en"",""fr""))"),"")</f>
        <v/>
      </c>
    </row>
    <row r="887" spans="2:2">
      <c r="B887" s="3" t="str">
        <f ca="1">IFERROR(__xludf.DUMMYFUNCTION("IF(ISBLANK(A887),"""",GOOGLETRANSLATE(A887,""en"",""fr""))"),"")</f>
        <v/>
      </c>
    </row>
    <row r="888" spans="2:2">
      <c r="B888" s="3" t="str">
        <f ca="1">IFERROR(__xludf.DUMMYFUNCTION("IF(ISBLANK(A888),"""",GOOGLETRANSLATE(A888,""en"",""fr""))"),"")</f>
        <v/>
      </c>
    </row>
    <row r="889" spans="2:2">
      <c r="B889" s="3" t="str">
        <f ca="1">IFERROR(__xludf.DUMMYFUNCTION("IF(ISBLANK(A889),"""",GOOGLETRANSLATE(A889,""en"",""fr""))"),"")</f>
        <v/>
      </c>
    </row>
    <row r="890" spans="2:2">
      <c r="B890" s="3" t="str">
        <f ca="1">IFERROR(__xludf.DUMMYFUNCTION("IF(ISBLANK(A890),"""",GOOGLETRANSLATE(A890,""en"",""fr""))"),"")</f>
        <v/>
      </c>
    </row>
    <row r="891" spans="2:2">
      <c r="B891" s="3" t="str">
        <f ca="1">IFERROR(__xludf.DUMMYFUNCTION("IF(ISBLANK(A891),"""",GOOGLETRANSLATE(A891,""en"",""fr""))"),"")</f>
        <v/>
      </c>
    </row>
    <row r="892" spans="2:2">
      <c r="B892" s="3" t="str">
        <f ca="1">IFERROR(__xludf.DUMMYFUNCTION("IF(ISBLANK(A892),"""",GOOGLETRANSLATE(A892,""en"",""fr""))"),"")</f>
        <v/>
      </c>
    </row>
    <row r="893" spans="2:2">
      <c r="B893" s="3" t="str">
        <f ca="1">IFERROR(__xludf.DUMMYFUNCTION("IF(ISBLANK(A893),"""",GOOGLETRANSLATE(A893,""en"",""fr""))"),"")</f>
        <v/>
      </c>
    </row>
    <row r="894" spans="2:2">
      <c r="B894" s="3" t="str">
        <f ca="1">IFERROR(__xludf.DUMMYFUNCTION("IF(ISBLANK(A894),"""",GOOGLETRANSLATE(A894,""en"",""fr""))"),"")</f>
        <v/>
      </c>
    </row>
    <row r="895" spans="2:2">
      <c r="B895" s="3" t="str">
        <f ca="1">IFERROR(__xludf.DUMMYFUNCTION("IF(ISBLANK(A895),"""",GOOGLETRANSLATE(A895,""en"",""fr""))"),"")</f>
        <v/>
      </c>
    </row>
    <row r="896" spans="2:2">
      <c r="B896" s="3" t="str">
        <f ca="1">IFERROR(__xludf.DUMMYFUNCTION("IF(ISBLANK(A896),"""",GOOGLETRANSLATE(A896,""en"",""fr""))"),"")</f>
        <v/>
      </c>
    </row>
    <row r="897" spans="2:2">
      <c r="B897" s="3" t="str">
        <f ca="1">IFERROR(__xludf.DUMMYFUNCTION("IF(ISBLANK(A897),"""",GOOGLETRANSLATE(A897,""en"",""fr""))"),"")</f>
        <v/>
      </c>
    </row>
    <row r="898" spans="2:2">
      <c r="B898" s="3" t="str">
        <f ca="1">IFERROR(__xludf.DUMMYFUNCTION("IF(ISBLANK(A898),"""",GOOGLETRANSLATE(A898,""en"",""fr""))"),"")</f>
        <v/>
      </c>
    </row>
    <row r="899" spans="2:2">
      <c r="B899" s="3" t="str">
        <f ca="1">IFERROR(__xludf.DUMMYFUNCTION("IF(ISBLANK(A899),"""",GOOGLETRANSLATE(A899,""en"",""fr""))"),"")</f>
        <v/>
      </c>
    </row>
    <row r="900" spans="2:2">
      <c r="B900" s="3" t="str">
        <f ca="1">IFERROR(__xludf.DUMMYFUNCTION("IF(ISBLANK(A900),"""",GOOGLETRANSLATE(A900,""en"",""fr""))"),"")</f>
        <v/>
      </c>
    </row>
    <row r="901" spans="2:2">
      <c r="B901" s="3" t="str">
        <f ca="1">IFERROR(__xludf.DUMMYFUNCTION("IF(ISBLANK(A901),"""",GOOGLETRANSLATE(A901,""en"",""fr""))"),"")</f>
        <v/>
      </c>
    </row>
    <row r="902" spans="2:2">
      <c r="B902" s="3" t="str">
        <f ca="1">IFERROR(__xludf.DUMMYFUNCTION("IF(ISBLANK(A902),"""",GOOGLETRANSLATE(A902,""en"",""fr""))"),"")</f>
        <v/>
      </c>
    </row>
    <row r="903" spans="2:2">
      <c r="B903" s="3" t="str">
        <f ca="1">IFERROR(__xludf.DUMMYFUNCTION("IF(ISBLANK(A903),"""",GOOGLETRANSLATE(A903,""en"",""fr""))"),"")</f>
        <v/>
      </c>
    </row>
    <row r="904" spans="2:2">
      <c r="B904" s="3" t="str">
        <f ca="1">IFERROR(__xludf.DUMMYFUNCTION("IF(ISBLANK(A904),"""",GOOGLETRANSLATE(A904,""en"",""fr""))"),"")</f>
        <v/>
      </c>
    </row>
    <row r="905" spans="2:2">
      <c r="B905" s="3" t="str">
        <f ca="1">IFERROR(__xludf.DUMMYFUNCTION("IF(ISBLANK(A905),"""",GOOGLETRANSLATE(A905,""en"",""fr""))"),"")</f>
        <v/>
      </c>
    </row>
    <row r="906" spans="2:2">
      <c r="B906" s="3" t="str">
        <f ca="1">IFERROR(__xludf.DUMMYFUNCTION("IF(ISBLANK(A906),"""",GOOGLETRANSLATE(A906,""en"",""fr""))"),"")</f>
        <v/>
      </c>
    </row>
    <row r="907" spans="2:2">
      <c r="B907" s="3" t="str">
        <f ca="1">IFERROR(__xludf.DUMMYFUNCTION("IF(ISBLANK(A907),"""",GOOGLETRANSLATE(A907,""en"",""fr""))"),"")</f>
        <v/>
      </c>
    </row>
    <row r="908" spans="2:2">
      <c r="B908" s="3" t="str">
        <f ca="1">IFERROR(__xludf.DUMMYFUNCTION("IF(ISBLANK(A908),"""",GOOGLETRANSLATE(A908,""en"",""fr""))"),"")</f>
        <v/>
      </c>
    </row>
    <row r="909" spans="2:2">
      <c r="B909" s="3" t="str">
        <f ca="1">IFERROR(__xludf.DUMMYFUNCTION("IF(ISBLANK(A909),"""",GOOGLETRANSLATE(A909,""en"",""fr""))"),"")</f>
        <v/>
      </c>
    </row>
    <row r="910" spans="2:2">
      <c r="B910" s="3" t="str">
        <f ca="1">IFERROR(__xludf.DUMMYFUNCTION("IF(ISBLANK(A910),"""",GOOGLETRANSLATE(A910,""en"",""fr""))"),"")</f>
        <v/>
      </c>
    </row>
    <row r="911" spans="2:2">
      <c r="B911" s="3" t="str">
        <f ca="1">IFERROR(__xludf.DUMMYFUNCTION("IF(ISBLANK(A911),"""",GOOGLETRANSLATE(A911,""en"",""fr""))"),"")</f>
        <v/>
      </c>
    </row>
    <row r="912" spans="2:2">
      <c r="B912" s="3" t="str">
        <f ca="1">IFERROR(__xludf.DUMMYFUNCTION("IF(ISBLANK(A912),"""",GOOGLETRANSLATE(A912,""en"",""fr""))"),"")</f>
        <v/>
      </c>
    </row>
    <row r="913" spans="2:2">
      <c r="B913" s="3" t="str">
        <f ca="1">IFERROR(__xludf.DUMMYFUNCTION("IF(ISBLANK(A913),"""",GOOGLETRANSLATE(A913,""en"",""fr""))"),"")</f>
        <v/>
      </c>
    </row>
    <row r="914" spans="2:2">
      <c r="B914" s="3" t="str">
        <f ca="1">IFERROR(__xludf.DUMMYFUNCTION("IF(ISBLANK(A914),"""",GOOGLETRANSLATE(A914,""en"",""fr""))"),"")</f>
        <v/>
      </c>
    </row>
    <row r="915" spans="2:2">
      <c r="B915" s="3" t="str">
        <f ca="1">IFERROR(__xludf.DUMMYFUNCTION("IF(ISBLANK(A915),"""",GOOGLETRANSLATE(A915,""en"",""fr""))"),"")</f>
        <v/>
      </c>
    </row>
    <row r="916" spans="2:2">
      <c r="B916" s="3" t="str">
        <f ca="1">IFERROR(__xludf.DUMMYFUNCTION("IF(ISBLANK(A916),"""",GOOGLETRANSLATE(A916,""en"",""fr""))"),"")</f>
        <v/>
      </c>
    </row>
    <row r="917" spans="2:2">
      <c r="B917" s="3" t="str">
        <f ca="1">IFERROR(__xludf.DUMMYFUNCTION("IF(ISBLANK(A917),"""",GOOGLETRANSLATE(A917,""en"",""fr""))"),"")</f>
        <v/>
      </c>
    </row>
    <row r="918" spans="2:2">
      <c r="B918" s="3" t="str">
        <f ca="1">IFERROR(__xludf.DUMMYFUNCTION("IF(ISBLANK(A918),"""",GOOGLETRANSLATE(A918,""en"",""fr""))"),"")</f>
        <v/>
      </c>
    </row>
    <row r="919" spans="2:2">
      <c r="B919" s="3" t="str">
        <f ca="1">IFERROR(__xludf.DUMMYFUNCTION("IF(ISBLANK(A919),"""",GOOGLETRANSLATE(A919,""en"",""fr""))"),"")</f>
        <v/>
      </c>
    </row>
    <row r="920" spans="2:2">
      <c r="B920" s="3" t="str">
        <f ca="1">IFERROR(__xludf.DUMMYFUNCTION("IF(ISBLANK(A920),"""",GOOGLETRANSLATE(A920,""en"",""fr""))"),"")</f>
        <v/>
      </c>
    </row>
    <row r="921" spans="2:2">
      <c r="B921" s="3" t="str">
        <f ca="1">IFERROR(__xludf.DUMMYFUNCTION("IF(ISBLANK(A921),"""",GOOGLETRANSLATE(A921,""en"",""fr""))"),"")</f>
        <v/>
      </c>
    </row>
    <row r="922" spans="2:2">
      <c r="B922" s="3" t="str">
        <f ca="1">IFERROR(__xludf.DUMMYFUNCTION("IF(ISBLANK(A922),"""",GOOGLETRANSLATE(A922,""en"",""fr""))"),"")</f>
        <v/>
      </c>
    </row>
    <row r="923" spans="2:2">
      <c r="B923" s="3" t="str">
        <f ca="1">IFERROR(__xludf.DUMMYFUNCTION("IF(ISBLANK(A923),"""",GOOGLETRANSLATE(A923,""en"",""fr""))"),"")</f>
        <v/>
      </c>
    </row>
    <row r="924" spans="2:2">
      <c r="B924" s="3" t="str">
        <f ca="1">IFERROR(__xludf.DUMMYFUNCTION("IF(ISBLANK(A924),"""",GOOGLETRANSLATE(A924,""en"",""fr""))"),"")</f>
        <v/>
      </c>
    </row>
    <row r="925" spans="2:2">
      <c r="B925" s="3" t="str">
        <f ca="1">IFERROR(__xludf.DUMMYFUNCTION("IF(ISBLANK(A925),"""",GOOGLETRANSLATE(A925,""en"",""fr""))"),"")</f>
        <v/>
      </c>
    </row>
    <row r="926" spans="2:2">
      <c r="B926" s="3" t="str">
        <f ca="1">IFERROR(__xludf.DUMMYFUNCTION("IF(ISBLANK(A926),"""",GOOGLETRANSLATE(A926,""en"",""fr""))"),"")</f>
        <v/>
      </c>
    </row>
    <row r="927" spans="2:2">
      <c r="B927" s="3" t="str">
        <f ca="1">IFERROR(__xludf.DUMMYFUNCTION("IF(ISBLANK(A927),"""",GOOGLETRANSLATE(A927,""en"",""fr""))"),"")</f>
        <v/>
      </c>
    </row>
    <row r="928" spans="2:2">
      <c r="B928" s="3" t="str">
        <f ca="1">IFERROR(__xludf.DUMMYFUNCTION("IF(ISBLANK(A928),"""",GOOGLETRANSLATE(A928,""en"",""fr""))"),"")</f>
        <v/>
      </c>
    </row>
    <row r="929" spans="2:2">
      <c r="B929" s="3" t="str">
        <f ca="1">IFERROR(__xludf.DUMMYFUNCTION("IF(ISBLANK(A929),"""",GOOGLETRANSLATE(A929,""en"",""fr""))"),"")</f>
        <v/>
      </c>
    </row>
    <row r="930" spans="2:2">
      <c r="B930" s="3" t="str">
        <f ca="1">IFERROR(__xludf.DUMMYFUNCTION("IF(ISBLANK(A930),"""",GOOGLETRANSLATE(A930,""en"",""fr""))"),"")</f>
        <v/>
      </c>
    </row>
    <row r="931" spans="2:2">
      <c r="B931" s="3" t="str">
        <f ca="1">IFERROR(__xludf.DUMMYFUNCTION("IF(ISBLANK(A931),"""",GOOGLETRANSLATE(A931,""en"",""fr""))"),"")</f>
        <v/>
      </c>
    </row>
    <row r="932" spans="2:2">
      <c r="B932" s="3" t="str">
        <f ca="1">IFERROR(__xludf.DUMMYFUNCTION("IF(ISBLANK(A932),"""",GOOGLETRANSLATE(A932,""en"",""fr""))"),"")</f>
        <v/>
      </c>
    </row>
    <row r="933" spans="2:2">
      <c r="B933" s="3" t="str">
        <f ca="1">IFERROR(__xludf.DUMMYFUNCTION("IF(ISBLANK(A933),"""",GOOGLETRANSLATE(A933,""en"",""fr""))"),"")</f>
        <v/>
      </c>
    </row>
    <row r="934" spans="2:2">
      <c r="B934" s="3" t="str">
        <f ca="1">IFERROR(__xludf.DUMMYFUNCTION("IF(ISBLANK(A934),"""",GOOGLETRANSLATE(A934,""en"",""fr""))"),"")</f>
        <v/>
      </c>
    </row>
    <row r="935" spans="2:2">
      <c r="B935" s="3" t="str">
        <f ca="1">IFERROR(__xludf.DUMMYFUNCTION("IF(ISBLANK(A935),"""",GOOGLETRANSLATE(A935,""en"",""fr""))"),"")</f>
        <v/>
      </c>
    </row>
    <row r="936" spans="2:2">
      <c r="B936" s="3" t="str">
        <f ca="1">IFERROR(__xludf.DUMMYFUNCTION("IF(ISBLANK(A936),"""",GOOGLETRANSLATE(A936,""en"",""fr""))"),"")</f>
        <v/>
      </c>
    </row>
    <row r="937" spans="2:2">
      <c r="B937" s="3" t="str">
        <f ca="1">IFERROR(__xludf.DUMMYFUNCTION("IF(ISBLANK(A937),"""",GOOGLETRANSLATE(A937,""en"",""fr""))"),"")</f>
        <v/>
      </c>
    </row>
    <row r="938" spans="2:2">
      <c r="B938" s="3" t="str">
        <f ca="1">IFERROR(__xludf.DUMMYFUNCTION("IF(ISBLANK(A938),"""",GOOGLETRANSLATE(A938,""en"",""fr""))"),"")</f>
        <v/>
      </c>
    </row>
    <row r="939" spans="2:2">
      <c r="B939" s="3" t="str">
        <f ca="1">IFERROR(__xludf.DUMMYFUNCTION("IF(ISBLANK(A939),"""",GOOGLETRANSLATE(A939,""en"",""fr""))"),"")</f>
        <v/>
      </c>
    </row>
    <row r="940" spans="2:2">
      <c r="B940" s="3" t="str">
        <f ca="1">IFERROR(__xludf.DUMMYFUNCTION("IF(ISBLANK(A940),"""",GOOGLETRANSLATE(A940,""en"",""fr""))"),"")</f>
        <v/>
      </c>
    </row>
    <row r="941" spans="2:2">
      <c r="B941" s="3" t="str">
        <f ca="1">IFERROR(__xludf.DUMMYFUNCTION("IF(ISBLANK(A941),"""",GOOGLETRANSLATE(A941,""en"",""fr""))"),"")</f>
        <v/>
      </c>
    </row>
    <row r="942" spans="2:2">
      <c r="B942" s="3" t="str">
        <f ca="1">IFERROR(__xludf.DUMMYFUNCTION("IF(ISBLANK(A942),"""",GOOGLETRANSLATE(A942,""en"",""fr""))"),"")</f>
        <v/>
      </c>
    </row>
    <row r="943" spans="2:2">
      <c r="B943" s="3" t="str">
        <f ca="1">IFERROR(__xludf.DUMMYFUNCTION("IF(ISBLANK(A943),"""",GOOGLETRANSLATE(A943,""en"",""fr""))"),"")</f>
        <v/>
      </c>
    </row>
    <row r="944" spans="2:2">
      <c r="B944" s="3" t="str">
        <f ca="1">IFERROR(__xludf.DUMMYFUNCTION("IF(ISBLANK(A944),"""",GOOGLETRANSLATE(A944,""en"",""fr""))"),"")</f>
        <v/>
      </c>
    </row>
    <row r="945" spans="2:2">
      <c r="B945" s="3" t="str">
        <f ca="1">IFERROR(__xludf.DUMMYFUNCTION("IF(ISBLANK(A945),"""",GOOGLETRANSLATE(A945,""en"",""fr""))"),"")</f>
        <v/>
      </c>
    </row>
    <row r="946" spans="2:2">
      <c r="B946" s="3" t="str">
        <f ca="1">IFERROR(__xludf.DUMMYFUNCTION("IF(ISBLANK(A946),"""",GOOGLETRANSLATE(A946,""en"",""fr""))"),"")</f>
        <v/>
      </c>
    </row>
    <row r="947" spans="2:2">
      <c r="B947" s="3" t="str">
        <f ca="1">IFERROR(__xludf.DUMMYFUNCTION("IF(ISBLANK(A947),"""",GOOGLETRANSLATE(A947,""en"",""fr""))"),"")</f>
        <v/>
      </c>
    </row>
    <row r="948" spans="2:2">
      <c r="B948" s="3" t="str">
        <f ca="1">IFERROR(__xludf.DUMMYFUNCTION("IF(ISBLANK(A948),"""",GOOGLETRANSLATE(A948,""en"",""fr""))"),"")</f>
        <v/>
      </c>
    </row>
    <row r="949" spans="2:2">
      <c r="B949" s="3" t="str">
        <f ca="1">IFERROR(__xludf.DUMMYFUNCTION("IF(ISBLANK(A949),"""",GOOGLETRANSLATE(A949,""en"",""fr""))"),"")</f>
        <v/>
      </c>
    </row>
    <row r="950" spans="2:2">
      <c r="B950" s="3" t="str">
        <f ca="1">IFERROR(__xludf.DUMMYFUNCTION("IF(ISBLANK(A950),"""",GOOGLETRANSLATE(A950,""en"",""fr""))"),"")</f>
        <v/>
      </c>
    </row>
    <row r="951" spans="2:2">
      <c r="B951" s="3" t="str">
        <f ca="1">IFERROR(__xludf.DUMMYFUNCTION("IF(ISBLANK(A951),"""",GOOGLETRANSLATE(A951,""en"",""fr""))"),"")</f>
        <v/>
      </c>
    </row>
    <row r="952" spans="2:2">
      <c r="B952" s="3" t="str">
        <f ca="1">IFERROR(__xludf.DUMMYFUNCTION("IF(ISBLANK(A952),"""",GOOGLETRANSLATE(A952,""en"",""fr""))"),"")</f>
        <v/>
      </c>
    </row>
    <row r="953" spans="2:2">
      <c r="B953" s="3" t="str">
        <f ca="1">IFERROR(__xludf.DUMMYFUNCTION("IF(ISBLANK(A953),"""",GOOGLETRANSLATE(A953,""en"",""fr""))"),"")</f>
        <v/>
      </c>
    </row>
    <row r="954" spans="2:2">
      <c r="B954" s="3" t="str">
        <f ca="1">IFERROR(__xludf.DUMMYFUNCTION("IF(ISBLANK(A954),"""",GOOGLETRANSLATE(A954,""en"",""fr""))"),"")</f>
        <v/>
      </c>
    </row>
    <row r="955" spans="2:2">
      <c r="B955" s="3" t="str">
        <f ca="1">IFERROR(__xludf.DUMMYFUNCTION("IF(ISBLANK(A955),"""",GOOGLETRANSLATE(A955,""en"",""fr""))"),"")</f>
        <v/>
      </c>
    </row>
    <row r="956" spans="2:2">
      <c r="B956" s="3" t="str">
        <f ca="1">IFERROR(__xludf.DUMMYFUNCTION("IF(ISBLANK(A956),"""",GOOGLETRANSLATE(A956,""en"",""fr""))"),"")</f>
        <v/>
      </c>
    </row>
    <row r="957" spans="2:2">
      <c r="B957" s="3" t="str">
        <f ca="1">IFERROR(__xludf.DUMMYFUNCTION("IF(ISBLANK(A957),"""",GOOGLETRANSLATE(A957,""en"",""fr""))"),"")</f>
        <v/>
      </c>
    </row>
    <row r="958" spans="2:2">
      <c r="B958" s="3" t="str">
        <f ca="1">IFERROR(__xludf.DUMMYFUNCTION("IF(ISBLANK(A958),"""",GOOGLETRANSLATE(A958,""en"",""fr""))"),"")</f>
        <v/>
      </c>
    </row>
    <row r="959" spans="2:2">
      <c r="B959" s="3" t="str">
        <f ca="1">IFERROR(__xludf.DUMMYFUNCTION("IF(ISBLANK(A959),"""",GOOGLETRANSLATE(A959,""en"",""fr""))"),"")</f>
        <v/>
      </c>
    </row>
    <row r="960" spans="2:2">
      <c r="B960" s="3" t="str">
        <f ca="1">IFERROR(__xludf.DUMMYFUNCTION("IF(ISBLANK(A960),"""",GOOGLETRANSLATE(A960,""en"",""fr""))"),"")</f>
        <v/>
      </c>
    </row>
    <row r="961" spans="2:2">
      <c r="B961" s="3" t="str">
        <f ca="1">IFERROR(__xludf.DUMMYFUNCTION("IF(ISBLANK(A961),"""",GOOGLETRANSLATE(A961,""en"",""fr""))"),"")</f>
        <v/>
      </c>
    </row>
    <row r="962" spans="2:2">
      <c r="B962" s="3" t="str">
        <f ca="1">IFERROR(__xludf.DUMMYFUNCTION("IF(ISBLANK(A962),"""",GOOGLETRANSLATE(A962,""en"",""fr""))"),"")</f>
        <v/>
      </c>
    </row>
    <row r="963" spans="2:2">
      <c r="B963" s="3" t="str">
        <f ca="1">IFERROR(__xludf.DUMMYFUNCTION("IF(ISBLANK(A963),"""",GOOGLETRANSLATE(A963,""en"",""fr""))"),"")</f>
        <v/>
      </c>
    </row>
    <row r="964" spans="2:2">
      <c r="B964" s="3" t="str">
        <f ca="1">IFERROR(__xludf.DUMMYFUNCTION("IF(ISBLANK(A964),"""",GOOGLETRANSLATE(A964,""en"",""fr""))"),"")</f>
        <v/>
      </c>
    </row>
    <row r="965" spans="2:2">
      <c r="B965" s="3" t="str">
        <f ca="1">IFERROR(__xludf.DUMMYFUNCTION("IF(ISBLANK(A965),"""",GOOGLETRANSLATE(A965,""en"",""fr""))"),"")</f>
        <v/>
      </c>
    </row>
    <row r="966" spans="2:2">
      <c r="B966" s="3" t="str">
        <f ca="1">IFERROR(__xludf.DUMMYFUNCTION("IF(ISBLANK(A966),"""",GOOGLETRANSLATE(A966,""en"",""fr""))"),"")</f>
        <v/>
      </c>
    </row>
    <row r="967" spans="2:2">
      <c r="B967" s="3" t="str">
        <f ca="1">IFERROR(__xludf.DUMMYFUNCTION("IF(ISBLANK(A967),"""",GOOGLETRANSLATE(A967,""en"",""fr""))"),"")</f>
        <v/>
      </c>
    </row>
    <row r="968" spans="2:2">
      <c r="B968" s="3" t="str">
        <f ca="1">IFERROR(__xludf.DUMMYFUNCTION("IF(ISBLANK(A968),"""",GOOGLETRANSLATE(A968,""en"",""fr""))"),"")</f>
        <v/>
      </c>
    </row>
    <row r="969" spans="2:2">
      <c r="B969" s="3" t="str">
        <f ca="1">IFERROR(__xludf.DUMMYFUNCTION("IF(ISBLANK(A969),"""",GOOGLETRANSLATE(A969,""en"",""fr""))"),"")</f>
        <v/>
      </c>
    </row>
    <row r="970" spans="2:2">
      <c r="B970" s="3" t="str">
        <f ca="1">IFERROR(__xludf.DUMMYFUNCTION("IF(ISBLANK(A970),"""",GOOGLETRANSLATE(A970,""en"",""fr""))"),"")</f>
        <v/>
      </c>
    </row>
    <row r="971" spans="2:2">
      <c r="B971" s="3" t="str">
        <f ca="1">IFERROR(__xludf.DUMMYFUNCTION("IF(ISBLANK(A971),"""",GOOGLETRANSLATE(A971,""en"",""fr""))"),"")</f>
        <v/>
      </c>
    </row>
    <row r="972" spans="2:2">
      <c r="B972" s="3" t="str">
        <f ca="1">IFERROR(__xludf.DUMMYFUNCTION("IF(ISBLANK(A972),"""",GOOGLETRANSLATE(A972,""en"",""fr""))"),"")</f>
        <v/>
      </c>
    </row>
    <row r="973" spans="2:2">
      <c r="B973" s="3" t="str">
        <f ca="1">IFERROR(__xludf.DUMMYFUNCTION("IF(ISBLANK(A973),"""",GOOGLETRANSLATE(A973,""en"",""fr""))"),"")</f>
        <v/>
      </c>
    </row>
    <row r="974" spans="2:2">
      <c r="B974" s="3" t="str">
        <f ca="1">IFERROR(__xludf.DUMMYFUNCTION("IF(ISBLANK(A974),"""",GOOGLETRANSLATE(A974,""en"",""fr""))"),"")</f>
        <v/>
      </c>
    </row>
    <row r="975" spans="2:2">
      <c r="B975" s="3" t="str">
        <f ca="1">IFERROR(__xludf.DUMMYFUNCTION("IF(ISBLANK(A975),"""",GOOGLETRANSLATE(A975,""en"",""fr""))"),"")</f>
        <v/>
      </c>
    </row>
    <row r="976" spans="2:2">
      <c r="B976" s="3" t="str">
        <f ca="1">IFERROR(__xludf.DUMMYFUNCTION("IF(ISBLANK(A976),"""",GOOGLETRANSLATE(A976,""en"",""fr""))"),"")</f>
        <v/>
      </c>
    </row>
    <row r="977" spans="2:2">
      <c r="B977" s="3" t="str">
        <f ca="1">IFERROR(__xludf.DUMMYFUNCTION("IF(ISBLANK(A977),"""",GOOGLETRANSLATE(A977,""en"",""fr""))"),"")</f>
        <v/>
      </c>
    </row>
    <row r="978" spans="2:2">
      <c r="B978" s="3" t="str">
        <f ca="1">IFERROR(__xludf.DUMMYFUNCTION("IF(ISBLANK(A978),"""",GOOGLETRANSLATE(A978,""en"",""fr""))"),"")</f>
        <v/>
      </c>
    </row>
    <row r="979" spans="2:2">
      <c r="B979" s="3" t="str">
        <f ca="1">IFERROR(__xludf.DUMMYFUNCTION("IF(ISBLANK(A979),"""",GOOGLETRANSLATE(A979,""en"",""fr""))"),"")</f>
        <v/>
      </c>
    </row>
    <row r="980" spans="2:2">
      <c r="B980" s="3" t="str">
        <f ca="1">IFERROR(__xludf.DUMMYFUNCTION("IF(ISBLANK(A980),"""",GOOGLETRANSLATE(A980,""en"",""fr""))"),"")</f>
        <v/>
      </c>
    </row>
    <row r="981" spans="2:2">
      <c r="B981" s="3" t="str">
        <f ca="1">IFERROR(__xludf.DUMMYFUNCTION("IF(ISBLANK(A981),"""",GOOGLETRANSLATE(A981,""en"",""fr""))"),"")</f>
        <v/>
      </c>
    </row>
    <row r="982" spans="2:2">
      <c r="B982" s="3" t="str">
        <f ca="1">IFERROR(__xludf.DUMMYFUNCTION("IF(ISBLANK(A982),"""",GOOGLETRANSLATE(A982,""en"",""fr""))"),"")</f>
        <v/>
      </c>
    </row>
    <row r="983" spans="2:2">
      <c r="B983" s="3" t="str">
        <f ca="1">IFERROR(__xludf.DUMMYFUNCTION("IF(ISBLANK(A983),"""",GOOGLETRANSLATE(A983,""en"",""fr""))"),"")</f>
        <v/>
      </c>
    </row>
    <row r="984" spans="2:2">
      <c r="B984" s="3" t="str">
        <f ca="1">IFERROR(__xludf.DUMMYFUNCTION("IF(ISBLANK(A984),"""",GOOGLETRANSLATE(A984,""en"",""fr""))"),"")</f>
        <v/>
      </c>
    </row>
    <row r="985" spans="2:2">
      <c r="B985" s="3" t="str">
        <f ca="1">IFERROR(__xludf.DUMMYFUNCTION("IF(ISBLANK(A985),"""",GOOGLETRANSLATE(A985,""en"",""fr""))"),"")</f>
        <v/>
      </c>
    </row>
    <row r="986" spans="2:2">
      <c r="B986" s="3" t="str">
        <f ca="1">IFERROR(__xludf.DUMMYFUNCTION("IF(ISBLANK(A986),"""",GOOGLETRANSLATE(A986,""en"",""fr""))"),"")</f>
        <v/>
      </c>
    </row>
    <row r="987" spans="2:2">
      <c r="B987" s="3" t="str">
        <f ca="1">IFERROR(__xludf.DUMMYFUNCTION("IF(ISBLANK(A987),"""",GOOGLETRANSLATE(A987,""en"",""fr""))"),"")</f>
        <v/>
      </c>
    </row>
    <row r="988" spans="2:2">
      <c r="B988" s="3" t="str">
        <f ca="1">IFERROR(__xludf.DUMMYFUNCTION("IF(ISBLANK(A988),"""",GOOGLETRANSLATE(A988,""en"",""fr""))"),"")</f>
        <v/>
      </c>
    </row>
    <row r="989" spans="2:2">
      <c r="B989" s="3" t="str">
        <f ca="1">IFERROR(__xludf.DUMMYFUNCTION("IF(ISBLANK(A989),"""",GOOGLETRANSLATE(A989,""en"",""fr""))"),"")</f>
        <v/>
      </c>
    </row>
    <row r="990" spans="2:2">
      <c r="B990" s="3" t="str">
        <f ca="1">IFERROR(__xludf.DUMMYFUNCTION("IF(ISBLANK(A990),"""",GOOGLETRANSLATE(A990,""en"",""fr""))"),"")</f>
        <v/>
      </c>
    </row>
    <row r="991" spans="2:2">
      <c r="B991" s="3" t="str">
        <f ca="1">IFERROR(__xludf.DUMMYFUNCTION("IF(ISBLANK(A991),"""",GOOGLETRANSLATE(A991,""en"",""fr""))"),"")</f>
        <v/>
      </c>
    </row>
    <row r="992" spans="2:2">
      <c r="B992" s="3" t="str">
        <f ca="1">IFERROR(__xludf.DUMMYFUNCTION("IF(ISBLANK(A992),"""",GOOGLETRANSLATE(A992,""en"",""fr""))"),"")</f>
        <v/>
      </c>
    </row>
    <row r="993" spans="2:2">
      <c r="B993" s="3" t="str">
        <f ca="1">IFERROR(__xludf.DUMMYFUNCTION("IF(ISBLANK(A993),"""",GOOGLETRANSLATE(A993,""en"",""fr""))"),"")</f>
        <v/>
      </c>
    </row>
    <row r="994" spans="2:2">
      <c r="B994" s="3" t="str">
        <f ca="1">IFERROR(__xludf.DUMMYFUNCTION("IF(ISBLANK(A994),"""",GOOGLETRANSLATE(A994,""en"",""fr""))"),"")</f>
        <v/>
      </c>
    </row>
    <row r="995" spans="2:2">
      <c r="B995" s="3" t="str">
        <f ca="1">IFERROR(__xludf.DUMMYFUNCTION("IF(ISBLANK(A995),"""",GOOGLETRANSLATE(A995,""en"",""fr""))"),"")</f>
        <v/>
      </c>
    </row>
    <row r="996" spans="2:2">
      <c r="B996" s="3" t="str">
        <f ca="1">IFERROR(__xludf.DUMMYFUNCTION("IF(ISBLANK(A996),"""",GOOGLETRANSLATE(A996,""en"",""fr""))"),"")</f>
        <v/>
      </c>
    </row>
    <row r="997" spans="2:2">
      <c r="B997" s="3" t="str">
        <f ca="1">IFERROR(__xludf.DUMMYFUNCTION("IF(ISBLANK(A997),"""",GOOGLETRANSLATE(A997,""en"",""fr""))"),"")</f>
        <v/>
      </c>
    </row>
    <row r="998" spans="2:2">
      <c r="B998" s="3" t="str">
        <f ca="1">IFERROR(__xludf.DUMMYFUNCTION("IF(ISBLANK(A998),"""",GOOGLETRANSLATE(A998,""en"",""fr""))"),"")</f>
        <v/>
      </c>
    </row>
    <row r="999" spans="2:2">
      <c r="B999" s="3" t="str">
        <f ca="1">IFERROR(__xludf.DUMMYFUNCTION("IF(ISBLANK(A999),"""",GOOGLETRANSLATE(A999,""en"",""fr""))"),"")</f>
        <v/>
      </c>
    </row>
    <row r="1000" spans="2:2">
      <c r="B1000" s="3" t="str">
        <f ca="1">IFERROR(__xludf.DUMMYFUNCTION("IF(ISBLANK(A1000),"""",GOOGLETRANSLATE(A1000,""en"",""fr""))"),"")</f>
        <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B1000"/>
  <sheetViews>
    <sheetView topLeftCell="A56" workbookViewId="0">
      <selection activeCell="B35" sqref="B35:B52"/>
    </sheetView>
  </sheetViews>
  <sheetFormatPr defaultColWidth="12.6640625" defaultRowHeight="15.75" customHeight="1"/>
  <cols>
    <col min="1" max="1" width="115.21875" customWidth="1"/>
  </cols>
  <sheetData>
    <row r="1" spans="1:2">
      <c r="A1" s="1" t="s">
        <v>0</v>
      </c>
      <c r="B1" s="1"/>
    </row>
    <row r="2" spans="1:2">
      <c r="A2" s="3" t="s">
        <v>60</v>
      </c>
      <c r="B2" s="3" t="s">
        <v>1067</v>
      </c>
    </row>
    <row r="3" spans="1:2">
      <c r="A3" s="3" t="s">
        <v>649</v>
      </c>
      <c r="B3" s="3" t="s">
        <v>1242</v>
      </c>
    </row>
    <row r="4" spans="1:2">
      <c r="A4" s="3" t="s">
        <v>650</v>
      </c>
      <c r="B4" s="3" t="s">
        <v>1243</v>
      </c>
    </row>
    <row r="5" spans="1:2">
      <c r="A5" s="3" t="s">
        <v>70</v>
      </c>
      <c r="B5" s="3" t="s">
        <v>1050</v>
      </c>
    </row>
    <row r="6" spans="1:2">
      <c r="A6" s="3" t="s">
        <v>14</v>
      </c>
      <c r="B6" s="3" t="s">
        <v>1056</v>
      </c>
    </row>
    <row r="7" spans="1:2">
      <c r="A7" s="3" t="s">
        <v>162</v>
      </c>
      <c r="B7" s="3" t="s">
        <v>1244</v>
      </c>
    </row>
    <row r="8" spans="1:2">
      <c r="A8" s="3" t="s">
        <v>651</v>
      </c>
      <c r="B8" s="3" t="s">
        <v>1245</v>
      </c>
    </row>
    <row r="9" spans="1:2">
      <c r="A9" s="3" t="s">
        <v>652</v>
      </c>
      <c r="B9" s="3" t="s">
        <v>1246</v>
      </c>
    </row>
    <row r="10" spans="1:2">
      <c r="A10" s="3" t="s">
        <v>653</v>
      </c>
      <c r="B10" s="3" t="s">
        <v>1247</v>
      </c>
    </row>
    <row r="11" spans="1:2">
      <c r="A11" s="3" t="s">
        <v>654</v>
      </c>
      <c r="B11" s="3" t="s">
        <v>1248</v>
      </c>
    </row>
    <row r="12" spans="1:2">
      <c r="A12" s="3" t="s">
        <v>655</v>
      </c>
      <c r="B12" s="3" t="s">
        <v>1249</v>
      </c>
    </row>
    <row r="13" spans="1:2">
      <c r="A13" s="3" t="s">
        <v>656</v>
      </c>
      <c r="B13" s="3" t="s">
        <v>1250</v>
      </c>
    </row>
    <row r="14" spans="1:2">
      <c r="A14" s="3" t="s">
        <v>657</v>
      </c>
      <c r="B14" s="3" t="s">
        <v>1251</v>
      </c>
    </row>
    <row r="15" spans="1:2">
      <c r="A15" s="3" t="s">
        <v>658</v>
      </c>
      <c r="B15" s="3" t="s">
        <v>1252</v>
      </c>
    </row>
    <row r="16" spans="1:2">
      <c r="A16" s="3" t="s">
        <v>659</v>
      </c>
      <c r="B16" s="3" t="s">
        <v>1253</v>
      </c>
    </row>
    <row r="17" spans="1:2">
      <c r="A17" s="3" t="s">
        <v>660</v>
      </c>
      <c r="B17" s="3" t="s">
        <v>1254</v>
      </c>
    </row>
    <row r="18" spans="1:2">
      <c r="A18" s="3" t="s">
        <v>661</v>
      </c>
      <c r="B18" s="3" t="s">
        <v>1255</v>
      </c>
    </row>
    <row r="19" spans="1:2">
      <c r="A19" s="3" t="s">
        <v>478</v>
      </c>
      <c r="B19" s="3" t="s">
        <v>1097</v>
      </c>
    </row>
    <row r="20" spans="1:2">
      <c r="B20" s="3"/>
    </row>
    <row r="21" spans="1:2">
      <c r="A21" s="3" t="s">
        <v>662</v>
      </c>
      <c r="B21" s="3" t="s">
        <v>1256</v>
      </c>
    </row>
    <row r="22" spans="1:2">
      <c r="A22" s="3" t="s">
        <v>663</v>
      </c>
      <c r="B22" s="3" t="s">
        <v>1257</v>
      </c>
    </row>
    <row r="23" spans="1:2">
      <c r="A23" s="3" t="s">
        <v>664</v>
      </c>
      <c r="B23" s="3" t="s">
        <v>1258</v>
      </c>
    </row>
    <row r="24" spans="1:2">
      <c r="A24" s="3" t="s">
        <v>665</v>
      </c>
      <c r="B24" s="3" t="s">
        <v>1259</v>
      </c>
    </row>
    <row r="25" spans="1:2">
      <c r="A25" s="3" t="s">
        <v>666</v>
      </c>
      <c r="B25" s="3" t="s">
        <v>1260</v>
      </c>
    </row>
    <row r="26" spans="1:2">
      <c r="A26" s="3" t="s">
        <v>667</v>
      </c>
      <c r="B26" s="3" t="s">
        <v>1261</v>
      </c>
    </row>
    <row r="27" spans="1:2">
      <c r="A27" s="3" t="s">
        <v>668</v>
      </c>
      <c r="B27" s="3" t="s">
        <v>1262</v>
      </c>
    </row>
    <row r="28" spans="1:2">
      <c r="A28" s="3" t="s">
        <v>669</v>
      </c>
      <c r="B28" s="3" t="s">
        <v>1263</v>
      </c>
    </row>
    <row r="29" spans="1:2">
      <c r="A29" s="3" t="s">
        <v>670</v>
      </c>
      <c r="B29" s="3" t="s">
        <v>1264</v>
      </c>
    </row>
    <row r="30" spans="1:2">
      <c r="A30" s="3" t="s">
        <v>671</v>
      </c>
      <c r="B30" s="3" t="s">
        <v>1265</v>
      </c>
    </row>
    <row r="31" spans="1:2">
      <c r="A31" s="3" t="s">
        <v>672</v>
      </c>
      <c r="B31" s="3" t="s">
        <v>1266</v>
      </c>
    </row>
    <row r="32" spans="1:2">
      <c r="A32" s="3" t="s">
        <v>673</v>
      </c>
      <c r="B32" s="3" t="s">
        <v>1267</v>
      </c>
    </row>
    <row r="33" spans="1:2">
      <c r="A33" s="3" t="s">
        <v>674</v>
      </c>
      <c r="B33" s="3" t="s">
        <v>1268</v>
      </c>
    </row>
    <row r="34" spans="1:2">
      <c r="A34" s="3" t="s">
        <v>675</v>
      </c>
      <c r="B34" s="3" t="s">
        <v>1269</v>
      </c>
    </row>
    <row r="35" spans="1:2">
      <c r="A35" s="3" t="s">
        <v>676</v>
      </c>
      <c r="B35" s="3" t="s">
        <v>1270</v>
      </c>
    </row>
    <row r="36" spans="1:2">
      <c r="A36" s="3" t="s">
        <v>677</v>
      </c>
      <c r="B36" s="3" t="s">
        <v>677</v>
      </c>
    </row>
    <row r="37" spans="1:2">
      <c r="A37" s="3" t="s">
        <v>678</v>
      </c>
      <c r="B37" s="3" t="s">
        <v>1271</v>
      </c>
    </row>
    <row r="38" spans="1:2">
      <c r="A38" s="3" t="s">
        <v>679</v>
      </c>
      <c r="B38" s="3" t="s">
        <v>1272</v>
      </c>
    </row>
    <row r="39" spans="1:2">
      <c r="A39" s="3" t="s">
        <v>680</v>
      </c>
      <c r="B39" s="3" t="s">
        <v>1273</v>
      </c>
    </row>
    <row r="40" spans="1:2">
      <c r="A40" s="3" t="s">
        <v>681</v>
      </c>
      <c r="B40" s="3" t="s">
        <v>1274</v>
      </c>
    </row>
    <row r="41" spans="1:2">
      <c r="A41" s="3" t="s">
        <v>682</v>
      </c>
      <c r="B41" s="3" t="s">
        <v>1275</v>
      </c>
    </row>
    <row r="42" spans="1:2">
      <c r="B42" s="3"/>
    </row>
    <row r="43" spans="1:2">
      <c r="A43" s="3" t="s">
        <v>621</v>
      </c>
      <c r="B43" s="3" t="s">
        <v>1197</v>
      </c>
    </row>
    <row r="44" spans="1:2">
      <c r="A44" s="3" t="s">
        <v>622</v>
      </c>
      <c r="B44" s="3" t="s">
        <v>1276</v>
      </c>
    </row>
    <row r="45" spans="1:2">
      <c r="B45" s="3"/>
    </row>
    <row r="46" spans="1:2">
      <c r="A46" s="3" t="s">
        <v>94</v>
      </c>
      <c r="B46" s="3" t="s">
        <v>1277</v>
      </c>
    </row>
    <row r="47" spans="1:2">
      <c r="A47" s="10" t="s">
        <v>95</v>
      </c>
      <c r="B47" s="3" t="s">
        <v>1200</v>
      </c>
    </row>
    <row r="48" spans="1:2">
      <c r="A48" s="3" t="s">
        <v>96</v>
      </c>
      <c r="B48" s="3" t="s">
        <v>96</v>
      </c>
    </row>
    <row r="49" spans="1:2">
      <c r="A49" s="3" t="s">
        <v>97</v>
      </c>
      <c r="B49" s="3" t="s">
        <v>1278</v>
      </c>
    </row>
    <row r="50" spans="1:2">
      <c r="A50" s="3" t="s">
        <v>23</v>
      </c>
      <c r="B50" s="3" t="s">
        <v>1060</v>
      </c>
    </row>
    <row r="51" spans="1:2">
      <c r="B51" s="3"/>
    </row>
    <row r="52" spans="1:2">
      <c r="A52" s="3" t="s">
        <v>98</v>
      </c>
      <c r="B52" s="3" t="s">
        <v>1279</v>
      </c>
    </row>
    <row r="53" spans="1:2">
      <c r="B53" s="3" t="str">
        <f ca="1">IFERROR(__xludf.DUMMYFUNCTION("IF(ISBLANK(A53),"""",GOOGLETRANSLATE(A53,""en"",""fr""))"),"")</f>
        <v/>
      </c>
    </row>
    <row r="54" spans="1:2">
      <c r="B54" s="3" t="str">
        <f ca="1">IFERROR(__xludf.DUMMYFUNCTION("IF(ISBLANK(A54),"""",GOOGLETRANSLATE(A54,""en"",""fr""))"),"")</f>
        <v/>
      </c>
    </row>
    <row r="55" spans="1:2">
      <c r="A55" s="3" t="s">
        <v>99</v>
      </c>
      <c r="B55" s="3" t="str">
        <f ca="1">IFERROR(__xludf.DUMMYFUNCTION("IF(ISBLANK(A55),"""",GOOGLETRANSLATE(A55,""en"",""fr""))"),"NETSOL participe au 25e Sommet annuel du financement automobile : Piloter l'avenir du financement automobile")</f>
        <v>NETSOL participe au 25e Sommet annuel du financement automobile : Piloter l'avenir du financement automobile</v>
      </c>
    </row>
    <row r="56" spans="1:2">
      <c r="B56" s="3" t="str">
        <f ca="1">IFERROR(__xludf.DUMMYFUNCTION("IF(ISBLANK(A56),"""",GOOGLETRANSLATE(A56,""en"",""fr""))"),"")</f>
        <v/>
      </c>
    </row>
    <row r="57" spans="1:2">
      <c r="B57" s="3" t="str">
        <f ca="1">IFERROR(__xludf.DUMMYFUNCTION("IF(ISBLANK(A57),"""",GOOGLETRANSLATE(A57,""en"",""fr""))"),"")</f>
        <v/>
      </c>
    </row>
    <row r="58" spans="1:2">
      <c r="A58" s="3" t="s">
        <v>100</v>
      </c>
      <c r="B58" s="3" t="str">
        <f ca="1">IFERROR(__xludf.DUMMYFUNCTION("IF(ISBLANK(A58),"""",GOOGLETRANSLATE(A58,""en"",""fr""))"),"NETSOL est présent à Digital Dealer 2025 : façonner l’avenir de la vente automobile")</f>
        <v>NETSOL est présent à Digital Dealer 2025 : façonner l’avenir de la vente automobile</v>
      </c>
    </row>
    <row r="59" spans="1:2">
      <c r="B59" s="3" t="str">
        <f ca="1">IFERROR(__xludf.DUMMYFUNCTION("IF(ISBLANK(A59),"""",GOOGLETRANSLATE(A59,""en"",""fr""))"),"")</f>
        <v/>
      </c>
    </row>
    <row r="60" spans="1:2">
      <c r="B60" s="3" t="str">
        <f ca="1">IFERROR(__xludf.DUMMYFUNCTION("IF(ISBLANK(A60),"""",GOOGLETRANSLATE(A60,""en"",""fr""))"),"")</f>
        <v/>
      </c>
    </row>
    <row r="61" spans="1:2">
      <c r="A61" s="6" t="s">
        <v>101</v>
      </c>
      <c r="B61" s="3" t="str">
        <f ca="1">IFERROR(__xludf.DUMMYFUNCTION("IF(ISBLANK(A61),"""",GOOGLETRANSLATE(A61,""en"",""fr""))"),"L'IA dans le secteur des services financiers et de l'investissement : révolutionner la gestion des risques")</f>
        <v>L'IA dans le secteur des services financiers et de l'investissement : révolutionner la gestion des risques</v>
      </c>
    </row>
    <row r="62" spans="1:2">
      <c r="B62" s="3" t="str">
        <f ca="1">IFERROR(__xludf.DUMMYFUNCTION("IF(ISBLANK(A62),"""",GOOGLETRANSLATE(A62,""en"",""fr""))"),"")</f>
        <v/>
      </c>
    </row>
    <row r="63" spans="1:2">
      <c r="B63" s="3" t="str">
        <f ca="1">IFERROR(__xludf.DUMMYFUNCTION("IF(ISBLANK(A63),"""",GOOGLETRANSLATE(A63,""en"",""fr""))"),"")</f>
        <v/>
      </c>
    </row>
    <row r="64" spans="1:2">
      <c r="A64" s="3" t="s">
        <v>102</v>
      </c>
      <c r="B64" s="3" t="str">
        <f ca="1">IFERROR(__xludf.DUMMYFUNCTION("IF(ISBLANK(A64),"""",GOOGLETRANSLATE(A64,""en"",""fr""))"),"L'importance de la personnalisation du service client : adapter la gestion des paiements et des litiges aux besoins des clients")</f>
        <v>L'importance de la personnalisation du service client : adapter la gestion des paiements et des litiges aux besoins des clients</v>
      </c>
    </row>
    <row r="65" spans="1:2">
      <c r="B65" s="3" t="str">
        <f ca="1">IFERROR(__xludf.DUMMYFUNCTION("IF(ISBLANK(A65),"""",GOOGLETRANSLATE(A65,""en"",""fr""))"),"")</f>
        <v/>
      </c>
    </row>
    <row r="66" spans="1:2">
      <c r="B66" s="3" t="str">
        <f ca="1">IFERROR(__xludf.DUMMYFUNCTION("IF(ISBLANK(A66),"""",GOOGLETRANSLATE(A66,""en"",""fr""))"),"")</f>
        <v/>
      </c>
    </row>
    <row r="67" spans="1:2">
      <c r="A67" s="3" t="s">
        <v>103</v>
      </c>
      <c r="B67" s="3" t="str">
        <f ca="1">IFERROR(__xludf.DUMMYFUNCTION("IF(ISBLANK(A67),"""",GOOGLETRANSLATE(A67,""en"",""fr""))"),"Le véritable coût des systèmes déconnectés dans le commerce de détail automobile")</f>
        <v>Le véritable coût des systèmes déconnectés dans le commerce de détail automobile</v>
      </c>
    </row>
    <row r="68" spans="1:2">
      <c r="B68" s="3" t="str">
        <f ca="1">IFERROR(__xludf.DUMMYFUNCTION("IF(ISBLANK(A68),"""",GOOGLETRANSLATE(A68,""en"",""fr""))"),"")</f>
        <v/>
      </c>
    </row>
    <row r="69" spans="1:2">
      <c r="B69" s="3" t="str">
        <f ca="1">IFERROR(__xludf.DUMMYFUNCTION("IF(ISBLANK(A69),"""",GOOGLETRANSLATE(A69,""en"",""fr""))"),"")</f>
        <v/>
      </c>
    </row>
    <row r="70" spans="1:2">
      <c r="A70" s="3" t="s">
        <v>104</v>
      </c>
      <c r="B70" s="3" t="str">
        <f ca="1">IFERROR(__xludf.DUMMYFUNCTION("IF(ISBLANK(A70),"""",GOOGLETRANSLATE(A70,""en"",""fr""))"),"Captive du futur : Comment la technologie redéfinit les opérations financières des captives - Points clés du webinaire de l'AFSA")</f>
        <v>Captive du futur : Comment la technologie redéfinit les opérations financières des captives - Points clés du webinaire de l'AFSA</v>
      </c>
    </row>
    <row r="71" spans="1:2">
      <c r="B71" s="3" t="str">
        <f ca="1">IFERROR(__xludf.DUMMYFUNCTION("IF(ISBLANK(A71),"""",GOOGLETRANSLATE(A71,""en"",""fr""))"),"")</f>
        <v/>
      </c>
    </row>
    <row r="72" spans="1:2">
      <c r="B72" s="3" t="str">
        <f ca="1">IFERROR(__xludf.DUMMYFUNCTION("IF(ISBLANK(A72),"""",GOOGLETRANSLATE(A72,""en"",""fr""))"),"")</f>
        <v/>
      </c>
    </row>
    <row r="73" spans="1:2">
      <c r="A73" s="3" t="s">
        <v>105</v>
      </c>
      <c r="B73" s="3" t="str">
        <f ca="1">IFERROR(__xludf.DUMMYFUNCTION("IF(ISBLANK(A73),"""",GOOGLETRANSLATE(A73,""en"",""fr""))"),"Lutte contre la fraude dans le secteur financier de gros : exploiter la technologie pour une détection précoce et une atténuation des risques")</f>
        <v>Lutte contre la fraude dans le secteur financier de gros : exploiter la technologie pour une détection précoce et une atténuation des risques</v>
      </c>
    </row>
    <row r="74" spans="1:2">
      <c r="B74" s="3" t="str">
        <f ca="1">IFERROR(__xludf.DUMMYFUNCTION("IF(ISBLANK(A74),"""",GOOGLETRANSLATE(A74,""en"",""fr""))"),"")</f>
        <v/>
      </c>
    </row>
    <row r="75" spans="1:2">
      <c r="A75" s="3" t="s">
        <v>108</v>
      </c>
      <c r="B75" s="3" t="str">
        <f ca="1">IFERROR(__xludf.DUMMYFUNCTION("IF(ISBLANK(A75),"""",GOOGLETRANSLATE(A75,""en"",""fr""))"),"Abonnez-vous à notre newsletter pour recevoir les dernières nouvelles dans votre boîte mail.")</f>
        <v>Abonnez-vous à notre newsletter pour recevoir les dernières nouvelles dans votre boîte mail.</v>
      </c>
    </row>
    <row r="76" spans="1:2">
      <c r="A76" s="3" t="s">
        <v>109</v>
      </c>
      <c r="B76" s="3" t="str">
        <f ca="1">IFERROR(__xludf.DUMMYFUNCTION("IF(ISBLANK(A76),"""",GOOGLETRANSLATE(A76,""en"",""fr""))"),"abc@exemple.com")</f>
        <v>abc@exemple.com</v>
      </c>
    </row>
    <row r="77" spans="1:2">
      <c r="A77" s="3" t="s">
        <v>110</v>
      </c>
      <c r="B77" s="3" t="str">
        <f ca="1">IFERROR(__xludf.DUMMYFUNCTION("IF(ISBLANK(A77),"""",GOOGLETRANSLATE(A77,""en"",""fr""))"),"S'abonner ")</f>
        <v xml:space="preserve">S'abonner </v>
      </c>
    </row>
    <row r="78" spans="1:2">
      <c r="B78" s="3" t="str">
        <f ca="1">IFERROR(__xludf.DUMMYFUNCTION("IF(ISBLANK(A78),"""",GOOGLETRANSLATE(A78,""en"",""fr""))"),"")</f>
        <v/>
      </c>
    </row>
    <row r="79" spans="1:2">
      <c r="B79" s="3" t="str">
        <f ca="1">IFERROR(__xludf.DUMMYFUNCTION("IF(ISBLANK(A79),"""",GOOGLETRANSLATE(A79,""en"",""fr""))"),"")</f>
        <v/>
      </c>
    </row>
    <row r="80" spans="1:2">
      <c r="B80" s="3" t="str">
        <f ca="1">IFERROR(__xludf.DUMMYFUNCTION("IF(ISBLANK(A80),"""",GOOGLETRANSLATE(A80,""en"",""fr""))"),"")</f>
        <v/>
      </c>
    </row>
    <row r="81" spans="2:2">
      <c r="B81" s="3" t="str">
        <f ca="1">IFERROR(__xludf.DUMMYFUNCTION("IF(ISBLANK(A81),"""",GOOGLETRANSLATE(A81,""en"",""fr""))"),"")</f>
        <v/>
      </c>
    </row>
    <row r="82" spans="2:2">
      <c r="B82" s="3" t="str">
        <f ca="1">IFERROR(__xludf.DUMMYFUNCTION("IF(ISBLANK(A82),"""",GOOGLETRANSLATE(A82,""en"",""fr""))"),"")</f>
        <v/>
      </c>
    </row>
    <row r="83" spans="2:2">
      <c r="B83" s="3" t="str">
        <f ca="1">IFERROR(__xludf.DUMMYFUNCTION("IF(ISBLANK(A83),"""",GOOGLETRANSLATE(A83,""en"",""fr""))"),"")</f>
        <v/>
      </c>
    </row>
    <row r="84" spans="2:2">
      <c r="B84" s="3" t="str">
        <f ca="1">IFERROR(__xludf.DUMMYFUNCTION("IF(ISBLANK(A84),"""",GOOGLETRANSLATE(A84,""en"",""fr""))"),"")</f>
        <v/>
      </c>
    </row>
    <row r="85" spans="2:2">
      <c r="B85" s="3" t="str">
        <f ca="1">IFERROR(__xludf.DUMMYFUNCTION("IF(ISBLANK(A85),"""",GOOGLETRANSLATE(A85,""en"",""fr""))"),"")</f>
        <v/>
      </c>
    </row>
    <row r="86" spans="2:2">
      <c r="B86" s="3" t="str">
        <f ca="1">IFERROR(__xludf.DUMMYFUNCTION("IF(ISBLANK(A86),"""",GOOGLETRANSLATE(A86,""en"",""fr""))"),"")</f>
        <v/>
      </c>
    </row>
    <row r="87" spans="2:2">
      <c r="B87" s="3" t="str">
        <f ca="1">IFERROR(__xludf.DUMMYFUNCTION("IF(ISBLANK(A87),"""",GOOGLETRANSLATE(A87,""en"",""fr""))"),"")</f>
        <v/>
      </c>
    </row>
    <row r="88" spans="2:2">
      <c r="B88" s="3" t="str">
        <f ca="1">IFERROR(__xludf.DUMMYFUNCTION("IF(ISBLANK(A88),"""",GOOGLETRANSLATE(A88,""en"",""fr""))"),"")</f>
        <v/>
      </c>
    </row>
    <row r="89" spans="2:2">
      <c r="B89" s="3" t="str">
        <f ca="1">IFERROR(__xludf.DUMMYFUNCTION("IF(ISBLANK(A89),"""",GOOGLETRANSLATE(A89,""en"",""fr""))"),"")</f>
        <v/>
      </c>
    </row>
    <row r="90" spans="2:2">
      <c r="B90" s="3" t="str">
        <f ca="1">IFERROR(__xludf.DUMMYFUNCTION("IF(ISBLANK(A90),"""",GOOGLETRANSLATE(A90,""en"",""fr""))"),"")</f>
        <v/>
      </c>
    </row>
    <row r="91" spans="2:2">
      <c r="B91" s="3" t="str">
        <f ca="1">IFERROR(__xludf.DUMMYFUNCTION("IF(ISBLANK(A91),"""",GOOGLETRANSLATE(A91,""en"",""fr""))"),"")</f>
        <v/>
      </c>
    </row>
    <row r="92" spans="2:2">
      <c r="B92" s="3" t="str">
        <f ca="1">IFERROR(__xludf.DUMMYFUNCTION("IF(ISBLANK(A92),"""",GOOGLETRANSLATE(A92,""en"",""fr""))"),"")</f>
        <v/>
      </c>
    </row>
    <row r="93" spans="2:2">
      <c r="B93" s="3" t="str">
        <f ca="1">IFERROR(__xludf.DUMMYFUNCTION("IF(ISBLANK(A93),"""",GOOGLETRANSLATE(A93,""en"",""fr""))"),"")</f>
        <v/>
      </c>
    </row>
    <row r="94" spans="2:2">
      <c r="B94" s="3" t="str">
        <f ca="1">IFERROR(__xludf.DUMMYFUNCTION("IF(ISBLANK(A94),"""",GOOGLETRANSLATE(A94,""en"",""fr""))"),"")</f>
        <v/>
      </c>
    </row>
    <row r="95" spans="2:2">
      <c r="B95" s="3" t="str">
        <f ca="1">IFERROR(__xludf.DUMMYFUNCTION("IF(ISBLANK(A95),"""",GOOGLETRANSLATE(A95,""en"",""fr""))"),"")</f>
        <v/>
      </c>
    </row>
    <row r="96" spans="2:2">
      <c r="B96" s="3" t="str">
        <f ca="1">IFERROR(__xludf.DUMMYFUNCTION("IF(ISBLANK(A96),"""",GOOGLETRANSLATE(A96,""en"",""fr""))"),"")</f>
        <v/>
      </c>
    </row>
    <row r="97" spans="2:2">
      <c r="B97" s="3" t="str">
        <f ca="1">IFERROR(__xludf.DUMMYFUNCTION("IF(ISBLANK(A97),"""",GOOGLETRANSLATE(A97,""en"",""fr""))"),"")</f>
        <v/>
      </c>
    </row>
    <row r="98" spans="2:2">
      <c r="B98" s="3" t="str">
        <f ca="1">IFERROR(__xludf.DUMMYFUNCTION("IF(ISBLANK(A98),"""",GOOGLETRANSLATE(A98,""en"",""fr""))"),"")</f>
        <v/>
      </c>
    </row>
    <row r="99" spans="2:2">
      <c r="B99" s="3" t="str">
        <f ca="1">IFERROR(__xludf.DUMMYFUNCTION("IF(ISBLANK(A99),"""",GOOGLETRANSLATE(A99,""en"",""fr""))"),"")</f>
        <v/>
      </c>
    </row>
    <row r="100" spans="2:2">
      <c r="B100" s="3" t="str">
        <f ca="1">IFERROR(__xludf.DUMMYFUNCTION("IF(ISBLANK(A100),"""",GOOGLETRANSLATE(A100,""en"",""fr""))"),"")</f>
        <v/>
      </c>
    </row>
    <row r="101" spans="2:2">
      <c r="B101" s="3" t="str">
        <f ca="1">IFERROR(__xludf.DUMMYFUNCTION("IF(ISBLANK(A101),"""",GOOGLETRANSLATE(A101,""en"",""fr""))"),"")</f>
        <v/>
      </c>
    </row>
    <row r="102" spans="2:2">
      <c r="B102" s="3" t="str">
        <f ca="1">IFERROR(__xludf.DUMMYFUNCTION("IF(ISBLANK(A102),"""",GOOGLETRANSLATE(A102,""en"",""fr""))"),"")</f>
        <v/>
      </c>
    </row>
    <row r="103" spans="2:2">
      <c r="B103" s="3" t="str">
        <f ca="1">IFERROR(__xludf.DUMMYFUNCTION("IF(ISBLANK(A103),"""",GOOGLETRANSLATE(A103,""en"",""fr""))"),"")</f>
        <v/>
      </c>
    </row>
    <row r="104" spans="2:2">
      <c r="B104" s="3" t="str">
        <f ca="1">IFERROR(__xludf.DUMMYFUNCTION("IF(ISBLANK(A104),"""",GOOGLETRANSLATE(A104,""en"",""fr""))"),"")</f>
        <v/>
      </c>
    </row>
    <row r="105" spans="2:2">
      <c r="B105" s="3" t="str">
        <f ca="1">IFERROR(__xludf.DUMMYFUNCTION("IF(ISBLANK(A105),"""",GOOGLETRANSLATE(A105,""en"",""fr""))"),"")</f>
        <v/>
      </c>
    </row>
    <row r="106" spans="2:2">
      <c r="B106" s="3" t="str">
        <f ca="1">IFERROR(__xludf.DUMMYFUNCTION("IF(ISBLANK(A106),"""",GOOGLETRANSLATE(A106,""en"",""fr""))"),"")</f>
        <v/>
      </c>
    </row>
    <row r="107" spans="2:2">
      <c r="B107" s="3" t="str">
        <f ca="1">IFERROR(__xludf.DUMMYFUNCTION("IF(ISBLANK(A107),"""",GOOGLETRANSLATE(A107,""en"",""fr""))"),"")</f>
        <v/>
      </c>
    </row>
    <row r="108" spans="2:2">
      <c r="B108" s="3" t="str">
        <f ca="1">IFERROR(__xludf.DUMMYFUNCTION("IF(ISBLANK(A108),"""",GOOGLETRANSLATE(A108,""en"",""fr""))"),"")</f>
        <v/>
      </c>
    </row>
    <row r="109" spans="2:2">
      <c r="B109" s="3" t="str">
        <f ca="1">IFERROR(__xludf.DUMMYFUNCTION("IF(ISBLANK(A109),"""",GOOGLETRANSLATE(A109,""en"",""fr""))"),"")</f>
        <v/>
      </c>
    </row>
    <row r="110" spans="2:2">
      <c r="B110" s="3" t="str">
        <f ca="1">IFERROR(__xludf.DUMMYFUNCTION("IF(ISBLANK(A110),"""",GOOGLETRANSLATE(A110,""en"",""fr""))"),"")</f>
        <v/>
      </c>
    </row>
    <row r="111" spans="2:2">
      <c r="B111" s="3" t="str">
        <f ca="1">IFERROR(__xludf.DUMMYFUNCTION("IF(ISBLANK(A111),"""",GOOGLETRANSLATE(A111,""en"",""fr""))"),"")</f>
        <v/>
      </c>
    </row>
    <row r="112" spans="2:2">
      <c r="B112" s="3" t="str">
        <f ca="1">IFERROR(__xludf.DUMMYFUNCTION("IF(ISBLANK(A112),"""",GOOGLETRANSLATE(A112,""en"",""fr""))"),"")</f>
        <v/>
      </c>
    </row>
    <row r="113" spans="2:2">
      <c r="B113" s="3" t="str">
        <f ca="1">IFERROR(__xludf.DUMMYFUNCTION("IF(ISBLANK(A113),"""",GOOGLETRANSLATE(A113,""en"",""fr""))"),"")</f>
        <v/>
      </c>
    </row>
    <row r="114" spans="2:2">
      <c r="B114" s="3" t="str">
        <f ca="1">IFERROR(__xludf.DUMMYFUNCTION("IF(ISBLANK(A114),"""",GOOGLETRANSLATE(A114,""en"",""fr""))"),"")</f>
        <v/>
      </c>
    </row>
    <row r="115" spans="2:2">
      <c r="B115" s="3" t="str">
        <f ca="1">IFERROR(__xludf.DUMMYFUNCTION("IF(ISBLANK(A115),"""",GOOGLETRANSLATE(A115,""en"",""fr""))"),"")</f>
        <v/>
      </c>
    </row>
    <row r="116" spans="2:2">
      <c r="B116" s="3" t="str">
        <f ca="1">IFERROR(__xludf.DUMMYFUNCTION("IF(ISBLANK(A116),"""",GOOGLETRANSLATE(A116,""en"",""fr""))"),"")</f>
        <v/>
      </c>
    </row>
    <row r="117" spans="2:2">
      <c r="B117" s="3" t="str">
        <f ca="1">IFERROR(__xludf.DUMMYFUNCTION("IF(ISBLANK(A117),"""",GOOGLETRANSLATE(A117,""en"",""fr""))"),"")</f>
        <v/>
      </c>
    </row>
    <row r="118" spans="2:2">
      <c r="B118" s="3" t="str">
        <f ca="1">IFERROR(__xludf.DUMMYFUNCTION("IF(ISBLANK(A118),"""",GOOGLETRANSLATE(A118,""en"",""fr""))"),"")</f>
        <v/>
      </c>
    </row>
    <row r="119" spans="2:2">
      <c r="B119" s="3" t="str">
        <f ca="1">IFERROR(__xludf.DUMMYFUNCTION("IF(ISBLANK(A119),"""",GOOGLETRANSLATE(A119,""en"",""fr""))"),"")</f>
        <v/>
      </c>
    </row>
    <row r="120" spans="2:2">
      <c r="B120" s="3" t="str">
        <f ca="1">IFERROR(__xludf.DUMMYFUNCTION("IF(ISBLANK(A120),"""",GOOGLETRANSLATE(A120,""en"",""fr""))"),"")</f>
        <v/>
      </c>
    </row>
    <row r="121" spans="2:2">
      <c r="B121" s="3" t="str">
        <f ca="1">IFERROR(__xludf.DUMMYFUNCTION("IF(ISBLANK(A121),"""",GOOGLETRANSLATE(A121,""en"",""fr""))"),"")</f>
        <v/>
      </c>
    </row>
    <row r="122" spans="2:2">
      <c r="B122" s="3" t="str">
        <f ca="1">IFERROR(__xludf.DUMMYFUNCTION("IF(ISBLANK(A122),"""",GOOGLETRANSLATE(A122,""en"",""fr""))"),"")</f>
        <v/>
      </c>
    </row>
    <row r="123" spans="2:2">
      <c r="B123" s="3" t="str">
        <f ca="1">IFERROR(__xludf.DUMMYFUNCTION("IF(ISBLANK(A123),"""",GOOGLETRANSLATE(A123,""en"",""fr""))"),"")</f>
        <v/>
      </c>
    </row>
    <row r="124" spans="2:2">
      <c r="B124" s="3" t="str">
        <f ca="1">IFERROR(__xludf.DUMMYFUNCTION("IF(ISBLANK(A124),"""",GOOGLETRANSLATE(A124,""en"",""fr""))"),"")</f>
        <v/>
      </c>
    </row>
    <row r="125" spans="2:2">
      <c r="B125" s="3" t="str">
        <f ca="1">IFERROR(__xludf.DUMMYFUNCTION("IF(ISBLANK(A125),"""",GOOGLETRANSLATE(A125,""en"",""fr""))"),"")</f>
        <v/>
      </c>
    </row>
    <row r="126" spans="2:2">
      <c r="B126" s="3" t="str">
        <f ca="1">IFERROR(__xludf.DUMMYFUNCTION("IF(ISBLANK(A126),"""",GOOGLETRANSLATE(A126,""en"",""fr""))"),"")</f>
        <v/>
      </c>
    </row>
    <row r="127" spans="2:2">
      <c r="B127" s="3" t="str">
        <f ca="1">IFERROR(__xludf.DUMMYFUNCTION("IF(ISBLANK(A127),"""",GOOGLETRANSLATE(A127,""en"",""fr""))"),"")</f>
        <v/>
      </c>
    </row>
    <row r="128" spans="2:2">
      <c r="B128" s="3" t="str">
        <f ca="1">IFERROR(__xludf.DUMMYFUNCTION("IF(ISBLANK(A128),"""",GOOGLETRANSLATE(A128,""en"",""fr""))"),"")</f>
        <v/>
      </c>
    </row>
    <row r="129" spans="2:2">
      <c r="B129" s="3" t="str">
        <f ca="1">IFERROR(__xludf.DUMMYFUNCTION("IF(ISBLANK(A129),"""",GOOGLETRANSLATE(A129,""en"",""fr""))"),"")</f>
        <v/>
      </c>
    </row>
    <row r="130" spans="2:2">
      <c r="B130" s="3" t="str">
        <f ca="1">IFERROR(__xludf.DUMMYFUNCTION("IF(ISBLANK(A130),"""",GOOGLETRANSLATE(A130,""en"",""fr""))"),"")</f>
        <v/>
      </c>
    </row>
    <row r="131" spans="2:2">
      <c r="B131" s="3" t="str">
        <f ca="1">IFERROR(__xludf.DUMMYFUNCTION("IF(ISBLANK(A131),"""",GOOGLETRANSLATE(A131,""en"",""fr""))"),"")</f>
        <v/>
      </c>
    </row>
    <row r="132" spans="2:2">
      <c r="B132" s="3" t="str">
        <f ca="1">IFERROR(__xludf.DUMMYFUNCTION("IF(ISBLANK(A132),"""",GOOGLETRANSLATE(A132,""en"",""fr""))"),"")</f>
        <v/>
      </c>
    </row>
    <row r="133" spans="2:2">
      <c r="B133" s="3" t="str">
        <f ca="1">IFERROR(__xludf.DUMMYFUNCTION("IF(ISBLANK(A133),"""",GOOGLETRANSLATE(A133,""en"",""fr""))"),"")</f>
        <v/>
      </c>
    </row>
    <row r="134" spans="2:2">
      <c r="B134" s="3" t="str">
        <f ca="1">IFERROR(__xludf.DUMMYFUNCTION("IF(ISBLANK(A134),"""",GOOGLETRANSLATE(A134,""en"",""fr""))"),"")</f>
        <v/>
      </c>
    </row>
    <row r="135" spans="2:2">
      <c r="B135" s="3" t="str">
        <f ca="1">IFERROR(__xludf.DUMMYFUNCTION("IF(ISBLANK(A135),"""",GOOGLETRANSLATE(A135,""en"",""fr""))"),"")</f>
        <v/>
      </c>
    </row>
    <row r="136" spans="2:2">
      <c r="B136" s="3" t="str">
        <f ca="1">IFERROR(__xludf.DUMMYFUNCTION("IF(ISBLANK(A136),"""",GOOGLETRANSLATE(A136,""en"",""fr""))"),"")</f>
        <v/>
      </c>
    </row>
    <row r="137" spans="2:2">
      <c r="B137" s="3" t="str">
        <f ca="1">IFERROR(__xludf.DUMMYFUNCTION("IF(ISBLANK(A137),"""",GOOGLETRANSLATE(A137,""en"",""fr""))"),"")</f>
        <v/>
      </c>
    </row>
    <row r="138" spans="2:2">
      <c r="B138" s="3" t="str">
        <f ca="1">IFERROR(__xludf.DUMMYFUNCTION("IF(ISBLANK(A138),"""",GOOGLETRANSLATE(A138,""en"",""fr""))"),"")</f>
        <v/>
      </c>
    </row>
    <row r="139" spans="2:2">
      <c r="B139" s="3" t="str">
        <f ca="1">IFERROR(__xludf.DUMMYFUNCTION("IF(ISBLANK(A139),"""",GOOGLETRANSLATE(A139,""en"",""fr""))"),"")</f>
        <v/>
      </c>
    </row>
    <row r="140" spans="2:2">
      <c r="B140" s="3" t="str">
        <f ca="1">IFERROR(__xludf.DUMMYFUNCTION("IF(ISBLANK(A140),"""",GOOGLETRANSLATE(A140,""en"",""fr""))"),"")</f>
        <v/>
      </c>
    </row>
    <row r="141" spans="2:2">
      <c r="B141" s="3" t="str">
        <f ca="1">IFERROR(__xludf.DUMMYFUNCTION("IF(ISBLANK(A141),"""",GOOGLETRANSLATE(A141,""en"",""fr""))"),"")</f>
        <v/>
      </c>
    </row>
    <row r="142" spans="2:2">
      <c r="B142" s="3" t="str">
        <f ca="1">IFERROR(__xludf.DUMMYFUNCTION("IF(ISBLANK(A142),"""",GOOGLETRANSLATE(A142,""en"",""fr""))"),"")</f>
        <v/>
      </c>
    </row>
    <row r="143" spans="2:2">
      <c r="B143" s="3" t="str">
        <f ca="1">IFERROR(__xludf.DUMMYFUNCTION("IF(ISBLANK(A143),"""",GOOGLETRANSLATE(A143,""en"",""fr""))"),"")</f>
        <v/>
      </c>
    </row>
    <row r="144" spans="2:2">
      <c r="B144" s="3" t="str">
        <f ca="1">IFERROR(__xludf.DUMMYFUNCTION("IF(ISBLANK(A144),"""",GOOGLETRANSLATE(A144,""en"",""fr""))"),"")</f>
        <v/>
      </c>
    </row>
    <row r="145" spans="2:2">
      <c r="B145" s="3" t="str">
        <f ca="1">IFERROR(__xludf.DUMMYFUNCTION("IF(ISBLANK(A145),"""",GOOGLETRANSLATE(A145,""en"",""fr""))"),"")</f>
        <v/>
      </c>
    </row>
    <row r="146" spans="2:2">
      <c r="B146" s="3" t="str">
        <f ca="1">IFERROR(__xludf.DUMMYFUNCTION("IF(ISBLANK(A146),"""",GOOGLETRANSLATE(A146,""en"",""fr""))"),"")</f>
        <v/>
      </c>
    </row>
    <row r="147" spans="2:2">
      <c r="B147" s="3" t="str">
        <f ca="1">IFERROR(__xludf.DUMMYFUNCTION("IF(ISBLANK(A147),"""",GOOGLETRANSLATE(A147,""en"",""fr""))"),"")</f>
        <v/>
      </c>
    </row>
    <row r="148" spans="2:2">
      <c r="B148" s="3" t="str">
        <f ca="1">IFERROR(__xludf.DUMMYFUNCTION("IF(ISBLANK(A148),"""",GOOGLETRANSLATE(A148,""en"",""fr""))"),"")</f>
        <v/>
      </c>
    </row>
    <row r="149" spans="2:2">
      <c r="B149" s="3" t="str">
        <f ca="1">IFERROR(__xludf.DUMMYFUNCTION("IF(ISBLANK(A149),"""",GOOGLETRANSLATE(A149,""en"",""fr""))"),"")</f>
        <v/>
      </c>
    </row>
    <row r="150" spans="2:2">
      <c r="B150" s="3" t="str">
        <f ca="1">IFERROR(__xludf.DUMMYFUNCTION("IF(ISBLANK(A150),"""",GOOGLETRANSLATE(A150,""en"",""fr""))"),"")</f>
        <v/>
      </c>
    </row>
    <row r="151" spans="2:2">
      <c r="B151" s="3" t="str">
        <f ca="1">IFERROR(__xludf.DUMMYFUNCTION("IF(ISBLANK(A151),"""",GOOGLETRANSLATE(A151,""en"",""fr""))"),"")</f>
        <v/>
      </c>
    </row>
    <row r="152" spans="2:2">
      <c r="B152" s="3" t="str">
        <f ca="1">IFERROR(__xludf.DUMMYFUNCTION("IF(ISBLANK(A152),"""",GOOGLETRANSLATE(A152,""en"",""fr""))"),"")</f>
        <v/>
      </c>
    </row>
    <row r="153" spans="2:2">
      <c r="B153" s="3" t="str">
        <f ca="1">IFERROR(__xludf.DUMMYFUNCTION("IF(ISBLANK(A153),"""",GOOGLETRANSLATE(A153,""en"",""fr""))"),"")</f>
        <v/>
      </c>
    </row>
    <row r="154" spans="2:2">
      <c r="B154" s="3" t="str">
        <f ca="1">IFERROR(__xludf.DUMMYFUNCTION("IF(ISBLANK(A154),"""",GOOGLETRANSLATE(A154,""en"",""fr""))"),"")</f>
        <v/>
      </c>
    </row>
    <row r="155" spans="2:2">
      <c r="B155" s="3" t="str">
        <f ca="1">IFERROR(__xludf.DUMMYFUNCTION("IF(ISBLANK(A155),"""",GOOGLETRANSLATE(A155,""en"",""fr""))"),"")</f>
        <v/>
      </c>
    </row>
    <row r="156" spans="2:2">
      <c r="B156" s="3" t="str">
        <f ca="1">IFERROR(__xludf.DUMMYFUNCTION("IF(ISBLANK(A156),"""",GOOGLETRANSLATE(A156,""en"",""fr""))"),"")</f>
        <v/>
      </c>
    </row>
    <row r="157" spans="2:2">
      <c r="B157" s="3" t="str">
        <f ca="1">IFERROR(__xludf.DUMMYFUNCTION("IF(ISBLANK(A157),"""",GOOGLETRANSLATE(A157,""en"",""fr""))"),"")</f>
        <v/>
      </c>
    </row>
    <row r="158" spans="2:2">
      <c r="B158" s="3" t="str">
        <f ca="1">IFERROR(__xludf.DUMMYFUNCTION("IF(ISBLANK(A158),"""",GOOGLETRANSLATE(A158,""en"",""fr""))"),"")</f>
        <v/>
      </c>
    </row>
    <row r="159" spans="2:2">
      <c r="B159" s="3" t="str">
        <f ca="1">IFERROR(__xludf.DUMMYFUNCTION("IF(ISBLANK(A159),"""",GOOGLETRANSLATE(A159,""en"",""fr""))"),"")</f>
        <v/>
      </c>
    </row>
    <row r="160" spans="2:2">
      <c r="B160" s="3" t="str">
        <f ca="1">IFERROR(__xludf.DUMMYFUNCTION("IF(ISBLANK(A160),"""",GOOGLETRANSLATE(A160,""en"",""fr""))"),"")</f>
        <v/>
      </c>
    </row>
    <row r="161" spans="2:2">
      <c r="B161" s="3" t="str">
        <f ca="1">IFERROR(__xludf.DUMMYFUNCTION("IF(ISBLANK(A161),"""",GOOGLETRANSLATE(A161,""en"",""fr""))"),"")</f>
        <v/>
      </c>
    </row>
    <row r="162" spans="2:2">
      <c r="B162" s="3" t="str">
        <f ca="1">IFERROR(__xludf.DUMMYFUNCTION("IF(ISBLANK(A162),"""",GOOGLETRANSLATE(A162,""en"",""fr""))"),"")</f>
        <v/>
      </c>
    </row>
    <row r="163" spans="2:2">
      <c r="B163" s="3" t="str">
        <f ca="1">IFERROR(__xludf.DUMMYFUNCTION("IF(ISBLANK(A163),"""",GOOGLETRANSLATE(A163,""en"",""fr""))"),"")</f>
        <v/>
      </c>
    </row>
    <row r="164" spans="2:2">
      <c r="B164" s="3" t="str">
        <f ca="1">IFERROR(__xludf.DUMMYFUNCTION("IF(ISBLANK(A164),"""",GOOGLETRANSLATE(A164,""en"",""fr""))"),"")</f>
        <v/>
      </c>
    </row>
    <row r="165" spans="2:2">
      <c r="B165" s="3" t="str">
        <f ca="1">IFERROR(__xludf.DUMMYFUNCTION("IF(ISBLANK(A165),"""",GOOGLETRANSLATE(A165,""en"",""fr""))"),"")</f>
        <v/>
      </c>
    </row>
    <row r="166" spans="2:2">
      <c r="B166" s="3" t="str">
        <f ca="1">IFERROR(__xludf.DUMMYFUNCTION("IF(ISBLANK(A166),"""",GOOGLETRANSLATE(A166,""en"",""fr""))"),"")</f>
        <v/>
      </c>
    </row>
    <row r="167" spans="2:2">
      <c r="B167" s="3" t="str">
        <f ca="1">IFERROR(__xludf.DUMMYFUNCTION("IF(ISBLANK(A167),"""",GOOGLETRANSLATE(A167,""en"",""fr""))"),"")</f>
        <v/>
      </c>
    </row>
    <row r="168" spans="2:2">
      <c r="B168" s="3" t="str">
        <f ca="1">IFERROR(__xludf.DUMMYFUNCTION("IF(ISBLANK(A168),"""",GOOGLETRANSLATE(A168,""en"",""fr""))"),"")</f>
        <v/>
      </c>
    </row>
    <row r="169" spans="2:2">
      <c r="B169" s="3" t="str">
        <f ca="1">IFERROR(__xludf.DUMMYFUNCTION("IF(ISBLANK(A169),"""",GOOGLETRANSLATE(A169,""en"",""fr""))"),"")</f>
        <v/>
      </c>
    </row>
    <row r="170" spans="2:2">
      <c r="B170" s="3" t="str">
        <f ca="1">IFERROR(__xludf.DUMMYFUNCTION("IF(ISBLANK(A170),"""",GOOGLETRANSLATE(A170,""en"",""fr""))"),"")</f>
        <v/>
      </c>
    </row>
    <row r="171" spans="2:2">
      <c r="B171" s="3" t="str">
        <f ca="1">IFERROR(__xludf.DUMMYFUNCTION("IF(ISBLANK(A171),"""",GOOGLETRANSLATE(A171,""en"",""fr""))"),"")</f>
        <v/>
      </c>
    </row>
    <row r="172" spans="2:2">
      <c r="B172" s="3" t="str">
        <f ca="1">IFERROR(__xludf.DUMMYFUNCTION("IF(ISBLANK(A172),"""",GOOGLETRANSLATE(A172,""en"",""fr""))"),"")</f>
        <v/>
      </c>
    </row>
    <row r="173" spans="2:2">
      <c r="B173" s="3" t="str">
        <f ca="1">IFERROR(__xludf.DUMMYFUNCTION("IF(ISBLANK(A173),"""",GOOGLETRANSLATE(A173,""en"",""fr""))"),"")</f>
        <v/>
      </c>
    </row>
    <row r="174" spans="2:2">
      <c r="B174" s="3" t="str">
        <f ca="1">IFERROR(__xludf.DUMMYFUNCTION("IF(ISBLANK(A174),"""",GOOGLETRANSLATE(A174,""en"",""fr""))"),"")</f>
        <v/>
      </c>
    </row>
    <row r="175" spans="2:2">
      <c r="B175" s="3" t="str">
        <f ca="1">IFERROR(__xludf.DUMMYFUNCTION("IF(ISBLANK(A175),"""",GOOGLETRANSLATE(A175,""en"",""fr""))"),"")</f>
        <v/>
      </c>
    </row>
    <row r="176" spans="2:2">
      <c r="B176" s="3" t="str">
        <f ca="1">IFERROR(__xludf.DUMMYFUNCTION("IF(ISBLANK(A176),"""",GOOGLETRANSLATE(A176,""en"",""fr""))"),"")</f>
        <v/>
      </c>
    </row>
    <row r="177" spans="2:2">
      <c r="B177" s="3" t="str">
        <f ca="1">IFERROR(__xludf.DUMMYFUNCTION("IF(ISBLANK(A177),"""",GOOGLETRANSLATE(A177,""en"",""fr""))"),"")</f>
        <v/>
      </c>
    </row>
    <row r="178" spans="2:2">
      <c r="B178" s="3" t="str">
        <f ca="1">IFERROR(__xludf.DUMMYFUNCTION("IF(ISBLANK(A178),"""",GOOGLETRANSLATE(A178,""en"",""fr""))"),"")</f>
        <v/>
      </c>
    </row>
    <row r="179" spans="2:2">
      <c r="B179" s="3" t="str">
        <f ca="1">IFERROR(__xludf.DUMMYFUNCTION("IF(ISBLANK(A179),"""",GOOGLETRANSLATE(A179,""en"",""fr""))"),"")</f>
        <v/>
      </c>
    </row>
    <row r="180" spans="2:2">
      <c r="B180" s="3" t="str">
        <f ca="1">IFERROR(__xludf.DUMMYFUNCTION("IF(ISBLANK(A180),"""",GOOGLETRANSLATE(A180,""en"",""fr""))"),"")</f>
        <v/>
      </c>
    </row>
    <row r="181" spans="2:2">
      <c r="B181" s="3" t="str">
        <f ca="1">IFERROR(__xludf.DUMMYFUNCTION("IF(ISBLANK(A181),"""",GOOGLETRANSLATE(A181,""en"",""fr""))"),"")</f>
        <v/>
      </c>
    </row>
    <row r="182" spans="2:2">
      <c r="B182" s="3" t="str">
        <f ca="1">IFERROR(__xludf.DUMMYFUNCTION("IF(ISBLANK(A182),"""",GOOGLETRANSLATE(A182,""en"",""fr""))"),"")</f>
        <v/>
      </c>
    </row>
    <row r="183" spans="2:2">
      <c r="B183" s="3" t="str">
        <f ca="1">IFERROR(__xludf.DUMMYFUNCTION("IF(ISBLANK(A183),"""",GOOGLETRANSLATE(A183,""en"",""fr""))"),"")</f>
        <v/>
      </c>
    </row>
    <row r="184" spans="2:2">
      <c r="B184" s="3" t="str">
        <f ca="1">IFERROR(__xludf.DUMMYFUNCTION("IF(ISBLANK(A184),"""",GOOGLETRANSLATE(A184,""en"",""fr""))"),"")</f>
        <v/>
      </c>
    </row>
    <row r="185" spans="2:2">
      <c r="B185" s="3" t="str">
        <f ca="1">IFERROR(__xludf.DUMMYFUNCTION("IF(ISBLANK(A185),"""",GOOGLETRANSLATE(A185,""en"",""fr""))"),"")</f>
        <v/>
      </c>
    </row>
    <row r="186" spans="2:2">
      <c r="B186" s="3" t="str">
        <f ca="1">IFERROR(__xludf.DUMMYFUNCTION("IF(ISBLANK(A186),"""",GOOGLETRANSLATE(A186,""en"",""fr""))"),"")</f>
        <v/>
      </c>
    </row>
    <row r="187" spans="2:2">
      <c r="B187" s="3" t="str">
        <f ca="1">IFERROR(__xludf.DUMMYFUNCTION("IF(ISBLANK(A187),"""",GOOGLETRANSLATE(A187,""en"",""fr""))"),"")</f>
        <v/>
      </c>
    </row>
    <row r="188" spans="2:2">
      <c r="B188" s="3" t="str">
        <f ca="1">IFERROR(__xludf.DUMMYFUNCTION("IF(ISBLANK(A188),"""",GOOGLETRANSLATE(A188,""en"",""fr""))"),"")</f>
        <v/>
      </c>
    </row>
    <row r="189" spans="2:2">
      <c r="B189" s="3" t="str">
        <f ca="1">IFERROR(__xludf.DUMMYFUNCTION("IF(ISBLANK(A189),"""",GOOGLETRANSLATE(A189,""en"",""fr""))"),"")</f>
        <v/>
      </c>
    </row>
    <row r="190" spans="2:2">
      <c r="B190" s="3" t="str">
        <f ca="1">IFERROR(__xludf.DUMMYFUNCTION("IF(ISBLANK(A190),"""",GOOGLETRANSLATE(A190,""en"",""fr""))"),"")</f>
        <v/>
      </c>
    </row>
    <row r="191" spans="2:2">
      <c r="B191" s="3" t="str">
        <f ca="1">IFERROR(__xludf.DUMMYFUNCTION("IF(ISBLANK(A191),"""",GOOGLETRANSLATE(A191,""en"",""fr""))"),"")</f>
        <v/>
      </c>
    </row>
    <row r="192" spans="2:2">
      <c r="B192" s="3" t="str">
        <f ca="1">IFERROR(__xludf.DUMMYFUNCTION("IF(ISBLANK(A192),"""",GOOGLETRANSLATE(A192,""en"",""fr""))"),"")</f>
        <v/>
      </c>
    </row>
    <row r="193" spans="2:2">
      <c r="B193" s="3" t="str">
        <f ca="1">IFERROR(__xludf.DUMMYFUNCTION("IF(ISBLANK(A193),"""",GOOGLETRANSLATE(A193,""en"",""fr""))"),"")</f>
        <v/>
      </c>
    </row>
    <row r="194" spans="2:2">
      <c r="B194" s="3" t="str">
        <f ca="1">IFERROR(__xludf.DUMMYFUNCTION("IF(ISBLANK(A194),"""",GOOGLETRANSLATE(A194,""en"",""fr""))"),"")</f>
        <v/>
      </c>
    </row>
    <row r="195" spans="2:2">
      <c r="B195" s="3" t="str">
        <f ca="1">IFERROR(__xludf.DUMMYFUNCTION("IF(ISBLANK(A195),"""",GOOGLETRANSLATE(A195,""en"",""fr""))"),"")</f>
        <v/>
      </c>
    </row>
    <row r="196" spans="2:2">
      <c r="B196" s="3" t="str">
        <f ca="1">IFERROR(__xludf.DUMMYFUNCTION("IF(ISBLANK(A196),"""",GOOGLETRANSLATE(A196,""en"",""fr""))"),"")</f>
        <v/>
      </c>
    </row>
    <row r="197" spans="2:2">
      <c r="B197" s="3" t="str">
        <f ca="1">IFERROR(__xludf.DUMMYFUNCTION("IF(ISBLANK(A197),"""",GOOGLETRANSLATE(A197,""en"",""fr""))"),"")</f>
        <v/>
      </c>
    </row>
    <row r="198" spans="2:2">
      <c r="B198" s="3" t="str">
        <f ca="1">IFERROR(__xludf.DUMMYFUNCTION("IF(ISBLANK(A198),"""",GOOGLETRANSLATE(A198,""en"",""fr""))"),"")</f>
        <v/>
      </c>
    </row>
    <row r="199" spans="2:2">
      <c r="B199" s="3" t="str">
        <f ca="1">IFERROR(__xludf.DUMMYFUNCTION("IF(ISBLANK(A199),"""",GOOGLETRANSLATE(A199,""en"",""fr""))"),"")</f>
        <v/>
      </c>
    </row>
    <row r="200" spans="2:2">
      <c r="B200" s="3" t="str">
        <f ca="1">IFERROR(__xludf.DUMMYFUNCTION("IF(ISBLANK(A200),"""",GOOGLETRANSLATE(A200,""en"",""fr""))"),"")</f>
        <v/>
      </c>
    </row>
    <row r="201" spans="2:2">
      <c r="B201" s="3" t="str">
        <f ca="1">IFERROR(__xludf.DUMMYFUNCTION("IF(ISBLANK(A201),"""",GOOGLETRANSLATE(A201,""en"",""fr""))"),"")</f>
        <v/>
      </c>
    </row>
    <row r="202" spans="2:2">
      <c r="B202" s="3" t="str">
        <f ca="1">IFERROR(__xludf.DUMMYFUNCTION("IF(ISBLANK(A202),"""",GOOGLETRANSLATE(A202,""en"",""fr""))"),"")</f>
        <v/>
      </c>
    </row>
    <row r="203" spans="2:2">
      <c r="B203" s="3" t="str">
        <f ca="1">IFERROR(__xludf.DUMMYFUNCTION("IF(ISBLANK(A203),"""",GOOGLETRANSLATE(A203,""en"",""fr""))"),"")</f>
        <v/>
      </c>
    </row>
    <row r="204" spans="2:2">
      <c r="B204" s="3" t="str">
        <f ca="1">IFERROR(__xludf.DUMMYFUNCTION("IF(ISBLANK(A204),"""",GOOGLETRANSLATE(A204,""en"",""fr""))"),"")</f>
        <v/>
      </c>
    </row>
    <row r="205" spans="2:2">
      <c r="B205" s="3" t="str">
        <f ca="1">IFERROR(__xludf.DUMMYFUNCTION("IF(ISBLANK(A205),"""",GOOGLETRANSLATE(A205,""en"",""fr""))"),"")</f>
        <v/>
      </c>
    </row>
    <row r="206" spans="2:2">
      <c r="B206" s="3" t="str">
        <f ca="1">IFERROR(__xludf.DUMMYFUNCTION("IF(ISBLANK(A206),"""",GOOGLETRANSLATE(A206,""en"",""fr""))"),"")</f>
        <v/>
      </c>
    </row>
    <row r="207" spans="2:2">
      <c r="B207" s="3" t="str">
        <f ca="1">IFERROR(__xludf.DUMMYFUNCTION("IF(ISBLANK(A207),"""",GOOGLETRANSLATE(A207,""en"",""fr""))"),"")</f>
        <v/>
      </c>
    </row>
    <row r="208" spans="2:2">
      <c r="B208" s="3" t="str">
        <f ca="1">IFERROR(__xludf.DUMMYFUNCTION("IF(ISBLANK(A208),"""",GOOGLETRANSLATE(A208,""en"",""fr""))"),"")</f>
        <v/>
      </c>
    </row>
    <row r="209" spans="2:2">
      <c r="B209" s="3" t="str">
        <f ca="1">IFERROR(__xludf.DUMMYFUNCTION("IF(ISBLANK(A209),"""",GOOGLETRANSLATE(A209,""en"",""fr""))"),"")</f>
        <v/>
      </c>
    </row>
    <row r="210" spans="2:2">
      <c r="B210" s="3" t="str">
        <f ca="1">IFERROR(__xludf.DUMMYFUNCTION("IF(ISBLANK(A210),"""",GOOGLETRANSLATE(A210,""en"",""fr""))"),"")</f>
        <v/>
      </c>
    </row>
    <row r="211" spans="2:2">
      <c r="B211" s="3" t="str">
        <f ca="1">IFERROR(__xludf.DUMMYFUNCTION("IF(ISBLANK(A211),"""",GOOGLETRANSLATE(A211,""en"",""fr""))"),"")</f>
        <v/>
      </c>
    </row>
    <row r="212" spans="2:2">
      <c r="B212" s="3" t="str">
        <f ca="1">IFERROR(__xludf.DUMMYFUNCTION("IF(ISBLANK(A212),"""",GOOGLETRANSLATE(A212,""en"",""fr""))"),"")</f>
        <v/>
      </c>
    </row>
    <row r="213" spans="2:2">
      <c r="B213" s="3" t="str">
        <f ca="1">IFERROR(__xludf.DUMMYFUNCTION("IF(ISBLANK(A213),"""",GOOGLETRANSLATE(A213,""en"",""fr""))"),"")</f>
        <v/>
      </c>
    </row>
    <row r="214" spans="2:2">
      <c r="B214" s="3" t="str">
        <f ca="1">IFERROR(__xludf.DUMMYFUNCTION("IF(ISBLANK(A214),"""",GOOGLETRANSLATE(A214,""en"",""fr""))"),"")</f>
        <v/>
      </c>
    </row>
    <row r="215" spans="2:2">
      <c r="B215" s="3" t="str">
        <f ca="1">IFERROR(__xludf.DUMMYFUNCTION("IF(ISBLANK(A215),"""",GOOGLETRANSLATE(A215,""en"",""fr""))"),"")</f>
        <v/>
      </c>
    </row>
    <row r="216" spans="2:2">
      <c r="B216" s="3" t="str">
        <f ca="1">IFERROR(__xludf.DUMMYFUNCTION("IF(ISBLANK(A216),"""",GOOGLETRANSLATE(A216,""en"",""fr""))"),"")</f>
        <v/>
      </c>
    </row>
    <row r="217" spans="2:2">
      <c r="B217" s="3" t="str">
        <f ca="1">IFERROR(__xludf.DUMMYFUNCTION("IF(ISBLANK(A217),"""",GOOGLETRANSLATE(A217,""en"",""fr""))"),"")</f>
        <v/>
      </c>
    </row>
    <row r="218" spans="2:2">
      <c r="B218" s="3" t="str">
        <f ca="1">IFERROR(__xludf.DUMMYFUNCTION("IF(ISBLANK(A218),"""",GOOGLETRANSLATE(A218,""en"",""fr""))"),"")</f>
        <v/>
      </c>
    </row>
    <row r="219" spans="2:2">
      <c r="B219" s="3" t="str">
        <f ca="1">IFERROR(__xludf.DUMMYFUNCTION("IF(ISBLANK(A219),"""",GOOGLETRANSLATE(A219,""en"",""fr""))"),"")</f>
        <v/>
      </c>
    </row>
    <row r="220" spans="2:2">
      <c r="B220" s="3" t="str">
        <f ca="1">IFERROR(__xludf.DUMMYFUNCTION("IF(ISBLANK(A220),"""",GOOGLETRANSLATE(A220,""en"",""fr""))"),"")</f>
        <v/>
      </c>
    </row>
    <row r="221" spans="2:2">
      <c r="B221" s="3" t="str">
        <f ca="1">IFERROR(__xludf.DUMMYFUNCTION("IF(ISBLANK(A221),"""",GOOGLETRANSLATE(A221,""en"",""fr""))"),"")</f>
        <v/>
      </c>
    </row>
    <row r="222" spans="2:2">
      <c r="B222" s="3" t="str">
        <f ca="1">IFERROR(__xludf.DUMMYFUNCTION("IF(ISBLANK(A222),"""",GOOGLETRANSLATE(A222,""en"",""fr""))"),"")</f>
        <v/>
      </c>
    </row>
    <row r="223" spans="2:2">
      <c r="B223" s="3" t="str">
        <f ca="1">IFERROR(__xludf.DUMMYFUNCTION("IF(ISBLANK(A223),"""",GOOGLETRANSLATE(A223,""en"",""fr""))"),"")</f>
        <v/>
      </c>
    </row>
    <row r="224" spans="2:2">
      <c r="B224" s="3" t="str">
        <f ca="1">IFERROR(__xludf.DUMMYFUNCTION("IF(ISBLANK(A224),"""",GOOGLETRANSLATE(A224,""en"",""fr""))"),"")</f>
        <v/>
      </c>
    </row>
    <row r="225" spans="2:2">
      <c r="B225" s="3" t="str">
        <f ca="1">IFERROR(__xludf.DUMMYFUNCTION("IF(ISBLANK(A225),"""",GOOGLETRANSLATE(A225,""en"",""fr""))"),"")</f>
        <v/>
      </c>
    </row>
    <row r="226" spans="2:2">
      <c r="B226" s="3" t="str">
        <f ca="1">IFERROR(__xludf.DUMMYFUNCTION("IF(ISBLANK(A226),"""",GOOGLETRANSLATE(A226,""en"",""fr""))"),"")</f>
        <v/>
      </c>
    </row>
    <row r="227" spans="2:2">
      <c r="B227" s="3" t="str">
        <f ca="1">IFERROR(__xludf.DUMMYFUNCTION("IF(ISBLANK(A227),"""",GOOGLETRANSLATE(A227,""en"",""fr""))"),"")</f>
        <v/>
      </c>
    </row>
    <row r="228" spans="2:2">
      <c r="B228" s="3" t="str">
        <f ca="1">IFERROR(__xludf.DUMMYFUNCTION("IF(ISBLANK(A228),"""",GOOGLETRANSLATE(A228,""en"",""fr""))"),"")</f>
        <v/>
      </c>
    </row>
    <row r="229" spans="2:2">
      <c r="B229" s="3" t="str">
        <f ca="1">IFERROR(__xludf.DUMMYFUNCTION("IF(ISBLANK(A229),"""",GOOGLETRANSLATE(A229,""en"",""fr""))"),"")</f>
        <v/>
      </c>
    </row>
    <row r="230" spans="2:2">
      <c r="B230" s="3" t="str">
        <f ca="1">IFERROR(__xludf.DUMMYFUNCTION("IF(ISBLANK(A230),"""",GOOGLETRANSLATE(A230,""en"",""fr""))"),"")</f>
        <v/>
      </c>
    </row>
    <row r="231" spans="2:2">
      <c r="B231" s="3" t="str">
        <f ca="1">IFERROR(__xludf.DUMMYFUNCTION("IF(ISBLANK(A231),"""",GOOGLETRANSLATE(A231,""en"",""fr""))"),"")</f>
        <v/>
      </c>
    </row>
    <row r="232" spans="2:2">
      <c r="B232" s="3" t="str">
        <f ca="1">IFERROR(__xludf.DUMMYFUNCTION("IF(ISBLANK(A232),"""",GOOGLETRANSLATE(A232,""en"",""fr""))"),"")</f>
        <v/>
      </c>
    </row>
    <row r="233" spans="2:2">
      <c r="B233" s="3" t="str">
        <f ca="1">IFERROR(__xludf.DUMMYFUNCTION("IF(ISBLANK(A233),"""",GOOGLETRANSLATE(A233,""en"",""fr""))"),"")</f>
        <v/>
      </c>
    </row>
    <row r="234" spans="2:2">
      <c r="B234" s="3" t="str">
        <f ca="1">IFERROR(__xludf.DUMMYFUNCTION("IF(ISBLANK(A234),"""",GOOGLETRANSLATE(A234,""en"",""fr""))"),"")</f>
        <v/>
      </c>
    </row>
    <row r="235" spans="2:2">
      <c r="B235" s="3" t="str">
        <f ca="1">IFERROR(__xludf.DUMMYFUNCTION("IF(ISBLANK(A235),"""",GOOGLETRANSLATE(A235,""en"",""fr""))"),"")</f>
        <v/>
      </c>
    </row>
    <row r="236" spans="2:2">
      <c r="B236" s="3" t="str">
        <f ca="1">IFERROR(__xludf.DUMMYFUNCTION("IF(ISBLANK(A236),"""",GOOGLETRANSLATE(A236,""en"",""fr""))"),"")</f>
        <v/>
      </c>
    </row>
    <row r="237" spans="2:2">
      <c r="B237" s="3" t="str">
        <f ca="1">IFERROR(__xludf.DUMMYFUNCTION("IF(ISBLANK(A237),"""",GOOGLETRANSLATE(A237,""en"",""fr""))"),"")</f>
        <v/>
      </c>
    </row>
    <row r="238" spans="2:2">
      <c r="B238" s="3" t="str">
        <f ca="1">IFERROR(__xludf.DUMMYFUNCTION("IF(ISBLANK(A238),"""",GOOGLETRANSLATE(A238,""en"",""fr""))"),"")</f>
        <v/>
      </c>
    </row>
    <row r="239" spans="2:2">
      <c r="B239" s="3" t="str">
        <f ca="1">IFERROR(__xludf.DUMMYFUNCTION("IF(ISBLANK(A239),"""",GOOGLETRANSLATE(A239,""en"",""fr""))"),"")</f>
        <v/>
      </c>
    </row>
    <row r="240" spans="2:2">
      <c r="B240" s="3" t="str">
        <f ca="1">IFERROR(__xludf.DUMMYFUNCTION("IF(ISBLANK(A240),"""",GOOGLETRANSLATE(A240,""en"",""fr""))"),"")</f>
        <v/>
      </c>
    </row>
    <row r="241" spans="2:2">
      <c r="B241" s="3" t="str">
        <f ca="1">IFERROR(__xludf.DUMMYFUNCTION("IF(ISBLANK(A241),"""",GOOGLETRANSLATE(A241,""en"",""fr""))"),"")</f>
        <v/>
      </c>
    </row>
    <row r="242" spans="2:2">
      <c r="B242" s="3" t="str">
        <f ca="1">IFERROR(__xludf.DUMMYFUNCTION("IF(ISBLANK(A242),"""",GOOGLETRANSLATE(A242,""en"",""fr""))"),"")</f>
        <v/>
      </c>
    </row>
    <row r="243" spans="2:2">
      <c r="B243" s="3" t="str">
        <f ca="1">IFERROR(__xludf.DUMMYFUNCTION("IF(ISBLANK(A243),"""",GOOGLETRANSLATE(A243,""en"",""fr""))"),"")</f>
        <v/>
      </c>
    </row>
    <row r="244" spans="2:2">
      <c r="B244" s="3" t="str">
        <f ca="1">IFERROR(__xludf.DUMMYFUNCTION("IF(ISBLANK(A244),"""",GOOGLETRANSLATE(A244,""en"",""fr""))"),"")</f>
        <v/>
      </c>
    </row>
    <row r="245" spans="2:2">
      <c r="B245" s="3" t="str">
        <f ca="1">IFERROR(__xludf.DUMMYFUNCTION("IF(ISBLANK(A245),"""",GOOGLETRANSLATE(A245,""en"",""fr""))"),"")</f>
        <v/>
      </c>
    </row>
    <row r="246" spans="2:2">
      <c r="B246" s="3" t="str">
        <f ca="1">IFERROR(__xludf.DUMMYFUNCTION("IF(ISBLANK(A246),"""",GOOGLETRANSLATE(A246,""en"",""fr""))"),"")</f>
        <v/>
      </c>
    </row>
    <row r="247" spans="2:2">
      <c r="B247" s="3" t="str">
        <f ca="1">IFERROR(__xludf.DUMMYFUNCTION("IF(ISBLANK(A247),"""",GOOGLETRANSLATE(A247,""en"",""fr""))"),"")</f>
        <v/>
      </c>
    </row>
    <row r="248" spans="2:2">
      <c r="B248" s="3" t="str">
        <f ca="1">IFERROR(__xludf.DUMMYFUNCTION("IF(ISBLANK(A248),"""",GOOGLETRANSLATE(A248,""en"",""fr""))"),"")</f>
        <v/>
      </c>
    </row>
    <row r="249" spans="2:2">
      <c r="B249" s="3" t="str">
        <f ca="1">IFERROR(__xludf.DUMMYFUNCTION("IF(ISBLANK(A249),"""",GOOGLETRANSLATE(A249,""en"",""fr""))"),"")</f>
        <v/>
      </c>
    </row>
    <row r="250" spans="2:2">
      <c r="B250" s="3" t="str">
        <f ca="1">IFERROR(__xludf.DUMMYFUNCTION("IF(ISBLANK(A250),"""",GOOGLETRANSLATE(A250,""en"",""fr""))"),"")</f>
        <v/>
      </c>
    </row>
    <row r="251" spans="2:2">
      <c r="B251" s="3" t="str">
        <f ca="1">IFERROR(__xludf.DUMMYFUNCTION("IF(ISBLANK(A251),"""",GOOGLETRANSLATE(A251,""en"",""fr""))"),"")</f>
        <v/>
      </c>
    </row>
    <row r="252" spans="2:2">
      <c r="B252" s="3" t="str">
        <f ca="1">IFERROR(__xludf.DUMMYFUNCTION("IF(ISBLANK(A252),"""",GOOGLETRANSLATE(A252,""en"",""fr""))"),"")</f>
        <v/>
      </c>
    </row>
    <row r="253" spans="2:2">
      <c r="B253" s="3" t="str">
        <f ca="1">IFERROR(__xludf.DUMMYFUNCTION("IF(ISBLANK(A253),"""",GOOGLETRANSLATE(A253,""en"",""fr""))"),"")</f>
        <v/>
      </c>
    </row>
    <row r="254" spans="2:2">
      <c r="B254" s="3" t="str">
        <f ca="1">IFERROR(__xludf.DUMMYFUNCTION("IF(ISBLANK(A254),"""",GOOGLETRANSLATE(A254,""en"",""fr""))"),"")</f>
        <v/>
      </c>
    </row>
    <row r="255" spans="2:2">
      <c r="B255" s="3" t="str">
        <f ca="1">IFERROR(__xludf.DUMMYFUNCTION("IF(ISBLANK(A255),"""",GOOGLETRANSLATE(A255,""en"",""fr""))"),"")</f>
        <v/>
      </c>
    </row>
    <row r="256" spans="2:2">
      <c r="B256" s="3" t="str">
        <f ca="1">IFERROR(__xludf.DUMMYFUNCTION("IF(ISBLANK(A256),"""",GOOGLETRANSLATE(A256,""en"",""fr""))"),"")</f>
        <v/>
      </c>
    </row>
    <row r="257" spans="2:2">
      <c r="B257" s="3" t="str">
        <f ca="1">IFERROR(__xludf.DUMMYFUNCTION("IF(ISBLANK(A257),"""",GOOGLETRANSLATE(A257,""en"",""fr""))"),"")</f>
        <v/>
      </c>
    </row>
    <row r="258" spans="2:2">
      <c r="B258" s="3" t="str">
        <f ca="1">IFERROR(__xludf.DUMMYFUNCTION("IF(ISBLANK(A258),"""",GOOGLETRANSLATE(A258,""en"",""fr""))"),"")</f>
        <v/>
      </c>
    </row>
    <row r="259" spans="2:2">
      <c r="B259" s="3" t="str">
        <f ca="1">IFERROR(__xludf.DUMMYFUNCTION("IF(ISBLANK(A259),"""",GOOGLETRANSLATE(A259,""en"",""fr""))"),"")</f>
        <v/>
      </c>
    </row>
    <row r="260" spans="2:2">
      <c r="B260" s="3" t="str">
        <f ca="1">IFERROR(__xludf.DUMMYFUNCTION("IF(ISBLANK(A260),"""",GOOGLETRANSLATE(A260,""en"",""fr""))"),"")</f>
        <v/>
      </c>
    </row>
    <row r="261" spans="2:2">
      <c r="B261" s="3" t="str">
        <f ca="1">IFERROR(__xludf.DUMMYFUNCTION("IF(ISBLANK(A261),"""",GOOGLETRANSLATE(A261,""en"",""fr""))"),"")</f>
        <v/>
      </c>
    </row>
    <row r="262" spans="2:2">
      <c r="B262" s="3" t="str">
        <f ca="1">IFERROR(__xludf.DUMMYFUNCTION("IF(ISBLANK(A262),"""",GOOGLETRANSLATE(A262,""en"",""fr""))"),"")</f>
        <v/>
      </c>
    </row>
    <row r="263" spans="2:2">
      <c r="B263" s="3" t="str">
        <f ca="1">IFERROR(__xludf.DUMMYFUNCTION("IF(ISBLANK(A263),"""",GOOGLETRANSLATE(A263,""en"",""fr""))"),"")</f>
        <v/>
      </c>
    </row>
    <row r="264" spans="2:2">
      <c r="B264" s="3" t="str">
        <f ca="1">IFERROR(__xludf.DUMMYFUNCTION("IF(ISBLANK(A264),"""",GOOGLETRANSLATE(A264,""en"",""fr""))"),"")</f>
        <v/>
      </c>
    </row>
    <row r="265" spans="2:2">
      <c r="B265" s="3" t="str">
        <f ca="1">IFERROR(__xludf.DUMMYFUNCTION("IF(ISBLANK(A265),"""",GOOGLETRANSLATE(A265,""en"",""fr""))"),"")</f>
        <v/>
      </c>
    </row>
    <row r="266" spans="2:2">
      <c r="B266" s="3" t="str">
        <f ca="1">IFERROR(__xludf.DUMMYFUNCTION("IF(ISBLANK(A266),"""",GOOGLETRANSLATE(A266,""en"",""fr""))"),"")</f>
        <v/>
      </c>
    </row>
    <row r="267" spans="2:2">
      <c r="B267" s="3" t="str">
        <f ca="1">IFERROR(__xludf.DUMMYFUNCTION("IF(ISBLANK(A267),"""",GOOGLETRANSLATE(A267,""en"",""fr""))"),"")</f>
        <v/>
      </c>
    </row>
    <row r="268" spans="2:2">
      <c r="B268" s="3" t="str">
        <f ca="1">IFERROR(__xludf.DUMMYFUNCTION("IF(ISBLANK(A268),"""",GOOGLETRANSLATE(A268,""en"",""fr""))"),"")</f>
        <v/>
      </c>
    </row>
    <row r="269" spans="2:2">
      <c r="B269" s="3" t="str">
        <f ca="1">IFERROR(__xludf.DUMMYFUNCTION("IF(ISBLANK(A269),"""",GOOGLETRANSLATE(A269,""en"",""fr""))"),"")</f>
        <v/>
      </c>
    </row>
    <row r="270" spans="2:2">
      <c r="B270" s="3" t="str">
        <f ca="1">IFERROR(__xludf.DUMMYFUNCTION("IF(ISBLANK(A270),"""",GOOGLETRANSLATE(A270,""en"",""fr""))"),"")</f>
        <v/>
      </c>
    </row>
    <row r="271" spans="2:2">
      <c r="B271" s="3" t="str">
        <f ca="1">IFERROR(__xludf.DUMMYFUNCTION("IF(ISBLANK(A271),"""",GOOGLETRANSLATE(A271,""en"",""fr""))"),"")</f>
        <v/>
      </c>
    </row>
    <row r="272" spans="2:2">
      <c r="B272" s="3" t="str">
        <f ca="1">IFERROR(__xludf.DUMMYFUNCTION("IF(ISBLANK(A272),"""",GOOGLETRANSLATE(A272,""en"",""fr""))"),"")</f>
        <v/>
      </c>
    </row>
    <row r="273" spans="2:2">
      <c r="B273" s="3" t="str">
        <f ca="1">IFERROR(__xludf.DUMMYFUNCTION("IF(ISBLANK(A273),"""",GOOGLETRANSLATE(A273,""en"",""fr""))"),"")</f>
        <v/>
      </c>
    </row>
    <row r="274" spans="2:2">
      <c r="B274" s="3" t="str">
        <f ca="1">IFERROR(__xludf.DUMMYFUNCTION("IF(ISBLANK(A274),"""",GOOGLETRANSLATE(A274,""en"",""fr""))"),"")</f>
        <v/>
      </c>
    </row>
    <row r="275" spans="2:2">
      <c r="B275" s="3" t="str">
        <f ca="1">IFERROR(__xludf.DUMMYFUNCTION("IF(ISBLANK(A275),"""",GOOGLETRANSLATE(A275,""en"",""fr""))"),"")</f>
        <v/>
      </c>
    </row>
    <row r="276" spans="2:2">
      <c r="B276" s="3" t="str">
        <f ca="1">IFERROR(__xludf.DUMMYFUNCTION("IF(ISBLANK(A276),"""",GOOGLETRANSLATE(A276,""en"",""fr""))"),"")</f>
        <v/>
      </c>
    </row>
    <row r="277" spans="2:2">
      <c r="B277" s="3" t="str">
        <f ca="1">IFERROR(__xludf.DUMMYFUNCTION("IF(ISBLANK(A277),"""",GOOGLETRANSLATE(A277,""en"",""fr""))"),"")</f>
        <v/>
      </c>
    </row>
    <row r="278" spans="2:2">
      <c r="B278" s="3" t="str">
        <f ca="1">IFERROR(__xludf.DUMMYFUNCTION("IF(ISBLANK(A278),"""",GOOGLETRANSLATE(A278,""en"",""fr""))"),"")</f>
        <v/>
      </c>
    </row>
    <row r="279" spans="2:2">
      <c r="B279" s="3" t="str">
        <f ca="1">IFERROR(__xludf.DUMMYFUNCTION("IF(ISBLANK(A279),"""",GOOGLETRANSLATE(A279,""en"",""fr""))"),"")</f>
        <v/>
      </c>
    </row>
    <row r="280" spans="2:2">
      <c r="B280" s="3" t="str">
        <f ca="1">IFERROR(__xludf.DUMMYFUNCTION("IF(ISBLANK(A280),"""",GOOGLETRANSLATE(A280,""en"",""fr""))"),"")</f>
        <v/>
      </c>
    </row>
    <row r="281" spans="2:2">
      <c r="B281" s="3" t="str">
        <f ca="1">IFERROR(__xludf.DUMMYFUNCTION("IF(ISBLANK(A281),"""",GOOGLETRANSLATE(A281,""en"",""fr""))"),"")</f>
        <v/>
      </c>
    </row>
    <row r="282" spans="2:2">
      <c r="B282" s="3" t="str">
        <f ca="1">IFERROR(__xludf.DUMMYFUNCTION("IF(ISBLANK(A282),"""",GOOGLETRANSLATE(A282,""en"",""fr""))"),"")</f>
        <v/>
      </c>
    </row>
    <row r="283" spans="2:2">
      <c r="B283" s="3" t="str">
        <f ca="1">IFERROR(__xludf.DUMMYFUNCTION("IF(ISBLANK(A283),"""",GOOGLETRANSLATE(A283,""en"",""fr""))"),"")</f>
        <v/>
      </c>
    </row>
    <row r="284" spans="2:2">
      <c r="B284" s="3" t="str">
        <f ca="1">IFERROR(__xludf.DUMMYFUNCTION("IF(ISBLANK(A284),"""",GOOGLETRANSLATE(A284,""en"",""fr""))"),"")</f>
        <v/>
      </c>
    </row>
    <row r="285" spans="2:2">
      <c r="B285" s="3" t="str">
        <f ca="1">IFERROR(__xludf.DUMMYFUNCTION("IF(ISBLANK(A285),"""",GOOGLETRANSLATE(A285,""en"",""fr""))"),"")</f>
        <v/>
      </c>
    </row>
    <row r="286" spans="2:2">
      <c r="B286" s="3" t="str">
        <f ca="1">IFERROR(__xludf.DUMMYFUNCTION("IF(ISBLANK(A286),"""",GOOGLETRANSLATE(A286,""en"",""fr""))"),"")</f>
        <v/>
      </c>
    </row>
    <row r="287" spans="2:2">
      <c r="B287" s="3" t="str">
        <f ca="1">IFERROR(__xludf.DUMMYFUNCTION("IF(ISBLANK(A287),"""",GOOGLETRANSLATE(A287,""en"",""fr""))"),"")</f>
        <v/>
      </c>
    </row>
    <row r="288" spans="2:2">
      <c r="B288" s="3" t="str">
        <f ca="1">IFERROR(__xludf.DUMMYFUNCTION("IF(ISBLANK(A288),"""",GOOGLETRANSLATE(A288,""en"",""fr""))"),"")</f>
        <v/>
      </c>
    </row>
    <row r="289" spans="2:2">
      <c r="B289" s="3" t="str">
        <f ca="1">IFERROR(__xludf.DUMMYFUNCTION("IF(ISBLANK(A289),"""",GOOGLETRANSLATE(A289,""en"",""fr""))"),"")</f>
        <v/>
      </c>
    </row>
    <row r="290" spans="2:2">
      <c r="B290" s="3" t="str">
        <f ca="1">IFERROR(__xludf.DUMMYFUNCTION("IF(ISBLANK(A290),"""",GOOGLETRANSLATE(A290,""en"",""fr""))"),"")</f>
        <v/>
      </c>
    </row>
    <row r="291" spans="2:2">
      <c r="B291" s="3" t="str">
        <f ca="1">IFERROR(__xludf.DUMMYFUNCTION("IF(ISBLANK(A291),"""",GOOGLETRANSLATE(A291,""en"",""fr""))"),"")</f>
        <v/>
      </c>
    </row>
    <row r="292" spans="2:2">
      <c r="B292" s="3" t="str">
        <f ca="1">IFERROR(__xludf.DUMMYFUNCTION("IF(ISBLANK(A292),"""",GOOGLETRANSLATE(A292,""en"",""fr""))"),"")</f>
        <v/>
      </c>
    </row>
    <row r="293" spans="2:2">
      <c r="B293" s="3" t="str">
        <f ca="1">IFERROR(__xludf.DUMMYFUNCTION("IF(ISBLANK(A293),"""",GOOGLETRANSLATE(A293,""en"",""fr""))"),"")</f>
        <v/>
      </c>
    </row>
    <row r="294" spans="2:2">
      <c r="B294" s="3" t="str">
        <f ca="1">IFERROR(__xludf.DUMMYFUNCTION("IF(ISBLANK(A294),"""",GOOGLETRANSLATE(A294,""en"",""fr""))"),"")</f>
        <v/>
      </c>
    </row>
    <row r="295" spans="2:2">
      <c r="B295" s="3" t="str">
        <f ca="1">IFERROR(__xludf.DUMMYFUNCTION("IF(ISBLANK(A295),"""",GOOGLETRANSLATE(A295,""en"",""fr""))"),"")</f>
        <v/>
      </c>
    </row>
    <row r="296" spans="2:2">
      <c r="B296" s="3" t="str">
        <f ca="1">IFERROR(__xludf.DUMMYFUNCTION("IF(ISBLANK(A296),"""",GOOGLETRANSLATE(A296,""en"",""fr""))"),"")</f>
        <v/>
      </c>
    </row>
    <row r="297" spans="2:2">
      <c r="B297" s="3" t="str">
        <f ca="1">IFERROR(__xludf.DUMMYFUNCTION("IF(ISBLANK(A297),"""",GOOGLETRANSLATE(A297,""en"",""fr""))"),"")</f>
        <v/>
      </c>
    </row>
    <row r="298" spans="2:2">
      <c r="B298" s="3" t="str">
        <f ca="1">IFERROR(__xludf.DUMMYFUNCTION("IF(ISBLANK(A298),"""",GOOGLETRANSLATE(A298,""en"",""fr""))"),"")</f>
        <v/>
      </c>
    </row>
    <row r="299" spans="2:2">
      <c r="B299" s="3" t="str">
        <f ca="1">IFERROR(__xludf.DUMMYFUNCTION("IF(ISBLANK(A299),"""",GOOGLETRANSLATE(A299,""en"",""fr""))"),"")</f>
        <v/>
      </c>
    </row>
    <row r="300" spans="2:2">
      <c r="B300" s="3" t="str">
        <f ca="1">IFERROR(__xludf.DUMMYFUNCTION("IF(ISBLANK(A300),"""",GOOGLETRANSLATE(A300,""en"",""fr""))"),"")</f>
        <v/>
      </c>
    </row>
    <row r="301" spans="2:2">
      <c r="B301" s="3" t="str">
        <f ca="1">IFERROR(__xludf.DUMMYFUNCTION("IF(ISBLANK(A301),"""",GOOGLETRANSLATE(A301,""en"",""fr""))"),"")</f>
        <v/>
      </c>
    </row>
    <row r="302" spans="2:2">
      <c r="B302" s="3" t="str">
        <f ca="1">IFERROR(__xludf.DUMMYFUNCTION("IF(ISBLANK(A302),"""",GOOGLETRANSLATE(A302,""en"",""fr""))"),"")</f>
        <v/>
      </c>
    </row>
    <row r="303" spans="2:2">
      <c r="B303" s="3" t="str">
        <f ca="1">IFERROR(__xludf.DUMMYFUNCTION("IF(ISBLANK(A303),"""",GOOGLETRANSLATE(A303,""en"",""fr""))"),"")</f>
        <v/>
      </c>
    </row>
    <row r="304" spans="2:2">
      <c r="B304" s="3" t="str">
        <f ca="1">IFERROR(__xludf.DUMMYFUNCTION("IF(ISBLANK(A304),"""",GOOGLETRANSLATE(A304,""en"",""fr""))"),"")</f>
        <v/>
      </c>
    </row>
    <row r="305" spans="2:2">
      <c r="B305" s="3" t="str">
        <f ca="1">IFERROR(__xludf.DUMMYFUNCTION("IF(ISBLANK(A305),"""",GOOGLETRANSLATE(A305,""en"",""fr""))"),"")</f>
        <v/>
      </c>
    </row>
    <row r="306" spans="2:2">
      <c r="B306" s="3" t="str">
        <f ca="1">IFERROR(__xludf.DUMMYFUNCTION("IF(ISBLANK(A306),"""",GOOGLETRANSLATE(A306,""en"",""fr""))"),"")</f>
        <v/>
      </c>
    </row>
    <row r="307" spans="2:2">
      <c r="B307" s="3" t="str">
        <f ca="1">IFERROR(__xludf.DUMMYFUNCTION("IF(ISBLANK(A307),"""",GOOGLETRANSLATE(A307,""en"",""fr""))"),"")</f>
        <v/>
      </c>
    </row>
    <row r="308" spans="2:2">
      <c r="B308" s="3" t="str">
        <f ca="1">IFERROR(__xludf.DUMMYFUNCTION("IF(ISBLANK(A308),"""",GOOGLETRANSLATE(A308,""en"",""fr""))"),"")</f>
        <v/>
      </c>
    </row>
    <row r="309" spans="2:2">
      <c r="B309" s="3" t="str">
        <f ca="1">IFERROR(__xludf.DUMMYFUNCTION("IF(ISBLANK(A309),"""",GOOGLETRANSLATE(A309,""en"",""fr""))"),"")</f>
        <v/>
      </c>
    </row>
    <row r="310" spans="2:2">
      <c r="B310" s="3" t="str">
        <f ca="1">IFERROR(__xludf.DUMMYFUNCTION("IF(ISBLANK(A310),"""",GOOGLETRANSLATE(A310,""en"",""fr""))"),"")</f>
        <v/>
      </c>
    </row>
    <row r="311" spans="2:2">
      <c r="B311" s="3" t="str">
        <f ca="1">IFERROR(__xludf.DUMMYFUNCTION("IF(ISBLANK(A311),"""",GOOGLETRANSLATE(A311,""en"",""fr""))"),"")</f>
        <v/>
      </c>
    </row>
    <row r="312" spans="2:2">
      <c r="B312" s="3" t="str">
        <f ca="1">IFERROR(__xludf.DUMMYFUNCTION("IF(ISBLANK(A312),"""",GOOGLETRANSLATE(A312,""en"",""fr""))"),"")</f>
        <v/>
      </c>
    </row>
    <row r="313" spans="2:2">
      <c r="B313" s="3" t="str">
        <f ca="1">IFERROR(__xludf.DUMMYFUNCTION("IF(ISBLANK(A313),"""",GOOGLETRANSLATE(A313,""en"",""fr""))"),"")</f>
        <v/>
      </c>
    </row>
    <row r="314" spans="2:2">
      <c r="B314" s="3" t="str">
        <f ca="1">IFERROR(__xludf.DUMMYFUNCTION("IF(ISBLANK(A314),"""",GOOGLETRANSLATE(A314,""en"",""fr""))"),"")</f>
        <v/>
      </c>
    </row>
    <row r="315" spans="2:2">
      <c r="B315" s="3" t="str">
        <f ca="1">IFERROR(__xludf.DUMMYFUNCTION("IF(ISBLANK(A315),"""",GOOGLETRANSLATE(A315,""en"",""fr""))"),"")</f>
        <v/>
      </c>
    </row>
    <row r="316" spans="2:2">
      <c r="B316" s="3" t="str">
        <f ca="1">IFERROR(__xludf.DUMMYFUNCTION("IF(ISBLANK(A316),"""",GOOGLETRANSLATE(A316,""en"",""fr""))"),"")</f>
        <v/>
      </c>
    </row>
    <row r="317" spans="2:2">
      <c r="B317" s="3" t="str">
        <f ca="1">IFERROR(__xludf.DUMMYFUNCTION("IF(ISBLANK(A317),"""",GOOGLETRANSLATE(A317,""en"",""fr""))"),"")</f>
        <v/>
      </c>
    </row>
    <row r="318" spans="2:2">
      <c r="B318" s="3" t="str">
        <f ca="1">IFERROR(__xludf.DUMMYFUNCTION("IF(ISBLANK(A318),"""",GOOGLETRANSLATE(A318,""en"",""fr""))"),"")</f>
        <v/>
      </c>
    </row>
    <row r="319" spans="2:2">
      <c r="B319" s="3" t="str">
        <f ca="1">IFERROR(__xludf.DUMMYFUNCTION("IF(ISBLANK(A319),"""",GOOGLETRANSLATE(A319,""en"",""fr""))"),"")</f>
        <v/>
      </c>
    </row>
    <row r="320" spans="2:2">
      <c r="B320" s="3" t="str">
        <f ca="1">IFERROR(__xludf.DUMMYFUNCTION("IF(ISBLANK(A320),"""",GOOGLETRANSLATE(A320,""en"",""fr""))"),"")</f>
        <v/>
      </c>
    </row>
    <row r="321" spans="2:2">
      <c r="B321" s="3" t="str">
        <f ca="1">IFERROR(__xludf.DUMMYFUNCTION("IF(ISBLANK(A321),"""",GOOGLETRANSLATE(A321,""en"",""fr""))"),"")</f>
        <v/>
      </c>
    </row>
    <row r="322" spans="2:2">
      <c r="B322" s="3" t="str">
        <f ca="1">IFERROR(__xludf.DUMMYFUNCTION("IF(ISBLANK(A322),"""",GOOGLETRANSLATE(A322,""en"",""fr""))"),"")</f>
        <v/>
      </c>
    </row>
    <row r="323" spans="2:2">
      <c r="B323" s="3" t="str">
        <f ca="1">IFERROR(__xludf.DUMMYFUNCTION("IF(ISBLANK(A323),"""",GOOGLETRANSLATE(A323,""en"",""fr""))"),"")</f>
        <v/>
      </c>
    </row>
    <row r="324" spans="2:2">
      <c r="B324" s="3" t="str">
        <f ca="1">IFERROR(__xludf.DUMMYFUNCTION("IF(ISBLANK(A324),"""",GOOGLETRANSLATE(A324,""en"",""fr""))"),"")</f>
        <v/>
      </c>
    </row>
    <row r="325" spans="2:2">
      <c r="B325" s="3" t="str">
        <f ca="1">IFERROR(__xludf.DUMMYFUNCTION("IF(ISBLANK(A325),"""",GOOGLETRANSLATE(A325,""en"",""fr""))"),"")</f>
        <v/>
      </c>
    </row>
    <row r="326" spans="2:2">
      <c r="B326" s="3" t="str">
        <f ca="1">IFERROR(__xludf.DUMMYFUNCTION("IF(ISBLANK(A326),"""",GOOGLETRANSLATE(A326,""en"",""fr""))"),"")</f>
        <v/>
      </c>
    </row>
    <row r="327" spans="2:2">
      <c r="B327" s="3" t="str">
        <f ca="1">IFERROR(__xludf.DUMMYFUNCTION("IF(ISBLANK(A327),"""",GOOGLETRANSLATE(A327,""en"",""fr""))"),"")</f>
        <v/>
      </c>
    </row>
    <row r="328" spans="2:2">
      <c r="B328" s="3" t="str">
        <f ca="1">IFERROR(__xludf.DUMMYFUNCTION("IF(ISBLANK(A328),"""",GOOGLETRANSLATE(A328,""en"",""fr""))"),"")</f>
        <v/>
      </c>
    </row>
    <row r="329" spans="2:2">
      <c r="B329" s="3" t="str">
        <f ca="1">IFERROR(__xludf.DUMMYFUNCTION("IF(ISBLANK(A329),"""",GOOGLETRANSLATE(A329,""en"",""fr""))"),"")</f>
        <v/>
      </c>
    </row>
    <row r="330" spans="2:2">
      <c r="B330" s="3" t="str">
        <f ca="1">IFERROR(__xludf.DUMMYFUNCTION("IF(ISBLANK(A330),"""",GOOGLETRANSLATE(A330,""en"",""fr""))"),"")</f>
        <v/>
      </c>
    </row>
    <row r="331" spans="2:2">
      <c r="B331" s="3" t="str">
        <f ca="1">IFERROR(__xludf.DUMMYFUNCTION("IF(ISBLANK(A331),"""",GOOGLETRANSLATE(A331,""en"",""fr""))"),"")</f>
        <v/>
      </c>
    </row>
    <row r="332" spans="2:2">
      <c r="B332" s="3" t="str">
        <f ca="1">IFERROR(__xludf.DUMMYFUNCTION("IF(ISBLANK(A332),"""",GOOGLETRANSLATE(A332,""en"",""fr""))"),"")</f>
        <v/>
      </c>
    </row>
    <row r="333" spans="2:2">
      <c r="B333" s="3" t="str">
        <f ca="1">IFERROR(__xludf.DUMMYFUNCTION("IF(ISBLANK(A333),"""",GOOGLETRANSLATE(A333,""en"",""fr""))"),"")</f>
        <v/>
      </c>
    </row>
    <row r="334" spans="2:2">
      <c r="B334" s="3" t="str">
        <f ca="1">IFERROR(__xludf.DUMMYFUNCTION("IF(ISBLANK(A334),"""",GOOGLETRANSLATE(A334,""en"",""fr""))"),"")</f>
        <v/>
      </c>
    </row>
    <row r="335" spans="2:2">
      <c r="B335" s="3" t="str">
        <f ca="1">IFERROR(__xludf.DUMMYFUNCTION("IF(ISBLANK(A335),"""",GOOGLETRANSLATE(A335,""en"",""fr""))"),"")</f>
        <v/>
      </c>
    </row>
    <row r="336" spans="2:2">
      <c r="B336" s="3" t="str">
        <f ca="1">IFERROR(__xludf.DUMMYFUNCTION("IF(ISBLANK(A336),"""",GOOGLETRANSLATE(A336,""en"",""fr""))"),"")</f>
        <v/>
      </c>
    </row>
    <row r="337" spans="2:2">
      <c r="B337" s="3" t="str">
        <f ca="1">IFERROR(__xludf.DUMMYFUNCTION("IF(ISBLANK(A337),"""",GOOGLETRANSLATE(A337,""en"",""fr""))"),"")</f>
        <v/>
      </c>
    </row>
    <row r="338" spans="2:2">
      <c r="B338" s="3" t="str">
        <f ca="1">IFERROR(__xludf.DUMMYFUNCTION("IF(ISBLANK(A338),"""",GOOGLETRANSLATE(A338,""en"",""fr""))"),"")</f>
        <v/>
      </c>
    </row>
    <row r="339" spans="2:2">
      <c r="B339" s="3" t="str">
        <f ca="1">IFERROR(__xludf.DUMMYFUNCTION("IF(ISBLANK(A339),"""",GOOGLETRANSLATE(A339,""en"",""fr""))"),"")</f>
        <v/>
      </c>
    </row>
    <row r="340" spans="2:2">
      <c r="B340" s="3" t="str">
        <f ca="1">IFERROR(__xludf.DUMMYFUNCTION("IF(ISBLANK(A340),"""",GOOGLETRANSLATE(A340,""en"",""fr""))"),"")</f>
        <v/>
      </c>
    </row>
    <row r="341" spans="2:2">
      <c r="B341" s="3" t="str">
        <f ca="1">IFERROR(__xludf.DUMMYFUNCTION("IF(ISBLANK(A341),"""",GOOGLETRANSLATE(A341,""en"",""fr""))"),"")</f>
        <v/>
      </c>
    </row>
    <row r="342" spans="2:2">
      <c r="B342" s="3" t="str">
        <f ca="1">IFERROR(__xludf.DUMMYFUNCTION("IF(ISBLANK(A342),"""",GOOGLETRANSLATE(A342,""en"",""fr""))"),"")</f>
        <v/>
      </c>
    </row>
    <row r="343" spans="2:2">
      <c r="B343" s="3" t="str">
        <f ca="1">IFERROR(__xludf.DUMMYFUNCTION("IF(ISBLANK(A343),"""",GOOGLETRANSLATE(A343,""en"",""fr""))"),"")</f>
        <v/>
      </c>
    </row>
    <row r="344" spans="2:2">
      <c r="B344" s="3" t="str">
        <f ca="1">IFERROR(__xludf.DUMMYFUNCTION("IF(ISBLANK(A344),"""",GOOGLETRANSLATE(A344,""en"",""fr""))"),"")</f>
        <v/>
      </c>
    </row>
    <row r="345" spans="2:2">
      <c r="B345" s="3" t="str">
        <f ca="1">IFERROR(__xludf.DUMMYFUNCTION("IF(ISBLANK(A345),"""",GOOGLETRANSLATE(A345,""en"",""fr""))"),"")</f>
        <v/>
      </c>
    </row>
    <row r="346" spans="2:2">
      <c r="B346" s="3" t="str">
        <f ca="1">IFERROR(__xludf.DUMMYFUNCTION("IF(ISBLANK(A346),"""",GOOGLETRANSLATE(A346,""en"",""fr""))"),"")</f>
        <v/>
      </c>
    </row>
    <row r="347" spans="2:2">
      <c r="B347" s="3" t="str">
        <f ca="1">IFERROR(__xludf.DUMMYFUNCTION("IF(ISBLANK(A347),"""",GOOGLETRANSLATE(A347,""en"",""fr""))"),"")</f>
        <v/>
      </c>
    </row>
    <row r="348" spans="2:2">
      <c r="B348" s="3" t="str">
        <f ca="1">IFERROR(__xludf.DUMMYFUNCTION("IF(ISBLANK(A348),"""",GOOGLETRANSLATE(A348,""en"",""fr""))"),"")</f>
        <v/>
      </c>
    </row>
    <row r="349" spans="2:2">
      <c r="B349" s="3" t="str">
        <f ca="1">IFERROR(__xludf.DUMMYFUNCTION("IF(ISBLANK(A349),"""",GOOGLETRANSLATE(A349,""en"",""fr""))"),"")</f>
        <v/>
      </c>
    </row>
    <row r="350" spans="2:2">
      <c r="B350" s="3" t="str">
        <f ca="1">IFERROR(__xludf.DUMMYFUNCTION("IF(ISBLANK(A350),"""",GOOGLETRANSLATE(A350,""en"",""fr""))"),"")</f>
        <v/>
      </c>
    </row>
    <row r="351" spans="2:2">
      <c r="B351" s="3" t="str">
        <f ca="1">IFERROR(__xludf.DUMMYFUNCTION("IF(ISBLANK(A351),"""",GOOGLETRANSLATE(A351,""en"",""fr""))"),"")</f>
        <v/>
      </c>
    </row>
    <row r="352" spans="2:2">
      <c r="B352" s="3" t="str">
        <f ca="1">IFERROR(__xludf.DUMMYFUNCTION("IF(ISBLANK(A352),"""",GOOGLETRANSLATE(A352,""en"",""fr""))"),"")</f>
        <v/>
      </c>
    </row>
    <row r="353" spans="2:2">
      <c r="B353" s="3" t="str">
        <f ca="1">IFERROR(__xludf.DUMMYFUNCTION("IF(ISBLANK(A353),"""",GOOGLETRANSLATE(A353,""en"",""fr""))"),"")</f>
        <v/>
      </c>
    </row>
    <row r="354" spans="2:2">
      <c r="B354" s="3" t="str">
        <f ca="1">IFERROR(__xludf.DUMMYFUNCTION("IF(ISBLANK(A354),"""",GOOGLETRANSLATE(A354,""en"",""fr""))"),"")</f>
        <v/>
      </c>
    </row>
    <row r="355" spans="2:2">
      <c r="B355" s="3" t="str">
        <f ca="1">IFERROR(__xludf.DUMMYFUNCTION("IF(ISBLANK(A355),"""",GOOGLETRANSLATE(A355,""en"",""fr""))"),"")</f>
        <v/>
      </c>
    </row>
    <row r="356" spans="2:2">
      <c r="B356" s="3" t="str">
        <f ca="1">IFERROR(__xludf.DUMMYFUNCTION("IF(ISBLANK(A356),"""",GOOGLETRANSLATE(A356,""en"",""fr""))"),"")</f>
        <v/>
      </c>
    </row>
    <row r="357" spans="2:2">
      <c r="B357" s="3" t="str">
        <f ca="1">IFERROR(__xludf.DUMMYFUNCTION("IF(ISBLANK(A357),"""",GOOGLETRANSLATE(A357,""en"",""fr""))"),"")</f>
        <v/>
      </c>
    </row>
    <row r="358" spans="2:2">
      <c r="B358" s="3" t="str">
        <f ca="1">IFERROR(__xludf.DUMMYFUNCTION("IF(ISBLANK(A358),"""",GOOGLETRANSLATE(A358,""en"",""fr""))"),"")</f>
        <v/>
      </c>
    </row>
    <row r="359" spans="2:2">
      <c r="B359" s="3" t="str">
        <f ca="1">IFERROR(__xludf.DUMMYFUNCTION("IF(ISBLANK(A359),"""",GOOGLETRANSLATE(A359,""en"",""fr""))"),"")</f>
        <v/>
      </c>
    </row>
    <row r="360" spans="2:2">
      <c r="B360" s="3" t="str">
        <f ca="1">IFERROR(__xludf.DUMMYFUNCTION("IF(ISBLANK(A360),"""",GOOGLETRANSLATE(A360,""en"",""fr""))"),"")</f>
        <v/>
      </c>
    </row>
    <row r="361" spans="2:2">
      <c r="B361" s="3" t="str">
        <f ca="1">IFERROR(__xludf.DUMMYFUNCTION("IF(ISBLANK(A361),"""",GOOGLETRANSLATE(A361,""en"",""fr""))"),"")</f>
        <v/>
      </c>
    </row>
    <row r="362" spans="2:2">
      <c r="B362" s="3" t="str">
        <f ca="1">IFERROR(__xludf.DUMMYFUNCTION("IF(ISBLANK(A362),"""",GOOGLETRANSLATE(A362,""en"",""fr""))"),"")</f>
        <v/>
      </c>
    </row>
    <row r="363" spans="2:2">
      <c r="B363" s="3" t="str">
        <f ca="1">IFERROR(__xludf.DUMMYFUNCTION("IF(ISBLANK(A363),"""",GOOGLETRANSLATE(A363,""en"",""fr""))"),"")</f>
        <v/>
      </c>
    </row>
    <row r="364" spans="2:2">
      <c r="B364" s="3" t="str">
        <f ca="1">IFERROR(__xludf.DUMMYFUNCTION("IF(ISBLANK(A364),"""",GOOGLETRANSLATE(A364,""en"",""fr""))"),"")</f>
        <v/>
      </c>
    </row>
    <row r="365" spans="2:2">
      <c r="B365" s="3" t="str">
        <f ca="1">IFERROR(__xludf.DUMMYFUNCTION("IF(ISBLANK(A365),"""",GOOGLETRANSLATE(A365,""en"",""fr""))"),"")</f>
        <v/>
      </c>
    </row>
    <row r="366" spans="2:2">
      <c r="B366" s="3" t="str">
        <f ca="1">IFERROR(__xludf.DUMMYFUNCTION("IF(ISBLANK(A366),"""",GOOGLETRANSLATE(A366,""en"",""fr""))"),"")</f>
        <v/>
      </c>
    </row>
    <row r="367" spans="2:2">
      <c r="B367" s="3" t="str">
        <f ca="1">IFERROR(__xludf.DUMMYFUNCTION("IF(ISBLANK(A367),"""",GOOGLETRANSLATE(A367,""en"",""fr""))"),"")</f>
        <v/>
      </c>
    </row>
    <row r="368" spans="2:2">
      <c r="B368" s="3" t="str">
        <f ca="1">IFERROR(__xludf.DUMMYFUNCTION("IF(ISBLANK(A368),"""",GOOGLETRANSLATE(A368,""en"",""fr""))"),"")</f>
        <v/>
      </c>
    </row>
    <row r="369" spans="2:2">
      <c r="B369" s="3" t="str">
        <f ca="1">IFERROR(__xludf.DUMMYFUNCTION("IF(ISBLANK(A369),"""",GOOGLETRANSLATE(A369,""en"",""fr""))"),"")</f>
        <v/>
      </c>
    </row>
    <row r="370" spans="2:2">
      <c r="B370" s="3" t="str">
        <f ca="1">IFERROR(__xludf.DUMMYFUNCTION("IF(ISBLANK(A370),"""",GOOGLETRANSLATE(A370,""en"",""fr""))"),"")</f>
        <v/>
      </c>
    </row>
    <row r="371" spans="2:2">
      <c r="B371" s="3" t="str">
        <f ca="1">IFERROR(__xludf.DUMMYFUNCTION("IF(ISBLANK(A371),"""",GOOGLETRANSLATE(A371,""en"",""fr""))"),"")</f>
        <v/>
      </c>
    </row>
    <row r="372" spans="2:2">
      <c r="B372" s="3" t="str">
        <f ca="1">IFERROR(__xludf.DUMMYFUNCTION("IF(ISBLANK(A372),"""",GOOGLETRANSLATE(A372,""en"",""fr""))"),"")</f>
        <v/>
      </c>
    </row>
    <row r="373" spans="2:2">
      <c r="B373" s="3" t="str">
        <f ca="1">IFERROR(__xludf.DUMMYFUNCTION("IF(ISBLANK(A373),"""",GOOGLETRANSLATE(A373,""en"",""fr""))"),"")</f>
        <v/>
      </c>
    </row>
    <row r="374" spans="2:2">
      <c r="B374" s="3" t="str">
        <f ca="1">IFERROR(__xludf.DUMMYFUNCTION("IF(ISBLANK(A374),"""",GOOGLETRANSLATE(A374,""en"",""fr""))"),"")</f>
        <v/>
      </c>
    </row>
    <row r="375" spans="2:2">
      <c r="B375" s="3" t="str">
        <f ca="1">IFERROR(__xludf.DUMMYFUNCTION("IF(ISBLANK(A375),"""",GOOGLETRANSLATE(A375,""en"",""fr""))"),"")</f>
        <v/>
      </c>
    </row>
    <row r="376" spans="2:2">
      <c r="B376" s="3" t="str">
        <f ca="1">IFERROR(__xludf.DUMMYFUNCTION("IF(ISBLANK(A376),"""",GOOGLETRANSLATE(A376,""en"",""fr""))"),"")</f>
        <v/>
      </c>
    </row>
    <row r="377" spans="2:2">
      <c r="B377" s="3" t="str">
        <f ca="1">IFERROR(__xludf.DUMMYFUNCTION("IF(ISBLANK(A377),"""",GOOGLETRANSLATE(A377,""en"",""fr""))"),"")</f>
        <v/>
      </c>
    </row>
    <row r="378" spans="2:2">
      <c r="B378" s="3" t="str">
        <f ca="1">IFERROR(__xludf.DUMMYFUNCTION("IF(ISBLANK(A378),"""",GOOGLETRANSLATE(A378,""en"",""fr""))"),"")</f>
        <v/>
      </c>
    </row>
    <row r="379" spans="2:2">
      <c r="B379" s="3" t="str">
        <f ca="1">IFERROR(__xludf.DUMMYFUNCTION("IF(ISBLANK(A379),"""",GOOGLETRANSLATE(A379,""en"",""fr""))"),"")</f>
        <v/>
      </c>
    </row>
    <row r="380" spans="2:2">
      <c r="B380" s="3" t="str">
        <f ca="1">IFERROR(__xludf.DUMMYFUNCTION("IF(ISBLANK(A380),"""",GOOGLETRANSLATE(A380,""en"",""fr""))"),"")</f>
        <v/>
      </c>
    </row>
    <row r="381" spans="2:2">
      <c r="B381" s="3" t="str">
        <f ca="1">IFERROR(__xludf.DUMMYFUNCTION("IF(ISBLANK(A381),"""",GOOGLETRANSLATE(A381,""en"",""fr""))"),"")</f>
        <v/>
      </c>
    </row>
    <row r="382" spans="2:2">
      <c r="B382" s="3" t="str">
        <f ca="1">IFERROR(__xludf.DUMMYFUNCTION("IF(ISBLANK(A382),"""",GOOGLETRANSLATE(A382,""en"",""fr""))"),"")</f>
        <v/>
      </c>
    </row>
    <row r="383" spans="2:2">
      <c r="B383" s="3" t="str">
        <f ca="1">IFERROR(__xludf.DUMMYFUNCTION("IF(ISBLANK(A383),"""",GOOGLETRANSLATE(A383,""en"",""fr""))"),"")</f>
        <v/>
      </c>
    </row>
    <row r="384" spans="2:2">
      <c r="B384" s="3" t="str">
        <f ca="1">IFERROR(__xludf.DUMMYFUNCTION("IF(ISBLANK(A384),"""",GOOGLETRANSLATE(A384,""en"",""fr""))"),"")</f>
        <v/>
      </c>
    </row>
    <row r="385" spans="2:2">
      <c r="B385" s="3" t="str">
        <f ca="1">IFERROR(__xludf.DUMMYFUNCTION("IF(ISBLANK(A385),"""",GOOGLETRANSLATE(A385,""en"",""fr""))"),"")</f>
        <v/>
      </c>
    </row>
    <row r="386" spans="2:2">
      <c r="B386" s="3" t="str">
        <f ca="1">IFERROR(__xludf.DUMMYFUNCTION("IF(ISBLANK(A386),"""",GOOGLETRANSLATE(A386,""en"",""fr""))"),"")</f>
        <v/>
      </c>
    </row>
    <row r="387" spans="2:2">
      <c r="B387" s="3" t="str">
        <f ca="1">IFERROR(__xludf.DUMMYFUNCTION("IF(ISBLANK(A387),"""",GOOGLETRANSLATE(A387,""en"",""fr""))"),"")</f>
        <v/>
      </c>
    </row>
    <row r="388" spans="2:2">
      <c r="B388" s="3" t="str">
        <f ca="1">IFERROR(__xludf.DUMMYFUNCTION("IF(ISBLANK(A388),"""",GOOGLETRANSLATE(A388,""en"",""fr""))"),"")</f>
        <v/>
      </c>
    </row>
    <row r="389" spans="2:2">
      <c r="B389" s="3" t="str">
        <f ca="1">IFERROR(__xludf.DUMMYFUNCTION("IF(ISBLANK(A389),"""",GOOGLETRANSLATE(A389,""en"",""fr""))"),"")</f>
        <v/>
      </c>
    </row>
    <row r="390" spans="2:2">
      <c r="B390" s="3" t="str">
        <f ca="1">IFERROR(__xludf.DUMMYFUNCTION("IF(ISBLANK(A390),"""",GOOGLETRANSLATE(A390,""en"",""fr""))"),"")</f>
        <v/>
      </c>
    </row>
    <row r="391" spans="2:2">
      <c r="B391" s="3" t="str">
        <f ca="1">IFERROR(__xludf.DUMMYFUNCTION("IF(ISBLANK(A391),"""",GOOGLETRANSLATE(A391,""en"",""fr""))"),"")</f>
        <v/>
      </c>
    </row>
    <row r="392" spans="2:2">
      <c r="B392" s="3" t="str">
        <f ca="1">IFERROR(__xludf.DUMMYFUNCTION("IF(ISBLANK(A392),"""",GOOGLETRANSLATE(A392,""en"",""fr""))"),"")</f>
        <v/>
      </c>
    </row>
    <row r="393" spans="2:2">
      <c r="B393" s="3" t="str">
        <f ca="1">IFERROR(__xludf.DUMMYFUNCTION("IF(ISBLANK(A393),"""",GOOGLETRANSLATE(A393,""en"",""fr""))"),"")</f>
        <v/>
      </c>
    </row>
    <row r="394" spans="2:2">
      <c r="B394" s="3" t="str">
        <f ca="1">IFERROR(__xludf.DUMMYFUNCTION("IF(ISBLANK(A394),"""",GOOGLETRANSLATE(A394,""en"",""fr""))"),"")</f>
        <v/>
      </c>
    </row>
    <row r="395" spans="2:2">
      <c r="B395" s="3" t="str">
        <f ca="1">IFERROR(__xludf.DUMMYFUNCTION("IF(ISBLANK(A395),"""",GOOGLETRANSLATE(A395,""en"",""fr""))"),"")</f>
        <v/>
      </c>
    </row>
    <row r="396" spans="2:2">
      <c r="B396" s="3" t="str">
        <f ca="1">IFERROR(__xludf.DUMMYFUNCTION("IF(ISBLANK(A396),"""",GOOGLETRANSLATE(A396,""en"",""fr""))"),"")</f>
        <v/>
      </c>
    </row>
    <row r="397" spans="2:2">
      <c r="B397" s="3" t="str">
        <f ca="1">IFERROR(__xludf.DUMMYFUNCTION("IF(ISBLANK(A397),"""",GOOGLETRANSLATE(A397,""en"",""fr""))"),"")</f>
        <v/>
      </c>
    </row>
    <row r="398" spans="2:2">
      <c r="B398" s="3" t="str">
        <f ca="1">IFERROR(__xludf.DUMMYFUNCTION("IF(ISBLANK(A398),"""",GOOGLETRANSLATE(A398,""en"",""fr""))"),"")</f>
        <v/>
      </c>
    </row>
    <row r="399" spans="2:2">
      <c r="B399" s="3" t="str">
        <f ca="1">IFERROR(__xludf.DUMMYFUNCTION("IF(ISBLANK(A399),"""",GOOGLETRANSLATE(A399,""en"",""fr""))"),"")</f>
        <v/>
      </c>
    </row>
    <row r="400" spans="2:2">
      <c r="B400" s="3" t="str">
        <f ca="1">IFERROR(__xludf.DUMMYFUNCTION("IF(ISBLANK(A400),"""",GOOGLETRANSLATE(A400,""en"",""fr""))"),"")</f>
        <v/>
      </c>
    </row>
    <row r="401" spans="2:2">
      <c r="B401" s="3" t="str">
        <f ca="1">IFERROR(__xludf.DUMMYFUNCTION("IF(ISBLANK(A401),"""",GOOGLETRANSLATE(A401,""en"",""fr""))"),"")</f>
        <v/>
      </c>
    </row>
    <row r="402" spans="2:2">
      <c r="B402" s="3" t="str">
        <f ca="1">IFERROR(__xludf.DUMMYFUNCTION("IF(ISBLANK(A402),"""",GOOGLETRANSLATE(A402,""en"",""fr""))"),"")</f>
        <v/>
      </c>
    </row>
    <row r="403" spans="2:2">
      <c r="B403" s="3" t="str">
        <f ca="1">IFERROR(__xludf.DUMMYFUNCTION("IF(ISBLANK(A403),"""",GOOGLETRANSLATE(A403,""en"",""fr""))"),"")</f>
        <v/>
      </c>
    </row>
    <row r="404" spans="2:2">
      <c r="B404" s="3" t="str">
        <f ca="1">IFERROR(__xludf.DUMMYFUNCTION("IF(ISBLANK(A404),"""",GOOGLETRANSLATE(A404,""en"",""fr""))"),"")</f>
        <v/>
      </c>
    </row>
    <row r="405" spans="2:2">
      <c r="B405" s="3" t="str">
        <f ca="1">IFERROR(__xludf.DUMMYFUNCTION("IF(ISBLANK(A405),"""",GOOGLETRANSLATE(A405,""en"",""fr""))"),"")</f>
        <v/>
      </c>
    </row>
    <row r="406" spans="2:2">
      <c r="B406" s="3" t="str">
        <f ca="1">IFERROR(__xludf.DUMMYFUNCTION("IF(ISBLANK(A406),"""",GOOGLETRANSLATE(A406,""en"",""fr""))"),"")</f>
        <v/>
      </c>
    </row>
    <row r="407" spans="2:2">
      <c r="B407" s="3" t="str">
        <f ca="1">IFERROR(__xludf.DUMMYFUNCTION("IF(ISBLANK(A407),"""",GOOGLETRANSLATE(A407,""en"",""fr""))"),"")</f>
        <v/>
      </c>
    </row>
    <row r="408" spans="2:2">
      <c r="B408" s="3" t="str">
        <f ca="1">IFERROR(__xludf.DUMMYFUNCTION("IF(ISBLANK(A408),"""",GOOGLETRANSLATE(A408,""en"",""fr""))"),"")</f>
        <v/>
      </c>
    </row>
    <row r="409" spans="2:2">
      <c r="B409" s="3" t="str">
        <f ca="1">IFERROR(__xludf.DUMMYFUNCTION("IF(ISBLANK(A409),"""",GOOGLETRANSLATE(A409,""en"",""fr""))"),"")</f>
        <v/>
      </c>
    </row>
    <row r="410" spans="2:2">
      <c r="B410" s="3" t="str">
        <f ca="1">IFERROR(__xludf.DUMMYFUNCTION("IF(ISBLANK(A410),"""",GOOGLETRANSLATE(A410,""en"",""fr""))"),"")</f>
        <v/>
      </c>
    </row>
    <row r="411" spans="2:2">
      <c r="B411" s="3" t="str">
        <f ca="1">IFERROR(__xludf.DUMMYFUNCTION("IF(ISBLANK(A411),"""",GOOGLETRANSLATE(A411,""en"",""fr""))"),"")</f>
        <v/>
      </c>
    </row>
    <row r="412" spans="2:2">
      <c r="B412" s="3" t="str">
        <f ca="1">IFERROR(__xludf.DUMMYFUNCTION("IF(ISBLANK(A412),"""",GOOGLETRANSLATE(A412,""en"",""fr""))"),"")</f>
        <v/>
      </c>
    </row>
    <row r="413" spans="2:2">
      <c r="B413" s="3" t="str">
        <f ca="1">IFERROR(__xludf.DUMMYFUNCTION("IF(ISBLANK(A413),"""",GOOGLETRANSLATE(A413,""en"",""fr""))"),"")</f>
        <v/>
      </c>
    </row>
    <row r="414" spans="2:2">
      <c r="B414" s="3" t="str">
        <f ca="1">IFERROR(__xludf.DUMMYFUNCTION("IF(ISBLANK(A414),"""",GOOGLETRANSLATE(A414,""en"",""fr""))"),"")</f>
        <v/>
      </c>
    </row>
    <row r="415" spans="2:2">
      <c r="B415" s="3" t="str">
        <f ca="1">IFERROR(__xludf.DUMMYFUNCTION("IF(ISBLANK(A415),"""",GOOGLETRANSLATE(A415,""en"",""fr""))"),"")</f>
        <v/>
      </c>
    </row>
    <row r="416" spans="2:2">
      <c r="B416" s="3" t="str">
        <f ca="1">IFERROR(__xludf.DUMMYFUNCTION("IF(ISBLANK(A416),"""",GOOGLETRANSLATE(A416,""en"",""fr""))"),"")</f>
        <v/>
      </c>
    </row>
    <row r="417" spans="2:2">
      <c r="B417" s="3" t="str">
        <f ca="1">IFERROR(__xludf.DUMMYFUNCTION("IF(ISBLANK(A417),"""",GOOGLETRANSLATE(A417,""en"",""fr""))"),"")</f>
        <v/>
      </c>
    </row>
    <row r="418" spans="2:2">
      <c r="B418" s="3" t="str">
        <f ca="1">IFERROR(__xludf.DUMMYFUNCTION("IF(ISBLANK(A418),"""",GOOGLETRANSLATE(A418,""en"",""fr""))"),"")</f>
        <v/>
      </c>
    </row>
    <row r="419" spans="2:2">
      <c r="B419" s="3" t="str">
        <f ca="1">IFERROR(__xludf.DUMMYFUNCTION("IF(ISBLANK(A419),"""",GOOGLETRANSLATE(A419,""en"",""fr""))"),"")</f>
        <v/>
      </c>
    </row>
    <row r="420" spans="2:2">
      <c r="B420" s="3" t="str">
        <f ca="1">IFERROR(__xludf.DUMMYFUNCTION("IF(ISBLANK(A420),"""",GOOGLETRANSLATE(A420,""en"",""fr""))"),"")</f>
        <v/>
      </c>
    </row>
    <row r="421" spans="2:2">
      <c r="B421" s="3" t="str">
        <f ca="1">IFERROR(__xludf.DUMMYFUNCTION("IF(ISBLANK(A421),"""",GOOGLETRANSLATE(A421,""en"",""fr""))"),"")</f>
        <v/>
      </c>
    </row>
    <row r="422" spans="2:2">
      <c r="B422" s="3" t="str">
        <f ca="1">IFERROR(__xludf.DUMMYFUNCTION("IF(ISBLANK(A422),"""",GOOGLETRANSLATE(A422,""en"",""fr""))"),"")</f>
        <v/>
      </c>
    </row>
    <row r="423" spans="2:2">
      <c r="B423" s="3" t="str">
        <f ca="1">IFERROR(__xludf.DUMMYFUNCTION("IF(ISBLANK(A423),"""",GOOGLETRANSLATE(A423,""en"",""fr""))"),"")</f>
        <v/>
      </c>
    </row>
    <row r="424" spans="2:2">
      <c r="B424" s="3" t="str">
        <f ca="1">IFERROR(__xludf.DUMMYFUNCTION("IF(ISBLANK(A424),"""",GOOGLETRANSLATE(A424,""en"",""fr""))"),"")</f>
        <v/>
      </c>
    </row>
    <row r="425" spans="2:2">
      <c r="B425" s="3" t="str">
        <f ca="1">IFERROR(__xludf.DUMMYFUNCTION("IF(ISBLANK(A425),"""",GOOGLETRANSLATE(A425,""en"",""fr""))"),"")</f>
        <v/>
      </c>
    </row>
    <row r="426" spans="2:2">
      <c r="B426" s="3" t="str">
        <f ca="1">IFERROR(__xludf.DUMMYFUNCTION("IF(ISBLANK(A426),"""",GOOGLETRANSLATE(A426,""en"",""fr""))"),"")</f>
        <v/>
      </c>
    </row>
    <row r="427" spans="2:2">
      <c r="B427" s="3" t="str">
        <f ca="1">IFERROR(__xludf.DUMMYFUNCTION("IF(ISBLANK(A427),"""",GOOGLETRANSLATE(A427,""en"",""fr""))"),"")</f>
        <v/>
      </c>
    </row>
    <row r="428" spans="2:2">
      <c r="B428" s="3" t="str">
        <f ca="1">IFERROR(__xludf.DUMMYFUNCTION("IF(ISBLANK(A428),"""",GOOGLETRANSLATE(A428,""en"",""fr""))"),"")</f>
        <v/>
      </c>
    </row>
    <row r="429" spans="2:2">
      <c r="B429" s="3" t="str">
        <f ca="1">IFERROR(__xludf.DUMMYFUNCTION("IF(ISBLANK(A429),"""",GOOGLETRANSLATE(A429,""en"",""fr""))"),"")</f>
        <v/>
      </c>
    </row>
    <row r="430" spans="2:2">
      <c r="B430" s="3" t="str">
        <f ca="1">IFERROR(__xludf.DUMMYFUNCTION("IF(ISBLANK(A430),"""",GOOGLETRANSLATE(A430,""en"",""fr""))"),"")</f>
        <v/>
      </c>
    </row>
    <row r="431" spans="2:2">
      <c r="B431" s="3" t="str">
        <f ca="1">IFERROR(__xludf.DUMMYFUNCTION("IF(ISBLANK(A431),"""",GOOGLETRANSLATE(A431,""en"",""fr""))"),"")</f>
        <v/>
      </c>
    </row>
    <row r="432" spans="2:2">
      <c r="B432" s="3" t="str">
        <f ca="1">IFERROR(__xludf.DUMMYFUNCTION("IF(ISBLANK(A432),"""",GOOGLETRANSLATE(A432,""en"",""fr""))"),"")</f>
        <v/>
      </c>
    </row>
    <row r="433" spans="2:2">
      <c r="B433" s="3" t="str">
        <f ca="1">IFERROR(__xludf.DUMMYFUNCTION("IF(ISBLANK(A433),"""",GOOGLETRANSLATE(A433,""en"",""fr""))"),"")</f>
        <v/>
      </c>
    </row>
    <row r="434" spans="2:2">
      <c r="B434" s="3" t="str">
        <f ca="1">IFERROR(__xludf.DUMMYFUNCTION("IF(ISBLANK(A434),"""",GOOGLETRANSLATE(A434,""en"",""fr""))"),"")</f>
        <v/>
      </c>
    </row>
    <row r="435" spans="2:2">
      <c r="B435" s="3" t="str">
        <f ca="1">IFERROR(__xludf.DUMMYFUNCTION("IF(ISBLANK(A435),"""",GOOGLETRANSLATE(A435,""en"",""fr""))"),"")</f>
        <v/>
      </c>
    </row>
    <row r="436" spans="2:2">
      <c r="B436" s="3" t="str">
        <f ca="1">IFERROR(__xludf.DUMMYFUNCTION("IF(ISBLANK(A436),"""",GOOGLETRANSLATE(A436,""en"",""fr""))"),"")</f>
        <v/>
      </c>
    </row>
    <row r="437" spans="2:2">
      <c r="B437" s="3" t="str">
        <f ca="1">IFERROR(__xludf.DUMMYFUNCTION("IF(ISBLANK(A437),"""",GOOGLETRANSLATE(A437,""en"",""fr""))"),"")</f>
        <v/>
      </c>
    </row>
    <row r="438" spans="2:2">
      <c r="B438" s="3" t="str">
        <f ca="1">IFERROR(__xludf.DUMMYFUNCTION("IF(ISBLANK(A438),"""",GOOGLETRANSLATE(A438,""en"",""fr""))"),"")</f>
        <v/>
      </c>
    </row>
    <row r="439" spans="2:2">
      <c r="B439" s="3" t="str">
        <f ca="1">IFERROR(__xludf.DUMMYFUNCTION("IF(ISBLANK(A439),"""",GOOGLETRANSLATE(A439,""en"",""fr""))"),"")</f>
        <v/>
      </c>
    </row>
    <row r="440" spans="2:2">
      <c r="B440" s="3" t="str">
        <f ca="1">IFERROR(__xludf.DUMMYFUNCTION("IF(ISBLANK(A440),"""",GOOGLETRANSLATE(A440,""en"",""fr""))"),"")</f>
        <v/>
      </c>
    </row>
    <row r="441" spans="2:2">
      <c r="B441" s="3" t="str">
        <f ca="1">IFERROR(__xludf.DUMMYFUNCTION("IF(ISBLANK(A441),"""",GOOGLETRANSLATE(A441,""en"",""fr""))"),"")</f>
        <v/>
      </c>
    </row>
    <row r="442" spans="2:2">
      <c r="B442" s="3" t="str">
        <f ca="1">IFERROR(__xludf.DUMMYFUNCTION("IF(ISBLANK(A442),"""",GOOGLETRANSLATE(A442,""en"",""fr""))"),"")</f>
        <v/>
      </c>
    </row>
    <row r="443" spans="2:2">
      <c r="B443" s="3" t="str">
        <f ca="1">IFERROR(__xludf.DUMMYFUNCTION("IF(ISBLANK(A443),"""",GOOGLETRANSLATE(A443,""en"",""fr""))"),"")</f>
        <v/>
      </c>
    </row>
    <row r="444" spans="2:2">
      <c r="B444" s="3" t="str">
        <f ca="1">IFERROR(__xludf.DUMMYFUNCTION("IF(ISBLANK(A444),"""",GOOGLETRANSLATE(A444,""en"",""fr""))"),"")</f>
        <v/>
      </c>
    </row>
    <row r="445" spans="2:2">
      <c r="B445" s="3" t="str">
        <f ca="1">IFERROR(__xludf.DUMMYFUNCTION("IF(ISBLANK(A445),"""",GOOGLETRANSLATE(A445,""en"",""fr""))"),"")</f>
        <v/>
      </c>
    </row>
    <row r="446" spans="2:2">
      <c r="B446" s="3" t="str">
        <f ca="1">IFERROR(__xludf.DUMMYFUNCTION("IF(ISBLANK(A446),"""",GOOGLETRANSLATE(A446,""en"",""fr""))"),"")</f>
        <v/>
      </c>
    </row>
    <row r="447" spans="2:2">
      <c r="B447" s="3" t="str">
        <f ca="1">IFERROR(__xludf.DUMMYFUNCTION("IF(ISBLANK(A447),"""",GOOGLETRANSLATE(A447,""en"",""fr""))"),"")</f>
        <v/>
      </c>
    </row>
    <row r="448" spans="2:2">
      <c r="B448" s="3" t="str">
        <f ca="1">IFERROR(__xludf.DUMMYFUNCTION("IF(ISBLANK(A448),"""",GOOGLETRANSLATE(A448,""en"",""fr""))"),"")</f>
        <v/>
      </c>
    </row>
    <row r="449" spans="2:2">
      <c r="B449" s="3" t="str">
        <f ca="1">IFERROR(__xludf.DUMMYFUNCTION("IF(ISBLANK(A449),"""",GOOGLETRANSLATE(A449,""en"",""fr""))"),"")</f>
        <v/>
      </c>
    </row>
    <row r="450" spans="2:2">
      <c r="B450" s="3" t="str">
        <f ca="1">IFERROR(__xludf.DUMMYFUNCTION("IF(ISBLANK(A450),"""",GOOGLETRANSLATE(A450,""en"",""fr""))"),"")</f>
        <v/>
      </c>
    </row>
    <row r="451" spans="2:2">
      <c r="B451" s="3" t="str">
        <f ca="1">IFERROR(__xludf.DUMMYFUNCTION("IF(ISBLANK(A451),"""",GOOGLETRANSLATE(A451,""en"",""fr""))"),"")</f>
        <v/>
      </c>
    </row>
    <row r="452" spans="2:2">
      <c r="B452" s="3" t="str">
        <f ca="1">IFERROR(__xludf.DUMMYFUNCTION("IF(ISBLANK(A452),"""",GOOGLETRANSLATE(A452,""en"",""fr""))"),"")</f>
        <v/>
      </c>
    </row>
    <row r="453" spans="2:2">
      <c r="B453" s="3" t="str">
        <f ca="1">IFERROR(__xludf.DUMMYFUNCTION("IF(ISBLANK(A453),"""",GOOGLETRANSLATE(A453,""en"",""fr""))"),"")</f>
        <v/>
      </c>
    </row>
    <row r="454" spans="2:2">
      <c r="B454" s="3" t="str">
        <f ca="1">IFERROR(__xludf.DUMMYFUNCTION("IF(ISBLANK(A454),"""",GOOGLETRANSLATE(A454,""en"",""fr""))"),"")</f>
        <v/>
      </c>
    </row>
    <row r="455" spans="2:2">
      <c r="B455" s="3" t="str">
        <f ca="1">IFERROR(__xludf.DUMMYFUNCTION("IF(ISBLANK(A455),"""",GOOGLETRANSLATE(A455,""en"",""fr""))"),"")</f>
        <v/>
      </c>
    </row>
    <row r="456" spans="2:2">
      <c r="B456" s="3" t="str">
        <f ca="1">IFERROR(__xludf.DUMMYFUNCTION("IF(ISBLANK(A456),"""",GOOGLETRANSLATE(A456,""en"",""fr""))"),"")</f>
        <v/>
      </c>
    </row>
    <row r="457" spans="2:2">
      <c r="B457" s="3" t="str">
        <f ca="1">IFERROR(__xludf.DUMMYFUNCTION("IF(ISBLANK(A457),"""",GOOGLETRANSLATE(A457,""en"",""fr""))"),"")</f>
        <v/>
      </c>
    </row>
    <row r="458" spans="2:2">
      <c r="B458" s="3" t="str">
        <f ca="1">IFERROR(__xludf.DUMMYFUNCTION("IF(ISBLANK(A458),"""",GOOGLETRANSLATE(A458,""en"",""fr""))"),"")</f>
        <v/>
      </c>
    </row>
    <row r="459" spans="2:2">
      <c r="B459" s="3" t="str">
        <f ca="1">IFERROR(__xludf.DUMMYFUNCTION("IF(ISBLANK(A459),"""",GOOGLETRANSLATE(A459,""en"",""fr""))"),"")</f>
        <v/>
      </c>
    </row>
    <row r="460" spans="2:2">
      <c r="B460" s="3" t="str">
        <f ca="1">IFERROR(__xludf.DUMMYFUNCTION("IF(ISBLANK(A460),"""",GOOGLETRANSLATE(A460,""en"",""fr""))"),"")</f>
        <v/>
      </c>
    </row>
    <row r="461" spans="2:2">
      <c r="B461" s="3" t="str">
        <f ca="1">IFERROR(__xludf.DUMMYFUNCTION("IF(ISBLANK(A461),"""",GOOGLETRANSLATE(A461,""en"",""fr""))"),"")</f>
        <v/>
      </c>
    </row>
    <row r="462" spans="2:2">
      <c r="B462" s="3" t="str">
        <f ca="1">IFERROR(__xludf.DUMMYFUNCTION("IF(ISBLANK(A462),"""",GOOGLETRANSLATE(A462,""en"",""fr""))"),"")</f>
        <v/>
      </c>
    </row>
    <row r="463" spans="2:2">
      <c r="B463" s="3" t="str">
        <f ca="1">IFERROR(__xludf.DUMMYFUNCTION("IF(ISBLANK(A463),"""",GOOGLETRANSLATE(A463,""en"",""fr""))"),"")</f>
        <v/>
      </c>
    </row>
    <row r="464" spans="2:2">
      <c r="B464" s="3" t="str">
        <f ca="1">IFERROR(__xludf.DUMMYFUNCTION("IF(ISBLANK(A464),"""",GOOGLETRANSLATE(A464,""en"",""fr""))"),"")</f>
        <v/>
      </c>
    </row>
    <row r="465" spans="2:2">
      <c r="B465" s="3" t="str">
        <f ca="1">IFERROR(__xludf.DUMMYFUNCTION("IF(ISBLANK(A465),"""",GOOGLETRANSLATE(A465,""en"",""fr""))"),"")</f>
        <v/>
      </c>
    </row>
    <row r="466" spans="2:2">
      <c r="B466" s="3" t="str">
        <f ca="1">IFERROR(__xludf.DUMMYFUNCTION("IF(ISBLANK(A466),"""",GOOGLETRANSLATE(A466,""en"",""fr""))"),"")</f>
        <v/>
      </c>
    </row>
    <row r="467" spans="2:2">
      <c r="B467" s="3" t="str">
        <f ca="1">IFERROR(__xludf.DUMMYFUNCTION("IF(ISBLANK(A467),"""",GOOGLETRANSLATE(A467,""en"",""fr""))"),"")</f>
        <v/>
      </c>
    </row>
    <row r="468" spans="2:2">
      <c r="B468" s="3" t="str">
        <f ca="1">IFERROR(__xludf.DUMMYFUNCTION("IF(ISBLANK(A468),"""",GOOGLETRANSLATE(A468,""en"",""fr""))"),"")</f>
        <v/>
      </c>
    </row>
    <row r="469" spans="2:2">
      <c r="B469" s="3" t="str">
        <f ca="1">IFERROR(__xludf.DUMMYFUNCTION("IF(ISBLANK(A469),"""",GOOGLETRANSLATE(A469,""en"",""fr""))"),"")</f>
        <v/>
      </c>
    </row>
    <row r="470" spans="2:2">
      <c r="B470" s="3" t="str">
        <f ca="1">IFERROR(__xludf.DUMMYFUNCTION("IF(ISBLANK(A470),"""",GOOGLETRANSLATE(A470,""en"",""fr""))"),"")</f>
        <v/>
      </c>
    </row>
    <row r="471" spans="2:2">
      <c r="B471" s="3" t="str">
        <f ca="1">IFERROR(__xludf.DUMMYFUNCTION("IF(ISBLANK(A471),"""",GOOGLETRANSLATE(A471,""en"",""fr""))"),"")</f>
        <v/>
      </c>
    </row>
    <row r="472" spans="2:2">
      <c r="B472" s="3" t="str">
        <f ca="1">IFERROR(__xludf.DUMMYFUNCTION("IF(ISBLANK(A472),"""",GOOGLETRANSLATE(A472,""en"",""fr""))"),"")</f>
        <v/>
      </c>
    </row>
    <row r="473" spans="2:2">
      <c r="B473" s="3" t="str">
        <f ca="1">IFERROR(__xludf.DUMMYFUNCTION("IF(ISBLANK(A473),"""",GOOGLETRANSLATE(A473,""en"",""fr""))"),"")</f>
        <v/>
      </c>
    </row>
    <row r="474" spans="2:2">
      <c r="B474" s="3" t="str">
        <f ca="1">IFERROR(__xludf.DUMMYFUNCTION("IF(ISBLANK(A474),"""",GOOGLETRANSLATE(A474,""en"",""fr""))"),"")</f>
        <v/>
      </c>
    </row>
    <row r="475" spans="2:2">
      <c r="B475" s="3" t="str">
        <f ca="1">IFERROR(__xludf.DUMMYFUNCTION("IF(ISBLANK(A475),"""",GOOGLETRANSLATE(A475,""en"",""fr""))"),"")</f>
        <v/>
      </c>
    </row>
    <row r="476" spans="2:2">
      <c r="B476" s="3" t="str">
        <f ca="1">IFERROR(__xludf.DUMMYFUNCTION("IF(ISBLANK(A476),"""",GOOGLETRANSLATE(A476,""en"",""fr""))"),"")</f>
        <v/>
      </c>
    </row>
    <row r="477" spans="2:2">
      <c r="B477" s="3" t="str">
        <f ca="1">IFERROR(__xludf.DUMMYFUNCTION("IF(ISBLANK(A477),"""",GOOGLETRANSLATE(A477,""en"",""fr""))"),"")</f>
        <v/>
      </c>
    </row>
    <row r="478" spans="2:2">
      <c r="B478" s="3" t="str">
        <f ca="1">IFERROR(__xludf.DUMMYFUNCTION("IF(ISBLANK(A478),"""",GOOGLETRANSLATE(A478,""en"",""fr""))"),"")</f>
        <v/>
      </c>
    </row>
    <row r="479" spans="2:2">
      <c r="B479" s="3" t="str">
        <f ca="1">IFERROR(__xludf.DUMMYFUNCTION("IF(ISBLANK(A479),"""",GOOGLETRANSLATE(A479,""en"",""fr""))"),"")</f>
        <v/>
      </c>
    </row>
    <row r="480" spans="2:2">
      <c r="B480" s="3" t="str">
        <f ca="1">IFERROR(__xludf.DUMMYFUNCTION("IF(ISBLANK(A480),"""",GOOGLETRANSLATE(A480,""en"",""fr""))"),"")</f>
        <v/>
      </c>
    </row>
    <row r="481" spans="2:2">
      <c r="B481" s="3" t="str">
        <f ca="1">IFERROR(__xludf.DUMMYFUNCTION("IF(ISBLANK(A481),"""",GOOGLETRANSLATE(A481,""en"",""fr""))"),"")</f>
        <v/>
      </c>
    </row>
    <row r="482" spans="2:2">
      <c r="B482" s="3" t="str">
        <f ca="1">IFERROR(__xludf.DUMMYFUNCTION("IF(ISBLANK(A482),"""",GOOGLETRANSLATE(A482,""en"",""fr""))"),"")</f>
        <v/>
      </c>
    </row>
    <row r="483" spans="2:2">
      <c r="B483" s="3" t="str">
        <f ca="1">IFERROR(__xludf.DUMMYFUNCTION("IF(ISBLANK(A483),"""",GOOGLETRANSLATE(A483,""en"",""fr""))"),"")</f>
        <v/>
      </c>
    </row>
    <row r="484" spans="2:2">
      <c r="B484" s="3" t="str">
        <f ca="1">IFERROR(__xludf.DUMMYFUNCTION("IF(ISBLANK(A484),"""",GOOGLETRANSLATE(A484,""en"",""fr""))"),"")</f>
        <v/>
      </c>
    </row>
    <row r="485" spans="2:2">
      <c r="B485" s="3" t="str">
        <f ca="1">IFERROR(__xludf.DUMMYFUNCTION("IF(ISBLANK(A485),"""",GOOGLETRANSLATE(A485,""en"",""fr""))"),"")</f>
        <v/>
      </c>
    </row>
    <row r="486" spans="2:2">
      <c r="B486" s="3" t="str">
        <f ca="1">IFERROR(__xludf.DUMMYFUNCTION("IF(ISBLANK(A486),"""",GOOGLETRANSLATE(A486,""en"",""fr""))"),"")</f>
        <v/>
      </c>
    </row>
    <row r="487" spans="2:2">
      <c r="B487" s="3" t="str">
        <f ca="1">IFERROR(__xludf.DUMMYFUNCTION("IF(ISBLANK(A487),"""",GOOGLETRANSLATE(A487,""en"",""fr""))"),"")</f>
        <v/>
      </c>
    </row>
    <row r="488" spans="2:2">
      <c r="B488" s="3" t="str">
        <f ca="1">IFERROR(__xludf.DUMMYFUNCTION("IF(ISBLANK(A488),"""",GOOGLETRANSLATE(A488,""en"",""fr""))"),"")</f>
        <v/>
      </c>
    </row>
    <row r="489" spans="2:2">
      <c r="B489" s="3" t="str">
        <f ca="1">IFERROR(__xludf.DUMMYFUNCTION("IF(ISBLANK(A489),"""",GOOGLETRANSLATE(A489,""en"",""fr""))"),"")</f>
        <v/>
      </c>
    </row>
    <row r="490" spans="2:2">
      <c r="B490" s="3" t="str">
        <f ca="1">IFERROR(__xludf.DUMMYFUNCTION("IF(ISBLANK(A490),"""",GOOGLETRANSLATE(A490,""en"",""fr""))"),"")</f>
        <v/>
      </c>
    </row>
    <row r="491" spans="2:2">
      <c r="B491" s="3" t="str">
        <f ca="1">IFERROR(__xludf.DUMMYFUNCTION("IF(ISBLANK(A491),"""",GOOGLETRANSLATE(A491,""en"",""fr""))"),"")</f>
        <v/>
      </c>
    </row>
    <row r="492" spans="2:2">
      <c r="B492" s="3" t="str">
        <f ca="1">IFERROR(__xludf.DUMMYFUNCTION("IF(ISBLANK(A492),"""",GOOGLETRANSLATE(A492,""en"",""fr""))"),"")</f>
        <v/>
      </c>
    </row>
    <row r="493" spans="2:2">
      <c r="B493" s="3" t="str">
        <f ca="1">IFERROR(__xludf.DUMMYFUNCTION("IF(ISBLANK(A493),"""",GOOGLETRANSLATE(A493,""en"",""fr""))"),"")</f>
        <v/>
      </c>
    </row>
    <row r="494" spans="2:2">
      <c r="B494" s="3" t="str">
        <f ca="1">IFERROR(__xludf.DUMMYFUNCTION("IF(ISBLANK(A494),"""",GOOGLETRANSLATE(A494,""en"",""fr""))"),"")</f>
        <v/>
      </c>
    </row>
    <row r="495" spans="2:2">
      <c r="B495" s="3" t="str">
        <f ca="1">IFERROR(__xludf.DUMMYFUNCTION("IF(ISBLANK(A495),"""",GOOGLETRANSLATE(A495,""en"",""fr""))"),"")</f>
        <v/>
      </c>
    </row>
    <row r="496" spans="2:2">
      <c r="B496" s="3" t="str">
        <f ca="1">IFERROR(__xludf.DUMMYFUNCTION("IF(ISBLANK(A496),"""",GOOGLETRANSLATE(A496,""en"",""fr""))"),"")</f>
        <v/>
      </c>
    </row>
    <row r="497" spans="2:2">
      <c r="B497" s="3" t="str">
        <f ca="1">IFERROR(__xludf.DUMMYFUNCTION("IF(ISBLANK(A497),"""",GOOGLETRANSLATE(A497,""en"",""fr""))"),"")</f>
        <v/>
      </c>
    </row>
    <row r="498" spans="2:2">
      <c r="B498" s="3" t="str">
        <f ca="1">IFERROR(__xludf.DUMMYFUNCTION("IF(ISBLANK(A498),"""",GOOGLETRANSLATE(A498,""en"",""fr""))"),"")</f>
        <v/>
      </c>
    </row>
    <row r="499" spans="2:2">
      <c r="B499" s="3" t="str">
        <f ca="1">IFERROR(__xludf.DUMMYFUNCTION("IF(ISBLANK(A499),"""",GOOGLETRANSLATE(A499,""en"",""fr""))"),"")</f>
        <v/>
      </c>
    </row>
    <row r="500" spans="2:2">
      <c r="B500" s="3" t="str">
        <f ca="1">IFERROR(__xludf.DUMMYFUNCTION("IF(ISBLANK(A500),"""",GOOGLETRANSLATE(A500,""en"",""fr""))"),"")</f>
        <v/>
      </c>
    </row>
    <row r="501" spans="2:2">
      <c r="B501" s="3" t="str">
        <f ca="1">IFERROR(__xludf.DUMMYFUNCTION("IF(ISBLANK(A501),"""",GOOGLETRANSLATE(A501,""en"",""fr""))"),"")</f>
        <v/>
      </c>
    </row>
    <row r="502" spans="2:2">
      <c r="B502" s="3" t="str">
        <f ca="1">IFERROR(__xludf.DUMMYFUNCTION("IF(ISBLANK(A502),"""",GOOGLETRANSLATE(A502,""en"",""fr""))"),"")</f>
        <v/>
      </c>
    </row>
    <row r="503" spans="2:2">
      <c r="B503" s="3" t="str">
        <f ca="1">IFERROR(__xludf.DUMMYFUNCTION("IF(ISBLANK(A503),"""",GOOGLETRANSLATE(A503,""en"",""fr""))"),"")</f>
        <v/>
      </c>
    </row>
    <row r="504" spans="2:2">
      <c r="B504" s="3" t="str">
        <f ca="1">IFERROR(__xludf.DUMMYFUNCTION("IF(ISBLANK(A504),"""",GOOGLETRANSLATE(A504,""en"",""fr""))"),"")</f>
        <v/>
      </c>
    </row>
    <row r="505" spans="2:2">
      <c r="B505" s="3" t="str">
        <f ca="1">IFERROR(__xludf.DUMMYFUNCTION("IF(ISBLANK(A505),"""",GOOGLETRANSLATE(A505,""en"",""fr""))"),"")</f>
        <v/>
      </c>
    </row>
    <row r="506" spans="2:2">
      <c r="B506" s="3" t="str">
        <f ca="1">IFERROR(__xludf.DUMMYFUNCTION("IF(ISBLANK(A506),"""",GOOGLETRANSLATE(A506,""en"",""fr""))"),"")</f>
        <v/>
      </c>
    </row>
    <row r="507" spans="2:2">
      <c r="B507" s="3" t="str">
        <f ca="1">IFERROR(__xludf.DUMMYFUNCTION("IF(ISBLANK(A507),"""",GOOGLETRANSLATE(A507,""en"",""fr""))"),"")</f>
        <v/>
      </c>
    </row>
    <row r="508" spans="2:2">
      <c r="B508" s="3" t="str">
        <f ca="1">IFERROR(__xludf.DUMMYFUNCTION("IF(ISBLANK(A508),"""",GOOGLETRANSLATE(A508,""en"",""fr""))"),"")</f>
        <v/>
      </c>
    </row>
    <row r="509" spans="2:2">
      <c r="B509" s="3" t="str">
        <f ca="1">IFERROR(__xludf.DUMMYFUNCTION("IF(ISBLANK(A509),"""",GOOGLETRANSLATE(A509,""en"",""fr""))"),"")</f>
        <v/>
      </c>
    </row>
    <row r="510" spans="2:2">
      <c r="B510" s="3" t="str">
        <f ca="1">IFERROR(__xludf.DUMMYFUNCTION("IF(ISBLANK(A510),"""",GOOGLETRANSLATE(A510,""en"",""fr""))"),"")</f>
        <v/>
      </c>
    </row>
    <row r="511" spans="2:2">
      <c r="B511" s="3" t="str">
        <f ca="1">IFERROR(__xludf.DUMMYFUNCTION("IF(ISBLANK(A511),"""",GOOGLETRANSLATE(A511,""en"",""fr""))"),"")</f>
        <v/>
      </c>
    </row>
    <row r="512" spans="2:2">
      <c r="B512" s="3" t="str">
        <f ca="1">IFERROR(__xludf.DUMMYFUNCTION("IF(ISBLANK(A512),"""",GOOGLETRANSLATE(A512,""en"",""fr""))"),"")</f>
        <v/>
      </c>
    </row>
    <row r="513" spans="2:2">
      <c r="B513" s="3" t="str">
        <f ca="1">IFERROR(__xludf.DUMMYFUNCTION("IF(ISBLANK(A513),"""",GOOGLETRANSLATE(A513,""en"",""fr""))"),"")</f>
        <v/>
      </c>
    </row>
    <row r="514" spans="2:2">
      <c r="B514" s="3" t="str">
        <f ca="1">IFERROR(__xludf.DUMMYFUNCTION("IF(ISBLANK(A514),"""",GOOGLETRANSLATE(A514,""en"",""fr""))"),"")</f>
        <v/>
      </c>
    </row>
    <row r="515" spans="2:2">
      <c r="B515" s="3" t="str">
        <f ca="1">IFERROR(__xludf.DUMMYFUNCTION("IF(ISBLANK(A515),"""",GOOGLETRANSLATE(A515,""en"",""fr""))"),"")</f>
        <v/>
      </c>
    </row>
    <row r="516" spans="2:2">
      <c r="B516" s="3" t="str">
        <f ca="1">IFERROR(__xludf.DUMMYFUNCTION("IF(ISBLANK(A516),"""",GOOGLETRANSLATE(A516,""en"",""fr""))"),"")</f>
        <v/>
      </c>
    </row>
    <row r="517" spans="2:2">
      <c r="B517" s="3" t="str">
        <f ca="1">IFERROR(__xludf.DUMMYFUNCTION("IF(ISBLANK(A517),"""",GOOGLETRANSLATE(A517,""en"",""fr""))"),"")</f>
        <v/>
      </c>
    </row>
    <row r="518" spans="2:2">
      <c r="B518" s="3" t="str">
        <f ca="1">IFERROR(__xludf.DUMMYFUNCTION("IF(ISBLANK(A518),"""",GOOGLETRANSLATE(A518,""en"",""fr""))"),"")</f>
        <v/>
      </c>
    </row>
    <row r="519" spans="2:2">
      <c r="B519" s="3" t="str">
        <f ca="1">IFERROR(__xludf.DUMMYFUNCTION("IF(ISBLANK(A519),"""",GOOGLETRANSLATE(A519,""en"",""fr""))"),"")</f>
        <v/>
      </c>
    </row>
    <row r="520" spans="2:2">
      <c r="B520" s="3" t="str">
        <f ca="1">IFERROR(__xludf.DUMMYFUNCTION("IF(ISBLANK(A520),"""",GOOGLETRANSLATE(A520,""en"",""fr""))"),"")</f>
        <v/>
      </c>
    </row>
    <row r="521" spans="2:2">
      <c r="B521" s="3" t="str">
        <f ca="1">IFERROR(__xludf.DUMMYFUNCTION("IF(ISBLANK(A521),"""",GOOGLETRANSLATE(A521,""en"",""fr""))"),"")</f>
        <v/>
      </c>
    </row>
    <row r="522" spans="2:2">
      <c r="B522" s="3" t="str">
        <f ca="1">IFERROR(__xludf.DUMMYFUNCTION("IF(ISBLANK(A522),"""",GOOGLETRANSLATE(A522,""en"",""fr""))"),"")</f>
        <v/>
      </c>
    </row>
    <row r="523" spans="2:2">
      <c r="B523" s="3" t="str">
        <f ca="1">IFERROR(__xludf.DUMMYFUNCTION("IF(ISBLANK(A523),"""",GOOGLETRANSLATE(A523,""en"",""fr""))"),"")</f>
        <v/>
      </c>
    </row>
    <row r="524" spans="2:2">
      <c r="B524" s="3" t="str">
        <f ca="1">IFERROR(__xludf.DUMMYFUNCTION("IF(ISBLANK(A524),"""",GOOGLETRANSLATE(A524,""en"",""fr""))"),"")</f>
        <v/>
      </c>
    </row>
    <row r="525" spans="2:2">
      <c r="B525" s="3" t="str">
        <f ca="1">IFERROR(__xludf.DUMMYFUNCTION("IF(ISBLANK(A525),"""",GOOGLETRANSLATE(A525,""en"",""fr""))"),"")</f>
        <v/>
      </c>
    </row>
    <row r="526" spans="2:2">
      <c r="B526" s="3" t="str">
        <f ca="1">IFERROR(__xludf.DUMMYFUNCTION("IF(ISBLANK(A526),"""",GOOGLETRANSLATE(A526,""en"",""fr""))"),"")</f>
        <v/>
      </c>
    </row>
    <row r="527" spans="2:2">
      <c r="B527" s="3" t="str">
        <f ca="1">IFERROR(__xludf.DUMMYFUNCTION("IF(ISBLANK(A527),"""",GOOGLETRANSLATE(A527,""en"",""fr""))"),"")</f>
        <v/>
      </c>
    </row>
    <row r="528" spans="2:2">
      <c r="B528" s="3" t="str">
        <f ca="1">IFERROR(__xludf.DUMMYFUNCTION("IF(ISBLANK(A528),"""",GOOGLETRANSLATE(A528,""en"",""fr""))"),"")</f>
        <v/>
      </c>
    </row>
    <row r="529" spans="2:2">
      <c r="B529" s="3" t="str">
        <f ca="1">IFERROR(__xludf.DUMMYFUNCTION("IF(ISBLANK(A529),"""",GOOGLETRANSLATE(A529,""en"",""fr""))"),"")</f>
        <v/>
      </c>
    </row>
    <row r="530" spans="2:2">
      <c r="B530" s="3" t="str">
        <f ca="1">IFERROR(__xludf.DUMMYFUNCTION("IF(ISBLANK(A530),"""",GOOGLETRANSLATE(A530,""en"",""fr""))"),"")</f>
        <v/>
      </c>
    </row>
    <row r="531" spans="2:2">
      <c r="B531" s="3" t="str">
        <f ca="1">IFERROR(__xludf.DUMMYFUNCTION("IF(ISBLANK(A531),"""",GOOGLETRANSLATE(A531,""en"",""fr""))"),"")</f>
        <v/>
      </c>
    </row>
    <row r="532" spans="2:2">
      <c r="B532" s="3" t="str">
        <f ca="1">IFERROR(__xludf.DUMMYFUNCTION("IF(ISBLANK(A532),"""",GOOGLETRANSLATE(A532,""en"",""fr""))"),"")</f>
        <v/>
      </c>
    </row>
    <row r="533" spans="2:2">
      <c r="B533" s="3" t="str">
        <f ca="1">IFERROR(__xludf.DUMMYFUNCTION("IF(ISBLANK(A533),"""",GOOGLETRANSLATE(A533,""en"",""fr""))"),"")</f>
        <v/>
      </c>
    </row>
    <row r="534" spans="2:2">
      <c r="B534" s="3" t="str">
        <f ca="1">IFERROR(__xludf.DUMMYFUNCTION("IF(ISBLANK(A534),"""",GOOGLETRANSLATE(A534,""en"",""fr""))"),"")</f>
        <v/>
      </c>
    </row>
    <row r="535" spans="2:2">
      <c r="B535" s="3" t="str">
        <f ca="1">IFERROR(__xludf.DUMMYFUNCTION("IF(ISBLANK(A535),"""",GOOGLETRANSLATE(A535,""en"",""fr""))"),"")</f>
        <v/>
      </c>
    </row>
    <row r="536" spans="2:2">
      <c r="B536" s="3" t="str">
        <f ca="1">IFERROR(__xludf.DUMMYFUNCTION("IF(ISBLANK(A536),"""",GOOGLETRANSLATE(A536,""en"",""fr""))"),"")</f>
        <v/>
      </c>
    </row>
    <row r="537" spans="2:2">
      <c r="B537" s="3" t="str">
        <f ca="1">IFERROR(__xludf.DUMMYFUNCTION("IF(ISBLANK(A537),"""",GOOGLETRANSLATE(A537,""en"",""fr""))"),"")</f>
        <v/>
      </c>
    </row>
    <row r="538" spans="2:2">
      <c r="B538" s="3" t="str">
        <f ca="1">IFERROR(__xludf.DUMMYFUNCTION("IF(ISBLANK(A538),"""",GOOGLETRANSLATE(A538,""en"",""fr""))"),"")</f>
        <v/>
      </c>
    </row>
    <row r="539" spans="2:2">
      <c r="B539" s="3" t="str">
        <f ca="1">IFERROR(__xludf.DUMMYFUNCTION("IF(ISBLANK(A539),"""",GOOGLETRANSLATE(A539,""en"",""fr""))"),"")</f>
        <v/>
      </c>
    </row>
    <row r="540" spans="2:2">
      <c r="B540" s="3" t="str">
        <f ca="1">IFERROR(__xludf.DUMMYFUNCTION("IF(ISBLANK(A540),"""",GOOGLETRANSLATE(A540,""en"",""fr""))"),"")</f>
        <v/>
      </c>
    </row>
    <row r="541" spans="2:2">
      <c r="B541" s="3" t="str">
        <f ca="1">IFERROR(__xludf.DUMMYFUNCTION("IF(ISBLANK(A541),"""",GOOGLETRANSLATE(A541,""en"",""fr""))"),"")</f>
        <v/>
      </c>
    </row>
    <row r="542" spans="2:2">
      <c r="B542" s="3" t="str">
        <f ca="1">IFERROR(__xludf.DUMMYFUNCTION("IF(ISBLANK(A542),"""",GOOGLETRANSLATE(A542,""en"",""fr""))"),"")</f>
        <v/>
      </c>
    </row>
    <row r="543" spans="2:2">
      <c r="B543" s="3" t="str">
        <f ca="1">IFERROR(__xludf.DUMMYFUNCTION("IF(ISBLANK(A543),"""",GOOGLETRANSLATE(A543,""en"",""fr""))"),"")</f>
        <v/>
      </c>
    </row>
    <row r="544" spans="2:2">
      <c r="B544" s="3" t="str">
        <f ca="1">IFERROR(__xludf.DUMMYFUNCTION("IF(ISBLANK(A544),"""",GOOGLETRANSLATE(A544,""en"",""fr""))"),"")</f>
        <v/>
      </c>
    </row>
    <row r="545" spans="2:2">
      <c r="B545" s="3" t="str">
        <f ca="1">IFERROR(__xludf.DUMMYFUNCTION("IF(ISBLANK(A545),"""",GOOGLETRANSLATE(A545,""en"",""fr""))"),"")</f>
        <v/>
      </c>
    </row>
    <row r="546" spans="2:2">
      <c r="B546" s="3" t="str">
        <f ca="1">IFERROR(__xludf.DUMMYFUNCTION("IF(ISBLANK(A546),"""",GOOGLETRANSLATE(A546,""en"",""fr""))"),"")</f>
        <v/>
      </c>
    </row>
    <row r="547" spans="2:2">
      <c r="B547" s="3" t="str">
        <f ca="1">IFERROR(__xludf.DUMMYFUNCTION("IF(ISBLANK(A547),"""",GOOGLETRANSLATE(A547,""en"",""fr""))"),"")</f>
        <v/>
      </c>
    </row>
    <row r="548" spans="2:2">
      <c r="B548" s="3" t="str">
        <f ca="1">IFERROR(__xludf.DUMMYFUNCTION("IF(ISBLANK(A548),"""",GOOGLETRANSLATE(A548,""en"",""fr""))"),"")</f>
        <v/>
      </c>
    </row>
    <row r="549" spans="2:2">
      <c r="B549" s="3" t="str">
        <f ca="1">IFERROR(__xludf.DUMMYFUNCTION("IF(ISBLANK(A549),"""",GOOGLETRANSLATE(A549,""en"",""fr""))"),"")</f>
        <v/>
      </c>
    </row>
    <row r="550" spans="2:2">
      <c r="B550" s="3" t="str">
        <f ca="1">IFERROR(__xludf.DUMMYFUNCTION("IF(ISBLANK(A550),"""",GOOGLETRANSLATE(A550,""en"",""fr""))"),"")</f>
        <v/>
      </c>
    </row>
    <row r="551" spans="2:2">
      <c r="B551" s="3" t="str">
        <f ca="1">IFERROR(__xludf.DUMMYFUNCTION("IF(ISBLANK(A551),"""",GOOGLETRANSLATE(A551,""en"",""fr""))"),"")</f>
        <v/>
      </c>
    </row>
    <row r="552" spans="2:2">
      <c r="B552" s="3" t="str">
        <f ca="1">IFERROR(__xludf.DUMMYFUNCTION("IF(ISBLANK(A552),"""",GOOGLETRANSLATE(A552,""en"",""fr""))"),"")</f>
        <v/>
      </c>
    </row>
    <row r="553" spans="2:2">
      <c r="B553" s="3" t="str">
        <f ca="1">IFERROR(__xludf.DUMMYFUNCTION("IF(ISBLANK(A553),"""",GOOGLETRANSLATE(A553,""en"",""fr""))"),"")</f>
        <v/>
      </c>
    </row>
    <row r="554" spans="2:2">
      <c r="B554" s="3" t="str">
        <f ca="1">IFERROR(__xludf.DUMMYFUNCTION("IF(ISBLANK(A554),"""",GOOGLETRANSLATE(A554,""en"",""fr""))"),"")</f>
        <v/>
      </c>
    </row>
    <row r="555" spans="2:2">
      <c r="B555" s="3" t="str">
        <f ca="1">IFERROR(__xludf.DUMMYFUNCTION("IF(ISBLANK(A555),"""",GOOGLETRANSLATE(A555,""en"",""fr""))"),"")</f>
        <v/>
      </c>
    </row>
    <row r="556" spans="2:2">
      <c r="B556" s="3" t="str">
        <f ca="1">IFERROR(__xludf.DUMMYFUNCTION("IF(ISBLANK(A556),"""",GOOGLETRANSLATE(A556,""en"",""fr""))"),"")</f>
        <v/>
      </c>
    </row>
    <row r="557" spans="2:2">
      <c r="B557" s="3" t="str">
        <f ca="1">IFERROR(__xludf.DUMMYFUNCTION("IF(ISBLANK(A557),"""",GOOGLETRANSLATE(A557,""en"",""fr""))"),"")</f>
        <v/>
      </c>
    </row>
    <row r="558" spans="2:2">
      <c r="B558" s="3" t="str">
        <f ca="1">IFERROR(__xludf.DUMMYFUNCTION("IF(ISBLANK(A558),"""",GOOGLETRANSLATE(A558,""en"",""fr""))"),"")</f>
        <v/>
      </c>
    </row>
    <row r="559" spans="2:2">
      <c r="B559" s="3" t="str">
        <f ca="1">IFERROR(__xludf.DUMMYFUNCTION("IF(ISBLANK(A559),"""",GOOGLETRANSLATE(A559,""en"",""fr""))"),"")</f>
        <v/>
      </c>
    </row>
    <row r="560" spans="2:2">
      <c r="B560" s="3" t="str">
        <f ca="1">IFERROR(__xludf.DUMMYFUNCTION("IF(ISBLANK(A560),"""",GOOGLETRANSLATE(A560,""en"",""fr""))"),"")</f>
        <v/>
      </c>
    </row>
    <row r="561" spans="2:2">
      <c r="B561" s="3" t="str">
        <f ca="1">IFERROR(__xludf.DUMMYFUNCTION("IF(ISBLANK(A561),"""",GOOGLETRANSLATE(A561,""en"",""fr""))"),"")</f>
        <v/>
      </c>
    </row>
    <row r="562" spans="2:2">
      <c r="B562" s="3" t="str">
        <f ca="1">IFERROR(__xludf.DUMMYFUNCTION("IF(ISBLANK(A562),"""",GOOGLETRANSLATE(A562,""en"",""fr""))"),"")</f>
        <v/>
      </c>
    </row>
    <row r="563" spans="2:2">
      <c r="B563" s="3" t="str">
        <f ca="1">IFERROR(__xludf.DUMMYFUNCTION("IF(ISBLANK(A563),"""",GOOGLETRANSLATE(A563,""en"",""fr""))"),"")</f>
        <v/>
      </c>
    </row>
    <row r="564" spans="2:2">
      <c r="B564" s="3" t="str">
        <f ca="1">IFERROR(__xludf.DUMMYFUNCTION("IF(ISBLANK(A564),"""",GOOGLETRANSLATE(A564,""en"",""fr""))"),"")</f>
        <v/>
      </c>
    </row>
    <row r="565" spans="2:2">
      <c r="B565" s="3" t="str">
        <f ca="1">IFERROR(__xludf.DUMMYFUNCTION("IF(ISBLANK(A565),"""",GOOGLETRANSLATE(A565,""en"",""fr""))"),"")</f>
        <v/>
      </c>
    </row>
    <row r="566" spans="2:2">
      <c r="B566" s="3" t="str">
        <f ca="1">IFERROR(__xludf.DUMMYFUNCTION("IF(ISBLANK(A566),"""",GOOGLETRANSLATE(A566,""en"",""fr""))"),"")</f>
        <v/>
      </c>
    </row>
    <row r="567" spans="2:2">
      <c r="B567" s="3" t="str">
        <f ca="1">IFERROR(__xludf.DUMMYFUNCTION("IF(ISBLANK(A567),"""",GOOGLETRANSLATE(A567,""en"",""fr""))"),"")</f>
        <v/>
      </c>
    </row>
    <row r="568" spans="2:2">
      <c r="B568" s="3" t="str">
        <f ca="1">IFERROR(__xludf.DUMMYFUNCTION("IF(ISBLANK(A568),"""",GOOGLETRANSLATE(A568,""en"",""fr""))"),"")</f>
        <v/>
      </c>
    </row>
    <row r="569" spans="2:2">
      <c r="B569" s="3" t="str">
        <f ca="1">IFERROR(__xludf.DUMMYFUNCTION("IF(ISBLANK(A569),"""",GOOGLETRANSLATE(A569,""en"",""fr""))"),"")</f>
        <v/>
      </c>
    </row>
    <row r="570" spans="2:2">
      <c r="B570" s="3" t="str">
        <f ca="1">IFERROR(__xludf.DUMMYFUNCTION("IF(ISBLANK(A570),"""",GOOGLETRANSLATE(A570,""en"",""fr""))"),"")</f>
        <v/>
      </c>
    </row>
    <row r="571" spans="2:2">
      <c r="B571" s="3" t="str">
        <f ca="1">IFERROR(__xludf.DUMMYFUNCTION("IF(ISBLANK(A571),"""",GOOGLETRANSLATE(A571,""en"",""fr""))"),"")</f>
        <v/>
      </c>
    </row>
    <row r="572" spans="2:2">
      <c r="B572" s="3" t="str">
        <f ca="1">IFERROR(__xludf.DUMMYFUNCTION("IF(ISBLANK(A572),"""",GOOGLETRANSLATE(A572,""en"",""fr""))"),"")</f>
        <v/>
      </c>
    </row>
    <row r="573" spans="2:2">
      <c r="B573" s="3" t="str">
        <f ca="1">IFERROR(__xludf.DUMMYFUNCTION("IF(ISBLANK(A573),"""",GOOGLETRANSLATE(A573,""en"",""fr""))"),"")</f>
        <v/>
      </c>
    </row>
    <row r="574" spans="2:2">
      <c r="B574" s="3" t="str">
        <f ca="1">IFERROR(__xludf.DUMMYFUNCTION("IF(ISBLANK(A574),"""",GOOGLETRANSLATE(A574,""en"",""fr""))"),"")</f>
        <v/>
      </c>
    </row>
    <row r="575" spans="2:2">
      <c r="B575" s="3" t="str">
        <f ca="1">IFERROR(__xludf.DUMMYFUNCTION("IF(ISBLANK(A575),"""",GOOGLETRANSLATE(A575,""en"",""fr""))"),"")</f>
        <v/>
      </c>
    </row>
    <row r="576" spans="2:2">
      <c r="B576" s="3" t="str">
        <f ca="1">IFERROR(__xludf.DUMMYFUNCTION("IF(ISBLANK(A576),"""",GOOGLETRANSLATE(A576,""en"",""fr""))"),"")</f>
        <v/>
      </c>
    </row>
    <row r="577" spans="2:2">
      <c r="B577" s="3" t="str">
        <f ca="1">IFERROR(__xludf.DUMMYFUNCTION("IF(ISBLANK(A577),"""",GOOGLETRANSLATE(A577,""en"",""fr""))"),"")</f>
        <v/>
      </c>
    </row>
    <row r="578" spans="2:2">
      <c r="B578" s="3" t="str">
        <f ca="1">IFERROR(__xludf.DUMMYFUNCTION("IF(ISBLANK(A578),"""",GOOGLETRANSLATE(A578,""en"",""fr""))"),"")</f>
        <v/>
      </c>
    </row>
    <row r="579" spans="2:2">
      <c r="B579" s="3" t="str">
        <f ca="1">IFERROR(__xludf.DUMMYFUNCTION("IF(ISBLANK(A579),"""",GOOGLETRANSLATE(A579,""en"",""fr""))"),"")</f>
        <v/>
      </c>
    </row>
    <row r="580" spans="2:2">
      <c r="B580" s="3" t="str">
        <f ca="1">IFERROR(__xludf.DUMMYFUNCTION("IF(ISBLANK(A580),"""",GOOGLETRANSLATE(A580,""en"",""fr""))"),"")</f>
        <v/>
      </c>
    </row>
    <row r="581" spans="2:2">
      <c r="B581" s="3" t="str">
        <f ca="1">IFERROR(__xludf.DUMMYFUNCTION("IF(ISBLANK(A581),"""",GOOGLETRANSLATE(A581,""en"",""fr""))"),"")</f>
        <v/>
      </c>
    </row>
    <row r="582" spans="2:2">
      <c r="B582" s="3" t="str">
        <f ca="1">IFERROR(__xludf.DUMMYFUNCTION("IF(ISBLANK(A582),"""",GOOGLETRANSLATE(A582,""en"",""fr""))"),"")</f>
        <v/>
      </c>
    </row>
    <row r="583" spans="2:2">
      <c r="B583" s="3" t="str">
        <f ca="1">IFERROR(__xludf.DUMMYFUNCTION("IF(ISBLANK(A583),"""",GOOGLETRANSLATE(A583,""en"",""fr""))"),"")</f>
        <v/>
      </c>
    </row>
    <row r="584" spans="2:2">
      <c r="B584" s="3" t="str">
        <f ca="1">IFERROR(__xludf.DUMMYFUNCTION("IF(ISBLANK(A584),"""",GOOGLETRANSLATE(A584,""en"",""fr""))"),"")</f>
        <v/>
      </c>
    </row>
    <row r="585" spans="2:2">
      <c r="B585" s="3" t="str">
        <f ca="1">IFERROR(__xludf.DUMMYFUNCTION("IF(ISBLANK(A585),"""",GOOGLETRANSLATE(A585,""en"",""fr""))"),"")</f>
        <v/>
      </c>
    </row>
    <row r="586" spans="2:2">
      <c r="B586" s="3" t="str">
        <f ca="1">IFERROR(__xludf.DUMMYFUNCTION("IF(ISBLANK(A586),"""",GOOGLETRANSLATE(A586,""en"",""fr""))"),"")</f>
        <v/>
      </c>
    </row>
    <row r="587" spans="2:2">
      <c r="B587" s="3" t="str">
        <f ca="1">IFERROR(__xludf.DUMMYFUNCTION("IF(ISBLANK(A587),"""",GOOGLETRANSLATE(A587,""en"",""fr""))"),"")</f>
        <v/>
      </c>
    </row>
    <row r="588" spans="2:2">
      <c r="B588" s="3" t="str">
        <f ca="1">IFERROR(__xludf.DUMMYFUNCTION("IF(ISBLANK(A588),"""",GOOGLETRANSLATE(A588,""en"",""fr""))"),"")</f>
        <v/>
      </c>
    </row>
    <row r="589" spans="2:2">
      <c r="B589" s="3" t="str">
        <f ca="1">IFERROR(__xludf.DUMMYFUNCTION("IF(ISBLANK(A589),"""",GOOGLETRANSLATE(A589,""en"",""fr""))"),"")</f>
        <v/>
      </c>
    </row>
    <row r="590" spans="2:2">
      <c r="B590" s="3" t="str">
        <f ca="1">IFERROR(__xludf.DUMMYFUNCTION("IF(ISBLANK(A590),"""",GOOGLETRANSLATE(A590,""en"",""fr""))"),"")</f>
        <v/>
      </c>
    </row>
    <row r="591" spans="2:2">
      <c r="B591" s="3" t="str">
        <f ca="1">IFERROR(__xludf.DUMMYFUNCTION("IF(ISBLANK(A591),"""",GOOGLETRANSLATE(A591,""en"",""fr""))"),"")</f>
        <v/>
      </c>
    </row>
    <row r="592" spans="2:2">
      <c r="B592" s="3" t="str">
        <f ca="1">IFERROR(__xludf.DUMMYFUNCTION("IF(ISBLANK(A592),"""",GOOGLETRANSLATE(A592,""en"",""fr""))"),"")</f>
        <v/>
      </c>
    </row>
    <row r="593" spans="2:2">
      <c r="B593" s="3" t="str">
        <f ca="1">IFERROR(__xludf.DUMMYFUNCTION("IF(ISBLANK(A593),"""",GOOGLETRANSLATE(A593,""en"",""fr""))"),"")</f>
        <v/>
      </c>
    </row>
    <row r="594" spans="2:2">
      <c r="B594" s="3" t="str">
        <f ca="1">IFERROR(__xludf.DUMMYFUNCTION("IF(ISBLANK(A594),"""",GOOGLETRANSLATE(A594,""en"",""fr""))"),"")</f>
        <v/>
      </c>
    </row>
    <row r="595" spans="2:2">
      <c r="B595" s="3" t="str">
        <f ca="1">IFERROR(__xludf.DUMMYFUNCTION("IF(ISBLANK(A595),"""",GOOGLETRANSLATE(A595,""en"",""fr""))"),"")</f>
        <v/>
      </c>
    </row>
    <row r="596" spans="2:2">
      <c r="B596" s="3" t="str">
        <f ca="1">IFERROR(__xludf.DUMMYFUNCTION("IF(ISBLANK(A596),"""",GOOGLETRANSLATE(A596,""en"",""fr""))"),"")</f>
        <v/>
      </c>
    </row>
    <row r="597" spans="2:2">
      <c r="B597" s="3" t="str">
        <f ca="1">IFERROR(__xludf.DUMMYFUNCTION("IF(ISBLANK(A597),"""",GOOGLETRANSLATE(A597,""en"",""fr""))"),"")</f>
        <v/>
      </c>
    </row>
    <row r="598" spans="2:2">
      <c r="B598" s="3" t="str">
        <f ca="1">IFERROR(__xludf.DUMMYFUNCTION("IF(ISBLANK(A598),"""",GOOGLETRANSLATE(A598,""en"",""fr""))"),"")</f>
        <v/>
      </c>
    </row>
    <row r="599" spans="2:2">
      <c r="B599" s="3" t="str">
        <f ca="1">IFERROR(__xludf.DUMMYFUNCTION("IF(ISBLANK(A599),"""",GOOGLETRANSLATE(A599,""en"",""fr""))"),"")</f>
        <v/>
      </c>
    </row>
    <row r="600" spans="2:2">
      <c r="B600" s="3" t="str">
        <f ca="1">IFERROR(__xludf.DUMMYFUNCTION("IF(ISBLANK(A600),"""",GOOGLETRANSLATE(A600,""en"",""fr""))"),"")</f>
        <v/>
      </c>
    </row>
    <row r="601" spans="2:2">
      <c r="B601" s="3" t="str">
        <f ca="1">IFERROR(__xludf.DUMMYFUNCTION("IF(ISBLANK(A601),"""",GOOGLETRANSLATE(A601,""en"",""fr""))"),"")</f>
        <v/>
      </c>
    </row>
    <row r="602" spans="2:2">
      <c r="B602" s="3" t="str">
        <f ca="1">IFERROR(__xludf.DUMMYFUNCTION("IF(ISBLANK(A602),"""",GOOGLETRANSLATE(A602,""en"",""fr""))"),"")</f>
        <v/>
      </c>
    </row>
    <row r="603" spans="2:2">
      <c r="B603" s="3" t="str">
        <f ca="1">IFERROR(__xludf.DUMMYFUNCTION("IF(ISBLANK(A603),"""",GOOGLETRANSLATE(A603,""en"",""fr""))"),"")</f>
        <v/>
      </c>
    </row>
    <row r="604" spans="2:2">
      <c r="B604" s="3" t="str">
        <f ca="1">IFERROR(__xludf.DUMMYFUNCTION("IF(ISBLANK(A604),"""",GOOGLETRANSLATE(A604,""en"",""fr""))"),"")</f>
        <v/>
      </c>
    </row>
    <row r="605" spans="2:2">
      <c r="B605" s="3" t="str">
        <f ca="1">IFERROR(__xludf.DUMMYFUNCTION("IF(ISBLANK(A605),"""",GOOGLETRANSLATE(A605,""en"",""fr""))"),"")</f>
        <v/>
      </c>
    </row>
    <row r="606" spans="2:2">
      <c r="B606" s="3" t="str">
        <f ca="1">IFERROR(__xludf.DUMMYFUNCTION("IF(ISBLANK(A606),"""",GOOGLETRANSLATE(A606,""en"",""fr""))"),"")</f>
        <v/>
      </c>
    </row>
    <row r="607" spans="2:2">
      <c r="B607" s="3" t="str">
        <f ca="1">IFERROR(__xludf.DUMMYFUNCTION("IF(ISBLANK(A607),"""",GOOGLETRANSLATE(A607,""en"",""fr""))"),"")</f>
        <v/>
      </c>
    </row>
    <row r="608" spans="2:2">
      <c r="B608" s="3" t="str">
        <f ca="1">IFERROR(__xludf.DUMMYFUNCTION("IF(ISBLANK(A608),"""",GOOGLETRANSLATE(A608,""en"",""fr""))"),"")</f>
        <v/>
      </c>
    </row>
    <row r="609" spans="2:2">
      <c r="B609" s="3" t="str">
        <f ca="1">IFERROR(__xludf.DUMMYFUNCTION("IF(ISBLANK(A609),"""",GOOGLETRANSLATE(A609,""en"",""fr""))"),"")</f>
        <v/>
      </c>
    </row>
    <row r="610" spans="2:2">
      <c r="B610" s="3" t="str">
        <f ca="1">IFERROR(__xludf.DUMMYFUNCTION("IF(ISBLANK(A610),"""",GOOGLETRANSLATE(A610,""en"",""fr""))"),"")</f>
        <v/>
      </c>
    </row>
    <row r="611" spans="2:2">
      <c r="B611" s="3" t="str">
        <f ca="1">IFERROR(__xludf.DUMMYFUNCTION("IF(ISBLANK(A611),"""",GOOGLETRANSLATE(A611,""en"",""fr""))"),"")</f>
        <v/>
      </c>
    </row>
    <row r="612" spans="2:2">
      <c r="B612" s="3" t="str">
        <f ca="1">IFERROR(__xludf.DUMMYFUNCTION("IF(ISBLANK(A612),"""",GOOGLETRANSLATE(A612,""en"",""fr""))"),"")</f>
        <v/>
      </c>
    </row>
    <row r="613" spans="2:2">
      <c r="B613" s="3" t="str">
        <f ca="1">IFERROR(__xludf.DUMMYFUNCTION("IF(ISBLANK(A613),"""",GOOGLETRANSLATE(A613,""en"",""fr""))"),"")</f>
        <v/>
      </c>
    </row>
    <row r="614" spans="2:2">
      <c r="B614" s="3" t="str">
        <f ca="1">IFERROR(__xludf.DUMMYFUNCTION("IF(ISBLANK(A614),"""",GOOGLETRANSLATE(A614,""en"",""fr""))"),"")</f>
        <v/>
      </c>
    </row>
    <row r="615" spans="2:2">
      <c r="B615" s="3" t="str">
        <f ca="1">IFERROR(__xludf.DUMMYFUNCTION("IF(ISBLANK(A615),"""",GOOGLETRANSLATE(A615,""en"",""fr""))"),"")</f>
        <v/>
      </c>
    </row>
    <row r="616" spans="2:2">
      <c r="B616" s="3" t="str">
        <f ca="1">IFERROR(__xludf.DUMMYFUNCTION("IF(ISBLANK(A616),"""",GOOGLETRANSLATE(A616,""en"",""fr""))"),"")</f>
        <v/>
      </c>
    </row>
    <row r="617" spans="2:2">
      <c r="B617" s="3" t="str">
        <f ca="1">IFERROR(__xludf.DUMMYFUNCTION("IF(ISBLANK(A617),"""",GOOGLETRANSLATE(A617,""en"",""fr""))"),"")</f>
        <v/>
      </c>
    </row>
    <row r="618" spans="2:2">
      <c r="B618" s="3" t="str">
        <f ca="1">IFERROR(__xludf.DUMMYFUNCTION("IF(ISBLANK(A618),"""",GOOGLETRANSLATE(A618,""en"",""fr""))"),"")</f>
        <v/>
      </c>
    </row>
    <row r="619" spans="2:2">
      <c r="B619" s="3" t="str">
        <f ca="1">IFERROR(__xludf.DUMMYFUNCTION("IF(ISBLANK(A619),"""",GOOGLETRANSLATE(A619,""en"",""fr""))"),"")</f>
        <v/>
      </c>
    </row>
    <row r="620" spans="2:2">
      <c r="B620" s="3" t="str">
        <f ca="1">IFERROR(__xludf.DUMMYFUNCTION("IF(ISBLANK(A620),"""",GOOGLETRANSLATE(A620,""en"",""fr""))"),"")</f>
        <v/>
      </c>
    </row>
    <row r="621" spans="2:2">
      <c r="B621" s="3" t="str">
        <f ca="1">IFERROR(__xludf.DUMMYFUNCTION("IF(ISBLANK(A621),"""",GOOGLETRANSLATE(A621,""en"",""fr""))"),"")</f>
        <v/>
      </c>
    </row>
    <row r="622" spans="2:2">
      <c r="B622" s="3" t="str">
        <f ca="1">IFERROR(__xludf.DUMMYFUNCTION("IF(ISBLANK(A622),"""",GOOGLETRANSLATE(A622,""en"",""fr""))"),"")</f>
        <v/>
      </c>
    </row>
    <row r="623" spans="2:2">
      <c r="B623" s="3" t="str">
        <f ca="1">IFERROR(__xludf.DUMMYFUNCTION("IF(ISBLANK(A623),"""",GOOGLETRANSLATE(A623,""en"",""fr""))"),"")</f>
        <v/>
      </c>
    </row>
    <row r="624" spans="2:2">
      <c r="B624" s="3" t="str">
        <f ca="1">IFERROR(__xludf.DUMMYFUNCTION("IF(ISBLANK(A624),"""",GOOGLETRANSLATE(A624,""en"",""fr""))"),"")</f>
        <v/>
      </c>
    </row>
    <row r="625" spans="2:2">
      <c r="B625" s="3" t="str">
        <f ca="1">IFERROR(__xludf.DUMMYFUNCTION("IF(ISBLANK(A625),"""",GOOGLETRANSLATE(A625,""en"",""fr""))"),"")</f>
        <v/>
      </c>
    </row>
    <row r="626" spans="2:2">
      <c r="B626" s="3" t="str">
        <f ca="1">IFERROR(__xludf.DUMMYFUNCTION("IF(ISBLANK(A626),"""",GOOGLETRANSLATE(A626,""en"",""fr""))"),"")</f>
        <v/>
      </c>
    </row>
    <row r="627" spans="2:2">
      <c r="B627" s="3" t="str">
        <f ca="1">IFERROR(__xludf.DUMMYFUNCTION("IF(ISBLANK(A627),"""",GOOGLETRANSLATE(A627,""en"",""fr""))"),"")</f>
        <v/>
      </c>
    </row>
    <row r="628" spans="2:2">
      <c r="B628" s="3" t="str">
        <f ca="1">IFERROR(__xludf.DUMMYFUNCTION("IF(ISBLANK(A628),"""",GOOGLETRANSLATE(A628,""en"",""fr""))"),"")</f>
        <v/>
      </c>
    </row>
    <row r="629" spans="2:2">
      <c r="B629" s="3" t="str">
        <f ca="1">IFERROR(__xludf.DUMMYFUNCTION("IF(ISBLANK(A629),"""",GOOGLETRANSLATE(A629,""en"",""fr""))"),"")</f>
        <v/>
      </c>
    </row>
    <row r="630" spans="2:2">
      <c r="B630" s="3" t="str">
        <f ca="1">IFERROR(__xludf.DUMMYFUNCTION("IF(ISBLANK(A630),"""",GOOGLETRANSLATE(A630,""en"",""fr""))"),"")</f>
        <v/>
      </c>
    </row>
    <row r="631" spans="2:2">
      <c r="B631" s="3" t="str">
        <f ca="1">IFERROR(__xludf.DUMMYFUNCTION("IF(ISBLANK(A631),"""",GOOGLETRANSLATE(A631,""en"",""fr""))"),"")</f>
        <v/>
      </c>
    </row>
    <row r="632" spans="2:2">
      <c r="B632" s="3" t="str">
        <f ca="1">IFERROR(__xludf.DUMMYFUNCTION("IF(ISBLANK(A632),"""",GOOGLETRANSLATE(A632,""en"",""fr""))"),"")</f>
        <v/>
      </c>
    </row>
    <row r="633" spans="2:2">
      <c r="B633" s="3" t="str">
        <f ca="1">IFERROR(__xludf.DUMMYFUNCTION("IF(ISBLANK(A633),"""",GOOGLETRANSLATE(A633,""en"",""fr""))"),"")</f>
        <v/>
      </c>
    </row>
    <row r="634" spans="2:2">
      <c r="B634" s="3" t="str">
        <f ca="1">IFERROR(__xludf.DUMMYFUNCTION("IF(ISBLANK(A634),"""",GOOGLETRANSLATE(A634,""en"",""fr""))"),"")</f>
        <v/>
      </c>
    </row>
    <row r="635" spans="2:2">
      <c r="B635" s="3" t="str">
        <f ca="1">IFERROR(__xludf.DUMMYFUNCTION("IF(ISBLANK(A635),"""",GOOGLETRANSLATE(A635,""en"",""fr""))"),"")</f>
        <v/>
      </c>
    </row>
    <row r="636" spans="2:2">
      <c r="B636" s="3" t="str">
        <f ca="1">IFERROR(__xludf.DUMMYFUNCTION("IF(ISBLANK(A636),"""",GOOGLETRANSLATE(A636,""en"",""fr""))"),"")</f>
        <v/>
      </c>
    </row>
    <row r="637" spans="2:2">
      <c r="B637" s="3" t="str">
        <f ca="1">IFERROR(__xludf.DUMMYFUNCTION("IF(ISBLANK(A637),"""",GOOGLETRANSLATE(A637,""en"",""fr""))"),"")</f>
        <v/>
      </c>
    </row>
    <row r="638" spans="2:2">
      <c r="B638" s="3" t="str">
        <f ca="1">IFERROR(__xludf.DUMMYFUNCTION("IF(ISBLANK(A638),"""",GOOGLETRANSLATE(A638,""en"",""fr""))"),"")</f>
        <v/>
      </c>
    </row>
    <row r="639" spans="2:2">
      <c r="B639" s="3" t="str">
        <f ca="1">IFERROR(__xludf.DUMMYFUNCTION("IF(ISBLANK(A639),"""",GOOGLETRANSLATE(A639,""en"",""fr""))"),"")</f>
        <v/>
      </c>
    </row>
    <row r="640" spans="2:2">
      <c r="B640" s="3" t="str">
        <f ca="1">IFERROR(__xludf.DUMMYFUNCTION("IF(ISBLANK(A640),"""",GOOGLETRANSLATE(A640,""en"",""fr""))"),"")</f>
        <v/>
      </c>
    </row>
    <row r="641" spans="2:2">
      <c r="B641" s="3" t="str">
        <f ca="1">IFERROR(__xludf.DUMMYFUNCTION("IF(ISBLANK(A641),"""",GOOGLETRANSLATE(A641,""en"",""fr""))"),"")</f>
        <v/>
      </c>
    </row>
    <row r="642" spans="2:2">
      <c r="B642" s="3" t="str">
        <f ca="1">IFERROR(__xludf.DUMMYFUNCTION("IF(ISBLANK(A642),"""",GOOGLETRANSLATE(A642,""en"",""fr""))"),"")</f>
        <v/>
      </c>
    </row>
    <row r="643" spans="2:2">
      <c r="B643" s="3" t="str">
        <f ca="1">IFERROR(__xludf.DUMMYFUNCTION("IF(ISBLANK(A643),"""",GOOGLETRANSLATE(A643,""en"",""fr""))"),"")</f>
        <v/>
      </c>
    </row>
    <row r="644" spans="2:2">
      <c r="B644" s="3" t="str">
        <f ca="1">IFERROR(__xludf.DUMMYFUNCTION("IF(ISBLANK(A644),"""",GOOGLETRANSLATE(A644,""en"",""fr""))"),"")</f>
        <v/>
      </c>
    </row>
    <row r="645" spans="2:2">
      <c r="B645" s="3" t="str">
        <f ca="1">IFERROR(__xludf.DUMMYFUNCTION("IF(ISBLANK(A645),"""",GOOGLETRANSLATE(A645,""en"",""fr""))"),"")</f>
        <v/>
      </c>
    </row>
    <row r="646" spans="2:2">
      <c r="B646" s="3" t="str">
        <f ca="1">IFERROR(__xludf.DUMMYFUNCTION("IF(ISBLANK(A646),"""",GOOGLETRANSLATE(A646,""en"",""fr""))"),"")</f>
        <v/>
      </c>
    </row>
    <row r="647" spans="2:2">
      <c r="B647" s="3" t="str">
        <f ca="1">IFERROR(__xludf.DUMMYFUNCTION("IF(ISBLANK(A647),"""",GOOGLETRANSLATE(A647,""en"",""fr""))"),"")</f>
        <v/>
      </c>
    </row>
    <row r="648" spans="2:2">
      <c r="B648" s="3" t="str">
        <f ca="1">IFERROR(__xludf.DUMMYFUNCTION("IF(ISBLANK(A648),"""",GOOGLETRANSLATE(A648,""en"",""fr""))"),"")</f>
        <v/>
      </c>
    </row>
    <row r="649" spans="2:2">
      <c r="B649" s="3" t="str">
        <f ca="1">IFERROR(__xludf.DUMMYFUNCTION("IF(ISBLANK(A649),"""",GOOGLETRANSLATE(A649,""en"",""fr""))"),"")</f>
        <v/>
      </c>
    </row>
    <row r="650" spans="2:2">
      <c r="B650" s="3" t="str">
        <f ca="1">IFERROR(__xludf.DUMMYFUNCTION("IF(ISBLANK(A650),"""",GOOGLETRANSLATE(A650,""en"",""fr""))"),"")</f>
        <v/>
      </c>
    </row>
    <row r="651" spans="2:2">
      <c r="B651" s="3" t="str">
        <f ca="1">IFERROR(__xludf.DUMMYFUNCTION("IF(ISBLANK(A651),"""",GOOGLETRANSLATE(A651,""en"",""fr""))"),"")</f>
        <v/>
      </c>
    </row>
    <row r="652" spans="2:2">
      <c r="B652" s="3" t="str">
        <f ca="1">IFERROR(__xludf.DUMMYFUNCTION("IF(ISBLANK(A652),"""",GOOGLETRANSLATE(A652,""en"",""fr""))"),"")</f>
        <v/>
      </c>
    </row>
    <row r="653" spans="2:2">
      <c r="B653" s="3" t="str">
        <f ca="1">IFERROR(__xludf.DUMMYFUNCTION("IF(ISBLANK(A653),"""",GOOGLETRANSLATE(A653,""en"",""fr""))"),"")</f>
        <v/>
      </c>
    </row>
    <row r="654" spans="2:2">
      <c r="B654" s="3" t="str">
        <f ca="1">IFERROR(__xludf.DUMMYFUNCTION("IF(ISBLANK(A654),"""",GOOGLETRANSLATE(A654,""en"",""fr""))"),"")</f>
        <v/>
      </c>
    </row>
    <row r="655" spans="2:2">
      <c r="B655" s="3" t="str">
        <f ca="1">IFERROR(__xludf.DUMMYFUNCTION("IF(ISBLANK(A655),"""",GOOGLETRANSLATE(A655,""en"",""fr""))"),"")</f>
        <v/>
      </c>
    </row>
    <row r="656" spans="2:2">
      <c r="B656" s="3" t="str">
        <f ca="1">IFERROR(__xludf.DUMMYFUNCTION("IF(ISBLANK(A656),"""",GOOGLETRANSLATE(A656,""en"",""fr""))"),"")</f>
        <v/>
      </c>
    </row>
    <row r="657" spans="2:2">
      <c r="B657" s="3" t="str">
        <f ca="1">IFERROR(__xludf.DUMMYFUNCTION("IF(ISBLANK(A657),"""",GOOGLETRANSLATE(A657,""en"",""fr""))"),"")</f>
        <v/>
      </c>
    </row>
    <row r="658" spans="2:2">
      <c r="B658" s="3" t="str">
        <f ca="1">IFERROR(__xludf.DUMMYFUNCTION("IF(ISBLANK(A658),"""",GOOGLETRANSLATE(A658,""en"",""fr""))"),"")</f>
        <v/>
      </c>
    </row>
    <row r="659" spans="2:2">
      <c r="B659" s="3" t="str">
        <f ca="1">IFERROR(__xludf.DUMMYFUNCTION("IF(ISBLANK(A659),"""",GOOGLETRANSLATE(A659,""en"",""fr""))"),"")</f>
        <v/>
      </c>
    </row>
    <row r="660" spans="2:2">
      <c r="B660" s="3" t="str">
        <f ca="1">IFERROR(__xludf.DUMMYFUNCTION("IF(ISBLANK(A660),"""",GOOGLETRANSLATE(A660,""en"",""fr""))"),"")</f>
        <v/>
      </c>
    </row>
    <row r="661" spans="2:2">
      <c r="B661" s="3" t="str">
        <f ca="1">IFERROR(__xludf.DUMMYFUNCTION("IF(ISBLANK(A661),"""",GOOGLETRANSLATE(A661,""en"",""fr""))"),"")</f>
        <v/>
      </c>
    </row>
    <row r="662" spans="2:2">
      <c r="B662" s="3" t="str">
        <f ca="1">IFERROR(__xludf.DUMMYFUNCTION("IF(ISBLANK(A662),"""",GOOGLETRANSLATE(A662,""en"",""fr""))"),"")</f>
        <v/>
      </c>
    </row>
    <row r="663" spans="2:2">
      <c r="B663" s="3" t="str">
        <f ca="1">IFERROR(__xludf.DUMMYFUNCTION("IF(ISBLANK(A663),"""",GOOGLETRANSLATE(A663,""en"",""fr""))"),"")</f>
        <v/>
      </c>
    </row>
    <row r="664" spans="2:2">
      <c r="B664" s="3" t="str">
        <f ca="1">IFERROR(__xludf.DUMMYFUNCTION("IF(ISBLANK(A664),"""",GOOGLETRANSLATE(A664,""en"",""fr""))"),"")</f>
        <v/>
      </c>
    </row>
    <row r="665" spans="2:2">
      <c r="B665" s="3" t="str">
        <f ca="1">IFERROR(__xludf.DUMMYFUNCTION("IF(ISBLANK(A665),"""",GOOGLETRANSLATE(A665,""en"",""fr""))"),"")</f>
        <v/>
      </c>
    </row>
    <row r="666" spans="2:2">
      <c r="B666" s="3" t="str">
        <f ca="1">IFERROR(__xludf.DUMMYFUNCTION("IF(ISBLANK(A666),"""",GOOGLETRANSLATE(A666,""en"",""fr""))"),"")</f>
        <v/>
      </c>
    </row>
    <row r="667" spans="2:2">
      <c r="B667" s="3" t="str">
        <f ca="1">IFERROR(__xludf.DUMMYFUNCTION("IF(ISBLANK(A667),"""",GOOGLETRANSLATE(A667,""en"",""fr""))"),"")</f>
        <v/>
      </c>
    </row>
    <row r="668" spans="2:2">
      <c r="B668" s="3" t="str">
        <f ca="1">IFERROR(__xludf.DUMMYFUNCTION("IF(ISBLANK(A668),"""",GOOGLETRANSLATE(A668,""en"",""fr""))"),"")</f>
        <v/>
      </c>
    </row>
    <row r="669" spans="2:2">
      <c r="B669" s="3" t="str">
        <f ca="1">IFERROR(__xludf.DUMMYFUNCTION("IF(ISBLANK(A669),"""",GOOGLETRANSLATE(A669,""en"",""fr""))"),"")</f>
        <v/>
      </c>
    </row>
    <row r="670" spans="2:2">
      <c r="B670" s="3" t="str">
        <f ca="1">IFERROR(__xludf.DUMMYFUNCTION("IF(ISBLANK(A670),"""",GOOGLETRANSLATE(A670,""en"",""fr""))"),"")</f>
        <v/>
      </c>
    </row>
    <row r="671" spans="2:2">
      <c r="B671" s="3" t="str">
        <f ca="1">IFERROR(__xludf.DUMMYFUNCTION("IF(ISBLANK(A671),"""",GOOGLETRANSLATE(A671,""en"",""fr""))"),"")</f>
        <v/>
      </c>
    </row>
    <row r="672" spans="2:2">
      <c r="B672" s="3" t="str">
        <f ca="1">IFERROR(__xludf.DUMMYFUNCTION("IF(ISBLANK(A672),"""",GOOGLETRANSLATE(A672,""en"",""fr""))"),"")</f>
        <v/>
      </c>
    </row>
    <row r="673" spans="2:2">
      <c r="B673" s="3" t="str">
        <f ca="1">IFERROR(__xludf.DUMMYFUNCTION("IF(ISBLANK(A673),"""",GOOGLETRANSLATE(A673,""en"",""fr""))"),"")</f>
        <v/>
      </c>
    </row>
    <row r="674" spans="2:2">
      <c r="B674" s="3" t="str">
        <f ca="1">IFERROR(__xludf.DUMMYFUNCTION("IF(ISBLANK(A674),"""",GOOGLETRANSLATE(A674,""en"",""fr""))"),"")</f>
        <v/>
      </c>
    </row>
    <row r="675" spans="2:2">
      <c r="B675" s="3" t="str">
        <f ca="1">IFERROR(__xludf.DUMMYFUNCTION("IF(ISBLANK(A675),"""",GOOGLETRANSLATE(A675,""en"",""fr""))"),"")</f>
        <v/>
      </c>
    </row>
    <row r="676" spans="2:2">
      <c r="B676" s="3" t="str">
        <f ca="1">IFERROR(__xludf.DUMMYFUNCTION("IF(ISBLANK(A676),"""",GOOGLETRANSLATE(A676,""en"",""fr""))"),"")</f>
        <v/>
      </c>
    </row>
    <row r="677" spans="2:2">
      <c r="B677" s="3" t="str">
        <f ca="1">IFERROR(__xludf.DUMMYFUNCTION("IF(ISBLANK(A677),"""",GOOGLETRANSLATE(A677,""en"",""fr""))"),"")</f>
        <v/>
      </c>
    </row>
    <row r="678" spans="2:2">
      <c r="B678" s="3" t="str">
        <f ca="1">IFERROR(__xludf.DUMMYFUNCTION("IF(ISBLANK(A678),"""",GOOGLETRANSLATE(A678,""en"",""fr""))"),"")</f>
        <v/>
      </c>
    </row>
    <row r="679" spans="2:2">
      <c r="B679" s="3" t="str">
        <f ca="1">IFERROR(__xludf.DUMMYFUNCTION("IF(ISBLANK(A679),"""",GOOGLETRANSLATE(A679,""en"",""fr""))"),"")</f>
        <v/>
      </c>
    </row>
    <row r="680" spans="2:2">
      <c r="B680" s="3" t="str">
        <f ca="1">IFERROR(__xludf.DUMMYFUNCTION("IF(ISBLANK(A680),"""",GOOGLETRANSLATE(A680,""en"",""fr""))"),"")</f>
        <v/>
      </c>
    </row>
    <row r="681" spans="2:2">
      <c r="B681" s="3" t="str">
        <f ca="1">IFERROR(__xludf.DUMMYFUNCTION("IF(ISBLANK(A681),"""",GOOGLETRANSLATE(A681,""en"",""fr""))"),"")</f>
        <v/>
      </c>
    </row>
    <row r="682" spans="2:2">
      <c r="B682" s="3" t="str">
        <f ca="1">IFERROR(__xludf.DUMMYFUNCTION("IF(ISBLANK(A682),"""",GOOGLETRANSLATE(A682,""en"",""fr""))"),"")</f>
        <v/>
      </c>
    </row>
    <row r="683" spans="2:2">
      <c r="B683" s="3" t="str">
        <f ca="1">IFERROR(__xludf.DUMMYFUNCTION("IF(ISBLANK(A683),"""",GOOGLETRANSLATE(A683,""en"",""fr""))"),"")</f>
        <v/>
      </c>
    </row>
    <row r="684" spans="2:2">
      <c r="B684" s="3" t="str">
        <f ca="1">IFERROR(__xludf.DUMMYFUNCTION("IF(ISBLANK(A684),"""",GOOGLETRANSLATE(A684,""en"",""fr""))"),"")</f>
        <v/>
      </c>
    </row>
    <row r="685" spans="2:2">
      <c r="B685" s="3" t="str">
        <f ca="1">IFERROR(__xludf.DUMMYFUNCTION("IF(ISBLANK(A685),"""",GOOGLETRANSLATE(A685,""en"",""fr""))"),"")</f>
        <v/>
      </c>
    </row>
    <row r="686" spans="2:2">
      <c r="B686" s="3" t="str">
        <f ca="1">IFERROR(__xludf.DUMMYFUNCTION("IF(ISBLANK(A686),"""",GOOGLETRANSLATE(A686,""en"",""fr""))"),"")</f>
        <v/>
      </c>
    </row>
    <row r="687" spans="2:2">
      <c r="B687" s="3" t="str">
        <f ca="1">IFERROR(__xludf.DUMMYFUNCTION("IF(ISBLANK(A687),"""",GOOGLETRANSLATE(A687,""en"",""fr""))"),"")</f>
        <v/>
      </c>
    </row>
    <row r="688" spans="2:2">
      <c r="B688" s="3" t="str">
        <f ca="1">IFERROR(__xludf.DUMMYFUNCTION("IF(ISBLANK(A688),"""",GOOGLETRANSLATE(A688,""en"",""fr""))"),"")</f>
        <v/>
      </c>
    </row>
    <row r="689" spans="2:2">
      <c r="B689" s="3" t="str">
        <f ca="1">IFERROR(__xludf.DUMMYFUNCTION("IF(ISBLANK(A689),"""",GOOGLETRANSLATE(A689,""en"",""fr""))"),"")</f>
        <v/>
      </c>
    </row>
    <row r="690" spans="2:2">
      <c r="B690" s="3" t="str">
        <f ca="1">IFERROR(__xludf.DUMMYFUNCTION("IF(ISBLANK(A690),"""",GOOGLETRANSLATE(A690,""en"",""fr""))"),"")</f>
        <v/>
      </c>
    </row>
    <row r="691" spans="2:2">
      <c r="B691" s="3" t="str">
        <f ca="1">IFERROR(__xludf.DUMMYFUNCTION("IF(ISBLANK(A691),"""",GOOGLETRANSLATE(A691,""en"",""fr""))"),"")</f>
        <v/>
      </c>
    </row>
    <row r="692" spans="2:2">
      <c r="B692" s="3" t="str">
        <f ca="1">IFERROR(__xludf.DUMMYFUNCTION("IF(ISBLANK(A692),"""",GOOGLETRANSLATE(A692,""en"",""fr""))"),"")</f>
        <v/>
      </c>
    </row>
    <row r="693" spans="2:2">
      <c r="B693" s="3" t="str">
        <f ca="1">IFERROR(__xludf.DUMMYFUNCTION("IF(ISBLANK(A693),"""",GOOGLETRANSLATE(A693,""en"",""fr""))"),"")</f>
        <v/>
      </c>
    </row>
    <row r="694" spans="2:2">
      <c r="B694" s="3" t="str">
        <f ca="1">IFERROR(__xludf.DUMMYFUNCTION("IF(ISBLANK(A694),"""",GOOGLETRANSLATE(A694,""en"",""fr""))"),"")</f>
        <v/>
      </c>
    </row>
    <row r="695" spans="2:2">
      <c r="B695" s="3" t="str">
        <f ca="1">IFERROR(__xludf.DUMMYFUNCTION("IF(ISBLANK(A695),"""",GOOGLETRANSLATE(A695,""en"",""fr""))"),"")</f>
        <v/>
      </c>
    </row>
    <row r="696" spans="2:2">
      <c r="B696" s="3" t="str">
        <f ca="1">IFERROR(__xludf.DUMMYFUNCTION("IF(ISBLANK(A696),"""",GOOGLETRANSLATE(A696,""en"",""fr""))"),"")</f>
        <v/>
      </c>
    </row>
    <row r="697" spans="2:2">
      <c r="B697" s="3" t="str">
        <f ca="1">IFERROR(__xludf.DUMMYFUNCTION("IF(ISBLANK(A697),"""",GOOGLETRANSLATE(A697,""en"",""fr""))"),"")</f>
        <v/>
      </c>
    </row>
    <row r="698" spans="2:2">
      <c r="B698" s="3" t="str">
        <f ca="1">IFERROR(__xludf.DUMMYFUNCTION("IF(ISBLANK(A698),"""",GOOGLETRANSLATE(A698,""en"",""fr""))"),"")</f>
        <v/>
      </c>
    </row>
    <row r="699" spans="2:2">
      <c r="B699" s="3" t="str">
        <f ca="1">IFERROR(__xludf.DUMMYFUNCTION("IF(ISBLANK(A699),"""",GOOGLETRANSLATE(A699,""en"",""fr""))"),"")</f>
        <v/>
      </c>
    </row>
    <row r="700" spans="2:2">
      <c r="B700" s="3" t="str">
        <f ca="1">IFERROR(__xludf.DUMMYFUNCTION("IF(ISBLANK(A700),"""",GOOGLETRANSLATE(A700,""en"",""fr""))"),"")</f>
        <v/>
      </c>
    </row>
    <row r="701" spans="2:2">
      <c r="B701" s="3" t="str">
        <f ca="1">IFERROR(__xludf.DUMMYFUNCTION("IF(ISBLANK(A701),"""",GOOGLETRANSLATE(A701,""en"",""fr""))"),"")</f>
        <v/>
      </c>
    </row>
    <row r="702" spans="2:2">
      <c r="B702" s="3" t="str">
        <f ca="1">IFERROR(__xludf.DUMMYFUNCTION("IF(ISBLANK(A702),"""",GOOGLETRANSLATE(A702,""en"",""fr""))"),"")</f>
        <v/>
      </c>
    </row>
    <row r="703" spans="2:2">
      <c r="B703" s="3" t="str">
        <f ca="1">IFERROR(__xludf.DUMMYFUNCTION("IF(ISBLANK(A703),"""",GOOGLETRANSLATE(A703,""en"",""fr""))"),"")</f>
        <v/>
      </c>
    </row>
    <row r="704" spans="2:2">
      <c r="B704" s="3" t="str">
        <f ca="1">IFERROR(__xludf.DUMMYFUNCTION("IF(ISBLANK(A704),"""",GOOGLETRANSLATE(A704,""en"",""fr""))"),"")</f>
        <v/>
      </c>
    </row>
    <row r="705" spans="2:2">
      <c r="B705" s="3" t="str">
        <f ca="1">IFERROR(__xludf.DUMMYFUNCTION("IF(ISBLANK(A705),"""",GOOGLETRANSLATE(A705,""en"",""fr""))"),"")</f>
        <v/>
      </c>
    </row>
    <row r="706" spans="2:2">
      <c r="B706" s="3" t="str">
        <f ca="1">IFERROR(__xludf.DUMMYFUNCTION("IF(ISBLANK(A706),"""",GOOGLETRANSLATE(A706,""en"",""fr""))"),"")</f>
        <v/>
      </c>
    </row>
    <row r="707" spans="2:2">
      <c r="B707" s="3" t="str">
        <f ca="1">IFERROR(__xludf.DUMMYFUNCTION("IF(ISBLANK(A707),"""",GOOGLETRANSLATE(A707,""en"",""fr""))"),"")</f>
        <v/>
      </c>
    </row>
    <row r="708" spans="2:2">
      <c r="B708" s="3" t="str">
        <f ca="1">IFERROR(__xludf.DUMMYFUNCTION("IF(ISBLANK(A708),"""",GOOGLETRANSLATE(A708,""en"",""fr""))"),"")</f>
        <v/>
      </c>
    </row>
    <row r="709" spans="2:2">
      <c r="B709" s="3" t="str">
        <f ca="1">IFERROR(__xludf.DUMMYFUNCTION("IF(ISBLANK(A709),"""",GOOGLETRANSLATE(A709,""en"",""fr""))"),"")</f>
        <v/>
      </c>
    </row>
    <row r="710" spans="2:2">
      <c r="B710" s="3" t="str">
        <f ca="1">IFERROR(__xludf.DUMMYFUNCTION("IF(ISBLANK(A710),"""",GOOGLETRANSLATE(A710,""en"",""fr""))"),"")</f>
        <v/>
      </c>
    </row>
    <row r="711" spans="2:2">
      <c r="B711" s="3" t="str">
        <f ca="1">IFERROR(__xludf.DUMMYFUNCTION("IF(ISBLANK(A711),"""",GOOGLETRANSLATE(A711,""en"",""fr""))"),"")</f>
        <v/>
      </c>
    </row>
    <row r="712" spans="2:2">
      <c r="B712" s="3" t="str">
        <f ca="1">IFERROR(__xludf.DUMMYFUNCTION("IF(ISBLANK(A712),"""",GOOGLETRANSLATE(A712,""en"",""fr""))"),"")</f>
        <v/>
      </c>
    </row>
    <row r="713" spans="2:2">
      <c r="B713" s="3" t="str">
        <f ca="1">IFERROR(__xludf.DUMMYFUNCTION("IF(ISBLANK(A713),"""",GOOGLETRANSLATE(A713,""en"",""fr""))"),"")</f>
        <v/>
      </c>
    </row>
    <row r="714" spans="2:2">
      <c r="B714" s="3" t="str">
        <f ca="1">IFERROR(__xludf.DUMMYFUNCTION("IF(ISBLANK(A714),"""",GOOGLETRANSLATE(A714,""en"",""fr""))"),"")</f>
        <v/>
      </c>
    </row>
    <row r="715" spans="2:2">
      <c r="B715" s="3" t="str">
        <f ca="1">IFERROR(__xludf.DUMMYFUNCTION("IF(ISBLANK(A715),"""",GOOGLETRANSLATE(A715,""en"",""fr""))"),"")</f>
        <v/>
      </c>
    </row>
    <row r="716" spans="2:2">
      <c r="B716" s="3" t="str">
        <f ca="1">IFERROR(__xludf.DUMMYFUNCTION("IF(ISBLANK(A716),"""",GOOGLETRANSLATE(A716,""en"",""fr""))"),"")</f>
        <v/>
      </c>
    </row>
    <row r="717" spans="2:2">
      <c r="B717" s="3" t="str">
        <f ca="1">IFERROR(__xludf.DUMMYFUNCTION("IF(ISBLANK(A717),"""",GOOGLETRANSLATE(A717,""en"",""fr""))"),"")</f>
        <v/>
      </c>
    </row>
    <row r="718" spans="2:2">
      <c r="B718" s="3" t="str">
        <f ca="1">IFERROR(__xludf.DUMMYFUNCTION("IF(ISBLANK(A718),"""",GOOGLETRANSLATE(A718,""en"",""fr""))"),"")</f>
        <v/>
      </c>
    </row>
    <row r="719" spans="2:2">
      <c r="B719" s="3" t="str">
        <f ca="1">IFERROR(__xludf.DUMMYFUNCTION("IF(ISBLANK(A719),"""",GOOGLETRANSLATE(A719,""en"",""fr""))"),"")</f>
        <v/>
      </c>
    </row>
    <row r="720" spans="2:2">
      <c r="B720" s="3" t="str">
        <f ca="1">IFERROR(__xludf.DUMMYFUNCTION("IF(ISBLANK(A720),"""",GOOGLETRANSLATE(A720,""en"",""fr""))"),"")</f>
        <v/>
      </c>
    </row>
    <row r="721" spans="2:2">
      <c r="B721" s="3" t="str">
        <f ca="1">IFERROR(__xludf.DUMMYFUNCTION("IF(ISBLANK(A721),"""",GOOGLETRANSLATE(A721,""en"",""fr""))"),"")</f>
        <v/>
      </c>
    </row>
    <row r="722" spans="2:2">
      <c r="B722" s="3" t="str">
        <f ca="1">IFERROR(__xludf.DUMMYFUNCTION("IF(ISBLANK(A722),"""",GOOGLETRANSLATE(A722,""en"",""fr""))"),"")</f>
        <v/>
      </c>
    </row>
    <row r="723" spans="2:2">
      <c r="B723" s="3" t="str">
        <f ca="1">IFERROR(__xludf.DUMMYFUNCTION("IF(ISBLANK(A723),"""",GOOGLETRANSLATE(A723,""en"",""fr""))"),"")</f>
        <v/>
      </c>
    </row>
    <row r="724" spans="2:2">
      <c r="B724" s="3" t="str">
        <f ca="1">IFERROR(__xludf.DUMMYFUNCTION("IF(ISBLANK(A724),"""",GOOGLETRANSLATE(A724,""en"",""fr""))"),"")</f>
        <v/>
      </c>
    </row>
    <row r="725" spans="2:2">
      <c r="B725" s="3" t="str">
        <f ca="1">IFERROR(__xludf.DUMMYFUNCTION("IF(ISBLANK(A725),"""",GOOGLETRANSLATE(A725,""en"",""fr""))"),"")</f>
        <v/>
      </c>
    </row>
    <row r="726" spans="2:2">
      <c r="B726" s="3" t="str">
        <f ca="1">IFERROR(__xludf.DUMMYFUNCTION("IF(ISBLANK(A726),"""",GOOGLETRANSLATE(A726,""en"",""fr""))"),"")</f>
        <v/>
      </c>
    </row>
    <row r="727" spans="2:2">
      <c r="B727" s="3" t="str">
        <f ca="1">IFERROR(__xludf.DUMMYFUNCTION("IF(ISBLANK(A727),"""",GOOGLETRANSLATE(A727,""en"",""fr""))"),"")</f>
        <v/>
      </c>
    </row>
    <row r="728" spans="2:2">
      <c r="B728" s="3" t="str">
        <f ca="1">IFERROR(__xludf.DUMMYFUNCTION("IF(ISBLANK(A728),"""",GOOGLETRANSLATE(A728,""en"",""fr""))"),"")</f>
        <v/>
      </c>
    </row>
    <row r="729" spans="2:2">
      <c r="B729" s="3" t="str">
        <f ca="1">IFERROR(__xludf.DUMMYFUNCTION("IF(ISBLANK(A729),"""",GOOGLETRANSLATE(A729,""en"",""fr""))"),"")</f>
        <v/>
      </c>
    </row>
    <row r="730" spans="2:2">
      <c r="B730" s="3" t="str">
        <f ca="1">IFERROR(__xludf.DUMMYFUNCTION("IF(ISBLANK(A730),"""",GOOGLETRANSLATE(A730,""en"",""fr""))"),"")</f>
        <v/>
      </c>
    </row>
    <row r="731" spans="2:2">
      <c r="B731" s="3" t="str">
        <f ca="1">IFERROR(__xludf.DUMMYFUNCTION("IF(ISBLANK(A731),"""",GOOGLETRANSLATE(A731,""en"",""fr""))"),"")</f>
        <v/>
      </c>
    </row>
    <row r="732" spans="2:2">
      <c r="B732" s="3" t="str">
        <f ca="1">IFERROR(__xludf.DUMMYFUNCTION("IF(ISBLANK(A732),"""",GOOGLETRANSLATE(A732,""en"",""fr""))"),"")</f>
        <v/>
      </c>
    </row>
    <row r="733" spans="2:2">
      <c r="B733" s="3" t="str">
        <f ca="1">IFERROR(__xludf.DUMMYFUNCTION("IF(ISBLANK(A733),"""",GOOGLETRANSLATE(A733,""en"",""fr""))"),"")</f>
        <v/>
      </c>
    </row>
    <row r="734" spans="2:2">
      <c r="B734" s="3" t="str">
        <f ca="1">IFERROR(__xludf.DUMMYFUNCTION("IF(ISBLANK(A734),"""",GOOGLETRANSLATE(A734,""en"",""fr""))"),"")</f>
        <v/>
      </c>
    </row>
    <row r="735" spans="2:2">
      <c r="B735" s="3" t="str">
        <f ca="1">IFERROR(__xludf.DUMMYFUNCTION("IF(ISBLANK(A735),"""",GOOGLETRANSLATE(A735,""en"",""fr""))"),"")</f>
        <v/>
      </c>
    </row>
    <row r="736" spans="2:2">
      <c r="B736" s="3" t="str">
        <f ca="1">IFERROR(__xludf.DUMMYFUNCTION("IF(ISBLANK(A736),"""",GOOGLETRANSLATE(A736,""en"",""fr""))"),"")</f>
        <v/>
      </c>
    </row>
    <row r="737" spans="2:2">
      <c r="B737" s="3" t="str">
        <f ca="1">IFERROR(__xludf.DUMMYFUNCTION("IF(ISBLANK(A737),"""",GOOGLETRANSLATE(A737,""en"",""fr""))"),"")</f>
        <v/>
      </c>
    </row>
    <row r="738" spans="2:2">
      <c r="B738" s="3" t="str">
        <f ca="1">IFERROR(__xludf.DUMMYFUNCTION("IF(ISBLANK(A738),"""",GOOGLETRANSLATE(A738,""en"",""fr""))"),"")</f>
        <v/>
      </c>
    </row>
    <row r="739" spans="2:2">
      <c r="B739" s="3" t="str">
        <f ca="1">IFERROR(__xludf.DUMMYFUNCTION("IF(ISBLANK(A739),"""",GOOGLETRANSLATE(A739,""en"",""fr""))"),"")</f>
        <v/>
      </c>
    </row>
    <row r="740" spans="2:2">
      <c r="B740" s="3" t="str">
        <f ca="1">IFERROR(__xludf.DUMMYFUNCTION("IF(ISBLANK(A740),"""",GOOGLETRANSLATE(A740,""en"",""fr""))"),"")</f>
        <v/>
      </c>
    </row>
    <row r="741" spans="2:2">
      <c r="B741" s="3" t="str">
        <f ca="1">IFERROR(__xludf.DUMMYFUNCTION("IF(ISBLANK(A741),"""",GOOGLETRANSLATE(A741,""en"",""fr""))"),"")</f>
        <v/>
      </c>
    </row>
    <row r="742" spans="2:2">
      <c r="B742" s="3" t="str">
        <f ca="1">IFERROR(__xludf.DUMMYFUNCTION("IF(ISBLANK(A742),"""",GOOGLETRANSLATE(A742,""en"",""fr""))"),"")</f>
        <v/>
      </c>
    </row>
    <row r="743" spans="2:2">
      <c r="B743" s="3" t="str">
        <f ca="1">IFERROR(__xludf.DUMMYFUNCTION("IF(ISBLANK(A743),"""",GOOGLETRANSLATE(A743,""en"",""fr""))"),"")</f>
        <v/>
      </c>
    </row>
    <row r="744" spans="2:2">
      <c r="B744" s="3" t="str">
        <f ca="1">IFERROR(__xludf.DUMMYFUNCTION("IF(ISBLANK(A744),"""",GOOGLETRANSLATE(A744,""en"",""fr""))"),"")</f>
        <v/>
      </c>
    </row>
    <row r="745" spans="2:2">
      <c r="B745" s="3" t="str">
        <f ca="1">IFERROR(__xludf.DUMMYFUNCTION("IF(ISBLANK(A745),"""",GOOGLETRANSLATE(A745,""en"",""fr""))"),"")</f>
        <v/>
      </c>
    </row>
    <row r="746" spans="2:2">
      <c r="B746" s="3" t="str">
        <f ca="1">IFERROR(__xludf.DUMMYFUNCTION("IF(ISBLANK(A746),"""",GOOGLETRANSLATE(A746,""en"",""fr""))"),"")</f>
        <v/>
      </c>
    </row>
    <row r="747" spans="2:2">
      <c r="B747" s="3" t="str">
        <f ca="1">IFERROR(__xludf.DUMMYFUNCTION("IF(ISBLANK(A747),"""",GOOGLETRANSLATE(A747,""en"",""fr""))"),"")</f>
        <v/>
      </c>
    </row>
    <row r="748" spans="2:2">
      <c r="B748" s="3" t="str">
        <f ca="1">IFERROR(__xludf.DUMMYFUNCTION("IF(ISBLANK(A748),"""",GOOGLETRANSLATE(A748,""en"",""fr""))"),"")</f>
        <v/>
      </c>
    </row>
    <row r="749" spans="2:2">
      <c r="B749" s="3" t="str">
        <f ca="1">IFERROR(__xludf.DUMMYFUNCTION("IF(ISBLANK(A749),"""",GOOGLETRANSLATE(A749,""en"",""fr""))"),"")</f>
        <v/>
      </c>
    </row>
    <row r="750" spans="2:2">
      <c r="B750" s="3" t="str">
        <f ca="1">IFERROR(__xludf.DUMMYFUNCTION("IF(ISBLANK(A750),"""",GOOGLETRANSLATE(A750,""en"",""fr""))"),"")</f>
        <v/>
      </c>
    </row>
    <row r="751" spans="2:2">
      <c r="B751" s="3" t="str">
        <f ca="1">IFERROR(__xludf.DUMMYFUNCTION("IF(ISBLANK(A751),"""",GOOGLETRANSLATE(A751,""en"",""fr""))"),"")</f>
        <v/>
      </c>
    </row>
    <row r="752" spans="2:2">
      <c r="B752" s="3" t="str">
        <f ca="1">IFERROR(__xludf.DUMMYFUNCTION("IF(ISBLANK(A752),"""",GOOGLETRANSLATE(A752,""en"",""fr""))"),"")</f>
        <v/>
      </c>
    </row>
    <row r="753" spans="2:2">
      <c r="B753" s="3" t="str">
        <f ca="1">IFERROR(__xludf.DUMMYFUNCTION("IF(ISBLANK(A753),"""",GOOGLETRANSLATE(A753,""en"",""fr""))"),"")</f>
        <v/>
      </c>
    </row>
    <row r="754" spans="2:2">
      <c r="B754" s="3" t="str">
        <f ca="1">IFERROR(__xludf.DUMMYFUNCTION("IF(ISBLANK(A754),"""",GOOGLETRANSLATE(A754,""en"",""fr""))"),"")</f>
        <v/>
      </c>
    </row>
    <row r="755" spans="2:2">
      <c r="B755" s="3" t="str">
        <f ca="1">IFERROR(__xludf.DUMMYFUNCTION("IF(ISBLANK(A755),"""",GOOGLETRANSLATE(A755,""en"",""fr""))"),"")</f>
        <v/>
      </c>
    </row>
    <row r="756" spans="2:2">
      <c r="B756" s="3" t="str">
        <f ca="1">IFERROR(__xludf.DUMMYFUNCTION("IF(ISBLANK(A756),"""",GOOGLETRANSLATE(A756,""en"",""fr""))"),"")</f>
        <v/>
      </c>
    </row>
    <row r="757" spans="2:2">
      <c r="B757" s="3" t="str">
        <f ca="1">IFERROR(__xludf.DUMMYFUNCTION("IF(ISBLANK(A757),"""",GOOGLETRANSLATE(A757,""en"",""fr""))"),"")</f>
        <v/>
      </c>
    </row>
    <row r="758" spans="2:2">
      <c r="B758" s="3" t="str">
        <f ca="1">IFERROR(__xludf.DUMMYFUNCTION("IF(ISBLANK(A758),"""",GOOGLETRANSLATE(A758,""en"",""fr""))"),"")</f>
        <v/>
      </c>
    </row>
    <row r="759" spans="2:2">
      <c r="B759" s="3" t="str">
        <f ca="1">IFERROR(__xludf.DUMMYFUNCTION("IF(ISBLANK(A759),"""",GOOGLETRANSLATE(A759,""en"",""fr""))"),"")</f>
        <v/>
      </c>
    </row>
    <row r="760" spans="2:2">
      <c r="B760" s="3" t="str">
        <f ca="1">IFERROR(__xludf.DUMMYFUNCTION("IF(ISBLANK(A760),"""",GOOGLETRANSLATE(A760,""en"",""fr""))"),"")</f>
        <v/>
      </c>
    </row>
    <row r="761" spans="2:2">
      <c r="B761" s="3" t="str">
        <f ca="1">IFERROR(__xludf.DUMMYFUNCTION("IF(ISBLANK(A761),"""",GOOGLETRANSLATE(A761,""en"",""fr""))"),"")</f>
        <v/>
      </c>
    </row>
    <row r="762" spans="2:2">
      <c r="B762" s="3" t="str">
        <f ca="1">IFERROR(__xludf.DUMMYFUNCTION("IF(ISBLANK(A762),"""",GOOGLETRANSLATE(A762,""en"",""fr""))"),"")</f>
        <v/>
      </c>
    </row>
    <row r="763" spans="2:2">
      <c r="B763" s="3" t="str">
        <f ca="1">IFERROR(__xludf.DUMMYFUNCTION("IF(ISBLANK(A763),"""",GOOGLETRANSLATE(A763,""en"",""fr""))"),"")</f>
        <v/>
      </c>
    </row>
    <row r="764" spans="2:2">
      <c r="B764" s="3" t="str">
        <f ca="1">IFERROR(__xludf.DUMMYFUNCTION("IF(ISBLANK(A764),"""",GOOGLETRANSLATE(A764,""en"",""fr""))"),"")</f>
        <v/>
      </c>
    </row>
    <row r="765" spans="2:2">
      <c r="B765" s="3" t="str">
        <f ca="1">IFERROR(__xludf.DUMMYFUNCTION("IF(ISBLANK(A765),"""",GOOGLETRANSLATE(A765,""en"",""fr""))"),"")</f>
        <v/>
      </c>
    </row>
    <row r="766" spans="2:2">
      <c r="B766" s="3" t="str">
        <f ca="1">IFERROR(__xludf.DUMMYFUNCTION("IF(ISBLANK(A766),"""",GOOGLETRANSLATE(A766,""en"",""fr""))"),"")</f>
        <v/>
      </c>
    </row>
    <row r="767" spans="2:2">
      <c r="B767" s="3" t="str">
        <f ca="1">IFERROR(__xludf.DUMMYFUNCTION("IF(ISBLANK(A767),"""",GOOGLETRANSLATE(A767,""en"",""fr""))"),"")</f>
        <v/>
      </c>
    </row>
    <row r="768" spans="2:2">
      <c r="B768" s="3" t="str">
        <f ca="1">IFERROR(__xludf.DUMMYFUNCTION("IF(ISBLANK(A768),"""",GOOGLETRANSLATE(A768,""en"",""fr""))"),"")</f>
        <v/>
      </c>
    </row>
    <row r="769" spans="2:2">
      <c r="B769" s="3" t="str">
        <f ca="1">IFERROR(__xludf.DUMMYFUNCTION("IF(ISBLANK(A769),"""",GOOGLETRANSLATE(A769,""en"",""fr""))"),"")</f>
        <v/>
      </c>
    </row>
    <row r="770" spans="2:2">
      <c r="B770" s="3" t="str">
        <f ca="1">IFERROR(__xludf.DUMMYFUNCTION("IF(ISBLANK(A770),"""",GOOGLETRANSLATE(A770,""en"",""fr""))"),"")</f>
        <v/>
      </c>
    </row>
    <row r="771" spans="2:2">
      <c r="B771" s="3" t="str">
        <f ca="1">IFERROR(__xludf.DUMMYFUNCTION("IF(ISBLANK(A771),"""",GOOGLETRANSLATE(A771,""en"",""fr""))"),"")</f>
        <v/>
      </c>
    </row>
    <row r="772" spans="2:2">
      <c r="B772" s="3" t="str">
        <f ca="1">IFERROR(__xludf.DUMMYFUNCTION("IF(ISBLANK(A772),"""",GOOGLETRANSLATE(A772,""en"",""fr""))"),"")</f>
        <v/>
      </c>
    </row>
    <row r="773" spans="2:2">
      <c r="B773" s="3" t="str">
        <f ca="1">IFERROR(__xludf.DUMMYFUNCTION("IF(ISBLANK(A773),"""",GOOGLETRANSLATE(A773,""en"",""fr""))"),"")</f>
        <v/>
      </c>
    </row>
    <row r="774" spans="2:2">
      <c r="B774" s="3" t="str">
        <f ca="1">IFERROR(__xludf.DUMMYFUNCTION("IF(ISBLANK(A774),"""",GOOGLETRANSLATE(A774,""en"",""fr""))"),"")</f>
        <v/>
      </c>
    </row>
    <row r="775" spans="2:2">
      <c r="B775" s="3" t="str">
        <f ca="1">IFERROR(__xludf.DUMMYFUNCTION("IF(ISBLANK(A775),"""",GOOGLETRANSLATE(A775,""en"",""fr""))"),"")</f>
        <v/>
      </c>
    </row>
    <row r="776" spans="2:2">
      <c r="B776" s="3" t="str">
        <f ca="1">IFERROR(__xludf.DUMMYFUNCTION("IF(ISBLANK(A776),"""",GOOGLETRANSLATE(A776,""en"",""fr""))"),"")</f>
        <v/>
      </c>
    </row>
    <row r="777" spans="2:2">
      <c r="B777" s="3" t="str">
        <f ca="1">IFERROR(__xludf.DUMMYFUNCTION("IF(ISBLANK(A777),"""",GOOGLETRANSLATE(A777,""en"",""fr""))"),"")</f>
        <v/>
      </c>
    </row>
    <row r="778" spans="2:2">
      <c r="B778" s="3" t="str">
        <f ca="1">IFERROR(__xludf.DUMMYFUNCTION("IF(ISBLANK(A778),"""",GOOGLETRANSLATE(A778,""en"",""fr""))"),"")</f>
        <v/>
      </c>
    </row>
    <row r="779" spans="2:2">
      <c r="B779" s="3" t="str">
        <f ca="1">IFERROR(__xludf.DUMMYFUNCTION("IF(ISBLANK(A779),"""",GOOGLETRANSLATE(A779,""en"",""fr""))"),"")</f>
        <v/>
      </c>
    </row>
    <row r="780" spans="2:2">
      <c r="B780" s="3" t="str">
        <f ca="1">IFERROR(__xludf.DUMMYFUNCTION("IF(ISBLANK(A780),"""",GOOGLETRANSLATE(A780,""en"",""fr""))"),"")</f>
        <v/>
      </c>
    </row>
    <row r="781" spans="2:2">
      <c r="B781" s="3" t="str">
        <f ca="1">IFERROR(__xludf.DUMMYFUNCTION("IF(ISBLANK(A781),"""",GOOGLETRANSLATE(A781,""en"",""fr""))"),"")</f>
        <v/>
      </c>
    </row>
    <row r="782" spans="2:2">
      <c r="B782" s="3" t="str">
        <f ca="1">IFERROR(__xludf.DUMMYFUNCTION("IF(ISBLANK(A782),"""",GOOGLETRANSLATE(A782,""en"",""fr""))"),"")</f>
        <v/>
      </c>
    </row>
    <row r="783" spans="2:2">
      <c r="B783" s="3" t="str">
        <f ca="1">IFERROR(__xludf.DUMMYFUNCTION("IF(ISBLANK(A783),"""",GOOGLETRANSLATE(A783,""en"",""fr""))"),"")</f>
        <v/>
      </c>
    </row>
    <row r="784" spans="2:2">
      <c r="B784" s="3" t="str">
        <f ca="1">IFERROR(__xludf.DUMMYFUNCTION("IF(ISBLANK(A784),"""",GOOGLETRANSLATE(A784,""en"",""fr""))"),"")</f>
        <v/>
      </c>
    </row>
    <row r="785" spans="2:2">
      <c r="B785" s="3" t="str">
        <f ca="1">IFERROR(__xludf.DUMMYFUNCTION("IF(ISBLANK(A785),"""",GOOGLETRANSLATE(A785,""en"",""fr""))"),"")</f>
        <v/>
      </c>
    </row>
    <row r="786" spans="2:2">
      <c r="B786" s="3" t="str">
        <f ca="1">IFERROR(__xludf.DUMMYFUNCTION("IF(ISBLANK(A786),"""",GOOGLETRANSLATE(A786,""en"",""fr""))"),"")</f>
        <v/>
      </c>
    </row>
    <row r="787" spans="2:2">
      <c r="B787" s="3" t="str">
        <f ca="1">IFERROR(__xludf.DUMMYFUNCTION("IF(ISBLANK(A787),"""",GOOGLETRANSLATE(A787,""en"",""fr""))"),"")</f>
        <v/>
      </c>
    </row>
    <row r="788" spans="2:2">
      <c r="B788" s="3" t="str">
        <f ca="1">IFERROR(__xludf.DUMMYFUNCTION("IF(ISBLANK(A788),"""",GOOGLETRANSLATE(A788,""en"",""fr""))"),"")</f>
        <v/>
      </c>
    </row>
    <row r="789" spans="2:2">
      <c r="B789" s="3" t="str">
        <f ca="1">IFERROR(__xludf.DUMMYFUNCTION("IF(ISBLANK(A789),"""",GOOGLETRANSLATE(A789,""en"",""fr""))"),"")</f>
        <v/>
      </c>
    </row>
    <row r="790" spans="2:2">
      <c r="B790" s="3" t="str">
        <f ca="1">IFERROR(__xludf.DUMMYFUNCTION("IF(ISBLANK(A790),"""",GOOGLETRANSLATE(A790,""en"",""fr""))"),"")</f>
        <v/>
      </c>
    </row>
    <row r="791" spans="2:2">
      <c r="B791" s="3" t="str">
        <f ca="1">IFERROR(__xludf.DUMMYFUNCTION("IF(ISBLANK(A791),"""",GOOGLETRANSLATE(A791,""en"",""fr""))"),"")</f>
        <v/>
      </c>
    </row>
    <row r="792" spans="2:2">
      <c r="B792" s="3" t="str">
        <f ca="1">IFERROR(__xludf.DUMMYFUNCTION("IF(ISBLANK(A792),"""",GOOGLETRANSLATE(A792,""en"",""fr""))"),"")</f>
        <v/>
      </c>
    </row>
    <row r="793" spans="2:2">
      <c r="B793" s="3" t="str">
        <f ca="1">IFERROR(__xludf.DUMMYFUNCTION("IF(ISBLANK(A793),"""",GOOGLETRANSLATE(A793,""en"",""fr""))"),"")</f>
        <v/>
      </c>
    </row>
    <row r="794" spans="2:2">
      <c r="B794" s="3" t="str">
        <f ca="1">IFERROR(__xludf.DUMMYFUNCTION("IF(ISBLANK(A794),"""",GOOGLETRANSLATE(A794,""en"",""fr""))"),"")</f>
        <v/>
      </c>
    </row>
    <row r="795" spans="2:2">
      <c r="B795" s="3" t="str">
        <f ca="1">IFERROR(__xludf.DUMMYFUNCTION("IF(ISBLANK(A795),"""",GOOGLETRANSLATE(A795,""en"",""fr""))"),"")</f>
        <v/>
      </c>
    </row>
    <row r="796" spans="2:2">
      <c r="B796" s="3" t="str">
        <f ca="1">IFERROR(__xludf.DUMMYFUNCTION("IF(ISBLANK(A796),"""",GOOGLETRANSLATE(A796,""en"",""fr""))"),"")</f>
        <v/>
      </c>
    </row>
    <row r="797" spans="2:2">
      <c r="B797" s="3" t="str">
        <f ca="1">IFERROR(__xludf.DUMMYFUNCTION("IF(ISBLANK(A797),"""",GOOGLETRANSLATE(A797,""en"",""fr""))"),"")</f>
        <v/>
      </c>
    </row>
    <row r="798" spans="2:2">
      <c r="B798" s="3" t="str">
        <f ca="1">IFERROR(__xludf.DUMMYFUNCTION("IF(ISBLANK(A798),"""",GOOGLETRANSLATE(A798,""en"",""fr""))"),"")</f>
        <v/>
      </c>
    </row>
    <row r="799" spans="2:2">
      <c r="B799" s="3" t="str">
        <f ca="1">IFERROR(__xludf.DUMMYFUNCTION("IF(ISBLANK(A799),"""",GOOGLETRANSLATE(A799,""en"",""fr""))"),"")</f>
        <v/>
      </c>
    </row>
    <row r="800" spans="2:2">
      <c r="B800" s="3" t="str">
        <f ca="1">IFERROR(__xludf.DUMMYFUNCTION("IF(ISBLANK(A800),"""",GOOGLETRANSLATE(A800,""en"",""fr""))"),"")</f>
        <v/>
      </c>
    </row>
    <row r="801" spans="2:2">
      <c r="B801" s="3" t="str">
        <f ca="1">IFERROR(__xludf.DUMMYFUNCTION("IF(ISBLANK(A801),"""",GOOGLETRANSLATE(A801,""en"",""fr""))"),"")</f>
        <v/>
      </c>
    </row>
    <row r="802" spans="2:2">
      <c r="B802" s="3" t="str">
        <f ca="1">IFERROR(__xludf.DUMMYFUNCTION("IF(ISBLANK(A802),"""",GOOGLETRANSLATE(A802,""en"",""fr""))"),"")</f>
        <v/>
      </c>
    </row>
    <row r="803" spans="2:2">
      <c r="B803" s="3" t="str">
        <f ca="1">IFERROR(__xludf.DUMMYFUNCTION("IF(ISBLANK(A803),"""",GOOGLETRANSLATE(A803,""en"",""fr""))"),"")</f>
        <v/>
      </c>
    </row>
    <row r="804" spans="2:2">
      <c r="B804" s="3" t="str">
        <f ca="1">IFERROR(__xludf.DUMMYFUNCTION("IF(ISBLANK(A804),"""",GOOGLETRANSLATE(A804,""en"",""fr""))"),"")</f>
        <v/>
      </c>
    </row>
    <row r="805" spans="2:2">
      <c r="B805" s="3" t="str">
        <f ca="1">IFERROR(__xludf.DUMMYFUNCTION("IF(ISBLANK(A805),"""",GOOGLETRANSLATE(A805,""en"",""fr""))"),"")</f>
        <v/>
      </c>
    </row>
    <row r="806" spans="2:2">
      <c r="B806" s="3" t="str">
        <f ca="1">IFERROR(__xludf.DUMMYFUNCTION("IF(ISBLANK(A806),"""",GOOGLETRANSLATE(A806,""en"",""fr""))"),"")</f>
        <v/>
      </c>
    </row>
    <row r="807" spans="2:2">
      <c r="B807" s="3" t="str">
        <f ca="1">IFERROR(__xludf.DUMMYFUNCTION("IF(ISBLANK(A807),"""",GOOGLETRANSLATE(A807,""en"",""fr""))"),"")</f>
        <v/>
      </c>
    </row>
    <row r="808" spans="2:2">
      <c r="B808" s="3" t="str">
        <f ca="1">IFERROR(__xludf.DUMMYFUNCTION("IF(ISBLANK(A808),"""",GOOGLETRANSLATE(A808,""en"",""fr""))"),"")</f>
        <v/>
      </c>
    </row>
    <row r="809" spans="2:2">
      <c r="B809" s="3" t="str">
        <f ca="1">IFERROR(__xludf.DUMMYFUNCTION("IF(ISBLANK(A809),"""",GOOGLETRANSLATE(A809,""en"",""fr""))"),"")</f>
        <v/>
      </c>
    </row>
    <row r="810" spans="2:2">
      <c r="B810" s="3" t="str">
        <f ca="1">IFERROR(__xludf.DUMMYFUNCTION("IF(ISBLANK(A810),"""",GOOGLETRANSLATE(A810,""en"",""fr""))"),"")</f>
        <v/>
      </c>
    </row>
    <row r="811" spans="2:2">
      <c r="B811" s="3" t="str">
        <f ca="1">IFERROR(__xludf.DUMMYFUNCTION("IF(ISBLANK(A811),"""",GOOGLETRANSLATE(A811,""en"",""fr""))"),"")</f>
        <v/>
      </c>
    </row>
    <row r="812" spans="2:2">
      <c r="B812" s="3" t="str">
        <f ca="1">IFERROR(__xludf.DUMMYFUNCTION("IF(ISBLANK(A812),"""",GOOGLETRANSLATE(A812,""en"",""fr""))"),"")</f>
        <v/>
      </c>
    </row>
    <row r="813" spans="2:2">
      <c r="B813" s="3" t="str">
        <f ca="1">IFERROR(__xludf.DUMMYFUNCTION("IF(ISBLANK(A813),"""",GOOGLETRANSLATE(A813,""en"",""fr""))"),"")</f>
        <v/>
      </c>
    </row>
    <row r="814" spans="2:2">
      <c r="B814" s="3" t="str">
        <f ca="1">IFERROR(__xludf.DUMMYFUNCTION("IF(ISBLANK(A814),"""",GOOGLETRANSLATE(A814,""en"",""fr""))"),"")</f>
        <v/>
      </c>
    </row>
    <row r="815" spans="2:2">
      <c r="B815" s="3" t="str">
        <f ca="1">IFERROR(__xludf.DUMMYFUNCTION("IF(ISBLANK(A815),"""",GOOGLETRANSLATE(A815,""en"",""fr""))"),"")</f>
        <v/>
      </c>
    </row>
    <row r="816" spans="2:2">
      <c r="B816" s="3" t="str">
        <f ca="1">IFERROR(__xludf.DUMMYFUNCTION("IF(ISBLANK(A816),"""",GOOGLETRANSLATE(A816,""en"",""fr""))"),"")</f>
        <v/>
      </c>
    </row>
    <row r="817" spans="2:2">
      <c r="B817" s="3" t="str">
        <f ca="1">IFERROR(__xludf.DUMMYFUNCTION("IF(ISBLANK(A817),"""",GOOGLETRANSLATE(A817,""en"",""fr""))"),"")</f>
        <v/>
      </c>
    </row>
    <row r="818" spans="2:2">
      <c r="B818" s="3" t="str">
        <f ca="1">IFERROR(__xludf.DUMMYFUNCTION("IF(ISBLANK(A818),"""",GOOGLETRANSLATE(A818,""en"",""fr""))"),"")</f>
        <v/>
      </c>
    </row>
    <row r="819" spans="2:2">
      <c r="B819" s="3" t="str">
        <f ca="1">IFERROR(__xludf.DUMMYFUNCTION("IF(ISBLANK(A819),"""",GOOGLETRANSLATE(A819,""en"",""fr""))"),"")</f>
        <v/>
      </c>
    </row>
    <row r="820" spans="2:2">
      <c r="B820" s="3" t="str">
        <f ca="1">IFERROR(__xludf.DUMMYFUNCTION("IF(ISBLANK(A820),"""",GOOGLETRANSLATE(A820,""en"",""fr""))"),"")</f>
        <v/>
      </c>
    </row>
    <row r="821" spans="2:2">
      <c r="B821" s="3" t="str">
        <f ca="1">IFERROR(__xludf.DUMMYFUNCTION("IF(ISBLANK(A821),"""",GOOGLETRANSLATE(A821,""en"",""fr""))"),"")</f>
        <v/>
      </c>
    </row>
    <row r="822" spans="2:2">
      <c r="B822" s="3" t="str">
        <f ca="1">IFERROR(__xludf.DUMMYFUNCTION("IF(ISBLANK(A822),"""",GOOGLETRANSLATE(A822,""en"",""fr""))"),"")</f>
        <v/>
      </c>
    </row>
    <row r="823" spans="2:2">
      <c r="B823" s="3" t="str">
        <f ca="1">IFERROR(__xludf.DUMMYFUNCTION("IF(ISBLANK(A823),"""",GOOGLETRANSLATE(A823,""en"",""fr""))"),"")</f>
        <v/>
      </c>
    </row>
    <row r="824" spans="2:2">
      <c r="B824" s="3" t="str">
        <f ca="1">IFERROR(__xludf.DUMMYFUNCTION("IF(ISBLANK(A824),"""",GOOGLETRANSLATE(A824,""en"",""fr""))"),"")</f>
        <v/>
      </c>
    </row>
    <row r="825" spans="2:2">
      <c r="B825" s="3" t="str">
        <f ca="1">IFERROR(__xludf.DUMMYFUNCTION("IF(ISBLANK(A825),"""",GOOGLETRANSLATE(A825,""en"",""fr""))"),"")</f>
        <v/>
      </c>
    </row>
    <row r="826" spans="2:2">
      <c r="B826" s="3" t="str">
        <f ca="1">IFERROR(__xludf.DUMMYFUNCTION("IF(ISBLANK(A826),"""",GOOGLETRANSLATE(A826,""en"",""fr""))"),"")</f>
        <v/>
      </c>
    </row>
    <row r="827" spans="2:2">
      <c r="B827" s="3" t="str">
        <f ca="1">IFERROR(__xludf.DUMMYFUNCTION("IF(ISBLANK(A827),"""",GOOGLETRANSLATE(A827,""en"",""fr""))"),"")</f>
        <v/>
      </c>
    </row>
    <row r="828" spans="2:2">
      <c r="B828" s="3" t="str">
        <f ca="1">IFERROR(__xludf.DUMMYFUNCTION("IF(ISBLANK(A828),"""",GOOGLETRANSLATE(A828,""en"",""fr""))"),"")</f>
        <v/>
      </c>
    </row>
    <row r="829" spans="2:2">
      <c r="B829" s="3" t="str">
        <f ca="1">IFERROR(__xludf.DUMMYFUNCTION("IF(ISBLANK(A829),"""",GOOGLETRANSLATE(A829,""en"",""fr""))"),"")</f>
        <v/>
      </c>
    </row>
    <row r="830" spans="2:2">
      <c r="B830" s="3" t="str">
        <f ca="1">IFERROR(__xludf.DUMMYFUNCTION("IF(ISBLANK(A830),"""",GOOGLETRANSLATE(A830,""en"",""fr""))"),"")</f>
        <v/>
      </c>
    </row>
    <row r="831" spans="2:2">
      <c r="B831" s="3" t="str">
        <f ca="1">IFERROR(__xludf.DUMMYFUNCTION("IF(ISBLANK(A831),"""",GOOGLETRANSLATE(A831,""en"",""fr""))"),"")</f>
        <v/>
      </c>
    </row>
    <row r="832" spans="2:2">
      <c r="B832" s="3" t="str">
        <f ca="1">IFERROR(__xludf.DUMMYFUNCTION("IF(ISBLANK(A832),"""",GOOGLETRANSLATE(A832,""en"",""fr""))"),"")</f>
        <v/>
      </c>
    </row>
    <row r="833" spans="2:2">
      <c r="B833" s="3" t="str">
        <f ca="1">IFERROR(__xludf.DUMMYFUNCTION("IF(ISBLANK(A833),"""",GOOGLETRANSLATE(A833,""en"",""fr""))"),"")</f>
        <v/>
      </c>
    </row>
    <row r="834" spans="2:2">
      <c r="B834" s="3" t="str">
        <f ca="1">IFERROR(__xludf.DUMMYFUNCTION("IF(ISBLANK(A834),"""",GOOGLETRANSLATE(A834,""en"",""fr""))"),"")</f>
        <v/>
      </c>
    </row>
    <row r="835" spans="2:2">
      <c r="B835" s="3" t="str">
        <f ca="1">IFERROR(__xludf.DUMMYFUNCTION("IF(ISBLANK(A835),"""",GOOGLETRANSLATE(A835,""en"",""fr""))"),"")</f>
        <v/>
      </c>
    </row>
    <row r="836" spans="2:2">
      <c r="B836" s="3" t="str">
        <f ca="1">IFERROR(__xludf.DUMMYFUNCTION("IF(ISBLANK(A836),"""",GOOGLETRANSLATE(A836,""en"",""fr""))"),"")</f>
        <v/>
      </c>
    </row>
    <row r="837" spans="2:2">
      <c r="B837" s="3" t="str">
        <f ca="1">IFERROR(__xludf.DUMMYFUNCTION("IF(ISBLANK(A837),"""",GOOGLETRANSLATE(A837,""en"",""fr""))"),"")</f>
        <v/>
      </c>
    </row>
    <row r="838" spans="2:2">
      <c r="B838" s="3" t="str">
        <f ca="1">IFERROR(__xludf.DUMMYFUNCTION("IF(ISBLANK(A838),"""",GOOGLETRANSLATE(A838,""en"",""fr""))"),"")</f>
        <v/>
      </c>
    </row>
    <row r="839" spans="2:2">
      <c r="B839" s="3" t="str">
        <f ca="1">IFERROR(__xludf.DUMMYFUNCTION("IF(ISBLANK(A839),"""",GOOGLETRANSLATE(A839,""en"",""fr""))"),"")</f>
        <v/>
      </c>
    </row>
    <row r="840" spans="2:2">
      <c r="B840" s="3" t="str">
        <f ca="1">IFERROR(__xludf.DUMMYFUNCTION("IF(ISBLANK(A840),"""",GOOGLETRANSLATE(A840,""en"",""fr""))"),"")</f>
        <v/>
      </c>
    </row>
    <row r="841" spans="2:2">
      <c r="B841" s="3" t="str">
        <f ca="1">IFERROR(__xludf.DUMMYFUNCTION("IF(ISBLANK(A841),"""",GOOGLETRANSLATE(A841,""en"",""fr""))"),"")</f>
        <v/>
      </c>
    </row>
    <row r="842" spans="2:2">
      <c r="B842" s="3" t="str">
        <f ca="1">IFERROR(__xludf.DUMMYFUNCTION("IF(ISBLANK(A842),"""",GOOGLETRANSLATE(A842,""en"",""fr""))"),"")</f>
        <v/>
      </c>
    </row>
    <row r="843" spans="2:2">
      <c r="B843" s="3" t="str">
        <f ca="1">IFERROR(__xludf.DUMMYFUNCTION("IF(ISBLANK(A843),"""",GOOGLETRANSLATE(A843,""en"",""fr""))"),"")</f>
        <v/>
      </c>
    </row>
    <row r="844" spans="2:2">
      <c r="B844" s="3" t="str">
        <f ca="1">IFERROR(__xludf.DUMMYFUNCTION("IF(ISBLANK(A844),"""",GOOGLETRANSLATE(A844,""en"",""fr""))"),"")</f>
        <v/>
      </c>
    </row>
    <row r="845" spans="2:2">
      <c r="B845" s="3" t="str">
        <f ca="1">IFERROR(__xludf.DUMMYFUNCTION("IF(ISBLANK(A845),"""",GOOGLETRANSLATE(A845,""en"",""fr""))"),"")</f>
        <v/>
      </c>
    </row>
    <row r="846" spans="2:2">
      <c r="B846" s="3" t="str">
        <f ca="1">IFERROR(__xludf.DUMMYFUNCTION("IF(ISBLANK(A846),"""",GOOGLETRANSLATE(A846,""en"",""fr""))"),"")</f>
        <v/>
      </c>
    </row>
    <row r="847" spans="2:2">
      <c r="B847" s="3" t="str">
        <f ca="1">IFERROR(__xludf.DUMMYFUNCTION("IF(ISBLANK(A847),"""",GOOGLETRANSLATE(A847,""en"",""fr""))"),"")</f>
        <v/>
      </c>
    </row>
    <row r="848" spans="2:2">
      <c r="B848" s="3" t="str">
        <f ca="1">IFERROR(__xludf.DUMMYFUNCTION("IF(ISBLANK(A848),"""",GOOGLETRANSLATE(A848,""en"",""fr""))"),"")</f>
        <v/>
      </c>
    </row>
    <row r="849" spans="2:2">
      <c r="B849" s="3" t="str">
        <f ca="1">IFERROR(__xludf.DUMMYFUNCTION("IF(ISBLANK(A849),"""",GOOGLETRANSLATE(A849,""en"",""fr""))"),"")</f>
        <v/>
      </c>
    </row>
    <row r="850" spans="2:2">
      <c r="B850" s="3" t="str">
        <f ca="1">IFERROR(__xludf.DUMMYFUNCTION("IF(ISBLANK(A850),"""",GOOGLETRANSLATE(A850,""en"",""fr""))"),"")</f>
        <v/>
      </c>
    </row>
    <row r="851" spans="2:2">
      <c r="B851" s="3" t="str">
        <f ca="1">IFERROR(__xludf.DUMMYFUNCTION("IF(ISBLANK(A851),"""",GOOGLETRANSLATE(A851,""en"",""fr""))"),"")</f>
        <v/>
      </c>
    </row>
    <row r="852" spans="2:2">
      <c r="B852" s="3" t="str">
        <f ca="1">IFERROR(__xludf.DUMMYFUNCTION("IF(ISBLANK(A852),"""",GOOGLETRANSLATE(A852,""en"",""fr""))"),"")</f>
        <v/>
      </c>
    </row>
    <row r="853" spans="2:2">
      <c r="B853" s="3" t="str">
        <f ca="1">IFERROR(__xludf.DUMMYFUNCTION("IF(ISBLANK(A853),"""",GOOGLETRANSLATE(A853,""en"",""fr""))"),"")</f>
        <v/>
      </c>
    </row>
    <row r="854" spans="2:2">
      <c r="B854" s="3" t="str">
        <f ca="1">IFERROR(__xludf.DUMMYFUNCTION("IF(ISBLANK(A854),"""",GOOGLETRANSLATE(A854,""en"",""fr""))"),"")</f>
        <v/>
      </c>
    </row>
    <row r="855" spans="2:2">
      <c r="B855" s="3" t="str">
        <f ca="1">IFERROR(__xludf.DUMMYFUNCTION("IF(ISBLANK(A855),"""",GOOGLETRANSLATE(A855,""en"",""fr""))"),"")</f>
        <v/>
      </c>
    </row>
    <row r="856" spans="2:2">
      <c r="B856" s="3" t="str">
        <f ca="1">IFERROR(__xludf.DUMMYFUNCTION("IF(ISBLANK(A856),"""",GOOGLETRANSLATE(A856,""en"",""fr""))"),"")</f>
        <v/>
      </c>
    </row>
    <row r="857" spans="2:2">
      <c r="B857" s="3" t="str">
        <f ca="1">IFERROR(__xludf.DUMMYFUNCTION("IF(ISBLANK(A857),"""",GOOGLETRANSLATE(A857,""en"",""fr""))"),"")</f>
        <v/>
      </c>
    </row>
    <row r="858" spans="2:2">
      <c r="B858" s="3" t="str">
        <f ca="1">IFERROR(__xludf.DUMMYFUNCTION("IF(ISBLANK(A858),"""",GOOGLETRANSLATE(A858,""en"",""fr""))"),"")</f>
        <v/>
      </c>
    </row>
    <row r="859" spans="2:2">
      <c r="B859" s="3" t="str">
        <f ca="1">IFERROR(__xludf.DUMMYFUNCTION("IF(ISBLANK(A859),"""",GOOGLETRANSLATE(A859,""en"",""fr""))"),"")</f>
        <v/>
      </c>
    </row>
    <row r="860" spans="2:2">
      <c r="B860" s="3" t="str">
        <f ca="1">IFERROR(__xludf.DUMMYFUNCTION("IF(ISBLANK(A860),"""",GOOGLETRANSLATE(A860,""en"",""fr""))"),"")</f>
        <v/>
      </c>
    </row>
    <row r="861" spans="2:2">
      <c r="B861" s="3" t="str">
        <f ca="1">IFERROR(__xludf.DUMMYFUNCTION("IF(ISBLANK(A861),"""",GOOGLETRANSLATE(A861,""en"",""fr""))"),"")</f>
        <v/>
      </c>
    </row>
    <row r="862" spans="2:2">
      <c r="B862" s="3" t="str">
        <f ca="1">IFERROR(__xludf.DUMMYFUNCTION("IF(ISBLANK(A862),"""",GOOGLETRANSLATE(A862,""en"",""fr""))"),"")</f>
        <v/>
      </c>
    </row>
    <row r="863" spans="2:2">
      <c r="B863" s="3" t="str">
        <f ca="1">IFERROR(__xludf.DUMMYFUNCTION("IF(ISBLANK(A863),"""",GOOGLETRANSLATE(A863,""en"",""fr""))"),"")</f>
        <v/>
      </c>
    </row>
    <row r="864" spans="2:2">
      <c r="B864" s="3" t="str">
        <f ca="1">IFERROR(__xludf.DUMMYFUNCTION("IF(ISBLANK(A864),"""",GOOGLETRANSLATE(A864,""en"",""fr""))"),"")</f>
        <v/>
      </c>
    </row>
    <row r="865" spans="2:2">
      <c r="B865" s="3" t="str">
        <f ca="1">IFERROR(__xludf.DUMMYFUNCTION("IF(ISBLANK(A865),"""",GOOGLETRANSLATE(A865,""en"",""fr""))"),"")</f>
        <v/>
      </c>
    </row>
    <row r="866" spans="2:2">
      <c r="B866" s="3" t="str">
        <f ca="1">IFERROR(__xludf.DUMMYFUNCTION("IF(ISBLANK(A866),"""",GOOGLETRANSLATE(A866,""en"",""fr""))"),"")</f>
        <v/>
      </c>
    </row>
    <row r="867" spans="2:2">
      <c r="B867" s="3" t="str">
        <f ca="1">IFERROR(__xludf.DUMMYFUNCTION("IF(ISBLANK(A867),"""",GOOGLETRANSLATE(A867,""en"",""fr""))"),"")</f>
        <v/>
      </c>
    </row>
    <row r="868" spans="2:2">
      <c r="B868" s="3" t="str">
        <f ca="1">IFERROR(__xludf.DUMMYFUNCTION("IF(ISBLANK(A868),"""",GOOGLETRANSLATE(A868,""en"",""fr""))"),"")</f>
        <v/>
      </c>
    </row>
    <row r="869" spans="2:2">
      <c r="B869" s="3" t="str">
        <f ca="1">IFERROR(__xludf.DUMMYFUNCTION("IF(ISBLANK(A869),"""",GOOGLETRANSLATE(A869,""en"",""fr""))"),"")</f>
        <v/>
      </c>
    </row>
    <row r="870" spans="2:2">
      <c r="B870" s="3" t="str">
        <f ca="1">IFERROR(__xludf.DUMMYFUNCTION("IF(ISBLANK(A870),"""",GOOGLETRANSLATE(A870,""en"",""fr""))"),"")</f>
        <v/>
      </c>
    </row>
    <row r="871" spans="2:2">
      <c r="B871" s="3" t="str">
        <f ca="1">IFERROR(__xludf.DUMMYFUNCTION("IF(ISBLANK(A871),"""",GOOGLETRANSLATE(A871,""en"",""fr""))"),"")</f>
        <v/>
      </c>
    </row>
    <row r="872" spans="2:2">
      <c r="B872" s="3" t="str">
        <f ca="1">IFERROR(__xludf.DUMMYFUNCTION("IF(ISBLANK(A872),"""",GOOGLETRANSLATE(A872,""en"",""fr""))"),"")</f>
        <v/>
      </c>
    </row>
    <row r="873" spans="2:2">
      <c r="B873" s="3" t="str">
        <f ca="1">IFERROR(__xludf.DUMMYFUNCTION("IF(ISBLANK(A873),"""",GOOGLETRANSLATE(A873,""en"",""fr""))"),"")</f>
        <v/>
      </c>
    </row>
    <row r="874" spans="2:2">
      <c r="B874" s="3" t="str">
        <f ca="1">IFERROR(__xludf.DUMMYFUNCTION("IF(ISBLANK(A874),"""",GOOGLETRANSLATE(A874,""en"",""fr""))"),"")</f>
        <v/>
      </c>
    </row>
    <row r="875" spans="2:2">
      <c r="B875" s="3" t="str">
        <f ca="1">IFERROR(__xludf.DUMMYFUNCTION("IF(ISBLANK(A875),"""",GOOGLETRANSLATE(A875,""en"",""fr""))"),"")</f>
        <v/>
      </c>
    </row>
    <row r="876" spans="2:2">
      <c r="B876" s="3" t="str">
        <f ca="1">IFERROR(__xludf.DUMMYFUNCTION("IF(ISBLANK(A876),"""",GOOGLETRANSLATE(A876,""en"",""fr""))"),"")</f>
        <v/>
      </c>
    </row>
    <row r="877" spans="2:2">
      <c r="B877" s="3" t="str">
        <f ca="1">IFERROR(__xludf.DUMMYFUNCTION("IF(ISBLANK(A877),"""",GOOGLETRANSLATE(A877,""en"",""fr""))"),"")</f>
        <v/>
      </c>
    </row>
    <row r="878" spans="2:2">
      <c r="B878" s="3" t="str">
        <f ca="1">IFERROR(__xludf.DUMMYFUNCTION("IF(ISBLANK(A878),"""",GOOGLETRANSLATE(A878,""en"",""fr""))"),"")</f>
        <v/>
      </c>
    </row>
    <row r="879" spans="2:2">
      <c r="B879" s="3" t="str">
        <f ca="1">IFERROR(__xludf.DUMMYFUNCTION("IF(ISBLANK(A879),"""",GOOGLETRANSLATE(A879,""en"",""fr""))"),"")</f>
        <v/>
      </c>
    </row>
    <row r="880" spans="2:2">
      <c r="B880" s="3" t="str">
        <f ca="1">IFERROR(__xludf.DUMMYFUNCTION("IF(ISBLANK(A880),"""",GOOGLETRANSLATE(A880,""en"",""fr""))"),"")</f>
        <v/>
      </c>
    </row>
    <row r="881" spans="2:2">
      <c r="B881" s="3" t="str">
        <f ca="1">IFERROR(__xludf.DUMMYFUNCTION("IF(ISBLANK(A881),"""",GOOGLETRANSLATE(A881,""en"",""fr""))"),"")</f>
        <v/>
      </c>
    </row>
    <row r="882" spans="2:2">
      <c r="B882" s="3" t="str">
        <f ca="1">IFERROR(__xludf.DUMMYFUNCTION("IF(ISBLANK(A882),"""",GOOGLETRANSLATE(A882,""en"",""fr""))"),"")</f>
        <v/>
      </c>
    </row>
    <row r="883" spans="2:2">
      <c r="B883" s="3" t="str">
        <f ca="1">IFERROR(__xludf.DUMMYFUNCTION("IF(ISBLANK(A883),"""",GOOGLETRANSLATE(A883,""en"",""fr""))"),"")</f>
        <v/>
      </c>
    </row>
    <row r="884" spans="2:2">
      <c r="B884" s="3" t="str">
        <f ca="1">IFERROR(__xludf.DUMMYFUNCTION("IF(ISBLANK(A884),"""",GOOGLETRANSLATE(A884,""en"",""fr""))"),"")</f>
        <v/>
      </c>
    </row>
    <row r="885" spans="2:2">
      <c r="B885" s="3" t="str">
        <f ca="1">IFERROR(__xludf.DUMMYFUNCTION("IF(ISBLANK(A885),"""",GOOGLETRANSLATE(A885,""en"",""fr""))"),"")</f>
        <v/>
      </c>
    </row>
    <row r="886" spans="2:2">
      <c r="B886" s="3" t="str">
        <f ca="1">IFERROR(__xludf.DUMMYFUNCTION("IF(ISBLANK(A886),"""",GOOGLETRANSLATE(A886,""en"",""fr""))"),"")</f>
        <v/>
      </c>
    </row>
    <row r="887" spans="2:2">
      <c r="B887" s="3" t="str">
        <f ca="1">IFERROR(__xludf.DUMMYFUNCTION("IF(ISBLANK(A887),"""",GOOGLETRANSLATE(A887,""en"",""fr""))"),"")</f>
        <v/>
      </c>
    </row>
    <row r="888" spans="2:2">
      <c r="B888" s="3" t="str">
        <f ca="1">IFERROR(__xludf.DUMMYFUNCTION("IF(ISBLANK(A888),"""",GOOGLETRANSLATE(A888,""en"",""fr""))"),"")</f>
        <v/>
      </c>
    </row>
    <row r="889" spans="2:2">
      <c r="B889" s="3" t="str">
        <f ca="1">IFERROR(__xludf.DUMMYFUNCTION("IF(ISBLANK(A889),"""",GOOGLETRANSLATE(A889,""en"",""fr""))"),"")</f>
        <v/>
      </c>
    </row>
    <row r="890" spans="2:2">
      <c r="B890" s="3" t="str">
        <f ca="1">IFERROR(__xludf.DUMMYFUNCTION("IF(ISBLANK(A890),"""",GOOGLETRANSLATE(A890,""en"",""fr""))"),"")</f>
        <v/>
      </c>
    </row>
    <row r="891" spans="2:2">
      <c r="B891" s="3" t="str">
        <f ca="1">IFERROR(__xludf.DUMMYFUNCTION("IF(ISBLANK(A891),"""",GOOGLETRANSLATE(A891,""en"",""fr""))"),"")</f>
        <v/>
      </c>
    </row>
    <row r="892" spans="2:2">
      <c r="B892" s="3" t="str">
        <f ca="1">IFERROR(__xludf.DUMMYFUNCTION("IF(ISBLANK(A892),"""",GOOGLETRANSLATE(A892,""en"",""fr""))"),"")</f>
        <v/>
      </c>
    </row>
    <row r="893" spans="2:2">
      <c r="B893" s="3" t="str">
        <f ca="1">IFERROR(__xludf.DUMMYFUNCTION("IF(ISBLANK(A893),"""",GOOGLETRANSLATE(A893,""en"",""fr""))"),"")</f>
        <v/>
      </c>
    </row>
    <row r="894" spans="2:2">
      <c r="B894" s="3" t="str">
        <f ca="1">IFERROR(__xludf.DUMMYFUNCTION("IF(ISBLANK(A894),"""",GOOGLETRANSLATE(A894,""en"",""fr""))"),"")</f>
        <v/>
      </c>
    </row>
    <row r="895" spans="2:2">
      <c r="B895" s="3" t="str">
        <f ca="1">IFERROR(__xludf.DUMMYFUNCTION("IF(ISBLANK(A895),"""",GOOGLETRANSLATE(A895,""en"",""fr""))"),"")</f>
        <v/>
      </c>
    </row>
    <row r="896" spans="2:2">
      <c r="B896" s="3" t="str">
        <f ca="1">IFERROR(__xludf.DUMMYFUNCTION("IF(ISBLANK(A896),"""",GOOGLETRANSLATE(A896,""en"",""fr""))"),"")</f>
        <v/>
      </c>
    </row>
    <row r="897" spans="2:2">
      <c r="B897" s="3" t="str">
        <f ca="1">IFERROR(__xludf.DUMMYFUNCTION("IF(ISBLANK(A897),"""",GOOGLETRANSLATE(A897,""en"",""fr""))"),"")</f>
        <v/>
      </c>
    </row>
    <row r="898" spans="2:2">
      <c r="B898" s="3" t="str">
        <f ca="1">IFERROR(__xludf.DUMMYFUNCTION("IF(ISBLANK(A898),"""",GOOGLETRANSLATE(A898,""en"",""fr""))"),"")</f>
        <v/>
      </c>
    </row>
    <row r="899" spans="2:2">
      <c r="B899" s="3" t="str">
        <f ca="1">IFERROR(__xludf.DUMMYFUNCTION("IF(ISBLANK(A899),"""",GOOGLETRANSLATE(A899,""en"",""fr""))"),"")</f>
        <v/>
      </c>
    </row>
    <row r="900" spans="2:2">
      <c r="B900" s="3" t="str">
        <f ca="1">IFERROR(__xludf.DUMMYFUNCTION("IF(ISBLANK(A900),"""",GOOGLETRANSLATE(A900,""en"",""fr""))"),"")</f>
        <v/>
      </c>
    </row>
    <row r="901" spans="2:2">
      <c r="B901" s="3" t="str">
        <f ca="1">IFERROR(__xludf.DUMMYFUNCTION("IF(ISBLANK(A901),"""",GOOGLETRANSLATE(A901,""en"",""fr""))"),"")</f>
        <v/>
      </c>
    </row>
    <row r="902" spans="2:2">
      <c r="B902" s="3" t="str">
        <f ca="1">IFERROR(__xludf.DUMMYFUNCTION("IF(ISBLANK(A902),"""",GOOGLETRANSLATE(A902,""en"",""fr""))"),"")</f>
        <v/>
      </c>
    </row>
    <row r="903" spans="2:2">
      <c r="B903" s="3" t="str">
        <f ca="1">IFERROR(__xludf.DUMMYFUNCTION("IF(ISBLANK(A903),"""",GOOGLETRANSLATE(A903,""en"",""fr""))"),"")</f>
        <v/>
      </c>
    </row>
    <row r="904" spans="2:2">
      <c r="B904" s="3" t="str">
        <f ca="1">IFERROR(__xludf.DUMMYFUNCTION("IF(ISBLANK(A904),"""",GOOGLETRANSLATE(A904,""en"",""fr""))"),"")</f>
        <v/>
      </c>
    </row>
    <row r="905" spans="2:2">
      <c r="B905" s="3" t="str">
        <f ca="1">IFERROR(__xludf.DUMMYFUNCTION("IF(ISBLANK(A905),"""",GOOGLETRANSLATE(A905,""en"",""fr""))"),"")</f>
        <v/>
      </c>
    </row>
    <row r="906" spans="2:2">
      <c r="B906" s="3" t="str">
        <f ca="1">IFERROR(__xludf.DUMMYFUNCTION("IF(ISBLANK(A906),"""",GOOGLETRANSLATE(A906,""en"",""fr""))"),"")</f>
        <v/>
      </c>
    </row>
    <row r="907" spans="2:2">
      <c r="B907" s="3" t="str">
        <f ca="1">IFERROR(__xludf.DUMMYFUNCTION("IF(ISBLANK(A907),"""",GOOGLETRANSLATE(A907,""en"",""fr""))"),"")</f>
        <v/>
      </c>
    </row>
    <row r="908" spans="2:2">
      <c r="B908" s="3" t="str">
        <f ca="1">IFERROR(__xludf.DUMMYFUNCTION("IF(ISBLANK(A908),"""",GOOGLETRANSLATE(A908,""en"",""fr""))"),"")</f>
        <v/>
      </c>
    </row>
    <row r="909" spans="2:2">
      <c r="B909" s="3" t="str">
        <f ca="1">IFERROR(__xludf.DUMMYFUNCTION("IF(ISBLANK(A909),"""",GOOGLETRANSLATE(A909,""en"",""fr""))"),"")</f>
        <v/>
      </c>
    </row>
    <row r="910" spans="2:2">
      <c r="B910" s="3" t="str">
        <f ca="1">IFERROR(__xludf.DUMMYFUNCTION("IF(ISBLANK(A910),"""",GOOGLETRANSLATE(A910,""en"",""fr""))"),"")</f>
        <v/>
      </c>
    </row>
    <row r="911" spans="2:2">
      <c r="B911" s="3" t="str">
        <f ca="1">IFERROR(__xludf.DUMMYFUNCTION("IF(ISBLANK(A911),"""",GOOGLETRANSLATE(A911,""en"",""fr""))"),"")</f>
        <v/>
      </c>
    </row>
    <row r="912" spans="2:2">
      <c r="B912" s="3" t="str">
        <f ca="1">IFERROR(__xludf.DUMMYFUNCTION("IF(ISBLANK(A912),"""",GOOGLETRANSLATE(A912,""en"",""fr""))"),"")</f>
        <v/>
      </c>
    </row>
    <row r="913" spans="2:2">
      <c r="B913" s="3" t="str">
        <f ca="1">IFERROR(__xludf.DUMMYFUNCTION("IF(ISBLANK(A913),"""",GOOGLETRANSLATE(A913,""en"",""fr""))"),"")</f>
        <v/>
      </c>
    </row>
    <row r="914" spans="2:2">
      <c r="B914" s="3" t="str">
        <f ca="1">IFERROR(__xludf.DUMMYFUNCTION("IF(ISBLANK(A914),"""",GOOGLETRANSLATE(A914,""en"",""fr""))"),"")</f>
        <v/>
      </c>
    </row>
    <row r="915" spans="2:2">
      <c r="B915" s="3" t="str">
        <f ca="1">IFERROR(__xludf.DUMMYFUNCTION("IF(ISBLANK(A915),"""",GOOGLETRANSLATE(A915,""en"",""fr""))"),"")</f>
        <v/>
      </c>
    </row>
    <row r="916" spans="2:2">
      <c r="B916" s="3" t="str">
        <f ca="1">IFERROR(__xludf.DUMMYFUNCTION("IF(ISBLANK(A916),"""",GOOGLETRANSLATE(A916,""en"",""fr""))"),"")</f>
        <v/>
      </c>
    </row>
    <row r="917" spans="2:2">
      <c r="B917" s="3" t="str">
        <f ca="1">IFERROR(__xludf.DUMMYFUNCTION("IF(ISBLANK(A917),"""",GOOGLETRANSLATE(A917,""en"",""fr""))"),"")</f>
        <v/>
      </c>
    </row>
    <row r="918" spans="2:2">
      <c r="B918" s="3" t="str">
        <f ca="1">IFERROR(__xludf.DUMMYFUNCTION("IF(ISBLANK(A918),"""",GOOGLETRANSLATE(A918,""en"",""fr""))"),"")</f>
        <v/>
      </c>
    </row>
    <row r="919" spans="2:2">
      <c r="B919" s="3" t="str">
        <f ca="1">IFERROR(__xludf.DUMMYFUNCTION("IF(ISBLANK(A919),"""",GOOGLETRANSLATE(A919,""en"",""fr""))"),"")</f>
        <v/>
      </c>
    </row>
    <row r="920" spans="2:2">
      <c r="B920" s="3" t="str">
        <f ca="1">IFERROR(__xludf.DUMMYFUNCTION("IF(ISBLANK(A920),"""",GOOGLETRANSLATE(A920,""en"",""fr""))"),"")</f>
        <v/>
      </c>
    </row>
    <row r="921" spans="2:2">
      <c r="B921" s="3" t="str">
        <f ca="1">IFERROR(__xludf.DUMMYFUNCTION("IF(ISBLANK(A921),"""",GOOGLETRANSLATE(A921,""en"",""fr""))"),"")</f>
        <v/>
      </c>
    </row>
    <row r="922" spans="2:2">
      <c r="B922" s="3" t="str">
        <f ca="1">IFERROR(__xludf.DUMMYFUNCTION("IF(ISBLANK(A922),"""",GOOGLETRANSLATE(A922,""en"",""fr""))"),"")</f>
        <v/>
      </c>
    </row>
    <row r="923" spans="2:2">
      <c r="B923" s="3" t="str">
        <f ca="1">IFERROR(__xludf.DUMMYFUNCTION("IF(ISBLANK(A923),"""",GOOGLETRANSLATE(A923,""en"",""fr""))"),"")</f>
        <v/>
      </c>
    </row>
    <row r="924" spans="2:2">
      <c r="B924" s="3" t="str">
        <f ca="1">IFERROR(__xludf.DUMMYFUNCTION("IF(ISBLANK(A924),"""",GOOGLETRANSLATE(A924,""en"",""fr""))"),"")</f>
        <v/>
      </c>
    </row>
    <row r="925" spans="2:2">
      <c r="B925" s="3" t="str">
        <f ca="1">IFERROR(__xludf.DUMMYFUNCTION("IF(ISBLANK(A925),"""",GOOGLETRANSLATE(A925,""en"",""fr""))"),"")</f>
        <v/>
      </c>
    </row>
    <row r="926" spans="2:2">
      <c r="B926" s="3" t="str">
        <f ca="1">IFERROR(__xludf.DUMMYFUNCTION("IF(ISBLANK(A926),"""",GOOGLETRANSLATE(A926,""en"",""fr""))"),"")</f>
        <v/>
      </c>
    </row>
    <row r="927" spans="2:2">
      <c r="B927" s="3" t="str">
        <f ca="1">IFERROR(__xludf.DUMMYFUNCTION("IF(ISBLANK(A927),"""",GOOGLETRANSLATE(A927,""en"",""fr""))"),"")</f>
        <v/>
      </c>
    </row>
    <row r="928" spans="2:2">
      <c r="B928" s="3" t="str">
        <f ca="1">IFERROR(__xludf.DUMMYFUNCTION("IF(ISBLANK(A928),"""",GOOGLETRANSLATE(A928,""en"",""fr""))"),"")</f>
        <v/>
      </c>
    </row>
    <row r="929" spans="2:2">
      <c r="B929" s="3" t="str">
        <f ca="1">IFERROR(__xludf.DUMMYFUNCTION("IF(ISBLANK(A929),"""",GOOGLETRANSLATE(A929,""en"",""fr""))"),"")</f>
        <v/>
      </c>
    </row>
    <row r="930" spans="2:2">
      <c r="B930" s="3" t="str">
        <f ca="1">IFERROR(__xludf.DUMMYFUNCTION("IF(ISBLANK(A930),"""",GOOGLETRANSLATE(A930,""en"",""fr""))"),"")</f>
        <v/>
      </c>
    </row>
    <row r="931" spans="2:2">
      <c r="B931" s="3" t="str">
        <f ca="1">IFERROR(__xludf.DUMMYFUNCTION("IF(ISBLANK(A931),"""",GOOGLETRANSLATE(A931,""en"",""fr""))"),"")</f>
        <v/>
      </c>
    </row>
    <row r="932" spans="2:2">
      <c r="B932" s="3" t="str">
        <f ca="1">IFERROR(__xludf.DUMMYFUNCTION("IF(ISBLANK(A932),"""",GOOGLETRANSLATE(A932,""en"",""fr""))"),"")</f>
        <v/>
      </c>
    </row>
    <row r="933" spans="2:2">
      <c r="B933" s="3" t="str">
        <f ca="1">IFERROR(__xludf.DUMMYFUNCTION("IF(ISBLANK(A933),"""",GOOGLETRANSLATE(A933,""en"",""fr""))"),"")</f>
        <v/>
      </c>
    </row>
    <row r="934" spans="2:2">
      <c r="B934" s="3" t="str">
        <f ca="1">IFERROR(__xludf.DUMMYFUNCTION("IF(ISBLANK(A934),"""",GOOGLETRANSLATE(A934,""en"",""fr""))"),"")</f>
        <v/>
      </c>
    </row>
    <row r="935" spans="2:2">
      <c r="B935" s="3" t="str">
        <f ca="1">IFERROR(__xludf.DUMMYFUNCTION("IF(ISBLANK(A935),"""",GOOGLETRANSLATE(A935,""en"",""fr""))"),"")</f>
        <v/>
      </c>
    </row>
    <row r="936" spans="2:2">
      <c r="B936" s="3" t="str">
        <f ca="1">IFERROR(__xludf.DUMMYFUNCTION("IF(ISBLANK(A936),"""",GOOGLETRANSLATE(A936,""en"",""fr""))"),"")</f>
        <v/>
      </c>
    </row>
    <row r="937" spans="2:2">
      <c r="B937" s="3" t="str">
        <f ca="1">IFERROR(__xludf.DUMMYFUNCTION("IF(ISBLANK(A937),"""",GOOGLETRANSLATE(A937,""en"",""fr""))"),"")</f>
        <v/>
      </c>
    </row>
    <row r="938" spans="2:2">
      <c r="B938" s="3" t="str">
        <f ca="1">IFERROR(__xludf.DUMMYFUNCTION("IF(ISBLANK(A938),"""",GOOGLETRANSLATE(A938,""en"",""fr""))"),"")</f>
        <v/>
      </c>
    </row>
    <row r="939" spans="2:2">
      <c r="B939" s="3" t="str">
        <f ca="1">IFERROR(__xludf.DUMMYFUNCTION("IF(ISBLANK(A939),"""",GOOGLETRANSLATE(A939,""en"",""fr""))"),"")</f>
        <v/>
      </c>
    </row>
    <row r="940" spans="2:2">
      <c r="B940" s="3" t="str">
        <f ca="1">IFERROR(__xludf.DUMMYFUNCTION("IF(ISBLANK(A940),"""",GOOGLETRANSLATE(A940,""en"",""fr""))"),"")</f>
        <v/>
      </c>
    </row>
    <row r="941" spans="2:2">
      <c r="B941" s="3" t="str">
        <f ca="1">IFERROR(__xludf.DUMMYFUNCTION("IF(ISBLANK(A941),"""",GOOGLETRANSLATE(A941,""en"",""fr""))"),"")</f>
        <v/>
      </c>
    </row>
    <row r="942" spans="2:2">
      <c r="B942" s="3" t="str">
        <f ca="1">IFERROR(__xludf.DUMMYFUNCTION("IF(ISBLANK(A942),"""",GOOGLETRANSLATE(A942,""en"",""fr""))"),"")</f>
        <v/>
      </c>
    </row>
    <row r="943" spans="2:2">
      <c r="B943" s="3" t="str">
        <f ca="1">IFERROR(__xludf.DUMMYFUNCTION("IF(ISBLANK(A943),"""",GOOGLETRANSLATE(A943,""en"",""fr""))"),"")</f>
        <v/>
      </c>
    </row>
    <row r="944" spans="2:2">
      <c r="B944" s="3" t="str">
        <f ca="1">IFERROR(__xludf.DUMMYFUNCTION("IF(ISBLANK(A944),"""",GOOGLETRANSLATE(A944,""en"",""fr""))"),"")</f>
        <v/>
      </c>
    </row>
    <row r="945" spans="2:2">
      <c r="B945" s="3" t="str">
        <f ca="1">IFERROR(__xludf.DUMMYFUNCTION("IF(ISBLANK(A945),"""",GOOGLETRANSLATE(A945,""en"",""fr""))"),"")</f>
        <v/>
      </c>
    </row>
    <row r="946" spans="2:2">
      <c r="B946" s="3" t="str">
        <f ca="1">IFERROR(__xludf.DUMMYFUNCTION("IF(ISBLANK(A946),"""",GOOGLETRANSLATE(A946,""en"",""fr""))"),"")</f>
        <v/>
      </c>
    </row>
    <row r="947" spans="2:2">
      <c r="B947" s="3" t="str">
        <f ca="1">IFERROR(__xludf.DUMMYFUNCTION("IF(ISBLANK(A947),"""",GOOGLETRANSLATE(A947,""en"",""fr""))"),"")</f>
        <v/>
      </c>
    </row>
    <row r="948" spans="2:2">
      <c r="B948" s="3" t="str">
        <f ca="1">IFERROR(__xludf.DUMMYFUNCTION("IF(ISBLANK(A948),"""",GOOGLETRANSLATE(A948,""en"",""fr""))"),"")</f>
        <v/>
      </c>
    </row>
    <row r="949" spans="2:2">
      <c r="B949" s="3" t="str">
        <f ca="1">IFERROR(__xludf.DUMMYFUNCTION("IF(ISBLANK(A949),"""",GOOGLETRANSLATE(A949,""en"",""fr""))"),"")</f>
        <v/>
      </c>
    </row>
    <row r="950" spans="2:2">
      <c r="B950" s="3" t="str">
        <f ca="1">IFERROR(__xludf.DUMMYFUNCTION("IF(ISBLANK(A950),"""",GOOGLETRANSLATE(A950,""en"",""fr""))"),"")</f>
        <v/>
      </c>
    </row>
    <row r="951" spans="2:2">
      <c r="B951" s="3" t="str">
        <f ca="1">IFERROR(__xludf.DUMMYFUNCTION("IF(ISBLANK(A951),"""",GOOGLETRANSLATE(A951,""en"",""fr""))"),"")</f>
        <v/>
      </c>
    </row>
    <row r="952" spans="2:2">
      <c r="B952" s="3" t="str">
        <f ca="1">IFERROR(__xludf.DUMMYFUNCTION("IF(ISBLANK(A952),"""",GOOGLETRANSLATE(A952,""en"",""fr""))"),"")</f>
        <v/>
      </c>
    </row>
    <row r="953" spans="2:2">
      <c r="B953" s="3" t="str">
        <f ca="1">IFERROR(__xludf.DUMMYFUNCTION("IF(ISBLANK(A953),"""",GOOGLETRANSLATE(A953,""en"",""fr""))"),"")</f>
        <v/>
      </c>
    </row>
    <row r="954" spans="2:2">
      <c r="B954" s="3" t="str">
        <f ca="1">IFERROR(__xludf.DUMMYFUNCTION("IF(ISBLANK(A954),"""",GOOGLETRANSLATE(A954,""en"",""fr""))"),"")</f>
        <v/>
      </c>
    </row>
    <row r="955" spans="2:2">
      <c r="B955" s="3" t="str">
        <f ca="1">IFERROR(__xludf.DUMMYFUNCTION("IF(ISBLANK(A955),"""",GOOGLETRANSLATE(A955,""en"",""fr""))"),"")</f>
        <v/>
      </c>
    </row>
    <row r="956" spans="2:2">
      <c r="B956" s="3" t="str">
        <f ca="1">IFERROR(__xludf.DUMMYFUNCTION("IF(ISBLANK(A956),"""",GOOGLETRANSLATE(A956,""en"",""fr""))"),"")</f>
        <v/>
      </c>
    </row>
    <row r="957" spans="2:2">
      <c r="B957" s="3" t="str">
        <f ca="1">IFERROR(__xludf.DUMMYFUNCTION("IF(ISBLANK(A957),"""",GOOGLETRANSLATE(A957,""en"",""fr""))"),"")</f>
        <v/>
      </c>
    </row>
    <row r="958" spans="2:2">
      <c r="B958" s="3" t="str">
        <f ca="1">IFERROR(__xludf.DUMMYFUNCTION("IF(ISBLANK(A958),"""",GOOGLETRANSLATE(A958,""en"",""fr""))"),"")</f>
        <v/>
      </c>
    </row>
    <row r="959" spans="2:2">
      <c r="B959" s="3" t="str">
        <f ca="1">IFERROR(__xludf.DUMMYFUNCTION("IF(ISBLANK(A959),"""",GOOGLETRANSLATE(A959,""en"",""fr""))"),"")</f>
        <v/>
      </c>
    </row>
    <row r="960" spans="2:2">
      <c r="B960" s="3" t="str">
        <f ca="1">IFERROR(__xludf.DUMMYFUNCTION("IF(ISBLANK(A960),"""",GOOGLETRANSLATE(A960,""en"",""fr""))"),"")</f>
        <v/>
      </c>
    </row>
    <row r="961" spans="2:2">
      <c r="B961" s="3" t="str">
        <f ca="1">IFERROR(__xludf.DUMMYFUNCTION("IF(ISBLANK(A961),"""",GOOGLETRANSLATE(A961,""en"",""fr""))"),"")</f>
        <v/>
      </c>
    </row>
    <row r="962" spans="2:2">
      <c r="B962" s="3" t="str">
        <f ca="1">IFERROR(__xludf.DUMMYFUNCTION("IF(ISBLANK(A962),"""",GOOGLETRANSLATE(A962,""en"",""fr""))"),"")</f>
        <v/>
      </c>
    </row>
    <row r="963" spans="2:2">
      <c r="B963" s="3" t="str">
        <f ca="1">IFERROR(__xludf.DUMMYFUNCTION("IF(ISBLANK(A963),"""",GOOGLETRANSLATE(A963,""en"",""fr""))"),"")</f>
        <v/>
      </c>
    </row>
    <row r="964" spans="2:2">
      <c r="B964" s="3" t="str">
        <f ca="1">IFERROR(__xludf.DUMMYFUNCTION("IF(ISBLANK(A964),"""",GOOGLETRANSLATE(A964,""en"",""fr""))"),"")</f>
        <v/>
      </c>
    </row>
    <row r="965" spans="2:2">
      <c r="B965" s="3" t="str">
        <f ca="1">IFERROR(__xludf.DUMMYFUNCTION("IF(ISBLANK(A965),"""",GOOGLETRANSLATE(A965,""en"",""fr""))"),"")</f>
        <v/>
      </c>
    </row>
    <row r="966" spans="2:2">
      <c r="B966" s="3" t="str">
        <f ca="1">IFERROR(__xludf.DUMMYFUNCTION("IF(ISBLANK(A966),"""",GOOGLETRANSLATE(A966,""en"",""fr""))"),"")</f>
        <v/>
      </c>
    </row>
    <row r="967" spans="2:2">
      <c r="B967" s="3" t="str">
        <f ca="1">IFERROR(__xludf.DUMMYFUNCTION("IF(ISBLANK(A967),"""",GOOGLETRANSLATE(A967,""en"",""fr""))"),"")</f>
        <v/>
      </c>
    </row>
    <row r="968" spans="2:2">
      <c r="B968" s="3" t="str">
        <f ca="1">IFERROR(__xludf.DUMMYFUNCTION("IF(ISBLANK(A968),"""",GOOGLETRANSLATE(A968,""en"",""fr""))"),"")</f>
        <v/>
      </c>
    </row>
    <row r="969" spans="2:2">
      <c r="B969" s="3" t="str">
        <f ca="1">IFERROR(__xludf.DUMMYFUNCTION("IF(ISBLANK(A969),"""",GOOGLETRANSLATE(A969,""en"",""fr""))"),"")</f>
        <v/>
      </c>
    </row>
    <row r="970" spans="2:2">
      <c r="B970" s="3" t="str">
        <f ca="1">IFERROR(__xludf.DUMMYFUNCTION("IF(ISBLANK(A970),"""",GOOGLETRANSLATE(A970,""en"",""fr""))"),"")</f>
        <v/>
      </c>
    </row>
    <row r="971" spans="2:2">
      <c r="B971" s="3" t="str">
        <f ca="1">IFERROR(__xludf.DUMMYFUNCTION("IF(ISBLANK(A971),"""",GOOGLETRANSLATE(A971,""en"",""fr""))"),"")</f>
        <v/>
      </c>
    </row>
    <row r="972" spans="2:2">
      <c r="B972" s="3" t="str">
        <f ca="1">IFERROR(__xludf.DUMMYFUNCTION("IF(ISBLANK(A972),"""",GOOGLETRANSLATE(A972,""en"",""fr""))"),"")</f>
        <v/>
      </c>
    </row>
    <row r="973" spans="2:2">
      <c r="B973" s="3" t="str">
        <f ca="1">IFERROR(__xludf.DUMMYFUNCTION("IF(ISBLANK(A973),"""",GOOGLETRANSLATE(A973,""en"",""fr""))"),"")</f>
        <v/>
      </c>
    </row>
    <row r="974" spans="2:2">
      <c r="B974" s="3" t="str">
        <f ca="1">IFERROR(__xludf.DUMMYFUNCTION("IF(ISBLANK(A974),"""",GOOGLETRANSLATE(A974,""en"",""fr""))"),"")</f>
        <v/>
      </c>
    </row>
    <row r="975" spans="2:2">
      <c r="B975" s="3" t="str">
        <f ca="1">IFERROR(__xludf.DUMMYFUNCTION("IF(ISBLANK(A975),"""",GOOGLETRANSLATE(A975,""en"",""fr""))"),"")</f>
        <v/>
      </c>
    </row>
    <row r="976" spans="2:2">
      <c r="B976" s="3" t="str">
        <f ca="1">IFERROR(__xludf.DUMMYFUNCTION("IF(ISBLANK(A976),"""",GOOGLETRANSLATE(A976,""en"",""fr""))"),"")</f>
        <v/>
      </c>
    </row>
    <row r="977" spans="2:2">
      <c r="B977" s="3" t="str">
        <f ca="1">IFERROR(__xludf.DUMMYFUNCTION("IF(ISBLANK(A977),"""",GOOGLETRANSLATE(A977,""en"",""fr""))"),"")</f>
        <v/>
      </c>
    </row>
    <row r="978" spans="2:2">
      <c r="B978" s="3" t="str">
        <f ca="1">IFERROR(__xludf.DUMMYFUNCTION("IF(ISBLANK(A978),"""",GOOGLETRANSLATE(A978,""en"",""fr""))"),"")</f>
        <v/>
      </c>
    </row>
    <row r="979" spans="2:2">
      <c r="B979" s="3" t="str">
        <f ca="1">IFERROR(__xludf.DUMMYFUNCTION("IF(ISBLANK(A979),"""",GOOGLETRANSLATE(A979,""en"",""fr""))"),"")</f>
        <v/>
      </c>
    </row>
    <row r="980" spans="2:2">
      <c r="B980" s="3" t="str">
        <f ca="1">IFERROR(__xludf.DUMMYFUNCTION("IF(ISBLANK(A980),"""",GOOGLETRANSLATE(A980,""en"",""fr""))"),"")</f>
        <v/>
      </c>
    </row>
    <row r="981" spans="2:2">
      <c r="B981" s="3" t="str">
        <f ca="1">IFERROR(__xludf.DUMMYFUNCTION("IF(ISBLANK(A981),"""",GOOGLETRANSLATE(A981,""en"",""fr""))"),"")</f>
        <v/>
      </c>
    </row>
    <row r="982" spans="2:2">
      <c r="B982" s="3" t="str">
        <f ca="1">IFERROR(__xludf.DUMMYFUNCTION("IF(ISBLANK(A982),"""",GOOGLETRANSLATE(A982,""en"",""fr""))"),"")</f>
        <v/>
      </c>
    </row>
    <row r="983" spans="2:2">
      <c r="B983" s="3" t="str">
        <f ca="1">IFERROR(__xludf.DUMMYFUNCTION("IF(ISBLANK(A983),"""",GOOGLETRANSLATE(A983,""en"",""fr""))"),"")</f>
        <v/>
      </c>
    </row>
    <row r="984" spans="2:2">
      <c r="B984" s="3" t="str">
        <f ca="1">IFERROR(__xludf.DUMMYFUNCTION("IF(ISBLANK(A984),"""",GOOGLETRANSLATE(A984,""en"",""fr""))"),"")</f>
        <v/>
      </c>
    </row>
    <row r="985" spans="2:2">
      <c r="B985" s="3" t="str">
        <f ca="1">IFERROR(__xludf.DUMMYFUNCTION("IF(ISBLANK(A985),"""",GOOGLETRANSLATE(A985,""en"",""fr""))"),"")</f>
        <v/>
      </c>
    </row>
    <row r="986" spans="2:2">
      <c r="B986" s="3" t="str">
        <f ca="1">IFERROR(__xludf.DUMMYFUNCTION("IF(ISBLANK(A986),"""",GOOGLETRANSLATE(A986,""en"",""fr""))"),"")</f>
        <v/>
      </c>
    </row>
    <row r="987" spans="2:2">
      <c r="B987" s="3" t="str">
        <f ca="1">IFERROR(__xludf.DUMMYFUNCTION("IF(ISBLANK(A987),"""",GOOGLETRANSLATE(A987,""en"",""fr""))"),"")</f>
        <v/>
      </c>
    </row>
    <row r="988" spans="2:2">
      <c r="B988" s="3" t="str">
        <f ca="1">IFERROR(__xludf.DUMMYFUNCTION("IF(ISBLANK(A988),"""",GOOGLETRANSLATE(A988,""en"",""fr""))"),"")</f>
        <v/>
      </c>
    </row>
    <row r="989" spans="2:2">
      <c r="B989" s="3" t="str">
        <f ca="1">IFERROR(__xludf.DUMMYFUNCTION("IF(ISBLANK(A989),"""",GOOGLETRANSLATE(A989,""en"",""fr""))"),"")</f>
        <v/>
      </c>
    </row>
    <row r="990" spans="2:2">
      <c r="B990" s="3" t="str">
        <f ca="1">IFERROR(__xludf.DUMMYFUNCTION("IF(ISBLANK(A990),"""",GOOGLETRANSLATE(A990,""en"",""fr""))"),"")</f>
        <v/>
      </c>
    </row>
    <row r="991" spans="2:2">
      <c r="B991" s="3" t="str">
        <f ca="1">IFERROR(__xludf.DUMMYFUNCTION("IF(ISBLANK(A991),"""",GOOGLETRANSLATE(A991,""en"",""fr""))"),"")</f>
        <v/>
      </c>
    </row>
    <row r="992" spans="2:2">
      <c r="B992" s="3" t="str">
        <f ca="1">IFERROR(__xludf.DUMMYFUNCTION("IF(ISBLANK(A992),"""",GOOGLETRANSLATE(A992,""en"",""fr""))"),"")</f>
        <v/>
      </c>
    </row>
    <row r="993" spans="2:2">
      <c r="B993" s="3" t="str">
        <f ca="1">IFERROR(__xludf.DUMMYFUNCTION("IF(ISBLANK(A993),"""",GOOGLETRANSLATE(A993,""en"",""fr""))"),"")</f>
        <v/>
      </c>
    </row>
    <row r="994" spans="2:2">
      <c r="B994" s="3" t="str">
        <f ca="1">IFERROR(__xludf.DUMMYFUNCTION("IF(ISBLANK(A994),"""",GOOGLETRANSLATE(A994,""en"",""fr""))"),"")</f>
        <v/>
      </c>
    </row>
    <row r="995" spans="2:2">
      <c r="B995" s="3" t="str">
        <f ca="1">IFERROR(__xludf.DUMMYFUNCTION("IF(ISBLANK(A995),"""",GOOGLETRANSLATE(A995,""en"",""fr""))"),"")</f>
        <v/>
      </c>
    </row>
    <row r="996" spans="2:2">
      <c r="B996" s="3" t="str">
        <f ca="1">IFERROR(__xludf.DUMMYFUNCTION("IF(ISBLANK(A996),"""",GOOGLETRANSLATE(A996,""en"",""fr""))"),"")</f>
        <v/>
      </c>
    </row>
    <row r="997" spans="2:2">
      <c r="B997" s="3" t="str">
        <f ca="1">IFERROR(__xludf.DUMMYFUNCTION("IF(ISBLANK(A997),"""",GOOGLETRANSLATE(A997,""en"",""fr""))"),"")</f>
        <v/>
      </c>
    </row>
    <row r="998" spans="2:2">
      <c r="B998" s="3" t="str">
        <f ca="1">IFERROR(__xludf.DUMMYFUNCTION("IF(ISBLANK(A998),"""",GOOGLETRANSLATE(A998,""en"",""fr""))"),"")</f>
        <v/>
      </c>
    </row>
    <row r="999" spans="2:2">
      <c r="B999" s="3" t="str">
        <f ca="1">IFERROR(__xludf.DUMMYFUNCTION("IF(ISBLANK(A999),"""",GOOGLETRANSLATE(A999,""en"",""fr""))"),"")</f>
        <v/>
      </c>
    </row>
    <row r="1000" spans="2:2">
      <c r="B1000" s="3" t="str">
        <f ca="1">IFERROR(__xludf.DUMMYFUNCTION("IF(ISBLANK(A1000),"""",GOOGLETRANSLATE(A1000,""en"",""fr""))"),"")</f>
        <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B1000"/>
  <sheetViews>
    <sheetView topLeftCell="A40" workbookViewId="0"/>
  </sheetViews>
  <sheetFormatPr defaultColWidth="12.6640625" defaultRowHeight="15.75" customHeight="1"/>
  <cols>
    <col min="1" max="1" width="113.33203125" customWidth="1"/>
  </cols>
  <sheetData>
    <row r="1" spans="1:2">
      <c r="A1" s="1" t="s">
        <v>0</v>
      </c>
      <c r="B1" s="1"/>
    </row>
    <row r="2" spans="1:2">
      <c r="A2" s="3" t="s">
        <v>145</v>
      </c>
      <c r="B2" s="3" t="str">
        <f ca="1">IFERROR(__xludf.DUMMYFUNCTION("IF(ISBLANK(A2),"""",GOOGLETRANSLATE(A2,""en"",""fr""))"),"Financement automobile")</f>
        <v>Financement automobile</v>
      </c>
    </row>
    <row r="3" spans="1:2">
      <c r="A3" s="3" t="s">
        <v>716</v>
      </c>
      <c r="B3" s="3" t="str">
        <f ca="1">IFERROR(__xludf.DUMMYFUNCTION("IF(ISBLANK(A3),"""",GOOGLETRANSLATE(A3,""en"",""fr""))"),"Logiciel de financement automobile basé sur l'IA")</f>
        <v>Logiciel de financement automobile basé sur l'IA</v>
      </c>
    </row>
    <row r="4" spans="1:2">
      <c r="A4" s="3" t="s">
        <v>717</v>
      </c>
      <c r="B4" s="3" t="str">
        <f ca="1">IFERROR(__xludf.DUMMYFUNCTION("IF(ISBLANK(A4),"""",GOOGLETRANSLATE(A4,""en"",""fr""))"),"Nous fournissons des solutions technologiques supérieures aux plus grands noms de l’industrie automobile mondiale.")</f>
        <v>Nous fournissons des solutions technologiques supérieures aux plus grands noms de l’industrie automobile mondiale.</v>
      </c>
    </row>
    <row r="5" spans="1:2">
      <c r="A5" s="3" t="s">
        <v>70</v>
      </c>
      <c r="B5" s="3" t="str">
        <f ca="1">IFERROR(__xludf.DUMMYFUNCTION("IF(ISBLANK(A5),"""",GOOGLETRANSLATE(A5,""en"",""fr""))"),"Connectez-vous avec nous")</f>
        <v>Connectez-vous avec nous</v>
      </c>
    </row>
    <row r="6" spans="1:2">
      <c r="A6" s="3" t="s">
        <v>14</v>
      </c>
      <c r="B6" s="3" t="str">
        <f ca="1">IFERROR(__xludf.DUMMYFUNCTION("IF(ISBLANK(A6),"""",GOOGLETRANSLATE(A6,""en"",""fr""))"),"Les plus grandes marques mondiales sont propulsées par NETSOL")</f>
        <v>Les plus grandes marques mondiales sont propulsées par NETSOL</v>
      </c>
    </row>
    <row r="7" spans="1:2">
      <c r="B7" s="3" t="str">
        <f ca="1">IFERROR(__xludf.DUMMYFUNCTION("IF(ISBLANK(A7),"""",GOOGLETRANSLATE(A7,""en"",""fr""))"),"")</f>
        <v/>
      </c>
    </row>
    <row r="8" spans="1:2">
      <c r="A8" s="3" t="s">
        <v>718</v>
      </c>
      <c r="B8" s="3" t="str">
        <f ca="1">IFERROR(__xludf.DUMMYFUNCTION("IF(ISBLANK(A8),"""",GOOGLETRANSLATE(A8,""en"",""fr""))"),"Conduire le changement dans le secteur automobile mondial")</f>
        <v>Conduire le changement dans le secteur automobile mondial</v>
      </c>
    </row>
    <row r="9" spans="1:2">
      <c r="A9" s="3" t="s">
        <v>719</v>
      </c>
      <c r="B9" s="3" t="str">
        <f ca="1">IFERROR(__xludf.DUMMYFUNCTION("IF(ISBLANK(A9),"""",GOOGLETRANSLATE(A9,""en"",""fr""))"),"Nos technologies de pointe aident les constructeurs automobiles mondiaux, les captives automobiles et les sociétés financières à prospérer, en s'appuyant sur plus de 40 ans d'expertise en matière de montage de prêts, de gestion de contrats et de solutions"&amp;" de vente au détail numériques basées sur l'IA, adaptées au secteur automobile.")</f>
        <v>Nos technologies de pointe aident les constructeurs automobiles mondiaux, les captives automobiles et les sociétés financières à prospérer, en s'appuyant sur plus de 40 ans d'expertise en matière de montage de prêts, de gestion de contrats et de solutions de vente au détail numériques basées sur l'IA, adaptées au secteur automobile.</v>
      </c>
    </row>
    <row r="10" spans="1:2">
      <c r="A10" s="3" t="s">
        <v>720</v>
      </c>
      <c r="B10" s="3" t="str">
        <f ca="1">IFERROR(__xludf.DUMMYFUNCTION("IF(ISBLANK(A10),"""",GOOGLETRANSLATE(A10,""en"",""fr""))"),"Les leaders de l'industrie")</f>
        <v>Les leaders de l'industrie</v>
      </c>
    </row>
    <row r="11" spans="1:2">
      <c r="A11" s="3" t="s">
        <v>721</v>
      </c>
      <c r="B11" s="3" t="str">
        <f ca="1">IFERROR(__xludf.DUMMYFUNCTION("IF(ISBLANK(A11),"""",GOOGLETRANSLATE(A11,""en"",""fr""))"),"NETSOL a réalisé des investissements importants pour comprendre l’évolution des exigences de l’industrie automobile mondiale.")</f>
        <v>NETSOL a réalisé des investissements importants pour comprendre l’évolution des exigences de l’industrie automobile mondiale.</v>
      </c>
    </row>
    <row r="12" spans="1:2">
      <c r="A12" s="3" t="s">
        <v>722</v>
      </c>
      <c r="B12" s="3" t="str">
        <f ca="1">IFERROR(__xludf.DUMMYFUNCTION("IF(ISBLANK(A12),"""",GOOGLETRANSLATE(A12,""en"",""fr""))"),"Des solutions transparentes")</f>
        <v>Des solutions transparentes</v>
      </c>
    </row>
    <row r="13" spans="1:2">
      <c r="A13" s="3" t="s">
        <v>723</v>
      </c>
      <c r="B13" s="3" t="str">
        <f ca="1">IFERROR(__xludf.DUMMYFUNCTION("IF(ISBLANK(A13),"""",GOOGLETRANSLATE(A13,""en"",""fr""))"),"Nous permettons aux prêteurs, aux concessionnaires et aux emprunteurs de naviguer en toute transparence dans le parcours de financement et de vente au détail numérique.")</f>
        <v>Nous permettons aux prêteurs, aux concessionnaires et aux emprunteurs de naviguer en toute transparence dans le parcours de financement et de vente au détail numérique.</v>
      </c>
    </row>
    <row r="14" spans="1:2">
      <c r="A14" s="3" t="s">
        <v>724</v>
      </c>
      <c r="B14" s="3" t="str">
        <f ca="1">IFERROR(__xludf.DUMMYFUNCTION("IF(ISBLANK(A14),"""",GOOGLETRANSLATE(A14,""en"",""fr""))"),"Opérations pilotées par l'IA")</f>
        <v>Opérations pilotées par l'IA</v>
      </c>
    </row>
    <row r="15" spans="1:2">
      <c r="A15" s="3" t="s">
        <v>725</v>
      </c>
      <c r="B15" s="3" t="str">
        <f ca="1">IFERROR(__xludf.DUMMYFUNCTION("IF(ISBLANK(A15),"""",GOOGLETRANSLATE(A15,""en"",""fr""))"),"Nos solutions basées sur l'IA alimentent l'industrie automobile avec des analyses robustes, des capacités d'intégration transparentes et des fonctionnalités d'automatisation avancées.")</f>
        <v>Nos solutions basées sur l'IA alimentent l'industrie automobile avec des analyses robustes, des capacités d'intégration transparentes et des fonctionnalités d'automatisation avancées.</v>
      </c>
    </row>
    <row r="16" spans="1:2">
      <c r="A16" s="3" t="s">
        <v>726</v>
      </c>
      <c r="B16" s="3" t="str">
        <f ca="1">IFERROR(__xludf.DUMMYFUNCTION("IF(ISBLANK(A16),"""",GOOGLETRANSLATE(A16,""en"",""fr""))"),"Produits de bout en bout")</f>
        <v>Produits de bout en bout</v>
      </c>
    </row>
    <row r="17" spans="1:2">
      <c r="A17" s="3" t="s">
        <v>727</v>
      </c>
      <c r="B17" s="3" t="str">
        <f ca="1">IFERROR(__xludf.DUMMYFUNCTION("IF(ISBLANK(A17),"""",GOOGLETRANSLATE(A17,""en"",""fr""))"),"Nous proposons des logiciels de financement automobile complets et performants, ainsi que des solutions API-first faciles à intégrer pour le financement automobile, le tout associé à une expérience de vente au détail numérique fluide.")</f>
        <v>Nous proposons des logiciels de financement automobile complets et performants, ainsi que des solutions API-first faciles à intégrer pour le financement automobile, le tout associé à une expérience de vente au détail numérique fluide.</v>
      </c>
    </row>
    <row r="18" spans="1:2">
      <c r="A18" s="3" t="s">
        <v>78</v>
      </c>
      <c r="B18" s="3" t="str">
        <f ca="1">IFERROR(__xludf.DUMMYFUNCTION("IF(ISBLANK(A18),"""",GOOGLETRANSLATE(A18,""en"",""fr""))"),"Plus de 500 milliards de dollars")</f>
        <v>Plus de 500 milliards de dollars</v>
      </c>
    </row>
    <row r="19" spans="1:2">
      <c r="A19" s="3" t="s">
        <v>79</v>
      </c>
      <c r="B19" s="3" t="str">
        <f ca="1">IFERROR(__xludf.DUMMYFUNCTION("IF(ISBLANK(A19),"""",GOOGLETRANSLATE(A19,""en"",""fr""))"),"Actifs gérés à l'échelle mondiale")</f>
        <v>Actifs gérés à l'échelle mondiale</v>
      </c>
    </row>
    <row r="20" spans="1:2">
      <c r="A20" s="3" t="s">
        <v>271</v>
      </c>
      <c r="B20" s="3" t="str">
        <f ca="1">IFERROR(__xludf.DUMMYFUNCTION("IF(ISBLANK(A20),"""",GOOGLETRANSLATE(A20,""en"",""fr""))"),"350+")</f>
        <v>350+</v>
      </c>
    </row>
    <row r="21" spans="1:2">
      <c r="A21" s="3" t="s">
        <v>77</v>
      </c>
      <c r="B21" s="3" t="str">
        <f ca="1">IFERROR(__xludf.DUMMYFUNCTION("IF(ISBLANK(A21),"""",GOOGLETRANSLATE(A21,""en"",""fr""))"),"Mises en œuvre réussies")</f>
        <v>Mises en œuvre réussies</v>
      </c>
    </row>
    <row r="22" spans="1:2">
      <c r="A22" s="3" t="s">
        <v>74</v>
      </c>
      <c r="B22" s="3" t="str">
        <f ca="1">IFERROR(__xludf.DUMMYFUNCTION("IF(ISBLANK(A22),"""",GOOGLETRANSLATE(A22,""en"",""fr""))"),"Plus de 200")</f>
        <v>Plus de 200</v>
      </c>
    </row>
    <row r="23" spans="1:2">
      <c r="A23" s="3" t="s">
        <v>75</v>
      </c>
      <c r="B23" s="3" t="str">
        <f ca="1">IFERROR(__xludf.DUMMYFUNCTION("IF(ISBLANK(A23),"""",GOOGLETRANSLATE(A23,""en"",""fr""))"),"Clients du monde entier")</f>
        <v>Clients du monde entier</v>
      </c>
    </row>
    <row r="24" spans="1:2">
      <c r="A24" s="3" t="s">
        <v>272</v>
      </c>
      <c r="B24" s="3" t="str">
        <f ca="1">IFERROR(__xludf.DUMMYFUNCTION("IF(ISBLANK(A24),"""",GOOGLETRANSLATE(A24,""en"",""fr""))"),"30+")</f>
        <v>30+</v>
      </c>
    </row>
    <row r="25" spans="1:2">
      <c r="A25" s="3" t="s">
        <v>273</v>
      </c>
      <c r="B25" s="3" t="str">
        <f ca="1">IFERROR(__xludf.DUMMYFUNCTION("IF(ISBLANK(A25),"""",GOOGLETRANSLATE(A25,""en"",""fr""))"),"Pays desservis")</f>
        <v>Pays desservis</v>
      </c>
    </row>
    <row r="26" spans="1:2">
      <c r="A26" s="3" t="s">
        <v>274</v>
      </c>
      <c r="B26" s="3" t="str">
        <f ca="1">IFERROR(__xludf.DUMMYFUNCTION("IF(ISBLANK(A26),"""",GOOGLETRANSLATE(A26,""en"",""fr""))"),"Contrôle de bout en bout et intelligence intégrée")</f>
        <v>Contrôle de bout en bout et intelligence intégrée</v>
      </c>
    </row>
    <row r="27" spans="1:2">
      <c r="A27" s="3" t="s">
        <v>10</v>
      </c>
      <c r="B27" s="3" t="str">
        <f ca="1">IFERROR(__xludf.DUMMYFUNCTION("IF(ISBLANK(A27),"""",GOOGLETRANSLATE(A27,""en"",""fr""))"),"OEM")</f>
        <v>OEM</v>
      </c>
    </row>
    <row r="28" spans="1:2">
      <c r="A28" s="3" t="s">
        <v>728</v>
      </c>
      <c r="B28" s="3" t="str">
        <f ca="1">IFERROR(__xludf.DUMMYFUNCTION("IF(ISBLANK(A28),"""",GOOGLETRANSLATE(A28,""en"",""fr""))"),"Notre logiciel innovant de leasing d'équipements est conçu pour offrir aux équipementiers des processus de financement simplifiés, une expérience client optimisée et une efficacité inégalée. Du financement et du leasing de bout en bout à la vente en ligne"&amp;", nos solutions s'intègrent parfaitement à vos opérations et vous offrent de nouvelles perspectives de croissance et de rentabilité.")</f>
        <v>Notre logiciel innovant de leasing d'équipements est conçu pour offrir aux équipementiers des processus de financement simplifiés, une expérience client optimisée et une efficacité inégalée. Du financement et du leasing de bout en bout à la vente en ligne, nos solutions s'intègrent parfaitement à vos opérations et vous offrent de nouvelles perspectives de croissance et de rentabilité.</v>
      </c>
    </row>
    <row r="29" spans="1:2">
      <c r="B29" s="3" t="str">
        <f ca="1">IFERROR(__xludf.DUMMYFUNCTION("IF(ISBLANK(A29),"""",GOOGLETRANSLATE(A29,""en"",""fr""))"),"")</f>
        <v/>
      </c>
    </row>
    <row r="30" spans="1:2">
      <c r="A30" s="3" t="s">
        <v>729</v>
      </c>
      <c r="B30" s="3" t="str">
        <f ca="1">IFERROR(__xludf.DUMMYFUNCTION("IF(ISBLANK(A30),"""",GOOGLETRANSLATE(A30,""en"",""fr""))"),"Financement de gros montants")</f>
        <v>Financement de gros montants</v>
      </c>
    </row>
    <row r="31" spans="1:2">
      <c r="A31" s="3" t="s">
        <v>347</v>
      </c>
      <c r="B31" s="3" t="str">
        <f ca="1">IFERROR(__xludf.DUMMYFUNCTION("IF(ISBLANK(A31),"""",GOOGLETRANSLATE(A31,""en"",""fr""))"),"Offrez aux concessionnaires la possibilité de demander une limite de crédit pour différentes catégories d'actifs, et de suivre les variations et les révisions des limites de crédit définies. Autorisez des augmentations temporaires des limites de crédit en"&amp;" fonction des campagnes menées par les concessionnaires ; les limites normales étant automatiquement rétablies à la fin de ces périodes temporaires.")</f>
        <v>Offrez aux concessionnaires la possibilité de demander une limite de crédit pour différentes catégories d'actifs, et de suivre les variations et les révisions des limites de crédit définies. Autorisez des augmentations temporaires des limites de crédit en fonction des campagnes menées par les concessionnaires ; les limites normales étant automatiquement rétablies à la fin de ces périodes temporaires.</v>
      </c>
    </row>
    <row r="32" spans="1:2">
      <c r="B32" s="3" t="str">
        <f ca="1">IFERROR(__xludf.DUMMYFUNCTION("IF(ISBLANK(A32),"""",GOOGLETRANSLATE(A32,""en"",""fr""))"),"")</f>
        <v/>
      </c>
    </row>
    <row r="33" spans="1:2">
      <c r="A33" s="3" t="s">
        <v>730</v>
      </c>
      <c r="B33" s="3" t="str">
        <f ca="1">IFERROR(__xludf.DUMMYFUNCTION("IF(ISBLANK(A33),"""",GOOGLETRANSLATE(A33,""en"",""fr""))"),"Prêts commerciaux et à la consommation")</f>
        <v>Prêts commerciaux et à la consommation</v>
      </c>
    </row>
    <row r="34" spans="1:2">
      <c r="A34" s="3" t="s">
        <v>728</v>
      </c>
      <c r="B34" s="3" t="str">
        <f ca="1">IFERROR(__xludf.DUMMYFUNCTION("IF(ISBLANK(A34),"""",GOOGLETRANSLATE(A34,""en"",""fr""))"),"Notre logiciel innovant de leasing d'équipements est conçu pour offrir aux équipementiers des processus de financement simplifiés, une expérience client optimisée et une efficacité inégalée. Du financement et du leasing de bout en bout à la vente en ligne"&amp;", nos solutions s'intègrent parfaitement à vos opérations et vous offrent de nouvelles perspectives de croissance et de rentabilité.")</f>
        <v>Notre logiciel innovant de leasing d'équipements est conçu pour offrir aux équipementiers des processus de financement simplifiés, une expérience client optimisée et une efficacité inégalée. Du financement et du leasing de bout en bout à la vente en ligne, nos solutions s'intègrent parfaitement à vos opérations et vous offrent de nouvelles perspectives de croissance et de rentabilité.</v>
      </c>
    </row>
    <row r="35" spans="1:2">
      <c r="B35" s="3" t="str">
        <f ca="1">IFERROR(__xludf.DUMMYFUNCTION("IF(ISBLANK(A35),"""",GOOGLETRANSLATE(A35,""en"",""fr""))"),"")</f>
        <v/>
      </c>
    </row>
    <row r="36" spans="1:2">
      <c r="A36" s="3" t="s">
        <v>731</v>
      </c>
      <c r="B36" s="3" t="str">
        <f ca="1">IFERROR(__xludf.DUMMYFUNCTION("IF(ISBLANK(A36),"""",GOOGLETRANSLATE(A36,""en"",""fr""))"),"SCI Lease Corp améliore ses processus de gestion des baux avec NETSOL")</f>
        <v>SCI Lease Corp améliore ses processus de gestion des baux avec NETSOL</v>
      </c>
    </row>
    <row r="37" spans="1:2">
      <c r="A37" s="3" t="s">
        <v>732</v>
      </c>
      <c r="B37" s="3" t="str">
        <f ca="1">IFERROR(__xludf.DUMMYFUNCTION("IF(ISBLANK(A37),"""",GOOGLETRANSLATE(A37,""en"",""fr""))"),"SCI Lease Corp a reconnu le succès de NETSOL sur d'autres marchés et nous sommes convaincus que leurs plateformes s'inscrivent dans la volonté de SCI Lease Corp d'apporter des technologies et des services innovants au marché du leasing. La collaboration a"&amp;"vec NETSOL améliorera nos processus de gestion des contrats de location, nous permettant de mieux répondre aux attentes de nos clients et de bénéficier d'une marge de manœuvre supplémentaire pour développer notre activité de constructeur automobile.")</f>
        <v>SCI Lease Corp a reconnu le succès de NETSOL sur d'autres marchés et nous sommes convaincus que leurs plateformes s'inscrivent dans la volonté de SCI Lease Corp d'apporter des technologies et des services innovants au marché du leasing. La collaboration avec NETSOL améliorera nos processus de gestion des contrats de location, nous permettant de mieux répondre aux attentes de nos clients et de bénéficier d'une marge de manœuvre supplémentaire pour développer notre activité de constructeur automobile.</v>
      </c>
    </row>
    <row r="38" spans="1:2">
      <c r="A38" s="3" t="s">
        <v>733</v>
      </c>
      <c r="B38" s="3" t="str">
        <f ca="1">IFERROR(__xludf.DUMMYFUNCTION("IF(ISBLANK(A38),"""",GOOGLETRANSLATE(A38,""en"",""fr""))"),"Président et chef de la direction de SCI Lease Corp")</f>
        <v>Président et chef de la direction de SCI Lease Corp</v>
      </c>
    </row>
    <row r="39" spans="1:2">
      <c r="A39" s="3" t="s">
        <v>734</v>
      </c>
      <c r="B39" s="3" t="str">
        <f ca="1">IFERROR(__xludf.DUMMYFUNCTION("IF(ISBLANK(A39),"""",GOOGLETRANSLATE(A39,""en"",""fr""))"),"Bénéficiez d'une innovation accélérée pour vos opérations automobiles")</f>
        <v>Bénéficiez d'une innovation accélérée pour vos opérations automobiles</v>
      </c>
    </row>
    <row r="40" spans="1:2">
      <c r="A40" s="3" t="s">
        <v>735</v>
      </c>
      <c r="B40" s="3" t="str">
        <f ca="1">IFERROR(__xludf.DUMMYFUNCTION("IF(ISBLANK(A40),"""",GOOGLETRANSLATE(A40,""en"",""fr""))"),"Découvrez comment notre logiciel de financement et de leasing automobile permet au secteur mondial du financement et de la location automobile de réduire les dépenses opérationnelles, d'améliorer l'évaluation des risques, d'accélérer les délais de traitem"&amp;"ent et de réponse et d'atteindre un plus large éventail de clients.")</f>
        <v>Découvrez comment notre logiciel de financement et de leasing automobile permet au secteur mondial du financement et de la location automobile de réduire les dépenses opérationnelles, d'améliorer l'évaluation des risques, d'accélérer les délais de traitement et de réponse et d'atteindre un plus large éventail de clients.</v>
      </c>
    </row>
    <row r="41" spans="1:2">
      <c r="B41" s="3" t="str">
        <f ca="1">IFERROR(__xludf.DUMMYFUNCTION("IF(ISBLANK(A41),"""",GOOGLETRANSLATE(A41,""en"",""fr""))"),"")</f>
        <v/>
      </c>
    </row>
    <row r="42" spans="1:2">
      <c r="A42" s="3" t="s">
        <v>94</v>
      </c>
      <c r="B42" s="3" t="str">
        <f ca="1">IFERROR(__xludf.DUMMYFUNCTION("IF(ISBLANK(A42),"""",GOOGLETRANSLATE(A42,""en"",""fr""))"),"Lectures et idées en vedette")</f>
        <v>Lectures et idées en vedette</v>
      </c>
    </row>
    <row r="43" spans="1:2">
      <c r="A43" s="10" t="s">
        <v>95</v>
      </c>
      <c r="B43" s="3" t="str">
        <f ca="1">IFERROR(__xludf.DUMMYFUNCTION("IF(ISBLANK(A43),"""",GOOGLETRANSLATE(A43,""en"",""fr""))"),"Restez informé des dernières actualités de NETSOL. Réflexions stratégiques, mises à jour produits, perspectives sectorielles et actualités de l'entreprise, tout est réuni au même endroit.")</f>
        <v>Restez informé des dernières actualités de NETSOL. Réflexions stratégiques, mises à jour produits, perspectives sectorielles et actualités de l'entreprise, tout est réuni au même endroit.</v>
      </c>
    </row>
    <row r="44" spans="1:2">
      <c r="A44" s="3" t="s">
        <v>96</v>
      </c>
      <c r="B44" s="3" t="str">
        <f ca="1">IFERROR(__xludf.DUMMYFUNCTION("IF(ISBLANK(A44),"""",GOOGLETRANSLATE(A44,""en"",""fr""))"),"Blog")</f>
        <v>Blog</v>
      </c>
    </row>
    <row r="45" spans="1:2">
      <c r="A45" s="3" t="s">
        <v>97</v>
      </c>
      <c r="B45" s="3" t="str">
        <f ca="1">IFERROR(__xludf.DUMMYFUNCTION("IF(ISBLANK(A45),"""",GOOGLETRANSLATE(A45,""en"",""fr""))"),"Au-delà du DMS : pourquoi l’avenir du commerce automobile repose sur les API")</f>
        <v>Au-delà du DMS : pourquoi l’avenir du commerce automobile repose sur les API</v>
      </c>
    </row>
    <row r="46" spans="1:2">
      <c r="A46" s="3" t="s">
        <v>23</v>
      </c>
      <c r="B46" s="3" t="str">
        <f ca="1">IFERROR(__xludf.DUMMYFUNCTION("IF(ISBLANK(A46),"""",GOOGLETRANSLATE(A46,""en"",""fr""))"),"Apprendre encore plus")</f>
        <v>Apprendre encore plus</v>
      </c>
    </row>
    <row r="47" spans="1:2">
      <c r="B47" s="3" t="str">
        <f ca="1">IFERROR(__xludf.DUMMYFUNCTION("IF(ISBLANK(A47),"""",GOOGLETRANSLATE(A47,""en"",""fr""))"),"")</f>
        <v/>
      </c>
    </row>
    <row r="48" spans="1:2">
      <c r="A48" s="3" t="s">
        <v>98</v>
      </c>
      <c r="B48" s="3" t="str">
        <f ca="1">IFERROR(__xludf.DUMMYFUNCTION("IF(ISBLANK(A48),"""",GOOGLETRANSLATE(A48,""en"",""fr""))"),"NETSOL est présent à la conférence et aux prix GlobalData Automotive Europe 2025.")</f>
        <v>NETSOL est présent à la conférence et aux prix GlobalData Automotive Europe 2025.</v>
      </c>
    </row>
    <row r="49" spans="1:2">
      <c r="B49" s="3" t="str">
        <f ca="1">IFERROR(__xludf.DUMMYFUNCTION("IF(ISBLANK(A49),"""",GOOGLETRANSLATE(A49,""en"",""fr""))"),"")</f>
        <v/>
      </c>
    </row>
    <row r="50" spans="1:2">
      <c r="B50" s="3" t="str">
        <f ca="1">IFERROR(__xludf.DUMMYFUNCTION("IF(ISBLANK(A50),"""",GOOGLETRANSLATE(A50,""en"",""fr""))"),"")</f>
        <v/>
      </c>
    </row>
    <row r="51" spans="1:2">
      <c r="A51" s="3" t="s">
        <v>99</v>
      </c>
      <c r="B51" s="3" t="str">
        <f ca="1">IFERROR(__xludf.DUMMYFUNCTION("IF(ISBLANK(A51),"""",GOOGLETRANSLATE(A51,""en"",""fr""))"),"NETSOL participe au 25e Sommet annuel du financement automobile : Piloter l'avenir du financement automobile")</f>
        <v>NETSOL participe au 25e Sommet annuel du financement automobile : Piloter l'avenir du financement automobile</v>
      </c>
    </row>
    <row r="52" spans="1:2">
      <c r="B52" s="3" t="str">
        <f ca="1">IFERROR(__xludf.DUMMYFUNCTION("IF(ISBLANK(A52),"""",GOOGLETRANSLATE(A52,""en"",""fr""))"),"")</f>
        <v/>
      </c>
    </row>
    <row r="53" spans="1:2">
      <c r="B53" s="3" t="str">
        <f ca="1">IFERROR(__xludf.DUMMYFUNCTION("IF(ISBLANK(A53),"""",GOOGLETRANSLATE(A53,""en"",""fr""))"),"")</f>
        <v/>
      </c>
    </row>
    <row r="54" spans="1:2">
      <c r="A54" s="3" t="s">
        <v>100</v>
      </c>
      <c r="B54" s="3" t="str">
        <f ca="1">IFERROR(__xludf.DUMMYFUNCTION("IF(ISBLANK(A54),"""",GOOGLETRANSLATE(A54,""en"",""fr""))"),"NETSOL est présent à Digital Dealer 2025 : façonner l’avenir de la vente automobile")</f>
        <v>NETSOL est présent à Digital Dealer 2025 : façonner l’avenir de la vente automobile</v>
      </c>
    </row>
    <row r="55" spans="1:2">
      <c r="B55" s="3" t="str">
        <f ca="1">IFERROR(__xludf.DUMMYFUNCTION("IF(ISBLANK(A55),"""",GOOGLETRANSLATE(A55,""en"",""fr""))"),"")</f>
        <v/>
      </c>
    </row>
    <row r="56" spans="1:2">
      <c r="B56" s="3" t="str">
        <f ca="1">IFERROR(__xludf.DUMMYFUNCTION("IF(ISBLANK(A56),"""",GOOGLETRANSLATE(A56,""en"",""fr""))"),"")</f>
        <v/>
      </c>
    </row>
    <row r="57" spans="1:2">
      <c r="A57" s="6" t="s">
        <v>101</v>
      </c>
      <c r="B57" s="3" t="str">
        <f ca="1">IFERROR(__xludf.DUMMYFUNCTION("IF(ISBLANK(A57),"""",GOOGLETRANSLATE(A57,""en"",""fr""))"),"L'IA dans le secteur des services financiers et de l'investissement : révolutionner la gestion des risques")</f>
        <v>L'IA dans le secteur des services financiers et de l'investissement : révolutionner la gestion des risques</v>
      </c>
    </row>
    <row r="58" spans="1:2">
      <c r="B58" s="3" t="str">
        <f ca="1">IFERROR(__xludf.DUMMYFUNCTION("IF(ISBLANK(A58),"""",GOOGLETRANSLATE(A58,""en"",""fr""))"),"")</f>
        <v/>
      </c>
    </row>
    <row r="59" spans="1:2">
      <c r="B59" s="3" t="str">
        <f ca="1">IFERROR(__xludf.DUMMYFUNCTION("IF(ISBLANK(A59),"""",GOOGLETRANSLATE(A59,""en"",""fr""))"),"")</f>
        <v/>
      </c>
    </row>
    <row r="60" spans="1:2">
      <c r="A60" s="3" t="s">
        <v>102</v>
      </c>
      <c r="B60" s="3" t="str">
        <f ca="1">IFERROR(__xludf.DUMMYFUNCTION("IF(ISBLANK(A60),"""",GOOGLETRANSLATE(A60,""en"",""fr""))"),"L'importance de la personnalisation du service client : adapter la gestion des paiements et des litiges aux besoins des clients")</f>
        <v>L'importance de la personnalisation du service client : adapter la gestion des paiements et des litiges aux besoins des clients</v>
      </c>
    </row>
    <row r="61" spans="1:2">
      <c r="B61" s="3" t="str">
        <f ca="1">IFERROR(__xludf.DUMMYFUNCTION("IF(ISBLANK(A61),"""",GOOGLETRANSLATE(A61,""en"",""fr""))"),"")</f>
        <v/>
      </c>
    </row>
    <row r="62" spans="1:2">
      <c r="B62" s="3" t="str">
        <f ca="1">IFERROR(__xludf.DUMMYFUNCTION("IF(ISBLANK(A62),"""",GOOGLETRANSLATE(A62,""en"",""fr""))"),"")</f>
        <v/>
      </c>
    </row>
    <row r="63" spans="1:2">
      <c r="A63" s="3" t="s">
        <v>103</v>
      </c>
      <c r="B63" s="3" t="str">
        <f ca="1">IFERROR(__xludf.DUMMYFUNCTION("IF(ISBLANK(A63),"""",GOOGLETRANSLATE(A63,""en"",""fr""))"),"Le véritable coût des systèmes déconnectés dans le commerce de détail automobile")</f>
        <v>Le véritable coût des systèmes déconnectés dans le commerce de détail automobile</v>
      </c>
    </row>
    <row r="64" spans="1:2">
      <c r="B64" s="3" t="str">
        <f ca="1">IFERROR(__xludf.DUMMYFUNCTION("IF(ISBLANK(A64),"""",GOOGLETRANSLATE(A64,""en"",""fr""))"),"")</f>
        <v/>
      </c>
    </row>
    <row r="65" spans="1:2">
      <c r="B65" s="3" t="str">
        <f ca="1">IFERROR(__xludf.DUMMYFUNCTION("IF(ISBLANK(A65),"""",GOOGLETRANSLATE(A65,""en"",""fr""))"),"")</f>
        <v/>
      </c>
    </row>
    <row r="66" spans="1:2">
      <c r="A66" s="3" t="s">
        <v>104</v>
      </c>
      <c r="B66" s="3" t="str">
        <f ca="1">IFERROR(__xludf.DUMMYFUNCTION("IF(ISBLANK(A66),"""",GOOGLETRANSLATE(A66,""en"",""fr""))"),"Captive du futur : Comment la technologie redéfinit les opérations financières des captives - Points clés du webinaire de l'AFSA")</f>
        <v>Captive du futur : Comment la technologie redéfinit les opérations financières des captives - Points clés du webinaire de l'AFSA</v>
      </c>
    </row>
    <row r="67" spans="1:2">
      <c r="B67" s="3" t="str">
        <f ca="1">IFERROR(__xludf.DUMMYFUNCTION("IF(ISBLANK(A67),"""",GOOGLETRANSLATE(A67,""en"",""fr""))"),"")</f>
        <v/>
      </c>
    </row>
    <row r="68" spans="1:2">
      <c r="B68" s="3" t="str">
        <f ca="1">IFERROR(__xludf.DUMMYFUNCTION("IF(ISBLANK(A68),"""",GOOGLETRANSLATE(A68,""en"",""fr""))"),"")</f>
        <v/>
      </c>
    </row>
    <row r="69" spans="1:2">
      <c r="A69" s="3" t="s">
        <v>105</v>
      </c>
      <c r="B69" s="3" t="str">
        <f ca="1">IFERROR(__xludf.DUMMYFUNCTION("IF(ISBLANK(A69),"""",GOOGLETRANSLATE(A69,""en"",""fr""))"),"Lutte contre la fraude dans le secteur financier de gros : exploiter la technologie pour une détection précoce et une atténuation des risques")</f>
        <v>Lutte contre la fraude dans le secteur financier de gros : exploiter la technologie pour une détection précoce et une atténuation des risques</v>
      </c>
    </row>
    <row r="70" spans="1:2">
      <c r="B70" s="3" t="str">
        <f ca="1">IFERROR(__xludf.DUMMYFUNCTION("IF(ISBLANK(A70),"""",GOOGLETRANSLATE(A70,""en"",""fr""))"),"")</f>
        <v/>
      </c>
    </row>
    <row r="71" spans="1:2">
      <c r="A71" s="3" t="s">
        <v>108</v>
      </c>
      <c r="B71" s="3" t="str">
        <f ca="1">IFERROR(__xludf.DUMMYFUNCTION("IF(ISBLANK(A71),"""",GOOGLETRANSLATE(A71,""en"",""fr""))"),"Abonnez-vous à notre newsletter pour recevoir les dernières nouvelles dans votre boîte mail.")</f>
        <v>Abonnez-vous à notre newsletter pour recevoir les dernières nouvelles dans votre boîte mail.</v>
      </c>
    </row>
    <row r="72" spans="1:2">
      <c r="A72" s="3" t="s">
        <v>109</v>
      </c>
      <c r="B72" s="3" t="str">
        <f ca="1">IFERROR(__xludf.DUMMYFUNCTION("IF(ISBLANK(A72),"""",GOOGLETRANSLATE(A72,""en"",""fr""))"),"abc@exemple.com")</f>
        <v>abc@exemple.com</v>
      </c>
    </row>
    <row r="73" spans="1:2">
      <c r="A73" s="3" t="s">
        <v>110</v>
      </c>
      <c r="B73" s="3" t="str">
        <f ca="1">IFERROR(__xludf.DUMMYFUNCTION("IF(ISBLANK(A73),"""",GOOGLETRANSLATE(A73,""en"",""fr""))"),"S'abonner ")</f>
        <v xml:space="preserve">S'abonner </v>
      </c>
    </row>
    <row r="74" spans="1:2">
      <c r="B74" s="3" t="str">
        <f ca="1">IFERROR(__xludf.DUMMYFUNCTION("IF(ISBLANK(A74),"""",GOOGLETRANSLATE(A74,""en"",""fr""))"),"")</f>
        <v/>
      </c>
    </row>
    <row r="75" spans="1:2">
      <c r="B75" s="3" t="str">
        <f ca="1">IFERROR(__xludf.DUMMYFUNCTION("IF(ISBLANK(A75),"""",GOOGLETRANSLATE(A75,""en"",""fr""))"),"")</f>
        <v/>
      </c>
    </row>
    <row r="76" spans="1:2">
      <c r="B76" s="3" t="str">
        <f ca="1">IFERROR(__xludf.DUMMYFUNCTION("IF(ISBLANK(A76),"""",GOOGLETRANSLATE(A76,""en"",""fr""))"),"")</f>
        <v/>
      </c>
    </row>
    <row r="77" spans="1:2">
      <c r="B77" s="3" t="str">
        <f ca="1">IFERROR(__xludf.DUMMYFUNCTION("IF(ISBLANK(A77),"""",GOOGLETRANSLATE(A77,""en"",""fr""))"),"")</f>
        <v/>
      </c>
    </row>
    <row r="78" spans="1:2">
      <c r="B78" s="3" t="str">
        <f ca="1">IFERROR(__xludf.DUMMYFUNCTION("IF(ISBLANK(A78),"""",GOOGLETRANSLATE(A78,""en"",""fr""))"),"")</f>
        <v/>
      </c>
    </row>
    <row r="79" spans="1:2">
      <c r="B79" s="3" t="str">
        <f ca="1">IFERROR(__xludf.DUMMYFUNCTION("IF(ISBLANK(A79),"""",GOOGLETRANSLATE(A79,""en"",""fr""))"),"")</f>
        <v/>
      </c>
    </row>
    <row r="80" spans="1:2">
      <c r="B80" s="3" t="str">
        <f ca="1">IFERROR(__xludf.DUMMYFUNCTION("IF(ISBLANK(A80),"""",GOOGLETRANSLATE(A80,""en"",""fr""))"),"")</f>
        <v/>
      </c>
    </row>
    <row r="81" spans="2:2">
      <c r="B81" s="3" t="str">
        <f ca="1">IFERROR(__xludf.DUMMYFUNCTION("IF(ISBLANK(A81),"""",GOOGLETRANSLATE(A81,""en"",""fr""))"),"")</f>
        <v/>
      </c>
    </row>
    <row r="82" spans="2:2">
      <c r="B82" s="3" t="str">
        <f ca="1">IFERROR(__xludf.DUMMYFUNCTION("IF(ISBLANK(A82),"""",GOOGLETRANSLATE(A82,""en"",""fr""))"),"")</f>
        <v/>
      </c>
    </row>
    <row r="83" spans="2:2">
      <c r="B83" s="3" t="str">
        <f ca="1">IFERROR(__xludf.DUMMYFUNCTION("IF(ISBLANK(A83),"""",GOOGLETRANSLATE(A83,""en"",""fr""))"),"")</f>
        <v/>
      </c>
    </row>
    <row r="84" spans="2:2">
      <c r="B84" s="3" t="str">
        <f ca="1">IFERROR(__xludf.DUMMYFUNCTION("IF(ISBLANK(A84),"""",GOOGLETRANSLATE(A84,""en"",""fr""))"),"")</f>
        <v/>
      </c>
    </row>
    <row r="85" spans="2:2">
      <c r="B85" s="3" t="str">
        <f ca="1">IFERROR(__xludf.DUMMYFUNCTION("IF(ISBLANK(A85),"""",GOOGLETRANSLATE(A85,""en"",""fr""))"),"")</f>
        <v/>
      </c>
    </row>
    <row r="86" spans="2:2">
      <c r="B86" s="3" t="str">
        <f ca="1">IFERROR(__xludf.DUMMYFUNCTION("IF(ISBLANK(A86),"""",GOOGLETRANSLATE(A86,""en"",""fr""))"),"")</f>
        <v/>
      </c>
    </row>
    <row r="87" spans="2:2">
      <c r="B87" s="3" t="str">
        <f ca="1">IFERROR(__xludf.DUMMYFUNCTION("IF(ISBLANK(A87),"""",GOOGLETRANSLATE(A87,""en"",""fr""))"),"")</f>
        <v/>
      </c>
    </row>
    <row r="88" spans="2:2">
      <c r="B88" s="3" t="str">
        <f ca="1">IFERROR(__xludf.DUMMYFUNCTION("IF(ISBLANK(A88),"""",GOOGLETRANSLATE(A88,""en"",""fr""))"),"")</f>
        <v/>
      </c>
    </row>
    <row r="89" spans="2:2">
      <c r="B89" s="3" t="str">
        <f ca="1">IFERROR(__xludf.DUMMYFUNCTION("IF(ISBLANK(A89),"""",GOOGLETRANSLATE(A89,""en"",""fr""))"),"")</f>
        <v/>
      </c>
    </row>
    <row r="90" spans="2:2">
      <c r="B90" s="3" t="str">
        <f ca="1">IFERROR(__xludf.DUMMYFUNCTION("IF(ISBLANK(A90),"""",GOOGLETRANSLATE(A90,""en"",""fr""))"),"")</f>
        <v/>
      </c>
    </row>
    <row r="91" spans="2:2">
      <c r="B91" s="3" t="str">
        <f ca="1">IFERROR(__xludf.DUMMYFUNCTION("IF(ISBLANK(A91),"""",GOOGLETRANSLATE(A91,""en"",""fr""))"),"")</f>
        <v/>
      </c>
    </row>
    <row r="92" spans="2:2">
      <c r="B92" s="3" t="str">
        <f ca="1">IFERROR(__xludf.DUMMYFUNCTION("IF(ISBLANK(A92),"""",GOOGLETRANSLATE(A92,""en"",""fr""))"),"")</f>
        <v/>
      </c>
    </row>
    <row r="93" spans="2:2">
      <c r="B93" s="3" t="str">
        <f ca="1">IFERROR(__xludf.DUMMYFUNCTION("IF(ISBLANK(A93),"""",GOOGLETRANSLATE(A93,""en"",""fr""))"),"")</f>
        <v/>
      </c>
    </row>
    <row r="94" spans="2:2">
      <c r="B94" s="3" t="str">
        <f ca="1">IFERROR(__xludf.DUMMYFUNCTION("IF(ISBLANK(A94),"""",GOOGLETRANSLATE(A94,""en"",""fr""))"),"")</f>
        <v/>
      </c>
    </row>
    <row r="95" spans="2:2">
      <c r="B95" s="3" t="str">
        <f ca="1">IFERROR(__xludf.DUMMYFUNCTION("IF(ISBLANK(A95),"""",GOOGLETRANSLATE(A95,""en"",""fr""))"),"")</f>
        <v/>
      </c>
    </row>
    <row r="96" spans="2:2">
      <c r="B96" s="3" t="str">
        <f ca="1">IFERROR(__xludf.DUMMYFUNCTION("IF(ISBLANK(A96),"""",GOOGLETRANSLATE(A96,""en"",""fr""))"),"")</f>
        <v/>
      </c>
    </row>
    <row r="97" spans="2:2">
      <c r="B97" s="3" t="str">
        <f ca="1">IFERROR(__xludf.DUMMYFUNCTION("IF(ISBLANK(A97),"""",GOOGLETRANSLATE(A97,""en"",""fr""))"),"")</f>
        <v/>
      </c>
    </row>
    <row r="98" spans="2:2">
      <c r="B98" s="3" t="str">
        <f ca="1">IFERROR(__xludf.DUMMYFUNCTION("IF(ISBLANK(A98),"""",GOOGLETRANSLATE(A98,""en"",""fr""))"),"")</f>
        <v/>
      </c>
    </row>
    <row r="99" spans="2:2">
      <c r="B99" s="3" t="str">
        <f ca="1">IFERROR(__xludf.DUMMYFUNCTION("IF(ISBLANK(A99),"""",GOOGLETRANSLATE(A99,""en"",""fr""))"),"")</f>
        <v/>
      </c>
    </row>
    <row r="100" spans="2:2">
      <c r="B100" s="3" t="str">
        <f ca="1">IFERROR(__xludf.DUMMYFUNCTION("IF(ISBLANK(A100),"""",GOOGLETRANSLATE(A100,""en"",""fr""))"),"")</f>
        <v/>
      </c>
    </row>
    <row r="101" spans="2:2">
      <c r="B101" s="3" t="str">
        <f ca="1">IFERROR(__xludf.DUMMYFUNCTION("IF(ISBLANK(A101),"""",GOOGLETRANSLATE(A101,""en"",""fr""))"),"")</f>
        <v/>
      </c>
    </row>
    <row r="102" spans="2:2">
      <c r="B102" s="3" t="str">
        <f ca="1">IFERROR(__xludf.DUMMYFUNCTION("IF(ISBLANK(A102),"""",GOOGLETRANSLATE(A102,""en"",""fr""))"),"")</f>
        <v/>
      </c>
    </row>
    <row r="103" spans="2:2">
      <c r="B103" s="3" t="str">
        <f ca="1">IFERROR(__xludf.DUMMYFUNCTION("IF(ISBLANK(A103),"""",GOOGLETRANSLATE(A103,""en"",""fr""))"),"")</f>
        <v/>
      </c>
    </row>
    <row r="104" spans="2:2">
      <c r="B104" s="3" t="str">
        <f ca="1">IFERROR(__xludf.DUMMYFUNCTION("IF(ISBLANK(A104),"""",GOOGLETRANSLATE(A104,""en"",""fr""))"),"")</f>
        <v/>
      </c>
    </row>
    <row r="105" spans="2:2">
      <c r="B105" s="3" t="str">
        <f ca="1">IFERROR(__xludf.DUMMYFUNCTION("IF(ISBLANK(A105),"""",GOOGLETRANSLATE(A105,""en"",""fr""))"),"")</f>
        <v/>
      </c>
    </row>
    <row r="106" spans="2:2">
      <c r="B106" s="3" t="str">
        <f ca="1">IFERROR(__xludf.DUMMYFUNCTION("IF(ISBLANK(A106),"""",GOOGLETRANSLATE(A106,""en"",""fr""))"),"")</f>
        <v/>
      </c>
    </row>
    <row r="107" spans="2:2">
      <c r="B107" s="3" t="str">
        <f ca="1">IFERROR(__xludf.DUMMYFUNCTION("IF(ISBLANK(A107),"""",GOOGLETRANSLATE(A107,""en"",""fr""))"),"")</f>
        <v/>
      </c>
    </row>
    <row r="108" spans="2:2">
      <c r="B108" s="3" t="str">
        <f ca="1">IFERROR(__xludf.DUMMYFUNCTION("IF(ISBLANK(A108),"""",GOOGLETRANSLATE(A108,""en"",""fr""))"),"")</f>
        <v/>
      </c>
    </row>
    <row r="109" spans="2:2">
      <c r="B109" s="3" t="str">
        <f ca="1">IFERROR(__xludf.DUMMYFUNCTION("IF(ISBLANK(A109),"""",GOOGLETRANSLATE(A109,""en"",""fr""))"),"")</f>
        <v/>
      </c>
    </row>
    <row r="110" spans="2:2">
      <c r="B110" s="3" t="str">
        <f ca="1">IFERROR(__xludf.DUMMYFUNCTION("IF(ISBLANK(A110),"""",GOOGLETRANSLATE(A110,""en"",""fr""))"),"")</f>
        <v/>
      </c>
    </row>
    <row r="111" spans="2:2">
      <c r="B111" s="3" t="str">
        <f ca="1">IFERROR(__xludf.DUMMYFUNCTION("IF(ISBLANK(A111),"""",GOOGLETRANSLATE(A111,""en"",""fr""))"),"")</f>
        <v/>
      </c>
    </row>
    <row r="112" spans="2:2">
      <c r="B112" s="3" t="str">
        <f ca="1">IFERROR(__xludf.DUMMYFUNCTION("IF(ISBLANK(A112),"""",GOOGLETRANSLATE(A112,""en"",""fr""))"),"")</f>
        <v/>
      </c>
    </row>
    <row r="113" spans="2:2">
      <c r="B113" s="3" t="str">
        <f ca="1">IFERROR(__xludf.DUMMYFUNCTION("IF(ISBLANK(A113),"""",GOOGLETRANSLATE(A113,""en"",""fr""))"),"")</f>
        <v/>
      </c>
    </row>
    <row r="114" spans="2:2">
      <c r="B114" s="3" t="str">
        <f ca="1">IFERROR(__xludf.DUMMYFUNCTION("IF(ISBLANK(A114),"""",GOOGLETRANSLATE(A114,""en"",""fr""))"),"")</f>
        <v/>
      </c>
    </row>
    <row r="115" spans="2:2">
      <c r="B115" s="3" t="str">
        <f ca="1">IFERROR(__xludf.DUMMYFUNCTION("IF(ISBLANK(A115),"""",GOOGLETRANSLATE(A115,""en"",""fr""))"),"")</f>
        <v/>
      </c>
    </row>
    <row r="116" spans="2:2">
      <c r="B116" s="3" t="str">
        <f ca="1">IFERROR(__xludf.DUMMYFUNCTION("IF(ISBLANK(A116),"""",GOOGLETRANSLATE(A116,""en"",""fr""))"),"")</f>
        <v/>
      </c>
    </row>
    <row r="117" spans="2:2">
      <c r="B117" s="3" t="str">
        <f ca="1">IFERROR(__xludf.DUMMYFUNCTION("IF(ISBLANK(A117),"""",GOOGLETRANSLATE(A117,""en"",""fr""))"),"")</f>
        <v/>
      </c>
    </row>
    <row r="118" spans="2:2">
      <c r="B118" s="3" t="str">
        <f ca="1">IFERROR(__xludf.DUMMYFUNCTION("IF(ISBLANK(A118),"""",GOOGLETRANSLATE(A118,""en"",""fr""))"),"")</f>
        <v/>
      </c>
    </row>
    <row r="119" spans="2:2">
      <c r="B119" s="3" t="str">
        <f ca="1">IFERROR(__xludf.DUMMYFUNCTION("IF(ISBLANK(A119),"""",GOOGLETRANSLATE(A119,""en"",""fr""))"),"")</f>
        <v/>
      </c>
    </row>
    <row r="120" spans="2:2">
      <c r="B120" s="3" t="str">
        <f ca="1">IFERROR(__xludf.DUMMYFUNCTION("IF(ISBLANK(A120),"""",GOOGLETRANSLATE(A120,""en"",""fr""))"),"")</f>
        <v/>
      </c>
    </row>
    <row r="121" spans="2:2">
      <c r="B121" s="3" t="str">
        <f ca="1">IFERROR(__xludf.DUMMYFUNCTION("IF(ISBLANK(A121),"""",GOOGLETRANSLATE(A121,""en"",""fr""))"),"")</f>
        <v/>
      </c>
    </row>
    <row r="122" spans="2:2">
      <c r="B122" s="3" t="str">
        <f ca="1">IFERROR(__xludf.DUMMYFUNCTION("IF(ISBLANK(A122),"""",GOOGLETRANSLATE(A122,""en"",""fr""))"),"")</f>
        <v/>
      </c>
    </row>
    <row r="123" spans="2:2">
      <c r="B123" s="3" t="str">
        <f ca="1">IFERROR(__xludf.DUMMYFUNCTION("IF(ISBLANK(A123),"""",GOOGLETRANSLATE(A123,""en"",""fr""))"),"")</f>
        <v/>
      </c>
    </row>
    <row r="124" spans="2:2">
      <c r="B124" s="3" t="str">
        <f ca="1">IFERROR(__xludf.DUMMYFUNCTION("IF(ISBLANK(A124),"""",GOOGLETRANSLATE(A124,""en"",""fr""))"),"")</f>
        <v/>
      </c>
    </row>
    <row r="125" spans="2:2">
      <c r="B125" s="3" t="str">
        <f ca="1">IFERROR(__xludf.DUMMYFUNCTION("IF(ISBLANK(A125),"""",GOOGLETRANSLATE(A125,""en"",""fr""))"),"")</f>
        <v/>
      </c>
    </row>
    <row r="126" spans="2:2">
      <c r="B126" s="3" t="str">
        <f ca="1">IFERROR(__xludf.DUMMYFUNCTION("IF(ISBLANK(A126),"""",GOOGLETRANSLATE(A126,""en"",""fr""))"),"")</f>
        <v/>
      </c>
    </row>
    <row r="127" spans="2:2">
      <c r="B127" s="3" t="str">
        <f ca="1">IFERROR(__xludf.DUMMYFUNCTION("IF(ISBLANK(A127),"""",GOOGLETRANSLATE(A127,""en"",""fr""))"),"")</f>
        <v/>
      </c>
    </row>
    <row r="128" spans="2:2">
      <c r="B128" s="3" t="str">
        <f ca="1">IFERROR(__xludf.DUMMYFUNCTION("IF(ISBLANK(A128),"""",GOOGLETRANSLATE(A128,""en"",""fr""))"),"")</f>
        <v/>
      </c>
    </row>
    <row r="129" spans="2:2">
      <c r="B129" s="3" t="str">
        <f ca="1">IFERROR(__xludf.DUMMYFUNCTION("IF(ISBLANK(A129),"""",GOOGLETRANSLATE(A129,""en"",""fr""))"),"")</f>
        <v/>
      </c>
    </row>
    <row r="130" spans="2:2">
      <c r="B130" s="3" t="str">
        <f ca="1">IFERROR(__xludf.DUMMYFUNCTION("IF(ISBLANK(A130),"""",GOOGLETRANSLATE(A130,""en"",""fr""))"),"")</f>
        <v/>
      </c>
    </row>
    <row r="131" spans="2:2">
      <c r="B131" s="3" t="str">
        <f ca="1">IFERROR(__xludf.DUMMYFUNCTION("IF(ISBLANK(A131),"""",GOOGLETRANSLATE(A131,""en"",""fr""))"),"")</f>
        <v/>
      </c>
    </row>
    <row r="132" spans="2:2">
      <c r="B132" s="3" t="str">
        <f ca="1">IFERROR(__xludf.DUMMYFUNCTION("IF(ISBLANK(A132),"""",GOOGLETRANSLATE(A132,""en"",""fr""))"),"")</f>
        <v/>
      </c>
    </row>
    <row r="133" spans="2:2">
      <c r="B133" s="3" t="str">
        <f ca="1">IFERROR(__xludf.DUMMYFUNCTION("IF(ISBLANK(A133),"""",GOOGLETRANSLATE(A133,""en"",""fr""))"),"")</f>
        <v/>
      </c>
    </row>
    <row r="134" spans="2:2">
      <c r="B134" s="3" t="str">
        <f ca="1">IFERROR(__xludf.DUMMYFUNCTION("IF(ISBLANK(A134),"""",GOOGLETRANSLATE(A134,""en"",""fr""))"),"")</f>
        <v/>
      </c>
    </row>
    <row r="135" spans="2:2">
      <c r="B135" s="3" t="str">
        <f ca="1">IFERROR(__xludf.DUMMYFUNCTION("IF(ISBLANK(A135),"""",GOOGLETRANSLATE(A135,""en"",""fr""))"),"")</f>
        <v/>
      </c>
    </row>
    <row r="136" spans="2:2">
      <c r="B136" s="3" t="str">
        <f ca="1">IFERROR(__xludf.DUMMYFUNCTION("IF(ISBLANK(A136),"""",GOOGLETRANSLATE(A136,""en"",""fr""))"),"")</f>
        <v/>
      </c>
    </row>
    <row r="137" spans="2:2">
      <c r="B137" s="3" t="str">
        <f ca="1">IFERROR(__xludf.DUMMYFUNCTION("IF(ISBLANK(A137),"""",GOOGLETRANSLATE(A137,""en"",""fr""))"),"")</f>
        <v/>
      </c>
    </row>
    <row r="138" spans="2:2">
      <c r="B138" s="3" t="str">
        <f ca="1">IFERROR(__xludf.DUMMYFUNCTION("IF(ISBLANK(A138),"""",GOOGLETRANSLATE(A138,""en"",""fr""))"),"")</f>
        <v/>
      </c>
    </row>
    <row r="139" spans="2:2">
      <c r="B139" s="3" t="str">
        <f ca="1">IFERROR(__xludf.DUMMYFUNCTION("IF(ISBLANK(A139),"""",GOOGLETRANSLATE(A139,""en"",""fr""))"),"")</f>
        <v/>
      </c>
    </row>
    <row r="140" spans="2:2">
      <c r="B140" s="3" t="str">
        <f ca="1">IFERROR(__xludf.DUMMYFUNCTION("IF(ISBLANK(A140),"""",GOOGLETRANSLATE(A140,""en"",""fr""))"),"")</f>
        <v/>
      </c>
    </row>
    <row r="141" spans="2:2">
      <c r="B141" s="3" t="str">
        <f ca="1">IFERROR(__xludf.DUMMYFUNCTION("IF(ISBLANK(A141),"""",GOOGLETRANSLATE(A141,""en"",""fr""))"),"")</f>
        <v/>
      </c>
    </row>
    <row r="142" spans="2:2">
      <c r="B142" s="3" t="str">
        <f ca="1">IFERROR(__xludf.DUMMYFUNCTION("IF(ISBLANK(A142),"""",GOOGLETRANSLATE(A142,""en"",""fr""))"),"")</f>
        <v/>
      </c>
    </row>
    <row r="143" spans="2:2">
      <c r="B143" s="3" t="str">
        <f ca="1">IFERROR(__xludf.DUMMYFUNCTION("IF(ISBLANK(A143),"""",GOOGLETRANSLATE(A143,""en"",""fr""))"),"")</f>
        <v/>
      </c>
    </row>
    <row r="144" spans="2:2">
      <c r="B144" s="3" t="str">
        <f ca="1">IFERROR(__xludf.DUMMYFUNCTION("IF(ISBLANK(A144),"""",GOOGLETRANSLATE(A144,""en"",""fr""))"),"")</f>
        <v/>
      </c>
    </row>
    <row r="145" spans="2:2">
      <c r="B145" s="3" t="str">
        <f ca="1">IFERROR(__xludf.DUMMYFUNCTION("IF(ISBLANK(A145),"""",GOOGLETRANSLATE(A145,""en"",""fr""))"),"")</f>
        <v/>
      </c>
    </row>
    <row r="146" spans="2:2">
      <c r="B146" s="3" t="str">
        <f ca="1">IFERROR(__xludf.DUMMYFUNCTION("IF(ISBLANK(A146),"""",GOOGLETRANSLATE(A146,""en"",""fr""))"),"")</f>
        <v/>
      </c>
    </row>
    <row r="147" spans="2:2">
      <c r="B147" s="3" t="str">
        <f ca="1">IFERROR(__xludf.DUMMYFUNCTION("IF(ISBLANK(A147),"""",GOOGLETRANSLATE(A147,""en"",""fr""))"),"")</f>
        <v/>
      </c>
    </row>
    <row r="148" spans="2:2">
      <c r="B148" s="3" t="str">
        <f ca="1">IFERROR(__xludf.DUMMYFUNCTION("IF(ISBLANK(A148),"""",GOOGLETRANSLATE(A148,""en"",""fr""))"),"")</f>
        <v/>
      </c>
    </row>
    <row r="149" spans="2:2">
      <c r="B149" s="3" t="str">
        <f ca="1">IFERROR(__xludf.DUMMYFUNCTION("IF(ISBLANK(A149),"""",GOOGLETRANSLATE(A149,""en"",""fr""))"),"")</f>
        <v/>
      </c>
    </row>
    <row r="150" spans="2:2">
      <c r="B150" s="3" t="str">
        <f ca="1">IFERROR(__xludf.DUMMYFUNCTION("IF(ISBLANK(A150),"""",GOOGLETRANSLATE(A150,""en"",""fr""))"),"")</f>
        <v/>
      </c>
    </row>
    <row r="151" spans="2:2">
      <c r="B151" s="3" t="str">
        <f ca="1">IFERROR(__xludf.DUMMYFUNCTION("IF(ISBLANK(A151),"""",GOOGLETRANSLATE(A151,""en"",""fr""))"),"")</f>
        <v/>
      </c>
    </row>
    <row r="152" spans="2:2">
      <c r="B152" s="3" t="str">
        <f ca="1">IFERROR(__xludf.DUMMYFUNCTION("IF(ISBLANK(A152),"""",GOOGLETRANSLATE(A152,""en"",""fr""))"),"")</f>
        <v/>
      </c>
    </row>
    <row r="153" spans="2:2">
      <c r="B153" s="3" t="str">
        <f ca="1">IFERROR(__xludf.DUMMYFUNCTION("IF(ISBLANK(A153),"""",GOOGLETRANSLATE(A153,""en"",""fr""))"),"")</f>
        <v/>
      </c>
    </row>
    <row r="154" spans="2:2">
      <c r="B154" s="3" t="str">
        <f ca="1">IFERROR(__xludf.DUMMYFUNCTION("IF(ISBLANK(A154),"""",GOOGLETRANSLATE(A154,""en"",""fr""))"),"")</f>
        <v/>
      </c>
    </row>
    <row r="155" spans="2:2">
      <c r="B155" s="3" t="str">
        <f ca="1">IFERROR(__xludf.DUMMYFUNCTION("IF(ISBLANK(A155),"""",GOOGLETRANSLATE(A155,""en"",""fr""))"),"")</f>
        <v/>
      </c>
    </row>
    <row r="156" spans="2:2">
      <c r="B156" s="3" t="str">
        <f ca="1">IFERROR(__xludf.DUMMYFUNCTION("IF(ISBLANK(A156),"""",GOOGLETRANSLATE(A156,""en"",""fr""))"),"")</f>
        <v/>
      </c>
    </row>
    <row r="157" spans="2:2">
      <c r="B157" s="3" t="str">
        <f ca="1">IFERROR(__xludf.DUMMYFUNCTION("IF(ISBLANK(A157),"""",GOOGLETRANSLATE(A157,""en"",""fr""))"),"")</f>
        <v/>
      </c>
    </row>
    <row r="158" spans="2:2">
      <c r="B158" s="3" t="str">
        <f ca="1">IFERROR(__xludf.DUMMYFUNCTION("IF(ISBLANK(A158),"""",GOOGLETRANSLATE(A158,""en"",""fr""))"),"")</f>
        <v/>
      </c>
    </row>
    <row r="159" spans="2:2">
      <c r="B159" s="3" t="str">
        <f ca="1">IFERROR(__xludf.DUMMYFUNCTION("IF(ISBLANK(A159),"""",GOOGLETRANSLATE(A159,""en"",""fr""))"),"")</f>
        <v/>
      </c>
    </row>
    <row r="160" spans="2:2">
      <c r="B160" s="3" t="str">
        <f ca="1">IFERROR(__xludf.DUMMYFUNCTION("IF(ISBLANK(A160),"""",GOOGLETRANSLATE(A160,""en"",""fr""))"),"")</f>
        <v/>
      </c>
    </row>
    <row r="161" spans="2:2">
      <c r="B161" s="3" t="str">
        <f ca="1">IFERROR(__xludf.DUMMYFUNCTION("IF(ISBLANK(A161),"""",GOOGLETRANSLATE(A161,""en"",""fr""))"),"")</f>
        <v/>
      </c>
    </row>
    <row r="162" spans="2:2">
      <c r="B162" s="3" t="str">
        <f ca="1">IFERROR(__xludf.DUMMYFUNCTION("IF(ISBLANK(A162),"""",GOOGLETRANSLATE(A162,""en"",""fr""))"),"")</f>
        <v/>
      </c>
    </row>
    <row r="163" spans="2:2">
      <c r="B163" s="3" t="str">
        <f ca="1">IFERROR(__xludf.DUMMYFUNCTION("IF(ISBLANK(A163),"""",GOOGLETRANSLATE(A163,""en"",""fr""))"),"")</f>
        <v/>
      </c>
    </row>
    <row r="164" spans="2:2">
      <c r="B164" s="3" t="str">
        <f ca="1">IFERROR(__xludf.DUMMYFUNCTION("IF(ISBLANK(A164),"""",GOOGLETRANSLATE(A164,""en"",""fr""))"),"")</f>
        <v/>
      </c>
    </row>
    <row r="165" spans="2:2">
      <c r="B165" s="3" t="str">
        <f ca="1">IFERROR(__xludf.DUMMYFUNCTION("IF(ISBLANK(A165),"""",GOOGLETRANSLATE(A165,""en"",""fr""))"),"")</f>
        <v/>
      </c>
    </row>
    <row r="166" spans="2:2">
      <c r="B166" s="3" t="str">
        <f ca="1">IFERROR(__xludf.DUMMYFUNCTION("IF(ISBLANK(A166),"""",GOOGLETRANSLATE(A166,""en"",""fr""))"),"")</f>
        <v/>
      </c>
    </row>
    <row r="167" spans="2:2">
      <c r="B167" s="3" t="str">
        <f ca="1">IFERROR(__xludf.DUMMYFUNCTION("IF(ISBLANK(A167),"""",GOOGLETRANSLATE(A167,""en"",""fr""))"),"")</f>
        <v/>
      </c>
    </row>
    <row r="168" spans="2:2">
      <c r="B168" s="3" t="str">
        <f ca="1">IFERROR(__xludf.DUMMYFUNCTION("IF(ISBLANK(A168),"""",GOOGLETRANSLATE(A168,""en"",""fr""))"),"")</f>
        <v/>
      </c>
    </row>
    <row r="169" spans="2:2">
      <c r="B169" s="3" t="str">
        <f ca="1">IFERROR(__xludf.DUMMYFUNCTION("IF(ISBLANK(A169),"""",GOOGLETRANSLATE(A169,""en"",""fr""))"),"")</f>
        <v/>
      </c>
    </row>
    <row r="170" spans="2:2">
      <c r="B170" s="3" t="str">
        <f ca="1">IFERROR(__xludf.DUMMYFUNCTION("IF(ISBLANK(A170),"""",GOOGLETRANSLATE(A170,""en"",""fr""))"),"")</f>
        <v/>
      </c>
    </row>
    <row r="171" spans="2:2">
      <c r="B171" s="3" t="str">
        <f ca="1">IFERROR(__xludf.DUMMYFUNCTION("IF(ISBLANK(A171),"""",GOOGLETRANSLATE(A171,""en"",""fr""))"),"")</f>
        <v/>
      </c>
    </row>
    <row r="172" spans="2:2">
      <c r="B172" s="3" t="str">
        <f ca="1">IFERROR(__xludf.DUMMYFUNCTION("IF(ISBLANK(A172),"""",GOOGLETRANSLATE(A172,""en"",""fr""))"),"")</f>
        <v/>
      </c>
    </row>
    <row r="173" spans="2:2">
      <c r="B173" s="3" t="str">
        <f ca="1">IFERROR(__xludf.DUMMYFUNCTION("IF(ISBLANK(A173),"""",GOOGLETRANSLATE(A173,""en"",""fr""))"),"")</f>
        <v/>
      </c>
    </row>
    <row r="174" spans="2:2">
      <c r="B174" s="3" t="str">
        <f ca="1">IFERROR(__xludf.DUMMYFUNCTION("IF(ISBLANK(A174),"""",GOOGLETRANSLATE(A174,""en"",""fr""))"),"")</f>
        <v/>
      </c>
    </row>
    <row r="175" spans="2:2">
      <c r="B175" s="3" t="str">
        <f ca="1">IFERROR(__xludf.DUMMYFUNCTION("IF(ISBLANK(A175),"""",GOOGLETRANSLATE(A175,""en"",""fr""))"),"")</f>
        <v/>
      </c>
    </row>
    <row r="176" spans="2:2">
      <c r="B176" s="3" t="str">
        <f ca="1">IFERROR(__xludf.DUMMYFUNCTION("IF(ISBLANK(A176),"""",GOOGLETRANSLATE(A176,""en"",""fr""))"),"")</f>
        <v/>
      </c>
    </row>
    <row r="177" spans="2:2">
      <c r="B177" s="3" t="str">
        <f ca="1">IFERROR(__xludf.DUMMYFUNCTION("IF(ISBLANK(A177),"""",GOOGLETRANSLATE(A177,""en"",""fr""))"),"")</f>
        <v/>
      </c>
    </row>
    <row r="178" spans="2:2">
      <c r="B178" s="3" t="str">
        <f ca="1">IFERROR(__xludf.DUMMYFUNCTION("IF(ISBLANK(A178),"""",GOOGLETRANSLATE(A178,""en"",""fr""))"),"")</f>
        <v/>
      </c>
    </row>
    <row r="179" spans="2:2">
      <c r="B179" s="3" t="str">
        <f ca="1">IFERROR(__xludf.DUMMYFUNCTION("IF(ISBLANK(A179),"""",GOOGLETRANSLATE(A179,""en"",""fr""))"),"")</f>
        <v/>
      </c>
    </row>
    <row r="180" spans="2:2">
      <c r="B180" s="3" t="str">
        <f ca="1">IFERROR(__xludf.DUMMYFUNCTION("IF(ISBLANK(A180),"""",GOOGLETRANSLATE(A180,""en"",""fr""))"),"")</f>
        <v/>
      </c>
    </row>
    <row r="181" spans="2:2">
      <c r="B181" s="3" t="str">
        <f ca="1">IFERROR(__xludf.DUMMYFUNCTION("IF(ISBLANK(A181),"""",GOOGLETRANSLATE(A181,""en"",""fr""))"),"")</f>
        <v/>
      </c>
    </row>
    <row r="182" spans="2:2">
      <c r="B182" s="3" t="str">
        <f ca="1">IFERROR(__xludf.DUMMYFUNCTION("IF(ISBLANK(A182),"""",GOOGLETRANSLATE(A182,""en"",""fr""))"),"")</f>
        <v/>
      </c>
    </row>
    <row r="183" spans="2:2">
      <c r="B183" s="3" t="str">
        <f ca="1">IFERROR(__xludf.DUMMYFUNCTION("IF(ISBLANK(A183),"""",GOOGLETRANSLATE(A183,""en"",""fr""))"),"")</f>
        <v/>
      </c>
    </row>
    <row r="184" spans="2:2">
      <c r="B184" s="3" t="str">
        <f ca="1">IFERROR(__xludf.DUMMYFUNCTION("IF(ISBLANK(A184),"""",GOOGLETRANSLATE(A184,""en"",""fr""))"),"")</f>
        <v/>
      </c>
    </row>
    <row r="185" spans="2:2">
      <c r="B185" s="3" t="str">
        <f ca="1">IFERROR(__xludf.DUMMYFUNCTION("IF(ISBLANK(A185),"""",GOOGLETRANSLATE(A185,""en"",""fr""))"),"")</f>
        <v/>
      </c>
    </row>
    <row r="186" spans="2:2">
      <c r="B186" s="3" t="str">
        <f ca="1">IFERROR(__xludf.DUMMYFUNCTION("IF(ISBLANK(A186),"""",GOOGLETRANSLATE(A186,""en"",""fr""))"),"")</f>
        <v/>
      </c>
    </row>
    <row r="187" spans="2:2">
      <c r="B187" s="3" t="str">
        <f ca="1">IFERROR(__xludf.DUMMYFUNCTION("IF(ISBLANK(A187),"""",GOOGLETRANSLATE(A187,""en"",""fr""))"),"")</f>
        <v/>
      </c>
    </row>
    <row r="188" spans="2:2">
      <c r="B188" s="3" t="str">
        <f ca="1">IFERROR(__xludf.DUMMYFUNCTION("IF(ISBLANK(A188),"""",GOOGLETRANSLATE(A188,""en"",""fr""))"),"")</f>
        <v/>
      </c>
    </row>
    <row r="189" spans="2:2">
      <c r="B189" s="3" t="str">
        <f ca="1">IFERROR(__xludf.DUMMYFUNCTION("IF(ISBLANK(A189),"""",GOOGLETRANSLATE(A189,""en"",""fr""))"),"")</f>
        <v/>
      </c>
    </row>
    <row r="190" spans="2:2">
      <c r="B190" s="3" t="str">
        <f ca="1">IFERROR(__xludf.DUMMYFUNCTION("IF(ISBLANK(A190),"""",GOOGLETRANSLATE(A190,""en"",""fr""))"),"")</f>
        <v/>
      </c>
    </row>
    <row r="191" spans="2:2">
      <c r="B191" s="3" t="str">
        <f ca="1">IFERROR(__xludf.DUMMYFUNCTION("IF(ISBLANK(A191),"""",GOOGLETRANSLATE(A191,""en"",""fr""))"),"")</f>
        <v/>
      </c>
    </row>
    <row r="192" spans="2:2">
      <c r="B192" s="3" t="str">
        <f ca="1">IFERROR(__xludf.DUMMYFUNCTION("IF(ISBLANK(A192),"""",GOOGLETRANSLATE(A192,""en"",""fr""))"),"")</f>
        <v/>
      </c>
    </row>
    <row r="193" spans="2:2">
      <c r="B193" s="3" t="str">
        <f ca="1">IFERROR(__xludf.DUMMYFUNCTION("IF(ISBLANK(A193),"""",GOOGLETRANSLATE(A193,""en"",""fr""))"),"")</f>
        <v/>
      </c>
    </row>
    <row r="194" spans="2:2">
      <c r="B194" s="3" t="str">
        <f ca="1">IFERROR(__xludf.DUMMYFUNCTION("IF(ISBLANK(A194),"""",GOOGLETRANSLATE(A194,""en"",""fr""))"),"")</f>
        <v/>
      </c>
    </row>
    <row r="195" spans="2:2">
      <c r="B195" s="3" t="str">
        <f ca="1">IFERROR(__xludf.DUMMYFUNCTION("IF(ISBLANK(A195),"""",GOOGLETRANSLATE(A195,""en"",""fr""))"),"")</f>
        <v/>
      </c>
    </row>
    <row r="196" spans="2:2">
      <c r="B196" s="3" t="str">
        <f ca="1">IFERROR(__xludf.DUMMYFUNCTION("IF(ISBLANK(A196),"""",GOOGLETRANSLATE(A196,""en"",""fr""))"),"")</f>
        <v/>
      </c>
    </row>
    <row r="197" spans="2:2">
      <c r="B197" s="3" t="str">
        <f ca="1">IFERROR(__xludf.DUMMYFUNCTION("IF(ISBLANK(A197),"""",GOOGLETRANSLATE(A197,""en"",""fr""))"),"")</f>
        <v/>
      </c>
    </row>
    <row r="198" spans="2:2">
      <c r="B198" s="3" t="str">
        <f ca="1">IFERROR(__xludf.DUMMYFUNCTION("IF(ISBLANK(A198),"""",GOOGLETRANSLATE(A198,""en"",""fr""))"),"")</f>
        <v/>
      </c>
    </row>
    <row r="199" spans="2:2">
      <c r="B199" s="3" t="str">
        <f ca="1">IFERROR(__xludf.DUMMYFUNCTION("IF(ISBLANK(A199),"""",GOOGLETRANSLATE(A199,""en"",""fr""))"),"")</f>
        <v/>
      </c>
    </row>
    <row r="200" spans="2:2">
      <c r="B200" s="3" t="str">
        <f ca="1">IFERROR(__xludf.DUMMYFUNCTION("IF(ISBLANK(A200),"""",GOOGLETRANSLATE(A200,""en"",""fr""))"),"")</f>
        <v/>
      </c>
    </row>
    <row r="201" spans="2:2">
      <c r="B201" s="3" t="str">
        <f ca="1">IFERROR(__xludf.DUMMYFUNCTION("IF(ISBLANK(A201),"""",GOOGLETRANSLATE(A201,""en"",""fr""))"),"")</f>
        <v/>
      </c>
    </row>
    <row r="202" spans="2:2">
      <c r="B202" s="3" t="str">
        <f ca="1">IFERROR(__xludf.DUMMYFUNCTION("IF(ISBLANK(A202),"""",GOOGLETRANSLATE(A202,""en"",""fr""))"),"")</f>
        <v/>
      </c>
    </row>
    <row r="203" spans="2:2">
      <c r="B203" s="3" t="str">
        <f ca="1">IFERROR(__xludf.DUMMYFUNCTION("IF(ISBLANK(A203),"""",GOOGLETRANSLATE(A203,""en"",""fr""))"),"")</f>
        <v/>
      </c>
    </row>
    <row r="204" spans="2:2">
      <c r="B204" s="3" t="str">
        <f ca="1">IFERROR(__xludf.DUMMYFUNCTION("IF(ISBLANK(A204),"""",GOOGLETRANSLATE(A204,""en"",""fr""))"),"")</f>
        <v/>
      </c>
    </row>
    <row r="205" spans="2:2">
      <c r="B205" s="3" t="str">
        <f ca="1">IFERROR(__xludf.DUMMYFUNCTION("IF(ISBLANK(A205),"""",GOOGLETRANSLATE(A205,""en"",""fr""))"),"")</f>
        <v/>
      </c>
    </row>
    <row r="206" spans="2:2">
      <c r="B206" s="3" t="str">
        <f ca="1">IFERROR(__xludf.DUMMYFUNCTION("IF(ISBLANK(A206),"""",GOOGLETRANSLATE(A206,""en"",""fr""))"),"")</f>
        <v/>
      </c>
    </row>
    <row r="207" spans="2:2">
      <c r="B207" s="3" t="str">
        <f ca="1">IFERROR(__xludf.DUMMYFUNCTION("IF(ISBLANK(A207),"""",GOOGLETRANSLATE(A207,""en"",""fr""))"),"")</f>
        <v/>
      </c>
    </row>
    <row r="208" spans="2:2">
      <c r="B208" s="3" t="str">
        <f ca="1">IFERROR(__xludf.DUMMYFUNCTION("IF(ISBLANK(A208),"""",GOOGLETRANSLATE(A208,""en"",""fr""))"),"")</f>
        <v/>
      </c>
    </row>
    <row r="209" spans="2:2">
      <c r="B209" s="3" t="str">
        <f ca="1">IFERROR(__xludf.DUMMYFUNCTION("IF(ISBLANK(A209),"""",GOOGLETRANSLATE(A209,""en"",""fr""))"),"")</f>
        <v/>
      </c>
    </row>
    <row r="210" spans="2:2">
      <c r="B210" s="3" t="str">
        <f ca="1">IFERROR(__xludf.DUMMYFUNCTION("IF(ISBLANK(A210),"""",GOOGLETRANSLATE(A210,""en"",""fr""))"),"")</f>
        <v/>
      </c>
    </row>
    <row r="211" spans="2:2">
      <c r="B211" s="3" t="str">
        <f ca="1">IFERROR(__xludf.DUMMYFUNCTION("IF(ISBLANK(A211),"""",GOOGLETRANSLATE(A211,""en"",""fr""))"),"")</f>
        <v/>
      </c>
    </row>
    <row r="212" spans="2:2">
      <c r="B212" s="3" t="str">
        <f ca="1">IFERROR(__xludf.DUMMYFUNCTION("IF(ISBLANK(A212),"""",GOOGLETRANSLATE(A212,""en"",""fr""))"),"")</f>
        <v/>
      </c>
    </row>
    <row r="213" spans="2:2">
      <c r="B213" s="3" t="str">
        <f ca="1">IFERROR(__xludf.DUMMYFUNCTION("IF(ISBLANK(A213),"""",GOOGLETRANSLATE(A213,""en"",""fr""))"),"")</f>
        <v/>
      </c>
    </row>
    <row r="214" spans="2:2">
      <c r="B214" s="3" t="str">
        <f ca="1">IFERROR(__xludf.DUMMYFUNCTION("IF(ISBLANK(A214),"""",GOOGLETRANSLATE(A214,""en"",""fr""))"),"")</f>
        <v/>
      </c>
    </row>
    <row r="215" spans="2:2">
      <c r="B215" s="3" t="str">
        <f ca="1">IFERROR(__xludf.DUMMYFUNCTION("IF(ISBLANK(A215),"""",GOOGLETRANSLATE(A215,""en"",""fr""))"),"")</f>
        <v/>
      </c>
    </row>
    <row r="216" spans="2:2">
      <c r="B216" s="3" t="str">
        <f ca="1">IFERROR(__xludf.DUMMYFUNCTION("IF(ISBLANK(A216),"""",GOOGLETRANSLATE(A216,""en"",""fr""))"),"")</f>
        <v/>
      </c>
    </row>
    <row r="217" spans="2:2">
      <c r="B217" s="3" t="str">
        <f ca="1">IFERROR(__xludf.DUMMYFUNCTION("IF(ISBLANK(A217),"""",GOOGLETRANSLATE(A217,""en"",""fr""))"),"")</f>
        <v/>
      </c>
    </row>
    <row r="218" spans="2:2">
      <c r="B218" s="3" t="str">
        <f ca="1">IFERROR(__xludf.DUMMYFUNCTION("IF(ISBLANK(A218),"""",GOOGLETRANSLATE(A218,""en"",""fr""))"),"")</f>
        <v/>
      </c>
    </row>
    <row r="219" spans="2:2">
      <c r="B219" s="3" t="str">
        <f ca="1">IFERROR(__xludf.DUMMYFUNCTION("IF(ISBLANK(A219),"""",GOOGLETRANSLATE(A219,""en"",""fr""))"),"")</f>
        <v/>
      </c>
    </row>
    <row r="220" spans="2:2">
      <c r="B220" s="3" t="str">
        <f ca="1">IFERROR(__xludf.DUMMYFUNCTION("IF(ISBLANK(A220),"""",GOOGLETRANSLATE(A220,""en"",""fr""))"),"")</f>
        <v/>
      </c>
    </row>
    <row r="221" spans="2:2">
      <c r="B221" s="3" t="str">
        <f ca="1">IFERROR(__xludf.DUMMYFUNCTION("IF(ISBLANK(A221),"""",GOOGLETRANSLATE(A221,""en"",""fr""))"),"")</f>
        <v/>
      </c>
    </row>
    <row r="222" spans="2:2">
      <c r="B222" s="3" t="str">
        <f ca="1">IFERROR(__xludf.DUMMYFUNCTION("IF(ISBLANK(A222),"""",GOOGLETRANSLATE(A222,""en"",""fr""))"),"")</f>
        <v/>
      </c>
    </row>
    <row r="223" spans="2:2">
      <c r="B223" s="3" t="str">
        <f ca="1">IFERROR(__xludf.DUMMYFUNCTION("IF(ISBLANK(A223),"""",GOOGLETRANSLATE(A223,""en"",""fr""))"),"")</f>
        <v/>
      </c>
    </row>
    <row r="224" spans="2:2">
      <c r="B224" s="3" t="str">
        <f ca="1">IFERROR(__xludf.DUMMYFUNCTION("IF(ISBLANK(A224),"""",GOOGLETRANSLATE(A224,""en"",""fr""))"),"")</f>
        <v/>
      </c>
    </row>
    <row r="225" spans="2:2">
      <c r="B225" s="3" t="str">
        <f ca="1">IFERROR(__xludf.DUMMYFUNCTION("IF(ISBLANK(A225),"""",GOOGLETRANSLATE(A225,""en"",""fr""))"),"")</f>
        <v/>
      </c>
    </row>
    <row r="226" spans="2:2">
      <c r="B226" s="3" t="str">
        <f ca="1">IFERROR(__xludf.DUMMYFUNCTION("IF(ISBLANK(A226),"""",GOOGLETRANSLATE(A226,""en"",""fr""))"),"")</f>
        <v/>
      </c>
    </row>
    <row r="227" spans="2:2">
      <c r="B227" s="3" t="str">
        <f ca="1">IFERROR(__xludf.DUMMYFUNCTION("IF(ISBLANK(A227),"""",GOOGLETRANSLATE(A227,""en"",""fr""))"),"")</f>
        <v/>
      </c>
    </row>
    <row r="228" spans="2:2">
      <c r="B228" s="3" t="str">
        <f ca="1">IFERROR(__xludf.DUMMYFUNCTION("IF(ISBLANK(A228),"""",GOOGLETRANSLATE(A228,""en"",""fr""))"),"")</f>
        <v/>
      </c>
    </row>
    <row r="229" spans="2:2">
      <c r="B229" s="3" t="str">
        <f ca="1">IFERROR(__xludf.DUMMYFUNCTION("IF(ISBLANK(A229),"""",GOOGLETRANSLATE(A229,""en"",""fr""))"),"")</f>
        <v/>
      </c>
    </row>
    <row r="230" spans="2:2">
      <c r="B230" s="3" t="str">
        <f ca="1">IFERROR(__xludf.DUMMYFUNCTION("IF(ISBLANK(A230),"""",GOOGLETRANSLATE(A230,""en"",""fr""))"),"")</f>
        <v/>
      </c>
    </row>
    <row r="231" spans="2:2">
      <c r="B231" s="3" t="str">
        <f ca="1">IFERROR(__xludf.DUMMYFUNCTION("IF(ISBLANK(A231),"""",GOOGLETRANSLATE(A231,""en"",""fr""))"),"")</f>
        <v/>
      </c>
    </row>
    <row r="232" spans="2:2">
      <c r="B232" s="3" t="str">
        <f ca="1">IFERROR(__xludf.DUMMYFUNCTION("IF(ISBLANK(A232),"""",GOOGLETRANSLATE(A232,""en"",""fr""))"),"")</f>
        <v/>
      </c>
    </row>
    <row r="233" spans="2:2">
      <c r="B233" s="3" t="str">
        <f ca="1">IFERROR(__xludf.DUMMYFUNCTION("IF(ISBLANK(A233),"""",GOOGLETRANSLATE(A233,""en"",""fr""))"),"")</f>
        <v/>
      </c>
    </row>
    <row r="234" spans="2:2">
      <c r="B234" s="3" t="str">
        <f ca="1">IFERROR(__xludf.DUMMYFUNCTION("IF(ISBLANK(A234),"""",GOOGLETRANSLATE(A234,""en"",""fr""))"),"")</f>
        <v/>
      </c>
    </row>
    <row r="235" spans="2:2">
      <c r="B235" s="3" t="str">
        <f ca="1">IFERROR(__xludf.DUMMYFUNCTION("IF(ISBLANK(A235),"""",GOOGLETRANSLATE(A235,""en"",""fr""))"),"")</f>
        <v/>
      </c>
    </row>
    <row r="236" spans="2:2">
      <c r="B236" s="3" t="str">
        <f ca="1">IFERROR(__xludf.DUMMYFUNCTION("IF(ISBLANK(A236),"""",GOOGLETRANSLATE(A236,""en"",""fr""))"),"")</f>
        <v/>
      </c>
    </row>
    <row r="237" spans="2:2">
      <c r="B237" s="3" t="str">
        <f ca="1">IFERROR(__xludf.DUMMYFUNCTION("IF(ISBLANK(A237),"""",GOOGLETRANSLATE(A237,""en"",""fr""))"),"")</f>
        <v/>
      </c>
    </row>
    <row r="238" spans="2:2">
      <c r="B238" s="3" t="str">
        <f ca="1">IFERROR(__xludf.DUMMYFUNCTION("IF(ISBLANK(A238),"""",GOOGLETRANSLATE(A238,""en"",""fr""))"),"")</f>
        <v/>
      </c>
    </row>
    <row r="239" spans="2:2">
      <c r="B239" s="3" t="str">
        <f ca="1">IFERROR(__xludf.DUMMYFUNCTION("IF(ISBLANK(A239),"""",GOOGLETRANSLATE(A239,""en"",""fr""))"),"")</f>
        <v/>
      </c>
    </row>
    <row r="240" spans="2:2">
      <c r="B240" s="3" t="str">
        <f ca="1">IFERROR(__xludf.DUMMYFUNCTION("IF(ISBLANK(A240),"""",GOOGLETRANSLATE(A240,""en"",""fr""))"),"")</f>
        <v/>
      </c>
    </row>
    <row r="241" spans="2:2">
      <c r="B241" s="3" t="str">
        <f ca="1">IFERROR(__xludf.DUMMYFUNCTION("IF(ISBLANK(A241),"""",GOOGLETRANSLATE(A241,""en"",""fr""))"),"")</f>
        <v/>
      </c>
    </row>
    <row r="242" spans="2:2">
      <c r="B242" s="3" t="str">
        <f ca="1">IFERROR(__xludf.DUMMYFUNCTION("IF(ISBLANK(A242),"""",GOOGLETRANSLATE(A242,""en"",""fr""))"),"")</f>
        <v/>
      </c>
    </row>
    <row r="243" spans="2:2">
      <c r="B243" s="3" t="str">
        <f ca="1">IFERROR(__xludf.DUMMYFUNCTION("IF(ISBLANK(A243),"""",GOOGLETRANSLATE(A243,""en"",""fr""))"),"")</f>
        <v/>
      </c>
    </row>
    <row r="244" spans="2:2">
      <c r="B244" s="3" t="str">
        <f ca="1">IFERROR(__xludf.DUMMYFUNCTION("IF(ISBLANK(A244),"""",GOOGLETRANSLATE(A244,""en"",""fr""))"),"")</f>
        <v/>
      </c>
    </row>
    <row r="245" spans="2:2">
      <c r="B245" s="3" t="str">
        <f ca="1">IFERROR(__xludf.DUMMYFUNCTION("IF(ISBLANK(A245),"""",GOOGLETRANSLATE(A245,""en"",""fr""))"),"")</f>
        <v/>
      </c>
    </row>
    <row r="246" spans="2:2">
      <c r="B246" s="3" t="str">
        <f ca="1">IFERROR(__xludf.DUMMYFUNCTION("IF(ISBLANK(A246),"""",GOOGLETRANSLATE(A246,""en"",""fr""))"),"")</f>
        <v/>
      </c>
    </row>
    <row r="247" spans="2:2">
      <c r="B247" s="3" t="str">
        <f ca="1">IFERROR(__xludf.DUMMYFUNCTION("IF(ISBLANK(A247),"""",GOOGLETRANSLATE(A247,""en"",""fr""))"),"")</f>
        <v/>
      </c>
    </row>
    <row r="248" spans="2:2">
      <c r="B248" s="3" t="str">
        <f ca="1">IFERROR(__xludf.DUMMYFUNCTION("IF(ISBLANK(A248),"""",GOOGLETRANSLATE(A248,""en"",""fr""))"),"")</f>
        <v/>
      </c>
    </row>
    <row r="249" spans="2:2">
      <c r="B249" s="3" t="str">
        <f ca="1">IFERROR(__xludf.DUMMYFUNCTION("IF(ISBLANK(A249),"""",GOOGLETRANSLATE(A249,""en"",""fr""))"),"")</f>
        <v/>
      </c>
    </row>
    <row r="250" spans="2:2">
      <c r="B250" s="3" t="str">
        <f ca="1">IFERROR(__xludf.DUMMYFUNCTION("IF(ISBLANK(A250),"""",GOOGLETRANSLATE(A250,""en"",""fr""))"),"")</f>
        <v/>
      </c>
    </row>
    <row r="251" spans="2:2">
      <c r="B251" s="3" t="str">
        <f ca="1">IFERROR(__xludf.DUMMYFUNCTION("IF(ISBLANK(A251),"""",GOOGLETRANSLATE(A251,""en"",""fr""))"),"")</f>
        <v/>
      </c>
    </row>
    <row r="252" spans="2:2">
      <c r="B252" s="3" t="str">
        <f ca="1">IFERROR(__xludf.DUMMYFUNCTION("IF(ISBLANK(A252),"""",GOOGLETRANSLATE(A252,""en"",""fr""))"),"")</f>
        <v/>
      </c>
    </row>
    <row r="253" spans="2:2">
      <c r="B253" s="3" t="str">
        <f ca="1">IFERROR(__xludf.DUMMYFUNCTION("IF(ISBLANK(A253),"""",GOOGLETRANSLATE(A253,""en"",""fr""))"),"")</f>
        <v/>
      </c>
    </row>
    <row r="254" spans="2:2">
      <c r="B254" s="3" t="str">
        <f ca="1">IFERROR(__xludf.DUMMYFUNCTION("IF(ISBLANK(A254),"""",GOOGLETRANSLATE(A254,""en"",""fr""))"),"")</f>
        <v/>
      </c>
    </row>
    <row r="255" spans="2:2">
      <c r="B255" s="3" t="str">
        <f ca="1">IFERROR(__xludf.DUMMYFUNCTION("IF(ISBLANK(A255),"""",GOOGLETRANSLATE(A255,""en"",""fr""))"),"")</f>
        <v/>
      </c>
    </row>
    <row r="256" spans="2:2">
      <c r="B256" s="3" t="str">
        <f ca="1">IFERROR(__xludf.DUMMYFUNCTION("IF(ISBLANK(A256),"""",GOOGLETRANSLATE(A256,""en"",""fr""))"),"")</f>
        <v/>
      </c>
    </row>
    <row r="257" spans="2:2">
      <c r="B257" s="3" t="str">
        <f ca="1">IFERROR(__xludf.DUMMYFUNCTION("IF(ISBLANK(A257),"""",GOOGLETRANSLATE(A257,""en"",""fr""))"),"")</f>
        <v/>
      </c>
    </row>
    <row r="258" spans="2:2">
      <c r="B258" s="3" t="str">
        <f ca="1">IFERROR(__xludf.DUMMYFUNCTION("IF(ISBLANK(A258),"""",GOOGLETRANSLATE(A258,""en"",""fr""))"),"")</f>
        <v/>
      </c>
    </row>
    <row r="259" spans="2:2">
      <c r="B259" s="3" t="str">
        <f ca="1">IFERROR(__xludf.DUMMYFUNCTION("IF(ISBLANK(A259),"""",GOOGLETRANSLATE(A259,""en"",""fr""))"),"")</f>
        <v/>
      </c>
    </row>
    <row r="260" spans="2:2">
      <c r="B260" s="3" t="str">
        <f ca="1">IFERROR(__xludf.DUMMYFUNCTION("IF(ISBLANK(A260),"""",GOOGLETRANSLATE(A260,""en"",""fr""))"),"")</f>
        <v/>
      </c>
    </row>
    <row r="261" spans="2:2">
      <c r="B261" s="3" t="str">
        <f ca="1">IFERROR(__xludf.DUMMYFUNCTION("IF(ISBLANK(A261),"""",GOOGLETRANSLATE(A261,""en"",""fr""))"),"")</f>
        <v/>
      </c>
    </row>
    <row r="262" spans="2:2">
      <c r="B262" s="3" t="str">
        <f ca="1">IFERROR(__xludf.DUMMYFUNCTION("IF(ISBLANK(A262),"""",GOOGLETRANSLATE(A262,""en"",""fr""))"),"")</f>
        <v/>
      </c>
    </row>
    <row r="263" spans="2:2">
      <c r="B263" s="3" t="str">
        <f ca="1">IFERROR(__xludf.DUMMYFUNCTION("IF(ISBLANK(A263),"""",GOOGLETRANSLATE(A263,""en"",""fr""))"),"")</f>
        <v/>
      </c>
    </row>
    <row r="264" spans="2:2">
      <c r="B264" s="3" t="str">
        <f ca="1">IFERROR(__xludf.DUMMYFUNCTION("IF(ISBLANK(A264),"""",GOOGLETRANSLATE(A264,""en"",""fr""))"),"")</f>
        <v/>
      </c>
    </row>
    <row r="265" spans="2:2">
      <c r="B265" s="3" t="str">
        <f ca="1">IFERROR(__xludf.DUMMYFUNCTION("IF(ISBLANK(A265),"""",GOOGLETRANSLATE(A265,""en"",""fr""))"),"")</f>
        <v/>
      </c>
    </row>
    <row r="266" spans="2:2">
      <c r="B266" s="3" t="str">
        <f ca="1">IFERROR(__xludf.DUMMYFUNCTION("IF(ISBLANK(A266),"""",GOOGLETRANSLATE(A266,""en"",""fr""))"),"")</f>
        <v/>
      </c>
    </row>
    <row r="267" spans="2:2">
      <c r="B267" s="3" t="str">
        <f ca="1">IFERROR(__xludf.DUMMYFUNCTION("IF(ISBLANK(A267),"""",GOOGLETRANSLATE(A267,""en"",""fr""))"),"")</f>
        <v/>
      </c>
    </row>
    <row r="268" spans="2:2">
      <c r="B268" s="3" t="str">
        <f ca="1">IFERROR(__xludf.DUMMYFUNCTION("IF(ISBLANK(A268),"""",GOOGLETRANSLATE(A268,""en"",""fr""))"),"")</f>
        <v/>
      </c>
    </row>
    <row r="269" spans="2:2">
      <c r="B269" s="3" t="str">
        <f ca="1">IFERROR(__xludf.DUMMYFUNCTION("IF(ISBLANK(A269),"""",GOOGLETRANSLATE(A269,""en"",""fr""))"),"")</f>
        <v/>
      </c>
    </row>
    <row r="270" spans="2:2">
      <c r="B270" s="3" t="str">
        <f ca="1">IFERROR(__xludf.DUMMYFUNCTION("IF(ISBLANK(A270),"""",GOOGLETRANSLATE(A270,""en"",""fr""))"),"")</f>
        <v/>
      </c>
    </row>
    <row r="271" spans="2:2">
      <c r="B271" s="3" t="str">
        <f ca="1">IFERROR(__xludf.DUMMYFUNCTION("IF(ISBLANK(A271),"""",GOOGLETRANSLATE(A271,""en"",""fr""))"),"")</f>
        <v/>
      </c>
    </row>
    <row r="272" spans="2:2">
      <c r="B272" s="3" t="str">
        <f ca="1">IFERROR(__xludf.DUMMYFUNCTION("IF(ISBLANK(A272),"""",GOOGLETRANSLATE(A272,""en"",""fr""))"),"")</f>
        <v/>
      </c>
    </row>
    <row r="273" spans="2:2">
      <c r="B273" s="3" t="str">
        <f ca="1">IFERROR(__xludf.DUMMYFUNCTION("IF(ISBLANK(A273),"""",GOOGLETRANSLATE(A273,""en"",""fr""))"),"")</f>
        <v/>
      </c>
    </row>
    <row r="274" spans="2:2">
      <c r="B274" s="3" t="str">
        <f ca="1">IFERROR(__xludf.DUMMYFUNCTION("IF(ISBLANK(A274),"""",GOOGLETRANSLATE(A274,""en"",""fr""))"),"")</f>
        <v/>
      </c>
    </row>
    <row r="275" spans="2:2">
      <c r="B275" s="3" t="str">
        <f ca="1">IFERROR(__xludf.DUMMYFUNCTION("IF(ISBLANK(A275),"""",GOOGLETRANSLATE(A275,""en"",""fr""))"),"")</f>
        <v/>
      </c>
    </row>
    <row r="276" spans="2:2">
      <c r="B276" s="3" t="str">
        <f ca="1">IFERROR(__xludf.DUMMYFUNCTION("IF(ISBLANK(A276),"""",GOOGLETRANSLATE(A276,""en"",""fr""))"),"")</f>
        <v/>
      </c>
    </row>
    <row r="277" spans="2:2">
      <c r="B277" s="3" t="str">
        <f ca="1">IFERROR(__xludf.DUMMYFUNCTION("IF(ISBLANK(A277),"""",GOOGLETRANSLATE(A277,""en"",""fr""))"),"")</f>
        <v/>
      </c>
    </row>
    <row r="278" spans="2:2">
      <c r="B278" s="3" t="str">
        <f ca="1">IFERROR(__xludf.DUMMYFUNCTION("IF(ISBLANK(A278),"""",GOOGLETRANSLATE(A278,""en"",""fr""))"),"")</f>
        <v/>
      </c>
    </row>
    <row r="279" spans="2:2">
      <c r="B279" s="3" t="str">
        <f ca="1">IFERROR(__xludf.DUMMYFUNCTION("IF(ISBLANK(A279),"""",GOOGLETRANSLATE(A279,""en"",""fr""))"),"")</f>
        <v/>
      </c>
    </row>
    <row r="280" spans="2:2">
      <c r="B280" s="3" t="str">
        <f ca="1">IFERROR(__xludf.DUMMYFUNCTION("IF(ISBLANK(A280),"""",GOOGLETRANSLATE(A280,""en"",""fr""))"),"")</f>
        <v/>
      </c>
    </row>
    <row r="281" spans="2:2">
      <c r="B281" s="3" t="str">
        <f ca="1">IFERROR(__xludf.DUMMYFUNCTION("IF(ISBLANK(A281),"""",GOOGLETRANSLATE(A281,""en"",""fr""))"),"")</f>
        <v/>
      </c>
    </row>
    <row r="282" spans="2:2">
      <c r="B282" s="3" t="str">
        <f ca="1">IFERROR(__xludf.DUMMYFUNCTION("IF(ISBLANK(A282),"""",GOOGLETRANSLATE(A282,""en"",""fr""))"),"")</f>
        <v/>
      </c>
    </row>
    <row r="283" spans="2:2">
      <c r="B283" s="3" t="str">
        <f ca="1">IFERROR(__xludf.DUMMYFUNCTION("IF(ISBLANK(A283),"""",GOOGLETRANSLATE(A283,""en"",""fr""))"),"")</f>
        <v/>
      </c>
    </row>
    <row r="284" spans="2:2">
      <c r="B284" s="3" t="str">
        <f ca="1">IFERROR(__xludf.DUMMYFUNCTION("IF(ISBLANK(A284),"""",GOOGLETRANSLATE(A284,""en"",""fr""))"),"")</f>
        <v/>
      </c>
    </row>
    <row r="285" spans="2:2">
      <c r="B285" s="3" t="str">
        <f ca="1">IFERROR(__xludf.DUMMYFUNCTION("IF(ISBLANK(A285),"""",GOOGLETRANSLATE(A285,""en"",""fr""))"),"")</f>
        <v/>
      </c>
    </row>
    <row r="286" spans="2:2">
      <c r="B286" s="3" t="str">
        <f ca="1">IFERROR(__xludf.DUMMYFUNCTION("IF(ISBLANK(A286),"""",GOOGLETRANSLATE(A286,""en"",""fr""))"),"")</f>
        <v/>
      </c>
    </row>
    <row r="287" spans="2:2">
      <c r="B287" s="3" t="str">
        <f ca="1">IFERROR(__xludf.DUMMYFUNCTION("IF(ISBLANK(A287),"""",GOOGLETRANSLATE(A287,""en"",""fr""))"),"")</f>
        <v/>
      </c>
    </row>
    <row r="288" spans="2:2">
      <c r="B288" s="3" t="str">
        <f ca="1">IFERROR(__xludf.DUMMYFUNCTION("IF(ISBLANK(A288),"""",GOOGLETRANSLATE(A288,""en"",""fr""))"),"")</f>
        <v/>
      </c>
    </row>
    <row r="289" spans="2:2">
      <c r="B289" s="3" t="str">
        <f ca="1">IFERROR(__xludf.DUMMYFUNCTION("IF(ISBLANK(A289),"""",GOOGLETRANSLATE(A289,""en"",""fr""))"),"")</f>
        <v/>
      </c>
    </row>
    <row r="290" spans="2:2">
      <c r="B290" s="3" t="str">
        <f ca="1">IFERROR(__xludf.DUMMYFUNCTION("IF(ISBLANK(A290),"""",GOOGLETRANSLATE(A290,""en"",""fr""))"),"")</f>
        <v/>
      </c>
    </row>
    <row r="291" spans="2:2">
      <c r="B291" s="3" t="str">
        <f ca="1">IFERROR(__xludf.DUMMYFUNCTION("IF(ISBLANK(A291),"""",GOOGLETRANSLATE(A291,""en"",""fr""))"),"")</f>
        <v/>
      </c>
    </row>
    <row r="292" spans="2:2">
      <c r="B292" s="3" t="str">
        <f ca="1">IFERROR(__xludf.DUMMYFUNCTION("IF(ISBLANK(A292),"""",GOOGLETRANSLATE(A292,""en"",""fr""))"),"")</f>
        <v/>
      </c>
    </row>
    <row r="293" spans="2:2">
      <c r="B293" s="3" t="str">
        <f ca="1">IFERROR(__xludf.DUMMYFUNCTION("IF(ISBLANK(A293),"""",GOOGLETRANSLATE(A293,""en"",""fr""))"),"")</f>
        <v/>
      </c>
    </row>
    <row r="294" spans="2:2">
      <c r="B294" s="3" t="str">
        <f ca="1">IFERROR(__xludf.DUMMYFUNCTION("IF(ISBLANK(A294),"""",GOOGLETRANSLATE(A294,""en"",""fr""))"),"")</f>
        <v/>
      </c>
    </row>
    <row r="295" spans="2:2">
      <c r="B295" s="3" t="str">
        <f ca="1">IFERROR(__xludf.DUMMYFUNCTION("IF(ISBLANK(A295),"""",GOOGLETRANSLATE(A295,""en"",""fr""))"),"")</f>
        <v/>
      </c>
    </row>
    <row r="296" spans="2:2">
      <c r="B296" s="3" t="str">
        <f ca="1">IFERROR(__xludf.DUMMYFUNCTION("IF(ISBLANK(A296),"""",GOOGLETRANSLATE(A296,""en"",""fr""))"),"")</f>
        <v/>
      </c>
    </row>
    <row r="297" spans="2:2">
      <c r="B297" s="3" t="str">
        <f ca="1">IFERROR(__xludf.DUMMYFUNCTION("IF(ISBLANK(A297),"""",GOOGLETRANSLATE(A297,""en"",""fr""))"),"")</f>
        <v/>
      </c>
    </row>
    <row r="298" spans="2:2">
      <c r="B298" s="3" t="str">
        <f ca="1">IFERROR(__xludf.DUMMYFUNCTION("IF(ISBLANK(A298),"""",GOOGLETRANSLATE(A298,""en"",""fr""))"),"")</f>
        <v/>
      </c>
    </row>
    <row r="299" spans="2:2">
      <c r="B299" s="3" t="str">
        <f ca="1">IFERROR(__xludf.DUMMYFUNCTION("IF(ISBLANK(A299),"""",GOOGLETRANSLATE(A299,""en"",""fr""))"),"")</f>
        <v/>
      </c>
    </row>
    <row r="300" spans="2:2">
      <c r="B300" s="3" t="str">
        <f ca="1">IFERROR(__xludf.DUMMYFUNCTION("IF(ISBLANK(A300),"""",GOOGLETRANSLATE(A300,""en"",""fr""))"),"")</f>
        <v/>
      </c>
    </row>
    <row r="301" spans="2:2">
      <c r="B301" s="3" t="str">
        <f ca="1">IFERROR(__xludf.DUMMYFUNCTION("IF(ISBLANK(A301),"""",GOOGLETRANSLATE(A301,""en"",""fr""))"),"")</f>
        <v/>
      </c>
    </row>
    <row r="302" spans="2:2">
      <c r="B302" s="3" t="str">
        <f ca="1">IFERROR(__xludf.DUMMYFUNCTION("IF(ISBLANK(A302),"""",GOOGLETRANSLATE(A302,""en"",""fr""))"),"")</f>
        <v/>
      </c>
    </row>
    <row r="303" spans="2:2">
      <c r="B303" s="3" t="str">
        <f ca="1">IFERROR(__xludf.DUMMYFUNCTION("IF(ISBLANK(A303),"""",GOOGLETRANSLATE(A303,""en"",""fr""))"),"")</f>
        <v/>
      </c>
    </row>
    <row r="304" spans="2:2">
      <c r="B304" s="3" t="str">
        <f ca="1">IFERROR(__xludf.DUMMYFUNCTION("IF(ISBLANK(A304),"""",GOOGLETRANSLATE(A304,""en"",""fr""))"),"")</f>
        <v/>
      </c>
    </row>
    <row r="305" spans="2:2">
      <c r="B305" s="3" t="str">
        <f ca="1">IFERROR(__xludf.DUMMYFUNCTION("IF(ISBLANK(A305),"""",GOOGLETRANSLATE(A305,""en"",""fr""))"),"")</f>
        <v/>
      </c>
    </row>
    <row r="306" spans="2:2">
      <c r="B306" s="3" t="str">
        <f ca="1">IFERROR(__xludf.DUMMYFUNCTION("IF(ISBLANK(A306),"""",GOOGLETRANSLATE(A306,""en"",""fr""))"),"")</f>
        <v/>
      </c>
    </row>
    <row r="307" spans="2:2">
      <c r="B307" s="3" t="str">
        <f ca="1">IFERROR(__xludf.DUMMYFUNCTION("IF(ISBLANK(A307),"""",GOOGLETRANSLATE(A307,""en"",""fr""))"),"")</f>
        <v/>
      </c>
    </row>
    <row r="308" spans="2:2">
      <c r="B308" s="3" t="str">
        <f ca="1">IFERROR(__xludf.DUMMYFUNCTION("IF(ISBLANK(A308),"""",GOOGLETRANSLATE(A308,""en"",""fr""))"),"")</f>
        <v/>
      </c>
    </row>
    <row r="309" spans="2:2">
      <c r="B309" s="3" t="str">
        <f ca="1">IFERROR(__xludf.DUMMYFUNCTION("IF(ISBLANK(A309),"""",GOOGLETRANSLATE(A309,""en"",""fr""))"),"")</f>
        <v/>
      </c>
    </row>
    <row r="310" spans="2:2">
      <c r="B310" s="3" t="str">
        <f ca="1">IFERROR(__xludf.DUMMYFUNCTION("IF(ISBLANK(A310),"""",GOOGLETRANSLATE(A310,""en"",""fr""))"),"")</f>
        <v/>
      </c>
    </row>
    <row r="311" spans="2:2">
      <c r="B311" s="3" t="str">
        <f ca="1">IFERROR(__xludf.DUMMYFUNCTION("IF(ISBLANK(A311),"""",GOOGLETRANSLATE(A311,""en"",""fr""))"),"")</f>
        <v/>
      </c>
    </row>
    <row r="312" spans="2:2">
      <c r="B312" s="3" t="str">
        <f ca="1">IFERROR(__xludf.DUMMYFUNCTION("IF(ISBLANK(A312),"""",GOOGLETRANSLATE(A312,""en"",""fr""))"),"")</f>
        <v/>
      </c>
    </row>
    <row r="313" spans="2:2">
      <c r="B313" s="3" t="str">
        <f ca="1">IFERROR(__xludf.DUMMYFUNCTION("IF(ISBLANK(A313),"""",GOOGLETRANSLATE(A313,""en"",""fr""))"),"")</f>
        <v/>
      </c>
    </row>
    <row r="314" spans="2:2">
      <c r="B314" s="3" t="str">
        <f ca="1">IFERROR(__xludf.DUMMYFUNCTION("IF(ISBLANK(A314),"""",GOOGLETRANSLATE(A314,""en"",""fr""))"),"")</f>
        <v/>
      </c>
    </row>
    <row r="315" spans="2:2">
      <c r="B315" s="3" t="str">
        <f ca="1">IFERROR(__xludf.DUMMYFUNCTION("IF(ISBLANK(A315),"""",GOOGLETRANSLATE(A315,""en"",""fr""))"),"")</f>
        <v/>
      </c>
    </row>
    <row r="316" spans="2:2">
      <c r="B316" s="3" t="str">
        <f ca="1">IFERROR(__xludf.DUMMYFUNCTION("IF(ISBLANK(A316),"""",GOOGLETRANSLATE(A316,""en"",""fr""))"),"")</f>
        <v/>
      </c>
    </row>
    <row r="317" spans="2:2">
      <c r="B317" s="3" t="str">
        <f ca="1">IFERROR(__xludf.DUMMYFUNCTION("IF(ISBLANK(A317),"""",GOOGLETRANSLATE(A317,""en"",""fr""))"),"")</f>
        <v/>
      </c>
    </row>
    <row r="318" spans="2:2">
      <c r="B318" s="3" t="str">
        <f ca="1">IFERROR(__xludf.DUMMYFUNCTION("IF(ISBLANK(A318),"""",GOOGLETRANSLATE(A318,""en"",""fr""))"),"")</f>
        <v/>
      </c>
    </row>
    <row r="319" spans="2:2">
      <c r="B319" s="3" t="str">
        <f ca="1">IFERROR(__xludf.DUMMYFUNCTION("IF(ISBLANK(A319),"""",GOOGLETRANSLATE(A319,""en"",""fr""))"),"")</f>
        <v/>
      </c>
    </row>
    <row r="320" spans="2:2">
      <c r="B320" s="3" t="str">
        <f ca="1">IFERROR(__xludf.DUMMYFUNCTION("IF(ISBLANK(A320),"""",GOOGLETRANSLATE(A320,""en"",""fr""))"),"")</f>
        <v/>
      </c>
    </row>
    <row r="321" spans="2:2">
      <c r="B321" s="3" t="str">
        <f ca="1">IFERROR(__xludf.DUMMYFUNCTION("IF(ISBLANK(A321),"""",GOOGLETRANSLATE(A321,""en"",""fr""))"),"")</f>
        <v/>
      </c>
    </row>
    <row r="322" spans="2:2">
      <c r="B322" s="3" t="str">
        <f ca="1">IFERROR(__xludf.DUMMYFUNCTION("IF(ISBLANK(A322),"""",GOOGLETRANSLATE(A322,""en"",""fr""))"),"")</f>
        <v/>
      </c>
    </row>
    <row r="323" spans="2:2">
      <c r="B323" s="3" t="str">
        <f ca="1">IFERROR(__xludf.DUMMYFUNCTION("IF(ISBLANK(A323),"""",GOOGLETRANSLATE(A323,""en"",""fr""))"),"")</f>
        <v/>
      </c>
    </row>
    <row r="324" spans="2:2">
      <c r="B324" s="3" t="str">
        <f ca="1">IFERROR(__xludf.DUMMYFUNCTION("IF(ISBLANK(A324),"""",GOOGLETRANSLATE(A324,""en"",""fr""))"),"")</f>
        <v/>
      </c>
    </row>
    <row r="325" spans="2:2">
      <c r="B325" s="3" t="str">
        <f ca="1">IFERROR(__xludf.DUMMYFUNCTION("IF(ISBLANK(A325),"""",GOOGLETRANSLATE(A325,""en"",""fr""))"),"")</f>
        <v/>
      </c>
    </row>
    <row r="326" spans="2:2">
      <c r="B326" s="3" t="str">
        <f ca="1">IFERROR(__xludf.DUMMYFUNCTION("IF(ISBLANK(A326),"""",GOOGLETRANSLATE(A326,""en"",""fr""))"),"")</f>
        <v/>
      </c>
    </row>
    <row r="327" spans="2:2">
      <c r="B327" s="3" t="str">
        <f ca="1">IFERROR(__xludf.DUMMYFUNCTION("IF(ISBLANK(A327),"""",GOOGLETRANSLATE(A327,""en"",""fr""))"),"")</f>
        <v/>
      </c>
    </row>
    <row r="328" spans="2:2">
      <c r="B328" s="3" t="str">
        <f ca="1">IFERROR(__xludf.DUMMYFUNCTION("IF(ISBLANK(A328),"""",GOOGLETRANSLATE(A328,""en"",""fr""))"),"")</f>
        <v/>
      </c>
    </row>
    <row r="329" spans="2:2">
      <c r="B329" s="3" t="str">
        <f ca="1">IFERROR(__xludf.DUMMYFUNCTION("IF(ISBLANK(A329),"""",GOOGLETRANSLATE(A329,""en"",""fr""))"),"")</f>
        <v/>
      </c>
    </row>
    <row r="330" spans="2:2">
      <c r="B330" s="3" t="str">
        <f ca="1">IFERROR(__xludf.DUMMYFUNCTION("IF(ISBLANK(A330),"""",GOOGLETRANSLATE(A330,""en"",""fr""))"),"")</f>
        <v/>
      </c>
    </row>
    <row r="331" spans="2:2">
      <c r="B331" s="3" t="str">
        <f ca="1">IFERROR(__xludf.DUMMYFUNCTION("IF(ISBLANK(A331),"""",GOOGLETRANSLATE(A331,""en"",""fr""))"),"")</f>
        <v/>
      </c>
    </row>
    <row r="332" spans="2:2">
      <c r="B332" s="3" t="str">
        <f ca="1">IFERROR(__xludf.DUMMYFUNCTION("IF(ISBLANK(A332),"""",GOOGLETRANSLATE(A332,""en"",""fr""))"),"")</f>
        <v/>
      </c>
    </row>
    <row r="333" spans="2:2">
      <c r="B333" s="3" t="str">
        <f ca="1">IFERROR(__xludf.DUMMYFUNCTION("IF(ISBLANK(A333),"""",GOOGLETRANSLATE(A333,""en"",""fr""))"),"")</f>
        <v/>
      </c>
    </row>
    <row r="334" spans="2:2">
      <c r="B334" s="3" t="str">
        <f ca="1">IFERROR(__xludf.DUMMYFUNCTION("IF(ISBLANK(A334),"""",GOOGLETRANSLATE(A334,""en"",""fr""))"),"")</f>
        <v/>
      </c>
    </row>
    <row r="335" spans="2:2">
      <c r="B335" s="3" t="str">
        <f ca="1">IFERROR(__xludf.DUMMYFUNCTION("IF(ISBLANK(A335),"""",GOOGLETRANSLATE(A335,""en"",""fr""))"),"")</f>
        <v/>
      </c>
    </row>
    <row r="336" spans="2:2">
      <c r="B336" s="3" t="str">
        <f ca="1">IFERROR(__xludf.DUMMYFUNCTION("IF(ISBLANK(A336),"""",GOOGLETRANSLATE(A336,""en"",""fr""))"),"")</f>
        <v/>
      </c>
    </row>
    <row r="337" spans="2:2">
      <c r="B337" s="3" t="str">
        <f ca="1">IFERROR(__xludf.DUMMYFUNCTION("IF(ISBLANK(A337),"""",GOOGLETRANSLATE(A337,""en"",""fr""))"),"")</f>
        <v/>
      </c>
    </row>
    <row r="338" spans="2:2">
      <c r="B338" s="3" t="str">
        <f ca="1">IFERROR(__xludf.DUMMYFUNCTION("IF(ISBLANK(A338),"""",GOOGLETRANSLATE(A338,""en"",""fr""))"),"")</f>
        <v/>
      </c>
    </row>
    <row r="339" spans="2:2">
      <c r="B339" s="3" t="str">
        <f ca="1">IFERROR(__xludf.DUMMYFUNCTION("IF(ISBLANK(A339),"""",GOOGLETRANSLATE(A339,""en"",""fr""))"),"")</f>
        <v/>
      </c>
    </row>
    <row r="340" spans="2:2">
      <c r="B340" s="3" t="str">
        <f ca="1">IFERROR(__xludf.DUMMYFUNCTION("IF(ISBLANK(A340),"""",GOOGLETRANSLATE(A340,""en"",""fr""))"),"")</f>
        <v/>
      </c>
    </row>
    <row r="341" spans="2:2">
      <c r="B341" s="3" t="str">
        <f ca="1">IFERROR(__xludf.DUMMYFUNCTION("IF(ISBLANK(A341),"""",GOOGLETRANSLATE(A341,""en"",""fr""))"),"")</f>
        <v/>
      </c>
    </row>
    <row r="342" spans="2:2">
      <c r="B342" s="3" t="str">
        <f ca="1">IFERROR(__xludf.DUMMYFUNCTION("IF(ISBLANK(A342),"""",GOOGLETRANSLATE(A342,""en"",""fr""))"),"")</f>
        <v/>
      </c>
    </row>
    <row r="343" spans="2:2">
      <c r="B343" s="3" t="str">
        <f ca="1">IFERROR(__xludf.DUMMYFUNCTION("IF(ISBLANK(A343),"""",GOOGLETRANSLATE(A343,""en"",""fr""))"),"")</f>
        <v/>
      </c>
    </row>
    <row r="344" spans="2:2">
      <c r="B344" s="3" t="str">
        <f ca="1">IFERROR(__xludf.DUMMYFUNCTION("IF(ISBLANK(A344),"""",GOOGLETRANSLATE(A344,""en"",""fr""))"),"")</f>
        <v/>
      </c>
    </row>
    <row r="345" spans="2:2">
      <c r="B345" s="3" t="str">
        <f ca="1">IFERROR(__xludf.DUMMYFUNCTION("IF(ISBLANK(A345),"""",GOOGLETRANSLATE(A345,""en"",""fr""))"),"")</f>
        <v/>
      </c>
    </row>
    <row r="346" spans="2:2">
      <c r="B346" s="3" t="str">
        <f ca="1">IFERROR(__xludf.DUMMYFUNCTION("IF(ISBLANK(A346),"""",GOOGLETRANSLATE(A346,""en"",""fr""))"),"")</f>
        <v/>
      </c>
    </row>
    <row r="347" spans="2:2">
      <c r="B347" s="3" t="str">
        <f ca="1">IFERROR(__xludf.DUMMYFUNCTION("IF(ISBLANK(A347),"""",GOOGLETRANSLATE(A347,""en"",""fr""))"),"")</f>
        <v/>
      </c>
    </row>
    <row r="348" spans="2:2">
      <c r="B348" s="3" t="str">
        <f ca="1">IFERROR(__xludf.DUMMYFUNCTION("IF(ISBLANK(A348),"""",GOOGLETRANSLATE(A348,""en"",""fr""))"),"")</f>
        <v/>
      </c>
    </row>
    <row r="349" spans="2:2">
      <c r="B349" s="3" t="str">
        <f ca="1">IFERROR(__xludf.DUMMYFUNCTION("IF(ISBLANK(A349),"""",GOOGLETRANSLATE(A349,""en"",""fr""))"),"")</f>
        <v/>
      </c>
    </row>
    <row r="350" spans="2:2">
      <c r="B350" s="3" t="str">
        <f ca="1">IFERROR(__xludf.DUMMYFUNCTION("IF(ISBLANK(A350),"""",GOOGLETRANSLATE(A350,""en"",""fr""))"),"")</f>
        <v/>
      </c>
    </row>
    <row r="351" spans="2:2">
      <c r="B351" s="3" t="str">
        <f ca="1">IFERROR(__xludf.DUMMYFUNCTION("IF(ISBLANK(A351),"""",GOOGLETRANSLATE(A351,""en"",""fr""))"),"")</f>
        <v/>
      </c>
    </row>
    <row r="352" spans="2:2">
      <c r="B352" s="3" t="str">
        <f ca="1">IFERROR(__xludf.DUMMYFUNCTION("IF(ISBLANK(A352),"""",GOOGLETRANSLATE(A352,""en"",""fr""))"),"")</f>
        <v/>
      </c>
    </row>
    <row r="353" spans="2:2">
      <c r="B353" s="3" t="str">
        <f ca="1">IFERROR(__xludf.DUMMYFUNCTION("IF(ISBLANK(A353),"""",GOOGLETRANSLATE(A353,""en"",""fr""))"),"")</f>
        <v/>
      </c>
    </row>
    <row r="354" spans="2:2">
      <c r="B354" s="3" t="str">
        <f ca="1">IFERROR(__xludf.DUMMYFUNCTION("IF(ISBLANK(A354),"""",GOOGLETRANSLATE(A354,""en"",""fr""))"),"")</f>
        <v/>
      </c>
    </row>
    <row r="355" spans="2:2">
      <c r="B355" s="3" t="str">
        <f ca="1">IFERROR(__xludf.DUMMYFUNCTION("IF(ISBLANK(A355),"""",GOOGLETRANSLATE(A355,""en"",""fr""))"),"")</f>
        <v/>
      </c>
    </row>
    <row r="356" spans="2:2">
      <c r="B356" s="3" t="str">
        <f ca="1">IFERROR(__xludf.DUMMYFUNCTION("IF(ISBLANK(A356),"""",GOOGLETRANSLATE(A356,""en"",""fr""))"),"")</f>
        <v/>
      </c>
    </row>
    <row r="357" spans="2:2">
      <c r="B357" s="3" t="str">
        <f ca="1">IFERROR(__xludf.DUMMYFUNCTION("IF(ISBLANK(A357),"""",GOOGLETRANSLATE(A357,""en"",""fr""))"),"")</f>
        <v/>
      </c>
    </row>
    <row r="358" spans="2:2">
      <c r="B358" s="3" t="str">
        <f ca="1">IFERROR(__xludf.DUMMYFUNCTION("IF(ISBLANK(A358),"""",GOOGLETRANSLATE(A358,""en"",""fr""))"),"")</f>
        <v/>
      </c>
    </row>
    <row r="359" spans="2:2">
      <c r="B359" s="3" t="str">
        <f ca="1">IFERROR(__xludf.DUMMYFUNCTION("IF(ISBLANK(A359),"""",GOOGLETRANSLATE(A359,""en"",""fr""))"),"")</f>
        <v/>
      </c>
    </row>
    <row r="360" spans="2:2">
      <c r="B360" s="3" t="str">
        <f ca="1">IFERROR(__xludf.DUMMYFUNCTION("IF(ISBLANK(A360),"""",GOOGLETRANSLATE(A360,""en"",""fr""))"),"")</f>
        <v/>
      </c>
    </row>
    <row r="361" spans="2:2">
      <c r="B361" s="3" t="str">
        <f ca="1">IFERROR(__xludf.DUMMYFUNCTION("IF(ISBLANK(A361),"""",GOOGLETRANSLATE(A361,""en"",""fr""))"),"")</f>
        <v/>
      </c>
    </row>
    <row r="362" spans="2:2">
      <c r="B362" s="3" t="str">
        <f ca="1">IFERROR(__xludf.DUMMYFUNCTION("IF(ISBLANK(A362),"""",GOOGLETRANSLATE(A362,""en"",""fr""))"),"")</f>
        <v/>
      </c>
    </row>
    <row r="363" spans="2:2">
      <c r="B363" s="3" t="str">
        <f ca="1">IFERROR(__xludf.DUMMYFUNCTION("IF(ISBLANK(A363),"""",GOOGLETRANSLATE(A363,""en"",""fr""))"),"")</f>
        <v/>
      </c>
    </row>
    <row r="364" spans="2:2">
      <c r="B364" s="3" t="str">
        <f ca="1">IFERROR(__xludf.DUMMYFUNCTION("IF(ISBLANK(A364),"""",GOOGLETRANSLATE(A364,""en"",""fr""))"),"")</f>
        <v/>
      </c>
    </row>
    <row r="365" spans="2:2">
      <c r="B365" s="3" t="str">
        <f ca="1">IFERROR(__xludf.DUMMYFUNCTION("IF(ISBLANK(A365),"""",GOOGLETRANSLATE(A365,""en"",""fr""))"),"")</f>
        <v/>
      </c>
    </row>
    <row r="366" spans="2:2">
      <c r="B366" s="3" t="str">
        <f ca="1">IFERROR(__xludf.DUMMYFUNCTION("IF(ISBLANK(A366),"""",GOOGLETRANSLATE(A366,""en"",""fr""))"),"")</f>
        <v/>
      </c>
    </row>
    <row r="367" spans="2:2">
      <c r="B367" s="3" t="str">
        <f ca="1">IFERROR(__xludf.DUMMYFUNCTION("IF(ISBLANK(A367),"""",GOOGLETRANSLATE(A367,""en"",""fr""))"),"")</f>
        <v/>
      </c>
    </row>
    <row r="368" spans="2:2">
      <c r="B368" s="3" t="str">
        <f ca="1">IFERROR(__xludf.DUMMYFUNCTION("IF(ISBLANK(A368),"""",GOOGLETRANSLATE(A368,""en"",""fr""))"),"")</f>
        <v/>
      </c>
    </row>
    <row r="369" spans="2:2">
      <c r="B369" s="3" t="str">
        <f ca="1">IFERROR(__xludf.DUMMYFUNCTION("IF(ISBLANK(A369),"""",GOOGLETRANSLATE(A369,""en"",""fr""))"),"")</f>
        <v/>
      </c>
    </row>
    <row r="370" spans="2:2">
      <c r="B370" s="3" t="str">
        <f ca="1">IFERROR(__xludf.DUMMYFUNCTION("IF(ISBLANK(A370),"""",GOOGLETRANSLATE(A370,""en"",""fr""))"),"")</f>
        <v/>
      </c>
    </row>
    <row r="371" spans="2:2">
      <c r="B371" s="3" t="str">
        <f ca="1">IFERROR(__xludf.DUMMYFUNCTION("IF(ISBLANK(A371),"""",GOOGLETRANSLATE(A371,""en"",""fr""))"),"")</f>
        <v/>
      </c>
    </row>
    <row r="372" spans="2:2">
      <c r="B372" s="3" t="str">
        <f ca="1">IFERROR(__xludf.DUMMYFUNCTION("IF(ISBLANK(A372),"""",GOOGLETRANSLATE(A372,""en"",""fr""))"),"")</f>
        <v/>
      </c>
    </row>
    <row r="373" spans="2:2">
      <c r="B373" s="3" t="str">
        <f ca="1">IFERROR(__xludf.DUMMYFUNCTION("IF(ISBLANK(A373),"""",GOOGLETRANSLATE(A373,""en"",""fr""))"),"")</f>
        <v/>
      </c>
    </row>
    <row r="374" spans="2:2">
      <c r="B374" s="3" t="str">
        <f ca="1">IFERROR(__xludf.DUMMYFUNCTION("IF(ISBLANK(A374),"""",GOOGLETRANSLATE(A374,""en"",""fr""))"),"")</f>
        <v/>
      </c>
    </row>
    <row r="375" spans="2:2">
      <c r="B375" s="3" t="str">
        <f ca="1">IFERROR(__xludf.DUMMYFUNCTION("IF(ISBLANK(A375),"""",GOOGLETRANSLATE(A375,""en"",""fr""))"),"")</f>
        <v/>
      </c>
    </row>
    <row r="376" spans="2:2">
      <c r="B376" s="3" t="str">
        <f ca="1">IFERROR(__xludf.DUMMYFUNCTION("IF(ISBLANK(A376),"""",GOOGLETRANSLATE(A376,""en"",""fr""))"),"")</f>
        <v/>
      </c>
    </row>
    <row r="377" spans="2:2">
      <c r="B377" s="3" t="str">
        <f ca="1">IFERROR(__xludf.DUMMYFUNCTION("IF(ISBLANK(A377),"""",GOOGLETRANSLATE(A377,""en"",""fr""))"),"")</f>
        <v/>
      </c>
    </row>
    <row r="378" spans="2:2">
      <c r="B378" s="3" t="str">
        <f ca="1">IFERROR(__xludf.DUMMYFUNCTION("IF(ISBLANK(A378),"""",GOOGLETRANSLATE(A378,""en"",""fr""))"),"")</f>
        <v/>
      </c>
    </row>
    <row r="379" spans="2:2">
      <c r="B379" s="3" t="str">
        <f ca="1">IFERROR(__xludf.DUMMYFUNCTION("IF(ISBLANK(A379),"""",GOOGLETRANSLATE(A379,""en"",""fr""))"),"")</f>
        <v/>
      </c>
    </row>
    <row r="380" spans="2:2">
      <c r="B380" s="3" t="str">
        <f ca="1">IFERROR(__xludf.DUMMYFUNCTION("IF(ISBLANK(A380),"""",GOOGLETRANSLATE(A380,""en"",""fr""))"),"")</f>
        <v/>
      </c>
    </row>
    <row r="381" spans="2:2">
      <c r="B381" s="3" t="str">
        <f ca="1">IFERROR(__xludf.DUMMYFUNCTION("IF(ISBLANK(A381),"""",GOOGLETRANSLATE(A381,""en"",""fr""))"),"")</f>
        <v/>
      </c>
    </row>
    <row r="382" spans="2:2">
      <c r="B382" s="3" t="str">
        <f ca="1">IFERROR(__xludf.DUMMYFUNCTION("IF(ISBLANK(A382),"""",GOOGLETRANSLATE(A382,""en"",""fr""))"),"")</f>
        <v/>
      </c>
    </row>
    <row r="383" spans="2:2">
      <c r="B383" s="3" t="str">
        <f ca="1">IFERROR(__xludf.DUMMYFUNCTION("IF(ISBLANK(A383),"""",GOOGLETRANSLATE(A383,""en"",""fr""))"),"")</f>
        <v/>
      </c>
    </row>
    <row r="384" spans="2:2">
      <c r="B384" s="3" t="str">
        <f ca="1">IFERROR(__xludf.DUMMYFUNCTION("IF(ISBLANK(A384),"""",GOOGLETRANSLATE(A384,""en"",""fr""))"),"")</f>
        <v/>
      </c>
    </row>
    <row r="385" spans="2:2">
      <c r="B385" s="3" t="str">
        <f ca="1">IFERROR(__xludf.DUMMYFUNCTION("IF(ISBLANK(A385),"""",GOOGLETRANSLATE(A385,""en"",""fr""))"),"")</f>
        <v/>
      </c>
    </row>
    <row r="386" spans="2:2">
      <c r="B386" s="3" t="str">
        <f ca="1">IFERROR(__xludf.DUMMYFUNCTION("IF(ISBLANK(A386),"""",GOOGLETRANSLATE(A386,""en"",""fr""))"),"")</f>
        <v/>
      </c>
    </row>
    <row r="387" spans="2:2">
      <c r="B387" s="3" t="str">
        <f ca="1">IFERROR(__xludf.DUMMYFUNCTION("IF(ISBLANK(A387),"""",GOOGLETRANSLATE(A387,""en"",""fr""))"),"")</f>
        <v/>
      </c>
    </row>
    <row r="388" spans="2:2">
      <c r="B388" s="3" t="str">
        <f ca="1">IFERROR(__xludf.DUMMYFUNCTION("IF(ISBLANK(A388),"""",GOOGLETRANSLATE(A388,""en"",""fr""))"),"")</f>
        <v/>
      </c>
    </row>
    <row r="389" spans="2:2">
      <c r="B389" s="3" t="str">
        <f ca="1">IFERROR(__xludf.DUMMYFUNCTION("IF(ISBLANK(A389),"""",GOOGLETRANSLATE(A389,""en"",""fr""))"),"")</f>
        <v/>
      </c>
    </row>
    <row r="390" spans="2:2">
      <c r="B390" s="3" t="str">
        <f ca="1">IFERROR(__xludf.DUMMYFUNCTION("IF(ISBLANK(A390),"""",GOOGLETRANSLATE(A390,""en"",""fr""))"),"")</f>
        <v/>
      </c>
    </row>
    <row r="391" spans="2:2">
      <c r="B391" s="3" t="str">
        <f ca="1">IFERROR(__xludf.DUMMYFUNCTION("IF(ISBLANK(A391),"""",GOOGLETRANSLATE(A391,""en"",""fr""))"),"")</f>
        <v/>
      </c>
    </row>
    <row r="392" spans="2:2">
      <c r="B392" s="3" t="str">
        <f ca="1">IFERROR(__xludf.DUMMYFUNCTION("IF(ISBLANK(A392),"""",GOOGLETRANSLATE(A392,""en"",""fr""))"),"")</f>
        <v/>
      </c>
    </row>
    <row r="393" spans="2:2">
      <c r="B393" s="3" t="str">
        <f ca="1">IFERROR(__xludf.DUMMYFUNCTION("IF(ISBLANK(A393),"""",GOOGLETRANSLATE(A393,""en"",""fr""))"),"")</f>
        <v/>
      </c>
    </row>
    <row r="394" spans="2:2">
      <c r="B394" s="3" t="str">
        <f ca="1">IFERROR(__xludf.DUMMYFUNCTION("IF(ISBLANK(A394),"""",GOOGLETRANSLATE(A394,""en"",""fr""))"),"")</f>
        <v/>
      </c>
    </row>
    <row r="395" spans="2:2">
      <c r="B395" s="3" t="str">
        <f ca="1">IFERROR(__xludf.DUMMYFUNCTION("IF(ISBLANK(A395),"""",GOOGLETRANSLATE(A395,""en"",""fr""))"),"")</f>
        <v/>
      </c>
    </row>
    <row r="396" spans="2:2">
      <c r="B396" s="3" t="str">
        <f ca="1">IFERROR(__xludf.DUMMYFUNCTION("IF(ISBLANK(A396),"""",GOOGLETRANSLATE(A396,""en"",""fr""))"),"")</f>
        <v/>
      </c>
    </row>
    <row r="397" spans="2:2">
      <c r="B397" s="3" t="str">
        <f ca="1">IFERROR(__xludf.DUMMYFUNCTION("IF(ISBLANK(A397),"""",GOOGLETRANSLATE(A397,""en"",""fr""))"),"")</f>
        <v/>
      </c>
    </row>
    <row r="398" spans="2:2">
      <c r="B398" s="3" t="str">
        <f ca="1">IFERROR(__xludf.DUMMYFUNCTION("IF(ISBLANK(A398),"""",GOOGLETRANSLATE(A398,""en"",""fr""))"),"")</f>
        <v/>
      </c>
    </row>
    <row r="399" spans="2:2">
      <c r="B399" s="3" t="str">
        <f ca="1">IFERROR(__xludf.DUMMYFUNCTION("IF(ISBLANK(A399),"""",GOOGLETRANSLATE(A399,""en"",""fr""))"),"")</f>
        <v/>
      </c>
    </row>
    <row r="400" spans="2:2">
      <c r="B400" s="3" t="str">
        <f ca="1">IFERROR(__xludf.DUMMYFUNCTION("IF(ISBLANK(A400),"""",GOOGLETRANSLATE(A400,""en"",""fr""))"),"")</f>
        <v/>
      </c>
    </row>
    <row r="401" spans="2:2">
      <c r="B401" s="3" t="str">
        <f ca="1">IFERROR(__xludf.DUMMYFUNCTION("IF(ISBLANK(A401),"""",GOOGLETRANSLATE(A401,""en"",""fr""))"),"")</f>
        <v/>
      </c>
    </row>
    <row r="402" spans="2:2">
      <c r="B402" s="3" t="str">
        <f ca="1">IFERROR(__xludf.DUMMYFUNCTION("IF(ISBLANK(A402),"""",GOOGLETRANSLATE(A402,""en"",""fr""))"),"")</f>
        <v/>
      </c>
    </row>
    <row r="403" spans="2:2">
      <c r="B403" s="3" t="str">
        <f ca="1">IFERROR(__xludf.DUMMYFUNCTION("IF(ISBLANK(A403),"""",GOOGLETRANSLATE(A403,""en"",""fr""))"),"")</f>
        <v/>
      </c>
    </row>
    <row r="404" spans="2:2">
      <c r="B404" s="3" t="str">
        <f ca="1">IFERROR(__xludf.DUMMYFUNCTION("IF(ISBLANK(A404),"""",GOOGLETRANSLATE(A404,""en"",""fr""))"),"")</f>
        <v/>
      </c>
    </row>
    <row r="405" spans="2:2">
      <c r="B405" s="3" t="str">
        <f ca="1">IFERROR(__xludf.DUMMYFUNCTION("IF(ISBLANK(A405),"""",GOOGLETRANSLATE(A405,""en"",""fr""))"),"")</f>
        <v/>
      </c>
    </row>
    <row r="406" spans="2:2">
      <c r="B406" s="3" t="str">
        <f ca="1">IFERROR(__xludf.DUMMYFUNCTION("IF(ISBLANK(A406),"""",GOOGLETRANSLATE(A406,""en"",""fr""))"),"")</f>
        <v/>
      </c>
    </row>
    <row r="407" spans="2:2">
      <c r="B407" s="3" t="str">
        <f ca="1">IFERROR(__xludf.DUMMYFUNCTION("IF(ISBLANK(A407),"""",GOOGLETRANSLATE(A407,""en"",""fr""))"),"")</f>
        <v/>
      </c>
    </row>
    <row r="408" spans="2:2">
      <c r="B408" s="3" t="str">
        <f ca="1">IFERROR(__xludf.DUMMYFUNCTION("IF(ISBLANK(A408),"""",GOOGLETRANSLATE(A408,""en"",""fr""))"),"")</f>
        <v/>
      </c>
    </row>
    <row r="409" spans="2:2">
      <c r="B409" s="3" t="str">
        <f ca="1">IFERROR(__xludf.DUMMYFUNCTION("IF(ISBLANK(A409),"""",GOOGLETRANSLATE(A409,""en"",""fr""))"),"")</f>
        <v/>
      </c>
    </row>
    <row r="410" spans="2:2">
      <c r="B410" s="3" t="str">
        <f ca="1">IFERROR(__xludf.DUMMYFUNCTION("IF(ISBLANK(A410),"""",GOOGLETRANSLATE(A410,""en"",""fr""))"),"")</f>
        <v/>
      </c>
    </row>
    <row r="411" spans="2:2">
      <c r="B411" s="3" t="str">
        <f ca="1">IFERROR(__xludf.DUMMYFUNCTION("IF(ISBLANK(A411),"""",GOOGLETRANSLATE(A411,""en"",""fr""))"),"")</f>
        <v/>
      </c>
    </row>
    <row r="412" spans="2:2">
      <c r="B412" s="3" t="str">
        <f ca="1">IFERROR(__xludf.DUMMYFUNCTION("IF(ISBLANK(A412),"""",GOOGLETRANSLATE(A412,""en"",""fr""))"),"")</f>
        <v/>
      </c>
    </row>
    <row r="413" spans="2:2">
      <c r="B413" s="3" t="str">
        <f ca="1">IFERROR(__xludf.DUMMYFUNCTION("IF(ISBLANK(A413),"""",GOOGLETRANSLATE(A413,""en"",""fr""))"),"")</f>
        <v/>
      </c>
    </row>
    <row r="414" spans="2:2">
      <c r="B414" s="3" t="str">
        <f ca="1">IFERROR(__xludf.DUMMYFUNCTION("IF(ISBLANK(A414),"""",GOOGLETRANSLATE(A414,""en"",""fr""))"),"")</f>
        <v/>
      </c>
    </row>
    <row r="415" spans="2:2">
      <c r="B415" s="3" t="str">
        <f ca="1">IFERROR(__xludf.DUMMYFUNCTION("IF(ISBLANK(A415),"""",GOOGLETRANSLATE(A415,""en"",""fr""))"),"")</f>
        <v/>
      </c>
    </row>
    <row r="416" spans="2:2">
      <c r="B416" s="3" t="str">
        <f ca="1">IFERROR(__xludf.DUMMYFUNCTION("IF(ISBLANK(A416),"""",GOOGLETRANSLATE(A416,""en"",""fr""))"),"")</f>
        <v/>
      </c>
    </row>
    <row r="417" spans="2:2">
      <c r="B417" s="3" t="str">
        <f ca="1">IFERROR(__xludf.DUMMYFUNCTION("IF(ISBLANK(A417),"""",GOOGLETRANSLATE(A417,""en"",""fr""))"),"")</f>
        <v/>
      </c>
    </row>
    <row r="418" spans="2:2">
      <c r="B418" s="3" t="str">
        <f ca="1">IFERROR(__xludf.DUMMYFUNCTION("IF(ISBLANK(A418),"""",GOOGLETRANSLATE(A418,""en"",""fr""))"),"")</f>
        <v/>
      </c>
    </row>
    <row r="419" spans="2:2">
      <c r="B419" s="3" t="str">
        <f ca="1">IFERROR(__xludf.DUMMYFUNCTION("IF(ISBLANK(A419),"""",GOOGLETRANSLATE(A419,""en"",""fr""))"),"")</f>
        <v/>
      </c>
    </row>
    <row r="420" spans="2:2">
      <c r="B420" s="3" t="str">
        <f ca="1">IFERROR(__xludf.DUMMYFUNCTION("IF(ISBLANK(A420),"""",GOOGLETRANSLATE(A420,""en"",""fr""))"),"")</f>
        <v/>
      </c>
    </row>
    <row r="421" spans="2:2">
      <c r="B421" s="3" t="str">
        <f ca="1">IFERROR(__xludf.DUMMYFUNCTION("IF(ISBLANK(A421),"""",GOOGLETRANSLATE(A421,""en"",""fr""))"),"")</f>
        <v/>
      </c>
    </row>
    <row r="422" spans="2:2">
      <c r="B422" s="3" t="str">
        <f ca="1">IFERROR(__xludf.DUMMYFUNCTION("IF(ISBLANK(A422),"""",GOOGLETRANSLATE(A422,""en"",""fr""))"),"")</f>
        <v/>
      </c>
    </row>
    <row r="423" spans="2:2">
      <c r="B423" s="3" t="str">
        <f ca="1">IFERROR(__xludf.DUMMYFUNCTION("IF(ISBLANK(A423),"""",GOOGLETRANSLATE(A423,""en"",""fr""))"),"")</f>
        <v/>
      </c>
    </row>
    <row r="424" spans="2:2">
      <c r="B424" s="3" t="str">
        <f ca="1">IFERROR(__xludf.DUMMYFUNCTION("IF(ISBLANK(A424),"""",GOOGLETRANSLATE(A424,""en"",""fr""))"),"")</f>
        <v/>
      </c>
    </row>
    <row r="425" spans="2:2">
      <c r="B425" s="3" t="str">
        <f ca="1">IFERROR(__xludf.DUMMYFUNCTION("IF(ISBLANK(A425),"""",GOOGLETRANSLATE(A425,""en"",""fr""))"),"")</f>
        <v/>
      </c>
    </row>
    <row r="426" spans="2:2">
      <c r="B426" s="3" t="str">
        <f ca="1">IFERROR(__xludf.DUMMYFUNCTION("IF(ISBLANK(A426),"""",GOOGLETRANSLATE(A426,""en"",""fr""))"),"")</f>
        <v/>
      </c>
    </row>
    <row r="427" spans="2:2">
      <c r="B427" s="3" t="str">
        <f ca="1">IFERROR(__xludf.DUMMYFUNCTION("IF(ISBLANK(A427),"""",GOOGLETRANSLATE(A427,""en"",""fr""))"),"")</f>
        <v/>
      </c>
    </row>
    <row r="428" spans="2:2">
      <c r="B428" s="3" t="str">
        <f ca="1">IFERROR(__xludf.DUMMYFUNCTION("IF(ISBLANK(A428),"""",GOOGLETRANSLATE(A428,""en"",""fr""))"),"")</f>
        <v/>
      </c>
    </row>
    <row r="429" spans="2:2">
      <c r="B429" s="3" t="str">
        <f ca="1">IFERROR(__xludf.DUMMYFUNCTION("IF(ISBLANK(A429),"""",GOOGLETRANSLATE(A429,""en"",""fr""))"),"")</f>
        <v/>
      </c>
    </row>
    <row r="430" spans="2:2">
      <c r="B430" s="3" t="str">
        <f ca="1">IFERROR(__xludf.DUMMYFUNCTION("IF(ISBLANK(A430),"""",GOOGLETRANSLATE(A430,""en"",""fr""))"),"")</f>
        <v/>
      </c>
    </row>
    <row r="431" spans="2:2">
      <c r="B431" s="3" t="str">
        <f ca="1">IFERROR(__xludf.DUMMYFUNCTION("IF(ISBLANK(A431),"""",GOOGLETRANSLATE(A431,""en"",""fr""))"),"")</f>
        <v/>
      </c>
    </row>
    <row r="432" spans="2:2">
      <c r="B432" s="3" t="str">
        <f ca="1">IFERROR(__xludf.DUMMYFUNCTION("IF(ISBLANK(A432),"""",GOOGLETRANSLATE(A432,""en"",""fr""))"),"")</f>
        <v/>
      </c>
    </row>
    <row r="433" spans="2:2">
      <c r="B433" s="3" t="str">
        <f ca="1">IFERROR(__xludf.DUMMYFUNCTION("IF(ISBLANK(A433),"""",GOOGLETRANSLATE(A433,""en"",""fr""))"),"")</f>
        <v/>
      </c>
    </row>
    <row r="434" spans="2:2">
      <c r="B434" s="3" t="str">
        <f ca="1">IFERROR(__xludf.DUMMYFUNCTION("IF(ISBLANK(A434),"""",GOOGLETRANSLATE(A434,""en"",""fr""))"),"")</f>
        <v/>
      </c>
    </row>
    <row r="435" spans="2:2">
      <c r="B435" s="3" t="str">
        <f ca="1">IFERROR(__xludf.DUMMYFUNCTION("IF(ISBLANK(A435),"""",GOOGLETRANSLATE(A435,""en"",""fr""))"),"")</f>
        <v/>
      </c>
    </row>
    <row r="436" spans="2:2">
      <c r="B436" s="3" t="str">
        <f ca="1">IFERROR(__xludf.DUMMYFUNCTION("IF(ISBLANK(A436),"""",GOOGLETRANSLATE(A436,""en"",""fr""))"),"")</f>
        <v/>
      </c>
    </row>
    <row r="437" spans="2:2">
      <c r="B437" s="3" t="str">
        <f ca="1">IFERROR(__xludf.DUMMYFUNCTION("IF(ISBLANK(A437),"""",GOOGLETRANSLATE(A437,""en"",""fr""))"),"")</f>
        <v/>
      </c>
    </row>
    <row r="438" spans="2:2">
      <c r="B438" s="3" t="str">
        <f ca="1">IFERROR(__xludf.DUMMYFUNCTION("IF(ISBLANK(A438),"""",GOOGLETRANSLATE(A438,""en"",""fr""))"),"")</f>
        <v/>
      </c>
    </row>
    <row r="439" spans="2:2">
      <c r="B439" s="3" t="str">
        <f ca="1">IFERROR(__xludf.DUMMYFUNCTION("IF(ISBLANK(A439),"""",GOOGLETRANSLATE(A439,""en"",""fr""))"),"")</f>
        <v/>
      </c>
    </row>
    <row r="440" spans="2:2">
      <c r="B440" s="3" t="str">
        <f ca="1">IFERROR(__xludf.DUMMYFUNCTION("IF(ISBLANK(A440),"""",GOOGLETRANSLATE(A440,""en"",""fr""))"),"")</f>
        <v/>
      </c>
    </row>
    <row r="441" spans="2:2">
      <c r="B441" s="3" t="str">
        <f ca="1">IFERROR(__xludf.DUMMYFUNCTION("IF(ISBLANK(A441),"""",GOOGLETRANSLATE(A441,""en"",""fr""))"),"")</f>
        <v/>
      </c>
    </row>
    <row r="442" spans="2:2">
      <c r="B442" s="3" t="str">
        <f ca="1">IFERROR(__xludf.DUMMYFUNCTION("IF(ISBLANK(A442),"""",GOOGLETRANSLATE(A442,""en"",""fr""))"),"")</f>
        <v/>
      </c>
    </row>
    <row r="443" spans="2:2">
      <c r="B443" s="3" t="str">
        <f ca="1">IFERROR(__xludf.DUMMYFUNCTION("IF(ISBLANK(A443),"""",GOOGLETRANSLATE(A443,""en"",""fr""))"),"")</f>
        <v/>
      </c>
    </row>
    <row r="444" spans="2:2">
      <c r="B444" s="3" t="str">
        <f ca="1">IFERROR(__xludf.DUMMYFUNCTION("IF(ISBLANK(A444),"""",GOOGLETRANSLATE(A444,""en"",""fr""))"),"")</f>
        <v/>
      </c>
    </row>
    <row r="445" spans="2:2">
      <c r="B445" s="3" t="str">
        <f ca="1">IFERROR(__xludf.DUMMYFUNCTION("IF(ISBLANK(A445),"""",GOOGLETRANSLATE(A445,""en"",""fr""))"),"")</f>
        <v/>
      </c>
    </row>
    <row r="446" spans="2:2">
      <c r="B446" s="3" t="str">
        <f ca="1">IFERROR(__xludf.DUMMYFUNCTION("IF(ISBLANK(A446),"""",GOOGLETRANSLATE(A446,""en"",""fr""))"),"")</f>
        <v/>
      </c>
    </row>
    <row r="447" spans="2:2">
      <c r="B447" s="3" t="str">
        <f ca="1">IFERROR(__xludf.DUMMYFUNCTION("IF(ISBLANK(A447),"""",GOOGLETRANSLATE(A447,""en"",""fr""))"),"")</f>
        <v/>
      </c>
    </row>
    <row r="448" spans="2:2">
      <c r="B448" s="3" t="str">
        <f ca="1">IFERROR(__xludf.DUMMYFUNCTION("IF(ISBLANK(A448),"""",GOOGLETRANSLATE(A448,""en"",""fr""))"),"")</f>
        <v/>
      </c>
    </row>
    <row r="449" spans="2:2">
      <c r="B449" s="3" t="str">
        <f ca="1">IFERROR(__xludf.DUMMYFUNCTION("IF(ISBLANK(A449),"""",GOOGLETRANSLATE(A449,""en"",""fr""))"),"")</f>
        <v/>
      </c>
    </row>
    <row r="450" spans="2:2">
      <c r="B450" s="3" t="str">
        <f ca="1">IFERROR(__xludf.DUMMYFUNCTION("IF(ISBLANK(A450),"""",GOOGLETRANSLATE(A450,""en"",""fr""))"),"")</f>
        <v/>
      </c>
    </row>
    <row r="451" spans="2:2">
      <c r="B451" s="3" t="str">
        <f ca="1">IFERROR(__xludf.DUMMYFUNCTION("IF(ISBLANK(A451),"""",GOOGLETRANSLATE(A451,""en"",""fr""))"),"")</f>
        <v/>
      </c>
    </row>
    <row r="452" spans="2:2">
      <c r="B452" s="3" t="str">
        <f ca="1">IFERROR(__xludf.DUMMYFUNCTION("IF(ISBLANK(A452),"""",GOOGLETRANSLATE(A452,""en"",""fr""))"),"")</f>
        <v/>
      </c>
    </row>
    <row r="453" spans="2:2">
      <c r="B453" s="3" t="str">
        <f ca="1">IFERROR(__xludf.DUMMYFUNCTION("IF(ISBLANK(A453),"""",GOOGLETRANSLATE(A453,""en"",""fr""))"),"")</f>
        <v/>
      </c>
    </row>
    <row r="454" spans="2:2">
      <c r="B454" s="3" t="str">
        <f ca="1">IFERROR(__xludf.DUMMYFUNCTION("IF(ISBLANK(A454),"""",GOOGLETRANSLATE(A454,""en"",""fr""))"),"")</f>
        <v/>
      </c>
    </row>
    <row r="455" spans="2:2">
      <c r="B455" s="3" t="str">
        <f ca="1">IFERROR(__xludf.DUMMYFUNCTION("IF(ISBLANK(A455),"""",GOOGLETRANSLATE(A455,""en"",""fr""))"),"")</f>
        <v/>
      </c>
    </row>
    <row r="456" spans="2:2">
      <c r="B456" s="3" t="str">
        <f ca="1">IFERROR(__xludf.DUMMYFUNCTION("IF(ISBLANK(A456),"""",GOOGLETRANSLATE(A456,""en"",""fr""))"),"")</f>
        <v/>
      </c>
    </row>
    <row r="457" spans="2:2">
      <c r="B457" s="3" t="str">
        <f ca="1">IFERROR(__xludf.DUMMYFUNCTION("IF(ISBLANK(A457),"""",GOOGLETRANSLATE(A457,""en"",""fr""))"),"")</f>
        <v/>
      </c>
    </row>
    <row r="458" spans="2:2">
      <c r="B458" s="3" t="str">
        <f ca="1">IFERROR(__xludf.DUMMYFUNCTION("IF(ISBLANK(A458),"""",GOOGLETRANSLATE(A458,""en"",""fr""))"),"")</f>
        <v/>
      </c>
    </row>
    <row r="459" spans="2:2">
      <c r="B459" s="3" t="str">
        <f ca="1">IFERROR(__xludf.DUMMYFUNCTION("IF(ISBLANK(A459),"""",GOOGLETRANSLATE(A459,""en"",""fr""))"),"")</f>
        <v/>
      </c>
    </row>
    <row r="460" spans="2:2">
      <c r="B460" s="3" t="str">
        <f ca="1">IFERROR(__xludf.DUMMYFUNCTION("IF(ISBLANK(A460),"""",GOOGLETRANSLATE(A460,""en"",""fr""))"),"")</f>
        <v/>
      </c>
    </row>
    <row r="461" spans="2:2">
      <c r="B461" s="3" t="str">
        <f ca="1">IFERROR(__xludf.DUMMYFUNCTION("IF(ISBLANK(A461),"""",GOOGLETRANSLATE(A461,""en"",""fr""))"),"")</f>
        <v/>
      </c>
    </row>
    <row r="462" spans="2:2">
      <c r="B462" s="3" t="str">
        <f ca="1">IFERROR(__xludf.DUMMYFUNCTION("IF(ISBLANK(A462),"""",GOOGLETRANSLATE(A462,""en"",""fr""))"),"")</f>
        <v/>
      </c>
    </row>
    <row r="463" spans="2:2">
      <c r="B463" s="3" t="str">
        <f ca="1">IFERROR(__xludf.DUMMYFUNCTION("IF(ISBLANK(A463),"""",GOOGLETRANSLATE(A463,""en"",""fr""))"),"")</f>
        <v/>
      </c>
    </row>
    <row r="464" spans="2:2">
      <c r="B464" s="3" t="str">
        <f ca="1">IFERROR(__xludf.DUMMYFUNCTION("IF(ISBLANK(A464),"""",GOOGLETRANSLATE(A464,""en"",""fr""))"),"")</f>
        <v/>
      </c>
    </row>
    <row r="465" spans="2:2">
      <c r="B465" s="3" t="str">
        <f ca="1">IFERROR(__xludf.DUMMYFUNCTION("IF(ISBLANK(A465),"""",GOOGLETRANSLATE(A465,""en"",""fr""))"),"")</f>
        <v/>
      </c>
    </row>
    <row r="466" spans="2:2">
      <c r="B466" s="3" t="str">
        <f ca="1">IFERROR(__xludf.DUMMYFUNCTION("IF(ISBLANK(A466),"""",GOOGLETRANSLATE(A466,""en"",""fr""))"),"")</f>
        <v/>
      </c>
    </row>
    <row r="467" spans="2:2">
      <c r="B467" s="3" t="str">
        <f ca="1">IFERROR(__xludf.DUMMYFUNCTION("IF(ISBLANK(A467),"""",GOOGLETRANSLATE(A467,""en"",""fr""))"),"")</f>
        <v/>
      </c>
    </row>
    <row r="468" spans="2:2">
      <c r="B468" s="3" t="str">
        <f ca="1">IFERROR(__xludf.DUMMYFUNCTION("IF(ISBLANK(A468),"""",GOOGLETRANSLATE(A468,""en"",""fr""))"),"")</f>
        <v/>
      </c>
    </row>
    <row r="469" spans="2:2">
      <c r="B469" s="3" t="str">
        <f ca="1">IFERROR(__xludf.DUMMYFUNCTION("IF(ISBLANK(A469),"""",GOOGLETRANSLATE(A469,""en"",""fr""))"),"")</f>
        <v/>
      </c>
    </row>
    <row r="470" spans="2:2">
      <c r="B470" s="3" t="str">
        <f ca="1">IFERROR(__xludf.DUMMYFUNCTION("IF(ISBLANK(A470),"""",GOOGLETRANSLATE(A470,""en"",""fr""))"),"")</f>
        <v/>
      </c>
    </row>
    <row r="471" spans="2:2">
      <c r="B471" s="3" t="str">
        <f ca="1">IFERROR(__xludf.DUMMYFUNCTION("IF(ISBLANK(A471),"""",GOOGLETRANSLATE(A471,""en"",""fr""))"),"")</f>
        <v/>
      </c>
    </row>
    <row r="472" spans="2:2">
      <c r="B472" s="3" t="str">
        <f ca="1">IFERROR(__xludf.DUMMYFUNCTION("IF(ISBLANK(A472),"""",GOOGLETRANSLATE(A472,""en"",""fr""))"),"")</f>
        <v/>
      </c>
    </row>
    <row r="473" spans="2:2">
      <c r="B473" s="3" t="str">
        <f ca="1">IFERROR(__xludf.DUMMYFUNCTION("IF(ISBLANK(A473),"""",GOOGLETRANSLATE(A473,""en"",""fr""))"),"")</f>
        <v/>
      </c>
    </row>
    <row r="474" spans="2:2">
      <c r="B474" s="3" t="str">
        <f ca="1">IFERROR(__xludf.DUMMYFUNCTION("IF(ISBLANK(A474),"""",GOOGLETRANSLATE(A474,""en"",""fr""))"),"")</f>
        <v/>
      </c>
    </row>
    <row r="475" spans="2:2">
      <c r="B475" s="3" t="str">
        <f ca="1">IFERROR(__xludf.DUMMYFUNCTION("IF(ISBLANK(A475),"""",GOOGLETRANSLATE(A475,""en"",""fr""))"),"")</f>
        <v/>
      </c>
    </row>
    <row r="476" spans="2:2">
      <c r="B476" s="3" t="str">
        <f ca="1">IFERROR(__xludf.DUMMYFUNCTION("IF(ISBLANK(A476),"""",GOOGLETRANSLATE(A476,""en"",""fr""))"),"")</f>
        <v/>
      </c>
    </row>
    <row r="477" spans="2:2">
      <c r="B477" s="3" t="str">
        <f ca="1">IFERROR(__xludf.DUMMYFUNCTION("IF(ISBLANK(A477),"""",GOOGLETRANSLATE(A477,""en"",""fr""))"),"")</f>
        <v/>
      </c>
    </row>
    <row r="478" spans="2:2">
      <c r="B478" s="3" t="str">
        <f ca="1">IFERROR(__xludf.DUMMYFUNCTION("IF(ISBLANK(A478),"""",GOOGLETRANSLATE(A478,""en"",""fr""))"),"")</f>
        <v/>
      </c>
    </row>
    <row r="479" spans="2:2">
      <c r="B479" s="3" t="str">
        <f ca="1">IFERROR(__xludf.DUMMYFUNCTION("IF(ISBLANK(A479),"""",GOOGLETRANSLATE(A479,""en"",""fr""))"),"")</f>
        <v/>
      </c>
    </row>
    <row r="480" spans="2:2">
      <c r="B480" s="3" t="str">
        <f ca="1">IFERROR(__xludf.DUMMYFUNCTION("IF(ISBLANK(A480),"""",GOOGLETRANSLATE(A480,""en"",""fr""))"),"")</f>
        <v/>
      </c>
    </row>
    <row r="481" spans="2:2">
      <c r="B481" s="3" t="str">
        <f ca="1">IFERROR(__xludf.DUMMYFUNCTION("IF(ISBLANK(A481),"""",GOOGLETRANSLATE(A481,""en"",""fr""))"),"")</f>
        <v/>
      </c>
    </row>
    <row r="482" spans="2:2">
      <c r="B482" s="3" t="str">
        <f ca="1">IFERROR(__xludf.DUMMYFUNCTION("IF(ISBLANK(A482),"""",GOOGLETRANSLATE(A482,""en"",""fr""))"),"")</f>
        <v/>
      </c>
    </row>
    <row r="483" spans="2:2">
      <c r="B483" s="3" t="str">
        <f ca="1">IFERROR(__xludf.DUMMYFUNCTION("IF(ISBLANK(A483),"""",GOOGLETRANSLATE(A483,""en"",""fr""))"),"")</f>
        <v/>
      </c>
    </row>
    <row r="484" spans="2:2">
      <c r="B484" s="3" t="str">
        <f ca="1">IFERROR(__xludf.DUMMYFUNCTION("IF(ISBLANK(A484),"""",GOOGLETRANSLATE(A484,""en"",""fr""))"),"")</f>
        <v/>
      </c>
    </row>
    <row r="485" spans="2:2">
      <c r="B485" s="3" t="str">
        <f ca="1">IFERROR(__xludf.DUMMYFUNCTION("IF(ISBLANK(A485),"""",GOOGLETRANSLATE(A485,""en"",""fr""))"),"")</f>
        <v/>
      </c>
    </row>
    <row r="486" spans="2:2">
      <c r="B486" s="3" t="str">
        <f ca="1">IFERROR(__xludf.DUMMYFUNCTION("IF(ISBLANK(A486),"""",GOOGLETRANSLATE(A486,""en"",""fr""))"),"")</f>
        <v/>
      </c>
    </row>
    <row r="487" spans="2:2">
      <c r="B487" s="3" t="str">
        <f ca="1">IFERROR(__xludf.DUMMYFUNCTION("IF(ISBLANK(A487),"""",GOOGLETRANSLATE(A487,""en"",""fr""))"),"")</f>
        <v/>
      </c>
    </row>
    <row r="488" spans="2:2">
      <c r="B488" s="3" t="str">
        <f ca="1">IFERROR(__xludf.DUMMYFUNCTION("IF(ISBLANK(A488),"""",GOOGLETRANSLATE(A488,""en"",""fr""))"),"")</f>
        <v/>
      </c>
    </row>
    <row r="489" spans="2:2">
      <c r="B489" s="3" t="str">
        <f ca="1">IFERROR(__xludf.DUMMYFUNCTION("IF(ISBLANK(A489),"""",GOOGLETRANSLATE(A489,""en"",""fr""))"),"")</f>
        <v/>
      </c>
    </row>
    <row r="490" spans="2:2">
      <c r="B490" s="3" t="str">
        <f ca="1">IFERROR(__xludf.DUMMYFUNCTION("IF(ISBLANK(A490),"""",GOOGLETRANSLATE(A490,""en"",""fr""))"),"")</f>
        <v/>
      </c>
    </row>
    <row r="491" spans="2:2">
      <c r="B491" s="3" t="str">
        <f ca="1">IFERROR(__xludf.DUMMYFUNCTION("IF(ISBLANK(A491),"""",GOOGLETRANSLATE(A491,""en"",""fr""))"),"")</f>
        <v/>
      </c>
    </row>
    <row r="492" spans="2:2">
      <c r="B492" s="3" t="str">
        <f ca="1">IFERROR(__xludf.DUMMYFUNCTION("IF(ISBLANK(A492),"""",GOOGLETRANSLATE(A492,""en"",""fr""))"),"")</f>
        <v/>
      </c>
    </row>
    <row r="493" spans="2:2">
      <c r="B493" s="3" t="str">
        <f ca="1">IFERROR(__xludf.DUMMYFUNCTION("IF(ISBLANK(A493),"""",GOOGLETRANSLATE(A493,""en"",""fr""))"),"")</f>
        <v/>
      </c>
    </row>
    <row r="494" spans="2:2">
      <c r="B494" s="3" t="str">
        <f ca="1">IFERROR(__xludf.DUMMYFUNCTION("IF(ISBLANK(A494),"""",GOOGLETRANSLATE(A494,""en"",""fr""))"),"")</f>
        <v/>
      </c>
    </row>
    <row r="495" spans="2:2">
      <c r="B495" s="3" t="str">
        <f ca="1">IFERROR(__xludf.DUMMYFUNCTION("IF(ISBLANK(A495),"""",GOOGLETRANSLATE(A495,""en"",""fr""))"),"")</f>
        <v/>
      </c>
    </row>
    <row r="496" spans="2:2">
      <c r="B496" s="3" t="str">
        <f ca="1">IFERROR(__xludf.DUMMYFUNCTION("IF(ISBLANK(A496),"""",GOOGLETRANSLATE(A496,""en"",""fr""))"),"")</f>
        <v/>
      </c>
    </row>
    <row r="497" spans="2:2">
      <c r="B497" s="3" t="str">
        <f ca="1">IFERROR(__xludf.DUMMYFUNCTION("IF(ISBLANK(A497),"""",GOOGLETRANSLATE(A497,""en"",""fr""))"),"")</f>
        <v/>
      </c>
    </row>
    <row r="498" spans="2:2">
      <c r="B498" s="3" t="str">
        <f ca="1">IFERROR(__xludf.DUMMYFUNCTION("IF(ISBLANK(A498),"""",GOOGLETRANSLATE(A498,""en"",""fr""))"),"")</f>
        <v/>
      </c>
    </row>
    <row r="499" spans="2:2">
      <c r="B499" s="3" t="str">
        <f ca="1">IFERROR(__xludf.DUMMYFUNCTION("IF(ISBLANK(A499),"""",GOOGLETRANSLATE(A499,""en"",""fr""))"),"")</f>
        <v/>
      </c>
    </row>
    <row r="500" spans="2:2">
      <c r="B500" s="3" t="str">
        <f ca="1">IFERROR(__xludf.DUMMYFUNCTION("IF(ISBLANK(A500),"""",GOOGLETRANSLATE(A500,""en"",""fr""))"),"")</f>
        <v/>
      </c>
    </row>
    <row r="501" spans="2:2">
      <c r="B501" s="3" t="str">
        <f ca="1">IFERROR(__xludf.DUMMYFUNCTION("IF(ISBLANK(A501),"""",GOOGLETRANSLATE(A501,""en"",""fr""))"),"")</f>
        <v/>
      </c>
    </row>
    <row r="502" spans="2:2">
      <c r="B502" s="3" t="str">
        <f ca="1">IFERROR(__xludf.DUMMYFUNCTION("IF(ISBLANK(A502),"""",GOOGLETRANSLATE(A502,""en"",""fr""))"),"")</f>
        <v/>
      </c>
    </row>
    <row r="503" spans="2:2">
      <c r="B503" s="3" t="str">
        <f ca="1">IFERROR(__xludf.DUMMYFUNCTION("IF(ISBLANK(A503),"""",GOOGLETRANSLATE(A503,""en"",""fr""))"),"")</f>
        <v/>
      </c>
    </row>
    <row r="504" spans="2:2">
      <c r="B504" s="3" t="str">
        <f ca="1">IFERROR(__xludf.DUMMYFUNCTION("IF(ISBLANK(A504),"""",GOOGLETRANSLATE(A504,""en"",""fr""))"),"")</f>
        <v/>
      </c>
    </row>
    <row r="505" spans="2:2">
      <c r="B505" s="3" t="str">
        <f ca="1">IFERROR(__xludf.DUMMYFUNCTION("IF(ISBLANK(A505),"""",GOOGLETRANSLATE(A505,""en"",""fr""))"),"")</f>
        <v/>
      </c>
    </row>
    <row r="506" spans="2:2">
      <c r="B506" s="3" t="str">
        <f ca="1">IFERROR(__xludf.DUMMYFUNCTION("IF(ISBLANK(A506),"""",GOOGLETRANSLATE(A506,""en"",""fr""))"),"")</f>
        <v/>
      </c>
    </row>
    <row r="507" spans="2:2">
      <c r="B507" s="3" t="str">
        <f ca="1">IFERROR(__xludf.DUMMYFUNCTION("IF(ISBLANK(A507),"""",GOOGLETRANSLATE(A507,""en"",""fr""))"),"")</f>
        <v/>
      </c>
    </row>
    <row r="508" spans="2:2">
      <c r="B508" s="3" t="str">
        <f ca="1">IFERROR(__xludf.DUMMYFUNCTION("IF(ISBLANK(A508),"""",GOOGLETRANSLATE(A508,""en"",""fr""))"),"")</f>
        <v/>
      </c>
    </row>
    <row r="509" spans="2:2">
      <c r="B509" s="3" t="str">
        <f ca="1">IFERROR(__xludf.DUMMYFUNCTION("IF(ISBLANK(A509),"""",GOOGLETRANSLATE(A509,""en"",""fr""))"),"")</f>
        <v/>
      </c>
    </row>
    <row r="510" spans="2:2">
      <c r="B510" s="3" t="str">
        <f ca="1">IFERROR(__xludf.DUMMYFUNCTION("IF(ISBLANK(A510),"""",GOOGLETRANSLATE(A510,""en"",""fr""))"),"")</f>
        <v/>
      </c>
    </row>
    <row r="511" spans="2:2">
      <c r="B511" s="3" t="str">
        <f ca="1">IFERROR(__xludf.DUMMYFUNCTION("IF(ISBLANK(A511),"""",GOOGLETRANSLATE(A511,""en"",""fr""))"),"")</f>
        <v/>
      </c>
    </row>
    <row r="512" spans="2:2">
      <c r="B512" s="3" t="str">
        <f ca="1">IFERROR(__xludf.DUMMYFUNCTION("IF(ISBLANK(A512),"""",GOOGLETRANSLATE(A512,""en"",""fr""))"),"")</f>
        <v/>
      </c>
    </row>
    <row r="513" spans="2:2">
      <c r="B513" s="3" t="str">
        <f ca="1">IFERROR(__xludf.DUMMYFUNCTION("IF(ISBLANK(A513),"""",GOOGLETRANSLATE(A513,""en"",""fr""))"),"")</f>
        <v/>
      </c>
    </row>
    <row r="514" spans="2:2">
      <c r="B514" s="3" t="str">
        <f ca="1">IFERROR(__xludf.DUMMYFUNCTION("IF(ISBLANK(A514),"""",GOOGLETRANSLATE(A514,""en"",""fr""))"),"")</f>
        <v/>
      </c>
    </row>
    <row r="515" spans="2:2">
      <c r="B515" s="3" t="str">
        <f ca="1">IFERROR(__xludf.DUMMYFUNCTION("IF(ISBLANK(A515),"""",GOOGLETRANSLATE(A515,""en"",""fr""))"),"")</f>
        <v/>
      </c>
    </row>
    <row r="516" spans="2:2">
      <c r="B516" s="3" t="str">
        <f ca="1">IFERROR(__xludf.DUMMYFUNCTION("IF(ISBLANK(A516),"""",GOOGLETRANSLATE(A516,""en"",""fr""))"),"")</f>
        <v/>
      </c>
    </row>
    <row r="517" spans="2:2">
      <c r="B517" s="3" t="str">
        <f ca="1">IFERROR(__xludf.DUMMYFUNCTION("IF(ISBLANK(A517),"""",GOOGLETRANSLATE(A517,""en"",""fr""))"),"")</f>
        <v/>
      </c>
    </row>
    <row r="518" spans="2:2">
      <c r="B518" s="3" t="str">
        <f ca="1">IFERROR(__xludf.DUMMYFUNCTION("IF(ISBLANK(A518),"""",GOOGLETRANSLATE(A518,""en"",""fr""))"),"")</f>
        <v/>
      </c>
    </row>
    <row r="519" spans="2:2">
      <c r="B519" s="3" t="str">
        <f ca="1">IFERROR(__xludf.DUMMYFUNCTION("IF(ISBLANK(A519),"""",GOOGLETRANSLATE(A519,""en"",""fr""))"),"")</f>
        <v/>
      </c>
    </row>
    <row r="520" spans="2:2">
      <c r="B520" s="3" t="str">
        <f ca="1">IFERROR(__xludf.DUMMYFUNCTION("IF(ISBLANK(A520),"""",GOOGLETRANSLATE(A520,""en"",""fr""))"),"")</f>
        <v/>
      </c>
    </row>
    <row r="521" spans="2:2">
      <c r="B521" s="3" t="str">
        <f ca="1">IFERROR(__xludf.DUMMYFUNCTION("IF(ISBLANK(A521),"""",GOOGLETRANSLATE(A521,""en"",""fr""))"),"")</f>
        <v/>
      </c>
    </row>
    <row r="522" spans="2:2">
      <c r="B522" s="3" t="str">
        <f ca="1">IFERROR(__xludf.DUMMYFUNCTION("IF(ISBLANK(A522),"""",GOOGLETRANSLATE(A522,""en"",""fr""))"),"")</f>
        <v/>
      </c>
    </row>
    <row r="523" spans="2:2">
      <c r="B523" s="3" t="str">
        <f ca="1">IFERROR(__xludf.DUMMYFUNCTION("IF(ISBLANK(A523),"""",GOOGLETRANSLATE(A523,""en"",""fr""))"),"")</f>
        <v/>
      </c>
    </row>
    <row r="524" spans="2:2">
      <c r="B524" s="3" t="str">
        <f ca="1">IFERROR(__xludf.DUMMYFUNCTION("IF(ISBLANK(A524),"""",GOOGLETRANSLATE(A524,""en"",""fr""))"),"")</f>
        <v/>
      </c>
    </row>
    <row r="525" spans="2:2">
      <c r="B525" s="3" t="str">
        <f ca="1">IFERROR(__xludf.DUMMYFUNCTION("IF(ISBLANK(A525),"""",GOOGLETRANSLATE(A525,""en"",""fr""))"),"")</f>
        <v/>
      </c>
    </row>
    <row r="526" spans="2:2">
      <c r="B526" s="3" t="str">
        <f ca="1">IFERROR(__xludf.DUMMYFUNCTION("IF(ISBLANK(A526),"""",GOOGLETRANSLATE(A526,""en"",""fr""))"),"")</f>
        <v/>
      </c>
    </row>
    <row r="527" spans="2:2">
      <c r="B527" s="3" t="str">
        <f ca="1">IFERROR(__xludf.DUMMYFUNCTION("IF(ISBLANK(A527),"""",GOOGLETRANSLATE(A527,""en"",""fr""))"),"")</f>
        <v/>
      </c>
    </row>
    <row r="528" spans="2:2">
      <c r="B528" s="3" t="str">
        <f ca="1">IFERROR(__xludf.DUMMYFUNCTION("IF(ISBLANK(A528),"""",GOOGLETRANSLATE(A528,""en"",""fr""))"),"")</f>
        <v/>
      </c>
    </row>
    <row r="529" spans="2:2">
      <c r="B529" s="3" t="str">
        <f ca="1">IFERROR(__xludf.DUMMYFUNCTION("IF(ISBLANK(A529),"""",GOOGLETRANSLATE(A529,""en"",""fr""))"),"")</f>
        <v/>
      </c>
    </row>
    <row r="530" spans="2:2">
      <c r="B530" s="3" t="str">
        <f ca="1">IFERROR(__xludf.DUMMYFUNCTION("IF(ISBLANK(A530),"""",GOOGLETRANSLATE(A530,""en"",""fr""))"),"")</f>
        <v/>
      </c>
    </row>
    <row r="531" spans="2:2">
      <c r="B531" s="3" t="str">
        <f ca="1">IFERROR(__xludf.DUMMYFUNCTION("IF(ISBLANK(A531),"""",GOOGLETRANSLATE(A531,""en"",""fr""))"),"")</f>
        <v/>
      </c>
    </row>
    <row r="532" spans="2:2">
      <c r="B532" s="3" t="str">
        <f ca="1">IFERROR(__xludf.DUMMYFUNCTION("IF(ISBLANK(A532),"""",GOOGLETRANSLATE(A532,""en"",""fr""))"),"")</f>
        <v/>
      </c>
    </row>
    <row r="533" spans="2:2">
      <c r="B533" s="3" t="str">
        <f ca="1">IFERROR(__xludf.DUMMYFUNCTION("IF(ISBLANK(A533),"""",GOOGLETRANSLATE(A533,""en"",""fr""))"),"")</f>
        <v/>
      </c>
    </row>
    <row r="534" spans="2:2">
      <c r="B534" s="3" t="str">
        <f ca="1">IFERROR(__xludf.DUMMYFUNCTION("IF(ISBLANK(A534),"""",GOOGLETRANSLATE(A534,""en"",""fr""))"),"")</f>
        <v/>
      </c>
    </row>
    <row r="535" spans="2:2">
      <c r="B535" s="3" t="str">
        <f ca="1">IFERROR(__xludf.DUMMYFUNCTION("IF(ISBLANK(A535),"""",GOOGLETRANSLATE(A535,""en"",""fr""))"),"")</f>
        <v/>
      </c>
    </row>
    <row r="536" spans="2:2">
      <c r="B536" s="3" t="str">
        <f ca="1">IFERROR(__xludf.DUMMYFUNCTION("IF(ISBLANK(A536),"""",GOOGLETRANSLATE(A536,""en"",""fr""))"),"")</f>
        <v/>
      </c>
    </row>
    <row r="537" spans="2:2">
      <c r="B537" s="3" t="str">
        <f ca="1">IFERROR(__xludf.DUMMYFUNCTION("IF(ISBLANK(A537),"""",GOOGLETRANSLATE(A537,""en"",""fr""))"),"")</f>
        <v/>
      </c>
    </row>
    <row r="538" spans="2:2">
      <c r="B538" s="3" t="str">
        <f ca="1">IFERROR(__xludf.DUMMYFUNCTION("IF(ISBLANK(A538),"""",GOOGLETRANSLATE(A538,""en"",""fr""))"),"")</f>
        <v/>
      </c>
    </row>
    <row r="539" spans="2:2">
      <c r="B539" s="3" t="str">
        <f ca="1">IFERROR(__xludf.DUMMYFUNCTION("IF(ISBLANK(A539),"""",GOOGLETRANSLATE(A539,""en"",""fr""))"),"")</f>
        <v/>
      </c>
    </row>
    <row r="540" spans="2:2">
      <c r="B540" s="3" t="str">
        <f ca="1">IFERROR(__xludf.DUMMYFUNCTION("IF(ISBLANK(A540),"""",GOOGLETRANSLATE(A540,""en"",""fr""))"),"")</f>
        <v/>
      </c>
    </row>
    <row r="541" spans="2:2">
      <c r="B541" s="3" t="str">
        <f ca="1">IFERROR(__xludf.DUMMYFUNCTION("IF(ISBLANK(A541),"""",GOOGLETRANSLATE(A541,""en"",""fr""))"),"")</f>
        <v/>
      </c>
    </row>
    <row r="542" spans="2:2">
      <c r="B542" s="3" t="str">
        <f ca="1">IFERROR(__xludf.DUMMYFUNCTION("IF(ISBLANK(A542),"""",GOOGLETRANSLATE(A542,""en"",""fr""))"),"")</f>
        <v/>
      </c>
    </row>
    <row r="543" spans="2:2">
      <c r="B543" s="3" t="str">
        <f ca="1">IFERROR(__xludf.DUMMYFUNCTION("IF(ISBLANK(A543),"""",GOOGLETRANSLATE(A543,""en"",""fr""))"),"")</f>
        <v/>
      </c>
    </row>
    <row r="544" spans="2:2">
      <c r="B544" s="3" t="str">
        <f ca="1">IFERROR(__xludf.DUMMYFUNCTION("IF(ISBLANK(A544),"""",GOOGLETRANSLATE(A544,""en"",""fr""))"),"")</f>
        <v/>
      </c>
    </row>
    <row r="545" spans="2:2">
      <c r="B545" s="3" t="str">
        <f ca="1">IFERROR(__xludf.DUMMYFUNCTION("IF(ISBLANK(A545),"""",GOOGLETRANSLATE(A545,""en"",""fr""))"),"")</f>
        <v/>
      </c>
    </row>
    <row r="546" spans="2:2">
      <c r="B546" s="3" t="str">
        <f ca="1">IFERROR(__xludf.DUMMYFUNCTION("IF(ISBLANK(A546),"""",GOOGLETRANSLATE(A546,""en"",""fr""))"),"")</f>
        <v/>
      </c>
    </row>
    <row r="547" spans="2:2">
      <c r="B547" s="3" t="str">
        <f ca="1">IFERROR(__xludf.DUMMYFUNCTION("IF(ISBLANK(A547),"""",GOOGLETRANSLATE(A547,""en"",""fr""))"),"")</f>
        <v/>
      </c>
    </row>
    <row r="548" spans="2:2">
      <c r="B548" s="3" t="str">
        <f ca="1">IFERROR(__xludf.DUMMYFUNCTION("IF(ISBLANK(A548),"""",GOOGLETRANSLATE(A548,""en"",""fr""))"),"")</f>
        <v/>
      </c>
    </row>
    <row r="549" spans="2:2">
      <c r="B549" s="3" t="str">
        <f ca="1">IFERROR(__xludf.DUMMYFUNCTION("IF(ISBLANK(A549),"""",GOOGLETRANSLATE(A549,""en"",""fr""))"),"")</f>
        <v/>
      </c>
    </row>
    <row r="550" spans="2:2">
      <c r="B550" s="3" t="str">
        <f ca="1">IFERROR(__xludf.DUMMYFUNCTION("IF(ISBLANK(A550),"""",GOOGLETRANSLATE(A550,""en"",""fr""))"),"")</f>
        <v/>
      </c>
    </row>
    <row r="551" spans="2:2">
      <c r="B551" s="3" t="str">
        <f ca="1">IFERROR(__xludf.DUMMYFUNCTION("IF(ISBLANK(A551),"""",GOOGLETRANSLATE(A551,""en"",""fr""))"),"")</f>
        <v/>
      </c>
    </row>
    <row r="552" spans="2:2">
      <c r="B552" s="3" t="str">
        <f ca="1">IFERROR(__xludf.DUMMYFUNCTION("IF(ISBLANK(A552),"""",GOOGLETRANSLATE(A552,""en"",""fr""))"),"")</f>
        <v/>
      </c>
    </row>
    <row r="553" spans="2:2">
      <c r="B553" s="3" t="str">
        <f ca="1">IFERROR(__xludf.DUMMYFUNCTION("IF(ISBLANK(A553),"""",GOOGLETRANSLATE(A553,""en"",""fr""))"),"")</f>
        <v/>
      </c>
    </row>
    <row r="554" spans="2:2">
      <c r="B554" s="3" t="str">
        <f ca="1">IFERROR(__xludf.DUMMYFUNCTION("IF(ISBLANK(A554),"""",GOOGLETRANSLATE(A554,""en"",""fr""))"),"")</f>
        <v/>
      </c>
    </row>
    <row r="555" spans="2:2">
      <c r="B555" s="3" t="str">
        <f ca="1">IFERROR(__xludf.DUMMYFUNCTION("IF(ISBLANK(A555),"""",GOOGLETRANSLATE(A555,""en"",""fr""))"),"")</f>
        <v/>
      </c>
    </row>
    <row r="556" spans="2:2">
      <c r="B556" s="3" t="str">
        <f ca="1">IFERROR(__xludf.DUMMYFUNCTION("IF(ISBLANK(A556),"""",GOOGLETRANSLATE(A556,""en"",""fr""))"),"")</f>
        <v/>
      </c>
    </row>
    <row r="557" spans="2:2">
      <c r="B557" s="3" t="str">
        <f ca="1">IFERROR(__xludf.DUMMYFUNCTION("IF(ISBLANK(A557),"""",GOOGLETRANSLATE(A557,""en"",""fr""))"),"")</f>
        <v/>
      </c>
    </row>
    <row r="558" spans="2:2">
      <c r="B558" s="3" t="str">
        <f ca="1">IFERROR(__xludf.DUMMYFUNCTION("IF(ISBLANK(A558),"""",GOOGLETRANSLATE(A558,""en"",""fr""))"),"")</f>
        <v/>
      </c>
    </row>
    <row r="559" spans="2:2">
      <c r="B559" s="3" t="str">
        <f ca="1">IFERROR(__xludf.DUMMYFUNCTION("IF(ISBLANK(A559),"""",GOOGLETRANSLATE(A559,""en"",""fr""))"),"")</f>
        <v/>
      </c>
    </row>
    <row r="560" spans="2:2">
      <c r="B560" s="3" t="str">
        <f ca="1">IFERROR(__xludf.DUMMYFUNCTION("IF(ISBLANK(A560),"""",GOOGLETRANSLATE(A560,""en"",""fr""))"),"")</f>
        <v/>
      </c>
    </row>
    <row r="561" spans="2:2">
      <c r="B561" s="3" t="str">
        <f ca="1">IFERROR(__xludf.DUMMYFUNCTION("IF(ISBLANK(A561),"""",GOOGLETRANSLATE(A561,""en"",""fr""))"),"")</f>
        <v/>
      </c>
    </row>
    <row r="562" spans="2:2">
      <c r="B562" s="3" t="str">
        <f ca="1">IFERROR(__xludf.DUMMYFUNCTION("IF(ISBLANK(A562),"""",GOOGLETRANSLATE(A562,""en"",""fr""))"),"")</f>
        <v/>
      </c>
    </row>
    <row r="563" spans="2:2">
      <c r="B563" s="3" t="str">
        <f ca="1">IFERROR(__xludf.DUMMYFUNCTION("IF(ISBLANK(A563),"""",GOOGLETRANSLATE(A563,""en"",""fr""))"),"")</f>
        <v/>
      </c>
    </row>
    <row r="564" spans="2:2">
      <c r="B564" s="3" t="str">
        <f ca="1">IFERROR(__xludf.DUMMYFUNCTION("IF(ISBLANK(A564),"""",GOOGLETRANSLATE(A564,""en"",""fr""))"),"")</f>
        <v/>
      </c>
    </row>
    <row r="565" spans="2:2">
      <c r="B565" s="3" t="str">
        <f ca="1">IFERROR(__xludf.DUMMYFUNCTION("IF(ISBLANK(A565),"""",GOOGLETRANSLATE(A565,""en"",""fr""))"),"")</f>
        <v/>
      </c>
    </row>
    <row r="566" spans="2:2">
      <c r="B566" s="3" t="str">
        <f ca="1">IFERROR(__xludf.DUMMYFUNCTION("IF(ISBLANK(A566),"""",GOOGLETRANSLATE(A566,""en"",""fr""))"),"")</f>
        <v/>
      </c>
    </row>
    <row r="567" spans="2:2">
      <c r="B567" s="3" t="str">
        <f ca="1">IFERROR(__xludf.DUMMYFUNCTION("IF(ISBLANK(A567),"""",GOOGLETRANSLATE(A567,""en"",""fr""))"),"")</f>
        <v/>
      </c>
    </row>
    <row r="568" spans="2:2">
      <c r="B568" s="3" t="str">
        <f ca="1">IFERROR(__xludf.DUMMYFUNCTION("IF(ISBLANK(A568),"""",GOOGLETRANSLATE(A568,""en"",""fr""))"),"")</f>
        <v/>
      </c>
    </row>
    <row r="569" spans="2:2">
      <c r="B569" s="3" t="str">
        <f ca="1">IFERROR(__xludf.DUMMYFUNCTION("IF(ISBLANK(A569),"""",GOOGLETRANSLATE(A569,""en"",""fr""))"),"")</f>
        <v/>
      </c>
    </row>
    <row r="570" spans="2:2">
      <c r="B570" s="3" t="str">
        <f ca="1">IFERROR(__xludf.DUMMYFUNCTION("IF(ISBLANK(A570),"""",GOOGLETRANSLATE(A570,""en"",""fr""))"),"")</f>
        <v/>
      </c>
    </row>
    <row r="571" spans="2:2">
      <c r="B571" s="3" t="str">
        <f ca="1">IFERROR(__xludf.DUMMYFUNCTION("IF(ISBLANK(A571),"""",GOOGLETRANSLATE(A571,""en"",""fr""))"),"")</f>
        <v/>
      </c>
    </row>
    <row r="572" spans="2:2">
      <c r="B572" s="3" t="str">
        <f ca="1">IFERROR(__xludf.DUMMYFUNCTION("IF(ISBLANK(A572),"""",GOOGLETRANSLATE(A572,""en"",""fr""))"),"")</f>
        <v/>
      </c>
    </row>
    <row r="573" spans="2:2">
      <c r="B573" s="3" t="str">
        <f ca="1">IFERROR(__xludf.DUMMYFUNCTION("IF(ISBLANK(A573),"""",GOOGLETRANSLATE(A573,""en"",""fr""))"),"")</f>
        <v/>
      </c>
    </row>
    <row r="574" spans="2:2">
      <c r="B574" s="3" t="str">
        <f ca="1">IFERROR(__xludf.DUMMYFUNCTION("IF(ISBLANK(A574),"""",GOOGLETRANSLATE(A574,""en"",""fr""))"),"")</f>
        <v/>
      </c>
    </row>
    <row r="575" spans="2:2">
      <c r="B575" s="3" t="str">
        <f ca="1">IFERROR(__xludf.DUMMYFUNCTION("IF(ISBLANK(A575),"""",GOOGLETRANSLATE(A575,""en"",""fr""))"),"")</f>
        <v/>
      </c>
    </row>
    <row r="576" spans="2:2">
      <c r="B576" s="3" t="str">
        <f ca="1">IFERROR(__xludf.DUMMYFUNCTION("IF(ISBLANK(A576),"""",GOOGLETRANSLATE(A576,""en"",""fr""))"),"")</f>
        <v/>
      </c>
    </row>
    <row r="577" spans="2:2">
      <c r="B577" s="3" t="str">
        <f ca="1">IFERROR(__xludf.DUMMYFUNCTION("IF(ISBLANK(A577),"""",GOOGLETRANSLATE(A577,""en"",""fr""))"),"")</f>
        <v/>
      </c>
    </row>
    <row r="578" spans="2:2">
      <c r="B578" s="3" t="str">
        <f ca="1">IFERROR(__xludf.DUMMYFUNCTION("IF(ISBLANK(A578),"""",GOOGLETRANSLATE(A578,""en"",""fr""))"),"")</f>
        <v/>
      </c>
    </row>
    <row r="579" spans="2:2">
      <c r="B579" s="3" t="str">
        <f ca="1">IFERROR(__xludf.DUMMYFUNCTION("IF(ISBLANK(A579),"""",GOOGLETRANSLATE(A579,""en"",""fr""))"),"")</f>
        <v/>
      </c>
    </row>
    <row r="580" spans="2:2">
      <c r="B580" s="3" t="str">
        <f ca="1">IFERROR(__xludf.DUMMYFUNCTION("IF(ISBLANK(A580),"""",GOOGLETRANSLATE(A580,""en"",""fr""))"),"")</f>
        <v/>
      </c>
    </row>
    <row r="581" spans="2:2">
      <c r="B581" s="3" t="str">
        <f ca="1">IFERROR(__xludf.DUMMYFUNCTION("IF(ISBLANK(A581),"""",GOOGLETRANSLATE(A581,""en"",""fr""))"),"")</f>
        <v/>
      </c>
    </row>
    <row r="582" spans="2:2">
      <c r="B582" s="3" t="str">
        <f ca="1">IFERROR(__xludf.DUMMYFUNCTION("IF(ISBLANK(A582),"""",GOOGLETRANSLATE(A582,""en"",""fr""))"),"")</f>
        <v/>
      </c>
    </row>
    <row r="583" spans="2:2">
      <c r="B583" s="3" t="str">
        <f ca="1">IFERROR(__xludf.DUMMYFUNCTION("IF(ISBLANK(A583),"""",GOOGLETRANSLATE(A583,""en"",""fr""))"),"")</f>
        <v/>
      </c>
    </row>
    <row r="584" spans="2:2">
      <c r="B584" s="3" t="str">
        <f ca="1">IFERROR(__xludf.DUMMYFUNCTION("IF(ISBLANK(A584),"""",GOOGLETRANSLATE(A584,""en"",""fr""))"),"")</f>
        <v/>
      </c>
    </row>
    <row r="585" spans="2:2">
      <c r="B585" s="3" t="str">
        <f ca="1">IFERROR(__xludf.DUMMYFUNCTION("IF(ISBLANK(A585),"""",GOOGLETRANSLATE(A585,""en"",""fr""))"),"")</f>
        <v/>
      </c>
    </row>
    <row r="586" spans="2:2">
      <c r="B586" s="3" t="str">
        <f ca="1">IFERROR(__xludf.DUMMYFUNCTION("IF(ISBLANK(A586),"""",GOOGLETRANSLATE(A586,""en"",""fr""))"),"")</f>
        <v/>
      </c>
    </row>
    <row r="587" spans="2:2">
      <c r="B587" s="3" t="str">
        <f ca="1">IFERROR(__xludf.DUMMYFUNCTION("IF(ISBLANK(A587),"""",GOOGLETRANSLATE(A587,""en"",""fr""))"),"")</f>
        <v/>
      </c>
    </row>
    <row r="588" spans="2:2">
      <c r="B588" s="3" t="str">
        <f ca="1">IFERROR(__xludf.DUMMYFUNCTION("IF(ISBLANK(A588),"""",GOOGLETRANSLATE(A588,""en"",""fr""))"),"")</f>
        <v/>
      </c>
    </row>
    <row r="589" spans="2:2">
      <c r="B589" s="3" t="str">
        <f ca="1">IFERROR(__xludf.DUMMYFUNCTION("IF(ISBLANK(A589),"""",GOOGLETRANSLATE(A589,""en"",""fr""))"),"")</f>
        <v/>
      </c>
    </row>
    <row r="590" spans="2:2">
      <c r="B590" s="3" t="str">
        <f ca="1">IFERROR(__xludf.DUMMYFUNCTION("IF(ISBLANK(A590),"""",GOOGLETRANSLATE(A590,""en"",""fr""))"),"")</f>
        <v/>
      </c>
    </row>
    <row r="591" spans="2:2">
      <c r="B591" s="3" t="str">
        <f ca="1">IFERROR(__xludf.DUMMYFUNCTION("IF(ISBLANK(A591),"""",GOOGLETRANSLATE(A591,""en"",""fr""))"),"")</f>
        <v/>
      </c>
    </row>
    <row r="592" spans="2:2">
      <c r="B592" s="3" t="str">
        <f ca="1">IFERROR(__xludf.DUMMYFUNCTION("IF(ISBLANK(A592),"""",GOOGLETRANSLATE(A592,""en"",""fr""))"),"")</f>
        <v/>
      </c>
    </row>
    <row r="593" spans="2:2">
      <c r="B593" s="3" t="str">
        <f ca="1">IFERROR(__xludf.DUMMYFUNCTION("IF(ISBLANK(A593),"""",GOOGLETRANSLATE(A593,""en"",""fr""))"),"")</f>
        <v/>
      </c>
    </row>
    <row r="594" spans="2:2">
      <c r="B594" s="3" t="str">
        <f ca="1">IFERROR(__xludf.DUMMYFUNCTION("IF(ISBLANK(A594),"""",GOOGLETRANSLATE(A594,""en"",""fr""))"),"")</f>
        <v/>
      </c>
    </row>
    <row r="595" spans="2:2">
      <c r="B595" s="3" t="str">
        <f ca="1">IFERROR(__xludf.DUMMYFUNCTION("IF(ISBLANK(A595),"""",GOOGLETRANSLATE(A595,""en"",""fr""))"),"")</f>
        <v/>
      </c>
    </row>
    <row r="596" spans="2:2">
      <c r="B596" s="3" t="str">
        <f ca="1">IFERROR(__xludf.DUMMYFUNCTION("IF(ISBLANK(A596),"""",GOOGLETRANSLATE(A596,""en"",""fr""))"),"")</f>
        <v/>
      </c>
    </row>
    <row r="597" spans="2:2">
      <c r="B597" s="3" t="str">
        <f ca="1">IFERROR(__xludf.DUMMYFUNCTION("IF(ISBLANK(A597),"""",GOOGLETRANSLATE(A597,""en"",""fr""))"),"")</f>
        <v/>
      </c>
    </row>
    <row r="598" spans="2:2">
      <c r="B598" s="3" t="str">
        <f ca="1">IFERROR(__xludf.DUMMYFUNCTION("IF(ISBLANK(A598),"""",GOOGLETRANSLATE(A598,""en"",""fr""))"),"")</f>
        <v/>
      </c>
    </row>
    <row r="599" spans="2:2">
      <c r="B599" s="3" t="str">
        <f ca="1">IFERROR(__xludf.DUMMYFUNCTION("IF(ISBLANK(A599),"""",GOOGLETRANSLATE(A599,""en"",""fr""))"),"")</f>
        <v/>
      </c>
    </row>
    <row r="600" spans="2:2">
      <c r="B600" s="3" t="str">
        <f ca="1">IFERROR(__xludf.DUMMYFUNCTION("IF(ISBLANK(A600),"""",GOOGLETRANSLATE(A600,""en"",""fr""))"),"")</f>
        <v/>
      </c>
    </row>
    <row r="601" spans="2:2">
      <c r="B601" s="3" t="str">
        <f ca="1">IFERROR(__xludf.DUMMYFUNCTION("IF(ISBLANK(A601),"""",GOOGLETRANSLATE(A601,""en"",""fr""))"),"")</f>
        <v/>
      </c>
    </row>
    <row r="602" spans="2:2">
      <c r="B602" s="3" t="str">
        <f ca="1">IFERROR(__xludf.DUMMYFUNCTION("IF(ISBLANK(A602),"""",GOOGLETRANSLATE(A602,""en"",""fr""))"),"")</f>
        <v/>
      </c>
    </row>
    <row r="603" spans="2:2">
      <c r="B603" s="3" t="str">
        <f ca="1">IFERROR(__xludf.DUMMYFUNCTION("IF(ISBLANK(A603),"""",GOOGLETRANSLATE(A603,""en"",""fr""))"),"")</f>
        <v/>
      </c>
    </row>
    <row r="604" spans="2:2">
      <c r="B604" s="3" t="str">
        <f ca="1">IFERROR(__xludf.DUMMYFUNCTION("IF(ISBLANK(A604),"""",GOOGLETRANSLATE(A604,""en"",""fr""))"),"")</f>
        <v/>
      </c>
    </row>
    <row r="605" spans="2:2">
      <c r="B605" s="3" t="str">
        <f ca="1">IFERROR(__xludf.DUMMYFUNCTION("IF(ISBLANK(A605),"""",GOOGLETRANSLATE(A605,""en"",""fr""))"),"")</f>
        <v/>
      </c>
    </row>
    <row r="606" spans="2:2">
      <c r="B606" s="3" t="str">
        <f ca="1">IFERROR(__xludf.DUMMYFUNCTION("IF(ISBLANK(A606),"""",GOOGLETRANSLATE(A606,""en"",""fr""))"),"")</f>
        <v/>
      </c>
    </row>
    <row r="607" spans="2:2">
      <c r="B607" s="3" t="str">
        <f ca="1">IFERROR(__xludf.DUMMYFUNCTION("IF(ISBLANK(A607),"""",GOOGLETRANSLATE(A607,""en"",""fr""))"),"")</f>
        <v/>
      </c>
    </row>
    <row r="608" spans="2:2">
      <c r="B608" s="3" t="str">
        <f ca="1">IFERROR(__xludf.DUMMYFUNCTION("IF(ISBLANK(A608),"""",GOOGLETRANSLATE(A608,""en"",""fr""))"),"")</f>
        <v/>
      </c>
    </row>
    <row r="609" spans="2:2">
      <c r="B609" s="3" t="str">
        <f ca="1">IFERROR(__xludf.DUMMYFUNCTION("IF(ISBLANK(A609),"""",GOOGLETRANSLATE(A609,""en"",""fr""))"),"")</f>
        <v/>
      </c>
    </row>
    <row r="610" spans="2:2">
      <c r="B610" s="3" t="str">
        <f ca="1">IFERROR(__xludf.DUMMYFUNCTION("IF(ISBLANK(A610),"""",GOOGLETRANSLATE(A610,""en"",""fr""))"),"")</f>
        <v/>
      </c>
    </row>
    <row r="611" spans="2:2">
      <c r="B611" s="3" t="str">
        <f ca="1">IFERROR(__xludf.DUMMYFUNCTION("IF(ISBLANK(A611),"""",GOOGLETRANSLATE(A611,""en"",""fr""))"),"")</f>
        <v/>
      </c>
    </row>
    <row r="612" spans="2:2">
      <c r="B612" s="3" t="str">
        <f ca="1">IFERROR(__xludf.DUMMYFUNCTION("IF(ISBLANK(A612),"""",GOOGLETRANSLATE(A612,""en"",""fr""))"),"")</f>
        <v/>
      </c>
    </row>
    <row r="613" spans="2:2">
      <c r="B613" s="3" t="str">
        <f ca="1">IFERROR(__xludf.DUMMYFUNCTION("IF(ISBLANK(A613),"""",GOOGLETRANSLATE(A613,""en"",""fr""))"),"")</f>
        <v/>
      </c>
    </row>
    <row r="614" spans="2:2">
      <c r="B614" s="3" t="str">
        <f ca="1">IFERROR(__xludf.DUMMYFUNCTION("IF(ISBLANK(A614),"""",GOOGLETRANSLATE(A614,""en"",""fr""))"),"")</f>
        <v/>
      </c>
    </row>
    <row r="615" spans="2:2">
      <c r="B615" s="3" t="str">
        <f ca="1">IFERROR(__xludf.DUMMYFUNCTION("IF(ISBLANK(A615),"""",GOOGLETRANSLATE(A615,""en"",""fr""))"),"")</f>
        <v/>
      </c>
    </row>
    <row r="616" spans="2:2">
      <c r="B616" s="3" t="str">
        <f ca="1">IFERROR(__xludf.DUMMYFUNCTION("IF(ISBLANK(A616),"""",GOOGLETRANSLATE(A616,""en"",""fr""))"),"")</f>
        <v/>
      </c>
    </row>
    <row r="617" spans="2:2">
      <c r="B617" s="3" t="str">
        <f ca="1">IFERROR(__xludf.DUMMYFUNCTION("IF(ISBLANK(A617),"""",GOOGLETRANSLATE(A617,""en"",""fr""))"),"")</f>
        <v/>
      </c>
    </row>
    <row r="618" spans="2:2">
      <c r="B618" s="3" t="str">
        <f ca="1">IFERROR(__xludf.DUMMYFUNCTION("IF(ISBLANK(A618),"""",GOOGLETRANSLATE(A618,""en"",""fr""))"),"")</f>
        <v/>
      </c>
    </row>
    <row r="619" spans="2:2">
      <c r="B619" s="3" t="str">
        <f ca="1">IFERROR(__xludf.DUMMYFUNCTION("IF(ISBLANK(A619),"""",GOOGLETRANSLATE(A619,""en"",""fr""))"),"")</f>
        <v/>
      </c>
    </row>
    <row r="620" spans="2:2">
      <c r="B620" s="3" t="str">
        <f ca="1">IFERROR(__xludf.DUMMYFUNCTION("IF(ISBLANK(A620),"""",GOOGLETRANSLATE(A620,""en"",""fr""))"),"")</f>
        <v/>
      </c>
    </row>
    <row r="621" spans="2:2">
      <c r="B621" s="3" t="str">
        <f ca="1">IFERROR(__xludf.DUMMYFUNCTION("IF(ISBLANK(A621),"""",GOOGLETRANSLATE(A621,""en"",""fr""))"),"")</f>
        <v/>
      </c>
    </row>
    <row r="622" spans="2:2">
      <c r="B622" s="3" t="str">
        <f ca="1">IFERROR(__xludf.DUMMYFUNCTION("IF(ISBLANK(A622),"""",GOOGLETRANSLATE(A622,""en"",""fr""))"),"")</f>
        <v/>
      </c>
    </row>
    <row r="623" spans="2:2">
      <c r="B623" s="3" t="str">
        <f ca="1">IFERROR(__xludf.DUMMYFUNCTION("IF(ISBLANK(A623),"""",GOOGLETRANSLATE(A623,""en"",""fr""))"),"")</f>
        <v/>
      </c>
    </row>
    <row r="624" spans="2:2">
      <c r="B624" s="3" t="str">
        <f ca="1">IFERROR(__xludf.DUMMYFUNCTION("IF(ISBLANK(A624),"""",GOOGLETRANSLATE(A624,""en"",""fr""))"),"")</f>
        <v/>
      </c>
    </row>
    <row r="625" spans="2:2">
      <c r="B625" s="3" t="str">
        <f ca="1">IFERROR(__xludf.DUMMYFUNCTION("IF(ISBLANK(A625),"""",GOOGLETRANSLATE(A625,""en"",""fr""))"),"")</f>
        <v/>
      </c>
    </row>
    <row r="626" spans="2:2">
      <c r="B626" s="3" t="str">
        <f ca="1">IFERROR(__xludf.DUMMYFUNCTION("IF(ISBLANK(A626),"""",GOOGLETRANSLATE(A626,""en"",""fr""))"),"")</f>
        <v/>
      </c>
    </row>
    <row r="627" spans="2:2">
      <c r="B627" s="3" t="str">
        <f ca="1">IFERROR(__xludf.DUMMYFUNCTION("IF(ISBLANK(A627),"""",GOOGLETRANSLATE(A627,""en"",""fr""))"),"")</f>
        <v/>
      </c>
    </row>
    <row r="628" spans="2:2">
      <c r="B628" s="3" t="str">
        <f ca="1">IFERROR(__xludf.DUMMYFUNCTION("IF(ISBLANK(A628),"""",GOOGLETRANSLATE(A628,""en"",""fr""))"),"")</f>
        <v/>
      </c>
    </row>
    <row r="629" spans="2:2">
      <c r="B629" s="3" t="str">
        <f ca="1">IFERROR(__xludf.DUMMYFUNCTION("IF(ISBLANK(A629),"""",GOOGLETRANSLATE(A629,""en"",""fr""))"),"")</f>
        <v/>
      </c>
    </row>
    <row r="630" spans="2:2">
      <c r="B630" s="3" t="str">
        <f ca="1">IFERROR(__xludf.DUMMYFUNCTION("IF(ISBLANK(A630),"""",GOOGLETRANSLATE(A630,""en"",""fr""))"),"")</f>
        <v/>
      </c>
    </row>
    <row r="631" spans="2:2">
      <c r="B631" s="3" t="str">
        <f ca="1">IFERROR(__xludf.DUMMYFUNCTION("IF(ISBLANK(A631),"""",GOOGLETRANSLATE(A631,""en"",""fr""))"),"")</f>
        <v/>
      </c>
    </row>
    <row r="632" spans="2:2">
      <c r="B632" s="3" t="str">
        <f ca="1">IFERROR(__xludf.DUMMYFUNCTION("IF(ISBLANK(A632),"""",GOOGLETRANSLATE(A632,""en"",""fr""))"),"")</f>
        <v/>
      </c>
    </row>
    <row r="633" spans="2:2">
      <c r="B633" s="3" t="str">
        <f ca="1">IFERROR(__xludf.DUMMYFUNCTION("IF(ISBLANK(A633),"""",GOOGLETRANSLATE(A633,""en"",""fr""))"),"")</f>
        <v/>
      </c>
    </row>
    <row r="634" spans="2:2">
      <c r="B634" s="3" t="str">
        <f ca="1">IFERROR(__xludf.DUMMYFUNCTION("IF(ISBLANK(A634),"""",GOOGLETRANSLATE(A634,""en"",""fr""))"),"")</f>
        <v/>
      </c>
    </row>
    <row r="635" spans="2:2">
      <c r="B635" s="3" t="str">
        <f ca="1">IFERROR(__xludf.DUMMYFUNCTION("IF(ISBLANK(A635),"""",GOOGLETRANSLATE(A635,""en"",""fr""))"),"")</f>
        <v/>
      </c>
    </row>
    <row r="636" spans="2:2">
      <c r="B636" s="3" t="str">
        <f ca="1">IFERROR(__xludf.DUMMYFUNCTION("IF(ISBLANK(A636),"""",GOOGLETRANSLATE(A636,""en"",""fr""))"),"")</f>
        <v/>
      </c>
    </row>
    <row r="637" spans="2:2">
      <c r="B637" s="3" t="str">
        <f ca="1">IFERROR(__xludf.DUMMYFUNCTION("IF(ISBLANK(A637),"""",GOOGLETRANSLATE(A637,""en"",""fr""))"),"")</f>
        <v/>
      </c>
    </row>
    <row r="638" spans="2:2">
      <c r="B638" s="3" t="str">
        <f ca="1">IFERROR(__xludf.DUMMYFUNCTION("IF(ISBLANK(A638),"""",GOOGLETRANSLATE(A638,""en"",""fr""))"),"")</f>
        <v/>
      </c>
    </row>
    <row r="639" spans="2:2">
      <c r="B639" s="3" t="str">
        <f ca="1">IFERROR(__xludf.DUMMYFUNCTION("IF(ISBLANK(A639),"""",GOOGLETRANSLATE(A639,""en"",""fr""))"),"")</f>
        <v/>
      </c>
    </row>
    <row r="640" spans="2:2">
      <c r="B640" s="3" t="str">
        <f ca="1">IFERROR(__xludf.DUMMYFUNCTION("IF(ISBLANK(A640),"""",GOOGLETRANSLATE(A640,""en"",""fr""))"),"")</f>
        <v/>
      </c>
    </row>
    <row r="641" spans="2:2">
      <c r="B641" s="3" t="str">
        <f ca="1">IFERROR(__xludf.DUMMYFUNCTION("IF(ISBLANK(A641),"""",GOOGLETRANSLATE(A641,""en"",""fr""))"),"")</f>
        <v/>
      </c>
    </row>
    <row r="642" spans="2:2">
      <c r="B642" s="3" t="str">
        <f ca="1">IFERROR(__xludf.DUMMYFUNCTION("IF(ISBLANK(A642),"""",GOOGLETRANSLATE(A642,""en"",""fr""))"),"")</f>
        <v/>
      </c>
    </row>
    <row r="643" spans="2:2">
      <c r="B643" s="3" t="str">
        <f ca="1">IFERROR(__xludf.DUMMYFUNCTION("IF(ISBLANK(A643),"""",GOOGLETRANSLATE(A643,""en"",""fr""))"),"")</f>
        <v/>
      </c>
    </row>
    <row r="644" spans="2:2">
      <c r="B644" s="3" t="str">
        <f ca="1">IFERROR(__xludf.DUMMYFUNCTION("IF(ISBLANK(A644),"""",GOOGLETRANSLATE(A644,""en"",""fr""))"),"")</f>
        <v/>
      </c>
    </row>
    <row r="645" spans="2:2">
      <c r="B645" s="3" t="str">
        <f ca="1">IFERROR(__xludf.DUMMYFUNCTION("IF(ISBLANK(A645),"""",GOOGLETRANSLATE(A645,""en"",""fr""))"),"")</f>
        <v/>
      </c>
    </row>
    <row r="646" spans="2:2">
      <c r="B646" s="3" t="str">
        <f ca="1">IFERROR(__xludf.DUMMYFUNCTION("IF(ISBLANK(A646),"""",GOOGLETRANSLATE(A646,""en"",""fr""))"),"")</f>
        <v/>
      </c>
    </row>
    <row r="647" spans="2:2">
      <c r="B647" s="3" t="str">
        <f ca="1">IFERROR(__xludf.DUMMYFUNCTION("IF(ISBLANK(A647),"""",GOOGLETRANSLATE(A647,""en"",""fr""))"),"")</f>
        <v/>
      </c>
    </row>
    <row r="648" spans="2:2">
      <c r="B648" s="3" t="str">
        <f ca="1">IFERROR(__xludf.DUMMYFUNCTION("IF(ISBLANK(A648),"""",GOOGLETRANSLATE(A648,""en"",""fr""))"),"")</f>
        <v/>
      </c>
    </row>
    <row r="649" spans="2:2">
      <c r="B649" s="3" t="str">
        <f ca="1">IFERROR(__xludf.DUMMYFUNCTION("IF(ISBLANK(A649),"""",GOOGLETRANSLATE(A649,""en"",""fr""))"),"")</f>
        <v/>
      </c>
    </row>
    <row r="650" spans="2:2">
      <c r="B650" s="3" t="str">
        <f ca="1">IFERROR(__xludf.DUMMYFUNCTION("IF(ISBLANK(A650),"""",GOOGLETRANSLATE(A650,""en"",""fr""))"),"")</f>
        <v/>
      </c>
    </row>
    <row r="651" spans="2:2">
      <c r="B651" s="3" t="str">
        <f ca="1">IFERROR(__xludf.DUMMYFUNCTION("IF(ISBLANK(A651),"""",GOOGLETRANSLATE(A651,""en"",""fr""))"),"")</f>
        <v/>
      </c>
    </row>
    <row r="652" spans="2:2">
      <c r="B652" s="3" t="str">
        <f ca="1">IFERROR(__xludf.DUMMYFUNCTION("IF(ISBLANK(A652),"""",GOOGLETRANSLATE(A652,""en"",""fr""))"),"")</f>
        <v/>
      </c>
    </row>
    <row r="653" spans="2:2">
      <c r="B653" s="3" t="str">
        <f ca="1">IFERROR(__xludf.DUMMYFUNCTION("IF(ISBLANK(A653),"""",GOOGLETRANSLATE(A653,""en"",""fr""))"),"")</f>
        <v/>
      </c>
    </row>
    <row r="654" spans="2:2">
      <c r="B654" s="3" t="str">
        <f ca="1">IFERROR(__xludf.DUMMYFUNCTION("IF(ISBLANK(A654),"""",GOOGLETRANSLATE(A654,""en"",""fr""))"),"")</f>
        <v/>
      </c>
    </row>
    <row r="655" spans="2:2">
      <c r="B655" s="3" t="str">
        <f ca="1">IFERROR(__xludf.DUMMYFUNCTION("IF(ISBLANK(A655),"""",GOOGLETRANSLATE(A655,""en"",""fr""))"),"")</f>
        <v/>
      </c>
    </row>
    <row r="656" spans="2:2">
      <c r="B656" s="3" t="str">
        <f ca="1">IFERROR(__xludf.DUMMYFUNCTION("IF(ISBLANK(A656),"""",GOOGLETRANSLATE(A656,""en"",""fr""))"),"")</f>
        <v/>
      </c>
    </row>
    <row r="657" spans="2:2">
      <c r="B657" s="3" t="str">
        <f ca="1">IFERROR(__xludf.DUMMYFUNCTION("IF(ISBLANK(A657),"""",GOOGLETRANSLATE(A657,""en"",""fr""))"),"")</f>
        <v/>
      </c>
    </row>
    <row r="658" spans="2:2">
      <c r="B658" s="3" t="str">
        <f ca="1">IFERROR(__xludf.DUMMYFUNCTION("IF(ISBLANK(A658),"""",GOOGLETRANSLATE(A658,""en"",""fr""))"),"")</f>
        <v/>
      </c>
    </row>
    <row r="659" spans="2:2">
      <c r="B659" s="3" t="str">
        <f ca="1">IFERROR(__xludf.DUMMYFUNCTION("IF(ISBLANK(A659),"""",GOOGLETRANSLATE(A659,""en"",""fr""))"),"")</f>
        <v/>
      </c>
    </row>
    <row r="660" spans="2:2">
      <c r="B660" s="3" t="str">
        <f ca="1">IFERROR(__xludf.DUMMYFUNCTION("IF(ISBLANK(A660),"""",GOOGLETRANSLATE(A660,""en"",""fr""))"),"")</f>
        <v/>
      </c>
    </row>
    <row r="661" spans="2:2">
      <c r="B661" s="3" t="str">
        <f ca="1">IFERROR(__xludf.DUMMYFUNCTION("IF(ISBLANK(A661),"""",GOOGLETRANSLATE(A661,""en"",""fr""))"),"")</f>
        <v/>
      </c>
    </row>
    <row r="662" spans="2:2">
      <c r="B662" s="3" t="str">
        <f ca="1">IFERROR(__xludf.DUMMYFUNCTION("IF(ISBLANK(A662),"""",GOOGLETRANSLATE(A662,""en"",""fr""))"),"")</f>
        <v/>
      </c>
    </row>
    <row r="663" spans="2:2">
      <c r="B663" s="3" t="str">
        <f ca="1">IFERROR(__xludf.DUMMYFUNCTION("IF(ISBLANK(A663),"""",GOOGLETRANSLATE(A663,""en"",""fr""))"),"")</f>
        <v/>
      </c>
    </row>
    <row r="664" spans="2:2">
      <c r="B664" s="3" t="str">
        <f ca="1">IFERROR(__xludf.DUMMYFUNCTION("IF(ISBLANK(A664),"""",GOOGLETRANSLATE(A664,""en"",""fr""))"),"")</f>
        <v/>
      </c>
    </row>
    <row r="665" spans="2:2">
      <c r="B665" s="3" t="str">
        <f ca="1">IFERROR(__xludf.DUMMYFUNCTION("IF(ISBLANK(A665),"""",GOOGLETRANSLATE(A665,""en"",""fr""))"),"")</f>
        <v/>
      </c>
    </row>
    <row r="666" spans="2:2">
      <c r="B666" s="3" t="str">
        <f ca="1">IFERROR(__xludf.DUMMYFUNCTION("IF(ISBLANK(A666),"""",GOOGLETRANSLATE(A666,""en"",""fr""))"),"")</f>
        <v/>
      </c>
    </row>
    <row r="667" spans="2:2">
      <c r="B667" s="3" t="str">
        <f ca="1">IFERROR(__xludf.DUMMYFUNCTION("IF(ISBLANK(A667),"""",GOOGLETRANSLATE(A667,""en"",""fr""))"),"")</f>
        <v/>
      </c>
    </row>
    <row r="668" spans="2:2">
      <c r="B668" s="3" t="str">
        <f ca="1">IFERROR(__xludf.DUMMYFUNCTION("IF(ISBLANK(A668),"""",GOOGLETRANSLATE(A668,""en"",""fr""))"),"")</f>
        <v/>
      </c>
    </row>
    <row r="669" spans="2:2">
      <c r="B669" s="3" t="str">
        <f ca="1">IFERROR(__xludf.DUMMYFUNCTION("IF(ISBLANK(A669),"""",GOOGLETRANSLATE(A669,""en"",""fr""))"),"")</f>
        <v/>
      </c>
    </row>
    <row r="670" spans="2:2">
      <c r="B670" s="3" t="str">
        <f ca="1">IFERROR(__xludf.DUMMYFUNCTION("IF(ISBLANK(A670),"""",GOOGLETRANSLATE(A670,""en"",""fr""))"),"")</f>
        <v/>
      </c>
    </row>
    <row r="671" spans="2:2">
      <c r="B671" s="3" t="str">
        <f ca="1">IFERROR(__xludf.DUMMYFUNCTION("IF(ISBLANK(A671),"""",GOOGLETRANSLATE(A671,""en"",""fr""))"),"")</f>
        <v/>
      </c>
    </row>
    <row r="672" spans="2:2">
      <c r="B672" s="3" t="str">
        <f ca="1">IFERROR(__xludf.DUMMYFUNCTION("IF(ISBLANK(A672),"""",GOOGLETRANSLATE(A672,""en"",""fr""))"),"")</f>
        <v/>
      </c>
    </row>
    <row r="673" spans="2:2">
      <c r="B673" s="3" t="str">
        <f ca="1">IFERROR(__xludf.DUMMYFUNCTION("IF(ISBLANK(A673),"""",GOOGLETRANSLATE(A673,""en"",""fr""))"),"")</f>
        <v/>
      </c>
    </row>
    <row r="674" spans="2:2">
      <c r="B674" s="3" t="str">
        <f ca="1">IFERROR(__xludf.DUMMYFUNCTION("IF(ISBLANK(A674),"""",GOOGLETRANSLATE(A674,""en"",""fr""))"),"")</f>
        <v/>
      </c>
    </row>
    <row r="675" spans="2:2">
      <c r="B675" s="3" t="str">
        <f ca="1">IFERROR(__xludf.DUMMYFUNCTION("IF(ISBLANK(A675),"""",GOOGLETRANSLATE(A675,""en"",""fr""))"),"")</f>
        <v/>
      </c>
    </row>
    <row r="676" spans="2:2">
      <c r="B676" s="3" t="str">
        <f ca="1">IFERROR(__xludf.DUMMYFUNCTION("IF(ISBLANK(A676),"""",GOOGLETRANSLATE(A676,""en"",""fr""))"),"")</f>
        <v/>
      </c>
    </row>
    <row r="677" spans="2:2">
      <c r="B677" s="3" t="str">
        <f ca="1">IFERROR(__xludf.DUMMYFUNCTION("IF(ISBLANK(A677),"""",GOOGLETRANSLATE(A677,""en"",""fr""))"),"")</f>
        <v/>
      </c>
    </row>
    <row r="678" spans="2:2">
      <c r="B678" s="3" t="str">
        <f ca="1">IFERROR(__xludf.DUMMYFUNCTION("IF(ISBLANK(A678),"""",GOOGLETRANSLATE(A678,""en"",""fr""))"),"")</f>
        <v/>
      </c>
    </row>
    <row r="679" spans="2:2">
      <c r="B679" s="3" t="str">
        <f ca="1">IFERROR(__xludf.DUMMYFUNCTION("IF(ISBLANK(A679),"""",GOOGLETRANSLATE(A679,""en"",""fr""))"),"")</f>
        <v/>
      </c>
    </row>
    <row r="680" spans="2:2">
      <c r="B680" s="3" t="str">
        <f ca="1">IFERROR(__xludf.DUMMYFUNCTION("IF(ISBLANK(A680),"""",GOOGLETRANSLATE(A680,""en"",""fr""))"),"")</f>
        <v/>
      </c>
    </row>
    <row r="681" spans="2:2">
      <c r="B681" s="3" t="str">
        <f ca="1">IFERROR(__xludf.DUMMYFUNCTION("IF(ISBLANK(A681),"""",GOOGLETRANSLATE(A681,""en"",""fr""))"),"")</f>
        <v/>
      </c>
    </row>
    <row r="682" spans="2:2">
      <c r="B682" s="3" t="str">
        <f ca="1">IFERROR(__xludf.DUMMYFUNCTION("IF(ISBLANK(A682),"""",GOOGLETRANSLATE(A682,""en"",""fr""))"),"")</f>
        <v/>
      </c>
    </row>
    <row r="683" spans="2:2">
      <c r="B683" s="3" t="str">
        <f ca="1">IFERROR(__xludf.DUMMYFUNCTION("IF(ISBLANK(A683),"""",GOOGLETRANSLATE(A683,""en"",""fr""))"),"")</f>
        <v/>
      </c>
    </row>
    <row r="684" spans="2:2">
      <c r="B684" s="3" t="str">
        <f ca="1">IFERROR(__xludf.DUMMYFUNCTION("IF(ISBLANK(A684),"""",GOOGLETRANSLATE(A684,""en"",""fr""))"),"")</f>
        <v/>
      </c>
    </row>
    <row r="685" spans="2:2">
      <c r="B685" s="3" t="str">
        <f ca="1">IFERROR(__xludf.DUMMYFUNCTION("IF(ISBLANK(A685),"""",GOOGLETRANSLATE(A685,""en"",""fr""))"),"")</f>
        <v/>
      </c>
    </row>
    <row r="686" spans="2:2">
      <c r="B686" s="3" t="str">
        <f ca="1">IFERROR(__xludf.DUMMYFUNCTION("IF(ISBLANK(A686),"""",GOOGLETRANSLATE(A686,""en"",""fr""))"),"")</f>
        <v/>
      </c>
    </row>
    <row r="687" spans="2:2">
      <c r="B687" s="3" t="str">
        <f ca="1">IFERROR(__xludf.DUMMYFUNCTION("IF(ISBLANK(A687),"""",GOOGLETRANSLATE(A687,""en"",""fr""))"),"")</f>
        <v/>
      </c>
    </row>
    <row r="688" spans="2:2">
      <c r="B688" s="3" t="str">
        <f ca="1">IFERROR(__xludf.DUMMYFUNCTION("IF(ISBLANK(A688),"""",GOOGLETRANSLATE(A688,""en"",""fr""))"),"")</f>
        <v/>
      </c>
    </row>
    <row r="689" spans="2:2">
      <c r="B689" s="3" t="str">
        <f ca="1">IFERROR(__xludf.DUMMYFUNCTION("IF(ISBLANK(A689),"""",GOOGLETRANSLATE(A689,""en"",""fr""))"),"")</f>
        <v/>
      </c>
    </row>
    <row r="690" spans="2:2">
      <c r="B690" s="3" t="str">
        <f ca="1">IFERROR(__xludf.DUMMYFUNCTION("IF(ISBLANK(A690),"""",GOOGLETRANSLATE(A690,""en"",""fr""))"),"")</f>
        <v/>
      </c>
    </row>
    <row r="691" spans="2:2">
      <c r="B691" s="3" t="str">
        <f ca="1">IFERROR(__xludf.DUMMYFUNCTION("IF(ISBLANK(A691),"""",GOOGLETRANSLATE(A691,""en"",""fr""))"),"")</f>
        <v/>
      </c>
    </row>
    <row r="692" spans="2:2">
      <c r="B692" s="3" t="str">
        <f ca="1">IFERROR(__xludf.DUMMYFUNCTION("IF(ISBLANK(A692),"""",GOOGLETRANSLATE(A692,""en"",""fr""))"),"")</f>
        <v/>
      </c>
    </row>
    <row r="693" spans="2:2">
      <c r="B693" s="3" t="str">
        <f ca="1">IFERROR(__xludf.DUMMYFUNCTION("IF(ISBLANK(A693),"""",GOOGLETRANSLATE(A693,""en"",""fr""))"),"")</f>
        <v/>
      </c>
    </row>
    <row r="694" spans="2:2">
      <c r="B694" s="3" t="str">
        <f ca="1">IFERROR(__xludf.DUMMYFUNCTION("IF(ISBLANK(A694),"""",GOOGLETRANSLATE(A694,""en"",""fr""))"),"")</f>
        <v/>
      </c>
    </row>
    <row r="695" spans="2:2">
      <c r="B695" s="3" t="str">
        <f ca="1">IFERROR(__xludf.DUMMYFUNCTION("IF(ISBLANK(A695),"""",GOOGLETRANSLATE(A695,""en"",""fr""))"),"")</f>
        <v/>
      </c>
    </row>
    <row r="696" spans="2:2">
      <c r="B696" s="3" t="str">
        <f ca="1">IFERROR(__xludf.DUMMYFUNCTION("IF(ISBLANK(A696),"""",GOOGLETRANSLATE(A696,""en"",""fr""))"),"")</f>
        <v/>
      </c>
    </row>
    <row r="697" spans="2:2">
      <c r="B697" s="3" t="str">
        <f ca="1">IFERROR(__xludf.DUMMYFUNCTION("IF(ISBLANK(A697),"""",GOOGLETRANSLATE(A697,""en"",""fr""))"),"")</f>
        <v/>
      </c>
    </row>
    <row r="698" spans="2:2">
      <c r="B698" s="3" t="str">
        <f ca="1">IFERROR(__xludf.DUMMYFUNCTION("IF(ISBLANK(A698),"""",GOOGLETRANSLATE(A698,""en"",""fr""))"),"")</f>
        <v/>
      </c>
    </row>
    <row r="699" spans="2:2">
      <c r="B699" s="3" t="str">
        <f ca="1">IFERROR(__xludf.DUMMYFUNCTION("IF(ISBLANK(A699),"""",GOOGLETRANSLATE(A699,""en"",""fr""))"),"")</f>
        <v/>
      </c>
    </row>
    <row r="700" spans="2:2">
      <c r="B700" s="3" t="str">
        <f ca="1">IFERROR(__xludf.DUMMYFUNCTION("IF(ISBLANK(A700),"""",GOOGLETRANSLATE(A700,""en"",""fr""))"),"")</f>
        <v/>
      </c>
    </row>
    <row r="701" spans="2:2">
      <c r="B701" s="3" t="str">
        <f ca="1">IFERROR(__xludf.DUMMYFUNCTION("IF(ISBLANK(A701),"""",GOOGLETRANSLATE(A701,""en"",""fr""))"),"")</f>
        <v/>
      </c>
    </row>
    <row r="702" spans="2:2">
      <c r="B702" s="3" t="str">
        <f ca="1">IFERROR(__xludf.DUMMYFUNCTION("IF(ISBLANK(A702),"""",GOOGLETRANSLATE(A702,""en"",""fr""))"),"")</f>
        <v/>
      </c>
    </row>
    <row r="703" spans="2:2">
      <c r="B703" s="3" t="str">
        <f ca="1">IFERROR(__xludf.DUMMYFUNCTION("IF(ISBLANK(A703),"""",GOOGLETRANSLATE(A703,""en"",""fr""))"),"")</f>
        <v/>
      </c>
    </row>
    <row r="704" spans="2:2">
      <c r="B704" s="3" t="str">
        <f ca="1">IFERROR(__xludf.DUMMYFUNCTION("IF(ISBLANK(A704),"""",GOOGLETRANSLATE(A704,""en"",""fr""))"),"")</f>
        <v/>
      </c>
    </row>
    <row r="705" spans="2:2">
      <c r="B705" s="3" t="str">
        <f ca="1">IFERROR(__xludf.DUMMYFUNCTION("IF(ISBLANK(A705),"""",GOOGLETRANSLATE(A705,""en"",""fr""))"),"")</f>
        <v/>
      </c>
    </row>
    <row r="706" spans="2:2">
      <c r="B706" s="3" t="str">
        <f ca="1">IFERROR(__xludf.DUMMYFUNCTION("IF(ISBLANK(A706),"""",GOOGLETRANSLATE(A706,""en"",""fr""))"),"")</f>
        <v/>
      </c>
    </row>
    <row r="707" spans="2:2">
      <c r="B707" s="3" t="str">
        <f ca="1">IFERROR(__xludf.DUMMYFUNCTION("IF(ISBLANK(A707),"""",GOOGLETRANSLATE(A707,""en"",""fr""))"),"")</f>
        <v/>
      </c>
    </row>
    <row r="708" spans="2:2">
      <c r="B708" s="3" t="str">
        <f ca="1">IFERROR(__xludf.DUMMYFUNCTION("IF(ISBLANK(A708),"""",GOOGLETRANSLATE(A708,""en"",""fr""))"),"")</f>
        <v/>
      </c>
    </row>
    <row r="709" spans="2:2">
      <c r="B709" s="3" t="str">
        <f ca="1">IFERROR(__xludf.DUMMYFUNCTION("IF(ISBLANK(A709),"""",GOOGLETRANSLATE(A709,""en"",""fr""))"),"")</f>
        <v/>
      </c>
    </row>
    <row r="710" spans="2:2">
      <c r="B710" s="3" t="str">
        <f ca="1">IFERROR(__xludf.DUMMYFUNCTION("IF(ISBLANK(A710),"""",GOOGLETRANSLATE(A710,""en"",""fr""))"),"")</f>
        <v/>
      </c>
    </row>
    <row r="711" spans="2:2">
      <c r="B711" s="3" t="str">
        <f ca="1">IFERROR(__xludf.DUMMYFUNCTION("IF(ISBLANK(A711),"""",GOOGLETRANSLATE(A711,""en"",""fr""))"),"")</f>
        <v/>
      </c>
    </row>
    <row r="712" spans="2:2">
      <c r="B712" s="3" t="str">
        <f ca="1">IFERROR(__xludf.DUMMYFUNCTION("IF(ISBLANK(A712),"""",GOOGLETRANSLATE(A712,""en"",""fr""))"),"")</f>
        <v/>
      </c>
    </row>
    <row r="713" spans="2:2">
      <c r="B713" s="3" t="str">
        <f ca="1">IFERROR(__xludf.DUMMYFUNCTION("IF(ISBLANK(A713),"""",GOOGLETRANSLATE(A713,""en"",""fr""))"),"")</f>
        <v/>
      </c>
    </row>
    <row r="714" spans="2:2">
      <c r="B714" s="3" t="str">
        <f ca="1">IFERROR(__xludf.DUMMYFUNCTION("IF(ISBLANK(A714),"""",GOOGLETRANSLATE(A714,""en"",""fr""))"),"")</f>
        <v/>
      </c>
    </row>
    <row r="715" spans="2:2">
      <c r="B715" s="3" t="str">
        <f ca="1">IFERROR(__xludf.DUMMYFUNCTION("IF(ISBLANK(A715),"""",GOOGLETRANSLATE(A715,""en"",""fr""))"),"")</f>
        <v/>
      </c>
    </row>
    <row r="716" spans="2:2">
      <c r="B716" s="3" t="str">
        <f ca="1">IFERROR(__xludf.DUMMYFUNCTION("IF(ISBLANK(A716),"""",GOOGLETRANSLATE(A716,""en"",""fr""))"),"")</f>
        <v/>
      </c>
    </row>
    <row r="717" spans="2:2">
      <c r="B717" s="3" t="str">
        <f ca="1">IFERROR(__xludf.DUMMYFUNCTION("IF(ISBLANK(A717),"""",GOOGLETRANSLATE(A717,""en"",""fr""))"),"")</f>
        <v/>
      </c>
    </row>
    <row r="718" spans="2:2">
      <c r="B718" s="3" t="str">
        <f ca="1">IFERROR(__xludf.DUMMYFUNCTION("IF(ISBLANK(A718),"""",GOOGLETRANSLATE(A718,""en"",""fr""))"),"")</f>
        <v/>
      </c>
    </row>
    <row r="719" spans="2:2">
      <c r="B719" s="3" t="str">
        <f ca="1">IFERROR(__xludf.DUMMYFUNCTION("IF(ISBLANK(A719),"""",GOOGLETRANSLATE(A719,""en"",""fr""))"),"")</f>
        <v/>
      </c>
    </row>
    <row r="720" spans="2:2">
      <c r="B720" s="3" t="str">
        <f ca="1">IFERROR(__xludf.DUMMYFUNCTION("IF(ISBLANK(A720),"""",GOOGLETRANSLATE(A720,""en"",""fr""))"),"")</f>
        <v/>
      </c>
    </row>
    <row r="721" spans="2:2">
      <c r="B721" s="3" t="str">
        <f ca="1">IFERROR(__xludf.DUMMYFUNCTION("IF(ISBLANK(A721),"""",GOOGLETRANSLATE(A721,""en"",""fr""))"),"")</f>
        <v/>
      </c>
    </row>
    <row r="722" spans="2:2">
      <c r="B722" s="3" t="str">
        <f ca="1">IFERROR(__xludf.DUMMYFUNCTION("IF(ISBLANK(A722),"""",GOOGLETRANSLATE(A722,""en"",""fr""))"),"")</f>
        <v/>
      </c>
    </row>
    <row r="723" spans="2:2">
      <c r="B723" s="3" t="str">
        <f ca="1">IFERROR(__xludf.DUMMYFUNCTION("IF(ISBLANK(A723),"""",GOOGLETRANSLATE(A723,""en"",""fr""))"),"")</f>
        <v/>
      </c>
    </row>
    <row r="724" spans="2:2">
      <c r="B724" s="3" t="str">
        <f ca="1">IFERROR(__xludf.DUMMYFUNCTION("IF(ISBLANK(A724),"""",GOOGLETRANSLATE(A724,""en"",""fr""))"),"")</f>
        <v/>
      </c>
    </row>
    <row r="725" spans="2:2">
      <c r="B725" s="3" t="str">
        <f ca="1">IFERROR(__xludf.DUMMYFUNCTION("IF(ISBLANK(A725),"""",GOOGLETRANSLATE(A725,""en"",""fr""))"),"")</f>
        <v/>
      </c>
    </row>
    <row r="726" spans="2:2">
      <c r="B726" s="3" t="str">
        <f ca="1">IFERROR(__xludf.DUMMYFUNCTION("IF(ISBLANK(A726),"""",GOOGLETRANSLATE(A726,""en"",""fr""))"),"")</f>
        <v/>
      </c>
    </row>
    <row r="727" spans="2:2">
      <c r="B727" s="3" t="str">
        <f ca="1">IFERROR(__xludf.DUMMYFUNCTION("IF(ISBLANK(A727),"""",GOOGLETRANSLATE(A727,""en"",""fr""))"),"")</f>
        <v/>
      </c>
    </row>
    <row r="728" spans="2:2">
      <c r="B728" s="3" t="str">
        <f ca="1">IFERROR(__xludf.DUMMYFUNCTION("IF(ISBLANK(A728),"""",GOOGLETRANSLATE(A728,""en"",""fr""))"),"")</f>
        <v/>
      </c>
    </row>
    <row r="729" spans="2:2">
      <c r="B729" s="3" t="str">
        <f ca="1">IFERROR(__xludf.DUMMYFUNCTION("IF(ISBLANK(A729),"""",GOOGLETRANSLATE(A729,""en"",""fr""))"),"")</f>
        <v/>
      </c>
    </row>
    <row r="730" spans="2:2">
      <c r="B730" s="3" t="str">
        <f ca="1">IFERROR(__xludf.DUMMYFUNCTION("IF(ISBLANK(A730),"""",GOOGLETRANSLATE(A730,""en"",""fr""))"),"")</f>
        <v/>
      </c>
    </row>
    <row r="731" spans="2:2">
      <c r="B731" s="3" t="str">
        <f ca="1">IFERROR(__xludf.DUMMYFUNCTION("IF(ISBLANK(A731),"""",GOOGLETRANSLATE(A731,""en"",""fr""))"),"")</f>
        <v/>
      </c>
    </row>
    <row r="732" spans="2:2">
      <c r="B732" s="3" t="str">
        <f ca="1">IFERROR(__xludf.DUMMYFUNCTION("IF(ISBLANK(A732),"""",GOOGLETRANSLATE(A732,""en"",""fr""))"),"")</f>
        <v/>
      </c>
    </row>
    <row r="733" spans="2:2">
      <c r="B733" s="3" t="str">
        <f ca="1">IFERROR(__xludf.DUMMYFUNCTION("IF(ISBLANK(A733),"""",GOOGLETRANSLATE(A733,""en"",""fr""))"),"")</f>
        <v/>
      </c>
    </row>
    <row r="734" spans="2:2">
      <c r="B734" s="3" t="str">
        <f ca="1">IFERROR(__xludf.DUMMYFUNCTION("IF(ISBLANK(A734),"""",GOOGLETRANSLATE(A734,""en"",""fr""))"),"")</f>
        <v/>
      </c>
    </row>
    <row r="735" spans="2:2">
      <c r="B735" s="3" t="str">
        <f ca="1">IFERROR(__xludf.DUMMYFUNCTION("IF(ISBLANK(A735),"""",GOOGLETRANSLATE(A735,""en"",""fr""))"),"")</f>
        <v/>
      </c>
    </row>
    <row r="736" spans="2:2">
      <c r="B736" s="3" t="str">
        <f ca="1">IFERROR(__xludf.DUMMYFUNCTION("IF(ISBLANK(A736),"""",GOOGLETRANSLATE(A736,""en"",""fr""))"),"")</f>
        <v/>
      </c>
    </row>
    <row r="737" spans="2:2">
      <c r="B737" s="3" t="str">
        <f ca="1">IFERROR(__xludf.DUMMYFUNCTION("IF(ISBLANK(A737),"""",GOOGLETRANSLATE(A737,""en"",""fr""))"),"")</f>
        <v/>
      </c>
    </row>
    <row r="738" spans="2:2">
      <c r="B738" s="3" t="str">
        <f ca="1">IFERROR(__xludf.DUMMYFUNCTION("IF(ISBLANK(A738),"""",GOOGLETRANSLATE(A738,""en"",""fr""))"),"")</f>
        <v/>
      </c>
    </row>
    <row r="739" spans="2:2">
      <c r="B739" s="3" t="str">
        <f ca="1">IFERROR(__xludf.DUMMYFUNCTION("IF(ISBLANK(A739),"""",GOOGLETRANSLATE(A739,""en"",""fr""))"),"")</f>
        <v/>
      </c>
    </row>
    <row r="740" spans="2:2">
      <c r="B740" s="3" t="str">
        <f ca="1">IFERROR(__xludf.DUMMYFUNCTION("IF(ISBLANK(A740),"""",GOOGLETRANSLATE(A740,""en"",""fr""))"),"")</f>
        <v/>
      </c>
    </row>
    <row r="741" spans="2:2">
      <c r="B741" s="3" t="str">
        <f ca="1">IFERROR(__xludf.DUMMYFUNCTION("IF(ISBLANK(A741),"""",GOOGLETRANSLATE(A741,""en"",""fr""))"),"")</f>
        <v/>
      </c>
    </row>
    <row r="742" spans="2:2">
      <c r="B742" s="3" t="str">
        <f ca="1">IFERROR(__xludf.DUMMYFUNCTION("IF(ISBLANK(A742),"""",GOOGLETRANSLATE(A742,""en"",""fr""))"),"")</f>
        <v/>
      </c>
    </row>
    <row r="743" spans="2:2">
      <c r="B743" s="3" t="str">
        <f ca="1">IFERROR(__xludf.DUMMYFUNCTION("IF(ISBLANK(A743),"""",GOOGLETRANSLATE(A743,""en"",""fr""))"),"")</f>
        <v/>
      </c>
    </row>
    <row r="744" spans="2:2">
      <c r="B744" s="3" t="str">
        <f ca="1">IFERROR(__xludf.DUMMYFUNCTION("IF(ISBLANK(A744),"""",GOOGLETRANSLATE(A744,""en"",""fr""))"),"")</f>
        <v/>
      </c>
    </row>
    <row r="745" spans="2:2">
      <c r="B745" s="3" t="str">
        <f ca="1">IFERROR(__xludf.DUMMYFUNCTION("IF(ISBLANK(A745),"""",GOOGLETRANSLATE(A745,""en"",""fr""))"),"")</f>
        <v/>
      </c>
    </row>
    <row r="746" spans="2:2">
      <c r="B746" s="3" t="str">
        <f ca="1">IFERROR(__xludf.DUMMYFUNCTION("IF(ISBLANK(A746),"""",GOOGLETRANSLATE(A746,""en"",""fr""))"),"")</f>
        <v/>
      </c>
    </row>
    <row r="747" spans="2:2">
      <c r="B747" s="3" t="str">
        <f ca="1">IFERROR(__xludf.DUMMYFUNCTION("IF(ISBLANK(A747),"""",GOOGLETRANSLATE(A747,""en"",""fr""))"),"")</f>
        <v/>
      </c>
    </row>
    <row r="748" spans="2:2">
      <c r="B748" s="3" t="str">
        <f ca="1">IFERROR(__xludf.DUMMYFUNCTION("IF(ISBLANK(A748),"""",GOOGLETRANSLATE(A748,""en"",""fr""))"),"")</f>
        <v/>
      </c>
    </row>
    <row r="749" spans="2:2">
      <c r="B749" s="3" t="str">
        <f ca="1">IFERROR(__xludf.DUMMYFUNCTION("IF(ISBLANK(A749),"""",GOOGLETRANSLATE(A749,""en"",""fr""))"),"")</f>
        <v/>
      </c>
    </row>
    <row r="750" spans="2:2">
      <c r="B750" s="3" t="str">
        <f ca="1">IFERROR(__xludf.DUMMYFUNCTION("IF(ISBLANK(A750),"""",GOOGLETRANSLATE(A750,""en"",""fr""))"),"")</f>
        <v/>
      </c>
    </row>
    <row r="751" spans="2:2">
      <c r="B751" s="3" t="str">
        <f ca="1">IFERROR(__xludf.DUMMYFUNCTION("IF(ISBLANK(A751),"""",GOOGLETRANSLATE(A751,""en"",""fr""))"),"")</f>
        <v/>
      </c>
    </row>
    <row r="752" spans="2:2">
      <c r="B752" s="3" t="str">
        <f ca="1">IFERROR(__xludf.DUMMYFUNCTION("IF(ISBLANK(A752),"""",GOOGLETRANSLATE(A752,""en"",""fr""))"),"")</f>
        <v/>
      </c>
    </row>
    <row r="753" spans="2:2">
      <c r="B753" s="3" t="str">
        <f ca="1">IFERROR(__xludf.DUMMYFUNCTION("IF(ISBLANK(A753),"""",GOOGLETRANSLATE(A753,""en"",""fr""))"),"")</f>
        <v/>
      </c>
    </row>
    <row r="754" spans="2:2">
      <c r="B754" s="3" t="str">
        <f ca="1">IFERROR(__xludf.DUMMYFUNCTION("IF(ISBLANK(A754),"""",GOOGLETRANSLATE(A754,""en"",""fr""))"),"")</f>
        <v/>
      </c>
    </row>
    <row r="755" spans="2:2">
      <c r="B755" s="3" t="str">
        <f ca="1">IFERROR(__xludf.DUMMYFUNCTION("IF(ISBLANK(A755),"""",GOOGLETRANSLATE(A755,""en"",""fr""))"),"")</f>
        <v/>
      </c>
    </row>
    <row r="756" spans="2:2">
      <c r="B756" s="3" t="str">
        <f ca="1">IFERROR(__xludf.DUMMYFUNCTION("IF(ISBLANK(A756),"""",GOOGLETRANSLATE(A756,""en"",""fr""))"),"")</f>
        <v/>
      </c>
    </row>
    <row r="757" spans="2:2">
      <c r="B757" s="3" t="str">
        <f ca="1">IFERROR(__xludf.DUMMYFUNCTION("IF(ISBLANK(A757),"""",GOOGLETRANSLATE(A757,""en"",""fr""))"),"")</f>
        <v/>
      </c>
    </row>
    <row r="758" spans="2:2">
      <c r="B758" s="3" t="str">
        <f ca="1">IFERROR(__xludf.DUMMYFUNCTION("IF(ISBLANK(A758),"""",GOOGLETRANSLATE(A758,""en"",""fr""))"),"")</f>
        <v/>
      </c>
    </row>
    <row r="759" spans="2:2">
      <c r="B759" s="3" t="str">
        <f ca="1">IFERROR(__xludf.DUMMYFUNCTION("IF(ISBLANK(A759),"""",GOOGLETRANSLATE(A759,""en"",""fr""))"),"")</f>
        <v/>
      </c>
    </row>
    <row r="760" spans="2:2">
      <c r="B760" s="3" t="str">
        <f ca="1">IFERROR(__xludf.DUMMYFUNCTION("IF(ISBLANK(A760),"""",GOOGLETRANSLATE(A760,""en"",""fr""))"),"")</f>
        <v/>
      </c>
    </row>
    <row r="761" spans="2:2">
      <c r="B761" s="3" t="str">
        <f ca="1">IFERROR(__xludf.DUMMYFUNCTION("IF(ISBLANK(A761),"""",GOOGLETRANSLATE(A761,""en"",""fr""))"),"")</f>
        <v/>
      </c>
    </row>
    <row r="762" spans="2:2">
      <c r="B762" s="3" t="str">
        <f ca="1">IFERROR(__xludf.DUMMYFUNCTION("IF(ISBLANK(A762),"""",GOOGLETRANSLATE(A762,""en"",""fr""))"),"")</f>
        <v/>
      </c>
    </row>
    <row r="763" spans="2:2">
      <c r="B763" s="3" t="str">
        <f ca="1">IFERROR(__xludf.DUMMYFUNCTION("IF(ISBLANK(A763),"""",GOOGLETRANSLATE(A763,""en"",""fr""))"),"")</f>
        <v/>
      </c>
    </row>
    <row r="764" spans="2:2">
      <c r="B764" s="3" t="str">
        <f ca="1">IFERROR(__xludf.DUMMYFUNCTION("IF(ISBLANK(A764),"""",GOOGLETRANSLATE(A764,""en"",""fr""))"),"")</f>
        <v/>
      </c>
    </row>
    <row r="765" spans="2:2">
      <c r="B765" s="3" t="str">
        <f ca="1">IFERROR(__xludf.DUMMYFUNCTION("IF(ISBLANK(A765),"""",GOOGLETRANSLATE(A765,""en"",""fr""))"),"")</f>
        <v/>
      </c>
    </row>
    <row r="766" spans="2:2">
      <c r="B766" s="3" t="str">
        <f ca="1">IFERROR(__xludf.DUMMYFUNCTION("IF(ISBLANK(A766),"""",GOOGLETRANSLATE(A766,""en"",""fr""))"),"")</f>
        <v/>
      </c>
    </row>
    <row r="767" spans="2:2">
      <c r="B767" s="3" t="str">
        <f ca="1">IFERROR(__xludf.DUMMYFUNCTION("IF(ISBLANK(A767),"""",GOOGLETRANSLATE(A767,""en"",""fr""))"),"")</f>
        <v/>
      </c>
    </row>
    <row r="768" spans="2:2">
      <c r="B768" s="3" t="str">
        <f ca="1">IFERROR(__xludf.DUMMYFUNCTION("IF(ISBLANK(A768),"""",GOOGLETRANSLATE(A768,""en"",""fr""))"),"")</f>
        <v/>
      </c>
    </row>
    <row r="769" spans="2:2">
      <c r="B769" s="3" t="str">
        <f ca="1">IFERROR(__xludf.DUMMYFUNCTION("IF(ISBLANK(A769),"""",GOOGLETRANSLATE(A769,""en"",""fr""))"),"")</f>
        <v/>
      </c>
    </row>
    <row r="770" spans="2:2">
      <c r="B770" s="3" t="str">
        <f ca="1">IFERROR(__xludf.DUMMYFUNCTION("IF(ISBLANK(A770),"""",GOOGLETRANSLATE(A770,""en"",""fr""))"),"")</f>
        <v/>
      </c>
    </row>
    <row r="771" spans="2:2">
      <c r="B771" s="3" t="str">
        <f ca="1">IFERROR(__xludf.DUMMYFUNCTION("IF(ISBLANK(A771),"""",GOOGLETRANSLATE(A771,""en"",""fr""))"),"")</f>
        <v/>
      </c>
    </row>
    <row r="772" spans="2:2">
      <c r="B772" s="3" t="str">
        <f ca="1">IFERROR(__xludf.DUMMYFUNCTION("IF(ISBLANK(A772),"""",GOOGLETRANSLATE(A772,""en"",""fr""))"),"")</f>
        <v/>
      </c>
    </row>
    <row r="773" spans="2:2">
      <c r="B773" s="3" t="str">
        <f ca="1">IFERROR(__xludf.DUMMYFUNCTION("IF(ISBLANK(A773),"""",GOOGLETRANSLATE(A773,""en"",""fr""))"),"")</f>
        <v/>
      </c>
    </row>
    <row r="774" spans="2:2">
      <c r="B774" s="3" t="str">
        <f ca="1">IFERROR(__xludf.DUMMYFUNCTION("IF(ISBLANK(A774),"""",GOOGLETRANSLATE(A774,""en"",""fr""))"),"")</f>
        <v/>
      </c>
    </row>
    <row r="775" spans="2:2">
      <c r="B775" s="3" t="str">
        <f ca="1">IFERROR(__xludf.DUMMYFUNCTION("IF(ISBLANK(A775),"""",GOOGLETRANSLATE(A775,""en"",""fr""))"),"")</f>
        <v/>
      </c>
    </row>
    <row r="776" spans="2:2">
      <c r="B776" s="3" t="str">
        <f ca="1">IFERROR(__xludf.DUMMYFUNCTION("IF(ISBLANK(A776),"""",GOOGLETRANSLATE(A776,""en"",""fr""))"),"")</f>
        <v/>
      </c>
    </row>
    <row r="777" spans="2:2">
      <c r="B777" s="3" t="str">
        <f ca="1">IFERROR(__xludf.DUMMYFUNCTION("IF(ISBLANK(A777),"""",GOOGLETRANSLATE(A777,""en"",""fr""))"),"")</f>
        <v/>
      </c>
    </row>
    <row r="778" spans="2:2">
      <c r="B778" s="3" t="str">
        <f ca="1">IFERROR(__xludf.DUMMYFUNCTION("IF(ISBLANK(A778),"""",GOOGLETRANSLATE(A778,""en"",""fr""))"),"")</f>
        <v/>
      </c>
    </row>
    <row r="779" spans="2:2">
      <c r="B779" s="3" t="str">
        <f ca="1">IFERROR(__xludf.DUMMYFUNCTION("IF(ISBLANK(A779),"""",GOOGLETRANSLATE(A779,""en"",""fr""))"),"")</f>
        <v/>
      </c>
    </row>
    <row r="780" spans="2:2">
      <c r="B780" s="3" t="str">
        <f ca="1">IFERROR(__xludf.DUMMYFUNCTION("IF(ISBLANK(A780),"""",GOOGLETRANSLATE(A780,""en"",""fr""))"),"")</f>
        <v/>
      </c>
    </row>
    <row r="781" spans="2:2">
      <c r="B781" s="3" t="str">
        <f ca="1">IFERROR(__xludf.DUMMYFUNCTION("IF(ISBLANK(A781),"""",GOOGLETRANSLATE(A781,""en"",""fr""))"),"")</f>
        <v/>
      </c>
    </row>
    <row r="782" spans="2:2">
      <c r="B782" s="3" t="str">
        <f ca="1">IFERROR(__xludf.DUMMYFUNCTION("IF(ISBLANK(A782),"""",GOOGLETRANSLATE(A782,""en"",""fr""))"),"")</f>
        <v/>
      </c>
    </row>
    <row r="783" spans="2:2">
      <c r="B783" s="3" t="str">
        <f ca="1">IFERROR(__xludf.DUMMYFUNCTION("IF(ISBLANK(A783),"""",GOOGLETRANSLATE(A783,""en"",""fr""))"),"")</f>
        <v/>
      </c>
    </row>
    <row r="784" spans="2:2">
      <c r="B784" s="3" t="str">
        <f ca="1">IFERROR(__xludf.DUMMYFUNCTION("IF(ISBLANK(A784),"""",GOOGLETRANSLATE(A784,""en"",""fr""))"),"")</f>
        <v/>
      </c>
    </row>
    <row r="785" spans="2:2">
      <c r="B785" s="3" t="str">
        <f ca="1">IFERROR(__xludf.DUMMYFUNCTION("IF(ISBLANK(A785),"""",GOOGLETRANSLATE(A785,""en"",""fr""))"),"")</f>
        <v/>
      </c>
    </row>
    <row r="786" spans="2:2">
      <c r="B786" s="3" t="str">
        <f ca="1">IFERROR(__xludf.DUMMYFUNCTION("IF(ISBLANK(A786),"""",GOOGLETRANSLATE(A786,""en"",""fr""))"),"")</f>
        <v/>
      </c>
    </row>
    <row r="787" spans="2:2">
      <c r="B787" s="3" t="str">
        <f ca="1">IFERROR(__xludf.DUMMYFUNCTION("IF(ISBLANK(A787),"""",GOOGLETRANSLATE(A787,""en"",""fr""))"),"")</f>
        <v/>
      </c>
    </row>
    <row r="788" spans="2:2">
      <c r="B788" s="3" t="str">
        <f ca="1">IFERROR(__xludf.DUMMYFUNCTION("IF(ISBLANK(A788),"""",GOOGLETRANSLATE(A788,""en"",""fr""))"),"")</f>
        <v/>
      </c>
    </row>
    <row r="789" spans="2:2">
      <c r="B789" s="3" t="str">
        <f ca="1">IFERROR(__xludf.DUMMYFUNCTION("IF(ISBLANK(A789),"""",GOOGLETRANSLATE(A789,""en"",""fr""))"),"")</f>
        <v/>
      </c>
    </row>
    <row r="790" spans="2:2">
      <c r="B790" s="3" t="str">
        <f ca="1">IFERROR(__xludf.DUMMYFUNCTION("IF(ISBLANK(A790),"""",GOOGLETRANSLATE(A790,""en"",""fr""))"),"")</f>
        <v/>
      </c>
    </row>
    <row r="791" spans="2:2">
      <c r="B791" s="3" t="str">
        <f ca="1">IFERROR(__xludf.DUMMYFUNCTION("IF(ISBLANK(A791),"""",GOOGLETRANSLATE(A791,""en"",""fr""))"),"")</f>
        <v/>
      </c>
    </row>
    <row r="792" spans="2:2">
      <c r="B792" s="3" t="str">
        <f ca="1">IFERROR(__xludf.DUMMYFUNCTION("IF(ISBLANK(A792),"""",GOOGLETRANSLATE(A792,""en"",""fr""))"),"")</f>
        <v/>
      </c>
    </row>
    <row r="793" spans="2:2">
      <c r="B793" s="3" t="str">
        <f ca="1">IFERROR(__xludf.DUMMYFUNCTION("IF(ISBLANK(A793),"""",GOOGLETRANSLATE(A793,""en"",""fr""))"),"")</f>
        <v/>
      </c>
    </row>
    <row r="794" spans="2:2">
      <c r="B794" s="3" t="str">
        <f ca="1">IFERROR(__xludf.DUMMYFUNCTION("IF(ISBLANK(A794),"""",GOOGLETRANSLATE(A794,""en"",""fr""))"),"")</f>
        <v/>
      </c>
    </row>
    <row r="795" spans="2:2">
      <c r="B795" s="3" t="str">
        <f ca="1">IFERROR(__xludf.DUMMYFUNCTION("IF(ISBLANK(A795),"""",GOOGLETRANSLATE(A795,""en"",""fr""))"),"")</f>
        <v/>
      </c>
    </row>
    <row r="796" spans="2:2">
      <c r="B796" s="3" t="str">
        <f ca="1">IFERROR(__xludf.DUMMYFUNCTION("IF(ISBLANK(A796),"""",GOOGLETRANSLATE(A796,""en"",""fr""))"),"")</f>
        <v/>
      </c>
    </row>
    <row r="797" spans="2:2">
      <c r="B797" s="3" t="str">
        <f ca="1">IFERROR(__xludf.DUMMYFUNCTION("IF(ISBLANK(A797),"""",GOOGLETRANSLATE(A797,""en"",""fr""))"),"")</f>
        <v/>
      </c>
    </row>
    <row r="798" spans="2:2">
      <c r="B798" s="3" t="str">
        <f ca="1">IFERROR(__xludf.DUMMYFUNCTION("IF(ISBLANK(A798),"""",GOOGLETRANSLATE(A798,""en"",""fr""))"),"")</f>
        <v/>
      </c>
    </row>
    <row r="799" spans="2:2">
      <c r="B799" s="3" t="str">
        <f ca="1">IFERROR(__xludf.DUMMYFUNCTION("IF(ISBLANK(A799),"""",GOOGLETRANSLATE(A799,""en"",""fr""))"),"")</f>
        <v/>
      </c>
    </row>
    <row r="800" spans="2:2">
      <c r="B800" s="3" t="str">
        <f ca="1">IFERROR(__xludf.DUMMYFUNCTION("IF(ISBLANK(A800),"""",GOOGLETRANSLATE(A800,""en"",""fr""))"),"")</f>
        <v/>
      </c>
    </row>
    <row r="801" spans="2:2">
      <c r="B801" s="3" t="str">
        <f ca="1">IFERROR(__xludf.DUMMYFUNCTION("IF(ISBLANK(A801),"""",GOOGLETRANSLATE(A801,""en"",""fr""))"),"")</f>
        <v/>
      </c>
    </row>
    <row r="802" spans="2:2">
      <c r="B802" s="3" t="str">
        <f ca="1">IFERROR(__xludf.DUMMYFUNCTION("IF(ISBLANK(A802),"""",GOOGLETRANSLATE(A802,""en"",""fr""))"),"")</f>
        <v/>
      </c>
    </row>
    <row r="803" spans="2:2">
      <c r="B803" s="3" t="str">
        <f ca="1">IFERROR(__xludf.DUMMYFUNCTION("IF(ISBLANK(A803),"""",GOOGLETRANSLATE(A803,""en"",""fr""))"),"")</f>
        <v/>
      </c>
    </row>
    <row r="804" spans="2:2">
      <c r="B804" s="3" t="str">
        <f ca="1">IFERROR(__xludf.DUMMYFUNCTION("IF(ISBLANK(A804),"""",GOOGLETRANSLATE(A804,""en"",""fr""))"),"")</f>
        <v/>
      </c>
    </row>
    <row r="805" spans="2:2">
      <c r="B805" s="3" t="str">
        <f ca="1">IFERROR(__xludf.DUMMYFUNCTION("IF(ISBLANK(A805),"""",GOOGLETRANSLATE(A805,""en"",""fr""))"),"")</f>
        <v/>
      </c>
    </row>
    <row r="806" spans="2:2">
      <c r="B806" s="3" t="str">
        <f ca="1">IFERROR(__xludf.DUMMYFUNCTION("IF(ISBLANK(A806),"""",GOOGLETRANSLATE(A806,""en"",""fr""))"),"")</f>
        <v/>
      </c>
    </row>
    <row r="807" spans="2:2">
      <c r="B807" s="3" t="str">
        <f ca="1">IFERROR(__xludf.DUMMYFUNCTION("IF(ISBLANK(A807),"""",GOOGLETRANSLATE(A807,""en"",""fr""))"),"")</f>
        <v/>
      </c>
    </row>
    <row r="808" spans="2:2">
      <c r="B808" s="3" t="str">
        <f ca="1">IFERROR(__xludf.DUMMYFUNCTION("IF(ISBLANK(A808),"""",GOOGLETRANSLATE(A808,""en"",""fr""))"),"")</f>
        <v/>
      </c>
    </row>
    <row r="809" spans="2:2">
      <c r="B809" s="3" t="str">
        <f ca="1">IFERROR(__xludf.DUMMYFUNCTION("IF(ISBLANK(A809),"""",GOOGLETRANSLATE(A809,""en"",""fr""))"),"")</f>
        <v/>
      </c>
    </row>
    <row r="810" spans="2:2">
      <c r="B810" s="3" t="str">
        <f ca="1">IFERROR(__xludf.DUMMYFUNCTION("IF(ISBLANK(A810),"""",GOOGLETRANSLATE(A810,""en"",""fr""))"),"")</f>
        <v/>
      </c>
    </row>
    <row r="811" spans="2:2">
      <c r="B811" s="3" t="str">
        <f ca="1">IFERROR(__xludf.DUMMYFUNCTION("IF(ISBLANK(A811),"""",GOOGLETRANSLATE(A811,""en"",""fr""))"),"")</f>
        <v/>
      </c>
    </row>
    <row r="812" spans="2:2">
      <c r="B812" s="3" t="str">
        <f ca="1">IFERROR(__xludf.DUMMYFUNCTION("IF(ISBLANK(A812),"""",GOOGLETRANSLATE(A812,""en"",""fr""))"),"")</f>
        <v/>
      </c>
    </row>
    <row r="813" spans="2:2">
      <c r="B813" s="3" t="str">
        <f ca="1">IFERROR(__xludf.DUMMYFUNCTION("IF(ISBLANK(A813),"""",GOOGLETRANSLATE(A813,""en"",""fr""))"),"")</f>
        <v/>
      </c>
    </row>
    <row r="814" spans="2:2">
      <c r="B814" s="3" t="str">
        <f ca="1">IFERROR(__xludf.DUMMYFUNCTION("IF(ISBLANK(A814),"""",GOOGLETRANSLATE(A814,""en"",""fr""))"),"")</f>
        <v/>
      </c>
    </row>
    <row r="815" spans="2:2">
      <c r="B815" s="3" t="str">
        <f ca="1">IFERROR(__xludf.DUMMYFUNCTION("IF(ISBLANK(A815),"""",GOOGLETRANSLATE(A815,""en"",""fr""))"),"")</f>
        <v/>
      </c>
    </row>
    <row r="816" spans="2:2">
      <c r="B816" s="3" t="str">
        <f ca="1">IFERROR(__xludf.DUMMYFUNCTION("IF(ISBLANK(A816),"""",GOOGLETRANSLATE(A816,""en"",""fr""))"),"")</f>
        <v/>
      </c>
    </row>
    <row r="817" spans="2:2">
      <c r="B817" s="3" t="str">
        <f ca="1">IFERROR(__xludf.DUMMYFUNCTION("IF(ISBLANK(A817),"""",GOOGLETRANSLATE(A817,""en"",""fr""))"),"")</f>
        <v/>
      </c>
    </row>
    <row r="818" spans="2:2">
      <c r="B818" s="3" t="str">
        <f ca="1">IFERROR(__xludf.DUMMYFUNCTION("IF(ISBLANK(A818),"""",GOOGLETRANSLATE(A818,""en"",""fr""))"),"")</f>
        <v/>
      </c>
    </row>
    <row r="819" spans="2:2">
      <c r="B819" s="3" t="str">
        <f ca="1">IFERROR(__xludf.DUMMYFUNCTION("IF(ISBLANK(A819),"""",GOOGLETRANSLATE(A819,""en"",""fr""))"),"")</f>
        <v/>
      </c>
    </row>
    <row r="820" spans="2:2">
      <c r="B820" s="3" t="str">
        <f ca="1">IFERROR(__xludf.DUMMYFUNCTION("IF(ISBLANK(A820),"""",GOOGLETRANSLATE(A820,""en"",""fr""))"),"")</f>
        <v/>
      </c>
    </row>
    <row r="821" spans="2:2">
      <c r="B821" s="3" t="str">
        <f ca="1">IFERROR(__xludf.DUMMYFUNCTION("IF(ISBLANK(A821),"""",GOOGLETRANSLATE(A821,""en"",""fr""))"),"")</f>
        <v/>
      </c>
    </row>
    <row r="822" spans="2:2">
      <c r="B822" s="3" t="str">
        <f ca="1">IFERROR(__xludf.DUMMYFUNCTION("IF(ISBLANK(A822),"""",GOOGLETRANSLATE(A822,""en"",""fr""))"),"")</f>
        <v/>
      </c>
    </row>
    <row r="823" spans="2:2">
      <c r="B823" s="3" t="str">
        <f ca="1">IFERROR(__xludf.DUMMYFUNCTION("IF(ISBLANK(A823),"""",GOOGLETRANSLATE(A823,""en"",""fr""))"),"")</f>
        <v/>
      </c>
    </row>
    <row r="824" spans="2:2">
      <c r="B824" s="3" t="str">
        <f ca="1">IFERROR(__xludf.DUMMYFUNCTION("IF(ISBLANK(A824),"""",GOOGLETRANSLATE(A824,""en"",""fr""))"),"")</f>
        <v/>
      </c>
    </row>
    <row r="825" spans="2:2">
      <c r="B825" s="3" t="str">
        <f ca="1">IFERROR(__xludf.DUMMYFUNCTION("IF(ISBLANK(A825),"""",GOOGLETRANSLATE(A825,""en"",""fr""))"),"")</f>
        <v/>
      </c>
    </row>
    <row r="826" spans="2:2">
      <c r="B826" s="3" t="str">
        <f ca="1">IFERROR(__xludf.DUMMYFUNCTION("IF(ISBLANK(A826),"""",GOOGLETRANSLATE(A826,""en"",""fr""))"),"")</f>
        <v/>
      </c>
    </row>
    <row r="827" spans="2:2">
      <c r="B827" s="3" t="str">
        <f ca="1">IFERROR(__xludf.DUMMYFUNCTION("IF(ISBLANK(A827),"""",GOOGLETRANSLATE(A827,""en"",""fr""))"),"")</f>
        <v/>
      </c>
    </row>
    <row r="828" spans="2:2">
      <c r="B828" s="3" t="str">
        <f ca="1">IFERROR(__xludf.DUMMYFUNCTION("IF(ISBLANK(A828),"""",GOOGLETRANSLATE(A828,""en"",""fr""))"),"")</f>
        <v/>
      </c>
    </row>
    <row r="829" spans="2:2">
      <c r="B829" s="3" t="str">
        <f ca="1">IFERROR(__xludf.DUMMYFUNCTION("IF(ISBLANK(A829),"""",GOOGLETRANSLATE(A829,""en"",""fr""))"),"")</f>
        <v/>
      </c>
    </row>
    <row r="830" spans="2:2">
      <c r="B830" s="3" t="str">
        <f ca="1">IFERROR(__xludf.DUMMYFUNCTION("IF(ISBLANK(A830),"""",GOOGLETRANSLATE(A830,""en"",""fr""))"),"")</f>
        <v/>
      </c>
    </row>
    <row r="831" spans="2:2">
      <c r="B831" s="3" t="str">
        <f ca="1">IFERROR(__xludf.DUMMYFUNCTION("IF(ISBLANK(A831),"""",GOOGLETRANSLATE(A831,""en"",""fr""))"),"")</f>
        <v/>
      </c>
    </row>
    <row r="832" spans="2:2">
      <c r="B832" s="3" t="str">
        <f ca="1">IFERROR(__xludf.DUMMYFUNCTION("IF(ISBLANK(A832),"""",GOOGLETRANSLATE(A832,""en"",""fr""))"),"")</f>
        <v/>
      </c>
    </row>
    <row r="833" spans="2:2">
      <c r="B833" s="3" t="str">
        <f ca="1">IFERROR(__xludf.DUMMYFUNCTION("IF(ISBLANK(A833),"""",GOOGLETRANSLATE(A833,""en"",""fr""))"),"")</f>
        <v/>
      </c>
    </row>
    <row r="834" spans="2:2">
      <c r="B834" s="3" t="str">
        <f ca="1">IFERROR(__xludf.DUMMYFUNCTION("IF(ISBLANK(A834),"""",GOOGLETRANSLATE(A834,""en"",""fr""))"),"")</f>
        <v/>
      </c>
    </row>
    <row r="835" spans="2:2">
      <c r="B835" s="3" t="str">
        <f ca="1">IFERROR(__xludf.DUMMYFUNCTION("IF(ISBLANK(A835),"""",GOOGLETRANSLATE(A835,""en"",""fr""))"),"")</f>
        <v/>
      </c>
    </row>
    <row r="836" spans="2:2">
      <c r="B836" s="3" t="str">
        <f ca="1">IFERROR(__xludf.DUMMYFUNCTION("IF(ISBLANK(A836),"""",GOOGLETRANSLATE(A836,""en"",""fr""))"),"")</f>
        <v/>
      </c>
    </row>
    <row r="837" spans="2:2">
      <c r="B837" s="3" t="str">
        <f ca="1">IFERROR(__xludf.DUMMYFUNCTION("IF(ISBLANK(A837),"""",GOOGLETRANSLATE(A837,""en"",""fr""))"),"")</f>
        <v/>
      </c>
    </row>
    <row r="838" spans="2:2">
      <c r="B838" s="3" t="str">
        <f ca="1">IFERROR(__xludf.DUMMYFUNCTION("IF(ISBLANK(A838),"""",GOOGLETRANSLATE(A838,""en"",""fr""))"),"")</f>
        <v/>
      </c>
    </row>
    <row r="839" spans="2:2">
      <c r="B839" s="3" t="str">
        <f ca="1">IFERROR(__xludf.DUMMYFUNCTION("IF(ISBLANK(A839),"""",GOOGLETRANSLATE(A839,""en"",""fr""))"),"")</f>
        <v/>
      </c>
    </row>
    <row r="840" spans="2:2">
      <c r="B840" s="3" t="str">
        <f ca="1">IFERROR(__xludf.DUMMYFUNCTION("IF(ISBLANK(A840),"""",GOOGLETRANSLATE(A840,""en"",""fr""))"),"")</f>
        <v/>
      </c>
    </row>
    <row r="841" spans="2:2">
      <c r="B841" s="3" t="str">
        <f ca="1">IFERROR(__xludf.DUMMYFUNCTION("IF(ISBLANK(A841),"""",GOOGLETRANSLATE(A841,""en"",""fr""))"),"")</f>
        <v/>
      </c>
    </row>
    <row r="842" spans="2:2">
      <c r="B842" s="3" t="str">
        <f ca="1">IFERROR(__xludf.DUMMYFUNCTION("IF(ISBLANK(A842),"""",GOOGLETRANSLATE(A842,""en"",""fr""))"),"")</f>
        <v/>
      </c>
    </row>
    <row r="843" spans="2:2">
      <c r="B843" s="3" t="str">
        <f ca="1">IFERROR(__xludf.DUMMYFUNCTION("IF(ISBLANK(A843),"""",GOOGLETRANSLATE(A843,""en"",""fr""))"),"")</f>
        <v/>
      </c>
    </row>
    <row r="844" spans="2:2">
      <c r="B844" s="3" t="str">
        <f ca="1">IFERROR(__xludf.DUMMYFUNCTION("IF(ISBLANK(A844),"""",GOOGLETRANSLATE(A844,""en"",""fr""))"),"")</f>
        <v/>
      </c>
    </row>
    <row r="845" spans="2:2">
      <c r="B845" s="3" t="str">
        <f ca="1">IFERROR(__xludf.DUMMYFUNCTION("IF(ISBLANK(A845),"""",GOOGLETRANSLATE(A845,""en"",""fr""))"),"")</f>
        <v/>
      </c>
    </row>
    <row r="846" spans="2:2">
      <c r="B846" s="3" t="str">
        <f ca="1">IFERROR(__xludf.DUMMYFUNCTION("IF(ISBLANK(A846),"""",GOOGLETRANSLATE(A846,""en"",""fr""))"),"")</f>
        <v/>
      </c>
    </row>
    <row r="847" spans="2:2">
      <c r="B847" s="3" t="str">
        <f ca="1">IFERROR(__xludf.DUMMYFUNCTION("IF(ISBLANK(A847),"""",GOOGLETRANSLATE(A847,""en"",""fr""))"),"")</f>
        <v/>
      </c>
    </row>
    <row r="848" spans="2:2">
      <c r="B848" s="3" t="str">
        <f ca="1">IFERROR(__xludf.DUMMYFUNCTION("IF(ISBLANK(A848),"""",GOOGLETRANSLATE(A848,""en"",""fr""))"),"")</f>
        <v/>
      </c>
    </row>
    <row r="849" spans="2:2">
      <c r="B849" s="3" t="str">
        <f ca="1">IFERROR(__xludf.DUMMYFUNCTION("IF(ISBLANK(A849),"""",GOOGLETRANSLATE(A849,""en"",""fr""))"),"")</f>
        <v/>
      </c>
    </row>
    <row r="850" spans="2:2">
      <c r="B850" s="3" t="str">
        <f ca="1">IFERROR(__xludf.DUMMYFUNCTION("IF(ISBLANK(A850),"""",GOOGLETRANSLATE(A850,""en"",""fr""))"),"")</f>
        <v/>
      </c>
    </row>
    <row r="851" spans="2:2">
      <c r="B851" s="3" t="str">
        <f ca="1">IFERROR(__xludf.DUMMYFUNCTION("IF(ISBLANK(A851),"""",GOOGLETRANSLATE(A851,""en"",""fr""))"),"")</f>
        <v/>
      </c>
    </row>
    <row r="852" spans="2:2">
      <c r="B852" s="3" t="str">
        <f ca="1">IFERROR(__xludf.DUMMYFUNCTION("IF(ISBLANK(A852),"""",GOOGLETRANSLATE(A852,""en"",""fr""))"),"")</f>
        <v/>
      </c>
    </row>
    <row r="853" spans="2:2">
      <c r="B853" s="3" t="str">
        <f ca="1">IFERROR(__xludf.DUMMYFUNCTION("IF(ISBLANK(A853),"""",GOOGLETRANSLATE(A853,""en"",""fr""))"),"")</f>
        <v/>
      </c>
    </row>
    <row r="854" spans="2:2">
      <c r="B854" s="3" t="str">
        <f ca="1">IFERROR(__xludf.DUMMYFUNCTION("IF(ISBLANK(A854),"""",GOOGLETRANSLATE(A854,""en"",""fr""))"),"")</f>
        <v/>
      </c>
    </row>
    <row r="855" spans="2:2">
      <c r="B855" s="3" t="str">
        <f ca="1">IFERROR(__xludf.DUMMYFUNCTION("IF(ISBLANK(A855),"""",GOOGLETRANSLATE(A855,""en"",""fr""))"),"")</f>
        <v/>
      </c>
    </row>
    <row r="856" spans="2:2">
      <c r="B856" s="3" t="str">
        <f ca="1">IFERROR(__xludf.DUMMYFUNCTION("IF(ISBLANK(A856),"""",GOOGLETRANSLATE(A856,""en"",""fr""))"),"")</f>
        <v/>
      </c>
    </row>
    <row r="857" spans="2:2">
      <c r="B857" s="3" t="str">
        <f ca="1">IFERROR(__xludf.DUMMYFUNCTION("IF(ISBLANK(A857),"""",GOOGLETRANSLATE(A857,""en"",""fr""))"),"")</f>
        <v/>
      </c>
    </row>
    <row r="858" spans="2:2">
      <c r="B858" s="3" t="str">
        <f ca="1">IFERROR(__xludf.DUMMYFUNCTION("IF(ISBLANK(A858),"""",GOOGLETRANSLATE(A858,""en"",""fr""))"),"")</f>
        <v/>
      </c>
    </row>
    <row r="859" spans="2:2">
      <c r="B859" s="3" t="str">
        <f ca="1">IFERROR(__xludf.DUMMYFUNCTION("IF(ISBLANK(A859),"""",GOOGLETRANSLATE(A859,""en"",""fr""))"),"")</f>
        <v/>
      </c>
    </row>
    <row r="860" spans="2:2">
      <c r="B860" s="3" t="str">
        <f ca="1">IFERROR(__xludf.DUMMYFUNCTION("IF(ISBLANK(A860),"""",GOOGLETRANSLATE(A860,""en"",""fr""))"),"")</f>
        <v/>
      </c>
    </row>
    <row r="861" spans="2:2">
      <c r="B861" s="3" t="str">
        <f ca="1">IFERROR(__xludf.DUMMYFUNCTION("IF(ISBLANK(A861),"""",GOOGLETRANSLATE(A861,""en"",""fr""))"),"")</f>
        <v/>
      </c>
    </row>
    <row r="862" spans="2:2">
      <c r="B862" s="3" t="str">
        <f ca="1">IFERROR(__xludf.DUMMYFUNCTION("IF(ISBLANK(A862),"""",GOOGLETRANSLATE(A862,""en"",""fr""))"),"")</f>
        <v/>
      </c>
    </row>
    <row r="863" spans="2:2">
      <c r="B863" s="3" t="str">
        <f ca="1">IFERROR(__xludf.DUMMYFUNCTION("IF(ISBLANK(A863),"""",GOOGLETRANSLATE(A863,""en"",""fr""))"),"")</f>
        <v/>
      </c>
    </row>
    <row r="864" spans="2:2">
      <c r="B864" s="3" t="str">
        <f ca="1">IFERROR(__xludf.DUMMYFUNCTION("IF(ISBLANK(A864),"""",GOOGLETRANSLATE(A864,""en"",""fr""))"),"")</f>
        <v/>
      </c>
    </row>
    <row r="865" spans="2:2">
      <c r="B865" s="3" t="str">
        <f ca="1">IFERROR(__xludf.DUMMYFUNCTION("IF(ISBLANK(A865),"""",GOOGLETRANSLATE(A865,""en"",""fr""))"),"")</f>
        <v/>
      </c>
    </row>
    <row r="866" spans="2:2">
      <c r="B866" s="3" t="str">
        <f ca="1">IFERROR(__xludf.DUMMYFUNCTION("IF(ISBLANK(A866),"""",GOOGLETRANSLATE(A866,""en"",""fr""))"),"")</f>
        <v/>
      </c>
    </row>
    <row r="867" spans="2:2">
      <c r="B867" s="3" t="str">
        <f ca="1">IFERROR(__xludf.DUMMYFUNCTION("IF(ISBLANK(A867),"""",GOOGLETRANSLATE(A867,""en"",""fr""))"),"")</f>
        <v/>
      </c>
    </row>
    <row r="868" spans="2:2">
      <c r="B868" s="3" t="str">
        <f ca="1">IFERROR(__xludf.DUMMYFUNCTION("IF(ISBLANK(A868),"""",GOOGLETRANSLATE(A868,""en"",""fr""))"),"")</f>
        <v/>
      </c>
    </row>
    <row r="869" spans="2:2">
      <c r="B869" s="3" t="str">
        <f ca="1">IFERROR(__xludf.DUMMYFUNCTION("IF(ISBLANK(A869),"""",GOOGLETRANSLATE(A869,""en"",""fr""))"),"")</f>
        <v/>
      </c>
    </row>
    <row r="870" spans="2:2">
      <c r="B870" s="3" t="str">
        <f ca="1">IFERROR(__xludf.DUMMYFUNCTION("IF(ISBLANK(A870),"""",GOOGLETRANSLATE(A870,""en"",""fr""))"),"")</f>
        <v/>
      </c>
    </row>
    <row r="871" spans="2:2">
      <c r="B871" s="3" t="str">
        <f ca="1">IFERROR(__xludf.DUMMYFUNCTION("IF(ISBLANK(A871),"""",GOOGLETRANSLATE(A871,""en"",""fr""))"),"")</f>
        <v/>
      </c>
    </row>
    <row r="872" spans="2:2">
      <c r="B872" s="3" t="str">
        <f ca="1">IFERROR(__xludf.DUMMYFUNCTION("IF(ISBLANK(A872),"""",GOOGLETRANSLATE(A872,""en"",""fr""))"),"")</f>
        <v/>
      </c>
    </row>
    <row r="873" spans="2:2">
      <c r="B873" s="3" t="str">
        <f ca="1">IFERROR(__xludf.DUMMYFUNCTION("IF(ISBLANK(A873),"""",GOOGLETRANSLATE(A873,""en"",""fr""))"),"")</f>
        <v/>
      </c>
    </row>
    <row r="874" spans="2:2">
      <c r="B874" s="3" t="str">
        <f ca="1">IFERROR(__xludf.DUMMYFUNCTION("IF(ISBLANK(A874),"""",GOOGLETRANSLATE(A874,""en"",""fr""))"),"")</f>
        <v/>
      </c>
    </row>
    <row r="875" spans="2:2">
      <c r="B875" s="3" t="str">
        <f ca="1">IFERROR(__xludf.DUMMYFUNCTION("IF(ISBLANK(A875),"""",GOOGLETRANSLATE(A875,""en"",""fr""))"),"")</f>
        <v/>
      </c>
    </row>
    <row r="876" spans="2:2">
      <c r="B876" s="3" t="str">
        <f ca="1">IFERROR(__xludf.DUMMYFUNCTION("IF(ISBLANK(A876),"""",GOOGLETRANSLATE(A876,""en"",""fr""))"),"")</f>
        <v/>
      </c>
    </row>
    <row r="877" spans="2:2">
      <c r="B877" s="3" t="str">
        <f ca="1">IFERROR(__xludf.DUMMYFUNCTION("IF(ISBLANK(A877),"""",GOOGLETRANSLATE(A877,""en"",""fr""))"),"")</f>
        <v/>
      </c>
    </row>
    <row r="878" spans="2:2">
      <c r="B878" s="3" t="str">
        <f ca="1">IFERROR(__xludf.DUMMYFUNCTION("IF(ISBLANK(A878),"""",GOOGLETRANSLATE(A878,""en"",""fr""))"),"")</f>
        <v/>
      </c>
    </row>
    <row r="879" spans="2:2">
      <c r="B879" s="3" t="str">
        <f ca="1">IFERROR(__xludf.DUMMYFUNCTION("IF(ISBLANK(A879),"""",GOOGLETRANSLATE(A879,""en"",""fr""))"),"")</f>
        <v/>
      </c>
    </row>
    <row r="880" spans="2:2">
      <c r="B880" s="3" t="str">
        <f ca="1">IFERROR(__xludf.DUMMYFUNCTION("IF(ISBLANK(A880),"""",GOOGLETRANSLATE(A880,""en"",""fr""))"),"")</f>
        <v/>
      </c>
    </row>
    <row r="881" spans="2:2">
      <c r="B881" s="3" t="str">
        <f ca="1">IFERROR(__xludf.DUMMYFUNCTION("IF(ISBLANK(A881),"""",GOOGLETRANSLATE(A881,""en"",""fr""))"),"")</f>
        <v/>
      </c>
    </row>
    <row r="882" spans="2:2">
      <c r="B882" s="3" t="str">
        <f ca="1">IFERROR(__xludf.DUMMYFUNCTION("IF(ISBLANK(A882),"""",GOOGLETRANSLATE(A882,""en"",""fr""))"),"")</f>
        <v/>
      </c>
    </row>
    <row r="883" spans="2:2">
      <c r="B883" s="3" t="str">
        <f ca="1">IFERROR(__xludf.DUMMYFUNCTION("IF(ISBLANK(A883),"""",GOOGLETRANSLATE(A883,""en"",""fr""))"),"")</f>
        <v/>
      </c>
    </row>
    <row r="884" spans="2:2">
      <c r="B884" s="3" t="str">
        <f ca="1">IFERROR(__xludf.DUMMYFUNCTION("IF(ISBLANK(A884),"""",GOOGLETRANSLATE(A884,""en"",""fr""))"),"")</f>
        <v/>
      </c>
    </row>
    <row r="885" spans="2:2">
      <c r="B885" s="3" t="str">
        <f ca="1">IFERROR(__xludf.DUMMYFUNCTION("IF(ISBLANK(A885),"""",GOOGLETRANSLATE(A885,""en"",""fr""))"),"")</f>
        <v/>
      </c>
    </row>
    <row r="886" spans="2:2">
      <c r="B886" s="3" t="str">
        <f ca="1">IFERROR(__xludf.DUMMYFUNCTION("IF(ISBLANK(A886),"""",GOOGLETRANSLATE(A886,""en"",""fr""))"),"")</f>
        <v/>
      </c>
    </row>
    <row r="887" spans="2:2">
      <c r="B887" s="3" t="str">
        <f ca="1">IFERROR(__xludf.DUMMYFUNCTION("IF(ISBLANK(A887),"""",GOOGLETRANSLATE(A887,""en"",""fr""))"),"")</f>
        <v/>
      </c>
    </row>
    <row r="888" spans="2:2">
      <c r="B888" s="3" t="str">
        <f ca="1">IFERROR(__xludf.DUMMYFUNCTION("IF(ISBLANK(A888),"""",GOOGLETRANSLATE(A888,""en"",""fr""))"),"")</f>
        <v/>
      </c>
    </row>
    <row r="889" spans="2:2">
      <c r="B889" s="3" t="str">
        <f ca="1">IFERROR(__xludf.DUMMYFUNCTION("IF(ISBLANK(A889),"""",GOOGLETRANSLATE(A889,""en"",""fr""))"),"")</f>
        <v/>
      </c>
    </row>
    <row r="890" spans="2:2">
      <c r="B890" s="3" t="str">
        <f ca="1">IFERROR(__xludf.DUMMYFUNCTION("IF(ISBLANK(A890),"""",GOOGLETRANSLATE(A890,""en"",""fr""))"),"")</f>
        <v/>
      </c>
    </row>
    <row r="891" spans="2:2">
      <c r="B891" s="3" t="str">
        <f ca="1">IFERROR(__xludf.DUMMYFUNCTION("IF(ISBLANK(A891),"""",GOOGLETRANSLATE(A891,""en"",""fr""))"),"")</f>
        <v/>
      </c>
    </row>
    <row r="892" spans="2:2">
      <c r="B892" s="3" t="str">
        <f ca="1">IFERROR(__xludf.DUMMYFUNCTION("IF(ISBLANK(A892),"""",GOOGLETRANSLATE(A892,""en"",""fr""))"),"")</f>
        <v/>
      </c>
    </row>
    <row r="893" spans="2:2">
      <c r="B893" s="3" t="str">
        <f ca="1">IFERROR(__xludf.DUMMYFUNCTION("IF(ISBLANK(A893),"""",GOOGLETRANSLATE(A893,""en"",""fr""))"),"")</f>
        <v/>
      </c>
    </row>
    <row r="894" spans="2:2">
      <c r="B894" s="3" t="str">
        <f ca="1">IFERROR(__xludf.DUMMYFUNCTION("IF(ISBLANK(A894),"""",GOOGLETRANSLATE(A894,""en"",""fr""))"),"")</f>
        <v/>
      </c>
    </row>
    <row r="895" spans="2:2">
      <c r="B895" s="3" t="str">
        <f ca="1">IFERROR(__xludf.DUMMYFUNCTION("IF(ISBLANK(A895),"""",GOOGLETRANSLATE(A895,""en"",""fr""))"),"")</f>
        <v/>
      </c>
    </row>
    <row r="896" spans="2:2">
      <c r="B896" s="3" t="str">
        <f ca="1">IFERROR(__xludf.DUMMYFUNCTION("IF(ISBLANK(A896),"""",GOOGLETRANSLATE(A896,""en"",""fr""))"),"")</f>
        <v/>
      </c>
    </row>
    <row r="897" spans="2:2">
      <c r="B897" s="3" t="str">
        <f ca="1">IFERROR(__xludf.DUMMYFUNCTION("IF(ISBLANK(A897),"""",GOOGLETRANSLATE(A897,""en"",""fr""))"),"")</f>
        <v/>
      </c>
    </row>
    <row r="898" spans="2:2">
      <c r="B898" s="3" t="str">
        <f ca="1">IFERROR(__xludf.DUMMYFUNCTION("IF(ISBLANK(A898),"""",GOOGLETRANSLATE(A898,""en"",""fr""))"),"")</f>
        <v/>
      </c>
    </row>
    <row r="899" spans="2:2">
      <c r="B899" s="3" t="str">
        <f ca="1">IFERROR(__xludf.DUMMYFUNCTION("IF(ISBLANK(A899),"""",GOOGLETRANSLATE(A899,""en"",""fr""))"),"")</f>
        <v/>
      </c>
    </row>
    <row r="900" spans="2:2">
      <c r="B900" s="3" t="str">
        <f ca="1">IFERROR(__xludf.DUMMYFUNCTION("IF(ISBLANK(A900),"""",GOOGLETRANSLATE(A900,""en"",""fr""))"),"")</f>
        <v/>
      </c>
    </row>
    <row r="901" spans="2:2">
      <c r="B901" s="3" t="str">
        <f ca="1">IFERROR(__xludf.DUMMYFUNCTION("IF(ISBLANK(A901),"""",GOOGLETRANSLATE(A901,""en"",""fr""))"),"")</f>
        <v/>
      </c>
    </row>
    <row r="902" spans="2:2">
      <c r="B902" s="3" t="str">
        <f ca="1">IFERROR(__xludf.DUMMYFUNCTION("IF(ISBLANK(A902),"""",GOOGLETRANSLATE(A902,""en"",""fr""))"),"")</f>
        <v/>
      </c>
    </row>
    <row r="903" spans="2:2">
      <c r="B903" s="3" t="str">
        <f ca="1">IFERROR(__xludf.DUMMYFUNCTION("IF(ISBLANK(A903),"""",GOOGLETRANSLATE(A903,""en"",""fr""))"),"")</f>
        <v/>
      </c>
    </row>
    <row r="904" spans="2:2">
      <c r="B904" s="3" t="str">
        <f ca="1">IFERROR(__xludf.DUMMYFUNCTION("IF(ISBLANK(A904),"""",GOOGLETRANSLATE(A904,""en"",""fr""))"),"")</f>
        <v/>
      </c>
    </row>
    <row r="905" spans="2:2">
      <c r="B905" s="3" t="str">
        <f ca="1">IFERROR(__xludf.DUMMYFUNCTION("IF(ISBLANK(A905),"""",GOOGLETRANSLATE(A905,""en"",""fr""))"),"")</f>
        <v/>
      </c>
    </row>
    <row r="906" spans="2:2">
      <c r="B906" s="3" t="str">
        <f ca="1">IFERROR(__xludf.DUMMYFUNCTION("IF(ISBLANK(A906),"""",GOOGLETRANSLATE(A906,""en"",""fr""))"),"")</f>
        <v/>
      </c>
    </row>
    <row r="907" spans="2:2">
      <c r="B907" s="3" t="str">
        <f ca="1">IFERROR(__xludf.DUMMYFUNCTION("IF(ISBLANK(A907),"""",GOOGLETRANSLATE(A907,""en"",""fr""))"),"")</f>
        <v/>
      </c>
    </row>
    <row r="908" spans="2:2">
      <c r="B908" s="3" t="str">
        <f ca="1">IFERROR(__xludf.DUMMYFUNCTION("IF(ISBLANK(A908),"""",GOOGLETRANSLATE(A908,""en"",""fr""))"),"")</f>
        <v/>
      </c>
    </row>
    <row r="909" spans="2:2">
      <c r="B909" s="3" t="str">
        <f ca="1">IFERROR(__xludf.DUMMYFUNCTION("IF(ISBLANK(A909),"""",GOOGLETRANSLATE(A909,""en"",""fr""))"),"")</f>
        <v/>
      </c>
    </row>
    <row r="910" spans="2:2">
      <c r="B910" s="3" t="str">
        <f ca="1">IFERROR(__xludf.DUMMYFUNCTION("IF(ISBLANK(A910),"""",GOOGLETRANSLATE(A910,""en"",""fr""))"),"")</f>
        <v/>
      </c>
    </row>
    <row r="911" spans="2:2">
      <c r="B911" s="3" t="str">
        <f ca="1">IFERROR(__xludf.DUMMYFUNCTION("IF(ISBLANK(A911),"""",GOOGLETRANSLATE(A911,""en"",""fr""))"),"")</f>
        <v/>
      </c>
    </row>
    <row r="912" spans="2:2">
      <c r="B912" s="3" t="str">
        <f ca="1">IFERROR(__xludf.DUMMYFUNCTION("IF(ISBLANK(A912),"""",GOOGLETRANSLATE(A912,""en"",""fr""))"),"")</f>
        <v/>
      </c>
    </row>
    <row r="913" spans="2:2">
      <c r="B913" s="3" t="str">
        <f ca="1">IFERROR(__xludf.DUMMYFUNCTION("IF(ISBLANK(A913),"""",GOOGLETRANSLATE(A913,""en"",""fr""))"),"")</f>
        <v/>
      </c>
    </row>
    <row r="914" spans="2:2">
      <c r="B914" s="3" t="str">
        <f ca="1">IFERROR(__xludf.DUMMYFUNCTION("IF(ISBLANK(A914),"""",GOOGLETRANSLATE(A914,""en"",""fr""))"),"")</f>
        <v/>
      </c>
    </row>
    <row r="915" spans="2:2">
      <c r="B915" s="3" t="str">
        <f ca="1">IFERROR(__xludf.DUMMYFUNCTION("IF(ISBLANK(A915),"""",GOOGLETRANSLATE(A915,""en"",""fr""))"),"")</f>
        <v/>
      </c>
    </row>
    <row r="916" spans="2:2">
      <c r="B916" s="3" t="str">
        <f ca="1">IFERROR(__xludf.DUMMYFUNCTION("IF(ISBLANK(A916),"""",GOOGLETRANSLATE(A916,""en"",""fr""))"),"")</f>
        <v/>
      </c>
    </row>
    <row r="917" spans="2:2">
      <c r="B917" s="3" t="str">
        <f ca="1">IFERROR(__xludf.DUMMYFUNCTION("IF(ISBLANK(A917),"""",GOOGLETRANSLATE(A917,""en"",""fr""))"),"")</f>
        <v/>
      </c>
    </row>
    <row r="918" spans="2:2">
      <c r="B918" s="3" t="str">
        <f ca="1">IFERROR(__xludf.DUMMYFUNCTION("IF(ISBLANK(A918),"""",GOOGLETRANSLATE(A918,""en"",""fr""))"),"")</f>
        <v/>
      </c>
    </row>
    <row r="919" spans="2:2">
      <c r="B919" s="3" t="str">
        <f ca="1">IFERROR(__xludf.DUMMYFUNCTION("IF(ISBLANK(A919),"""",GOOGLETRANSLATE(A919,""en"",""fr""))"),"")</f>
        <v/>
      </c>
    </row>
    <row r="920" spans="2:2">
      <c r="B920" s="3" t="str">
        <f ca="1">IFERROR(__xludf.DUMMYFUNCTION("IF(ISBLANK(A920),"""",GOOGLETRANSLATE(A920,""en"",""fr""))"),"")</f>
        <v/>
      </c>
    </row>
    <row r="921" spans="2:2">
      <c r="B921" s="3" t="str">
        <f ca="1">IFERROR(__xludf.DUMMYFUNCTION("IF(ISBLANK(A921),"""",GOOGLETRANSLATE(A921,""en"",""fr""))"),"")</f>
        <v/>
      </c>
    </row>
    <row r="922" spans="2:2">
      <c r="B922" s="3" t="str">
        <f ca="1">IFERROR(__xludf.DUMMYFUNCTION("IF(ISBLANK(A922),"""",GOOGLETRANSLATE(A922,""en"",""fr""))"),"")</f>
        <v/>
      </c>
    </row>
    <row r="923" spans="2:2">
      <c r="B923" s="3" t="str">
        <f ca="1">IFERROR(__xludf.DUMMYFUNCTION("IF(ISBLANK(A923),"""",GOOGLETRANSLATE(A923,""en"",""fr""))"),"")</f>
        <v/>
      </c>
    </row>
    <row r="924" spans="2:2">
      <c r="B924" s="3" t="str">
        <f ca="1">IFERROR(__xludf.DUMMYFUNCTION("IF(ISBLANK(A924),"""",GOOGLETRANSLATE(A924,""en"",""fr""))"),"")</f>
        <v/>
      </c>
    </row>
    <row r="925" spans="2:2">
      <c r="B925" s="3" t="str">
        <f ca="1">IFERROR(__xludf.DUMMYFUNCTION("IF(ISBLANK(A925),"""",GOOGLETRANSLATE(A925,""en"",""fr""))"),"")</f>
        <v/>
      </c>
    </row>
    <row r="926" spans="2:2">
      <c r="B926" s="3" t="str">
        <f ca="1">IFERROR(__xludf.DUMMYFUNCTION("IF(ISBLANK(A926),"""",GOOGLETRANSLATE(A926,""en"",""fr""))"),"")</f>
        <v/>
      </c>
    </row>
    <row r="927" spans="2:2">
      <c r="B927" s="3" t="str">
        <f ca="1">IFERROR(__xludf.DUMMYFUNCTION("IF(ISBLANK(A927),"""",GOOGLETRANSLATE(A927,""en"",""fr""))"),"")</f>
        <v/>
      </c>
    </row>
    <row r="928" spans="2:2">
      <c r="B928" s="3" t="str">
        <f ca="1">IFERROR(__xludf.DUMMYFUNCTION("IF(ISBLANK(A928),"""",GOOGLETRANSLATE(A928,""en"",""fr""))"),"")</f>
        <v/>
      </c>
    </row>
    <row r="929" spans="2:2">
      <c r="B929" s="3" t="str">
        <f ca="1">IFERROR(__xludf.DUMMYFUNCTION("IF(ISBLANK(A929),"""",GOOGLETRANSLATE(A929,""en"",""fr""))"),"")</f>
        <v/>
      </c>
    </row>
    <row r="930" spans="2:2">
      <c r="B930" s="3" t="str">
        <f ca="1">IFERROR(__xludf.DUMMYFUNCTION("IF(ISBLANK(A930),"""",GOOGLETRANSLATE(A930,""en"",""fr""))"),"")</f>
        <v/>
      </c>
    </row>
    <row r="931" spans="2:2">
      <c r="B931" s="3" t="str">
        <f ca="1">IFERROR(__xludf.DUMMYFUNCTION("IF(ISBLANK(A931),"""",GOOGLETRANSLATE(A931,""en"",""fr""))"),"")</f>
        <v/>
      </c>
    </row>
    <row r="932" spans="2:2">
      <c r="B932" s="3" t="str">
        <f ca="1">IFERROR(__xludf.DUMMYFUNCTION("IF(ISBLANK(A932),"""",GOOGLETRANSLATE(A932,""en"",""fr""))"),"")</f>
        <v/>
      </c>
    </row>
    <row r="933" spans="2:2">
      <c r="B933" s="3" t="str">
        <f ca="1">IFERROR(__xludf.DUMMYFUNCTION("IF(ISBLANK(A933),"""",GOOGLETRANSLATE(A933,""en"",""fr""))"),"")</f>
        <v/>
      </c>
    </row>
    <row r="934" spans="2:2">
      <c r="B934" s="3" t="str">
        <f ca="1">IFERROR(__xludf.DUMMYFUNCTION("IF(ISBLANK(A934),"""",GOOGLETRANSLATE(A934,""en"",""fr""))"),"")</f>
        <v/>
      </c>
    </row>
    <row r="935" spans="2:2">
      <c r="B935" s="3" t="str">
        <f ca="1">IFERROR(__xludf.DUMMYFUNCTION("IF(ISBLANK(A935),"""",GOOGLETRANSLATE(A935,""en"",""fr""))"),"")</f>
        <v/>
      </c>
    </row>
    <row r="936" spans="2:2">
      <c r="B936" s="3" t="str">
        <f ca="1">IFERROR(__xludf.DUMMYFUNCTION("IF(ISBLANK(A936),"""",GOOGLETRANSLATE(A936,""en"",""fr""))"),"")</f>
        <v/>
      </c>
    </row>
    <row r="937" spans="2:2">
      <c r="B937" s="3" t="str">
        <f ca="1">IFERROR(__xludf.DUMMYFUNCTION("IF(ISBLANK(A937),"""",GOOGLETRANSLATE(A937,""en"",""fr""))"),"")</f>
        <v/>
      </c>
    </row>
    <row r="938" spans="2:2">
      <c r="B938" s="3" t="str">
        <f ca="1">IFERROR(__xludf.DUMMYFUNCTION("IF(ISBLANK(A938),"""",GOOGLETRANSLATE(A938,""en"",""fr""))"),"")</f>
        <v/>
      </c>
    </row>
    <row r="939" spans="2:2">
      <c r="B939" s="3" t="str">
        <f ca="1">IFERROR(__xludf.DUMMYFUNCTION("IF(ISBLANK(A939),"""",GOOGLETRANSLATE(A939,""en"",""fr""))"),"")</f>
        <v/>
      </c>
    </row>
    <row r="940" spans="2:2">
      <c r="B940" s="3" t="str">
        <f ca="1">IFERROR(__xludf.DUMMYFUNCTION("IF(ISBLANK(A940),"""",GOOGLETRANSLATE(A940,""en"",""fr""))"),"")</f>
        <v/>
      </c>
    </row>
    <row r="941" spans="2:2">
      <c r="B941" s="3" t="str">
        <f ca="1">IFERROR(__xludf.DUMMYFUNCTION("IF(ISBLANK(A941),"""",GOOGLETRANSLATE(A941,""en"",""fr""))"),"")</f>
        <v/>
      </c>
    </row>
    <row r="942" spans="2:2">
      <c r="B942" s="3" t="str">
        <f ca="1">IFERROR(__xludf.DUMMYFUNCTION("IF(ISBLANK(A942),"""",GOOGLETRANSLATE(A942,""en"",""fr""))"),"")</f>
        <v/>
      </c>
    </row>
    <row r="943" spans="2:2">
      <c r="B943" s="3" t="str">
        <f ca="1">IFERROR(__xludf.DUMMYFUNCTION("IF(ISBLANK(A943),"""",GOOGLETRANSLATE(A943,""en"",""fr""))"),"")</f>
        <v/>
      </c>
    </row>
    <row r="944" spans="2:2">
      <c r="B944" s="3" t="str">
        <f ca="1">IFERROR(__xludf.DUMMYFUNCTION("IF(ISBLANK(A944),"""",GOOGLETRANSLATE(A944,""en"",""fr""))"),"")</f>
        <v/>
      </c>
    </row>
    <row r="945" spans="2:2">
      <c r="B945" s="3" t="str">
        <f ca="1">IFERROR(__xludf.DUMMYFUNCTION("IF(ISBLANK(A945),"""",GOOGLETRANSLATE(A945,""en"",""fr""))"),"")</f>
        <v/>
      </c>
    </row>
    <row r="946" spans="2:2">
      <c r="B946" s="3" t="str">
        <f ca="1">IFERROR(__xludf.DUMMYFUNCTION("IF(ISBLANK(A946),"""",GOOGLETRANSLATE(A946,""en"",""fr""))"),"")</f>
        <v/>
      </c>
    </row>
    <row r="947" spans="2:2">
      <c r="B947" s="3" t="str">
        <f ca="1">IFERROR(__xludf.DUMMYFUNCTION("IF(ISBLANK(A947),"""",GOOGLETRANSLATE(A947,""en"",""fr""))"),"")</f>
        <v/>
      </c>
    </row>
    <row r="948" spans="2:2">
      <c r="B948" s="3" t="str">
        <f ca="1">IFERROR(__xludf.DUMMYFUNCTION("IF(ISBLANK(A948),"""",GOOGLETRANSLATE(A948,""en"",""fr""))"),"")</f>
        <v/>
      </c>
    </row>
    <row r="949" spans="2:2">
      <c r="B949" s="3" t="str">
        <f ca="1">IFERROR(__xludf.DUMMYFUNCTION("IF(ISBLANK(A949),"""",GOOGLETRANSLATE(A949,""en"",""fr""))"),"")</f>
        <v/>
      </c>
    </row>
    <row r="950" spans="2:2">
      <c r="B950" s="3" t="str">
        <f ca="1">IFERROR(__xludf.DUMMYFUNCTION("IF(ISBLANK(A950),"""",GOOGLETRANSLATE(A950,""en"",""fr""))"),"")</f>
        <v/>
      </c>
    </row>
    <row r="951" spans="2:2">
      <c r="B951" s="3" t="str">
        <f ca="1">IFERROR(__xludf.DUMMYFUNCTION("IF(ISBLANK(A951),"""",GOOGLETRANSLATE(A951,""en"",""fr""))"),"")</f>
        <v/>
      </c>
    </row>
    <row r="952" spans="2:2">
      <c r="B952" s="3" t="str">
        <f ca="1">IFERROR(__xludf.DUMMYFUNCTION("IF(ISBLANK(A952),"""",GOOGLETRANSLATE(A952,""en"",""fr""))"),"")</f>
        <v/>
      </c>
    </row>
    <row r="953" spans="2:2">
      <c r="B953" s="3" t="str">
        <f ca="1">IFERROR(__xludf.DUMMYFUNCTION("IF(ISBLANK(A953),"""",GOOGLETRANSLATE(A953,""en"",""fr""))"),"")</f>
        <v/>
      </c>
    </row>
    <row r="954" spans="2:2">
      <c r="B954" s="3" t="str">
        <f ca="1">IFERROR(__xludf.DUMMYFUNCTION("IF(ISBLANK(A954),"""",GOOGLETRANSLATE(A954,""en"",""fr""))"),"")</f>
        <v/>
      </c>
    </row>
    <row r="955" spans="2:2">
      <c r="B955" s="3" t="str">
        <f ca="1">IFERROR(__xludf.DUMMYFUNCTION("IF(ISBLANK(A955),"""",GOOGLETRANSLATE(A955,""en"",""fr""))"),"")</f>
        <v/>
      </c>
    </row>
    <row r="956" spans="2:2">
      <c r="B956" s="3" t="str">
        <f ca="1">IFERROR(__xludf.DUMMYFUNCTION("IF(ISBLANK(A956),"""",GOOGLETRANSLATE(A956,""en"",""fr""))"),"")</f>
        <v/>
      </c>
    </row>
    <row r="957" spans="2:2">
      <c r="B957" s="3" t="str">
        <f ca="1">IFERROR(__xludf.DUMMYFUNCTION("IF(ISBLANK(A957),"""",GOOGLETRANSLATE(A957,""en"",""fr""))"),"")</f>
        <v/>
      </c>
    </row>
    <row r="958" spans="2:2">
      <c r="B958" s="3" t="str">
        <f ca="1">IFERROR(__xludf.DUMMYFUNCTION("IF(ISBLANK(A958),"""",GOOGLETRANSLATE(A958,""en"",""fr""))"),"")</f>
        <v/>
      </c>
    </row>
    <row r="959" spans="2:2">
      <c r="B959" s="3" t="str">
        <f ca="1">IFERROR(__xludf.DUMMYFUNCTION("IF(ISBLANK(A959),"""",GOOGLETRANSLATE(A959,""en"",""fr""))"),"")</f>
        <v/>
      </c>
    </row>
    <row r="960" spans="2:2">
      <c r="B960" s="3" t="str">
        <f ca="1">IFERROR(__xludf.DUMMYFUNCTION("IF(ISBLANK(A960),"""",GOOGLETRANSLATE(A960,""en"",""fr""))"),"")</f>
        <v/>
      </c>
    </row>
    <row r="961" spans="2:2">
      <c r="B961" s="3" t="str">
        <f ca="1">IFERROR(__xludf.DUMMYFUNCTION("IF(ISBLANK(A961),"""",GOOGLETRANSLATE(A961,""en"",""fr""))"),"")</f>
        <v/>
      </c>
    </row>
    <row r="962" spans="2:2">
      <c r="B962" s="3" t="str">
        <f ca="1">IFERROR(__xludf.DUMMYFUNCTION("IF(ISBLANK(A962),"""",GOOGLETRANSLATE(A962,""en"",""fr""))"),"")</f>
        <v/>
      </c>
    </row>
    <row r="963" spans="2:2">
      <c r="B963" s="3" t="str">
        <f ca="1">IFERROR(__xludf.DUMMYFUNCTION("IF(ISBLANK(A963),"""",GOOGLETRANSLATE(A963,""en"",""fr""))"),"")</f>
        <v/>
      </c>
    </row>
    <row r="964" spans="2:2">
      <c r="B964" s="3" t="str">
        <f ca="1">IFERROR(__xludf.DUMMYFUNCTION("IF(ISBLANK(A964),"""",GOOGLETRANSLATE(A964,""en"",""fr""))"),"")</f>
        <v/>
      </c>
    </row>
    <row r="965" spans="2:2">
      <c r="B965" s="3" t="str">
        <f ca="1">IFERROR(__xludf.DUMMYFUNCTION("IF(ISBLANK(A965),"""",GOOGLETRANSLATE(A965,""en"",""fr""))"),"")</f>
        <v/>
      </c>
    </row>
    <row r="966" spans="2:2">
      <c r="B966" s="3" t="str">
        <f ca="1">IFERROR(__xludf.DUMMYFUNCTION("IF(ISBLANK(A966),"""",GOOGLETRANSLATE(A966,""en"",""fr""))"),"")</f>
        <v/>
      </c>
    </row>
    <row r="967" spans="2:2">
      <c r="B967" s="3" t="str">
        <f ca="1">IFERROR(__xludf.DUMMYFUNCTION("IF(ISBLANK(A967),"""",GOOGLETRANSLATE(A967,""en"",""fr""))"),"")</f>
        <v/>
      </c>
    </row>
    <row r="968" spans="2:2">
      <c r="B968" s="3" t="str">
        <f ca="1">IFERROR(__xludf.DUMMYFUNCTION("IF(ISBLANK(A968),"""",GOOGLETRANSLATE(A968,""en"",""fr""))"),"")</f>
        <v/>
      </c>
    </row>
    <row r="969" spans="2:2">
      <c r="B969" s="3" t="str">
        <f ca="1">IFERROR(__xludf.DUMMYFUNCTION("IF(ISBLANK(A969),"""",GOOGLETRANSLATE(A969,""en"",""fr""))"),"")</f>
        <v/>
      </c>
    </row>
    <row r="970" spans="2:2">
      <c r="B970" s="3" t="str">
        <f ca="1">IFERROR(__xludf.DUMMYFUNCTION("IF(ISBLANK(A970),"""",GOOGLETRANSLATE(A970,""en"",""fr""))"),"")</f>
        <v/>
      </c>
    </row>
    <row r="971" spans="2:2">
      <c r="B971" s="3" t="str">
        <f ca="1">IFERROR(__xludf.DUMMYFUNCTION("IF(ISBLANK(A971),"""",GOOGLETRANSLATE(A971,""en"",""fr""))"),"")</f>
        <v/>
      </c>
    </row>
    <row r="972" spans="2:2">
      <c r="B972" s="3" t="str">
        <f ca="1">IFERROR(__xludf.DUMMYFUNCTION("IF(ISBLANK(A972),"""",GOOGLETRANSLATE(A972,""en"",""fr""))"),"")</f>
        <v/>
      </c>
    </row>
    <row r="973" spans="2:2">
      <c r="B973" s="3" t="str">
        <f ca="1">IFERROR(__xludf.DUMMYFUNCTION("IF(ISBLANK(A973),"""",GOOGLETRANSLATE(A973,""en"",""fr""))"),"")</f>
        <v/>
      </c>
    </row>
    <row r="974" spans="2:2">
      <c r="B974" s="3" t="str">
        <f ca="1">IFERROR(__xludf.DUMMYFUNCTION("IF(ISBLANK(A974),"""",GOOGLETRANSLATE(A974,""en"",""fr""))"),"")</f>
        <v/>
      </c>
    </row>
    <row r="975" spans="2:2">
      <c r="B975" s="3" t="str">
        <f ca="1">IFERROR(__xludf.DUMMYFUNCTION("IF(ISBLANK(A975),"""",GOOGLETRANSLATE(A975,""en"",""fr""))"),"")</f>
        <v/>
      </c>
    </row>
    <row r="976" spans="2:2">
      <c r="B976" s="3" t="str">
        <f ca="1">IFERROR(__xludf.DUMMYFUNCTION("IF(ISBLANK(A976),"""",GOOGLETRANSLATE(A976,""en"",""fr""))"),"")</f>
        <v/>
      </c>
    </row>
    <row r="977" spans="2:2">
      <c r="B977" s="3" t="str">
        <f ca="1">IFERROR(__xludf.DUMMYFUNCTION("IF(ISBLANK(A977),"""",GOOGLETRANSLATE(A977,""en"",""fr""))"),"")</f>
        <v/>
      </c>
    </row>
    <row r="978" spans="2:2">
      <c r="B978" s="3" t="str">
        <f ca="1">IFERROR(__xludf.DUMMYFUNCTION("IF(ISBLANK(A978),"""",GOOGLETRANSLATE(A978,""en"",""fr""))"),"")</f>
        <v/>
      </c>
    </row>
    <row r="979" spans="2:2">
      <c r="B979" s="3" t="str">
        <f ca="1">IFERROR(__xludf.DUMMYFUNCTION("IF(ISBLANK(A979),"""",GOOGLETRANSLATE(A979,""en"",""fr""))"),"")</f>
        <v/>
      </c>
    </row>
    <row r="980" spans="2:2">
      <c r="B980" s="3" t="str">
        <f ca="1">IFERROR(__xludf.DUMMYFUNCTION("IF(ISBLANK(A980),"""",GOOGLETRANSLATE(A980,""en"",""fr""))"),"")</f>
        <v/>
      </c>
    </row>
    <row r="981" spans="2:2">
      <c r="B981" s="3" t="str">
        <f ca="1">IFERROR(__xludf.DUMMYFUNCTION("IF(ISBLANK(A981),"""",GOOGLETRANSLATE(A981,""en"",""fr""))"),"")</f>
        <v/>
      </c>
    </row>
    <row r="982" spans="2:2">
      <c r="B982" s="3" t="str">
        <f ca="1">IFERROR(__xludf.DUMMYFUNCTION("IF(ISBLANK(A982),"""",GOOGLETRANSLATE(A982,""en"",""fr""))"),"")</f>
        <v/>
      </c>
    </row>
    <row r="983" spans="2:2">
      <c r="B983" s="3" t="str">
        <f ca="1">IFERROR(__xludf.DUMMYFUNCTION("IF(ISBLANK(A983),"""",GOOGLETRANSLATE(A983,""en"",""fr""))"),"")</f>
        <v/>
      </c>
    </row>
    <row r="984" spans="2:2">
      <c r="B984" s="3" t="str">
        <f ca="1">IFERROR(__xludf.DUMMYFUNCTION("IF(ISBLANK(A984),"""",GOOGLETRANSLATE(A984,""en"",""fr""))"),"")</f>
        <v/>
      </c>
    </row>
    <row r="985" spans="2:2">
      <c r="B985" s="3" t="str">
        <f ca="1">IFERROR(__xludf.DUMMYFUNCTION("IF(ISBLANK(A985),"""",GOOGLETRANSLATE(A985,""en"",""fr""))"),"")</f>
        <v/>
      </c>
    </row>
    <row r="986" spans="2:2">
      <c r="B986" s="3" t="str">
        <f ca="1">IFERROR(__xludf.DUMMYFUNCTION("IF(ISBLANK(A986),"""",GOOGLETRANSLATE(A986,""en"",""fr""))"),"")</f>
        <v/>
      </c>
    </row>
    <row r="987" spans="2:2">
      <c r="B987" s="3" t="str">
        <f ca="1">IFERROR(__xludf.DUMMYFUNCTION("IF(ISBLANK(A987),"""",GOOGLETRANSLATE(A987,""en"",""fr""))"),"")</f>
        <v/>
      </c>
    </row>
    <row r="988" spans="2:2">
      <c r="B988" s="3" t="str">
        <f ca="1">IFERROR(__xludf.DUMMYFUNCTION("IF(ISBLANK(A988),"""",GOOGLETRANSLATE(A988,""en"",""fr""))"),"")</f>
        <v/>
      </c>
    </row>
    <row r="989" spans="2:2">
      <c r="B989" s="3" t="str">
        <f ca="1">IFERROR(__xludf.DUMMYFUNCTION("IF(ISBLANK(A989),"""",GOOGLETRANSLATE(A989,""en"",""fr""))"),"")</f>
        <v/>
      </c>
    </row>
    <row r="990" spans="2:2">
      <c r="B990" s="3" t="str">
        <f ca="1">IFERROR(__xludf.DUMMYFUNCTION("IF(ISBLANK(A990),"""",GOOGLETRANSLATE(A990,""en"",""fr""))"),"")</f>
        <v/>
      </c>
    </row>
    <row r="991" spans="2:2">
      <c r="B991" s="3" t="str">
        <f ca="1">IFERROR(__xludf.DUMMYFUNCTION("IF(ISBLANK(A991),"""",GOOGLETRANSLATE(A991,""en"",""fr""))"),"")</f>
        <v/>
      </c>
    </row>
    <row r="992" spans="2:2">
      <c r="B992" s="3" t="str">
        <f ca="1">IFERROR(__xludf.DUMMYFUNCTION("IF(ISBLANK(A992),"""",GOOGLETRANSLATE(A992,""en"",""fr""))"),"")</f>
        <v/>
      </c>
    </row>
    <row r="993" spans="2:2">
      <c r="B993" s="3" t="str">
        <f ca="1">IFERROR(__xludf.DUMMYFUNCTION("IF(ISBLANK(A993),"""",GOOGLETRANSLATE(A993,""en"",""fr""))"),"")</f>
        <v/>
      </c>
    </row>
    <row r="994" spans="2:2">
      <c r="B994" s="3" t="str">
        <f ca="1">IFERROR(__xludf.DUMMYFUNCTION("IF(ISBLANK(A994),"""",GOOGLETRANSLATE(A994,""en"",""fr""))"),"")</f>
        <v/>
      </c>
    </row>
    <row r="995" spans="2:2">
      <c r="B995" s="3" t="str">
        <f ca="1">IFERROR(__xludf.DUMMYFUNCTION("IF(ISBLANK(A995),"""",GOOGLETRANSLATE(A995,""en"",""fr""))"),"")</f>
        <v/>
      </c>
    </row>
    <row r="996" spans="2:2">
      <c r="B996" s="3" t="str">
        <f ca="1">IFERROR(__xludf.DUMMYFUNCTION("IF(ISBLANK(A996),"""",GOOGLETRANSLATE(A996,""en"",""fr""))"),"")</f>
        <v/>
      </c>
    </row>
    <row r="997" spans="2:2">
      <c r="B997" s="3" t="str">
        <f ca="1">IFERROR(__xludf.DUMMYFUNCTION("IF(ISBLANK(A997),"""",GOOGLETRANSLATE(A997,""en"",""fr""))"),"")</f>
        <v/>
      </c>
    </row>
    <row r="998" spans="2:2">
      <c r="B998" s="3" t="str">
        <f ca="1">IFERROR(__xludf.DUMMYFUNCTION("IF(ISBLANK(A998),"""",GOOGLETRANSLATE(A998,""en"",""fr""))"),"")</f>
        <v/>
      </c>
    </row>
    <row r="999" spans="2:2">
      <c r="B999" s="3" t="str">
        <f ca="1">IFERROR(__xludf.DUMMYFUNCTION("IF(ISBLANK(A999),"""",GOOGLETRANSLATE(A999,""en"",""fr""))"),"")</f>
        <v/>
      </c>
    </row>
    <row r="1000" spans="2:2">
      <c r="B1000" s="3" t="str">
        <f ca="1">IFERROR(__xludf.DUMMYFUNCTION("IF(ISBLANK(A1000),"""",GOOGLETRANSLATE(A1000,""en"",""fr""))"),"")</f>
        <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B1000"/>
  <sheetViews>
    <sheetView workbookViewId="0"/>
  </sheetViews>
  <sheetFormatPr defaultColWidth="12.6640625" defaultRowHeight="15.75" customHeight="1"/>
  <cols>
    <col min="1" max="1" width="101.109375" customWidth="1"/>
  </cols>
  <sheetData>
    <row r="1" spans="1:2">
      <c r="A1" s="1" t="s">
        <v>0</v>
      </c>
      <c r="B1" s="1"/>
    </row>
    <row r="2" spans="1:2">
      <c r="A2" s="3" t="s">
        <v>35</v>
      </c>
      <c r="B2" s="3" t="str">
        <f ca="1">IFERROR(__xludf.DUMMYFUNCTION("IF(ISBLANK(A2),"""",GOOGLETRANSLATE(A2,""en"",""fr""))"),"Financement d'équipement")</f>
        <v>Financement d'équipement</v>
      </c>
    </row>
    <row r="3" spans="1:2">
      <c r="A3" s="3" t="s">
        <v>736</v>
      </c>
      <c r="B3" s="3" t="str">
        <f ca="1">IFERROR(__xludf.DUMMYFUNCTION("IF(ISBLANK(A3),"""",GOOGLETRANSLATE(A3,""en"",""fr""))"),"Logiciel de financement d'équipement alimenté par l'IA")</f>
        <v>Logiciel de financement d'équipement alimenté par l'IA</v>
      </c>
    </row>
    <row r="4" spans="1:2">
      <c r="A4" s="3" t="s">
        <v>737</v>
      </c>
      <c r="B4" s="3" t="str">
        <f ca="1">IFERROR(__xludf.DUMMYFUNCTION("IF(ISBLANK(A4),"""",GOOGLETRANSLATE(A4,""en"",""fr""))"),"Nous fournissons des solutions de financement d’équipement aux entreprises ayant des besoins commerciaux en constante croissance dans le monde entier.")</f>
        <v>Nous fournissons des solutions de financement d’équipement aux entreprises ayant des besoins commerciaux en constante croissance dans le monde entier.</v>
      </c>
    </row>
    <row r="5" spans="1:2">
      <c r="A5" s="3" t="s">
        <v>738</v>
      </c>
      <c r="B5" s="3" t="str">
        <f ca="1">IFERROR(__xludf.DUMMYFUNCTION("IF(ISBLANK(A5),"""",GOOGLETRANSLATE(A5,""en"",""fr""))"),"Connectez-vous avec nous")</f>
        <v>Connectez-vous avec nous</v>
      </c>
    </row>
    <row r="6" spans="1:2">
      <c r="A6" s="3" t="s">
        <v>14</v>
      </c>
      <c r="B6" s="3" t="str">
        <f ca="1">IFERROR(__xludf.DUMMYFUNCTION("IF(ISBLANK(A6),"""",GOOGLETRANSLATE(A6,""en"",""fr""))"),"Les plus grandes marques mondiales sont propulsées par NETSOL")</f>
        <v>Les plus grandes marques mondiales sont propulsées par NETSOL</v>
      </c>
    </row>
    <row r="7" spans="1:2">
      <c r="B7" s="3" t="str">
        <f ca="1">IFERROR(__xludf.DUMMYFUNCTION("IF(ISBLANK(A7),"""",GOOGLETRANSLATE(A7,""en"",""fr""))"),"")</f>
        <v/>
      </c>
    </row>
    <row r="8" spans="1:2">
      <c r="A8" s="3" t="s">
        <v>739</v>
      </c>
      <c r="B8" s="3" t="str">
        <f ca="1">IFERROR(__xludf.DUMMYFUNCTION("IF(ISBLANK(A8),"""",GOOGLETRANSLATE(A8,""en"",""fr""))"),"Exploitez la puissance d'une technologie de financement d'équipement inégalée")</f>
        <v>Exploitez la puissance d'une technologie de financement d'équipement inégalée</v>
      </c>
    </row>
    <row r="9" spans="1:2">
      <c r="A9" s="3" t="s">
        <v>740</v>
      </c>
      <c r="B9" s="3" t="str">
        <f ca="1">IFERROR(__xludf.DUMMYFUNCTION("IF(ISBLANK(A9),"""",GOOGLETRANSLATE(A9,""en"",""fr""))"),"En permettant aux entreprises d'acquérir les équipements nécessaires à la croissance de leurs activités, nous vous proposons une technologie qui couvre facilement l'intégralité du cycle de financement des équipements. Qu'il s'agisse de machines lourdes, d"&amp;"'équipements agricoles, industriels ou autres, nous optimisons les processus et stimulons la croissance.")</f>
        <v>En permettant aux entreprises d'acquérir les équipements nécessaires à la croissance de leurs activités, nous vous proposons une technologie qui couvre facilement l'intégralité du cycle de financement des équipements. Qu'il s'agisse de machines lourdes, d'équipements agricoles, industriels ou autres, nous optimisons les processus et stimulons la croissance.</v>
      </c>
    </row>
    <row r="10" spans="1:2">
      <c r="A10" s="3" t="s">
        <v>741</v>
      </c>
      <c r="B10" s="3" t="str">
        <f ca="1">IFERROR(__xludf.DUMMYFUNCTION("IF(ISBLANK(A10),"""",GOOGLETRANSLATE(A10,""en"",""fr""))"),"Une technologie éprouvée")</f>
        <v>Une technologie éprouvée</v>
      </c>
    </row>
    <row r="11" spans="1:2">
      <c r="A11" s="3" t="s">
        <v>742</v>
      </c>
      <c r="B11" s="3" t="str">
        <f ca="1">IFERROR(__xludf.DUMMYFUNCTION("IF(ISBLANK(A11),"""",GOOGLETRANSLATE(A11,""en"",""fr""))"),"Avec des antécédents éprouvés, le logiciel de gestion de location de NETSOL pour les OEM et le secteur du financement d’équipements prend en charge des environnements commerciaux très complexes.")</f>
        <v>Avec des antécédents éprouvés, le logiciel de gestion de location de NETSOL pour les OEM et le secteur du financement d’équipements prend en charge des environnements commerciaux très complexes.</v>
      </c>
    </row>
    <row r="12" spans="1:2">
      <c r="A12" s="3" t="s">
        <v>743</v>
      </c>
      <c r="B12" s="3" t="str">
        <f ca="1">IFERROR(__xludf.DUMMYFUNCTION("IF(ISBLANK(A12),"""",GOOGLETRANSLATE(A12,""en"",""fr""))"),"Solutions de bout en bout")</f>
        <v>Solutions de bout en bout</v>
      </c>
    </row>
    <row r="13" spans="1:2">
      <c r="A13" s="3" t="s">
        <v>744</v>
      </c>
      <c r="B13" s="3" t="str">
        <f ca="1">IFERROR(__xludf.DUMMYFUNCTION("IF(ISBLANK(A13),"""",GOOGLETRANSLATE(A13,""en"",""fr""))"),"Pour les OEM et les entreprises de financement et de location d'équipements, NETSOL propose des solutions pour les origines, l'entretien, la vente en gros, ainsi que la vente au détail numérique et plus encore.")</f>
        <v>Pour les OEM et les entreprises de financement et de location d'équipements, NETSOL propose des solutions pour les origines, l'entretien, la vente en gros, ainsi que la vente au détail numérique et plus encore.</v>
      </c>
    </row>
    <row r="14" spans="1:2">
      <c r="A14" s="3" t="s">
        <v>269</v>
      </c>
      <c r="B14" s="3" t="str">
        <f ca="1">IFERROR(__xludf.DUMMYFUNCTION("IF(ISBLANK(A14),"""",GOOGLETRANSLATE(A14,""en"",""fr""))"),"Orientation client")</f>
        <v>Orientation client</v>
      </c>
    </row>
    <row r="15" spans="1:2">
      <c r="A15" s="3" t="s">
        <v>745</v>
      </c>
      <c r="B15" s="3" t="str">
        <f ca="1">IFERROR(__xludf.DUMMYFUNCTION("IF(ISBLANK(A15),"""",GOOGLETRANSLATE(A15,""en"",""fr""))"),"Avec une équipe mondiale expérimentée fournissant des solutions de qualité supérieure, NETSOL suit une approche de développement de produits centrée sur le client pour l'industrie.")</f>
        <v>Avec une équipe mondiale expérimentée fournissant des solutions de qualité supérieure, NETSOL suit une approche de développement de produits centrée sur le client pour l'industrie.</v>
      </c>
    </row>
    <row r="16" spans="1:2">
      <c r="A16" s="3" t="s">
        <v>746</v>
      </c>
      <c r="B16" s="3" t="str">
        <f ca="1">IFERROR(__xludf.DUMMYFUNCTION("IF(ISBLANK(A16),"""",GOOGLETRANSLATE(A16,""en"",""fr""))"),"Conformité totale")</f>
        <v>Conformité totale</v>
      </c>
    </row>
    <row r="17" spans="1:2">
      <c r="A17" s="3" t="s">
        <v>747</v>
      </c>
      <c r="B17" s="3" t="str">
        <f ca="1">IFERROR(__xludf.DUMMYFUNCTION("IF(ISBLANK(A17),"""",GOOGLETRANSLATE(A17,""en"",""fr""))"),"Afin de garantir le respect des différentes normes de qualité internationales, nous nous conformons scrupuleusement à toutes les exigences réglementaires et légales dans le monde entier.")</f>
        <v>Afin de garantir le respect des différentes normes de qualité internationales, nous nous conformons scrupuleusement à toutes les exigences réglementaires et légales dans le monde entier.</v>
      </c>
    </row>
    <row r="18" spans="1:2">
      <c r="A18" s="3" t="s">
        <v>78</v>
      </c>
      <c r="B18" s="3" t="str">
        <f ca="1">IFERROR(__xludf.DUMMYFUNCTION("IF(ISBLANK(A18),"""",GOOGLETRANSLATE(A18,""en"",""fr""))"),"Plus de 500 milliards de dollars")</f>
        <v>Plus de 500 milliards de dollars</v>
      </c>
    </row>
    <row r="19" spans="1:2">
      <c r="A19" s="3" t="s">
        <v>79</v>
      </c>
      <c r="B19" s="3" t="str">
        <f ca="1">IFERROR(__xludf.DUMMYFUNCTION("IF(ISBLANK(A19),"""",GOOGLETRANSLATE(A19,""en"",""fr""))"),"Actifs gérés à l'échelle mondiale")</f>
        <v>Actifs gérés à l'échelle mondiale</v>
      </c>
    </row>
    <row r="20" spans="1:2">
      <c r="A20" s="3" t="s">
        <v>271</v>
      </c>
      <c r="B20" s="3" t="str">
        <f ca="1">IFERROR(__xludf.DUMMYFUNCTION("IF(ISBLANK(A20),"""",GOOGLETRANSLATE(A20,""en"",""fr""))"),"350+")</f>
        <v>350+</v>
      </c>
    </row>
    <row r="21" spans="1:2">
      <c r="A21" s="3" t="s">
        <v>77</v>
      </c>
      <c r="B21" s="3" t="str">
        <f ca="1">IFERROR(__xludf.DUMMYFUNCTION("IF(ISBLANK(A21),"""",GOOGLETRANSLATE(A21,""en"",""fr""))"),"Mises en œuvre réussies")</f>
        <v>Mises en œuvre réussies</v>
      </c>
    </row>
    <row r="22" spans="1:2">
      <c r="A22" s="3" t="s">
        <v>74</v>
      </c>
      <c r="B22" s="3" t="str">
        <f ca="1">IFERROR(__xludf.DUMMYFUNCTION("IF(ISBLANK(A22),"""",GOOGLETRANSLATE(A22,""en"",""fr""))"),"Plus de 200")</f>
        <v>Plus de 200</v>
      </c>
    </row>
    <row r="23" spans="1:2">
      <c r="A23" s="3" t="s">
        <v>75</v>
      </c>
      <c r="B23" s="3" t="str">
        <f ca="1">IFERROR(__xludf.DUMMYFUNCTION("IF(ISBLANK(A23),"""",GOOGLETRANSLATE(A23,""en"",""fr""))"),"Clients du monde entier")</f>
        <v>Clients du monde entier</v>
      </c>
    </row>
    <row r="24" spans="1:2">
      <c r="A24" s="3" t="s">
        <v>272</v>
      </c>
      <c r="B24" s="3" t="str">
        <f ca="1">IFERROR(__xludf.DUMMYFUNCTION("IF(ISBLANK(A24),"""",GOOGLETRANSLATE(A24,""en"",""fr""))"),"30+")</f>
        <v>30+</v>
      </c>
    </row>
    <row r="25" spans="1:2">
      <c r="A25" s="3" t="s">
        <v>273</v>
      </c>
      <c r="B25" s="3" t="str">
        <f ca="1">IFERROR(__xludf.DUMMYFUNCTION("IF(ISBLANK(A25),"""",GOOGLETRANSLATE(A25,""en"",""fr""))"),"Pays desservis")</f>
        <v>Pays desservis</v>
      </c>
    </row>
    <row r="26" spans="1:2">
      <c r="A26" s="3" t="s">
        <v>274</v>
      </c>
      <c r="B26" s="3" t="str">
        <f ca="1">IFERROR(__xludf.DUMMYFUNCTION("IF(ISBLANK(A26),"""",GOOGLETRANSLATE(A26,""en"",""fr""))"),"Contrôle de bout en bout et intelligence intégrée")</f>
        <v>Contrôle de bout en bout et intelligence intégrée</v>
      </c>
    </row>
    <row r="27" spans="1:2">
      <c r="A27" s="3" t="s">
        <v>10</v>
      </c>
      <c r="B27" s="3" t="str">
        <f ca="1">IFERROR(__xludf.DUMMYFUNCTION("IF(ISBLANK(A27),"""",GOOGLETRANSLATE(A27,""en"",""fr""))"),"OEM")</f>
        <v>OEM</v>
      </c>
    </row>
    <row r="28" spans="1:2">
      <c r="A28" s="3" t="s">
        <v>728</v>
      </c>
      <c r="B28" s="3" t="str">
        <f ca="1">IFERROR(__xludf.DUMMYFUNCTION("IF(ISBLANK(A28),"""",GOOGLETRANSLATE(A28,""en"",""fr""))"),"Notre logiciel innovant de leasing d'équipements est conçu pour offrir aux équipementiers des processus de financement simplifiés, une expérience client optimisée et une efficacité inégalée. Du financement et du leasing de bout en bout à la vente en ligne"&amp;", nos solutions s'intègrent parfaitement à vos opérations et vous offrent de nouvelles perspectives de croissance et de rentabilité.")</f>
        <v>Notre logiciel innovant de leasing d'équipements est conçu pour offrir aux équipementiers des processus de financement simplifiés, une expérience client optimisée et une efficacité inégalée. Du financement et du leasing de bout en bout à la vente en ligne, nos solutions s'intègrent parfaitement à vos opérations et vous offrent de nouvelles perspectives de croissance et de rentabilité.</v>
      </c>
    </row>
    <row r="29" spans="1:2">
      <c r="B29" s="3" t="str">
        <f ca="1">IFERROR(__xludf.DUMMYFUNCTION("IF(ISBLANK(A29),"""",GOOGLETRANSLATE(A29,""en"",""fr""))"),"")</f>
        <v/>
      </c>
    </row>
    <row r="30" spans="1:2">
      <c r="A30" s="3" t="s">
        <v>729</v>
      </c>
      <c r="B30" s="3" t="str">
        <f ca="1">IFERROR(__xludf.DUMMYFUNCTION("IF(ISBLANK(A30),"""",GOOGLETRANSLATE(A30,""en"",""fr""))"),"Financement de gros montants")</f>
        <v>Financement de gros montants</v>
      </c>
    </row>
    <row r="31" spans="1:2">
      <c r="A31" s="3" t="s">
        <v>347</v>
      </c>
      <c r="B31" s="3" t="str">
        <f ca="1">IFERROR(__xludf.DUMMYFUNCTION("IF(ISBLANK(A31),"""",GOOGLETRANSLATE(A31,""en"",""fr""))"),"Offrez aux concessionnaires la possibilité de demander une limite de crédit pour différentes catégories d'actifs, et de suivre les variations et les révisions des limites de crédit définies. Autorisez des augmentations temporaires des limites de crédit en"&amp;" fonction des campagnes menées par les concessionnaires ; les limites normales étant automatiquement rétablies à la fin de ces périodes temporaires.")</f>
        <v>Offrez aux concessionnaires la possibilité de demander une limite de crédit pour différentes catégories d'actifs, et de suivre les variations et les révisions des limites de crédit définies. Autorisez des augmentations temporaires des limites de crédit en fonction des campagnes menées par les concessionnaires ; les limites normales étant automatiquement rétablies à la fin de ces périodes temporaires.</v>
      </c>
    </row>
    <row r="32" spans="1:2">
      <c r="B32" s="3" t="str">
        <f ca="1">IFERROR(__xludf.DUMMYFUNCTION("IF(ISBLANK(A32),"""",GOOGLETRANSLATE(A32,""en"",""fr""))"),"")</f>
        <v/>
      </c>
    </row>
    <row r="33" spans="1:2">
      <c r="A33" s="3" t="s">
        <v>730</v>
      </c>
      <c r="B33" s="3" t="str">
        <f ca="1">IFERROR(__xludf.DUMMYFUNCTION("IF(ISBLANK(A33),"""",GOOGLETRANSLATE(A33,""en"",""fr""))"),"Prêts commerciaux et à la consommation")</f>
        <v>Prêts commerciaux et à la consommation</v>
      </c>
    </row>
    <row r="34" spans="1:2">
      <c r="A34" s="3" t="s">
        <v>728</v>
      </c>
      <c r="B34" s="3" t="str">
        <f ca="1">IFERROR(__xludf.DUMMYFUNCTION("IF(ISBLANK(A34),"""",GOOGLETRANSLATE(A34,""en"",""fr""))"),"Notre logiciel innovant de leasing d'équipements est conçu pour offrir aux équipementiers des processus de financement simplifiés, une expérience client optimisée et une efficacité inégalée. Du financement et du leasing de bout en bout à la vente en ligne"&amp;", nos solutions s'intègrent parfaitement à vos opérations et vous offrent de nouvelles perspectives de croissance et de rentabilité.")</f>
        <v>Notre logiciel innovant de leasing d'équipements est conçu pour offrir aux équipementiers des processus de financement simplifiés, une expérience client optimisée et une efficacité inégalée. Du financement et du leasing de bout en bout à la vente en ligne, nos solutions s'intègrent parfaitement à vos opérations et vous offrent de nouvelles perspectives de croissance et de rentabilité.</v>
      </c>
    </row>
    <row r="35" spans="1:2">
      <c r="B35" s="3" t="str">
        <f ca="1">IFERROR(__xludf.DUMMYFUNCTION("IF(ISBLANK(A35),"""",GOOGLETRANSLATE(A35,""en"",""fr""))"),"")</f>
        <v/>
      </c>
    </row>
    <row r="36" spans="1:2">
      <c r="A36" s="3" t="s">
        <v>89</v>
      </c>
      <c r="B36" s="3" t="str">
        <f ca="1">IFERROR(__xludf.DUMMYFUNCTION("IF(ISBLANK(A36),"""",GOOGLETRANSLATE(A36,""en"",""fr""))"),"Nous sommes ravis de collaborer avec NETSOL comme partenaire stratégique pour notre plateforme. Les solutions technologiques intelligentes de NETSOL sont reconnues dans le secteur du financement et du leasing, et le déploiement de Transcend Finance (ancie"&amp;"nnement Ascent) nous permet de conserver un avantage concurrentiel sur le marché très dynamique actuel. Grâce à ses puissants moteurs de configuration, Ascent rationalisera nos processus, permettant ainsi une intégration plus rapide de nouveaux partenaire"&amp;"s et le lancement de nouveaux produits sur tous les marchés.")</f>
        <v>Nous sommes ravis de collaborer avec NETSOL comme partenaire stratégique pour notre plateforme. Les solutions technologiques intelligentes de NETSOL sont reconnues dans le secteur du financement et du leasing, et le déploiement de Transcend Finance (anciennement Ascent) nous permet de conserver un avantage concurrentiel sur le marché très dynamique actuel. Grâce à ses puissants moteurs de configuration, Ascent rationalisera nos processus, permettant ainsi une intégration plus rapide de nouveaux partenaires et le lancement de nouveaux produits sur tous les marchés.</v>
      </c>
    </row>
    <row r="37" spans="1:2">
      <c r="A37" s="3" t="s">
        <v>748</v>
      </c>
      <c r="B37" s="3" t="str">
        <f ca="1">IFERROR(__xludf.DUMMYFUNCTION("IF(ISBLANK(A37),"""",GOOGLETRANSLATE(A37,""en"",""fr""))"),"Henrik Staulund")</f>
        <v>Henrik Staulund</v>
      </c>
    </row>
    <row r="38" spans="1:2">
      <c r="A38" s="3" t="s">
        <v>749</v>
      </c>
      <c r="B38" s="3" t="str">
        <f ca="1">IFERROR(__xludf.DUMMYFUNCTION("IF(ISBLANK(A38),"""",GOOGLETRANSLATE(A38,""en"",""fr""))"),"Directeur commercial de la banque Ikano")</f>
        <v>Directeur commercial de la banque Ikano</v>
      </c>
    </row>
    <row r="39" spans="1:2">
      <c r="A39" s="3" t="s">
        <v>750</v>
      </c>
      <c r="B39" s="3" t="str">
        <f ca="1">IFERROR(__xludf.DUMMYFUNCTION("IF(ISBLANK(A39),"""",GOOGLETRANSLATE(A39,""en"",""fr""))"),"Prêt à améliorer votre financement d’équipement ?")</f>
        <v>Prêt à améliorer votre financement d’équipement ?</v>
      </c>
    </row>
    <row r="40" spans="1:2">
      <c r="A40" s="3" t="s">
        <v>751</v>
      </c>
      <c r="B40" s="3" t="str">
        <f ca="1">IFERROR(__xludf.DUMMYFUNCTION("IF(ISBLANK(A40),"""",GOOGLETRANSLATE(A40,""en"",""fr""))"),"Gardez une longueur d’avance et accédez à de nouvelles opportunités de croissance et de réussite dans le financement d’équipement grâce à nos solutions de financement et de location d’équipement à la pointe du secteur.")</f>
        <v>Gardez une longueur d’avance et accédez à de nouvelles opportunités de croissance et de réussite dans le financement d’équipement grâce à nos solutions de financement et de location d’équipement à la pointe du secteur.</v>
      </c>
    </row>
    <row r="41" spans="1:2">
      <c r="B41" s="3" t="str">
        <f ca="1">IFERROR(__xludf.DUMMYFUNCTION("IF(ISBLANK(A41),"""",GOOGLETRANSLATE(A41,""en"",""fr""))"),"")</f>
        <v/>
      </c>
    </row>
    <row r="42" spans="1:2">
      <c r="A42" s="3" t="s">
        <v>94</v>
      </c>
      <c r="B42" s="3" t="str">
        <f ca="1">IFERROR(__xludf.DUMMYFUNCTION("IF(ISBLANK(A42),"""",GOOGLETRANSLATE(A42,""en"",""fr""))"),"Lectures et idées en vedette")</f>
        <v>Lectures et idées en vedette</v>
      </c>
    </row>
    <row r="43" spans="1:2">
      <c r="A43" s="10" t="s">
        <v>95</v>
      </c>
      <c r="B43" s="3" t="str">
        <f ca="1">IFERROR(__xludf.DUMMYFUNCTION("IF(ISBLANK(A43),"""",GOOGLETRANSLATE(A43,""en"",""fr""))"),"Restez informé des dernières actualités de NETSOL. Réflexions stratégiques, mises à jour produits, perspectives sectorielles et actualités de l'entreprise, tout est réuni au même endroit.")</f>
        <v>Restez informé des dernières actualités de NETSOL. Réflexions stratégiques, mises à jour produits, perspectives sectorielles et actualités de l'entreprise, tout est réuni au même endroit.</v>
      </c>
    </row>
    <row r="44" spans="1:2">
      <c r="A44" s="3" t="s">
        <v>96</v>
      </c>
      <c r="B44" s="3" t="str">
        <f ca="1">IFERROR(__xludf.DUMMYFUNCTION("IF(ISBLANK(A44),"""",GOOGLETRANSLATE(A44,""en"",""fr""))"),"Blog")</f>
        <v>Blog</v>
      </c>
    </row>
    <row r="45" spans="1:2">
      <c r="A45" s="3" t="s">
        <v>97</v>
      </c>
      <c r="B45" s="3" t="str">
        <f ca="1">IFERROR(__xludf.DUMMYFUNCTION("IF(ISBLANK(A45),"""",GOOGLETRANSLATE(A45,""en"",""fr""))"),"Au-delà du DMS : pourquoi l’avenir du commerce automobile repose sur les API")</f>
        <v>Au-delà du DMS : pourquoi l’avenir du commerce automobile repose sur les API</v>
      </c>
    </row>
    <row r="46" spans="1:2">
      <c r="A46" s="3" t="s">
        <v>23</v>
      </c>
      <c r="B46" s="3" t="str">
        <f ca="1">IFERROR(__xludf.DUMMYFUNCTION("IF(ISBLANK(A46),"""",GOOGLETRANSLATE(A46,""en"",""fr""))"),"Apprendre encore plus")</f>
        <v>Apprendre encore plus</v>
      </c>
    </row>
    <row r="47" spans="1:2">
      <c r="B47" s="3" t="str">
        <f ca="1">IFERROR(__xludf.DUMMYFUNCTION("IF(ISBLANK(A47),"""",GOOGLETRANSLATE(A47,""en"",""fr""))"),"")</f>
        <v/>
      </c>
    </row>
    <row r="48" spans="1:2">
      <c r="A48" s="3" t="s">
        <v>98</v>
      </c>
      <c r="B48" s="3" t="str">
        <f ca="1">IFERROR(__xludf.DUMMYFUNCTION("IF(ISBLANK(A48),"""",GOOGLETRANSLATE(A48,""en"",""fr""))"),"NETSOL est présent à la conférence et aux prix GlobalData Automotive Europe 2025.")</f>
        <v>NETSOL est présent à la conférence et aux prix GlobalData Automotive Europe 2025.</v>
      </c>
    </row>
    <row r="49" spans="1:2">
      <c r="B49" s="3" t="str">
        <f ca="1">IFERROR(__xludf.DUMMYFUNCTION("IF(ISBLANK(A49),"""",GOOGLETRANSLATE(A49,""en"",""fr""))"),"")</f>
        <v/>
      </c>
    </row>
    <row r="50" spans="1:2">
      <c r="B50" s="3" t="str">
        <f ca="1">IFERROR(__xludf.DUMMYFUNCTION("IF(ISBLANK(A50),"""",GOOGLETRANSLATE(A50,""en"",""fr""))"),"")</f>
        <v/>
      </c>
    </row>
    <row r="51" spans="1:2">
      <c r="A51" s="3" t="s">
        <v>99</v>
      </c>
      <c r="B51" s="3" t="str">
        <f ca="1">IFERROR(__xludf.DUMMYFUNCTION("IF(ISBLANK(A51),"""",GOOGLETRANSLATE(A51,""en"",""fr""))"),"NETSOL participe au 25e Sommet annuel du financement automobile : Piloter l'avenir du financement automobile")</f>
        <v>NETSOL participe au 25e Sommet annuel du financement automobile : Piloter l'avenir du financement automobile</v>
      </c>
    </row>
    <row r="52" spans="1:2">
      <c r="B52" s="3" t="str">
        <f ca="1">IFERROR(__xludf.DUMMYFUNCTION("IF(ISBLANK(A52),"""",GOOGLETRANSLATE(A52,""en"",""fr""))"),"")</f>
        <v/>
      </c>
    </row>
    <row r="53" spans="1:2">
      <c r="B53" s="3" t="str">
        <f ca="1">IFERROR(__xludf.DUMMYFUNCTION("IF(ISBLANK(A53),"""",GOOGLETRANSLATE(A53,""en"",""fr""))"),"")</f>
        <v/>
      </c>
    </row>
    <row r="54" spans="1:2">
      <c r="A54" s="3" t="s">
        <v>100</v>
      </c>
      <c r="B54" s="3" t="str">
        <f ca="1">IFERROR(__xludf.DUMMYFUNCTION("IF(ISBLANK(A54),"""",GOOGLETRANSLATE(A54,""en"",""fr""))"),"NETSOL est présent à Digital Dealer 2025 : façonner l’avenir de la vente automobile")</f>
        <v>NETSOL est présent à Digital Dealer 2025 : façonner l’avenir de la vente automobile</v>
      </c>
    </row>
    <row r="55" spans="1:2">
      <c r="B55" s="3" t="str">
        <f ca="1">IFERROR(__xludf.DUMMYFUNCTION("IF(ISBLANK(A55),"""",GOOGLETRANSLATE(A55,""en"",""fr""))"),"")</f>
        <v/>
      </c>
    </row>
    <row r="56" spans="1:2">
      <c r="B56" s="3" t="str">
        <f ca="1">IFERROR(__xludf.DUMMYFUNCTION("IF(ISBLANK(A56),"""",GOOGLETRANSLATE(A56,""en"",""fr""))"),"")</f>
        <v/>
      </c>
    </row>
    <row r="57" spans="1:2">
      <c r="A57" s="6" t="s">
        <v>101</v>
      </c>
      <c r="B57" s="3" t="str">
        <f ca="1">IFERROR(__xludf.DUMMYFUNCTION("IF(ISBLANK(A57),"""",GOOGLETRANSLATE(A57,""en"",""fr""))"),"L'IA dans le secteur des services financiers et de l'investissement : révolutionner la gestion des risques")</f>
        <v>L'IA dans le secteur des services financiers et de l'investissement : révolutionner la gestion des risques</v>
      </c>
    </row>
    <row r="58" spans="1:2">
      <c r="B58" s="3" t="str">
        <f ca="1">IFERROR(__xludf.DUMMYFUNCTION("IF(ISBLANK(A58),"""",GOOGLETRANSLATE(A58,""en"",""fr""))"),"")</f>
        <v/>
      </c>
    </row>
    <row r="59" spans="1:2">
      <c r="B59" s="3" t="str">
        <f ca="1">IFERROR(__xludf.DUMMYFUNCTION("IF(ISBLANK(A59),"""",GOOGLETRANSLATE(A59,""en"",""fr""))"),"")</f>
        <v/>
      </c>
    </row>
    <row r="60" spans="1:2">
      <c r="A60" s="3" t="s">
        <v>102</v>
      </c>
      <c r="B60" s="3" t="str">
        <f ca="1">IFERROR(__xludf.DUMMYFUNCTION("IF(ISBLANK(A60),"""",GOOGLETRANSLATE(A60,""en"",""fr""))"),"L'importance de la personnalisation du service client : adapter la gestion des paiements et des litiges aux besoins des clients")</f>
        <v>L'importance de la personnalisation du service client : adapter la gestion des paiements et des litiges aux besoins des clients</v>
      </c>
    </row>
    <row r="61" spans="1:2">
      <c r="B61" s="3" t="str">
        <f ca="1">IFERROR(__xludf.DUMMYFUNCTION("IF(ISBLANK(A61),"""",GOOGLETRANSLATE(A61,""en"",""fr""))"),"")</f>
        <v/>
      </c>
    </row>
    <row r="62" spans="1:2">
      <c r="B62" s="3" t="str">
        <f ca="1">IFERROR(__xludf.DUMMYFUNCTION("IF(ISBLANK(A62),"""",GOOGLETRANSLATE(A62,""en"",""fr""))"),"")</f>
        <v/>
      </c>
    </row>
    <row r="63" spans="1:2">
      <c r="A63" s="3" t="s">
        <v>103</v>
      </c>
      <c r="B63" s="3" t="str">
        <f ca="1">IFERROR(__xludf.DUMMYFUNCTION("IF(ISBLANK(A63),"""",GOOGLETRANSLATE(A63,""en"",""fr""))"),"Le véritable coût des systèmes déconnectés dans le commerce de détail automobile")</f>
        <v>Le véritable coût des systèmes déconnectés dans le commerce de détail automobile</v>
      </c>
    </row>
    <row r="64" spans="1:2">
      <c r="B64" s="3" t="str">
        <f ca="1">IFERROR(__xludf.DUMMYFUNCTION("IF(ISBLANK(A64),"""",GOOGLETRANSLATE(A64,""en"",""fr""))"),"")</f>
        <v/>
      </c>
    </row>
    <row r="65" spans="1:2">
      <c r="B65" s="3" t="str">
        <f ca="1">IFERROR(__xludf.DUMMYFUNCTION("IF(ISBLANK(A65),"""",GOOGLETRANSLATE(A65,""en"",""fr""))"),"")</f>
        <v/>
      </c>
    </row>
    <row r="66" spans="1:2">
      <c r="A66" s="3" t="s">
        <v>104</v>
      </c>
      <c r="B66" s="3" t="str">
        <f ca="1">IFERROR(__xludf.DUMMYFUNCTION("IF(ISBLANK(A66),"""",GOOGLETRANSLATE(A66,""en"",""fr""))"),"Captive du futur : Comment la technologie redéfinit les opérations financières des captives - Points clés du webinaire de l'AFSA")</f>
        <v>Captive du futur : Comment la technologie redéfinit les opérations financières des captives - Points clés du webinaire de l'AFSA</v>
      </c>
    </row>
    <row r="67" spans="1:2">
      <c r="B67" s="3" t="str">
        <f ca="1">IFERROR(__xludf.DUMMYFUNCTION("IF(ISBLANK(A67),"""",GOOGLETRANSLATE(A67,""en"",""fr""))"),"")</f>
        <v/>
      </c>
    </row>
    <row r="68" spans="1:2">
      <c r="B68" s="3" t="str">
        <f ca="1">IFERROR(__xludf.DUMMYFUNCTION("IF(ISBLANK(A68),"""",GOOGLETRANSLATE(A68,""en"",""fr""))"),"")</f>
        <v/>
      </c>
    </row>
    <row r="69" spans="1:2">
      <c r="A69" s="3" t="s">
        <v>105</v>
      </c>
      <c r="B69" s="3" t="str">
        <f ca="1">IFERROR(__xludf.DUMMYFUNCTION("IF(ISBLANK(A69),"""",GOOGLETRANSLATE(A69,""en"",""fr""))"),"Lutte contre la fraude dans le secteur financier de gros : exploiter la technologie pour une détection précoce et une atténuation des risques")</f>
        <v>Lutte contre la fraude dans le secteur financier de gros : exploiter la technologie pour une détection précoce et une atténuation des risques</v>
      </c>
    </row>
    <row r="70" spans="1:2">
      <c r="B70" s="3" t="str">
        <f ca="1">IFERROR(__xludf.DUMMYFUNCTION("IF(ISBLANK(A70),"""",GOOGLETRANSLATE(A70,""en"",""fr""))"),"")</f>
        <v/>
      </c>
    </row>
    <row r="71" spans="1:2">
      <c r="A71" s="3" t="s">
        <v>108</v>
      </c>
      <c r="B71" s="3" t="str">
        <f ca="1">IFERROR(__xludf.DUMMYFUNCTION("IF(ISBLANK(A71),"""",GOOGLETRANSLATE(A71,""en"",""fr""))"),"Abonnez-vous à notre newsletter pour recevoir les dernières nouvelles dans votre boîte mail.")</f>
        <v>Abonnez-vous à notre newsletter pour recevoir les dernières nouvelles dans votre boîte mail.</v>
      </c>
    </row>
    <row r="72" spans="1:2">
      <c r="A72" s="3" t="s">
        <v>109</v>
      </c>
      <c r="B72" s="3" t="str">
        <f ca="1">IFERROR(__xludf.DUMMYFUNCTION("IF(ISBLANK(A72),"""",GOOGLETRANSLATE(A72,""en"",""fr""))"),"abc@exemple.com")</f>
        <v>abc@exemple.com</v>
      </c>
    </row>
    <row r="73" spans="1:2">
      <c r="A73" s="3" t="s">
        <v>110</v>
      </c>
      <c r="B73" s="3" t="str">
        <f ca="1">IFERROR(__xludf.DUMMYFUNCTION("IF(ISBLANK(A73),"""",GOOGLETRANSLATE(A73,""en"",""fr""))"),"S'abonner ")</f>
        <v xml:space="preserve">S'abonner </v>
      </c>
    </row>
    <row r="74" spans="1:2">
      <c r="B74" s="3" t="str">
        <f ca="1">IFERROR(__xludf.DUMMYFUNCTION("IF(ISBLANK(A74),"""",GOOGLETRANSLATE(A74,""en"",""fr""))"),"")</f>
        <v/>
      </c>
    </row>
    <row r="75" spans="1:2">
      <c r="B75" s="3" t="str">
        <f ca="1">IFERROR(__xludf.DUMMYFUNCTION("IF(ISBLANK(A75),"""",GOOGLETRANSLATE(A75,""en"",""fr""))"),"")</f>
        <v/>
      </c>
    </row>
    <row r="76" spans="1:2">
      <c r="B76" s="3" t="str">
        <f ca="1">IFERROR(__xludf.DUMMYFUNCTION("IF(ISBLANK(A76),"""",GOOGLETRANSLATE(A76,""en"",""fr""))"),"")</f>
        <v/>
      </c>
    </row>
    <row r="77" spans="1:2">
      <c r="B77" s="3" t="str">
        <f ca="1">IFERROR(__xludf.DUMMYFUNCTION("IF(ISBLANK(A77),"""",GOOGLETRANSLATE(A77,""en"",""fr""))"),"")</f>
        <v/>
      </c>
    </row>
    <row r="78" spans="1:2">
      <c r="B78" s="3" t="str">
        <f ca="1">IFERROR(__xludf.DUMMYFUNCTION("IF(ISBLANK(A78),"""",GOOGLETRANSLATE(A78,""en"",""fr""))"),"")</f>
        <v/>
      </c>
    </row>
    <row r="79" spans="1:2">
      <c r="B79" s="3" t="str">
        <f ca="1">IFERROR(__xludf.DUMMYFUNCTION("IF(ISBLANK(A79),"""",GOOGLETRANSLATE(A79,""en"",""fr""))"),"")</f>
        <v/>
      </c>
    </row>
    <row r="80" spans="1:2">
      <c r="B80" s="3" t="str">
        <f ca="1">IFERROR(__xludf.DUMMYFUNCTION("IF(ISBLANK(A80),"""",GOOGLETRANSLATE(A80,""en"",""fr""))"),"")</f>
        <v/>
      </c>
    </row>
    <row r="81" spans="2:2">
      <c r="B81" s="3" t="str">
        <f ca="1">IFERROR(__xludf.DUMMYFUNCTION("IF(ISBLANK(A81),"""",GOOGLETRANSLATE(A81,""en"",""fr""))"),"")</f>
        <v/>
      </c>
    </row>
    <row r="82" spans="2:2">
      <c r="B82" s="3" t="str">
        <f ca="1">IFERROR(__xludf.DUMMYFUNCTION("IF(ISBLANK(A82),"""",GOOGLETRANSLATE(A82,""en"",""fr""))"),"")</f>
        <v/>
      </c>
    </row>
    <row r="83" spans="2:2">
      <c r="B83" s="3" t="str">
        <f ca="1">IFERROR(__xludf.DUMMYFUNCTION("IF(ISBLANK(A83),"""",GOOGLETRANSLATE(A83,""en"",""fr""))"),"")</f>
        <v/>
      </c>
    </row>
    <row r="84" spans="2:2">
      <c r="B84" s="3" t="str">
        <f ca="1">IFERROR(__xludf.DUMMYFUNCTION("IF(ISBLANK(A84),"""",GOOGLETRANSLATE(A84,""en"",""fr""))"),"")</f>
        <v/>
      </c>
    </row>
    <row r="85" spans="2:2">
      <c r="B85" s="3" t="str">
        <f ca="1">IFERROR(__xludf.DUMMYFUNCTION("IF(ISBLANK(A85),"""",GOOGLETRANSLATE(A85,""en"",""fr""))"),"")</f>
        <v/>
      </c>
    </row>
    <row r="86" spans="2:2">
      <c r="B86" s="3" t="str">
        <f ca="1">IFERROR(__xludf.DUMMYFUNCTION("IF(ISBLANK(A86),"""",GOOGLETRANSLATE(A86,""en"",""fr""))"),"")</f>
        <v/>
      </c>
    </row>
    <row r="87" spans="2:2">
      <c r="B87" s="3" t="str">
        <f ca="1">IFERROR(__xludf.DUMMYFUNCTION("IF(ISBLANK(A87),"""",GOOGLETRANSLATE(A87,""en"",""fr""))"),"")</f>
        <v/>
      </c>
    </row>
    <row r="88" spans="2:2">
      <c r="B88" s="3" t="str">
        <f ca="1">IFERROR(__xludf.DUMMYFUNCTION("IF(ISBLANK(A88),"""",GOOGLETRANSLATE(A88,""en"",""fr""))"),"")</f>
        <v/>
      </c>
    </row>
    <row r="89" spans="2:2">
      <c r="B89" s="3" t="str">
        <f ca="1">IFERROR(__xludf.DUMMYFUNCTION("IF(ISBLANK(A89),"""",GOOGLETRANSLATE(A89,""en"",""fr""))"),"")</f>
        <v/>
      </c>
    </row>
    <row r="90" spans="2:2">
      <c r="B90" s="3" t="str">
        <f ca="1">IFERROR(__xludf.DUMMYFUNCTION("IF(ISBLANK(A90),"""",GOOGLETRANSLATE(A90,""en"",""fr""))"),"")</f>
        <v/>
      </c>
    </row>
    <row r="91" spans="2:2">
      <c r="B91" s="3" t="str">
        <f ca="1">IFERROR(__xludf.DUMMYFUNCTION("IF(ISBLANK(A91),"""",GOOGLETRANSLATE(A91,""en"",""fr""))"),"")</f>
        <v/>
      </c>
    </row>
    <row r="92" spans="2:2">
      <c r="B92" s="3" t="str">
        <f ca="1">IFERROR(__xludf.DUMMYFUNCTION("IF(ISBLANK(A92),"""",GOOGLETRANSLATE(A92,""en"",""fr""))"),"")</f>
        <v/>
      </c>
    </row>
    <row r="93" spans="2:2">
      <c r="B93" s="3" t="str">
        <f ca="1">IFERROR(__xludf.DUMMYFUNCTION("IF(ISBLANK(A93),"""",GOOGLETRANSLATE(A93,""en"",""fr""))"),"")</f>
        <v/>
      </c>
    </row>
    <row r="94" spans="2:2">
      <c r="B94" s="3" t="str">
        <f ca="1">IFERROR(__xludf.DUMMYFUNCTION("IF(ISBLANK(A94),"""",GOOGLETRANSLATE(A94,""en"",""fr""))"),"")</f>
        <v/>
      </c>
    </row>
    <row r="95" spans="2:2">
      <c r="B95" s="3" t="str">
        <f ca="1">IFERROR(__xludf.DUMMYFUNCTION("IF(ISBLANK(A95),"""",GOOGLETRANSLATE(A95,""en"",""fr""))"),"")</f>
        <v/>
      </c>
    </row>
    <row r="96" spans="2:2">
      <c r="B96" s="3" t="str">
        <f ca="1">IFERROR(__xludf.DUMMYFUNCTION("IF(ISBLANK(A96),"""",GOOGLETRANSLATE(A96,""en"",""fr""))"),"")</f>
        <v/>
      </c>
    </row>
    <row r="97" spans="2:2">
      <c r="B97" s="3" t="str">
        <f ca="1">IFERROR(__xludf.DUMMYFUNCTION("IF(ISBLANK(A97),"""",GOOGLETRANSLATE(A97,""en"",""fr""))"),"")</f>
        <v/>
      </c>
    </row>
    <row r="98" spans="2:2">
      <c r="B98" s="3" t="str">
        <f ca="1">IFERROR(__xludf.DUMMYFUNCTION("IF(ISBLANK(A98),"""",GOOGLETRANSLATE(A98,""en"",""fr""))"),"")</f>
        <v/>
      </c>
    </row>
    <row r="99" spans="2:2">
      <c r="B99" s="3" t="str">
        <f ca="1">IFERROR(__xludf.DUMMYFUNCTION("IF(ISBLANK(A99),"""",GOOGLETRANSLATE(A99,""en"",""fr""))"),"")</f>
        <v/>
      </c>
    </row>
    <row r="100" spans="2:2">
      <c r="B100" s="3" t="str">
        <f ca="1">IFERROR(__xludf.DUMMYFUNCTION("IF(ISBLANK(A100),"""",GOOGLETRANSLATE(A100,""en"",""fr""))"),"")</f>
        <v/>
      </c>
    </row>
    <row r="101" spans="2:2">
      <c r="B101" s="3" t="str">
        <f ca="1">IFERROR(__xludf.DUMMYFUNCTION("IF(ISBLANK(A101),"""",GOOGLETRANSLATE(A101,""en"",""fr""))"),"")</f>
        <v/>
      </c>
    </row>
    <row r="102" spans="2:2">
      <c r="B102" s="3" t="str">
        <f ca="1">IFERROR(__xludf.DUMMYFUNCTION("IF(ISBLANK(A102),"""",GOOGLETRANSLATE(A102,""en"",""fr""))"),"")</f>
        <v/>
      </c>
    </row>
    <row r="103" spans="2:2">
      <c r="B103" s="3" t="str">
        <f ca="1">IFERROR(__xludf.DUMMYFUNCTION("IF(ISBLANK(A103),"""",GOOGLETRANSLATE(A103,""en"",""fr""))"),"")</f>
        <v/>
      </c>
    </row>
    <row r="104" spans="2:2">
      <c r="B104" s="3" t="str">
        <f ca="1">IFERROR(__xludf.DUMMYFUNCTION("IF(ISBLANK(A104),"""",GOOGLETRANSLATE(A104,""en"",""fr""))"),"")</f>
        <v/>
      </c>
    </row>
    <row r="105" spans="2:2">
      <c r="B105" s="3" t="str">
        <f ca="1">IFERROR(__xludf.DUMMYFUNCTION("IF(ISBLANK(A105),"""",GOOGLETRANSLATE(A105,""en"",""fr""))"),"")</f>
        <v/>
      </c>
    </row>
    <row r="106" spans="2:2">
      <c r="B106" s="3" t="str">
        <f ca="1">IFERROR(__xludf.DUMMYFUNCTION("IF(ISBLANK(A106),"""",GOOGLETRANSLATE(A106,""en"",""fr""))"),"")</f>
        <v/>
      </c>
    </row>
    <row r="107" spans="2:2">
      <c r="B107" s="3" t="str">
        <f ca="1">IFERROR(__xludf.DUMMYFUNCTION("IF(ISBLANK(A107),"""",GOOGLETRANSLATE(A107,""en"",""fr""))"),"")</f>
        <v/>
      </c>
    </row>
    <row r="108" spans="2:2">
      <c r="B108" s="3" t="str">
        <f ca="1">IFERROR(__xludf.DUMMYFUNCTION("IF(ISBLANK(A108),"""",GOOGLETRANSLATE(A108,""en"",""fr""))"),"")</f>
        <v/>
      </c>
    </row>
    <row r="109" spans="2:2">
      <c r="B109" s="3" t="str">
        <f ca="1">IFERROR(__xludf.DUMMYFUNCTION("IF(ISBLANK(A109),"""",GOOGLETRANSLATE(A109,""en"",""fr""))"),"")</f>
        <v/>
      </c>
    </row>
    <row r="110" spans="2:2">
      <c r="B110" s="3" t="str">
        <f ca="1">IFERROR(__xludf.DUMMYFUNCTION("IF(ISBLANK(A110),"""",GOOGLETRANSLATE(A110,""en"",""fr""))"),"")</f>
        <v/>
      </c>
    </row>
    <row r="111" spans="2:2">
      <c r="B111" s="3" t="str">
        <f ca="1">IFERROR(__xludf.DUMMYFUNCTION("IF(ISBLANK(A111),"""",GOOGLETRANSLATE(A111,""en"",""fr""))"),"")</f>
        <v/>
      </c>
    </row>
    <row r="112" spans="2:2">
      <c r="B112" s="3" t="str">
        <f ca="1">IFERROR(__xludf.DUMMYFUNCTION("IF(ISBLANK(A112),"""",GOOGLETRANSLATE(A112,""en"",""fr""))"),"")</f>
        <v/>
      </c>
    </row>
    <row r="113" spans="2:2">
      <c r="B113" s="3" t="str">
        <f ca="1">IFERROR(__xludf.DUMMYFUNCTION("IF(ISBLANK(A113),"""",GOOGLETRANSLATE(A113,""en"",""fr""))"),"")</f>
        <v/>
      </c>
    </row>
    <row r="114" spans="2:2">
      <c r="B114" s="3" t="str">
        <f ca="1">IFERROR(__xludf.DUMMYFUNCTION("IF(ISBLANK(A114),"""",GOOGLETRANSLATE(A114,""en"",""fr""))"),"")</f>
        <v/>
      </c>
    </row>
    <row r="115" spans="2:2">
      <c r="B115" s="3" t="str">
        <f ca="1">IFERROR(__xludf.DUMMYFUNCTION("IF(ISBLANK(A115),"""",GOOGLETRANSLATE(A115,""en"",""fr""))"),"")</f>
        <v/>
      </c>
    </row>
    <row r="116" spans="2:2">
      <c r="B116" s="3" t="str">
        <f ca="1">IFERROR(__xludf.DUMMYFUNCTION("IF(ISBLANK(A116),"""",GOOGLETRANSLATE(A116,""en"",""fr""))"),"")</f>
        <v/>
      </c>
    </row>
    <row r="117" spans="2:2">
      <c r="B117" s="3" t="str">
        <f ca="1">IFERROR(__xludf.DUMMYFUNCTION("IF(ISBLANK(A117),"""",GOOGLETRANSLATE(A117,""en"",""fr""))"),"")</f>
        <v/>
      </c>
    </row>
    <row r="118" spans="2:2">
      <c r="B118" s="3" t="str">
        <f ca="1">IFERROR(__xludf.DUMMYFUNCTION("IF(ISBLANK(A118),"""",GOOGLETRANSLATE(A118,""en"",""fr""))"),"")</f>
        <v/>
      </c>
    </row>
    <row r="119" spans="2:2">
      <c r="B119" s="3" t="str">
        <f ca="1">IFERROR(__xludf.DUMMYFUNCTION("IF(ISBLANK(A119),"""",GOOGLETRANSLATE(A119,""en"",""fr""))"),"")</f>
        <v/>
      </c>
    </row>
    <row r="120" spans="2:2">
      <c r="B120" s="3" t="str">
        <f ca="1">IFERROR(__xludf.DUMMYFUNCTION("IF(ISBLANK(A120),"""",GOOGLETRANSLATE(A120,""en"",""fr""))"),"")</f>
        <v/>
      </c>
    </row>
    <row r="121" spans="2:2">
      <c r="B121" s="3" t="str">
        <f ca="1">IFERROR(__xludf.DUMMYFUNCTION("IF(ISBLANK(A121),"""",GOOGLETRANSLATE(A121,""en"",""fr""))"),"")</f>
        <v/>
      </c>
    </row>
    <row r="122" spans="2:2">
      <c r="B122" s="3" t="str">
        <f ca="1">IFERROR(__xludf.DUMMYFUNCTION("IF(ISBLANK(A122),"""",GOOGLETRANSLATE(A122,""en"",""fr""))"),"")</f>
        <v/>
      </c>
    </row>
    <row r="123" spans="2:2">
      <c r="B123" s="3" t="str">
        <f ca="1">IFERROR(__xludf.DUMMYFUNCTION("IF(ISBLANK(A123),"""",GOOGLETRANSLATE(A123,""en"",""fr""))"),"")</f>
        <v/>
      </c>
    </row>
    <row r="124" spans="2:2">
      <c r="B124" s="3" t="str">
        <f ca="1">IFERROR(__xludf.DUMMYFUNCTION("IF(ISBLANK(A124),"""",GOOGLETRANSLATE(A124,""en"",""fr""))"),"")</f>
        <v/>
      </c>
    </row>
    <row r="125" spans="2:2">
      <c r="B125" s="3" t="str">
        <f ca="1">IFERROR(__xludf.DUMMYFUNCTION("IF(ISBLANK(A125),"""",GOOGLETRANSLATE(A125,""en"",""fr""))"),"")</f>
        <v/>
      </c>
    </row>
    <row r="126" spans="2:2">
      <c r="B126" s="3" t="str">
        <f ca="1">IFERROR(__xludf.DUMMYFUNCTION("IF(ISBLANK(A126),"""",GOOGLETRANSLATE(A126,""en"",""fr""))"),"")</f>
        <v/>
      </c>
    </row>
    <row r="127" spans="2:2">
      <c r="B127" s="3" t="str">
        <f ca="1">IFERROR(__xludf.DUMMYFUNCTION("IF(ISBLANK(A127),"""",GOOGLETRANSLATE(A127,""en"",""fr""))"),"")</f>
        <v/>
      </c>
    </row>
    <row r="128" spans="2:2">
      <c r="B128" s="3" t="str">
        <f ca="1">IFERROR(__xludf.DUMMYFUNCTION("IF(ISBLANK(A128),"""",GOOGLETRANSLATE(A128,""en"",""fr""))"),"")</f>
        <v/>
      </c>
    </row>
    <row r="129" spans="2:2">
      <c r="B129" s="3" t="str">
        <f ca="1">IFERROR(__xludf.DUMMYFUNCTION("IF(ISBLANK(A129),"""",GOOGLETRANSLATE(A129,""en"",""fr""))"),"")</f>
        <v/>
      </c>
    </row>
    <row r="130" spans="2:2">
      <c r="B130" s="3" t="str">
        <f ca="1">IFERROR(__xludf.DUMMYFUNCTION("IF(ISBLANK(A130),"""",GOOGLETRANSLATE(A130,""en"",""fr""))"),"")</f>
        <v/>
      </c>
    </row>
    <row r="131" spans="2:2">
      <c r="B131" s="3" t="str">
        <f ca="1">IFERROR(__xludf.DUMMYFUNCTION("IF(ISBLANK(A131),"""",GOOGLETRANSLATE(A131,""en"",""fr""))"),"")</f>
        <v/>
      </c>
    </row>
    <row r="132" spans="2:2">
      <c r="B132" s="3" t="str">
        <f ca="1">IFERROR(__xludf.DUMMYFUNCTION("IF(ISBLANK(A132),"""",GOOGLETRANSLATE(A132,""en"",""fr""))"),"")</f>
        <v/>
      </c>
    </row>
    <row r="133" spans="2:2">
      <c r="B133" s="3" t="str">
        <f ca="1">IFERROR(__xludf.DUMMYFUNCTION("IF(ISBLANK(A133),"""",GOOGLETRANSLATE(A133,""en"",""fr""))"),"")</f>
        <v/>
      </c>
    </row>
    <row r="134" spans="2:2">
      <c r="B134" s="3" t="str">
        <f ca="1">IFERROR(__xludf.DUMMYFUNCTION("IF(ISBLANK(A134),"""",GOOGLETRANSLATE(A134,""en"",""fr""))"),"")</f>
        <v/>
      </c>
    </row>
    <row r="135" spans="2:2">
      <c r="B135" s="3" t="str">
        <f ca="1">IFERROR(__xludf.DUMMYFUNCTION("IF(ISBLANK(A135),"""",GOOGLETRANSLATE(A135,""en"",""fr""))"),"")</f>
        <v/>
      </c>
    </row>
    <row r="136" spans="2:2">
      <c r="B136" s="3" t="str">
        <f ca="1">IFERROR(__xludf.DUMMYFUNCTION("IF(ISBLANK(A136),"""",GOOGLETRANSLATE(A136,""en"",""fr""))"),"")</f>
        <v/>
      </c>
    </row>
    <row r="137" spans="2:2">
      <c r="B137" s="3" t="str">
        <f ca="1">IFERROR(__xludf.DUMMYFUNCTION("IF(ISBLANK(A137),"""",GOOGLETRANSLATE(A137,""en"",""fr""))"),"")</f>
        <v/>
      </c>
    </row>
    <row r="138" spans="2:2">
      <c r="B138" s="3" t="str">
        <f ca="1">IFERROR(__xludf.DUMMYFUNCTION("IF(ISBLANK(A138),"""",GOOGLETRANSLATE(A138,""en"",""fr""))"),"")</f>
        <v/>
      </c>
    </row>
    <row r="139" spans="2:2">
      <c r="B139" s="3" t="str">
        <f ca="1">IFERROR(__xludf.DUMMYFUNCTION("IF(ISBLANK(A139),"""",GOOGLETRANSLATE(A139,""en"",""fr""))"),"")</f>
        <v/>
      </c>
    </row>
    <row r="140" spans="2:2">
      <c r="B140" s="3" t="str">
        <f ca="1">IFERROR(__xludf.DUMMYFUNCTION("IF(ISBLANK(A140),"""",GOOGLETRANSLATE(A140,""en"",""fr""))"),"")</f>
        <v/>
      </c>
    </row>
    <row r="141" spans="2:2">
      <c r="B141" s="3" t="str">
        <f ca="1">IFERROR(__xludf.DUMMYFUNCTION("IF(ISBLANK(A141),"""",GOOGLETRANSLATE(A141,""en"",""fr""))"),"")</f>
        <v/>
      </c>
    </row>
    <row r="142" spans="2:2">
      <c r="B142" s="3" t="str">
        <f ca="1">IFERROR(__xludf.DUMMYFUNCTION("IF(ISBLANK(A142),"""",GOOGLETRANSLATE(A142,""en"",""fr""))"),"")</f>
        <v/>
      </c>
    </row>
    <row r="143" spans="2:2">
      <c r="B143" s="3" t="str">
        <f ca="1">IFERROR(__xludf.DUMMYFUNCTION("IF(ISBLANK(A143),"""",GOOGLETRANSLATE(A143,""en"",""fr""))"),"")</f>
        <v/>
      </c>
    </row>
    <row r="144" spans="2:2">
      <c r="B144" s="3" t="str">
        <f ca="1">IFERROR(__xludf.DUMMYFUNCTION("IF(ISBLANK(A144),"""",GOOGLETRANSLATE(A144,""en"",""fr""))"),"")</f>
        <v/>
      </c>
    </row>
    <row r="145" spans="2:2">
      <c r="B145" s="3" t="str">
        <f ca="1">IFERROR(__xludf.DUMMYFUNCTION("IF(ISBLANK(A145),"""",GOOGLETRANSLATE(A145,""en"",""fr""))"),"")</f>
        <v/>
      </c>
    </row>
    <row r="146" spans="2:2">
      <c r="B146" s="3" t="str">
        <f ca="1">IFERROR(__xludf.DUMMYFUNCTION("IF(ISBLANK(A146),"""",GOOGLETRANSLATE(A146,""en"",""fr""))"),"")</f>
        <v/>
      </c>
    </row>
    <row r="147" spans="2:2">
      <c r="B147" s="3" t="str">
        <f ca="1">IFERROR(__xludf.DUMMYFUNCTION("IF(ISBLANK(A147),"""",GOOGLETRANSLATE(A147,""en"",""fr""))"),"")</f>
        <v/>
      </c>
    </row>
    <row r="148" spans="2:2">
      <c r="B148" s="3" t="str">
        <f ca="1">IFERROR(__xludf.DUMMYFUNCTION("IF(ISBLANK(A148),"""",GOOGLETRANSLATE(A148,""en"",""fr""))"),"")</f>
        <v/>
      </c>
    </row>
    <row r="149" spans="2:2">
      <c r="B149" s="3" t="str">
        <f ca="1">IFERROR(__xludf.DUMMYFUNCTION("IF(ISBLANK(A149),"""",GOOGLETRANSLATE(A149,""en"",""fr""))"),"")</f>
        <v/>
      </c>
    </row>
    <row r="150" spans="2:2">
      <c r="B150" s="3" t="str">
        <f ca="1">IFERROR(__xludf.DUMMYFUNCTION("IF(ISBLANK(A150),"""",GOOGLETRANSLATE(A150,""en"",""fr""))"),"")</f>
        <v/>
      </c>
    </row>
    <row r="151" spans="2:2">
      <c r="B151" s="3" t="str">
        <f ca="1">IFERROR(__xludf.DUMMYFUNCTION("IF(ISBLANK(A151),"""",GOOGLETRANSLATE(A151,""en"",""fr""))"),"")</f>
        <v/>
      </c>
    </row>
    <row r="152" spans="2:2">
      <c r="B152" s="3" t="str">
        <f ca="1">IFERROR(__xludf.DUMMYFUNCTION("IF(ISBLANK(A152),"""",GOOGLETRANSLATE(A152,""en"",""fr""))"),"")</f>
        <v/>
      </c>
    </row>
    <row r="153" spans="2:2">
      <c r="B153" s="3" t="str">
        <f ca="1">IFERROR(__xludf.DUMMYFUNCTION("IF(ISBLANK(A153),"""",GOOGLETRANSLATE(A153,""en"",""fr""))"),"")</f>
        <v/>
      </c>
    </row>
    <row r="154" spans="2:2">
      <c r="B154" s="3" t="str">
        <f ca="1">IFERROR(__xludf.DUMMYFUNCTION("IF(ISBLANK(A154),"""",GOOGLETRANSLATE(A154,""en"",""fr""))"),"")</f>
        <v/>
      </c>
    </row>
    <row r="155" spans="2:2">
      <c r="B155" s="3" t="str">
        <f ca="1">IFERROR(__xludf.DUMMYFUNCTION("IF(ISBLANK(A155),"""",GOOGLETRANSLATE(A155,""en"",""fr""))"),"")</f>
        <v/>
      </c>
    </row>
    <row r="156" spans="2:2">
      <c r="B156" s="3" t="str">
        <f ca="1">IFERROR(__xludf.DUMMYFUNCTION("IF(ISBLANK(A156),"""",GOOGLETRANSLATE(A156,""en"",""fr""))"),"")</f>
        <v/>
      </c>
    </row>
    <row r="157" spans="2:2">
      <c r="B157" s="3" t="str">
        <f ca="1">IFERROR(__xludf.DUMMYFUNCTION("IF(ISBLANK(A157),"""",GOOGLETRANSLATE(A157,""en"",""fr""))"),"")</f>
        <v/>
      </c>
    </row>
    <row r="158" spans="2:2">
      <c r="B158" s="3" t="str">
        <f ca="1">IFERROR(__xludf.DUMMYFUNCTION("IF(ISBLANK(A158),"""",GOOGLETRANSLATE(A158,""en"",""fr""))"),"")</f>
        <v/>
      </c>
    </row>
    <row r="159" spans="2:2">
      <c r="B159" s="3" t="str">
        <f ca="1">IFERROR(__xludf.DUMMYFUNCTION("IF(ISBLANK(A159),"""",GOOGLETRANSLATE(A159,""en"",""fr""))"),"")</f>
        <v/>
      </c>
    </row>
    <row r="160" spans="2:2">
      <c r="B160" s="3" t="str">
        <f ca="1">IFERROR(__xludf.DUMMYFUNCTION("IF(ISBLANK(A160),"""",GOOGLETRANSLATE(A160,""en"",""fr""))"),"")</f>
        <v/>
      </c>
    </row>
    <row r="161" spans="2:2">
      <c r="B161" s="3" t="str">
        <f ca="1">IFERROR(__xludf.DUMMYFUNCTION("IF(ISBLANK(A161),"""",GOOGLETRANSLATE(A161,""en"",""fr""))"),"")</f>
        <v/>
      </c>
    </row>
    <row r="162" spans="2:2">
      <c r="B162" s="3" t="str">
        <f ca="1">IFERROR(__xludf.DUMMYFUNCTION("IF(ISBLANK(A162),"""",GOOGLETRANSLATE(A162,""en"",""fr""))"),"")</f>
        <v/>
      </c>
    </row>
    <row r="163" spans="2:2">
      <c r="B163" s="3" t="str">
        <f ca="1">IFERROR(__xludf.DUMMYFUNCTION("IF(ISBLANK(A163),"""",GOOGLETRANSLATE(A163,""en"",""fr""))"),"")</f>
        <v/>
      </c>
    </row>
    <row r="164" spans="2:2">
      <c r="B164" s="3" t="str">
        <f ca="1">IFERROR(__xludf.DUMMYFUNCTION("IF(ISBLANK(A164),"""",GOOGLETRANSLATE(A164,""en"",""fr""))"),"")</f>
        <v/>
      </c>
    </row>
    <row r="165" spans="2:2">
      <c r="B165" s="3" t="str">
        <f ca="1">IFERROR(__xludf.DUMMYFUNCTION("IF(ISBLANK(A165),"""",GOOGLETRANSLATE(A165,""en"",""fr""))"),"")</f>
        <v/>
      </c>
    </row>
    <row r="166" spans="2:2">
      <c r="B166" s="3" t="str">
        <f ca="1">IFERROR(__xludf.DUMMYFUNCTION("IF(ISBLANK(A166),"""",GOOGLETRANSLATE(A166,""en"",""fr""))"),"")</f>
        <v/>
      </c>
    </row>
    <row r="167" spans="2:2">
      <c r="B167" s="3" t="str">
        <f ca="1">IFERROR(__xludf.DUMMYFUNCTION("IF(ISBLANK(A167),"""",GOOGLETRANSLATE(A167,""en"",""fr""))"),"")</f>
        <v/>
      </c>
    </row>
    <row r="168" spans="2:2">
      <c r="B168" s="3" t="str">
        <f ca="1">IFERROR(__xludf.DUMMYFUNCTION("IF(ISBLANK(A168),"""",GOOGLETRANSLATE(A168,""en"",""fr""))"),"")</f>
        <v/>
      </c>
    </row>
    <row r="169" spans="2:2">
      <c r="B169" s="3" t="str">
        <f ca="1">IFERROR(__xludf.DUMMYFUNCTION("IF(ISBLANK(A169),"""",GOOGLETRANSLATE(A169,""en"",""fr""))"),"")</f>
        <v/>
      </c>
    </row>
    <row r="170" spans="2:2">
      <c r="B170" s="3" t="str">
        <f ca="1">IFERROR(__xludf.DUMMYFUNCTION("IF(ISBLANK(A170),"""",GOOGLETRANSLATE(A170,""en"",""fr""))"),"")</f>
        <v/>
      </c>
    </row>
    <row r="171" spans="2:2">
      <c r="B171" s="3" t="str">
        <f ca="1">IFERROR(__xludf.DUMMYFUNCTION("IF(ISBLANK(A171),"""",GOOGLETRANSLATE(A171,""en"",""fr""))"),"")</f>
        <v/>
      </c>
    </row>
    <row r="172" spans="2:2">
      <c r="B172" s="3" t="str">
        <f ca="1">IFERROR(__xludf.DUMMYFUNCTION("IF(ISBLANK(A172),"""",GOOGLETRANSLATE(A172,""en"",""fr""))"),"")</f>
        <v/>
      </c>
    </row>
    <row r="173" spans="2:2">
      <c r="B173" s="3" t="str">
        <f ca="1">IFERROR(__xludf.DUMMYFUNCTION("IF(ISBLANK(A173),"""",GOOGLETRANSLATE(A173,""en"",""fr""))"),"")</f>
        <v/>
      </c>
    </row>
    <row r="174" spans="2:2">
      <c r="B174" s="3" t="str">
        <f ca="1">IFERROR(__xludf.DUMMYFUNCTION("IF(ISBLANK(A174),"""",GOOGLETRANSLATE(A174,""en"",""fr""))"),"")</f>
        <v/>
      </c>
    </row>
    <row r="175" spans="2:2">
      <c r="B175" s="3" t="str">
        <f ca="1">IFERROR(__xludf.DUMMYFUNCTION("IF(ISBLANK(A175),"""",GOOGLETRANSLATE(A175,""en"",""fr""))"),"")</f>
        <v/>
      </c>
    </row>
    <row r="176" spans="2:2">
      <c r="B176" s="3" t="str">
        <f ca="1">IFERROR(__xludf.DUMMYFUNCTION("IF(ISBLANK(A176),"""",GOOGLETRANSLATE(A176,""en"",""fr""))"),"")</f>
        <v/>
      </c>
    </row>
    <row r="177" spans="2:2">
      <c r="B177" s="3" t="str">
        <f ca="1">IFERROR(__xludf.DUMMYFUNCTION("IF(ISBLANK(A177),"""",GOOGLETRANSLATE(A177,""en"",""fr""))"),"")</f>
        <v/>
      </c>
    </row>
    <row r="178" spans="2:2">
      <c r="B178" s="3" t="str">
        <f ca="1">IFERROR(__xludf.DUMMYFUNCTION("IF(ISBLANK(A178),"""",GOOGLETRANSLATE(A178,""en"",""fr""))"),"")</f>
        <v/>
      </c>
    </row>
    <row r="179" spans="2:2">
      <c r="B179" s="3" t="str">
        <f ca="1">IFERROR(__xludf.DUMMYFUNCTION("IF(ISBLANK(A179),"""",GOOGLETRANSLATE(A179,""en"",""fr""))"),"")</f>
        <v/>
      </c>
    </row>
    <row r="180" spans="2:2">
      <c r="B180" s="3" t="str">
        <f ca="1">IFERROR(__xludf.DUMMYFUNCTION("IF(ISBLANK(A180),"""",GOOGLETRANSLATE(A180,""en"",""fr""))"),"")</f>
        <v/>
      </c>
    </row>
    <row r="181" spans="2:2">
      <c r="B181" s="3" t="str">
        <f ca="1">IFERROR(__xludf.DUMMYFUNCTION("IF(ISBLANK(A181),"""",GOOGLETRANSLATE(A181,""en"",""fr""))"),"")</f>
        <v/>
      </c>
    </row>
    <row r="182" spans="2:2">
      <c r="B182" s="3" t="str">
        <f ca="1">IFERROR(__xludf.DUMMYFUNCTION("IF(ISBLANK(A182),"""",GOOGLETRANSLATE(A182,""en"",""fr""))"),"")</f>
        <v/>
      </c>
    </row>
    <row r="183" spans="2:2">
      <c r="B183" s="3" t="str">
        <f ca="1">IFERROR(__xludf.DUMMYFUNCTION("IF(ISBLANK(A183),"""",GOOGLETRANSLATE(A183,""en"",""fr""))"),"")</f>
        <v/>
      </c>
    </row>
    <row r="184" spans="2:2">
      <c r="B184" s="3" t="str">
        <f ca="1">IFERROR(__xludf.DUMMYFUNCTION("IF(ISBLANK(A184),"""",GOOGLETRANSLATE(A184,""en"",""fr""))"),"")</f>
        <v/>
      </c>
    </row>
    <row r="185" spans="2:2">
      <c r="B185" s="3" t="str">
        <f ca="1">IFERROR(__xludf.DUMMYFUNCTION("IF(ISBLANK(A185),"""",GOOGLETRANSLATE(A185,""en"",""fr""))"),"")</f>
        <v/>
      </c>
    </row>
    <row r="186" spans="2:2">
      <c r="B186" s="3" t="str">
        <f ca="1">IFERROR(__xludf.DUMMYFUNCTION("IF(ISBLANK(A186),"""",GOOGLETRANSLATE(A186,""en"",""fr""))"),"")</f>
        <v/>
      </c>
    </row>
    <row r="187" spans="2:2">
      <c r="B187" s="3" t="str">
        <f ca="1">IFERROR(__xludf.DUMMYFUNCTION("IF(ISBLANK(A187),"""",GOOGLETRANSLATE(A187,""en"",""fr""))"),"")</f>
        <v/>
      </c>
    </row>
    <row r="188" spans="2:2">
      <c r="B188" s="3" t="str">
        <f ca="1">IFERROR(__xludf.DUMMYFUNCTION("IF(ISBLANK(A188),"""",GOOGLETRANSLATE(A188,""en"",""fr""))"),"")</f>
        <v/>
      </c>
    </row>
    <row r="189" spans="2:2">
      <c r="B189" s="3" t="str">
        <f ca="1">IFERROR(__xludf.DUMMYFUNCTION("IF(ISBLANK(A189),"""",GOOGLETRANSLATE(A189,""en"",""fr""))"),"")</f>
        <v/>
      </c>
    </row>
    <row r="190" spans="2:2">
      <c r="B190" s="3" t="str">
        <f ca="1">IFERROR(__xludf.DUMMYFUNCTION("IF(ISBLANK(A190),"""",GOOGLETRANSLATE(A190,""en"",""fr""))"),"")</f>
        <v/>
      </c>
    </row>
    <row r="191" spans="2:2">
      <c r="B191" s="3" t="str">
        <f ca="1">IFERROR(__xludf.DUMMYFUNCTION("IF(ISBLANK(A191),"""",GOOGLETRANSLATE(A191,""en"",""fr""))"),"")</f>
        <v/>
      </c>
    </row>
    <row r="192" spans="2:2">
      <c r="B192" s="3" t="str">
        <f ca="1">IFERROR(__xludf.DUMMYFUNCTION("IF(ISBLANK(A192),"""",GOOGLETRANSLATE(A192,""en"",""fr""))"),"")</f>
        <v/>
      </c>
    </row>
    <row r="193" spans="2:2">
      <c r="B193" s="3" t="str">
        <f ca="1">IFERROR(__xludf.DUMMYFUNCTION("IF(ISBLANK(A193),"""",GOOGLETRANSLATE(A193,""en"",""fr""))"),"")</f>
        <v/>
      </c>
    </row>
    <row r="194" spans="2:2">
      <c r="B194" s="3" t="str">
        <f ca="1">IFERROR(__xludf.DUMMYFUNCTION("IF(ISBLANK(A194),"""",GOOGLETRANSLATE(A194,""en"",""fr""))"),"")</f>
        <v/>
      </c>
    </row>
    <row r="195" spans="2:2">
      <c r="B195" s="3" t="str">
        <f ca="1">IFERROR(__xludf.DUMMYFUNCTION("IF(ISBLANK(A195),"""",GOOGLETRANSLATE(A195,""en"",""fr""))"),"")</f>
        <v/>
      </c>
    </row>
    <row r="196" spans="2:2">
      <c r="B196" s="3" t="str">
        <f ca="1">IFERROR(__xludf.DUMMYFUNCTION("IF(ISBLANK(A196),"""",GOOGLETRANSLATE(A196,""en"",""fr""))"),"")</f>
        <v/>
      </c>
    </row>
    <row r="197" spans="2:2">
      <c r="B197" s="3" t="str">
        <f ca="1">IFERROR(__xludf.DUMMYFUNCTION("IF(ISBLANK(A197),"""",GOOGLETRANSLATE(A197,""en"",""fr""))"),"")</f>
        <v/>
      </c>
    </row>
    <row r="198" spans="2:2">
      <c r="B198" s="3" t="str">
        <f ca="1">IFERROR(__xludf.DUMMYFUNCTION("IF(ISBLANK(A198),"""",GOOGLETRANSLATE(A198,""en"",""fr""))"),"")</f>
        <v/>
      </c>
    </row>
    <row r="199" spans="2:2">
      <c r="B199" s="3" t="str">
        <f ca="1">IFERROR(__xludf.DUMMYFUNCTION("IF(ISBLANK(A199),"""",GOOGLETRANSLATE(A199,""en"",""fr""))"),"")</f>
        <v/>
      </c>
    </row>
    <row r="200" spans="2:2">
      <c r="B200" s="3" t="str">
        <f ca="1">IFERROR(__xludf.DUMMYFUNCTION("IF(ISBLANK(A200),"""",GOOGLETRANSLATE(A200,""en"",""fr""))"),"")</f>
        <v/>
      </c>
    </row>
    <row r="201" spans="2:2">
      <c r="B201" s="3" t="str">
        <f ca="1">IFERROR(__xludf.DUMMYFUNCTION("IF(ISBLANK(A201),"""",GOOGLETRANSLATE(A201,""en"",""fr""))"),"")</f>
        <v/>
      </c>
    </row>
    <row r="202" spans="2:2">
      <c r="B202" s="3" t="str">
        <f ca="1">IFERROR(__xludf.DUMMYFUNCTION("IF(ISBLANK(A202),"""",GOOGLETRANSLATE(A202,""en"",""fr""))"),"")</f>
        <v/>
      </c>
    </row>
    <row r="203" spans="2:2">
      <c r="B203" s="3" t="str">
        <f ca="1">IFERROR(__xludf.DUMMYFUNCTION("IF(ISBLANK(A203),"""",GOOGLETRANSLATE(A203,""en"",""fr""))"),"")</f>
        <v/>
      </c>
    </row>
    <row r="204" spans="2:2">
      <c r="B204" s="3" t="str">
        <f ca="1">IFERROR(__xludf.DUMMYFUNCTION("IF(ISBLANK(A204),"""",GOOGLETRANSLATE(A204,""en"",""fr""))"),"")</f>
        <v/>
      </c>
    </row>
    <row r="205" spans="2:2">
      <c r="B205" s="3" t="str">
        <f ca="1">IFERROR(__xludf.DUMMYFUNCTION("IF(ISBLANK(A205),"""",GOOGLETRANSLATE(A205,""en"",""fr""))"),"")</f>
        <v/>
      </c>
    </row>
    <row r="206" spans="2:2">
      <c r="B206" s="3" t="str">
        <f ca="1">IFERROR(__xludf.DUMMYFUNCTION("IF(ISBLANK(A206),"""",GOOGLETRANSLATE(A206,""en"",""fr""))"),"")</f>
        <v/>
      </c>
    </row>
    <row r="207" spans="2:2">
      <c r="B207" s="3" t="str">
        <f ca="1">IFERROR(__xludf.DUMMYFUNCTION("IF(ISBLANK(A207),"""",GOOGLETRANSLATE(A207,""en"",""fr""))"),"")</f>
        <v/>
      </c>
    </row>
    <row r="208" spans="2:2">
      <c r="B208" s="3" t="str">
        <f ca="1">IFERROR(__xludf.DUMMYFUNCTION("IF(ISBLANK(A208),"""",GOOGLETRANSLATE(A208,""en"",""fr""))"),"")</f>
        <v/>
      </c>
    </row>
    <row r="209" spans="2:2">
      <c r="B209" s="3" t="str">
        <f ca="1">IFERROR(__xludf.DUMMYFUNCTION("IF(ISBLANK(A209),"""",GOOGLETRANSLATE(A209,""en"",""fr""))"),"")</f>
        <v/>
      </c>
    </row>
    <row r="210" spans="2:2">
      <c r="B210" s="3" t="str">
        <f ca="1">IFERROR(__xludf.DUMMYFUNCTION("IF(ISBLANK(A210),"""",GOOGLETRANSLATE(A210,""en"",""fr""))"),"")</f>
        <v/>
      </c>
    </row>
    <row r="211" spans="2:2">
      <c r="B211" s="3" t="str">
        <f ca="1">IFERROR(__xludf.DUMMYFUNCTION("IF(ISBLANK(A211),"""",GOOGLETRANSLATE(A211,""en"",""fr""))"),"")</f>
        <v/>
      </c>
    </row>
    <row r="212" spans="2:2">
      <c r="B212" s="3" t="str">
        <f ca="1">IFERROR(__xludf.DUMMYFUNCTION("IF(ISBLANK(A212),"""",GOOGLETRANSLATE(A212,""en"",""fr""))"),"")</f>
        <v/>
      </c>
    </row>
    <row r="213" spans="2:2">
      <c r="B213" s="3" t="str">
        <f ca="1">IFERROR(__xludf.DUMMYFUNCTION("IF(ISBLANK(A213),"""",GOOGLETRANSLATE(A213,""en"",""fr""))"),"")</f>
        <v/>
      </c>
    </row>
    <row r="214" spans="2:2">
      <c r="B214" s="3" t="str">
        <f ca="1">IFERROR(__xludf.DUMMYFUNCTION("IF(ISBLANK(A214),"""",GOOGLETRANSLATE(A214,""en"",""fr""))"),"")</f>
        <v/>
      </c>
    </row>
    <row r="215" spans="2:2">
      <c r="B215" s="3" t="str">
        <f ca="1">IFERROR(__xludf.DUMMYFUNCTION("IF(ISBLANK(A215),"""",GOOGLETRANSLATE(A215,""en"",""fr""))"),"")</f>
        <v/>
      </c>
    </row>
    <row r="216" spans="2:2">
      <c r="B216" s="3" t="str">
        <f ca="1">IFERROR(__xludf.DUMMYFUNCTION("IF(ISBLANK(A216),"""",GOOGLETRANSLATE(A216,""en"",""fr""))"),"")</f>
        <v/>
      </c>
    </row>
    <row r="217" spans="2:2">
      <c r="B217" s="3" t="str">
        <f ca="1">IFERROR(__xludf.DUMMYFUNCTION("IF(ISBLANK(A217),"""",GOOGLETRANSLATE(A217,""en"",""fr""))"),"")</f>
        <v/>
      </c>
    </row>
    <row r="218" spans="2:2">
      <c r="B218" s="3" t="str">
        <f ca="1">IFERROR(__xludf.DUMMYFUNCTION("IF(ISBLANK(A218),"""",GOOGLETRANSLATE(A218,""en"",""fr""))"),"")</f>
        <v/>
      </c>
    </row>
    <row r="219" spans="2:2">
      <c r="B219" s="3" t="str">
        <f ca="1">IFERROR(__xludf.DUMMYFUNCTION("IF(ISBLANK(A219),"""",GOOGLETRANSLATE(A219,""en"",""fr""))"),"")</f>
        <v/>
      </c>
    </row>
    <row r="220" spans="2:2">
      <c r="B220" s="3" t="str">
        <f ca="1">IFERROR(__xludf.DUMMYFUNCTION("IF(ISBLANK(A220),"""",GOOGLETRANSLATE(A220,""en"",""fr""))"),"")</f>
        <v/>
      </c>
    </row>
    <row r="221" spans="2:2">
      <c r="B221" s="3" t="str">
        <f ca="1">IFERROR(__xludf.DUMMYFUNCTION("IF(ISBLANK(A221),"""",GOOGLETRANSLATE(A221,""en"",""fr""))"),"")</f>
        <v/>
      </c>
    </row>
    <row r="222" spans="2:2">
      <c r="B222" s="3" t="str">
        <f ca="1">IFERROR(__xludf.DUMMYFUNCTION("IF(ISBLANK(A222),"""",GOOGLETRANSLATE(A222,""en"",""fr""))"),"")</f>
        <v/>
      </c>
    </row>
    <row r="223" spans="2:2">
      <c r="B223" s="3" t="str">
        <f ca="1">IFERROR(__xludf.DUMMYFUNCTION("IF(ISBLANK(A223),"""",GOOGLETRANSLATE(A223,""en"",""fr""))"),"")</f>
        <v/>
      </c>
    </row>
    <row r="224" spans="2:2">
      <c r="B224" s="3" t="str">
        <f ca="1">IFERROR(__xludf.DUMMYFUNCTION("IF(ISBLANK(A224),"""",GOOGLETRANSLATE(A224,""en"",""fr""))"),"")</f>
        <v/>
      </c>
    </row>
    <row r="225" spans="2:2">
      <c r="B225" s="3" t="str">
        <f ca="1">IFERROR(__xludf.DUMMYFUNCTION("IF(ISBLANK(A225),"""",GOOGLETRANSLATE(A225,""en"",""fr""))"),"")</f>
        <v/>
      </c>
    </row>
    <row r="226" spans="2:2">
      <c r="B226" s="3" t="str">
        <f ca="1">IFERROR(__xludf.DUMMYFUNCTION("IF(ISBLANK(A226),"""",GOOGLETRANSLATE(A226,""en"",""fr""))"),"")</f>
        <v/>
      </c>
    </row>
    <row r="227" spans="2:2">
      <c r="B227" s="3" t="str">
        <f ca="1">IFERROR(__xludf.DUMMYFUNCTION("IF(ISBLANK(A227),"""",GOOGLETRANSLATE(A227,""en"",""fr""))"),"")</f>
        <v/>
      </c>
    </row>
    <row r="228" spans="2:2">
      <c r="B228" s="3" t="str">
        <f ca="1">IFERROR(__xludf.DUMMYFUNCTION("IF(ISBLANK(A228),"""",GOOGLETRANSLATE(A228,""en"",""fr""))"),"")</f>
        <v/>
      </c>
    </row>
    <row r="229" spans="2:2">
      <c r="B229" s="3" t="str">
        <f ca="1">IFERROR(__xludf.DUMMYFUNCTION("IF(ISBLANK(A229),"""",GOOGLETRANSLATE(A229,""en"",""fr""))"),"")</f>
        <v/>
      </c>
    </row>
    <row r="230" spans="2:2">
      <c r="B230" s="3" t="str">
        <f ca="1">IFERROR(__xludf.DUMMYFUNCTION("IF(ISBLANK(A230),"""",GOOGLETRANSLATE(A230,""en"",""fr""))"),"")</f>
        <v/>
      </c>
    </row>
    <row r="231" spans="2:2">
      <c r="B231" s="3" t="str">
        <f ca="1">IFERROR(__xludf.DUMMYFUNCTION("IF(ISBLANK(A231),"""",GOOGLETRANSLATE(A231,""en"",""fr""))"),"")</f>
        <v/>
      </c>
    </row>
    <row r="232" spans="2:2">
      <c r="B232" s="3" t="str">
        <f ca="1">IFERROR(__xludf.DUMMYFUNCTION("IF(ISBLANK(A232),"""",GOOGLETRANSLATE(A232,""en"",""fr""))"),"")</f>
        <v/>
      </c>
    </row>
    <row r="233" spans="2:2">
      <c r="B233" s="3" t="str">
        <f ca="1">IFERROR(__xludf.DUMMYFUNCTION("IF(ISBLANK(A233),"""",GOOGLETRANSLATE(A233,""en"",""fr""))"),"")</f>
        <v/>
      </c>
    </row>
    <row r="234" spans="2:2">
      <c r="B234" s="3" t="str">
        <f ca="1">IFERROR(__xludf.DUMMYFUNCTION("IF(ISBLANK(A234),"""",GOOGLETRANSLATE(A234,""en"",""fr""))"),"")</f>
        <v/>
      </c>
    </row>
    <row r="235" spans="2:2">
      <c r="B235" s="3" t="str">
        <f ca="1">IFERROR(__xludf.DUMMYFUNCTION("IF(ISBLANK(A235),"""",GOOGLETRANSLATE(A235,""en"",""fr""))"),"")</f>
        <v/>
      </c>
    </row>
    <row r="236" spans="2:2">
      <c r="B236" s="3" t="str">
        <f ca="1">IFERROR(__xludf.DUMMYFUNCTION("IF(ISBLANK(A236),"""",GOOGLETRANSLATE(A236,""en"",""fr""))"),"")</f>
        <v/>
      </c>
    </row>
    <row r="237" spans="2:2">
      <c r="B237" s="3" t="str">
        <f ca="1">IFERROR(__xludf.DUMMYFUNCTION("IF(ISBLANK(A237),"""",GOOGLETRANSLATE(A237,""en"",""fr""))"),"")</f>
        <v/>
      </c>
    </row>
    <row r="238" spans="2:2">
      <c r="B238" s="3" t="str">
        <f ca="1">IFERROR(__xludf.DUMMYFUNCTION("IF(ISBLANK(A238),"""",GOOGLETRANSLATE(A238,""en"",""fr""))"),"")</f>
        <v/>
      </c>
    </row>
    <row r="239" spans="2:2">
      <c r="B239" s="3" t="str">
        <f ca="1">IFERROR(__xludf.DUMMYFUNCTION("IF(ISBLANK(A239),"""",GOOGLETRANSLATE(A239,""en"",""fr""))"),"")</f>
        <v/>
      </c>
    </row>
    <row r="240" spans="2:2">
      <c r="B240" s="3" t="str">
        <f ca="1">IFERROR(__xludf.DUMMYFUNCTION("IF(ISBLANK(A240),"""",GOOGLETRANSLATE(A240,""en"",""fr""))"),"")</f>
        <v/>
      </c>
    </row>
    <row r="241" spans="2:2">
      <c r="B241" s="3" t="str">
        <f ca="1">IFERROR(__xludf.DUMMYFUNCTION("IF(ISBLANK(A241),"""",GOOGLETRANSLATE(A241,""en"",""fr""))"),"")</f>
        <v/>
      </c>
    </row>
    <row r="242" spans="2:2">
      <c r="B242" s="3" t="str">
        <f ca="1">IFERROR(__xludf.DUMMYFUNCTION("IF(ISBLANK(A242),"""",GOOGLETRANSLATE(A242,""en"",""fr""))"),"")</f>
        <v/>
      </c>
    </row>
    <row r="243" spans="2:2">
      <c r="B243" s="3" t="str">
        <f ca="1">IFERROR(__xludf.DUMMYFUNCTION("IF(ISBLANK(A243),"""",GOOGLETRANSLATE(A243,""en"",""fr""))"),"")</f>
        <v/>
      </c>
    </row>
    <row r="244" spans="2:2">
      <c r="B244" s="3" t="str">
        <f ca="1">IFERROR(__xludf.DUMMYFUNCTION("IF(ISBLANK(A244),"""",GOOGLETRANSLATE(A244,""en"",""fr""))"),"")</f>
        <v/>
      </c>
    </row>
    <row r="245" spans="2:2">
      <c r="B245" s="3" t="str">
        <f ca="1">IFERROR(__xludf.DUMMYFUNCTION("IF(ISBLANK(A245),"""",GOOGLETRANSLATE(A245,""en"",""fr""))"),"")</f>
        <v/>
      </c>
    </row>
    <row r="246" spans="2:2">
      <c r="B246" s="3" t="str">
        <f ca="1">IFERROR(__xludf.DUMMYFUNCTION("IF(ISBLANK(A246),"""",GOOGLETRANSLATE(A246,""en"",""fr""))"),"")</f>
        <v/>
      </c>
    </row>
    <row r="247" spans="2:2">
      <c r="B247" s="3" t="str">
        <f ca="1">IFERROR(__xludf.DUMMYFUNCTION("IF(ISBLANK(A247),"""",GOOGLETRANSLATE(A247,""en"",""fr""))"),"")</f>
        <v/>
      </c>
    </row>
    <row r="248" spans="2:2">
      <c r="B248" s="3" t="str">
        <f ca="1">IFERROR(__xludf.DUMMYFUNCTION("IF(ISBLANK(A248),"""",GOOGLETRANSLATE(A248,""en"",""fr""))"),"")</f>
        <v/>
      </c>
    </row>
    <row r="249" spans="2:2">
      <c r="B249" s="3" t="str">
        <f ca="1">IFERROR(__xludf.DUMMYFUNCTION("IF(ISBLANK(A249),"""",GOOGLETRANSLATE(A249,""en"",""fr""))"),"")</f>
        <v/>
      </c>
    </row>
    <row r="250" spans="2:2">
      <c r="B250" s="3" t="str">
        <f ca="1">IFERROR(__xludf.DUMMYFUNCTION("IF(ISBLANK(A250),"""",GOOGLETRANSLATE(A250,""en"",""fr""))"),"")</f>
        <v/>
      </c>
    </row>
    <row r="251" spans="2:2">
      <c r="B251" s="3" t="str">
        <f ca="1">IFERROR(__xludf.DUMMYFUNCTION("IF(ISBLANK(A251),"""",GOOGLETRANSLATE(A251,""en"",""fr""))"),"")</f>
        <v/>
      </c>
    </row>
    <row r="252" spans="2:2">
      <c r="B252" s="3" t="str">
        <f ca="1">IFERROR(__xludf.DUMMYFUNCTION("IF(ISBLANK(A252),"""",GOOGLETRANSLATE(A252,""en"",""fr""))"),"")</f>
        <v/>
      </c>
    </row>
    <row r="253" spans="2:2">
      <c r="B253" s="3" t="str">
        <f ca="1">IFERROR(__xludf.DUMMYFUNCTION("IF(ISBLANK(A253),"""",GOOGLETRANSLATE(A253,""en"",""fr""))"),"")</f>
        <v/>
      </c>
    </row>
    <row r="254" spans="2:2">
      <c r="B254" s="3" t="str">
        <f ca="1">IFERROR(__xludf.DUMMYFUNCTION("IF(ISBLANK(A254),"""",GOOGLETRANSLATE(A254,""en"",""fr""))"),"")</f>
        <v/>
      </c>
    </row>
    <row r="255" spans="2:2">
      <c r="B255" s="3" t="str">
        <f ca="1">IFERROR(__xludf.DUMMYFUNCTION("IF(ISBLANK(A255),"""",GOOGLETRANSLATE(A255,""en"",""fr""))"),"")</f>
        <v/>
      </c>
    </row>
    <row r="256" spans="2:2">
      <c r="B256" s="3" t="str">
        <f ca="1">IFERROR(__xludf.DUMMYFUNCTION("IF(ISBLANK(A256),"""",GOOGLETRANSLATE(A256,""en"",""fr""))"),"")</f>
        <v/>
      </c>
    </row>
    <row r="257" spans="2:2">
      <c r="B257" s="3" t="str">
        <f ca="1">IFERROR(__xludf.DUMMYFUNCTION("IF(ISBLANK(A257),"""",GOOGLETRANSLATE(A257,""en"",""fr""))"),"")</f>
        <v/>
      </c>
    </row>
    <row r="258" spans="2:2">
      <c r="B258" s="3" t="str">
        <f ca="1">IFERROR(__xludf.DUMMYFUNCTION("IF(ISBLANK(A258),"""",GOOGLETRANSLATE(A258,""en"",""fr""))"),"")</f>
        <v/>
      </c>
    </row>
    <row r="259" spans="2:2">
      <c r="B259" s="3" t="str">
        <f ca="1">IFERROR(__xludf.DUMMYFUNCTION("IF(ISBLANK(A259),"""",GOOGLETRANSLATE(A259,""en"",""fr""))"),"")</f>
        <v/>
      </c>
    </row>
    <row r="260" spans="2:2">
      <c r="B260" s="3" t="str">
        <f ca="1">IFERROR(__xludf.DUMMYFUNCTION("IF(ISBLANK(A260),"""",GOOGLETRANSLATE(A260,""en"",""fr""))"),"")</f>
        <v/>
      </c>
    </row>
    <row r="261" spans="2:2">
      <c r="B261" s="3" t="str">
        <f ca="1">IFERROR(__xludf.DUMMYFUNCTION("IF(ISBLANK(A261),"""",GOOGLETRANSLATE(A261,""en"",""fr""))"),"")</f>
        <v/>
      </c>
    </row>
    <row r="262" spans="2:2">
      <c r="B262" s="3" t="str">
        <f ca="1">IFERROR(__xludf.DUMMYFUNCTION("IF(ISBLANK(A262),"""",GOOGLETRANSLATE(A262,""en"",""fr""))"),"")</f>
        <v/>
      </c>
    </row>
    <row r="263" spans="2:2">
      <c r="B263" s="3" t="str">
        <f ca="1">IFERROR(__xludf.DUMMYFUNCTION("IF(ISBLANK(A263),"""",GOOGLETRANSLATE(A263,""en"",""fr""))"),"")</f>
        <v/>
      </c>
    </row>
    <row r="264" spans="2:2">
      <c r="B264" s="3" t="str">
        <f ca="1">IFERROR(__xludf.DUMMYFUNCTION("IF(ISBLANK(A264),"""",GOOGLETRANSLATE(A264,""en"",""fr""))"),"")</f>
        <v/>
      </c>
    </row>
    <row r="265" spans="2:2">
      <c r="B265" s="3" t="str">
        <f ca="1">IFERROR(__xludf.DUMMYFUNCTION("IF(ISBLANK(A265),"""",GOOGLETRANSLATE(A265,""en"",""fr""))"),"")</f>
        <v/>
      </c>
    </row>
    <row r="266" spans="2:2">
      <c r="B266" s="3" t="str">
        <f ca="1">IFERROR(__xludf.DUMMYFUNCTION("IF(ISBLANK(A266),"""",GOOGLETRANSLATE(A266,""en"",""fr""))"),"")</f>
        <v/>
      </c>
    </row>
    <row r="267" spans="2:2">
      <c r="B267" s="3" t="str">
        <f ca="1">IFERROR(__xludf.DUMMYFUNCTION("IF(ISBLANK(A267),"""",GOOGLETRANSLATE(A267,""en"",""fr""))"),"")</f>
        <v/>
      </c>
    </row>
    <row r="268" spans="2:2">
      <c r="B268" s="3" t="str">
        <f ca="1">IFERROR(__xludf.DUMMYFUNCTION("IF(ISBLANK(A268),"""",GOOGLETRANSLATE(A268,""en"",""fr""))"),"")</f>
        <v/>
      </c>
    </row>
    <row r="269" spans="2:2">
      <c r="B269" s="3" t="str">
        <f ca="1">IFERROR(__xludf.DUMMYFUNCTION("IF(ISBLANK(A269),"""",GOOGLETRANSLATE(A269,""en"",""fr""))"),"")</f>
        <v/>
      </c>
    </row>
    <row r="270" spans="2:2">
      <c r="B270" s="3" t="str">
        <f ca="1">IFERROR(__xludf.DUMMYFUNCTION("IF(ISBLANK(A270),"""",GOOGLETRANSLATE(A270,""en"",""fr""))"),"")</f>
        <v/>
      </c>
    </row>
    <row r="271" spans="2:2">
      <c r="B271" s="3" t="str">
        <f ca="1">IFERROR(__xludf.DUMMYFUNCTION("IF(ISBLANK(A271),"""",GOOGLETRANSLATE(A271,""en"",""fr""))"),"")</f>
        <v/>
      </c>
    </row>
    <row r="272" spans="2:2">
      <c r="B272" s="3" t="str">
        <f ca="1">IFERROR(__xludf.DUMMYFUNCTION("IF(ISBLANK(A272),"""",GOOGLETRANSLATE(A272,""en"",""fr""))"),"")</f>
        <v/>
      </c>
    </row>
    <row r="273" spans="2:2">
      <c r="B273" s="3" t="str">
        <f ca="1">IFERROR(__xludf.DUMMYFUNCTION("IF(ISBLANK(A273),"""",GOOGLETRANSLATE(A273,""en"",""fr""))"),"")</f>
        <v/>
      </c>
    </row>
    <row r="274" spans="2:2">
      <c r="B274" s="3" t="str">
        <f ca="1">IFERROR(__xludf.DUMMYFUNCTION("IF(ISBLANK(A274),"""",GOOGLETRANSLATE(A274,""en"",""fr""))"),"")</f>
        <v/>
      </c>
    </row>
    <row r="275" spans="2:2">
      <c r="B275" s="3" t="str">
        <f ca="1">IFERROR(__xludf.DUMMYFUNCTION("IF(ISBLANK(A275),"""",GOOGLETRANSLATE(A275,""en"",""fr""))"),"")</f>
        <v/>
      </c>
    </row>
    <row r="276" spans="2:2">
      <c r="B276" s="3" t="str">
        <f ca="1">IFERROR(__xludf.DUMMYFUNCTION("IF(ISBLANK(A276),"""",GOOGLETRANSLATE(A276,""en"",""fr""))"),"")</f>
        <v/>
      </c>
    </row>
    <row r="277" spans="2:2">
      <c r="B277" s="3" t="str">
        <f ca="1">IFERROR(__xludf.DUMMYFUNCTION("IF(ISBLANK(A277),"""",GOOGLETRANSLATE(A277,""en"",""fr""))"),"")</f>
        <v/>
      </c>
    </row>
    <row r="278" spans="2:2">
      <c r="B278" s="3" t="str">
        <f ca="1">IFERROR(__xludf.DUMMYFUNCTION("IF(ISBLANK(A278),"""",GOOGLETRANSLATE(A278,""en"",""fr""))"),"")</f>
        <v/>
      </c>
    </row>
    <row r="279" spans="2:2">
      <c r="B279" s="3" t="str">
        <f ca="1">IFERROR(__xludf.DUMMYFUNCTION("IF(ISBLANK(A279),"""",GOOGLETRANSLATE(A279,""en"",""fr""))"),"")</f>
        <v/>
      </c>
    </row>
    <row r="280" spans="2:2">
      <c r="B280" s="3" t="str">
        <f ca="1">IFERROR(__xludf.DUMMYFUNCTION("IF(ISBLANK(A280),"""",GOOGLETRANSLATE(A280,""en"",""fr""))"),"")</f>
        <v/>
      </c>
    </row>
    <row r="281" spans="2:2">
      <c r="B281" s="3" t="str">
        <f ca="1">IFERROR(__xludf.DUMMYFUNCTION("IF(ISBLANK(A281),"""",GOOGLETRANSLATE(A281,""en"",""fr""))"),"")</f>
        <v/>
      </c>
    </row>
    <row r="282" spans="2:2">
      <c r="B282" s="3" t="str">
        <f ca="1">IFERROR(__xludf.DUMMYFUNCTION("IF(ISBLANK(A282),"""",GOOGLETRANSLATE(A282,""en"",""fr""))"),"")</f>
        <v/>
      </c>
    </row>
    <row r="283" spans="2:2">
      <c r="B283" s="3" t="str">
        <f ca="1">IFERROR(__xludf.DUMMYFUNCTION("IF(ISBLANK(A283),"""",GOOGLETRANSLATE(A283,""en"",""fr""))"),"")</f>
        <v/>
      </c>
    </row>
    <row r="284" spans="2:2">
      <c r="B284" s="3" t="str">
        <f ca="1">IFERROR(__xludf.DUMMYFUNCTION("IF(ISBLANK(A284),"""",GOOGLETRANSLATE(A284,""en"",""fr""))"),"")</f>
        <v/>
      </c>
    </row>
    <row r="285" spans="2:2">
      <c r="B285" s="3" t="str">
        <f ca="1">IFERROR(__xludf.DUMMYFUNCTION("IF(ISBLANK(A285),"""",GOOGLETRANSLATE(A285,""en"",""fr""))"),"")</f>
        <v/>
      </c>
    </row>
    <row r="286" spans="2:2">
      <c r="B286" s="3" t="str">
        <f ca="1">IFERROR(__xludf.DUMMYFUNCTION("IF(ISBLANK(A286),"""",GOOGLETRANSLATE(A286,""en"",""fr""))"),"")</f>
        <v/>
      </c>
    </row>
    <row r="287" spans="2:2">
      <c r="B287" s="3" t="str">
        <f ca="1">IFERROR(__xludf.DUMMYFUNCTION("IF(ISBLANK(A287),"""",GOOGLETRANSLATE(A287,""en"",""fr""))"),"")</f>
        <v/>
      </c>
    </row>
    <row r="288" spans="2:2">
      <c r="B288" s="3" t="str">
        <f ca="1">IFERROR(__xludf.DUMMYFUNCTION("IF(ISBLANK(A288),"""",GOOGLETRANSLATE(A288,""en"",""fr""))"),"")</f>
        <v/>
      </c>
    </row>
    <row r="289" spans="2:2">
      <c r="B289" s="3" t="str">
        <f ca="1">IFERROR(__xludf.DUMMYFUNCTION("IF(ISBLANK(A289),"""",GOOGLETRANSLATE(A289,""en"",""fr""))"),"")</f>
        <v/>
      </c>
    </row>
    <row r="290" spans="2:2">
      <c r="B290" s="3" t="str">
        <f ca="1">IFERROR(__xludf.DUMMYFUNCTION("IF(ISBLANK(A290),"""",GOOGLETRANSLATE(A290,""en"",""fr""))"),"")</f>
        <v/>
      </c>
    </row>
    <row r="291" spans="2:2">
      <c r="B291" s="3" t="str">
        <f ca="1">IFERROR(__xludf.DUMMYFUNCTION("IF(ISBLANK(A291),"""",GOOGLETRANSLATE(A291,""en"",""fr""))"),"")</f>
        <v/>
      </c>
    </row>
    <row r="292" spans="2:2">
      <c r="B292" s="3" t="str">
        <f ca="1">IFERROR(__xludf.DUMMYFUNCTION("IF(ISBLANK(A292),"""",GOOGLETRANSLATE(A292,""en"",""fr""))"),"")</f>
        <v/>
      </c>
    </row>
    <row r="293" spans="2:2">
      <c r="B293" s="3" t="str">
        <f ca="1">IFERROR(__xludf.DUMMYFUNCTION("IF(ISBLANK(A293),"""",GOOGLETRANSLATE(A293,""en"",""fr""))"),"")</f>
        <v/>
      </c>
    </row>
    <row r="294" spans="2:2">
      <c r="B294" s="3" t="str">
        <f ca="1">IFERROR(__xludf.DUMMYFUNCTION("IF(ISBLANK(A294),"""",GOOGLETRANSLATE(A294,""en"",""fr""))"),"")</f>
        <v/>
      </c>
    </row>
    <row r="295" spans="2:2">
      <c r="B295" s="3" t="str">
        <f ca="1">IFERROR(__xludf.DUMMYFUNCTION("IF(ISBLANK(A295),"""",GOOGLETRANSLATE(A295,""en"",""fr""))"),"")</f>
        <v/>
      </c>
    </row>
    <row r="296" spans="2:2">
      <c r="B296" s="3" t="str">
        <f ca="1">IFERROR(__xludf.DUMMYFUNCTION("IF(ISBLANK(A296),"""",GOOGLETRANSLATE(A296,""en"",""fr""))"),"")</f>
        <v/>
      </c>
    </row>
    <row r="297" spans="2:2">
      <c r="B297" s="3" t="str">
        <f ca="1">IFERROR(__xludf.DUMMYFUNCTION("IF(ISBLANK(A297),"""",GOOGLETRANSLATE(A297,""en"",""fr""))"),"")</f>
        <v/>
      </c>
    </row>
    <row r="298" spans="2:2">
      <c r="B298" s="3" t="str">
        <f ca="1">IFERROR(__xludf.DUMMYFUNCTION("IF(ISBLANK(A298),"""",GOOGLETRANSLATE(A298,""en"",""fr""))"),"")</f>
        <v/>
      </c>
    </row>
    <row r="299" spans="2:2">
      <c r="B299" s="3" t="str">
        <f ca="1">IFERROR(__xludf.DUMMYFUNCTION("IF(ISBLANK(A299),"""",GOOGLETRANSLATE(A299,""en"",""fr""))"),"")</f>
        <v/>
      </c>
    </row>
    <row r="300" spans="2:2">
      <c r="B300" s="3" t="str">
        <f ca="1">IFERROR(__xludf.DUMMYFUNCTION("IF(ISBLANK(A300),"""",GOOGLETRANSLATE(A300,""en"",""fr""))"),"")</f>
        <v/>
      </c>
    </row>
    <row r="301" spans="2:2">
      <c r="B301" s="3" t="str">
        <f ca="1">IFERROR(__xludf.DUMMYFUNCTION("IF(ISBLANK(A301),"""",GOOGLETRANSLATE(A301,""en"",""fr""))"),"")</f>
        <v/>
      </c>
    </row>
    <row r="302" spans="2:2">
      <c r="B302" s="3" t="str">
        <f ca="1">IFERROR(__xludf.DUMMYFUNCTION("IF(ISBLANK(A302),"""",GOOGLETRANSLATE(A302,""en"",""fr""))"),"")</f>
        <v/>
      </c>
    </row>
    <row r="303" spans="2:2">
      <c r="B303" s="3" t="str">
        <f ca="1">IFERROR(__xludf.DUMMYFUNCTION("IF(ISBLANK(A303),"""",GOOGLETRANSLATE(A303,""en"",""fr""))"),"")</f>
        <v/>
      </c>
    </row>
    <row r="304" spans="2:2">
      <c r="B304" s="3" t="str">
        <f ca="1">IFERROR(__xludf.DUMMYFUNCTION("IF(ISBLANK(A304),"""",GOOGLETRANSLATE(A304,""en"",""fr""))"),"")</f>
        <v/>
      </c>
    </row>
    <row r="305" spans="2:2">
      <c r="B305" s="3" t="str">
        <f ca="1">IFERROR(__xludf.DUMMYFUNCTION("IF(ISBLANK(A305),"""",GOOGLETRANSLATE(A305,""en"",""fr""))"),"")</f>
        <v/>
      </c>
    </row>
    <row r="306" spans="2:2">
      <c r="B306" s="3" t="str">
        <f ca="1">IFERROR(__xludf.DUMMYFUNCTION("IF(ISBLANK(A306),"""",GOOGLETRANSLATE(A306,""en"",""fr""))"),"")</f>
        <v/>
      </c>
    </row>
    <row r="307" spans="2:2">
      <c r="B307" s="3" t="str">
        <f ca="1">IFERROR(__xludf.DUMMYFUNCTION("IF(ISBLANK(A307),"""",GOOGLETRANSLATE(A307,""en"",""fr""))"),"")</f>
        <v/>
      </c>
    </row>
    <row r="308" spans="2:2">
      <c r="B308" s="3" t="str">
        <f ca="1">IFERROR(__xludf.DUMMYFUNCTION("IF(ISBLANK(A308),"""",GOOGLETRANSLATE(A308,""en"",""fr""))"),"")</f>
        <v/>
      </c>
    </row>
    <row r="309" spans="2:2">
      <c r="B309" s="3" t="str">
        <f ca="1">IFERROR(__xludf.DUMMYFUNCTION("IF(ISBLANK(A309),"""",GOOGLETRANSLATE(A309,""en"",""fr""))"),"")</f>
        <v/>
      </c>
    </row>
    <row r="310" spans="2:2">
      <c r="B310" s="3" t="str">
        <f ca="1">IFERROR(__xludf.DUMMYFUNCTION("IF(ISBLANK(A310),"""",GOOGLETRANSLATE(A310,""en"",""fr""))"),"")</f>
        <v/>
      </c>
    </row>
    <row r="311" spans="2:2">
      <c r="B311" s="3" t="str">
        <f ca="1">IFERROR(__xludf.DUMMYFUNCTION("IF(ISBLANK(A311),"""",GOOGLETRANSLATE(A311,""en"",""fr""))"),"")</f>
        <v/>
      </c>
    </row>
    <row r="312" spans="2:2">
      <c r="B312" s="3" t="str">
        <f ca="1">IFERROR(__xludf.DUMMYFUNCTION("IF(ISBLANK(A312),"""",GOOGLETRANSLATE(A312,""en"",""fr""))"),"")</f>
        <v/>
      </c>
    </row>
    <row r="313" spans="2:2">
      <c r="B313" s="3" t="str">
        <f ca="1">IFERROR(__xludf.DUMMYFUNCTION("IF(ISBLANK(A313),"""",GOOGLETRANSLATE(A313,""en"",""fr""))"),"")</f>
        <v/>
      </c>
    </row>
    <row r="314" spans="2:2">
      <c r="B314" s="3" t="str">
        <f ca="1">IFERROR(__xludf.DUMMYFUNCTION("IF(ISBLANK(A314),"""",GOOGLETRANSLATE(A314,""en"",""fr""))"),"")</f>
        <v/>
      </c>
    </row>
    <row r="315" spans="2:2">
      <c r="B315" s="3" t="str">
        <f ca="1">IFERROR(__xludf.DUMMYFUNCTION("IF(ISBLANK(A315),"""",GOOGLETRANSLATE(A315,""en"",""fr""))"),"")</f>
        <v/>
      </c>
    </row>
    <row r="316" spans="2:2">
      <c r="B316" s="3" t="str">
        <f ca="1">IFERROR(__xludf.DUMMYFUNCTION("IF(ISBLANK(A316),"""",GOOGLETRANSLATE(A316,""en"",""fr""))"),"")</f>
        <v/>
      </c>
    </row>
    <row r="317" spans="2:2">
      <c r="B317" s="3" t="str">
        <f ca="1">IFERROR(__xludf.DUMMYFUNCTION("IF(ISBLANK(A317),"""",GOOGLETRANSLATE(A317,""en"",""fr""))"),"")</f>
        <v/>
      </c>
    </row>
    <row r="318" spans="2:2">
      <c r="B318" s="3" t="str">
        <f ca="1">IFERROR(__xludf.DUMMYFUNCTION("IF(ISBLANK(A318),"""",GOOGLETRANSLATE(A318,""en"",""fr""))"),"")</f>
        <v/>
      </c>
    </row>
    <row r="319" spans="2:2">
      <c r="B319" s="3" t="str">
        <f ca="1">IFERROR(__xludf.DUMMYFUNCTION("IF(ISBLANK(A319),"""",GOOGLETRANSLATE(A319,""en"",""fr""))"),"")</f>
        <v/>
      </c>
    </row>
    <row r="320" spans="2:2">
      <c r="B320" s="3" t="str">
        <f ca="1">IFERROR(__xludf.DUMMYFUNCTION("IF(ISBLANK(A320),"""",GOOGLETRANSLATE(A320,""en"",""fr""))"),"")</f>
        <v/>
      </c>
    </row>
    <row r="321" spans="2:2">
      <c r="B321" s="3" t="str">
        <f ca="1">IFERROR(__xludf.DUMMYFUNCTION("IF(ISBLANK(A321),"""",GOOGLETRANSLATE(A321,""en"",""fr""))"),"")</f>
        <v/>
      </c>
    </row>
    <row r="322" spans="2:2">
      <c r="B322" s="3" t="str">
        <f ca="1">IFERROR(__xludf.DUMMYFUNCTION("IF(ISBLANK(A322),"""",GOOGLETRANSLATE(A322,""en"",""fr""))"),"")</f>
        <v/>
      </c>
    </row>
    <row r="323" spans="2:2">
      <c r="B323" s="3" t="str">
        <f ca="1">IFERROR(__xludf.DUMMYFUNCTION("IF(ISBLANK(A323),"""",GOOGLETRANSLATE(A323,""en"",""fr""))"),"")</f>
        <v/>
      </c>
    </row>
    <row r="324" spans="2:2">
      <c r="B324" s="3" t="str">
        <f ca="1">IFERROR(__xludf.DUMMYFUNCTION("IF(ISBLANK(A324),"""",GOOGLETRANSLATE(A324,""en"",""fr""))"),"")</f>
        <v/>
      </c>
    </row>
    <row r="325" spans="2:2">
      <c r="B325" s="3" t="str">
        <f ca="1">IFERROR(__xludf.DUMMYFUNCTION("IF(ISBLANK(A325),"""",GOOGLETRANSLATE(A325,""en"",""fr""))"),"")</f>
        <v/>
      </c>
    </row>
    <row r="326" spans="2:2">
      <c r="B326" s="3" t="str">
        <f ca="1">IFERROR(__xludf.DUMMYFUNCTION("IF(ISBLANK(A326),"""",GOOGLETRANSLATE(A326,""en"",""fr""))"),"")</f>
        <v/>
      </c>
    </row>
    <row r="327" spans="2:2">
      <c r="B327" s="3" t="str">
        <f ca="1">IFERROR(__xludf.DUMMYFUNCTION("IF(ISBLANK(A327),"""",GOOGLETRANSLATE(A327,""en"",""fr""))"),"")</f>
        <v/>
      </c>
    </row>
    <row r="328" spans="2:2">
      <c r="B328" s="3" t="str">
        <f ca="1">IFERROR(__xludf.DUMMYFUNCTION("IF(ISBLANK(A328),"""",GOOGLETRANSLATE(A328,""en"",""fr""))"),"")</f>
        <v/>
      </c>
    </row>
    <row r="329" spans="2:2">
      <c r="B329" s="3" t="str">
        <f ca="1">IFERROR(__xludf.DUMMYFUNCTION("IF(ISBLANK(A329),"""",GOOGLETRANSLATE(A329,""en"",""fr""))"),"")</f>
        <v/>
      </c>
    </row>
    <row r="330" spans="2:2">
      <c r="B330" s="3" t="str">
        <f ca="1">IFERROR(__xludf.DUMMYFUNCTION("IF(ISBLANK(A330),"""",GOOGLETRANSLATE(A330,""en"",""fr""))"),"")</f>
        <v/>
      </c>
    </row>
    <row r="331" spans="2:2">
      <c r="B331" s="3" t="str">
        <f ca="1">IFERROR(__xludf.DUMMYFUNCTION("IF(ISBLANK(A331),"""",GOOGLETRANSLATE(A331,""en"",""fr""))"),"")</f>
        <v/>
      </c>
    </row>
    <row r="332" spans="2:2">
      <c r="B332" s="3" t="str">
        <f ca="1">IFERROR(__xludf.DUMMYFUNCTION("IF(ISBLANK(A332),"""",GOOGLETRANSLATE(A332,""en"",""fr""))"),"")</f>
        <v/>
      </c>
    </row>
    <row r="333" spans="2:2">
      <c r="B333" s="3" t="str">
        <f ca="1">IFERROR(__xludf.DUMMYFUNCTION("IF(ISBLANK(A333),"""",GOOGLETRANSLATE(A333,""en"",""fr""))"),"")</f>
        <v/>
      </c>
    </row>
    <row r="334" spans="2:2">
      <c r="B334" s="3" t="str">
        <f ca="1">IFERROR(__xludf.DUMMYFUNCTION("IF(ISBLANK(A334),"""",GOOGLETRANSLATE(A334,""en"",""fr""))"),"")</f>
        <v/>
      </c>
    </row>
    <row r="335" spans="2:2">
      <c r="B335" s="3" t="str">
        <f ca="1">IFERROR(__xludf.DUMMYFUNCTION("IF(ISBLANK(A335),"""",GOOGLETRANSLATE(A335,""en"",""fr""))"),"")</f>
        <v/>
      </c>
    </row>
    <row r="336" spans="2:2">
      <c r="B336" s="3" t="str">
        <f ca="1">IFERROR(__xludf.DUMMYFUNCTION("IF(ISBLANK(A336),"""",GOOGLETRANSLATE(A336,""en"",""fr""))"),"")</f>
        <v/>
      </c>
    </row>
    <row r="337" spans="2:2">
      <c r="B337" s="3" t="str">
        <f ca="1">IFERROR(__xludf.DUMMYFUNCTION("IF(ISBLANK(A337),"""",GOOGLETRANSLATE(A337,""en"",""fr""))"),"")</f>
        <v/>
      </c>
    </row>
    <row r="338" spans="2:2">
      <c r="B338" s="3" t="str">
        <f ca="1">IFERROR(__xludf.DUMMYFUNCTION("IF(ISBLANK(A338),"""",GOOGLETRANSLATE(A338,""en"",""fr""))"),"")</f>
        <v/>
      </c>
    </row>
    <row r="339" spans="2:2">
      <c r="B339" s="3" t="str">
        <f ca="1">IFERROR(__xludf.DUMMYFUNCTION("IF(ISBLANK(A339),"""",GOOGLETRANSLATE(A339,""en"",""fr""))"),"")</f>
        <v/>
      </c>
    </row>
    <row r="340" spans="2:2">
      <c r="B340" s="3" t="str">
        <f ca="1">IFERROR(__xludf.DUMMYFUNCTION("IF(ISBLANK(A340),"""",GOOGLETRANSLATE(A340,""en"",""fr""))"),"")</f>
        <v/>
      </c>
    </row>
    <row r="341" spans="2:2">
      <c r="B341" s="3" t="str">
        <f ca="1">IFERROR(__xludf.DUMMYFUNCTION("IF(ISBLANK(A341),"""",GOOGLETRANSLATE(A341,""en"",""fr""))"),"")</f>
        <v/>
      </c>
    </row>
    <row r="342" spans="2:2">
      <c r="B342" s="3" t="str">
        <f ca="1">IFERROR(__xludf.DUMMYFUNCTION("IF(ISBLANK(A342),"""",GOOGLETRANSLATE(A342,""en"",""fr""))"),"")</f>
        <v/>
      </c>
    </row>
    <row r="343" spans="2:2">
      <c r="B343" s="3" t="str">
        <f ca="1">IFERROR(__xludf.DUMMYFUNCTION("IF(ISBLANK(A343),"""",GOOGLETRANSLATE(A343,""en"",""fr""))"),"")</f>
        <v/>
      </c>
    </row>
    <row r="344" spans="2:2">
      <c r="B344" s="3" t="str">
        <f ca="1">IFERROR(__xludf.DUMMYFUNCTION("IF(ISBLANK(A344),"""",GOOGLETRANSLATE(A344,""en"",""fr""))"),"")</f>
        <v/>
      </c>
    </row>
    <row r="345" spans="2:2">
      <c r="B345" s="3" t="str">
        <f ca="1">IFERROR(__xludf.DUMMYFUNCTION("IF(ISBLANK(A345),"""",GOOGLETRANSLATE(A345,""en"",""fr""))"),"")</f>
        <v/>
      </c>
    </row>
    <row r="346" spans="2:2">
      <c r="B346" s="3" t="str">
        <f ca="1">IFERROR(__xludf.DUMMYFUNCTION("IF(ISBLANK(A346),"""",GOOGLETRANSLATE(A346,""en"",""fr""))"),"")</f>
        <v/>
      </c>
    </row>
    <row r="347" spans="2:2">
      <c r="B347" s="3" t="str">
        <f ca="1">IFERROR(__xludf.DUMMYFUNCTION("IF(ISBLANK(A347),"""",GOOGLETRANSLATE(A347,""en"",""fr""))"),"")</f>
        <v/>
      </c>
    </row>
    <row r="348" spans="2:2">
      <c r="B348" s="3" t="str">
        <f ca="1">IFERROR(__xludf.DUMMYFUNCTION("IF(ISBLANK(A348),"""",GOOGLETRANSLATE(A348,""en"",""fr""))"),"")</f>
        <v/>
      </c>
    </row>
    <row r="349" spans="2:2">
      <c r="B349" s="3" t="str">
        <f ca="1">IFERROR(__xludf.DUMMYFUNCTION("IF(ISBLANK(A349),"""",GOOGLETRANSLATE(A349,""en"",""fr""))"),"")</f>
        <v/>
      </c>
    </row>
    <row r="350" spans="2:2">
      <c r="B350" s="3" t="str">
        <f ca="1">IFERROR(__xludf.DUMMYFUNCTION("IF(ISBLANK(A350),"""",GOOGLETRANSLATE(A350,""en"",""fr""))"),"")</f>
        <v/>
      </c>
    </row>
    <row r="351" spans="2:2">
      <c r="B351" s="3" t="str">
        <f ca="1">IFERROR(__xludf.DUMMYFUNCTION("IF(ISBLANK(A351),"""",GOOGLETRANSLATE(A351,""en"",""fr""))"),"")</f>
        <v/>
      </c>
    </row>
    <row r="352" spans="2:2">
      <c r="B352" s="3" t="str">
        <f ca="1">IFERROR(__xludf.DUMMYFUNCTION("IF(ISBLANK(A352),"""",GOOGLETRANSLATE(A352,""en"",""fr""))"),"")</f>
        <v/>
      </c>
    </row>
    <row r="353" spans="2:2">
      <c r="B353" s="3" t="str">
        <f ca="1">IFERROR(__xludf.DUMMYFUNCTION("IF(ISBLANK(A353),"""",GOOGLETRANSLATE(A353,""en"",""fr""))"),"")</f>
        <v/>
      </c>
    </row>
    <row r="354" spans="2:2">
      <c r="B354" s="3" t="str">
        <f ca="1">IFERROR(__xludf.DUMMYFUNCTION("IF(ISBLANK(A354),"""",GOOGLETRANSLATE(A354,""en"",""fr""))"),"")</f>
        <v/>
      </c>
    </row>
    <row r="355" spans="2:2">
      <c r="B355" s="3" t="str">
        <f ca="1">IFERROR(__xludf.DUMMYFUNCTION("IF(ISBLANK(A355),"""",GOOGLETRANSLATE(A355,""en"",""fr""))"),"")</f>
        <v/>
      </c>
    </row>
    <row r="356" spans="2:2">
      <c r="B356" s="3" t="str">
        <f ca="1">IFERROR(__xludf.DUMMYFUNCTION("IF(ISBLANK(A356),"""",GOOGLETRANSLATE(A356,""en"",""fr""))"),"")</f>
        <v/>
      </c>
    </row>
    <row r="357" spans="2:2">
      <c r="B357" s="3" t="str">
        <f ca="1">IFERROR(__xludf.DUMMYFUNCTION("IF(ISBLANK(A357),"""",GOOGLETRANSLATE(A357,""en"",""fr""))"),"")</f>
        <v/>
      </c>
    </row>
    <row r="358" spans="2:2">
      <c r="B358" s="3" t="str">
        <f ca="1">IFERROR(__xludf.DUMMYFUNCTION("IF(ISBLANK(A358),"""",GOOGLETRANSLATE(A358,""en"",""fr""))"),"")</f>
        <v/>
      </c>
    </row>
    <row r="359" spans="2:2">
      <c r="B359" s="3" t="str">
        <f ca="1">IFERROR(__xludf.DUMMYFUNCTION("IF(ISBLANK(A359),"""",GOOGLETRANSLATE(A359,""en"",""fr""))"),"")</f>
        <v/>
      </c>
    </row>
    <row r="360" spans="2:2">
      <c r="B360" s="3" t="str">
        <f ca="1">IFERROR(__xludf.DUMMYFUNCTION("IF(ISBLANK(A360),"""",GOOGLETRANSLATE(A360,""en"",""fr""))"),"")</f>
        <v/>
      </c>
    </row>
    <row r="361" spans="2:2">
      <c r="B361" s="3" t="str">
        <f ca="1">IFERROR(__xludf.DUMMYFUNCTION("IF(ISBLANK(A361),"""",GOOGLETRANSLATE(A361,""en"",""fr""))"),"")</f>
        <v/>
      </c>
    </row>
    <row r="362" spans="2:2">
      <c r="B362" s="3" t="str">
        <f ca="1">IFERROR(__xludf.DUMMYFUNCTION("IF(ISBLANK(A362),"""",GOOGLETRANSLATE(A362,""en"",""fr""))"),"")</f>
        <v/>
      </c>
    </row>
    <row r="363" spans="2:2">
      <c r="B363" s="3" t="str">
        <f ca="1">IFERROR(__xludf.DUMMYFUNCTION("IF(ISBLANK(A363),"""",GOOGLETRANSLATE(A363,""en"",""fr""))"),"")</f>
        <v/>
      </c>
    </row>
    <row r="364" spans="2:2">
      <c r="B364" s="3" t="str">
        <f ca="1">IFERROR(__xludf.DUMMYFUNCTION("IF(ISBLANK(A364),"""",GOOGLETRANSLATE(A364,""en"",""fr""))"),"")</f>
        <v/>
      </c>
    </row>
    <row r="365" spans="2:2">
      <c r="B365" s="3" t="str">
        <f ca="1">IFERROR(__xludf.DUMMYFUNCTION("IF(ISBLANK(A365),"""",GOOGLETRANSLATE(A365,""en"",""fr""))"),"")</f>
        <v/>
      </c>
    </row>
    <row r="366" spans="2:2">
      <c r="B366" s="3" t="str">
        <f ca="1">IFERROR(__xludf.DUMMYFUNCTION("IF(ISBLANK(A366),"""",GOOGLETRANSLATE(A366,""en"",""fr""))"),"")</f>
        <v/>
      </c>
    </row>
    <row r="367" spans="2:2">
      <c r="B367" s="3" t="str">
        <f ca="1">IFERROR(__xludf.DUMMYFUNCTION("IF(ISBLANK(A367),"""",GOOGLETRANSLATE(A367,""en"",""fr""))"),"")</f>
        <v/>
      </c>
    </row>
    <row r="368" spans="2:2">
      <c r="B368" s="3" t="str">
        <f ca="1">IFERROR(__xludf.DUMMYFUNCTION("IF(ISBLANK(A368),"""",GOOGLETRANSLATE(A368,""en"",""fr""))"),"")</f>
        <v/>
      </c>
    </row>
    <row r="369" spans="2:2">
      <c r="B369" s="3" t="str">
        <f ca="1">IFERROR(__xludf.DUMMYFUNCTION("IF(ISBLANK(A369),"""",GOOGLETRANSLATE(A369,""en"",""fr""))"),"")</f>
        <v/>
      </c>
    </row>
    <row r="370" spans="2:2">
      <c r="B370" s="3" t="str">
        <f ca="1">IFERROR(__xludf.DUMMYFUNCTION("IF(ISBLANK(A370),"""",GOOGLETRANSLATE(A370,""en"",""fr""))"),"")</f>
        <v/>
      </c>
    </row>
    <row r="371" spans="2:2">
      <c r="B371" s="3" t="str">
        <f ca="1">IFERROR(__xludf.DUMMYFUNCTION("IF(ISBLANK(A371),"""",GOOGLETRANSLATE(A371,""en"",""fr""))"),"")</f>
        <v/>
      </c>
    </row>
    <row r="372" spans="2:2">
      <c r="B372" s="3" t="str">
        <f ca="1">IFERROR(__xludf.DUMMYFUNCTION("IF(ISBLANK(A372),"""",GOOGLETRANSLATE(A372,""en"",""fr""))"),"")</f>
        <v/>
      </c>
    </row>
    <row r="373" spans="2:2">
      <c r="B373" s="3" t="str">
        <f ca="1">IFERROR(__xludf.DUMMYFUNCTION("IF(ISBLANK(A373),"""",GOOGLETRANSLATE(A373,""en"",""fr""))"),"")</f>
        <v/>
      </c>
    </row>
    <row r="374" spans="2:2">
      <c r="B374" s="3" t="str">
        <f ca="1">IFERROR(__xludf.DUMMYFUNCTION("IF(ISBLANK(A374),"""",GOOGLETRANSLATE(A374,""en"",""fr""))"),"")</f>
        <v/>
      </c>
    </row>
    <row r="375" spans="2:2">
      <c r="B375" s="3" t="str">
        <f ca="1">IFERROR(__xludf.DUMMYFUNCTION("IF(ISBLANK(A375),"""",GOOGLETRANSLATE(A375,""en"",""fr""))"),"")</f>
        <v/>
      </c>
    </row>
    <row r="376" spans="2:2">
      <c r="B376" s="3" t="str">
        <f ca="1">IFERROR(__xludf.DUMMYFUNCTION("IF(ISBLANK(A376),"""",GOOGLETRANSLATE(A376,""en"",""fr""))"),"")</f>
        <v/>
      </c>
    </row>
    <row r="377" spans="2:2">
      <c r="B377" s="3" t="str">
        <f ca="1">IFERROR(__xludf.DUMMYFUNCTION("IF(ISBLANK(A377),"""",GOOGLETRANSLATE(A377,""en"",""fr""))"),"")</f>
        <v/>
      </c>
    </row>
    <row r="378" spans="2:2">
      <c r="B378" s="3" t="str">
        <f ca="1">IFERROR(__xludf.DUMMYFUNCTION("IF(ISBLANK(A378),"""",GOOGLETRANSLATE(A378,""en"",""fr""))"),"")</f>
        <v/>
      </c>
    </row>
    <row r="379" spans="2:2">
      <c r="B379" s="3" t="str">
        <f ca="1">IFERROR(__xludf.DUMMYFUNCTION("IF(ISBLANK(A379),"""",GOOGLETRANSLATE(A379,""en"",""fr""))"),"")</f>
        <v/>
      </c>
    </row>
    <row r="380" spans="2:2">
      <c r="B380" s="3" t="str">
        <f ca="1">IFERROR(__xludf.DUMMYFUNCTION("IF(ISBLANK(A380),"""",GOOGLETRANSLATE(A380,""en"",""fr""))"),"")</f>
        <v/>
      </c>
    </row>
    <row r="381" spans="2:2">
      <c r="B381" s="3" t="str">
        <f ca="1">IFERROR(__xludf.DUMMYFUNCTION("IF(ISBLANK(A381),"""",GOOGLETRANSLATE(A381,""en"",""fr""))"),"")</f>
        <v/>
      </c>
    </row>
    <row r="382" spans="2:2">
      <c r="B382" s="3" t="str">
        <f ca="1">IFERROR(__xludf.DUMMYFUNCTION("IF(ISBLANK(A382),"""",GOOGLETRANSLATE(A382,""en"",""fr""))"),"")</f>
        <v/>
      </c>
    </row>
    <row r="383" spans="2:2">
      <c r="B383" s="3" t="str">
        <f ca="1">IFERROR(__xludf.DUMMYFUNCTION("IF(ISBLANK(A383),"""",GOOGLETRANSLATE(A383,""en"",""fr""))"),"")</f>
        <v/>
      </c>
    </row>
    <row r="384" spans="2:2">
      <c r="B384" s="3" t="str">
        <f ca="1">IFERROR(__xludf.DUMMYFUNCTION("IF(ISBLANK(A384),"""",GOOGLETRANSLATE(A384,""en"",""fr""))"),"")</f>
        <v/>
      </c>
    </row>
    <row r="385" spans="2:2">
      <c r="B385" s="3" t="str">
        <f ca="1">IFERROR(__xludf.DUMMYFUNCTION("IF(ISBLANK(A385),"""",GOOGLETRANSLATE(A385,""en"",""fr""))"),"")</f>
        <v/>
      </c>
    </row>
    <row r="386" spans="2:2">
      <c r="B386" s="3" t="str">
        <f ca="1">IFERROR(__xludf.DUMMYFUNCTION("IF(ISBLANK(A386),"""",GOOGLETRANSLATE(A386,""en"",""fr""))"),"")</f>
        <v/>
      </c>
    </row>
    <row r="387" spans="2:2">
      <c r="B387" s="3" t="str">
        <f ca="1">IFERROR(__xludf.DUMMYFUNCTION("IF(ISBLANK(A387),"""",GOOGLETRANSLATE(A387,""en"",""fr""))"),"")</f>
        <v/>
      </c>
    </row>
    <row r="388" spans="2:2">
      <c r="B388" s="3" t="str">
        <f ca="1">IFERROR(__xludf.DUMMYFUNCTION("IF(ISBLANK(A388),"""",GOOGLETRANSLATE(A388,""en"",""fr""))"),"")</f>
        <v/>
      </c>
    </row>
    <row r="389" spans="2:2">
      <c r="B389" s="3" t="str">
        <f ca="1">IFERROR(__xludf.DUMMYFUNCTION("IF(ISBLANK(A389),"""",GOOGLETRANSLATE(A389,""en"",""fr""))"),"")</f>
        <v/>
      </c>
    </row>
    <row r="390" spans="2:2">
      <c r="B390" s="3" t="str">
        <f ca="1">IFERROR(__xludf.DUMMYFUNCTION("IF(ISBLANK(A390),"""",GOOGLETRANSLATE(A390,""en"",""fr""))"),"")</f>
        <v/>
      </c>
    </row>
    <row r="391" spans="2:2">
      <c r="B391" s="3" t="str">
        <f ca="1">IFERROR(__xludf.DUMMYFUNCTION("IF(ISBLANK(A391),"""",GOOGLETRANSLATE(A391,""en"",""fr""))"),"")</f>
        <v/>
      </c>
    </row>
    <row r="392" spans="2:2">
      <c r="B392" s="3" t="str">
        <f ca="1">IFERROR(__xludf.DUMMYFUNCTION("IF(ISBLANK(A392),"""",GOOGLETRANSLATE(A392,""en"",""fr""))"),"")</f>
        <v/>
      </c>
    </row>
    <row r="393" spans="2:2">
      <c r="B393" s="3" t="str">
        <f ca="1">IFERROR(__xludf.DUMMYFUNCTION("IF(ISBLANK(A393),"""",GOOGLETRANSLATE(A393,""en"",""fr""))"),"")</f>
        <v/>
      </c>
    </row>
    <row r="394" spans="2:2">
      <c r="B394" s="3" t="str">
        <f ca="1">IFERROR(__xludf.DUMMYFUNCTION("IF(ISBLANK(A394),"""",GOOGLETRANSLATE(A394,""en"",""fr""))"),"")</f>
        <v/>
      </c>
    </row>
    <row r="395" spans="2:2">
      <c r="B395" s="3" t="str">
        <f ca="1">IFERROR(__xludf.DUMMYFUNCTION("IF(ISBLANK(A395),"""",GOOGLETRANSLATE(A395,""en"",""fr""))"),"")</f>
        <v/>
      </c>
    </row>
    <row r="396" spans="2:2">
      <c r="B396" s="3" t="str">
        <f ca="1">IFERROR(__xludf.DUMMYFUNCTION("IF(ISBLANK(A396),"""",GOOGLETRANSLATE(A396,""en"",""fr""))"),"")</f>
        <v/>
      </c>
    </row>
    <row r="397" spans="2:2">
      <c r="B397" s="3" t="str">
        <f ca="1">IFERROR(__xludf.DUMMYFUNCTION("IF(ISBLANK(A397),"""",GOOGLETRANSLATE(A397,""en"",""fr""))"),"")</f>
        <v/>
      </c>
    </row>
    <row r="398" spans="2:2">
      <c r="B398" s="3" t="str">
        <f ca="1">IFERROR(__xludf.DUMMYFUNCTION("IF(ISBLANK(A398),"""",GOOGLETRANSLATE(A398,""en"",""fr""))"),"")</f>
        <v/>
      </c>
    </row>
    <row r="399" spans="2:2">
      <c r="B399" s="3" t="str">
        <f ca="1">IFERROR(__xludf.DUMMYFUNCTION("IF(ISBLANK(A399),"""",GOOGLETRANSLATE(A399,""en"",""fr""))"),"")</f>
        <v/>
      </c>
    </row>
    <row r="400" spans="2:2">
      <c r="B400" s="3" t="str">
        <f ca="1">IFERROR(__xludf.DUMMYFUNCTION("IF(ISBLANK(A400),"""",GOOGLETRANSLATE(A400,""en"",""fr""))"),"")</f>
        <v/>
      </c>
    </row>
    <row r="401" spans="2:2">
      <c r="B401" s="3" t="str">
        <f ca="1">IFERROR(__xludf.DUMMYFUNCTION("IF(ISBLANK(A401),"""",GOOGLETRANSLATE(A401,""en"",""fr""))"),"")</f>
        <v/>
      </c>
    </row>
    <row r="402" spans="2:2">
      <c r="B402" s="3" t="str">
        <f ca="1">IFERROR(__xludf.DUMMYFUNCTION("IF(ISBLANK(A402),"""",GOOGLETRANSLATE(A402,""en"",""fr""))"),"")</f>
        <v/>
      </c>
    </row>
    <row r="403" spans="2:2">
      <c r="B403" s="3" t="str">
        <f ca="1">IFERROR(__xludf.DUMMYFUNCTION("IF(ISBLANK(A403),"""",GOOGLETRANSLATE(A403,""en"",""fr""))"),"")</f>
        <v/>
      </c>
    </row>
    <row r="404" spans="2:2">
      <c r="B404" s="3" t="str">
        <f ca="1">IFERROR(__xludf.DUMMYFUNCTION("IF(ISBLANK(A404),"""",GOOGLETRANSLATE(A404,""en"",""fr""))"),"")</f>
        <v/>
      </c>
    </row>
    <row r="405" spans="2:2">
      <c r="B405" s="3" t="str">
        <f ca="1">IFERROR(__xludf.DUMMYFUNCTION("IF(ISBLANK(A405),"""",GOOGLETRANSLATE(A405,""en"",""fr""))"),"")</f>
        <v/>
      </c>
    </row>
    <row r="406" spans="2:2">
      <c r="B406" s="3" t="str">
        <f ca="1">IFERROR(__xludf.DUMMYFUNCTION("IF(ISBLANK(A406),"""",GOOGLETRANSLATE(A406,""en"",""fr""))"),"")</f>
        <v/>
      </c>
    </row>
    <row r="407" spans="2:2">
      <c r="B407" s="3" t="str">
        <f ca="1">IFERROR(__xludf.DUMMYFUNCTION("IF(ISBLANK(A407),"""",GOOGLETRANSLATE(A407,""en"",""fr""))"),"")</f>
        <v/>
      </c>
    </row>
    <row r="408" spans="2:2">
      <c r="B408" s="3" t="str">
        <f ca="1">IFERROR(__xludf.DUMMYFUNCTION("IF(ISBLANK(A408),"""",GOOGLETRANSLATE(A408,""en"",""fr""))"),"")</f>
        <v/>
      </c>
    </row>
    <row r="409" spans="2:2">
      <c r="B409" s="3" t="str">
        <f ca="1">IFERROR(__xludf.DUMMYFUNCTION("IF(ISBLANK(A409),"""",GOOGLETRANSLATE(A409,""en"",""fr""))"),"")</f>
        <v/>
      </c>
    </row>
    <row r="410" spans="2:2">
      <c r="B410" s="3" t="str">
        <f ca="1">IFERROR(__xludf.DUMMYFUNCTION("IF(ISBLANK(A410),"""",GOOGLETRANSLATE(A410,""en"",""fr""))"),"")</f>
        <v/>
      </c>
    </row>
    <row r="411" spans="2:2">
      <c r="B411" s="3" t="str">
        <f ca="1">IFERROR(__xludf.DUMMYFUNCTION("IF(ISBLANK(A411),"""",GOOGLETRANSLATE(A411,""en"",""fr""))"),"")</f>
        <v/>
      </c>
    </row>
    <row r="412" spans="2:2">
      <c r="B412" s="3" t="str">
        <f ca="1">IFERROR(__xludf.DUMMYFUNCTION("IF(ISBLANK(A412),"""",GOOGLETRANSLATE(A412,""en"",""fr""))"),"")</f>
        <v/>
      </c>
    </row>
    <row r="413" spans="2:2">
      <c r="B413" s="3" t="str">
        <f ca="1">IFERROR(__xludf.DUMMYFUNCTION("IF(ISBLANK(A413),"""",GOOGLETRANSLATE(A413,""en"",""fr""))"),"")</f>
        <v/>
      </c>
    </row>
    <row r="414" spans="2:2">
      <c r="B414" s="3" t="str">
        <f ca="1">IFERROR(__xludf.DUMMYFUNCTION("IF(ISBLANK(A414),"""",GOOGLETRANSLATE(A414,""en"",""fr""))"),"")</f>
        <v/>
      </c>
    </row>
    <row r="415" spans="2:2">
      <c r="B415" s="3" t="str">
        <f ca="1">IFERROR(__xludf.DUMMYFUNCTION("IF(ISBLANK(A415),"""",GOOGLETRANSLATE(A415,""en"",""fr""))"),"")</f>
        <v/>
      </c>
    </row>
    <row r="416" spans="2:2">
      <c r="B416" s="3" t="str">
        <f ca="1">IFERROR(__xludf.DUMMYFUNCTION("IF(ISBLANK(A416),"""",GOOGLETRANSLATE(A416,""en"",""fr""))"),"")</f>
        <v/>
      </c>
    </row>
    <row r="417" spans="2:2">
      <c r="B417" s="3" t="str">
        <f ca="1">IFERROR(__xludf.DUMMYFUNCTION("IF(ISBLANK(A417),"""",GOOGLETRANSLATE(A417,""en"",""fr""))"),"")</f>
        <v/>
      </c>
    </row>
    <row r="418" spans="2:2">
      <c r="B418" s="3" t="str">
        <f ca="1">IFERROR(__xludf.DUMMYFUNCTION("IF(ISBLANK(A418),"""",GOOGLETRANSLATE(A418,""en"",""fr""))"),"")</f>
        <v/>
      </c>
    </row>
    <row r="419" spans="2:2">
      <c r="B419" s="3" t="str">
        <f ca="1">IFERROR(__xludf.DUMMYFUNCTION("IF(ISBLANK(A419),"""",GOOGLETRANSLATE(A419,""en"",""fr""))"),"")</f>
        <v/>
      </c>
    </row>
    <row r="420" spans="2:2">
      <c r="B420" s="3" t="str">
        <f ca="1">IFERROR(__xludf.DUMMYFUNCTION("IF(ISBLANK(A420),"""",GOOGLETRANSLATE(A420,""en"",""fr""))"),"")</f>
        <v/>
      </c>
    </row>
    <row r="421" spans="2:2">
      <c r="B421" s="3" t="str">
        <f ca="1">IFERROR(__xludf.DUMMYFUNCTION("IF(ISBLANK(A421),"""",GOOGLETRANSLATE(A421,""en"",""fr""))"),"")</f>
        <v/>
      </c>
    </row>
    <row r="422" spans="2:2">
      <c r="B422" s="3" t="str">
        <f ca="1">IFERROR(__xludf.DUMMYFUNCTION("IF(ISBLANK(A422),"""",GOOGLETRANSLATE(A422,""en"",""fr""))"),"")</f>
        <v/>
      </c>
    </row>
    <row r="423" spans="2:2">
      <c r="B423" s="3" t="str">
        <f ca="1">IFERROR(__xludf.DUMMYFUNCTION("IF(ISBLANK(A423),"""",GOOGLETRANSLATE(A423,""en"",""fr""))"),"")</f>
        <v/>
      </c>
    </row>
    <row r="424" spans="2:2">
      <c r="B424" s="3" t="str">
        <f ca="1">IFERROR(__xludf.DUMMYFUNCTION("IF(ISBLANK(A424),"""",GOOGLETRANSLATE(A424,""en"",""fr""))"),"")</f>
        <v/>
      </c>
    </row>
    <row r="425" spans="2:2">
      <c r="B425" s="3" t="str">
        <f ca="1">IFERROR(__xludf.DUMMYFUNCTION("IF(ISBLANK(A425),"""",GOOGLETRANSLATE(A425,""en"",""fr""))"),"")</f>
        <v/>
      </c>
    </row>
    <row r="426" spans="2:2">
      <c r="B426" s="3" t="str">
        <f ca="1">IFERROR(__xludf.DUMMYFUNCTION("IF(ISBLANK(A426),"""",GOOGLETRANSLATE(A426,""en"",""fr""))"),"")</f>
        <v/>
      </c>
    </row>
    <row r="427" spans="2:2">
      <c r="B427" s="3" t="str">
        <f ca="1">IFERROR(__xludf.DUMMYFUNCTION("IF(ISBLANK(A427),"""",GOOGLETRANSLATE(A427,""en"",""fr""))"),"")</f>
        <v/>
      </c>
    </row>
    <row r="428" spans="2:2">
      <c r="B428" s="3" t="str">
        <f ca="1">IFERROR(__xludf.DUMMYFUNCTION("IF(ISBLANK(A428),"""",GOOGLETRANSLATE(A428,""en"",""fr""))"),"")</f>
        <v/>
      </c>
    </row>
    <row r="429" spans="2:2">
      <c r="B429" s="3" t="str">
        <f ca="1">IFERROR(__xludf.DUMMYFUNCTION("IF(ISBLANK(A429),"""",GOOGLETRANSLATE(A429,""en"",""fr""))"),"")</f>
        <v/>
      </c>
    </row>
    <row r="430" spans="2:2">
      <c r="B430" s="3" t="str">
        <f ca="1">IFERROR(__xludf.DUMMYFUNCTION("IF(ISBLANK(A430),"""",GOOGLETRANSLATE(A430,""en"",""fr""))"),"")</f>
        <v/>
      </c>
    </row>
    <row r="431" spans="2:2">
      <c r="B431" s="3" t="str">
        <f ca="1">IFERROR(__xludf.DUMMYFUNCTION("IF(ISBLANK(A431),"""",GOOGLETRANSLATE(A431,""en"",""fr""))"),"")</f>
        <v/>
      </c>
    </row>
    <row r="432" spans="2:2">
      <c r="B432" s="3" t="str">
        <f ca="1">IFERROR(__xludf.DUMMYFUNCTION("IF(ISBLANK(A432),"""",GOOGLETRANSLATE(A432,""en"",""fr""))"),"")</f>
        <v/>
      </c>
    </row>
    <row r="433" spans="2:2">
      <c r="B433" s="3" t="str">
        <f ca="1">IFERROR(__xludf.DUMMYFUNCTION("IF(ISBLANK(A433),"""",GOOGLETRANSLATE(A433,""en"",""fr""))"),"")</f>
        <v/>
      </c>
    </row>
    <row r="434" spans="2:2">
      <c r="B434" s="3" t="str">
        <f ca="1">IFERROR(__xludf.DUMMYFUNCTION("IF(ISBLANK(A434),"""",GOOGLETRANSLATE(A434,""en"",""fr""))"),"")</f>
        <v/>
      </c>
    </row>
    <row r="435" spans="2:2">
      <c r="B435" s="3" t="str">
        <f ca="1">IFERROR(__xludf.DUMMYFUNCTION("IF(ISBLANK(A435),"""",GOOGLETRANSLATE(A435,""en"",""fr""))"),"")</f>
        <v/>
      </c>
    </row>
    <row r="436" spans="2:2">
      <c r="B436" s="3" t="str">
        <f ca="1">IFERROR(__xludf.DUMMYFUNCTION("IF(ISBLANK(A436),"""",GOOGLETRANSLATE(A436,""en"",""fr""))"),"")</f>
        <v/>
      </c>
    </row>
    <row r="437" spans="2:2">
      <c r="B437" s="3" t="str">
        <f ca="1">IFERROR(__xludf.DUMMYFUNCTION("IF(ISBLANK(A437),"""",GOOGLETRANSLATE(A437,""en"",""fr""))"),"")</f>
        <v/>
      </c>
    </row>
    <row r="438" spans="2:2">
      <c r="B438" s="3" t="str">
        <f ca="1">IFERROR(__xludf.DUMMYFUNCTION("IF(ISBLANK(A438),"""",GOOGLETRANSLATE(A438,""en"",""fr""))"),"")</f>
        <v/>
      </c>
    </row>
    <row r="439" spans="2:2">
      <c r="B439" s="3" t="str">
        <f ca="1">IFERROR(__xludf.DUMMYFUNCTION("IF(ISBLANK(A439),"""",GOOGLETRANSLATE(A439,""en"",""fr""))"),"")</f>
        <v/>
      </c>
    </row>
    <row r="440" spans="2:2">
      <c r="B440" s="3" t="str">
        <f ca="1">IFERROR(__xludf.DUMMYFUNCTION("IF(ISBLANK(A440),"""",GOOGLETRANSLATE(A440,""en"",""fr""))"),"")</f>
        <v/>
      </c>
    </row>
    <row r="441" spans="2:2">
      <c r="B441" s="3" t="str">
        <f ca="1">IFERROR(__xludf.DUMMYFUNCTION("IF(ISBLANK(A441),"""",GOOGLETRANSLATE(A441,""en"",""fr""))"),"")</f>
        <v/>
      </c>
    </row>
    <row r="442" spans="2:2">
      <c r="B442" s="3" t="str">
        <f ca="1">IFERROR(__xludf.DUMMYFUNCTION("IF(ISBLANK(A442),"""",GOOGLETRANSLATE(A442,""en"",""fr""))"),"")</f>
        <v/>
      </c>
    </row>
    <row r="443" spans="2:2">
      <c r="B443" s="3" t="str">
        <f ca="1">IFERROR(__xludf.DUMMYFUNCTION("IF(ISBLANK(A443),"""",GOOGLETRANSLATE(A443,""en"",""fr""))"),"")</f>
        <v/>
      </c>
    </row>
    <row r="444" spans="2:2">
      <c r="B444" s="3" t="str">
        <f ca="1">IFERROR(__xludf.DUMMYFUNCTION("IF(ISBLANK(A444),"""",GOOGLETRANSLATE(A444,""en"",""fr""))"),"")</f>
        <v/>
      </c>
    </row>
    <row r="445" spans="2:2">
      <c r="B445" s="3" t="str">
        <f ca="1">IFERROR(__xludf.DUMMYFUNCTION("IF(ISBLANK(A445),"""",GOOGLETRANSLATE(A445,""en"",""fr""))"),"")</f>
        <v/>
      </c>
    </row>
    <row r="446" spans="2:2">
      <c r="B446" s="3" t="str">
        <f ca="1">IFERROR(__xludf.DUMMYFUNCTION("IF(ISBLANK(A446),"""",GOOGLETRANSLATE(A446,""en"",""fr""))"),"")</f>
        <v/>
      </c>
    </row>
    <row r="447" spans="2:2">
      <c r="B447" s="3" t="str">
        <f ca="1">IFERROR(__xludf.DUMMYFUNCTION("IF(ISBLANK(A447),"""",GOOGLETRANSLATE(A447,""en"",""fr""))"),"")</f>
        <v/>
      </c>
    </row>
    <row r="448" spans="2:2">
      <c r="B448" s="3" t="str">
        <f ca="1">IFERROR(__xludf.DUMMYFUNCTION("IF(ISBLANK(A448),"""",GOOGLETRANSLATE(A448,""en"",""fr""))"),"")</f>
        <v/>
      </c>
    </row>
    <row r="449" spans="2:2">
      <c r="B449" s="3" t="str">
        <f ca="1">IFERROR(__xludf.DUMMYFUNCTION("IF(ISBLANK(A449),"""",GOOGLETRANSLATE(A449,""en"",""fr""))"),"")</f>
        <v/>
      </c>
    </row>
    <row r="450" spans="2:2">
      <c r="B450" s="3" t="str">
        <f ca="1">IFERROR(__xludf.DUMMYFUNCTION("IF(ISBLANK(A450),"""",GOOGLETRANSLATE(A450,""en"",""fr""))"),"")</f>
        <v/>
      </c>
    </row>
    <row r="451" spans="2:2">
      <c r="B451" s="3" t="str">
        <f ca="1">IFERROR(__xludf.DUMMYFUNCTION("IF(ISBLANK(A451),"""",GOOGLETRANSLATE(A451,""en"",""fr""))"),"")</f>
        <v/>
      </c>
    </row>
    <row r="452" spans="2:2">
      <c r="B452" s="3" t="str">
        <f ca="1">IFERROR(__xludf.DUMMYFUNCTION("IF(ISBLANK(A452),"""",GOOGLETRANSLATE(A452,""en"",""fr""))"),"")</f>
        <v/>
      </c>
    </row>
    <row r="453" spans="2:2">
      <c r="B453" s="3" t="str">
        <f ca="1">IFERROR(__xludf.DUMMYFUNCTION("IF(ISBLANK(A453),"""",GOOGLETRANSLATE(A453,""en"",""fr""))"),"")</f>
        <v/>
      </c>
    </row>
    <row r="454" spans="2:2">
      <c r="B454" s="3" t="str">
        <f ca="1">IFERROR(__xludf.DUMMYFUNCTION("IF(ISBLANK(A454),"""",GOOGLETRANSLATE(A454,""en"",""fr""))"),"")</f>
        <v/>
      </c>
    </row>
    <row r="455" spans="2:2">
      <c r="B455" s="3" t="str">
        <f ca="1">IFERROR(__xludf.DUMMYFUNCTION("IF(ISBLANK(A455),"""",GOOGLETRANSLATE(A455,""en"",""fr""))"),"")</f>
        <v/>
      </c>
    </row>
    <row r="456" spans="2:2">
      <c r="B456" s="3" t="str">
        <f ca="1">IFERROR(__xludf.DUMMYFUNCTION("IF(ISBLANK(A456),"""",GOOGLETRANSLATE(A456,""en"",""fr""))"),"")</f>
        <v/>
      </c>
    </row>
    <row r="457" spans="2:2">
      <c r="B457" s="3" t="str">
        <f ca="1">IFERROR(__xludf.DUMMYFUNCTION("IF(ISBLANK(A457),"""",GOOGLETRANSLATE(A457,""en"",""fr""))"),"")</f>
        <v/>
      </c>
    </row>
    <row r="458" spans="2:2">
      <c r="B458" s="3" t="str">
        <f ca="1">IFERROR(__xludf.DUMMYFUNCTION("IF(ISBLANK(A458),"""",GOOGLETRANSLATE(A458,""en"",""fr""))"),"")</f>
        <v/>
      </c>
    </row>
    <row r="459" spans="2:2">
      <c r="B459" s="3" t="str">
        <f ca="1">IFERROR(__xludf.DUMMYFUNCTION("IF(ISBLANK(A459),"""",GOOGLETRANSLATE(A459,""en"",""fr""))"),"")</f>
        <v/>
      </c>
    </row>
    <row r="460" spans="2:2">
      <c r="B460" s="3" t="str">
        <f ca="1">IFERROR(__xludf.DUMMYFUNCTION("IF(ISBLANK(A460),"""",GOOGLETRANSLATE(A460,""en"",""fr""))"),"")</f>
        <v/>
      </c>
    </row>
    <row r="461" spans="2:2">
      <c r="B461" s="3" t="str">
        <f ca="1">IFERROR(__xludf.DUMMYFUNCTION("IF(ISBLANK(A461),"""",GOOGLETRANSLATE(A461,""en"",""fr""))"),"")</f>
        <v/>
      </c>
    </row>
    <row r="462" spans="2:2">
      <c r="B462" s="3" t="str">
        <f ca="1">IFERROR(__xludf.DUMMYFUNCTION("IF(ISBLANK(A462),"""",GOOGLETRANSLATE(A462,""en"",""fr""))"),"")</f>
        <v/>
      </c>
    </row>
    <row r="463" spans="2:2">
      <c r="B463" s="3" t="str">
        <f ca="1">IFERROR(__xludf.DUMMYFUNCTION("IF(ISBLANK(A463),"""",GOOGLETRANSLATE(A463,""en"",""fr""))"),"")</f>
        <v/>
      </c>
    </row>
    <row r="464" spans="2:2">
      <c r="B464" s="3" t="str">
        <f ca="1">IFERROR(__xludf.DUMMYFUNCTION("IF(ISBLANK(A464),"""",GOOGLETRANSLATE(A464,""en"",""fr""))"),"")</f>
        <v/>
      </c>
    </row>
    <row r="465" spans="2:2">
      <c r="B465" s="3" t="str">
        <f ca="1">IFERROR(__xludf.DUMMYFUNCTION("IF(ISBLANK(A465),"""",GOOGLETRANSLATE(A465,""en"",""fr""))"),"")</f>
        <v/>
      </c>
    </row>
    <row r="466" spans="2:2">
      <c r="B466" s="3" t="str">
        <f ca="1">IFERROR(__xludf.DUMMYFUNCTION("IF(ISBLANK(A466),"""",GOOGLETRANSLATE(A466,""en"",""fr""))"),"")</f>
        <v/>
      </c>
    </row>
    <row r="467" spans="2:2">
      <c r="B467" s="3" t="str">
        <f ca="1">IFERROR(__xludf.DUMMYFUNCTION("IF(ISBLANK(A467),"""",GOOGLETRANSLATE(A467,""en"",""fr""))"),"")</f>
        <v/>
      </c>
    </row>
    <row r="468" spans="2:2">
      <c r="B468" s="3" t="str">
        <f ca="1">IFERROR(__xludf.DUMMYFUNCTION("IF(ISBLANK(A468),"""",GOOGLETRANSLATE(A468,""en"",""fr""))"),"")</f>
        <v/>
      </c>
    </row>
    <row r="469" spans="2:2">
      <c r="B469" s="3" t="str">
        <f ca="1">IFERROR(__xludf.DUMMYFUNCTION("IF(ISBLANK(A469),"""",GOOGLETRANSLATE(A469,""en"",""fr""))"),"")</f>
        <v/>
      </c>
    </row>
    <row r="470" spans="2:2">
      <c r="B470" s="3" t="str">
        <f ca="1">IFERROR(__xludf.DUMMYFUNCTION("IF(ISBLANK(A470),"""",GOOGLETRANSLATE(A470,""en"",""fr""))"),"")</f>
        <v/>
      </c>
    </row>
    <row r="471" spans="2:2">
      <c r="B471" s="3" t="str">
        <f ca="1">IFERROR(__xludf.DUMMYFUNCTION("IF(ISBLANK(A471),"""",GOOGLETRANSLATE(A471,""en"",""fr""))"),"")</f>
        <v/>
      </c>
    </row>
    <row r="472" spans="2:2">
      <c r="B472" s="3" t="str">
        <f ca="1">IFERROR(__xludf.DUMMYFUNCTION("IF(ISBLANK(A472),"""",GOOGLETRANSLATE(A472,""en"",""fr""))"),"")</f>
        <v/>
      </c>
    </row>
    <row r="473" spans="2:2">
      <c r="B473" s="3" t="str">
        <f ca="1">IFERROR(__xludf.DUMMYFUNCTION("IF(ISBLANK(A473),"""",GOOGLETRANSLATE(A473,""en"",""fr""))"),"")</f>
        <v/>
      </c>
    </row>
    <row r="474" spans="2:2">
      <c r="B474" s="3" t="str">
        <f ca="1">IFERROR(__xludf.DUMMYFUNCTION("IF(ISBLANK(A474),"""",GOOGLETRANSLATE(A474,""en"",""fr""))"),"")</f>
        <v/>
      </c>
    </row>
    <row r="475" spans="2:2">
      <c r="B475" s="3" t="str">
        <f ca="1">IFERROR(__xludf.DUMMYFUNCTION("IF(ISBLANK(A475),"""",GOOGLETRANSLATE(A475,""en"",""fr""))"),"")</f>
        <v/>
      </c>
    </row>
    <row r="476" spans="2:2">
      <c r="B476" s="3" t="str">
        <f ca="1">IFERROR(__xludf.DUMMYFUNCTION("IF(ISBLANK(A476),"""",GOOGLETRANSLATE(A476,""en"",""fr""))"),"")</f>
        <v/>
      </c>
    </row>
    <row r="477" spans="2:2">
      <c r="B477" s="3" t="str">
        <f ca="1">IFERROR(__xludf.DUMMYFUNCTION("IF(ISBLANK(A477),"""",GOOGLETRANSLATE(A477,""en"",""fr""))"),"")</f>
        <v/>
      </c>
    </row>
    <row r="478" spans="2:2">
      <c r="B478" s="3" t="str">
        <f ca="1">IFERROR(__xludf.DUMMYFUNCTION("IF(ISBLANK(A478),"""",GOOGLETRANSLATE(A478,""en"",""fr""))"),"")</f>
        <v/>
      </c>
    </row>
    <row r="479" spans="2:2">
      <c r="B479" s="3" t="str">
        <f ca="1">IFERROR(__xludf.DUMMYFUNCTION("IF(ISBLANK(A479),"""",GOOGLETRANSLATE(A479,""en"",""fr""))"),"")</f>
        <v/>
      </c>
    </row>
    <row r="480" spans="2:2">
      <c r="B480" s="3" t="str">
        <f ca="1">IFERROR(__xludf.DUMMYFUNCTION("IF(ISBLANK(A480),"""",GOOGLETRANSLATE(A480,""en"",""fr""))"),"")</f>
        <v/>
      </c>
    </row>
    <row r="481" spans="2:2">
      <c r="B481" s="3" t="str">
        <f ca="1">IFERROR(__xludf.DUMMYFUNCTION("IF(ISBLANK(A481),"""",GOOGLETRANSLATE(A481,""en"",""fr""))"),"")</f>
        <v/>
      </c>
    </row>
    <row r="482" spans="2:2">
      <c r="B482" s="3" t="str">
        <f ca="1">IFERROR(__xludf.DUMMYFUNCTION("IF(ISBLANK(A482),"""",GOOGLETRANSLATE(A482,""en"",""fr""))"),"")</f>
        <v/>
      </c>
    </row>
    <row r="483" spans="2:2">
      <c r="B483" s="3" t="str">
        <f ca="1">IFERROR(__xludf.DUMMYFUNCTION("IF(ISBLANK(A483),"""",GOOGLETRANSLATE(A483,""en"",""fr""))"),"")</f>
        <v/>
      </c>
    </row>
    <row r="484" spans="2:2">
      <c r="B484" s="3" t="str">
        <f ca="1">IFERROR(__xludf.DUMMYFUNCTION("IF(ISBLANK(A484),"""",GOOGLETRANSLATE(A484,""en"",""fr""))"),"")</f>
        <v/>
      </c>
    </row>
    <row r="485" spans="2:2">
      <c r="B485" s="3" t="str">
        <f ca="1">IFERROR(__xludf.DUMMYFUNCTION("IF(ISBLANK(A485),"""",GOOGLETRANSLATE(A485,""en"",""fr""))"),"")</f>
        <v/>
      </c>
    </row>
    <row r="486" spans="2:2">
      <c r="B486" s="3" t="str">
        <f ca="1">IFERROR(__xludf.DUMMYFUNCTION("IF(ISBLANK(A486),"""",GOOGLETRANSLATE(A486,""en"",""fr""))"),"")</f>
        <v/>
      </c>
    </row>
    <row r="487" spans="2:2">
      <c r="B487" s="3" t="str">
        <f ca="1">IFERROR(__xludf.DUMMYFUNCTION("IF(ISBLANK(A487),"""",GOOGLETRANSLATE(A487,""en"",""fr""))"),"")</f>
        <v/>
      </c>
    </row>
    <row r="488" spans="2:2">
      <c r="B488" s="3" t="str">
        <f ca="1">IFERROR(__xludf.DUMMYFUNCTION("IF(ISBLANK(A488),"""",GOOGLETRANSLATE(A488,""en"",""fr""))"),"")</f>
        <v/>
      </c>
    </row>
    <row r="489" spans="2:2">
      <c r="B489" s="3" t="str">
        <f ca="1">IFERROR(__xludf.DUMMYFUNCTION("IF(ISBLANK(A489),"""",GOOGLETRANSLATE(A489,""en"",""fr""))"),"")</f>
        <v/>
      </c>
    </row>
    <row r="490" spans="2:2">
      <c r="B490" s="3" t="str">
        <f ca="1">IFERROR(__xludf.DUMMYFUNCTION("IF(ISBLANK(A490),"""",GOOGLETRANSLATE(A490,""en"",""fr""))"),"")</f>
        <v/>
      </c>
    </row>
    <row r="491" spans="2:2">
      <c r="B491" s="3" t="str">
        <f ca="1">IFERROR(__xludf.DUMMYFUNCTION("IF(ISBLANK(A491),"""",GOOGLETRANSLATE(A491,""en"",""fr""))"),"")</f>
        <v/>
      </c>
    </row>
    <row r="492" spans="2:2">
      <c r="B492" s="3" t="str">
        <f ca="1">IFERROR(__xludf.DUMMYFUNCTION("IF(ISBLANK(A492),"""",GOOGLETRANSLATE(A492,""en"",""fr""))"),"")</f>
        <v/>
      </c>
    </row>
    <row r="493" spans="2:2">
      <c r="B493" s="3" t="str">
        <f ca="1">IFERROR(__xludf.DUMMYFUNCTION("IF(ISBLANK(A493),"""",GOOGLETRANSLATE(A493,""en"",""fr""))"),"")</f>
        <v/>
      </c>
    </row>
    <row r="494" spans="2:2">
      <c r="B494" s="3" t="str">
        <f ca="1">IFERROR(__xludf.DUMMYFUNCTION("IF(ISBLANK(A494),"""",GOOGLETRANSLATE(A494,""en"",""fr""))"),"")</f>
        <v/>
      </c>
    </row>
    <row r="495" spans="2:2">
      <c r="B495" s="3" t="str">
        <f ca="1">IFERROR(__xludf.DUMMYFUNCTION("IF(ISBLANK(A495),"""",GOOGLETRANSLATE(A495,""en"",""fr""))"),"")</f>
        <v/>
      </c>
    </row>
    <row r="496" spans="2:2">
      <c r="B496" s="3" t="str">
        <f ca="1">IFERROR(__xludf.DUMMYFUNCTION("IF(ISBLANK(A496),"""",GOOGLETRANSLATE(A496,""en"",""fr""))"),"")</f>
        <v/>
      </c>
    </row>
    <row r="497" spans="2:2">
      <c r="B497" s="3" t="str">
        <f ca="1">IFERROR(__xludf.DUMMYFUNCTION("IF(ISBLANK(A497),"""",GOOGLETRANSLATE(A497,""en"",""fr""))"),"")</f>
        <v/>
      </c>
    </row>
    <row r="498" spans="2:2">
      <c r="B498" s="3" t="str">
        <f ca="1">IFERROR(__xludf.DUMMYFUNCTION("IF(ISBLANK(A498),"""",GOOGLETRANSLATE(A498,""en"",""fr""))"),"")</f>
        <v/>
      </c>
    </row>
    <row r="499" spans="2:2">
      <c r="B499" s="3" t="str">
        <f ca="1">IFERROR(__xludf.DUMMYFUNCTION("IF(ISBLANK(A499),"""",GOOGLETRANSLATE(A499,""en"",""fr""))"),"")</f>
        <v/>
      </c>
    </row>
    <row r="500" spans="2:2">
      <c r="B500" s="3" t="str">
        <f ca="1">IFERROR(__xludf.DUMMYFUNCTION("IF(ISBLANK(A500),"""",GOOGLETRANSLATE(A500,""en"",""fr""))"),"")</f>
        <v/>
      </c>
    </row>
    <row r="501" spans="2:2">
      <c r="B501" s="3" t="str">
        <f ca="1">IFERROR(__xludf.DUMMYFUNCTION("IF(ISBLANK(A501),"""",GOOGLETRANSLATE(A501,""en"",""fr""))"),"")</f>
        <v/>
      </c>
    </row>
    <row r="502" spans="2:2">
      <c r="B502" s="3" t="str">
        <f ca="1">IFERROR(__xludf.DUMMYFUNCTION("IF(ISBLANK(A502),"""",GOOGLETRANSLATE(A502,""en"",""fr""))"),"")</f>
        <v/>
      </c>
    </row>
    <row r="503" spans="2:2">
      <c r="B503" s="3" t="str">
        <f ca="1">IFERROR(__xludf.DUMMYFUNCTION("IF(ISBLANK(A503),"""",GOOGLETRANSLATE(A503,""en"",""fr""))"),"")</f>
        <v/>
      </c>
    </row>
    <row r="504" spans="2:2">
      <c r="B504" s="3" t="str">
        <f ca="1">IFERROR(__xludf.DUMMYFUNCTION("IF(ISBLANK(A504),"""",GOOGLETRANSLATE(A504,""en"",""fr""))"),"")</f>
        <v/>
      </c>
    </row>
    <row r="505" spans="2:2">
      <c r="B505" s="3" t="str">
        <f ca="1">IFERROR(__xludf.DUMMYFUNCTION("IF(ISBLANK(A505),"""",GOOGLETRANSLATE(A505,""en"",""fr""))"),"")</f>
        <v/>
      </c>
    </row>
    <row r="506" spans="2:2">
      <c r="B506" s="3" t="str">
        <f ca="1">IFERROR(__xludf.DUMMYFUNCTION("IF(ISBLANK(A506),"""",GOOGLETRANSLATE(A506,""en"",""fr""))"),"")</f>
        <v/>
      </c>
    </row>
    <row r="507" spans="2:2">
      <c r="B507" s="3" t="str">
        <f ca="1">IFERROR(__xludf.DUMMYFUNCTION("IF(ISBLANK(A507),"""",GOOGLETRANSLATE(A507,""en"",""fr""))"),"")</f>
        <v/>
      </c>
    </row>
    <row r="508" spans="2:2">
      <c r="B508" s="3" t="str">
        <f ca="1">IFERROR(__xludf.DUMMYFUNCTION("IF(ISBLANK(A508),"""",GOOGLETRANSLATE(A508,""en"",""fr""))"),"")</f>
        <v/>
      </c>
    </row>
    <row r="509" spans="2:2">
      <c r="B509" s="3" t="str">
        <f ca="1">IFERROR(__xludf.DUMMYFUNCTION("IF(ISBLANK(A509),"""",GOOGLETRANSLATE(A509,""en"",""fr""))"),"")</f>
        <v/>
      </c>
    </row>
    <row r="510" spans="2:2">
      <c r="B510" s="3" t="str">
        <f ca="1">IFERROR(__xludf.DUMMYFUNCTION("IF(ISBLANK(A510),"""",GOOGLETRANSLATE(A510,""en"",""fr""))"),"")</f>
        <v/>
      </c>
    </row>
    <row r="511" spans="2:2">
      <c r="B511" s="3" t="str">
        <f ca="1">IFERROR(__xludf.DUMMYFUNCTION("IF(ISBLANK(A511),"""",GOOGLETRANSLATE(A511,""en"",""fr""))"),"")</f>
        <v/>
      </c>
    </row>
    <row r="512" spans="2:2">
      <c r="B512" s="3" t="str">
        <f ca="1">IFERROR(__xludf.DUMMYFUNCTION("IF(ISBLANK(A512),"""",GOOGLETRANSLATE(A512,""en"",""fr""))"),"")</f>
        <v/>
      </c>
    </row>
    <row r="513" spans="2:2">
      <c r="B513" s="3" t="str">
        <f ca="1">IFERROR(__xludf.DUMMYFUNCTION("IF(ISBLANK(A513),"""",GOOGLETRANSLATE(A513,""en"",""fr""))"),"")</f>
        <v/>
      </c>
    </row>
    <row r="514" spans="2:2">
      <c r="B514" s="3" t="str">
        <f ca="1">IFERROR(__xludf.DUMMYFUNCTION("IF(ISBLANK(A514),"""",GOOGLETRANSLATE(A514,""en"",""fr""))"),"")</f>
        <v/>
      </c>
    </row>
    <row r="515" spans="2:2">
      <c r="B515" s="3" t="str">
        <f ca="1">IFERROR(__xludf.DUMMYFUNCTION("IF(ISBLANK(A515),"""",GOOGLETRANSLATE(A515,""en"",""fr""))"),"")</f>
        <v/>
      </c>
    </row>
    <row r="516" spans="2:2">
      <c r="B516" s="3" t="str">
        <f ca="1">IFERROR(__xludf.DUMMYFUNCTION("IF(ISBLANK(A516),"""",GOOGLETRANSLATE(A516,""en"",""fr""))"),"")</f>
        <v/>
      </c>
    </row>
    <row r="517" spans="2:2">
      <c r="B517" s="3" t="str">
        <f ca="1">IFERROR(__xludf.DUMMYFUNCTION("IF(ISBLANK(A517),"""",GOOGLETRANSLATE(A517,""en"",""fr""))"),"")</f>
        <v/>
      </c>
    </row>
    <row r="518" spans="2:2">
      <c r="B518" s="3" t="str">
        <f ca="1">IFERROR(__xludf.DUMMYFUNCTION("IF(ISBLANK(A518),"""",GOOGLETRANSLATE(A518,""en"",""fr""))"),"")</f>
        <v/>
      </c>
    </row>
    <row r="519" spans="2:2">
      <c r="B519" s="3" t="str">
        <f ca="1">IFERROR(__xludf.DUMMYFUNCTION("IF(ISBLANK(A519),"""",GOOGLETRANSLATE(A519,""en"",""fr""))"),"")</f>
        <v/>
      </c>
    </row>
    <row r="520" spans="2:2">
      <c r="B520" s="3" t="str">
        <f ca="1">IFERROR(__xludf.DUMMYFUNCTION("IF(ISBLANK(A520),"""",GOOGLETRANSLATE(A520,""en"",""fr""))"),"")</f>
        <v/>
      </c>
    </row>
    <row r="521" spans="2:2">
      <c r="B521" s="3" t="str">
        <f ca="1">IFERROR(__xludf.DUMMYFUNCTION("IF(ISBLANK(A521),"""",GOOGLETRANSLATE(A521,""en"",""fr""))"),"")</f>
        <v/>
      </c>
    </row>
    <row r="522" spans="2:2">
      <c r="B522" s="3" t="str">
        <f ca="1">IFERROR(__xludf.DUMMYFUNCTION("IF(ISBLANK(A522),"""",GOOGLETRANSLATE(A522,""en"",""fr""))"),"")</f>
        <v/>
      </c>
    </row>
    <row r="523" spans="2:2">
      <c r="B523" s="3" t="str">
        <f ca="1">IFERROR(__xludf.DUMMYFUNCTION("IF(ISBLANK(A523),"""",GOOGLETRANSLATE(A523,""en"",""fr""))"),"")</f>
        <v/>
      </c>
    </row>
    <row r="524" spans="2:2">
      <c r="B524" s="3" t="str">
        <f ca="1">IFERROR(__xludf.DUMMYFUNCTION("IF(ISBLANK(A524),"""",GOOGLETRANSLATE(A524,""en"",""fr""))"),"")</f>
        <v/>
      </c>
    </row>
    <row r="525" spans="2:2">
      <c r="B525" s="3" t="str">
        <f ca="1">IFERROR(__xludf.DUMMYFUNCTION("IF(ISBLANK(A525),"""",GOOGLETRANSLATE(A525,""en"",""fr""))"),"")</f>
        <v/>
      </c>
    </row>
    <row r="526" spans="2:2">
      <c r="B526" s="3" t="str">
        <f ca="1">IFERROR(__xludf.DUMMYFUNCTION("IF(ISBLANK(A526),"""",GOOGLETRANSLATE(A526,""en"",""fr""))"),"")</f>
        <v/>
      </c>
    </row>
    <row r="527" spans="2:2">
      <c r="B527" s="3" t="str">
        <f ca="1">IFERROR(__xludf.DUMMYFUNCTION("IF(ISBLANK(A527),"""",GOOGLETRANSLATE(A527,""en"",""fr""))"),"")</f>
        <v/>
      </c>
    </row>
    <row r="528" spans="2:2">
      <c r="B528" s="3" t="str">
        <f ca="1">IFERROR(__xludf.DUMMYFUNCTION("IF(ISBLANK(A528),"""",GOOGLETRANSLATE(A528,""en"",""fr""))"),"")</f>
        <v/>
      </c>
    </row>
    <row r="529" spans="2:2">
      <c r="B529" s="3" t="str">
        <f ca="1">IFERROR(__xludf.DUMMYFUNCTION("IF(ISBLANK(A529),"""",GOOGLETRANSLATE(A529,""en"",""fr""))"),"")</f>
        <v/>
      </c>
    </row>
    <row r="530" spans="2:2">
      <c r="B530" s="3" t="str">
        <f ca="1">IFERROR(__xludf.DUMMYFUNCTION("IF(ISBLANK(A530),"""",GOOGLETRANSLATE(A530,""en"",""fr""))"),"")</f>
        <v/>
      </c>
    </row>
    <row r="531" spans="2:2">
      <c r="B531" s="3" t="str">
        <f ca="1">IFERROR(__xludf.DUMMYFUNCTION("IF(ISBLANK(A531),"""",GOOGLETRANSLATE(A531,""en"",""fr""))"),"")</f>
        <v/>
      </c>
    </row>
    <row r="532" spans="2:2">
      <c r="B532" s="3" t="str">
        <f ca="1">IFERROR(__xludf.DUMMYFUNCTION("IF(ISBLANK(A532),"""",GOOGLETRANSLATE(A532,""en"",""fr""))"),"")</f>
        <v/>
      </c>
    </row>
    <row r="533" spans="2:2">
      <c r="B533" s="3" t="str">
        <f ca="1">IFERROR(__xludf.DUMMYFUNCTION("IF(ISBLANK(A533),"""",GOOGLETRANSLATE(A533,""en"",""fr""))"),"")</f>
        <v/>
      </c>
    </row>
    <row r="534" spans="2:2">
      <c r="B534" s="3" t="str">
        <f ca="1">IFERROR(__xludf.DUMMYFUNCTION("IF(ISBLANK(A534),"""",GOOGLETRANSLATE(A534,""en"",""fr""))"),"")</f>
        <v/>
      </c>
    </row>
    <row r="535" spans="2:2">
      <c r="B535" s="3" t="str">
        <f ca="1">IFERROR(__xludf.DUMMYFUNCTION("IF(ISBLANK(A535),"""",GOOGLETRANSLATE(A535,""en"",""fr""))"),"")</f>
        <v/>
      </c>
    </row>
    <row r="536" spans="2:2">
      <c r="B536" s="3" t="str">
        <f ca="1">IFERROR(__xludf.DUMMYFUNCTION("IF(ISBLANK(A536),"""",GOOGLETRANSLATE(A536,""en"",""fr""))"),"")</f>
        <v/>
      </c>
    </row>
    <row r="537" spans="2:2">
      <c r="B537" s="3" t="str">
        <f ca="1">IFERROR(__xludf.DUMMYFUNCTION("IF(ISBLANK(A537),"""",GOOGLETRANSLATE(A537,""en"",""fr""))"),"")</f>
        <v/>
      </c>
    </row>
    <row r="538" spans="2:2">
      <c r="B538" s="3" t="str">
        <f ca="1">IFERROR(__xludf.DUMMYFUNCTION("IF(ISBLANK(A538),"""",GOOGLETRANSLATE(A538,""en"",""fr""))"),"")</f>
        <v/>
      </c>
    </row>
    <row r="539" spans="2:2">
      <c r="B539" s="3" t="str">
        <f ca="1">IFERROR(__xludf.DUMMYFUNCTION("IF(ISBLANK(A539),"""",GOOGLETRANSLATE(A539,""en"",""fr""))"),"")</f>
        <v/>
      </c>
    </row>
    <row r="540" spans="2:2">
      <c r="B540" s="3" t="str">
        <f ca="1">IFERROR(__xludf.DUMMYFUNCTION("IF(ISBLANK(A540),"""",GOOGLETRANSLATE(A540,""en"",""fr""))"),"")</f>
        <v/>
      </c>
    </row>
    <row r="541" spans="2:2">
      <c r="B541" s="3" t="str">
        <f ca="1">IFERROR(__xludf.DUMMYFUNCTION("IF(ISBLANK(A541),"""",GOOGLETRANSLATE(A541,""en"",""fr""))"),"")</f>
        <v/>
      </c>
    </row>
    <row r="542" spans="2:2">
      <c r="B542" s="3" t="str">
        <f ca="1">IFERROR(__xludf.DUMMYFUNCTION("IF(ISBLANK(A542),"""",GOOGLETRANSLATE(A542,""en"",""fr""))"),"")</f>
        <v/>
      </c>
    </row>
    <row r="543" spans="2:2">
      <c r="B543" s="3" t="str">
        <f ca="1">IFERROR(__xludf.DUMMYFUNCTION("IF(ISBLANK(A543),"""",GOOGLETRANSLATE(A543,""en"",""fr""))"),"")</f>
        <v/>
      </c>
    </row>
    <row r="544" spans="2:2">
      <c r="B544" s="3" t="str">
        <f ca="1">IFERROR(__xludf.DUMMYFUNCTION("IF(ISBLANK(A544),"""",GOOGLETRANSLATE(A544,""en"",""fr""))"),"")</f>
        <v/>
      </c>
    </row>
    <row r="545" spans="2:2">
      <c r="B545" s="3" t="str">
        <f ca="1">IFERROR(__xludf.DUMMYFUNCTION("IF(ISBLANK(A545),"""",GOOGLETRANSLATE(A545,""en"",""fr""))"),"")</f>
        <v/>
      </c>
    </row>
    <row r="546" spans="2:2">
      <c r="B546" s="3" t="str">
        <f ca="1">IFERROR(__xludf.DUMMYFUNCTION("IF(ISBLANK(A546),"""",GOOGLETRANSLATE(A546,""en"",""fr""))"),"")</f>
        <v/>
      </c>
    </row>
    <row r="547" spans="2:2">
      <c r="B547" s="3" t="str">
        <f ca="1">IFERROR(__xludf.DUMMYFUNCTION("IF(ISBLANK(A547),"""",GOOGLETRANSLATE(A547,""en"",""fr""))"),"")</f>
        <v/>
      </c>
    </row>
    <row r="548" spans="2:2">
      <c r="B548" s="3" t="str">
        <f ca="1">IFERROR(__xludf.DUMMYFUNCTION("IF(ISBLANK(A548),"""",GOOGLETRANSLATE(A548,""en"",""fr""))"),"")</f>
        <v/>
      </c>
    </row>
    <row r="549" spans="2:2">
      <c r="B549" s="3" t="str">
        <f ca="1">IFERROR(__xludf.DUMMYFUNCTION("IF(ISBLANK(A549),"""",GOOGLETRANSLATE(A549,""en"",""fr""))"),"")</f>
        <v/>
      </c>
    </row>
    <row r="550" spans="2:2">
      <c r="B550" s="3" t="str">
        <f ca="1">IFERROR(__xludf.DUMMYFUNCTION("IF(ISBLANK(A550),"""",GOOGLETRANSLATE(A550,""en"",""fr""))"),"")</f>
        <v/>
      </c>
    </row>
    <row r="551" spans="2:2">
      <c r="B551" s="3" t="str">
        <f ca="1">IFERROR(__xludf.DUMMYFUNCTION("IF(ISBLANK(A551),"""",GOOGLETRANSLATE(A551,""en"",""fr""))"),"")</f>
        <v/>
      </c>
    </row>
    <row r="552" spans="2:2">
      <c r="B552" s="3" t="str">
        <f ca="1">IFERROR(__xludf.DUMMYFUNCTION("IF(ISBLANK(A552),"""",GOOGLETRANSLATE(A552,""en"",""fr""))"),"")</f>
        <v/>
      </c>
    </row>
    <row r="553" spans="2:2">
      <c r="B553" s="3" t="str">
        <f ca="1">IFERROR(__xludf.DUMMYFUNCTION("IF(ISBLANK(A553),"""",GOOGLETRANSLATE(A553,""en"",""fr""))"),"")</f>
        <v/>
      </c>
    </row>
    <row r="554" spans="2:2">
      <c r="B554" s="3" t="str">
        <f ca="1">IFERROR(__xludf.DUMMYFUNCTION("IF(ISBLANK(A554),"""",GOOGLETRANSLATE(A554,""en"",""fr""))"),"")</f>
        <v/>
      </c>
    </row>
    <row r="555" spans="2:2">
      <c r="B555" s="3" t="str">
        <f ca="1">IFERROR(__xludf.DUMMYFUNCTION("IF(ISBLANK(A555),"""",GOOGLETRANSLATE(A555,""en"",""fr""))"),"")</f>
        <v/>
      </c>
    </row>
    <row r="556" spans="2:2">
      <c r="B556" s="3" t="str">
        <f ca="1">IFERROR(__xludf.DUMMYFUNCTION("IF(ISBLANK(A556),"""",GOOGLETRANSLATE(A556,""en"",""fr""))"),"")</f>
        <v/>
      </c>
    </row>
    <row r="557" spans="2:2">
      <c r="B557" s="3" t="str">
        <f ca="1">IFERROR(__xludf.DUMMYFUNCTION("IF(ISBLANK(A557),"""",GOOGLETRANSLATE(A557,""en"",""fr""))"),"")</f>
        <v/>
      </c>
    </row>
    <row r="558" spans="2:2">
      <c r="B558" s="3" t="str">
        <f ca="1">IFERROR(__xludf.DUMMYFUNCTION("IF(ISBLANK(A558),"""",GOOGLETRANSLATE(A558,""en"",""fr""))"),"")</f>
        <v/>
      </c>
    </row>
    <row r="559" spans="2:2">
      <c r="B559" s="3" t="str">
        <f ca="1">IFERROR(__xludf.DUMMYFUNCTION("IF(ISBLANK(A559),"""",GOOGLETRANSLATE(A559,""en"",""fr""))"),"")</f>
        <v/>
      </c>
    </row>
    <row r="560" spans="2:2">
      <c r="B560" s="3" t="str">
        <f ca="1">IFERROR(__xludf.DUMMYFUNCTION("IF(ISBLANK(A560),"""",GOOGLETRANSLATE(A560,""en"",""fr""))"),"")</f>
        <v/>
      </c>
    </row>
    <row r="561" spans="2:2">
      <c r="B561" s="3" t="str">
        <f ca="1">IFERROR(__xludf.DUMMYFUNCTION("IF(ISBLANK(A561),"""",GOOGLETRANSLATE(A561,""en"",""fr""))"),"")</f>
        <v/>
      </c>
    </row>
    <row r="562" spans="2:2">
      <c r="B562" s="3" t="str">
        <f ca="1">IFERROR(__xludf.DUMMYFUNCTION("IF(ISBLANK(A562),"""",GOOGLETRANSLATE(A562,""en"",""fr""))"),"")</f>
        <v/>
      </c>
    </row>
    <row r="563" spans="2:2">
      <c r="B563" s="3" t="str">
        <f ca="1">IFERROR(__xludf.DUMMYFUNCTION("IF(ISBLANK(A563),"""",GOOGLETRANSLATE(A563,""en"",""fr""))"),"")</f>
        <v/>
      </c>
    </row>
    <row r="564" spans="2:2">
      <c r="B564" s="3" t="str">
        <f ca="1">IFERROR(__xludf.DUMMYFUNCTION("IF(ISBLANK(A564),"""",GOOGLETRANSLATE(A564,""en"",""fr""))"),"")</f>
        <v/>
      </c>
    </row>
    <row r="565" spans="2:2">
      <c r="B565" s="3" t="str">
        <f ca="1">IFERROR(__xludf.DUMMYFUNCTION("IF(ISBLANK(A565),"""",GOOGLETRANSLATE(A565,""en"",""fr""))"),"")</f>
        <v/>
      </c>
    </row>
    <row r="566" spans="2:2">
      <c r="B566" s="3" t="str">
        <f ca="1">IFERROR(__xludf.DUMMYFUNCTION("IF(ISBLANK(A566),"""",GOOGLETRANSLATE(A566,""en"",""fr""))"),"")</f>
        <v/>
      </c>
    </row>
    <row r="567" spans="2:2">
      <c r="B567" s="3" t="str">
        <f ca="1">IFERROR(__xludf.DUMMYFUNCTION("IF(ISBLANK(A567),"""",GOOGLETRANSLATE(A567,""en"",""fr""))"),"")</f>
        <v/>
      </c>
    </row>
    <row r="568" spans="2:2">
      <c r="B568" s="3" t="str">
        <f ca="1">IFERROR(__xludf.DUMMYFUNCTION("IF(ISBLANK(A568),"""",GOOGLETRANSLATE(A568,""en"",""fr""))"),"")</f>
        <v/>
      </c>
    </row>
    <row r="569" spans="2:2">
      <c r="B569" s="3" t="str">
        <f ca="1">IFERROR(__xludf.DUMMYFUNCTION("IF(ISBLANK(A569),"""",GOOGLETRANSLATE(A569,""en"",""fr""))"),"")</f>
        <v/>
      </c>
    </row>
    <row r="570" spans="2:2">
      <c r="B570" s="3" t="str">
        <f ca="1">IFERROR(__xludf.DUMMYFUNCTION("IF(ISBLANK(A570),"""",GOOGLETRANSLATE(A570,""en"",""fr""))"),"")</f>
        <v/>
      </c>
    </row>
    <row r="571" spans="2:2">
      <c r="B571" s="3" t="str">
        <f ca="1">IFERROR(__xludf.DUMMYFUNCTION("IF(ISBLANK(A571),"""",GOOGLETRANSLATE(A571,""en"",""fr""))"),"")</f>
        <v/>
      </c>
    </row>
    <row r="572" spans="2:2">
      <c r="B572" s="3" t="str">
        <f ca="1">IFERROR(__xludf.DUMMYFUNCTION("IF(ISBLANK(A572),"""",GOOGLETRANSLATE(A572,""en"",""fr""))"),"")</f>
        <v/>
      </c>
    </row>
    <row r="573" spans="2:2">
      <c r="B573" s="3" t="str">
        <f ca="1">IFERROR(__xludf.DUMMYFUNCTION("IF(ISBLANK(A573),"""",GOOGLETRANSLATE(A573,""en"",""fr""))"),"")</f>
        <v/>
      </c>
    </row>
    <row r="574" spans="2:2">
      <c r="B574" s="3" t="str">
        <f ca="1">IFERROR(__xludf.DUMMYFUNCTION("IF(ISBLANK(A574),"""",GOOGLETRANSLATE(A574,""en"",""fr""))"),"")</f>
        <v/>
      </c>
    </row>
    <row r="575" spans="2:2">
      <c r="B575" s="3" t="str">
        <f ca="1">IFERROR(__xludf.DUMMYFUNCTION("IF(ISBLANK(A575),"""",GOOGLETRANSLATE(A575,""en"",""fr""))"),"")</f>
        <v/>
      </c>
    </row>
    <row r="576" spans="2:2">
      <c r="B576" s="3" t="str">
        <f ca="1">IFERROR(__xludf.DUMMYFUNCTION("IF(ISBLANK(A576),"""",GOOGLETRANSLATE(A576,""en"",""fr""))"),"")</f>
        <v/>
      </c>
    </row>
    <row r="577" spans="2:2">
      <c r="B577" s="3" t="str">
        <f ca="1">IFERROR(__xludf.DUMMYFUNCTION("IF(ISBLANK(A577),"""",GOOGLETRANSLATE(A577,""en"",""fr""))"),"")</f>
        <v/>
      </c>
    </row>
    <row r="578" spans="2:2">
      <c r="B578" s="3" t="str">
        <f ca="1">IFERROR(__xludf.DUMMYFUNCTION("IF(ISBLANK(A578),"""",GOOGLETRANSLATE(A578,""en"",""fr""))"),"")</f>
        <v/>
      </c>
    </row>
    <row r="579" spans="2:2">
      <c r="B579" s="3" t="str">
        <f ca="1">IFERROR(__xludf.DUMMYFUNCTION("IF(ISBLANK(A579),"""",GOOGLETRANSLATE(A579,""en"",""fr""))"),"")</f>
        <v/>
      </c>
    </row>
    <row r="580" spans="2:2">
      <c r="B580" s="3" t="str">
        <f ca="1">IFERROR(__xludf.DUMMYFUNCTION("IF(ISBLANK(A580),"""",GOOGLETRANSLATE(A580,""en"",""fr""))"),"")</f>
        <v/>
      </c>
    </row>
    <row r="581" spans="2:2">
      <c r="B581" s="3" t="str">
        <f ca="1">IFERROR(__xludf.DUMMYFUNCTION("IF(ISBLANK(A581),"""",GOOGLETRANSLATE(A581,""en"",""fr""))"),"")</f>
        <v/>
      </c>
    </row>
    <row r="582" spans="2:2">
      <c r="B582" s="3" t="str">
        <f ca="1">IFERROR(__xludf.DUMMYFUNCTION("IF(ISBLANK(A582),"""",GOOGLETRANSLATE(A582,""en"",""fr""))"),"")</f>
        <v/>
      </c>
    </row>
    <row r="583" spans="2:2">
      <c r="B583" s="3" t="str">
        <f ca="1">IFERROR(__xludf.DUMMYFUNCTION("IF(ISBLANK(A583),"""",GOOGLETRANSLATE(A583,""en"",""fr""))"),"")</f>
        <v/>
      </c>
    </row>
    <row r="584" spans="2:2">
      <c r="B584" s="3" t="str">
        <f ca="1">IFERROR(__xludf.DUMMYFUNCTION("IF(ISBLANK(A584),"""",GOOGLETRANSLATE(A584,""en"",""fr""))"),"")</f>
        <v/>
      </c>
    </row>
    <row r="585" spans="2:2">
      <c r="B585" s="3" t="str">
        <f ca="1">IFERROR(__xludf.DUMMYFUNCTION("IF(ISBLANK(A585),"""",GOOGLETRANSLATE(A585,""en"",""fr""))"),"")</f>
        <v/>
      </c>
    </row>
    <row r="586" spans="2:2">
      <c r="B586" s="3" t="str">
        <f ca="1">IFERROR(__xludf.DUMMYFUNCTION("IF(ISBLANK(A586),"""",GOOGLETRANSLATE(A586,""en"",""fr""))"),"")</f>
        <v/>
      </c>
    </row>
    <row r="587" spans="2:2">
      <c r="B587" s="3" t="str">
        <f ca="1">IFERROR(__xludf.DUMMYFUNCTION("IF(ISBLANK(A587),"""",GOOGLETRANSLATE(A587,""en"",""fr""))"),"")</f>
        <v/>
      </c>
    </row>
    <row r="588" spans="2:2">
      <c r="B588" s="3" t="str">
        <f ca="1">IFERROR(__xludf.DUMMYFUNCTION("IF(ISBLANK(A588),"""",GOOGLETRANSLATE(A588,""en"",""fr""))"),"")</f>
        <v/>
      </c>
    </row>
    <row r="589" spans="2:2">
      <c r="B589" s="3" t="str">
        <f ca="1">IFERROR(__xludf.DUMMYFUNCTION("IF(ISBLANK(A589),"""",GOOGLETRANSLATE(A589,""en"",""fr""))"),"")</f>
        <v/>
      </c>
    </row>
    <row r="590" spans="2:2">
      <c r="B590" s="3" t="str">
        <f ca="1">IFERROR(__xludf.DUMMYFUNCTION("IF(ISBLANK(A590),"""",GOOGLETRANSLATE(A590,""en"",""fr""))"),"")</f>
        <v/>
      </c>
    </row>
    <row r="591" spans="2:2">
      <c r="B591" s="3" t="str">
        <f ca="1">IFERROR(__xludf.DUMMYFUNCTION("IF(ISBLANK(A591),"""",GOOGLETRANSLATE(A591,""en"",""fr""))"),"")</f>
        <v/>
      </c>
    </row>
    <row r="592" spans="2:2">
      <c r="B592" s="3" t="str">
        <f ca="1">IFERROR(__xludf.DUMMYFUNCTION("IF(ISBLANK(A592),"""",GOOGLETRANSLATE(A592,""en"",""fr""))"),"")</f>
        <v/>
      </c>
    </row>
    <row r="593" spans="2:2">
      <c r="B593" s="3" t="str">
        <f ca="1">IFERROR(__xludf.DUMMYFUNCTION("IF(ISBLANK(A593),"""",GOOGLETRANSLATE(A593,""en"",""fr""))"),"")</f>
        <v/>
      </c>
    </row>
    <row r="594" spans="2:2">
      <c r="B594" s="3" t="str">
        <f ca="1">IFERROR(__xludf.DUMMYFUNCTION("IF(ISBLANK(A594),"""",GOOGLETRANSLATE(A594,""en"",""fr""))"),"")</f>
        <v/>
      </c>
    </row>
    <row r="595" spans="2:2">
      <c r="B595" s="3" t="str">
        <f ca="1">IFERROR(__xludf.DUMMYFUNCTION("IF(ISBLANK(A595),"""",GOOGLETRANSLATE(A595,""en"",""fr""))"),"")</f>
        <v/>
      </c>
    </row>
    <row r="596" spans="2:2">
      <c r="B596" s="3" t="str">
        <f ca="1">IFERROR(__xludf.DUMMYFUNCTION("IF(ISBLANK(A596),"""",GOOGLETRANSLATE(A596,""en"",""fr""))"),"")</f>
        <v/>
      </c>
    </row>
    <row r="597" spans="2:2">
      <c r="B597" s="3" t="str">
        <f ca="1">IFERROR(__xludf.DUMMYFUNCTION("IF(ISBLANK(A597),"""",GOOGLETRANSLATE(A597,""en"",""fr""))"),"")</f>
        <v/>
      </c>
    </row>
    <row r="598" spans="2:2">
      <c r="B598" s="3" t="str">
        <f ca="1">IFERROR(__xludf.DUMMYFUNCTION("IF(ISBLANK(A598),"""",GOOGLETRANSLATE(A598,""en"",""fr""))"),"")</f>
        <v/>
      </c>
    </row>
    <row r="599" spans="2:2">
      <c r="B599" s="3" t="str">
        <f ca="1">IFERROR(__xludf.DUMMYFUNCTION("IF(ISBLANK(A599),"""",GOOGLETRANSLATE(A599,""en"",""fr""))"),"")</f>
        <v/>
      </c>
    </row>
    <row r="600" spans="2:2">
      <c r="B600" s="3" t="str">
        <f ca="1">IFERROR(__xludf.DUMMYFUNCTION("IF(ISBLANK(A600),"""",GOOGLETRANSLATE(A600,""en"",""fr""))"),"")</f>
        <v/>
      </c>
    </row>
    <row r="601" spans="2:2">
      <c r="B601" s="3" t="str">
        <f ca="1">IFERROR(__xludf.DUMMYFUNCTION("IF(ISBLANK(A601),"""",GOOGLETRANSLATE(A601,""en"",""fr""))"),"")</f>
        <v/>
      </c>
    </row>
    <row r="602" spans="2:2">
      <c r="B602" s="3" t="str">
        <f ca="1">IFERROR(__xludf.DUMMYFUNCTION("IF(ISBLANK(A602),"""",GOOGLETRANSLATE(A602,""en"",""fr""))"),"")</f>
        <v/>
      </c>
    </row>
    <row r="603" spans="2:2">
      <c r="B603" s="3" t="str">
        <f ca="1">IFERROR(__xludf.DUMMYFUNCTION("IF(ISBLANK(A603),"""",GOOGLETRANSLATE(A603,""en"",""fr""))"),"")</f>
        <v/>
      </c>
    </row>
    <row r="604" spans="2:2">
      <c r="B604" s="3" t="str">
        <f ca="1">IFERROR(__xludf.DUMMYFUNCTION("IF(ISBLANK(A604),"""",GOOGLETRANSLATE(A604,""en"",""fr""))"),"")</f>
        <v/>
      </c>
    </row>
    <row r="605" spans="2:2">
      <c r="B605" s="3" t="str">
        <f ca="1">IFERROR(__xludf.DUMMYFUNCTION("IF(ISBLANK(A605),"""",GOOGLETRANSLATE(A605,""en"",""fr""))"),"")</f>
        <v/>
      </c>
    </row>
    <row r="606" spans="2:2">
      <c r="B606" s="3" t="str">
        <f ca="1">IFERROR(__xludf.DUMMYFUNCTION("IF(ISBLANK(A606),"""",GOOGLETRANSLATE(A606,""en"",""fr""))"),"")</f>
        <v/>
      </c>
    </row>
    <row r="607" spans="2:2">
      <c r="B607" s="3" t="str">
        <f ca="1">IFERROR(__xludf.DUMMYFUNCTION("IF(ISBLANK(A607),"""",GOOGLETRANSLATE(A607,""en"",""fr""))"),"")</f>
        <v/>
      </c>
    </row>
    <row r="608" spans="2:2">
      <c r="B608" s="3" t="str">
        <f ca="1">IFERROR(__xludf.DUMMYFUNCTION("IF(ISBLANK(A608),"""",GOOGLETRANSLATE(A608,""en"",""fr""))"),"")</f>
        <v/>
      </c>
    </row>
    <row r="609" spans="2:2">
      <c r="B609" s="3" t="str">
        <f ca="1">IFERROR(__xludf.DUMMYFUNCTION("IF(ISBLANK(A609),"""",GOOGLETRANSLATE(A609,""en"",""fr""))"),"")</f>
        <v/>
      </c>
    </row>
    <row r="610" spans="2:2">
      <c r="B610" s="3" t="str">
        <f ca="1">IFERROR(__xludf.DUMMYFUNCTION("IF(ISBLANK(A610),"""",GOOGLETRANSLATE(A610,""en"",""fr""))"),"")</f>
        <v/>
      </c>
    </row>
    <row r="611" spans="2:2">
      <c r="B611" s="3" t="str">
        <f ca="1">IFERROR(__xludf.DUMMYFUNCTION("IF(ISBLANK(A611),"""",GOOGLETRANSLATE(A611,""en"",""fr""))"),"")</f>
        <v/>
      </c>
    </row>
    <row r="612" spans="2:2">
      <c r="B612" s="3" t="str">
        <f ca="1">IFERROR(__xludf.DUMMYFUNCTION("IF(ISBLANK(A612),"""",GOOGLETRANSLATE(A612,""en"",""fr""))"),"")</f>
        <v/>
      </c>
    </row>
    <row r="613" spans="2:2">
      <c r="B613" s="3" t="str">
        <f ca="1">IFERROR(__xludf.DUMMYFUNCTION("IF(ISBLANK(A613),"""",GOOGLETRANSLATE(A613,""en"",""fr""))"),"")</f>
        <v/>
      </c>
    </row>
    <row r="614" spans="2:2">
      <c r="B614" s="3" t="str">
        <f ca="1">IFERROR(__xludf.DUMMYFUNCTION("IF(ISBLANK(A614),"""",GOOGLETRANSLATE(A614,""en"",""fr""))"),"")</f>
        <v/>
      </c>
    </row>
    <row r="615" spans="2:2">
      <c r="B615" s="3" t="str">
        <f ca="1">IFERROR(__xludf.DUMMYFUNCTION("IF(ISBLANK(A615),"""",GOOGLETRANSLATE(A615,""en"",""fr""))"),"")</f>
        <v/>
      </c>
    </row>
    <row r="616" spans="2:2">
      <c r="B616" s="3" t="str">
        <f ca="1">IFERROR(__xludf.DUMMYFUNCTION("IF(ISBLANK(A616),"""",GOOGLETRANSLATE(A616,""en"",""fr""))"),"")</f>
        <v/>
      </c>
    </row>
    <row r="617" spans="2:2">
      <c r="B617" s="3" t="str">
        <f ca="1">IFERROR(__xludf.DUMMYFUNCTION("IF(ISBLANK(A617),"""",GOOGLETRANSLATE(A617,""en"",""fr""))"),"")</f>
        <v/>
      </c>
    </row>
    <row r="618" spans="2:2">
      <c r="B618" s="3" t="str">
        <f ca="1">IFERROR(__xludf.DUMMYFUNCTION("IF(ISBLANK(A618),"""",GOOGLETRANSLATE(A618,""en"",""fr""))"),"")</f>
        <v/>
      </c>
    </row>
    <row r="619" spans="2:2">
      <c r="B619" s="3" t="str">
        <f ca="1">IFERROR(__xludf.DUMMYFUNCTION("IF(ISBLANK(A619),"""",GOOGLETRANSLATE(A619,""en"",""fr""))"),"")</f>
        <v/>
      </c>
    </row>
    <row r="620" spans="2:2">
      <c r="B620" s="3" t="str">
        <f ca="1">IFERROR(__xludf.DUMMYFUNCTION("IF(ISBLANK(A620),"""",GOOGLETRANSLATE(A620,""en"",""fr""))"),"")</f>
        <v/>
      </c>
    </row>
    <row r="621" spans="2:2">
      <c r="B621" s="3" t="str">
        <f ca="1">IFERROR(__xludf.DUMMYFUNCTION("IF(ISBLANK(A621),"""",GOOGLETRANSLATE(A621,""en"",""fr""))"),"")</f>
        <v/>
      </c>
    </row>
    <row r="622" spans="2:2">
      <c r="B622" s="3" t="str">
        <f ca="1">IFERROR(__xludf.DUMMYFUNCTION("IF(ISBLANK(A622),"""",GOOGLETRANSLATE(A622,""en"",""fr""))"),"")</f>
        <v/>
      </c>
    </row>
    <row r="623" spans="2:2">
      <c r="B623" s="3" t="str">
        <f ca="1">IFERROR(__xludf.DUMMYFUNCTION("IF(ISBLANK(A623),"""",GOOGLETRANSLATE(A623,""en"",""fr""))"),"")</f>
        <v/>
      </c>
    </row>
    <row r="624" spans="2:2">
      <c r="B624" s="3" t="str">
        <f ca="1">IFERROR(__xludf.DUMMYFUNCTION("IF(ISBLANK(A624),"""",GOOGLETRANSLATE(A624,""en"",""fr""))"),"")</f>
        <v/>
      </c>
    </row>
    <row r="625" spans="2:2">
      <c r="B625" s="3" t="str">
        <f ca="1">IFERROR(__xludf.DUMMYFUNCTION("IF(ISBLANK(A625),"""",GOOGLETRANSLATE(A625,""en"",""fr""))"),"")</f>
        <v/>
      </c>
    </row>
    <row r="626" spans="2:2">
      <c r="B626" s="3" t="str">
        <f ca="1">IFERROR(__xludf.DUMMYFUNCTION("IF(ISBLANK(A626),"""",GOOGLETRANSLATE(A626,""en"",""fr""))"),"")</f>
        <v/>
      </c>
    </row>
    <row r="627" spans="2:2">
      <c r="B627" s="3" t="str">
        <f ca="1">IFERROR(__xludf.DUMMYFUNCTION("IF(ISBLANK(A627),"""",GOOGLETRANSLATE(A627,""en"",""fr""))"),"")</f>
        <v/>
      </c>
    </row>
    <row r="628" spans="2:2">
      <c r="B628" s="3" t="str">
        <f ca="1">IFERROR(__xludf.DUMMYFUNCTION("IF(ISBLANK(A628),"""",GOOGLETRANSLATE(A628,""en"",""fr""))"),"")</f>
        <v/>
      </c>
    </row>
    <row r="629" spans="2:2">
      <c r="B629" s="3" t="str">
        <f ca="1">IFERROR(__xludf.DUMMYFUNCTION("IF(ISBLANK(A629),"""",GOOGLETRANSLATE(A629,""en"",""fr""))"),"")</f>
        <v/>
      </c>
    </row>
    <row r="630" spans="2:2">
      <c r="B630" s="3" t="str">
        <f ca="1">IFERROR(__xludf.DUMMYFUNCTION("IF(ISBLANK(A630),"""",GOOGLETRANSLATE(A630,""en"",""fr""))"),"")</f>
        <v/>
      </c>
    </row>
    <row r="631" spans="2:2">
      <c r="B631" s="3" t="str">
        <f ca="1">IFERROR(__xludf.DUMMYFUNCTION("IF(ISBLANK(A631),"""",GOOGLETRANSLATE(A631,""en"",""fr""))"),"")</f>
        <v/>
      </c>
    </row>
    <row r="632" spans="2:2">
      <c r="B632" s="3" t="str">
        <f ca="1">IFERROR(__xludf.DUMMYFUNCTION("IF(ISBLANK(A632),"""",GOOGLETRANSLATE(A632,""en"",""fr""))"),"")</f>
        <v/>
      </c>
    </row>
    <row r="633" spans="2:2">
      <c r="B633" s="3" t="str">
        <f ca="1">IFERROR(__xludf.DUMMYFUNCTION("IF(ISBLANK(A633),"""",GOOGLETRANSLATE(A633,""en"",""fr""))"),"")</f>
        <v/>
      </c>
    </row>
    <row r="634" spans="2:2">
      <c r="B634" s="3" t="str">
        <f ca="1">IFERROR(__xludf.DUMMYFUNCTION("IF(ISBLANK(A634),"""",GOOGLETRANSLATE(A634,""en"",""fr""))"),"")</f>
        <v/>
      </c>
    </row>
    <row r="635" spans="2:2">
      <c r="B635" s="3" t="str">
        <f ca="1">IFERROR(__xludf.DUMMYFUNCTION("IF(ISBLANK(A635),"""",GOOGLETRANSLATE(A635,""en"",""fr""))"),"")</f>
        <v/>
      </c>
    </row>
    <row r="636" spans="2:2">
      <c r="B636" s="3" t="str">
        <f ca="1">IFERROR(__xludf.DUMMYFUNCTION("IF(ISBLANK(A636),"""",GOOGLETRANSLATE(A636,""en"",""fr""))"),"")</f>
        <v/>
      </c>
    </row>
    <row r="637" spans="2:2">
      <c r="B637" s="3" t="str">
        <f ca="1">IFERROR(__xludf.DUMMYFUNCTION("IF(ISBLANK(A637),"""",GOOGLETRANSLATE(A637,""en"",""fr""))"),"")</f>
        <v/>
      </c>
    </row>
    <row r="638" spans="2:2">
      <c r="B638" s="3" t="str">
        <f ca="1">IFERROR(__xludf.DUMMYFUNCTION("IF(ISBLANK(A638),"""",GOOGLETRANSLATE(A638,""en"",""fr""))"),"")</f>
        <v/>
      </c>
    </row>
    <row r="639" spans="2:2">
      <c r="B639" s="3" t="str">
        <f ca="1">IFERROR(__xludf.DUMMYFUNCTION("IF(ISBLANK(A639),"""",GOOGLETRANSLATE(A639,""en"",""fr""))"),"")</f>
        <v/>
      </c>
    </row>
    <row r="640" spans="2:2">
      <c r="B640" s="3" t="str">
        <f ca="1">IFERROR(__xludf.DUMMYFUNCTION("IF(ISBLANK(A640),"""",GOOGLETRANSLATE(A640,""en"",""fr""))"),"")</f>
        <v/>
      </c>
    </row>
    <row r="641" spans="2:2">
      <c r="B641" s="3" t="str">
        <f ca="1">IFERROR(__xludf.DUMMYFUNCTION("IF(ISBLANK(A641),"""",GOOGLETRANSLATE(A641,""en"",""fr""))"),"")</f>
        <v/>
      </c>
    </row>
    <row r="642" spans="2:2">
      <c r="B642" s="3" t="str">
        <f ca="1">IFERROR(__xludf.DUMMYFUNCTION("IF(ISBLANK(A642),"""",GOOGLETRANSLATE(A642,""en"",""fr""))"),"")</f>
        <v/>
      </c>
    </row>
    <row r="643" spans="2:2">
      <c r="B643" s="3" t="str">
        <f ca="1">IFERROR(__xludf.DUMMYFUNCTION("IF(ISBLANK(A643),"""",GOOGLETRANSLATE(A643,""en"",""fr""))"),"")</f>
        <v/>
      </c>
    </row>
    <row r="644" spans="2:2">
      <c r="B644" s="3" t="str">
        <f ca="1">IFERROR(__xludf.DUMMYFUNCTION("IF(ISBLANK(A644),"""",GOOGLETRANSLATE(A644,""en"",""fr""))"),"")</f>
        <v/>
      </c>
    </row>
    <row r="645" spans="2:2">
      <c r="B645" s="3" t="str">
        <f ca="1">IFERROR(__xludf.DUMMYFUNCTION("IF(ISBLANK(A645),"""",GOOGLETRANSLATE(A645,""en"",""fr""))"),"")</f>
        <v/>
      </c>
    </row>
    <row r="646" spans="2:2">
      <c r="B646" s="3" t="str">
        <f ca="1">IFERROR(__xludf.DUMMYFUNCTION("IF(ISBLANK(A646),"""",GOOGLETRANSLATE(A646,""en"",""fr""))"),"")</f>
        <v/>
      </c>
    </row>
    <row r="647" spans="2:2">
      <c r="B647" s="3" t="str">
        <f ca="1">IFERROR(__xludf.DUMMYFUNCTION("IF(ISBLANK(A647),"""",GOOGLETRANSLATE(A647,""en"",""fr""))"),"")</f>
        <v/>
      </c>
    </row>
    <row r="648" spans="2:2">
      <c r="B648" s="3" t="str">
        <f ca="1">IFERROR(__xludf.DUMMYFUNCTION("IF(ISBLANK(A648),"""",GOOGLETRANSLATE(A648,""en"",""fr""))"),"")</f>
        <v/>
      </c>
    </row>
    <row r="649" spans="2:2">
      <c r="B649" s="3" t="str">
        <f ca="1">IFERROR(__xludf.DUMMYFUNCTION("IF(ISBLANK(A649),"""",GOOGLETRANSLATE(A649,""en"",""fr""))"),"")</f>
        <v/>
      </c>
    </row>
    <row r="650" spans="2:2">
      <c r="B650" s="3" t="str">
        <f ca="1">IFERROR(__xludf.DUMMYFUNCTION("IF(ISBLANK(A650),"""",GOOGLETRANSLATE(A650,""en"",""fr""))"),"")</f>
        <v/>
      </c>
    </row>
    <row r="651" spans="2:2">
      <c r="B651" s="3" t="str">
        <f ca="1">IFERROR(__xludf.DUMMYFUNCTION("IF(ISBLANK(A651),"""",GOOGLETRANSLATE(A651,""en"",""fr""))"),"")</f>
        <v/>
      </c>
    </row>
    <row r="652" spans="2:2">
      <c r="B652" s="3" t="str">
        <f ca="1">IFERROR(__xludf.DUMMYFUNCTION("IF(ISBLANK(A652),"""",GOOGLETRANSLATE(A652,""en"",""fr""))"),"")</f>
        <v/>
      </c>
    </row>
    <row r="653" spans="2:2">
      <c r="B653" s="3" t="str">
        <f ca="1">IFERROR(__xludf.DUMMYFUNCTION("IF(ISBLANK(A653),"""",GOOGLETRANSLATE(A653,""en"",""fr""))"),"")</f>
        <v/>
      </c>
    </row>
    <row r="654" spans="2:2">
      <c r="B654" s="3" t="str">
        <f ca="1">IFERROR(__xludf.DUMMYFUNCTION("IF(ISBLANK(A654),"""",GOOGLETRANSLATE(A654,""en"",""fr""))"),"")</f>
        <v/>
      </c>
    </row>
    <row r="655" spans="2:2">
      <c r="B655" s="3" t="str">
        <f ca="1">IFERROR(__xludf.DUMMYFUNCTION("IF(ISBLANK(A655),"""",GOOGLETRANSLATE(A655,""en"",""fr""))"),"")</f>
        <v/>
      </c>
    </row>
    <row r="656" spans="2:2">
      <c r="B656" s="3" t="str">
        <f ca="1">IFERROR(__xludf.DUMMYFUNCTION("IF(ISBLANK(A656),"""",GOOGLETRANSLATE(A656,""en"",""fr""))"),"")</f>
        <v/>
      </c>
    </row>
    <row r="657" spans="2:2">
      <c r="B657" s="3" t="str">
        <f ca="1">IFERROR(__xludf.DUMMYFUNCTION("IF(ISBLANK(A657),"""",GOOGLETRANSLATE(A657,""en"",""fr""))"),"")</f>
        <v/>
      </c>
    </row>
    <row r="658" spans="2:2">
      <c r="B658" s="3" t="str">
        <f ca="1">IFERROR(__xludf.DUMMYFUNCTION("IF(ISBLANK(A658),"""",GOOGLETRANSLATE(A658,""en"",""fr""))"),"")</f>
        <v/>
      </c>
    </row>
    <row r="659" spans="2:2">
      <c r="B659" s="3" t="str">
        <f ca="1">IFERROR(__xludf.DUMMYFUNCTION("IF(ISBLANK(A659),"""",GOOGLETRANSLATE(A659,""en"",""fr""))"),"")</f>
        <v/>
      </c>
    </row>
    <row r="660" spans="2:2">
      <c r="B660" s="3" t="str">
        <f ca="1">IFERROR(__xludf.DUMMYFUNCTION("IF(ISBLANK(A660),"""",GOOGLETRANSLATE(A660,""en"",""fr""))"),"")</f>
        <v/>
      </c>
    </row>
    <row r="661" spans="2:2">
      <c r="B661" s="3" t="str">
        <f ca="1">IFERROR(__xludf.DUMMYFUNCTION("IF(ISBLANK(A661),"""",GOOGLETRANSLATE(A661,""en"",""fr""))"),"")</f>
        <v/>
      </c>
    </row>
    <row r="662" spans="2:2">
      <c r="B662" s="3" t="str">
        <f ca="1">IFERROR(__xludf.DUMMYFUNCTION("IF(ISBLANK(A662),"""",GOOGLETRANSLATE(A662,""en"",""fr""))"),"")</f>
        <v/>
      </c>
    </row>
    <row r="663" spans="2:2">
      <c r="B663" s="3" t="str">
        <f ca="1">IFERROR(__xludf.DUMMYFUNCTION("IF(ISBLANK(A663),"""",GOOGLETRANSLATE(A663,""en"",""fr""))"),"")</f>
        <v/>
      </c>
    </row>
    <row r="664" spans="2:2">
      <c r="B664" s="3" t="str">
        <f ca="1">IFERROR(__xludf.DUMMYFUNCTION("IF(ISBLANK(A664),"""",GOOGLETRANSLATE(A664,""en"",""fr""))"),"")</f>
        <v/>
      </c>
    </row>
    <row r="665" spans="2:2">
      <c r="B665" s="3" t="str">
        <f ca="1">IFERROR(__xludf.DUMMYFUNCTION("IF(ISBLANK(A665),"""",GOOGLETRANSLATE(A665,""en"",""fr""))"),"")</f>
        <v/>
      </c>
    </row>
    <row r="666" spans="2:2">
      <c r="B666" s="3" t="str">
        <f ca="1">IFERROR(__xludf.DUMMYFUNCTION("IF(ISBLANK(A666),"""",GOOGLETRANSLATE(A666,""en"",""fr""))"),"")</f>
        <v/>
      </c>
    </row>
    <row r="667" spans="2:2">
      <c r="B667" s="3" t="str">
        <f ca="1">IFERROR(__xludf.DUMMYFUNCTION("IF(ISBLANK(A667),"""",GOOGLETRANSLATE(A667,""en"",""fr""))"),"")</f>
        <v/>
      </c>
    </row>
    <row r="668" spans="2:2">
      <c r="B668" s="3" t="str">
        <f ca="1">IFERROR(__xludf.DUMMYFUNCTION("IF(ISBLANK(A668),"""",GOOGLETRANSLATE(A668,""en"",""fr""))"),"")</f>
        <v/>
      </c>
    </row>
    <row r="669" spans="2:2">
      <c r="B669" s="3" t="str">
        <f ca="1">IFERROR(__xludf.DUMMYFUNCTION("IF(ISBLANK(A669),"""",GOOGLETRANSLATE(A669,""en"",""fr""))"),"")</f>
        <v/>
      </c>
    </row>
    <row r="670" spans="2:2">
      <c r="B670" s="3" t="str">
        <f ca="1">IFERROR(__xludf.DUMMYFUNCTION("IF(ISBLANK(A670),"""",GOOGLETRANSLATE(A670,""en"",""fr""))"),"")</f>
        <v/>
      </c>
    </row>
    <row r="671" spans="2:2">
      <c r="B671" s="3" t="str">
        <f ca="1">IFERROR(__xludf.DUMMYFUNCTION("IF(ISBLANK(A671),"""",GOOGLETRANSLATE(A671,""en"",""fr""))"),"")</f>
        <v/>
      </c>
    </row>
    <row r="672" spans="2:2">
      <c r="B672" s="3" t="str">
        <f ca="1">IFERROR(__xludf.DUMMYFUNCTION("IF(ISBLANK(A672),"""",GOOGLETRANSLATE(A672,""en"",""fr""))"),"")</f>
        <v/>
      </c>
    </row>
    <row r="673" spans="2:2">
      <c r="B673" s="3" t="str">
        <f ca="1">IFERROR(__xludf.DUMMYFUNCTION("IF(ISBLANK(A673),"""",GOOGLETRANSLATE(A673,""en"",""fr""))"),"")</f>
        <v/>
      </c>
    </row>
    <row r="674" spans="2:2">
      <c r="B674" s="3" t="str">
        <f ca="1">IFERROR(__xludf.DUMMYFUNCTION("IF(ISBLANK(A674),"""",GOOGLETRANSLATE(A674,""en"",""fr""))"),"")</f>
        <v/>
      </c>
    </row>
    <row r="675" spans="2:2">
      <c r="B675" s="3" t="str">
        <f ca="1">IFERROR(__xludf.DUMMYFUNCTION("IF(ISBLANK(A675),"""",GOOGLETRANSLATE(A675,""en"",""fr""))"),"")</f>
        <v/>
      </c>
    </row>
    <row r="676" spans="2:2">
      <c r="B676" s="3" t="str">
        <f ca="1">IFERROR(__xludf.DUMMYFUNCTION("IF(ISBLANK(A676),"""",GOOGLETRANSLATE(A676,""en"",""fr""))"),"")</f>
        <v/>
      </c>
    </row>
    <row r="677" spans="2:2">
      <c r="B677" s="3" t="str">
        <f ca="1">IFERROR(__xludf.DUMMYFUNCTION("IF(ISBLANK(A677),"""",GOOGLETRANSLATE(A677,""en"",""fr""))"),"")</f>
        <v/>
      </c>
    </row>
    <row r="678" spans="2:2">
      <c r="B678" s="3" t="str">
        <f ca="1">IFERROR(__xludf.DUMMYFUNCTION("IF(ISBLANK(A678),"""",GOOGLETRANSLATE(A678,""en"",""fr""))"),"")</f>
        <v/>
      </c>
    </row>
    <row r="679" spans="2:2">
      <c r="B679" s="3" t="str">
        <f ca="1">IFERROR(__xludf.DUMMYFUNCTION("IF(ISBLANK(A679),"""",GOOGLETRANSLATE(A679,""en"",""fr""))"),"")</f>
        <v/>
      </c>
    </row>
    <row r="680" spans="2:2">
      <c r="B680" s="3" t="str">
        <f ca="1">IFERROR(__xludf.DUMMYFUNCTION("IF(ISBLANK(A680),"""",GOOGLETRANSLATE(A680,""en"",""fr""))"),"")</f>
        <v/>
      </c>
    </row>
    <row r="681" spans="2:2">
      <c r="B681" s="3" t="str">
        <f ca="1">IFERROR(__xludf.DUMMYFUNCTION("IF(ISBLANK(A681),"""",GOOGLETRANSLATE(A681,""en"",""fr""))"),"")</f>
        <v/>
      </c>
    </row>
    <row r="682" spans="2:2">
      <c r="B682" s="3" t="str">
        <f ca="1">IFERROR(__xludf.DUMMYFUNCTION("IF(ISBLANK(A682),"""",GOOGLETRANSLATE(A682,""en"",""fr""))"),"")</f>
        <v/>
      </c>
    </row>
    <row r="683" spans="2:2">
      <c r="B683" s="3" t="str">
        <f ca="1">IFERROR(__xludf.DUMMYFUNCTION("IF(ISBLANK(A683),"""",GOOGLETRANSLATE(A683,""en"",""fr""))"),"")</f>
        <v/>
      </c>
    </row>
    <row r="684" spans="2:2">
      <c r="B684" s="3" t="str">
        <f ca="1">IFERROR(__xludf.DUMMYFUNCTION("IF(ISBLANK(A684),"""",GOOGLETRANSLATE(A684,""en"",""fr""))"),"")</f>
        <v/>
      </c>
    </row>
    <row r="685" spans="2:2">
      <c r="B685" s="3" t="str">
        <f ca="1">IFERROR(__xludf.DUMMYFUNCTION("IF(ISBLANK(A685),"""",GOOGLETRANSLATE(A685,""en"",""fr""))"),"")</f>
        <v/>
      </c>
    </row>
    <row r="686" spans="2:2">
      <c r="B686" s="3" t="str">
        <f ca="1">IFERROR(__xludf.DUMMYFUNCTION("IF(ISBLANK(A686),"""",GOOGLETRANSLATE(A686,""en"",""fr""))"),"")</f>
        <v/>
      </c>
    </row>
    <row r="687" spans="2:2">
      <c r="B687" s="3" t="str">
        <f ca="1">IFERROR(__xludf.DUMMYFUNCTION("IF(ISBLANK(A687),"""",GOOGLETRANSLATE(A687,""en"",""fr""))"),"")</f>
        <v/>
      </c>
    </row>
    <row r="688" spans="2:2">
      <c r="B688" s="3" t="str">
        <f ca="1">IFERROR(__xludf.DUMMYFUNCTION("IF(ISBLANK(A688),"""",GOOGLETRANSLATE(A688,""en"",""fr""))"),"")</f>
        <v/>
      </c>
    </row>
    <row r="689" spans="2:2">
      <c r="B689" s="3" t="str">
        <f ca="1">IFERROR(__xludf.DUMMYFUNCTION("IF(ISBLANK(A689),"""",GOOGLETRANSLATE(A689,""en"",""fr""))"),"")</f>
        <v/>
      </c>
    </row>
    <row r="690" spans="2:2">
      <c r="B690" s="3" t="str">
        <f ca="1">IFERROR(__xludf.DUMMYFUNCTION("IF(ISBLANK(A690),"""",GOOGLETRANSLATE(A690,""en"",""fr""))"),"")</f>
        <v/>
      </c>
    </row>
    <row r="691" spans="2:2">
      <c r="B691" s="3" t="str">
        <f ca="1">IFERROR(__xludf.DUMMYFUNCTION("IF(ISBLANK(A691),"""",GOOGLETRANSLATE(A691,""en"",""fr""))"),"")</f>
        <v/>
      </c>
    </row>
    <row r="692" spans="2:2">
      <c r="B692" s="3" t="str">
        <f ca="1">IFERROR(__xludf.DUMMYFUNCTION("IF(ISBLANK(A692),"""",GOOGLETRANSLATE(A692,""en"",""fr""))"),"")</f>
        <v/>
      </c>
    </row>
    <row r="693" spans="2:2">
      <c r="B693" s="3" t="str">
        <f ca="1">IFERROR(__xludf.DUMMYFUNCTION("IF(ISBLANK(A693),"""",GOOGLETRANSLATE(A693,""en"",""fr""))"),"")</f>
        <v/>
      </c>
    </row>
    <row r="694" spans="2:2">
      <c r="B694" s="3" t="str">
        <f ca="1">IFERROR(__xludf.DUMMYFUNCTION("IF(ISBLANK(A694),"""",GOOGLETRANSLATE(A694,""en"",""fr""))"),"")</f>
        <v/>
      </c>
    </row>
    <row r="695" spans="2:2">
      <c r="B695" s="3" t="str">
        <f ca="1">IFERROR(__xludf.DUMMYFUNCTION("IF(ISBLANK(A695),"""",GOOGLETRANSLATE(A695,""en"",""fr""))"),"")</f>
        <v/>
      </c>
    </row>
    <row r="696" spans="2:2">
      <c r="B696" s="3" t="str">
        <f ca="1">IFERROR(__xludf.DUMMYFUNCTION("IF(ISBLANK(A696),"""",GOOGLETRANSLATE(A696,""en"",""fr""))"),"")</f>
        <v/>
      </c>
    </row>
    <row r="697" spans="2:2">
      <c r="B697" s="3" t="str">
        <f ca="1">IFERROR(__xludf.DUMMYFUNCTION("IF(ISBLANK(A697),"""",GOOGLETRANSLATE(A697,""en"",""fr""))"),"")</f>
        <v/>
      </c>
    </row>
    <row r="698" spans="2:2">
      <c r="B698" s="3" t="str">
        <f ca="1">IFERROR(__xludf.DUMMYFUNCTION("IF(ISBLANK(A698),"""",GOOGLETRANSLATE(A698,""en"",""fr""))"),"")</f>
        <v/>
      </c>
    </row>
    <row r="699" spans="2:2">
      <c r="B699" s="3" t="str">
        <f ca="1">IFERROR(__xludf.DUMMYFUNCTION("IF(ISBLANK(A699),"""",GOOGLETRANSLATE(A699,""en"",""fr""))"),"")</f>
        <v/>
      </c>
    </row>
    <row r="700" spans="2:2">
      <c r="B700" s="3" t="str">
        <f ca="1">IFERROR(__xludf.DUMMYFUNCTION("IF(ISBLANK(A700),"""",GOOGLETRANSLATE(A700,""en"",""fr""))"),"")</f>
        <v/>
      </c>
    </row>
    <row r="701" spans="2:2">
      <c r="B701" s="3" t="str">
        <f ca="1">IFERROR(__xludf.DUMMYFUNCTION("IF(ISBLANK(A701),"""",GOOGLETRANSLATE(A701,""en"",""fr""))"),"")</f>
        <v/>
      </c>
    </row>
    <row r="702" spans="2:2">
      <c r="B702" s="3" t="str">
        <f ca="1">IFERROR(__xludf.DUMMYFUNCTION("IF(ISBLANK(A702),"""",GOOGLETRANSLATE(A702,""en"",""fr""))"),"")</f>
        <v/>
      </c>
    </row>
    <row r="703" spans="2:2">
      <c r="B703" s="3" t="str">
        <f ca="1">IFERROR(__xludf.DUMMYFUNCTION("IF(ISBLANK(A703),"""",GOOGLETRANSLATE(A703,""en"",""fr""))"),"")</f>
        <v/>
      </c>
    </row>
    <row r="704" spans="2:2">
      <c r="B704" s="3" t="str">
        <f ca="1">IFERROR(__xludf.DUMMYFUNCTION("IF(ISBLANK(A704),"""",GOOGLETRANSLATE(A704,""en"",""fr""))"),"")</f>
        <v/>
      </c>
    </row>
    <row r="705" spans="2:2">
      <c r="B705" s="3" t="str">
        <f ca="1">IFERROR(__xludf.DUMMYFUNCTION("IF(ISBLANK(A705),"""",GOOGLETRANSLATE(A705,""en"",""fr""))"),"")</f>
        <v/>
      </c>
    </row>
    <row r="706" spans="2:2">
      <c r="B706" s="3" t="str">
        <f ca="1">IFERROR(__xludf.DUMMYFUNCTION("IF(ISBLANK(A706),"""",GOOGLETRANSLATE(A706,""en"",""fr""))"),"")</f>
        <v/>
      </c>
    </row>
    <row r="707" spans="2:2">
      <c r="B707" s="3" t="str">
        <f ca="1">IFERROR(__xludf.DUMMYFUNCTION("IF(ISBLANK(A707),"""",GOOGLETRANSLATE(A707,""en"",""fr""))"),"")</f>
        <v/>
      </c>
    </row>
    <row r="708" spans="2:2">
      <c r="B708" s="3" t="str">
        <f ca="1">IFERROR(__xludf.DUMMYFUNCTION("IF(ISBLANK(A708),"""",GOOGLETRANSLATE(A708,""en"",""fr""))"),"")</f>
        <v/>
      </c>
    </row>
    <row r="709" spans="2:2">
      <c r="B709" s="3" t="str">
        <f ca="1">IFERROR(__xludf.DUMMYFUNCTION("IF(ISBLANK(A709),"""",GOOGLETRANSLATE(A709,""en"",""fr""))"),"")</f>
        <v/>
      </c>
    </row>
    <row r="710" spans="2:2">
      <c r="B710" s="3" t="str">
        <f ca="1">IFERROR(__xludf.DUMMYFUNCTION("IF(ISBLANK(A710),"""",GOOGLETRANSLATE(A710,""en"",""fr""))"),"")</f>
        <v/>
      </c>
    </row>
    <row r="711" spans="2:2">
      <c r="B711" s="3" t="str">
        <f ca="1">IFERROR(__xludf.DUMMYFUNCTION("IF(ISBLANK(A711),"""",GOOGLETRANSLATE(A711,""en"",""fr""))"),"")</f>
        <v/>
      </c>
    </row>
    <row r="712" spans="2:2">
      <c r="B712" s="3" t="str">
        <f ca="1">IFERROR(__xludf.DUMMYFUNCTION("IF(ISBLANK(A712),"""",GOOGLETRANSLATE(A712,""en"",""fr""))"),"")</f>
        <v/>
      </c>
    </row>
    <row r="713" spans="2:2">
      <c r="B713" s="3" t="str">
        <f ca="1">IFERROR(__xludf.DUMMYFUNCTION("IF(ISBLANK(A713),"""",GOOGLETRANSLATE(A713,""en"",""fr""))"),"")</f>
        <v/>
      </c>
    </row>
    <row r="714" spans="2:2">
      <c r="B714" s="3" t="str">
        <f ca="1">IFERROR(__xludf.DUMMYFUNCTION("IF(ISBLANK(A714),"""",GOOGLETRANSLATE(A714,""en"",""fr""))"),"")</f>
        <v/>
      </c>
    </row>
    <row r="715" spans="2:2">
      <c r="B715" s="3" t="str">
        <f ca="1">IFERROR(__xludf.DUMMYFUNCTION("IF(ISBLANK(A715),"""",GOOGLETRANSLATE(A715,""en"",""fr""))"),"")</f>
        <v/>
      </c>
    </row>
    <row r="716" spans="2:2">
      <c r="B716" s="3" t="str">
        <f ca="1">IFERROR(__xludf.DUMMYFUNCTION("IF(ISBLANK(A716),"""",GOOGLETRANSLATE(A716,""en"",""fr""))"),"")</f>
        <v/>
      </c>
    </row>
    <row r="717" spans="2:2">
      <c r="B717" s="3" t="str">
        <f ca="1">IFERROR(__xludf.DUMMYFUNCTION("IF(ISBLANK(A717),"""",GOOGLETRANSLATE(A717,""en"",""fr""))"),"")</f>
        <v/>
      </c>
    </row>
    <row r="718" spans="2:2">
      <c r="B718" s="3" t="str">
        <f ca="1">IFERROR(__xludf.DUMMYFUNCTION("IF(ISBLANK(A718),"""",GOOGLETRANSLATE(A718,""en"",""fr""))"),"")</f>
        <v/>
      </c>
    </row>
    <row r="719" spans="2:2">
      <c r="B719" s="3" t="str">
        <f ca="1">IFERROR(__xludf.DUMMYFUNCTION("IF(ISBLANK(A719),"""",GOOGLETRANSLATE(A719,""en"",""fr""))"),"")</f>
        <v/>
      </c>
    </row>
    <row r="720" spans="2:2">
      <c r="B720" s="3" t="str">
        <f ca="1">IFERROR(__xludf.DUMMYFUNCTION("IF(ISBLANK(A720),"""",GOOGLETRANSLATE(A720,""en"",""fr""))"),"")</f>
        <v/>
      </c>
    </row>
    <row r="721" spans="2:2">
      <c r="B721" s="3" t="str">
        <f ca="1">IFERROR(__xludf.DUMMYFUNCTION("IF(ISBLANK(A721),"""",GOOGLETRANSLATE(A721,""en"",""fr""))"),"")</f>
        <v/>
      </c>
    </row>
    <row r="722" spans="2:2">
      <c r="B722" s="3" t="str">
        <f ca="1">IFERROR(__xludf.DUMMYFUNCTION("IF(ISBLANK(A722),"""",GOOGLETRANSLATE(A722,""en"",""fr""))"),"")</f>
        <v/>
      </c>
    </row>
    <row r="723" spans="2:2">
      <c r="B723" s="3" t="str">
        <f ca="1">IFERROR(__xludf.DUMMYFUNCTION("IF(ISBLANK(A723),"""",GOOGLETRANSLATE(A723,""en"",""fr""))"),"")</f>
        <v/>
      </c>
    </row>
    <row r="724" spans="2:2">
      <c r="B724" s="3" t="str">
        <f ca="1">IFERROR(__xludf.DUMMYFUNCTION("IF(ISBLANK(A724),"""",GOOGLETRANSLATE(A724,""en"",""fr""))"),"")</f>
        <v/>
      </c>
    </row>
    <row r="725" spans="2:2">
      <c r="B725" s="3" t="str">
        <f ca="1">IFERROR(__xludf.DUMMYFUNCTION("IF(ISBLANK(A725),"""",GOOGLETRANSLATE(A725,""en"",""fr""))"),"")</f>
        <v/>
      </c>
    </row>
    <row r="726" spans="2:2">
      <c r="B726" s="3" t="str">
        <f ca="1">IFERROR(__xludf.DUMMYFUNCTION("IF(ISBLANK(A726),"""",GOOGLETRANSLATE(A726,""en"",""fr""))"),"")</f>
        <v/>
      </c>
    </row>
    <row r="727" spans="2:2">
      <c r="B727" s="3" t="str">
        <f ca="1">IFERROR(__xludf.DUMMYFUNCTION("IF(ISBLANK(A727),"""",GOOGLETRANSLATE(A727,""en"",""fr""))"),"")</f>
        <v/>
      </c>
    </row>
    <row r="728" spans="2:2">
      <c r="B728" s="3" t="str">
        <f ca="1">IFERROR(__xludf.DUMMYFUNCTION("IF(ISBLANK(A728),"""",GOOGLETRANSLATE(A728,""en"",""fr""))"),"")</f>
        <v/>
      </c>
    </row>
    <row r="729" spans="2:2">
      <c r="B729" s="3" t="str">
        <f ca="1">IFERROR(__xludf.DUMMYFUNCTION("IF(ISBLANK(A729),"""",GOOGLETRANSLATE(A729,""en"",""fr""))"),"")</f>
        <v/>
      </c>
    </row>
    <row r="730" spans="2:2">
      <c r="B730" s="3" t="str">
        <f ca="1">IFERROR(__xludf.DUMMYFUNCTION("IF(ISBLANK(A730),"""",GOOGLETRANSLATE(A730,""en"",""fr""))"),"")</f>
        <v/>
      </c>
    </row>
    <row r="731" spans="2:2">
      <c r="B731" s="3" t="str">
        <f ca="1">IFERROR(__xludf.DUMMYFUNCTION("IF(ISBLANK(A731),"""",GOOGLETRANSLATE(A731,""en"",""fr""))"),"")</f>
        <v/>
      </c>
    </row>
    <row r="732" spans="2:2">
      <c r="B732" s="3" t="str">
        <f ca="1">IFERROR(__xludf.DUMMYFUNCTION("IF(ISBLANK(A732),"""",GOOGLETRANSLATE(A732,""en"",""fr""))"),"")</f>
        <v/>
      </c>
    </row>
    <row r="733" spans="2:2">
      <c r="B733" s="3" t="str">
        <f ca="1">IFERROR(__xludf.DUMMYFUNCTION("IF(ISBLANK(A733),"""",GOOGLETRANSLATE(A733,""en"",""fr""))"),"")</f>
        <v/>
      </c>
    </row>
    <row r="734" spans="2:2">
      <c r="B734" s="3" t="str">
        <f ca="1">IFERROR(__xludf.DUMMYFUNCTION("IF(ISBLANK(A734),"""",GOOGLETRANSLATE(A734,""en"",""fr""))"),"")</f>
        <v/>
      </c>
    </row>
    <row r="735" spans="2:2">
      <c r="B735" s="3" t="str">
        <f ca="1">IFERROR(__xludf.DUMMYFUNCTION("IF(ISBLANK(A735),"""",GOOGLETRANSLATE(A735,""en"",""fr""))"),"")</f>
        <v/>
      </c>
    </row>
    <row r="736" spans="2:2">
      <c r="B736" s="3" t="str">
        <f ca="1">IFERROR(__xludf.DUMMYFUNCTION("IF(ISBLANK(A736),"""",GOOGLETRANSLATE(A736,""en"",""fr""))"),"")</f>
        <v/>
      </c>
    </row>
    <row r="737" spans="2:2">
      <c r="B737" s="3" t="str">
        <f ca="1">IFERROR(__xludf.DUMMYFUNCTION("IF(ISBLANK(A737),"""",GOOGLETRANSLATE(A737,""en"",""fr""))"),"")</f>
        <v/>
      </c>
    </row>
    <row r="738" spans="2:2">
      <c r="B738" s="3" t="str">
        <f ca="1">IFERROR(__xludf.DUMMYFUNCTION("IF(ISBLANK(A738),"""",GOOGLETRANSLATE(A738,""en"",""fr""))"),"")</f>
        <v/>
      </c>
    </row>
    <row r="739" spans="2:2">
      <c r="B739" s="3" t="str">
        <f ca="1">IFERROR(__xludf.DUMMYFUNCTION("IF(ISBLANK(A739),"""",GOOGLETRANSLATE(A739,""en"",""fr""))"),"")</f>
        <v/>
      </c>
    </row>
    <row r="740" spans="2:2">
      <c r="B740" s="3" t="str">
        <f ca="1">IFERROR(__xludf.DUMMYFUNCTION("IF(ISBLANK(A740),"""",GOOGLETRANSLATE(A740,""en"",""fr""))"),"")</f>
        <v/>
      </c>
    </row>
    <row r="741" spans="2:2">
      <c r="B741" s="3" t="str">
        <f ca="1">IFERROR(__xludf.DUMMYFUNCTION("IF(ISBLANK(A741),"""",GOOGLETRANSLATE(A741,""en"",""fr""))"),"")</f>
        <v/>
      </c>
    </row>
    <row r="742" spans="2:2">
      <c r="B742" s="3" t="str">
        <f ca="1">IFERROR(__xludf.DUMMYFUNCTION("IF(ISBLANK(A742),"""",GOOGLETRANSLATE(A742,""en"",""fr""))"),"")</f>
        <v/>
      </c>
    </row>
    <row r="743" spans="2:2">
      <c r="B743" s="3" t="str">
        <f ca="1">IFERROR(__xludf.DUMMYFUNCTION("IF(ISBLANK(A743),"""",GOOGLETRANSLATE(A743,""en"",""fr""))"),"")</f>
        <v/>
      </c>
    </row>
    <row r="744" spans="2:2">
      <c r="B744" s="3" t="str">
        <f ca="1">IFERROR(__xludf.DUMMYFUNCTION("IF(ISBLANK(A744),"""",GOOGLETRANSLATE(A744,""en"",""fr""))"),"")</f>
        <v/>
      </c>
    </row>
    <row r="745" spans="2:2">
      <c r="B745" s="3" t="str">
        <f ca="1">IFERROR(__xludf.DUMMYFUNCTION("IF(ISBLANK(A745),"""",GOOGLETRANSLATE(A745,""en"",""fr""))"),"")</f>
        <v/>
      </c>
    </row>
    <row r="746" spans="2:2">
      <c r="B746" s="3" t="str">
        <f ca="1">IFERROR(__xludf.DUMMYFUNCTION("IF(ISBLANK(A746),"""",GOOGLETRANSLATE(A746,""en"",""fr""))"),"")</f>
        <v/>
      </c>
    </row>
    <row r="747" spans="2:2">
      <c r="B747" s="3" t="str">
        <f ca="1">IFERROR(__xludf.DUMMYFUNCTION("IF(ISBLANK(A747),"""",GOOGLETRANSLATE(A747,""en"",""fr""))"),"")</f>
        <v/>
      </c>
    </row>
    <row r="748" spans="2:2">
      <c r="B748" s="3" t="str">
        <f ca="1">IFERROR(__xludf.DUMMYFUNCTION("IF(ISBLANK(A748),"""",GOOGLETRANSLATE(A748,""en"",""fr""))"),"")</f>
        <v/>
      </c>
    </row>
    <row r="749" spans="2:2">
      <c r="B749" s="3" t="str">
        <f ca="1">IFERROR(__xludf.DUMMYFUNCTION("IF(ISBLANK(A749),"""",GOOGLETRANSLATE(A749,""en"",""fr""))"),"")</f>
        <v/>
      </c>
    </row>
    <row r="750" spans="2:2">
      <c r="B750" s="3" t="str">
        <f ca="1">IFERROR(__xludf.DUMMYFUNCTION("IF(ISBLANK(A750),"""",GOOGLETRANSLATE(A750,""en"",""fr""))"),"")</f>
        <v/>
      </c>
    </row>
    <row r="751" spans="2:2">
      <c r="B751" s="3" t="str">
        <f ca="1">IFERROR(__xludf.DUMMYFUNCTION("IF(ISBLANK(A751),"""",GOOGLETRANSLATE(A751,""en"",""fr""))"),"")</f>
        <v/>
      </c>
    </row>
    <row r="752" spans="2:2">
      <c r="B752" s="3" t="str">
        <f ca="1">IFERROR(__xludf.DUMMYFUNCTION("IF(ISBLANK(A752),"""",GOOGLETRANSLATE(A752,""en"",""fr""))"),"")</f>
        <v/>
      </c>
    </row>
    <row r="753" spans="2:2">
      <c r="B753" s="3" t="str">
        <f ca="1">IFERROR(__xludf.DUMMYFUNCTION("IF(ISBLANK(A753),"""",GOOGLETRANSLATE(A753,""en"",""fr""))"),"")</f>
        <v/>
      </c>
    </row>
    <row r="754" spans="2:2">
      <c r="B754" s="3" t="str">
        <f ca="1">IFERROR(__xludf.DUMMYFUNCTION("IF(ISBLANK(A754),"""",GOOGLETRANSLATE(A754,""en"",""fr""))"),"")</f>
        <v/>
      </c>
    </row>
    <row r="755" spans="2:2">
      <c r="B755" s="3" t="str">
        <f ca="1">IFERROR(__xludf.DUMMYFUNCTION("IF(ISBLANK(A755),"""",GOOGLETRANSLATE(A755,""en"",""fr""))"),"")</f>
        <v/>
      </c>
    </row>
    <row r="756" spans="2:2">
      <c r="B756" s="3" t="str">
        <f ca="1">IFERROR(__xludf.DUMMYFUNCTION("IF(ISBLANK(A756),"""",GOOGLETRANSLATE(A756,""en"",""fr""))"),"")</f>
        <v/>
      </c>
    </row>
    <row r="757" spans="2:2">
      <c r="B757" s="3" t="str">
        <f ca="1">IFERROR(__xludf.DUMMYFUNCTION("IF(ISBLANK(A757),"""",GOOGLETRANSLATE(A757,""en"",""fr""))"),"")</f>
        <v/>
      </c>
    </row>
    <row r="758" spans="2:2">
      <c r="B758" s="3" t="str">
        <f ca="1">IFERROR(__xludf.DUMMYFUNCTION("IF(ISBLANK(A758),"""",GOOGLETRANSLATE(A758,""en"",""fr""))"),"")</f>
        <v/>
      </c>
    </row>
    <row r="759" spans="2:2">
      <c r="B759" s="3" t="str">
        <f ca="1">IFERROR(__xludf.DUMMYFUNCTION("IF(ISBLANK(A759),"""",GOOGLETRANSLATE(A759,""en"",""fr""))"),"")</f>
        <v/>
      </c>
    </row>
    <row r="760" spans="2:2">
      <c r="B760" s="3" t="str">
        <f ca="1">IFERROR(__xludf.DUMMYFUNCTION("IF(ISBLANK(A760),"""",GOOGLETRANSLATE(A760,""en"",""fr""))"),"")</f>
        <v/>
      </c>
    </row>
    <row r="761" spans="2:2">
      <c r="B761" s="3" t="str">
        <f ca="1">IFERROR(__xludf.DUMMYFUNCTION("IF(ISBLANK(A761),"""",GOOGLETRANSLATE(A761,""en"",""fr""))"),"")</f>
        <v/>
      </c>
    </row>
    <row r="762" spans="2:2">
      <c r="B762" s="3" t="str">
        <f ca="1">IFERROR(__xludf.DUMMYFUNCTION("IF(ISBLANK(A762),"""",GOOGLETRANSLATE(A762,""en"",""fr""))"),"")</f>
        <v/>
      </c>
    </row>
    <row r="763" spans="2:2">
      <c r="B763" s="3" t="str">
        <f ca="1">IFERROR(__xludf.DUMMYFUNCTION("IF(ISBLANK(A763),"""",GOOGLETRANSLATE(A763,""en"",""fr""))"),"")</f>
        <v/>
      </c>
    </row>
    <row r="764" spans="2:2">
      <c r="B764" s="3" t="str">
        <f ca="1">IFERROR(__xludf.DUMMYFUNCTION("IF(ISBLANK(A764),"""",GOOGLETRANSLATE(A764,""en"",""fr""))"),"")</f>
        <v/>
      </c>
    </row>
    <row r="765" spans="2:2">
      <c r="B765" s="3" t="str">
        <f ca="1">IFERROR(__xludf.DUMMYFUNCTION("IF(ISBLANK(A765),"""",GOOGLETRANSLATE(A765,""en"",""fr""))"),"")</f>
        <v/>
      </c>
    </row>
    <row r="766" spans="2:2">
      <c r="B766" s="3" t="str">
        <f ca="1">IFERROR(__xludf.DUMMYFUNCTION("IF(ISBLANK(A766),"""",GOOGLETRANSLATE(A766,""en"",""fr""))"),"")</f>
        <v/>
      </c>
    </row>
    <row r="767" spans="2:2">
      <c r="B767" s="3" t="str">
        <f ca="1">IFERROR(__xludf.DUMMYFUNCTION("IF(ISBLANK(A767),"""",GOOGLETRANSLATE(A767,""en"",""fr""))"),"")</f>
        <v/>
      </c>
    </row>
    <row r="768" spans="2:2">
      <c r="B768" s="3" t="str">
        <f ca="1">IFERROR(__xludf.DUMMYFUNCTION("IF(ISBLANK(A768),"""",GOOGLETRANSLATE(A768,""en"",""fr""))"),"")</f>
        <v/>
      </c>
    </row>
    <row r="769" spans="2:2">
      <c r="B769" s="3" t="str">
        <f ca="1">IFERROR(__xludf.DUMMYFUNCTION("IF(ISBLANK(A769),"""",GOOGLETRANSLATE(A769,""en"",""fr""))"),"")</f>
        <v/>
      </c>
    </row>
    <row r="770" spans="2:2">
      <c r="B770" s="3" t="str">
        <f ca="1">IFERROR(__xludf.DUMMYFUNCTION("IF(ISBLANK(A770),"""",GOOGLETRANSLATE(A770,""en"",""fr""))"),"")</f>
        <v/>
      </c>
    </row>
    <row r="771" spans="2:2">
      <c r="B771" s="3" t="str">
        <f ca="1">IFERROR(__xludf.DUMMYFUNCTION("IF(ISBLANK(A771),"""",GOOGLETRANSLATE(A771,""en"",""fr""))"),"")</f>
        <v/>
      </c>
    </row>
    <row r="772" spans="2:2">
      <c r="B772" s="3" t="str">
        <f ca="1">IFERROR(__xludf.DUMMYFUNCTION("IF(ISBLANK(A772),"""",GOOGLETRANSLATE(A772,""en"",""fr""))"),"")</f>
        <v/>
      </c>
    </row>
    <row r="773" spans="2:2">
      <c r="B773" s="3" t="str">
        <f ca="1">IFERROR(__xludf.DUMMYFUNCTION("IF(ISBLANK(A773),"""",GOOGLETRANSLATE(A773,""en"",""fr""))"),"")</f>
        <v/>
      </c>
    </row>
    <row r="774" spans="2:2">
      <c r="B774" s="3" t="str">
        <f ca="1">IFERROR(__xludf.DUMMYFUNCTION("IF(ISBLANK(A774),"""",GOOGLETRANSLATE(A774,""en"",""fr""))"),"")</f>
        <v/>
      </c>
    </row>
    <row r="775" spans="2:2">
      <c r="B775" s="3" t="str">
        <f ca="1">IFERROR(__xludf.DUMMYFUNCTION("IF(ISBLANK(A775),"""",GOOGLETRANSLATE(A775,""en"",""fr""))"),"")</f>
        <v/>
      </c>
    </row>
    <row r="776" spans="2:2">
      <c r="B776" s="3" t="str">
        <f ca="1">IFERROR(__xludf.DUMMYFUNCTION("IF(ISBLANK(A776),"""",GOOGLETRANSLATE(A776,""en"",""fr""))"),"")</f>
        <v/>
      </c>
    </row>
    <row r="777" spans="2:2">
      <c r="B777" s="3" t="str">
        <f ca="1">IFERROR(__xludf.DUMMYFUNCTION("IF(ISBLANK(A777),"""",GOOGLETRANSLATE(A777,""en"",""fr""))"),"")</f>
        <v/>
      </c>
    </row>
    <row r="778" spans="2:2">
      <c r="B778" s="3" t="str">
        <f ca="1">IFERROR(__xludf.DUMMYFUNCTION("IF(ISBLANK(A778),"""",GOOGLETRANSLATE(A778,""en"",""fr""))"),"")</f>
        <v/>
      </c>
    </row>
    <row r="779" spans="2:2">
      <c r="B779" s="3" t="str">
        <f ca="1">IFERROR(__xludf.DUMMYFUNCTION("IF(ISBLANK(A779),"""",GOOGLETRANSLATE(A779,""en"",""fr""))"),"")</f>
        <v/>
      </c>
    </row>
    <row r="780" spans="2:2">
      <c r="B780" s="3" t="str">
        <f ca="1">IFERROR(__xludf.DUMMYFUNCTION("IF(ISBLANK(A780),"""",GOOGLETRANSLATE(A780,""en"",""fr""))"),"")</f>
        <v/>
      </c>
    </row>
    <row r="781" spans="2:2">
      <c r="B781" s="3" t="str">
        <f ca="1">IFERROR(__xludf.DUMMYFUNCTION("IF(ISBLANK(A781),"""",GOOGLETRANSLATE(A781,""en"",""fr""))"),"")</f>
        <v/>
      </c>
    </row>
    <row r="782" spans="2:2">
      <c r="B782" s="3" t="str">
        <f ca="1">IFERROR(__xludf.DUMMYFUNCTION("IF(ISBLANK(A782),"""",GOOGLETRANSLATE(A782,""en"",""fr""))"),"")</f>
        <v/>
      </c>
    </row>
    <row r="783" spans="2:2">
      <c r="B783" s="3" t="str">
        <f ca="1">IFERROR(__xludf.DUMMYFUNCTION("IF(ISBLANK(A783),"""",GOOGLETRANSLATE(A783,""en"",""fr""))"),"")</f>
        <v/>
      </c>
    </row>
    <row r="784" spans="2:2">
      <c r="B784" s="3" t="str">
        <f ca="1">IFERROR(__xludf.DUMMYFUNCTION("IF(ISBLANK(A784),"""",GOOGLETRANSLATE(A784,""en"",""fr""))"),"")</f>
        <v/>
      </c>
    </row>
    <row r="785" spans="2:2">
      <c r="B785" s="3" t="str">
        <f ca="1">IFERROR(__xludf.DUMMYFUNCTION("IF(ISBLANK(A785),"""",GOOGLETRANSLATE(A785,""en"",""fr""))"),"")</f>
        <v/>
      </c>
    </row>
    <row r="786" spans="2:2">
      <c r="B786" s="3" t="str">
        <f ca="1">IFERROR(__xludf.DUMMYFUNCTION("IF(ISBLANK(A786),"""",GOOGLETRANSLATE(A786,""en"",""fr""))"),"")</f>
        <v/>
      </c>
    </row>
    <row r="787" spans="2:2">
      <c r="B787" s="3" t="str">
        <f ca="1">IFERROR(__xludf.DUMMYFUNCTION("IF(ISBLANK(A787),"""",GOOGLETRANSLATE(A787,""en"",""fr""))"),"")</f>
        <v/>
      </c>
    </row>
    <row r="788" spans="2:2">
      <c r="B788" s="3" t="str">
        <f ca="1">IFERROR(__xludf.DUMMYFUNCTION("IF(ISBLANK(A788),"""",GOOGLETRANSLATE(A788,""en"",""fr""))"),"")</f>
        <v/>
      </c>
    </row>
    <row r="789" spans="2:2">
      <c r="B789" s="3" t="str">
        <f ca="1">IFERROR(__xludf.DUMMYFUNCTION("IF(ISBLANK(A789),"""",GOOGLETRANSLATE(A789,""en"",""fr""))"),"")</f>
        <v/>
      </c>
    </row>
    <row r="790" spans="2:2">
      <c r="B790" s="3" t="str">
        <f ca="1">IFERROR(__xludf.DUMMYFUNCTION("IF(ISBLANK(A790),"""",GOOGLETRANSLATE(A790,""en"",""fr""))"),"")</f>
        <v/>
      </c>
    </row>
    <row r="791" spans="2:2">
      <c r="B791" s="3" t="str">
        <f ca="1">IFERROR(__xludf.DUMMYFUNCTION("IF(ISBLANK(A791),"""",GOOGLETRANSLATE(A791,""en"",""fr""))"),"")</f>
        <v/>
      </c>
    </row>
    <row r="792" spans="2:2">
      <c r="B792" s="3" t="str">
        <f ca="1">IFERROR(__xludf.DUMMYFUNCTION("IF(ISBLANK(A792),"""",GOOGLETRANSLATE(A792,""en"",""fr""))"),"")</f>
        <v/>
      </c>
    </row>
    <row r="793" spans="2:2">
      <c r="B793" s="3" t="str">
        <f ca="1">IFERROR(__xludf.DUMMYFUNCTION("IF(ISBLANK(A793),"""",GOOGLETRANSLATE(A793,""en"",""fr""))"),"")</f>
        <v/>
      </c>
    </row>
    <row r="794" spans="2:2">
      <c r="B794" s="3" t="str">
        <f ca="1">IFERROR(__xludf.DUMMYFUNCTION("IF(ISBLANK(A794),"""",GOOGLETRANSLATE(A794,""en"",""fr""))"),"")</f>
        <v/>
      </c>
    </row>
    <row r="795" spans="2:2">
      <c r="B795" s="3" t="str">
        <f ca="1">IFERROR(__xludf.DUMMYFUNCTION("IF(ISBLANK(A795),"""",GOOGLETRANSLATE(A795,""en"",""fr""))"),"")</f>
        <v/>
      </c>
    </row>
    <row r="796" spans="2:2">
      <c r="B796" s="3" t="str">
        <f ca="1">IFERROR(__xludf.DUMMYFUNCTION("IF(ISBLANK(A796),"""",GOOGLETRANSLATE(A796,""en"",""fr""))"),"")</f>
        <v/>
      </c>
    </row>
    <row r="797" spans="2:2">
      <c r="B797" s="3" t="str">
        <f ca="1">IFERROR(__xludf.DUMMYFUNCTION("IF(ISBLANK(A797),"""",GOOGLETRANSLATE(A797,""en"",""fr""))"),"")</f>
        <v/>
      </c>
    </row>
    <row r="798" spans="2:2">
      <c r="B798" s="3" t="str">
        <f ca="1">IFERROR(__xludf.DUMMYFUNCTION("IF(ISBLANK(A798),"""",GOOGLETRANSLATE(A798,""en"",""fr""))"),"")</f>
        <v/>
      </c>
    </row>
    <row r="799" spans="2:2">
      <c r="B799" s="3" t="str">
        <f ca="1">IFERROR(__xludf.DUMMYFUNCTION("IF(ISBLANK(A799),"""",GOOGLETRANSLATE(A799,""en"",""fr""))"),"")</f>
        <v/>
      </c>
    </row>
    <row r="800" spans="2:2">
      <c r="B800" s="3" t="str">
        <f ca="1">IFERROR(__xludf.DUMMYFUNCTION("IF(ISBLANK(A800),"""",GOOGLETRANSLATE(A800,""en"",""fr""))"),"")</f>
        <v/>
      </c>
    </row>
    <row r="801" spans="2:2">
      <c r="B801" s="3" t="str">
        <f ca="1">IFERROR(__xludf.DUMMYFUNCTION("IF(ISBLANK(A801),"""",GOOGLETRANSLATE(A801,""en"",""fr""))"),"")</f>
        <v/>
      </c>
    </row>
    <row r="802" spans="2:2">
      <c r="B802" s="3" t="str">
        <f ca="1">IFERROR(__xludf.DUMMYFUNCTION("IF(ISBLANK(A802),"""",GOOGLETRANSLATE(A802,""en"",""fr""))"),"")</f>
        <v/>
      </c>
    </row>
    <row r="803" spans="2:2">
      <c r="B803" s="3" t="str">
        <f ca="1">IFERROR(__xludf.DUMMYFUNCTION("IF(ISBLANK(A803),"""",GOOGLETRANSLATE(A803,""en"",""fr""))"),"")</f>
        <v/>
      </c>
    </row>
    <row r="804" spans="2:2">
      <c r="B804" s="3" t="str">
        <f ca="1">IFERROR(__xludf.DUMMYFUNCTION("IF(ISBLANK(A804),"""",GOOGLETRANSLATE(A804,""en"",""fr""))"),"")</f>
        <v/>
      </c>
    </row>
    <row r="805" spans="2:2">
      <c r="B805" s="3" t="str">
        <f ca="1">IFERROR(__xludf.DUMMYFUNCTION("IF(ISBLANK(A805),"""",GOOGLETRANSLATE(A805,""en"",""fr""))"),"")</f>
        <v/>
      </c>
    </row>
    <row r="806" spans="2:2">
      <c r="B806" s="3" t="str">
        <f ca="1">IFERROR(__xludf.DUMMYFUNCTION("IF(ISBLANK(A806),"""",GOOGLETRANSLATE(A806,""en"",""fr""))"),"")</f>
        <v/>
      </c>
    </row>
    <row r="807" spans="2:2">
      <c r="B807" s="3" t="str">
        <f ca="1">IFERROR(__xludf.DUMMYFUNCTION("IF(ISBLANK(A807),"""",GOOGLETRANSLATE(A807,""en"",""fr""))"),"")</f>
        <v/>
      </c>
    </row>
    <row r="808" spans="2:2">
      <c r="B808" s="3" t="str">
        <f ca="1">IFERROR(__xludf.DUMMYFUNCTION("IF(ISBLANK(A808),"""",GOOGLETRANSLATE(A808,""en"",""fr""))"),"")</f>
        <v/>
      </c>
    </row>
    <row r="809" spans="2:2">
      <c r="B809" s="3" t="str">
        <f ca="1">IFERROR(__xludf.DUMMYFUNCTION("IF(ISBLANK(A809),"""",GOOGLETRANSLATE(A809,""en"",""fr""))"),"")</f>
        <v/>
      </c>
    </row>
    <row r="810" spans="2:2">
      <c r="B810" s="3" t="str">
        <f ca="1">IFERROR(__xludf.DUMMYFUNCTION("IF(ISBLANK(A810),"""",GOOGLETRANSLATE(A810,""en"",""fr""))"),"")</f>
        <v/>
      </c>
    </row>
    <row r="811" spans="2:2">
      <c r="B811" s="3" t="str">
        <f ca="1">IFERROR(__xludf.DUMMYFUNCTION("IF(ISBLANK(A811),"""",GOOGLETRANSLATE(A811,""en"",""fr""))"),"")</f>
        <v/>
      </c>
    </row>
    <row r="812" spans="2:2">
      <c r="B812" s="3" t="str">
        <f ca="1">IFERROR(__xludf.DUMMYFUNCTION("IF(ISBLANK(A812),"""",GOOGLETRANSLATE(A812,""en"",""fr""))"),"")</f>
        <v/>
      </c>
    </row>
    <row r="813" spans="2:2">
      <c r="B813" s="3" t="str">
        <f ca="1">IFERROR(__xludf.DUMMYFUNCTION("IF(ISBLANK(A813),"""",GOOGLETRANSLATE(A813,""en"",""fr""))"),"")</f>
        <v/>
      </c>
    </row>
    <row r="814" spans="2:2">
      <c r="B814" s="3" t="str">
        <f ca="1">IFERROR(__xludf.DUMMYFUNCTION("IF(ISBLANK(A814),"""",GOOGLETRANSLATE(A814,""en"",""fr""))"),"")</f>
        <v/>
      </c>
    </row>
    <row r="815" spans="2:2">
      <c r="B815" s="3" t="str">
        <f ca="1">IFERROR(__xludf.DUMMYFUNCTION("IF(ISBLANK(A815),"""",GOOGLETRANSLATE(A815,""en"",""fr""))"),"")</f>
        <v/>
      </c>
    </row>
    <row r="816" spans="2:2">
      <c r="B816" s="3" t="str">
        <f ca="1">IFERROR(__xludf.DUMMYFUNCTION("IF(ISBLANK(A816),"""",GOOGLETRANSLATE(A816,""en"",""fr""))"),"")</f>
        <v/>
      </c>
    </row>
    <row r="817" spans="2:2">
      <c r="B817" s="3" t="str">
        <f ca="1">IFERROR(__xludf.DUMMYFUNCTION("IF(ISBLANK(A817),"""",GOOGLETRANSLATE(A817,""en"",""fr""))"),"")</f>
        <v/>
      </c>
    </row>
    <row r="818" spans="2:2">
      <c r="B818" s="3" t="str">
        <f ca="1">IFERROR(__xludf.DUMMYFUNCTION("IF(ISBLANK(A818),"""",GOOGLETRANSLATE(A818,""en"",""fr""))"),"")</f>
        <v/>
      </c>
    </row>
    <row r="819" spans="2:2">
      <c r="B819" s="3" t="str">
        <f ca="1">IFERROR(__xludf.DUMMYFUNCTION("IF(ISBLANK(A819),"""",GOOGLETRANSLATE(A819,""en"",""fr""))"),"")</f>
        <v/>
      </c>
    </row>
    <row r="820" spans="2:2">
      <c r="B820" s="3" t="str">
        <f ca="1">IFERROR(__xludf.DUMMYFUNCTION("IF(ISBLANK(A820),"""",GOOGLETRANSLATE(A820,""en"",""fr""))"),"")</f>
        <v/>
      </c>
    </row>
    <row r="821" spans="2:2">
      <c r="B821" s="3" t="str">
        <f ca="1">IFERROR(__xludf.DUMMYFUNCTION("IF(ISBLANK(A821),"""",GOOGLETRANSLATE(A821,""en"",""fr""))"),"")</f>
        <v/>
      </c>
    </row>
    <row r="822" spans="2:2">
      <c r="B822" s="3" t="str">
        <f ca="1">IFERROR(__xludf.DUMMYFUNCTION("IF(ISBLANK(A822),"""",GOOGLETRANSLATE(A822,""en"",""fr""))"),"")</f>
        <v/>
      </c>
    </row>
    <row r="823" spans="2:2">
      <c r="B823" s="3" t="str">
        <f ca="1">IFERROR(__xludf.DUMMYFUNCTION("IF(ISBLANK(A823),"""",GOOGLETRANSLATE(A823,""en"",""fr""))"),"")</f>
        <v/>
      </c>
    </row>
    <row r="824" spans="2:2">
      <c r="B824" s="3" t="str">
        <f ca="1">IFERROR(__xludf.DUMMYFUNCTION("IF(ISBLANK(A824),"""",GOOGLETRANSLATE(A824,""en"",""fr""))"),"")</f>
        <v/>
      </c>
    </row>
    <row r="825" spans="2:2">
      <c r="B825" s="3" t="str">
        <f ca="1">IFERROR(__xludf.DUMMYFUNCTION("IF(ISBLANK(A825),"""",GOOGLETRANSLATE(A825,""en"",""fr""))"),"")</f>
        <v/>
      </c>
    </row>
    <row r="826" spans="2:2">
      <c r="B826" s="3" t="str">
        <f ca="1">IFERROR(__xludf.DUMMYFUNCTION("IF(ISBLANK(A826),"""",GOOGLETRANSLATE(A826,""en"",""fr""))"),"")</f>
        <v/>
      </c>
    </row>
    <row r="827" spans="2:2">
      <c r="B827" s="3" t="str">
        <f ca="1">IFERROR(__xludf.DUMMYFUNCTION("IF(ISBLANK(A827),"""",GOOGLETRANSLATE(A827,""en"",""fr""))"),"")</f>
        <v/>
      </c>
    </row>
    <row r="828" spans="2:2">
      <c r="B828" s="3" t="str">
        <f ca="1">IFERROR(__xludf.DUMMYFUNCTION("IF(ISBLANK(A828),"""",GOOGLETRANSLATE(A828,""en"",""fr""))"),"")</f>
        <v/>
      </c>
    </row>
    <row r="829" spans="2:2">
      <c r="B829" s="3" t="str">
        <f ca="1">IFERROR(__xludf.DUMMYFUNCTION("IF(ISBLANK(A829),"""",GOOGLETRANSLATE(A829,""en"",""fr""))"),"")</f>
        <v/>
      </c>
    </row>
    <row r="830" spans="2:2">
      <c r="B830" s="3" t="str">
        <f ca="1">IFERROR(__xludf.DUMMYFUNCTION("IF(ISBLANK(A830),"""",GOOGLETRANSLATE(A830,""en"",""fr""))"),"")</f>
        <v/>
      </c>
    </row>
    <row r="831" spans="2:2">
      <c r="B831" s="3" t="str">
        <f ca="1">IFERROR(__xludf.DUMMYFUNCTION("IF(ISBLANK(A831),"""",GOOGLETRANSLATE(A831,""en"",""fr""))"),"")</f>
        <v/>
      </c>
    </row>
    <row r="832" spans="2:2">
      <c r="B832" s="3" t="str">
        <f ca="1">IFERROR(__xludf.DUMMYFUNCTION("IF(ISBLANK(A832),"""",GOOGLETRANSLATE(A832,""en"",""fr""))"),"")</f>
        <v/>
      </c>
    </row>
    <row r="833" spans="2:2">
      <c r="B833" s="3" t="str">
        <f ca="1">IFERROR(__xludf.DUMMYFUNCTION("IF(ISBLANK(A833),"""",GOOGLETRANSLATE(A833,""en"",""fr""))"),"")</f>
        <v/>
      </c>
    </row>
    <row r="834" spans="2:2">
      <c r="B834" s="3" t="str">
        <f ca="1">IFERROR(__xludf.DUMMYFUNCTION("IF(ISBLANK(A834),"""",GOOGLETRANSLATE(A834,""en"",""fr""))"),"")</f>
        <v/>
      </c>
    </row>
    <row r="835" spans="2:2">
      <c r="B835" s="3" t="str">
        <f ca="1">IFERROR(__xludf.DUMMYFUNCTION("IF(ISBLANK(A835),"""",GOOGLETRANSLATE(A835,""en"",""fr""))"),"")</f>
        <v/>
      </c>
    </row>
    <row r="836" spans="2:2">
      <c r="B836" s="3" t="str">
        <f ca="1">IFERROR(__xludf.DUMMYFUNCTION("IF(ISBLANK(A836),"""",GOOGLETRANSLATE(A836,""en"",""fr""))"),"")</f>
        <v/>
      </c>
    </row>
    <row r="837" spans="2:2">
      <c r="B837" s="3" t="str">
        <f ca="1">IFERROR(__xludf.DUMMYFUNCTION("IF(ISBLANK(A837),"""",GOOGLETRANSLATE(A837,""en"",""fr""))"),"")</f>
        <v/>
      </c>
    </row>
    <row r="838" spans="2:2">
      <c r="B838" s="3" t="str">
        <f ca="1">IFERROR(__xludf.DUMMYFUNCTION("IF(ISBLANK(A838),"""",GOOGLETRANSLATE(A838,""en"",""fr""))"),"")</f>
        <v/>
      </c>
    </row>
    <row r="839" spans="2:2">
      <c r="B839" s="3" t="str">
        <f ca="1">IFERROR(__xludf.DUMMYFUNCTION("IF(ISBLANK(A839),"""",GOOGLETRANSLATE(A839,""en"",""fr""))"),"")</f>
        <v/>
      </c>
    </row>
    <row r="840" spans="2:2">
      <c r="B840" s="3" t="str">
        <f ca="1">IFERROR(__xludf.DUMMYFUNCTION("IF(ISBLANK(A840),"""",GOOGLETRANSLATE(A840,""en"",""fr""))"),"")</f>
        <v/>
      </c>
    </row>
    <row r="841" spans="2:2">
      <c r="B841" s="3" t="str">
        <f ca="1">IFERROR(__xludf.DUMMYFUNCTION("IF(ISBLANK(A841),"""",GOOGLETRANSLATE(A841,""en"",""fr""))"),"")</f>
        <v/>
      </c>
    </row>
    <row r="842" spans="2:2">
      <c r="B842" s="3" t="str">
        <f ca="1">IFERROR(__xludf.DUMMYFUNCTION("IF(ISBLANK(A842),"""",GOOGLETRANSLATE(A842,""en"",""fr""))"),"")</f>
        <v/>
      </c>
    </row>
    <row r="843" spans="2:2">
      <c r="B843" s="3" t="str">
        <f ca="1">IFERROR(__xludf.DUMMYFUNCTION("IF(ISBLANK(A843),"""",GOOGLETRANSLATE(A843,""en"",""fr""))"),"")</f>
        <v/>
      </c>
    </row>
    <row r="844" spans="2:2">
      <c r="B844" s="3" t="str">
        <f ca="1">IFERROR(__xludf.DUMMYFUNCTION("IF(ISBLANK(A844),"""",GOOGLETRANSLATE(A844,""en"",""fr""))"),"")</f>
        <v/>
      </c>
    </row>
    <row r="845" spans="2:2">
      <c r="B845" s="3" t="str">
        <f ca="1">IFERROR(__xludf.DUMMYFUNCTION("IF(ISBLANK(A845),"""",GOOGLETRANSLATE(A845,""en"",""fr""))"),"")</f>
        <v/>
      </c>
    </row>
    <row r="846" spans="2:2">
      <c r="B846" s="3" t="str">
        <f ca="1">IFERROR(__xludf.DUMMYFUNCTION("IF(ISBLANK(A846),"""",GOOGLETRANSLATE(A846,""en"",""fr""))"),"")</f>
        <v/>
      </c>
    </row>
    <row r="847" spans="2:2">
      <c r="B847" s="3" t="str">
        <f ca="1">IFERROR(__xludf.DUMMYFUNCTION("IF(ISBLANK(A847),"""",GOOGLETRANSLATE(A847,""en"",""fr""))"),"")</f>
        <v/>
      </c>
    </row>
    <row r="848" spans="2:2">
      <c r="B848" s="3" t="str">
        <f ca="1">IFERROR(__xludf.DUMMYFUNCTION("IF(ISBLANK(A848),"""",GOOGLETRANSLATE(A848,""en"",""fr""))"),"")</f>
        <v/>
      </c>
    </row>
    <row r="849" spans="2:2">
      <c r="B849" s="3" t="str">
        <f ca="1">IFERROR(__xludf.DUMMYFUNCTION("IF(ISBLANK(A849),"""",GOOGLETRANSLATE(A849,""en"",""fr""))"),"")</f>
        <v/>
      </c>
    </row>
    <row r="850" spans="2:2">
      <c r="B850" s="3" t="str">
        <f ca="1">IFERROR(__xludf.DUMMYFUNCTION("IF(ISBLANK(A850),"""",GOOGLETRANSLATE(A850,""en"",""fr""))"),"")</f>
        <v/>
      </c>
    </row>
    <row r="851" spans="2:2">
      <c r="B851" s="3" t="str">
        <f ca="1">IFERROR(__xludf.DUMMYFUNCTION("IF(ISBLANK(A851),"""",GOOGLETRANSLATE(A851,""en"",""fr""))"),"")</f>
        <v/>
      </c>
    </row>
    <row r="852" spans="2:2">
      <c r="B852" s="3" t="str">
        <f ca="1">IFERROR(__xludf.DUMMYFUNCTION("IF(ISBLANK(A852),"""",GOOGLETRANSLATE(A852,""en"",""fr""))"),"")</f>
        <v/>
      </c>
    </row>
    <row r="853" spans="2:2">
      <c r="B853" s="3" t="str">
        <f ca="1">IFERROR(__xludf.DUMMYFUNCTION("IF(ISBLANK(A853),"""",GOOGLETRANSLATE(A853,""en"",""fr""))"),"")</f>
        <v/>
      </c>
    </row>
    <row r="854" spans="2:2">
      <c r="B854" s="3" t="str">
        <f ca="1">IFERROR(__xludf.DUMMYFUNCTION("IF(ISBLANK(A854),"""",GOOGLETRANSLATE(A854,""en"",""fr""))"),"")</f>
        <v/>
      </c>
    </row>
    <row r="855" spans="2:2">
      <c r="B855" s="3" t="str">
        <f ca="1">IFERROR(__xludf.DUMMYFUNCTION("IF(ISBLANK(A855),"""",GOOGLETRANSLATE(A855,""en"",""fr""))"),"")</f>
        <v/>
      </c>
    </row>
    <row r="856" spans="2:2">
      <c r="B856" s="3" t="str">
        <f ca="1">IFERROR(__xludf.DUMMYFUNCTION("IF(ISBLANK(A856),"""",GOOGLETRANSLATE(A856,""en"",""fr""))"),"")</f>
        <v/>
      </c>
    </row>
    <row r="857" spans="2:2">
      <c r="B857" s="3" t="str">
        <f ca="1">IFERROR(__xludf.DUMMYFUNCTION("IF(ISBLANK(A857),"""",GOOGLETRANSLATE(A857,""en"",""fr""))"),"")</f>
        <v/>
      </c>
    </row>
    <row r="858" spans="2:2">
      <c r="B858" s="3" t="str">
        <f ca="1">IFERROR(__xludf.DUMMYFUNCTION("IF(ISBLANK(A858),"""",GOOGLETRANSLATE(A858,""en"",""fr""))"),"")</f>
        <v/>
      </c>
    </row>
    <row r="859" spans="2:2">
      <c r="B859" s="3" t="str">
        <f ca="1">IFERROR(__xludf.DUMMYFUNCTION("IF(ISBLANK(A859),"""",GOOGLETRANSLATE(A859,""en"",""fr""))"),"")</f>
        <v/>
      </c>
    </row>
    <row r="860" spans="2:2">
      <c r="B860" s="3" t="str">
        <f ca="1">IFERROR(__xludf.DUMMYFUNCTION("IF(ISBLANK(A860),"""",GOOGLETRANSLATE(A860,""en"",""fr""))"),"")</f>
        <v/>
      </c>
    </row>
    <row r="861" spans="2:2">
      <c r="B861" s="3" t="str">
        <f ca="1">IFERROR(__xludf.DUMMYFUNCTION("IF(ISBLANK(A861),"""",GOOGLETRANSLATE(A861,""en"",""fr""))"),"")</f>
        <v/>
      </c>
    </row>
    <row r="862" spans="2:2">
      <c r="B862" s="3" t="str">
        <f ca="1">IFERROR(__xludf.DUMMYFUNCTION("IF(ISBLANK(A862),"""",GOOGLETRANSLATE(A862,""en"",""fr""))"),"")</f>
        <v/>
      </c>
    </row>
    <row r="863" spans="2:2">
      <c r="B863" s="3" t="str">
        <f ca="1">IFERROR(__xludf.DUMMYFUNCTION("IF(ISBLANK(A863),"""",GOOGLETRANSLATE(A863,""en"",""fr""))"),"")</f>
        <v/>
      </c>
    </row>
    <row r="864" spans="2:2">
      <c r="B864" s="3" t="str">
        <f ca="1">IFERROR(__xludf.DUMMYFUNCTION("IF(ISBLANK(A864),"""",GOOGLETRANSLATE(A864,""en"",""fr""))"),"")</f>
        <v/>
      </c>
    </row>
    <row r="865" spans="2:2">
      <c r="B865" s="3" t="str">
        <f ca="1">IFERROR(__xludf.DUMMYFUNCTION("IF(ISBLANK(A865),"""",GOOGLETRANSLATE(A865,""en"",""fr""))"),"")</f>
        <v/>
      </c>
    </row>
    <row r="866" spans="2:2">
      <c r="B866" s="3" t="str">
        <f ca="1">IFERROR(__xludf.DUMMYFUNCTION("IF(ISBLANK(A866),"""",GOOGLETRANSLATE(A866,""en"",""fr""))"),"")</f>
        <v/>
      </c>
    </row>
    <row r="867" spans="2:2">
      <c r="B867" s="3" t="str">
        <f ca="1">IFERROR(__xludf.DUMMYFUNCTION("IF(ISBLANK(A867),"""",GOOGLETRANSLATE(A867,""en"",""fr""))"),"")</f>
        <v/>
      </c>
    </row>
    <row r="868" spans="2:2">
      <c r="B868" s="3" t="str">
        <f ca="1">IFERROR(__xludf.DUMMYFUNCTION("IF(ISBLANK(A868),"""",GOOGLETRANSLATE(A868,""en"",""fr""))"),"")</f>
        <v/>
      </c>
    </row>
    <row r="869" spans="2:2">
      <c r="B869" s="3" t="str">
        <f ca="1">IFERROR(__xludf.DUMMYFUNCTION("IF(ISBLANK(A869),"""",GOOGLETRANSLATE(A869,""en"",""fr""))"),"")</f>
        <v/>
      </c>
    </row>
    <row r="870" spans="2:2">
      <c r="B870" s="3" t="str">
        <f ca="1">IFERROR(__xludf.DUMMYFUNCTION("IF(ISBLANK(A870),"""",GOOGLETRANSLATE(A870,""en"",""fr""))"),"")</f>
        <v/>
      </c>
    </row>
    <row r="871" spans="2:2">
      <c r="B871" s="3" t="str">
        <f ca="1">IFERROR(__xludf.DUMMYFUNCTION("IF(ISBLANK(A871),"""",GOOGLETRANSLATE(A871,""en"",""fr""))"),"")</f>
        <v/>
      </c>
    </row>
    <row r="872" spans="2:2">
      <c r="B872" s="3" t="str">
        <f ca="1">IFERROR(__xludf.DUMMYFUNCTION("IF(ISBLANK(A872),"""",GOOGLETRANSLATE(A872,""en"",""fr""))"),"")</f>
        <v/>
      </c>
    </row>
    <row r="873" spans="2:2">
      <c r="B873" s="3" t="str">
        <f ca="1">IFERROR(__xludf.DUMMYFUNCTION("IF(ISBLANK(A873),"""",GOOGLETRANSLATE(A873,""en"",""fr""))"),"")</f>
        <v/>
      </c>
    </row>
    <row r="874" spans="2:2">
      <c r="B874" s="3" t="str">
        <f ca="1">IFERROR(__xludf.DUMMYFUNCTION("IF(ISBLANK(A874),"""",GOOGLETRANSLATE(A874,""en"",""fr""))"),"")</f>
        <v/>
      </c>
    </row>
    <row r="875" spans="2:2">
      <c r="B875" s="3" t="str">
        <f ca="1">IFERROR(__xludf.DUMMYFUNCTION("IF(ISBLANK(A875),"""",GOOGLETRANSLATE(A875,""en"",""fr""))"),"")</f>
        <v/>
      </c>
    </row>
    <row r="876" spans="2:2">
      <c r="B876" s="3" t="str">
        <f ca="1">IFERROR(__xludf.DUMMYFUNCTION("IF(ISBLANK(A876),"""",GOOGLETRANSLATE(A876,""en"",""fr""))"),"")</f>
        <v/>
      </c>
    </row>
    <row r="877" spans="2:2">
      <c r="B877" s="3" t="str">
        <f ca="1">IFERROR(__xludf.DUMMYFUNCTION("IF(ISBLANK(A877),"""",GOOGLETRANSLATE(A877,""en"",""fr""))"),"")</f>
        <v/>
      </c>
    </row>
    <row r="878" spans="2:2">
      <c r="B878" s="3" t="str">
        <f ca="1">IFERROR(__xludf.DUMMYFUNCTION("IF(ISBLANK(A878),"""",GOOGLETRANSLATE(A878,""en"",""fr""))"),"")</f>
        <v/>
      </c>
    </row>
    <row r="879" spans="2:2">
      <c r="B879" s="3" t="str">
        <f ca="1">IFERROR(__xludf.DUMMYFUNCTION("IF(ISBLANK(A879),"""",GOOGLETRANSLATE(A879,""en"",""fr""))"),"")</f>
        <v/>
      </c>
    </row>
    <row r="880" spans="2:2">
      <c r="B880" s="3" t="str">
        <f ca="1">IFERROR(__xludf.DUMMYFUNCTION("IF(ISBLANK(A880),"""",GOOGLETRANSLATE(A880,""en"",""fr""))"),"")</f>
        <v/>
      </c>
    </row>
    <row r="881" spans="2:2">
      <c r="B881" s="3" t="str">
        <f ca="1">IFERROR(__xludf.DUMMYFUNCTION("IF(ISBLANK(A881),"""",GOOGLETRANSLATE(A881,""en"",""fr""))"),"")</f>
        <v/>
      </c>
    </row>
    <row r="882" spans="2:2">
      <c r="B882" s="3" t="str">
        <f ca="1">IFERROR(__xludf.DUMMYFUNCTION("IF(ISBLANK(A882),"""",GOOGLETRANSLATE(A882,""en"",""fr""))"),"")</f>
        <v/>
      </c>
    </row>
    <row r="883" spans="2:2">
      <c r="B883" s="3" t="str">
        <f ca="1">IFERROR(__xludf.DUMMYFUNCTION("IF(ISBLANK(A883),"""",GOOGLETRANSLATE(A883,""en"",""fr""))"),"")</f>
        <v/>
      </c>
    </row>
    <row r="884" spans="2:2">
      <c r="B884" s="3" t="str">
        <f ca="1">IFERROR(__xludf.DUMMYFUNCTION("IF(ISBLANK(A884),"""",GOOGLETRANSLATE(A884,""en"",""fr""))"),"")</f>
        <v/>
      </c>
    </row>
    <row r="885" spans="2:2">
      <c r="B885" s="3" t="str">
        <f ca="1">IFERROR(__xludf.DUMMYFUNCTION("IF(ISBLANK(A885),"""",GOOGLETRANSLATE(A885,""en"",""fr""))"),"")</f>
        <v/>
      </c>
    </row>
    <row r="886" spans="2:2">
      <c r="B886" s="3" t="str">
        <f ca="1">IFERROR(__xludf.DUMMYFUNCTION("IF(ISBLANK(A886),"""",GOOGLETRANSLATE(A886,""en"",""fr""))"),"")</f>
        <v/>
      </c>
    </row>
    <row r="887" spans="2:2">
      <c r="B887" s="3" t="str">
        <f ca="1">IFERROR(__xludf.DUMMYFUNCTION("IF(ISBLANK(A887),"""",GOOGLETRANSLATE(A887,""en"",""fr""))"),"")</f>
        <v/>
      </c>
    </row>
    <row r="888" spans="2:2">
      <c r="B888" s="3" t="str">
        <f ca="1">IFERROR(__xludf.DUMMYFUNCTION("IF(ISBLANK(A888),"""",GOOGLETRANSLATE(A888,""en"",""fr""))"),"")</f>
        <v/>
      </c>
    </row>
    <row r="889" spans="2:2">
      <c r="B889" s="3" t="str">
        <f ca="1">IFERROR(__xludf.DUMMYFUNCTION("IF(ISBLANK(A889),"""",GOOGLETRANSLATE(A889,""en"",""fr""))"),"")</f>
        <v/>
      </c>
    </row>
    <row r="890" spans="2:2">
      <c r="B890" s="3" t="str">
        <f ca="1">IFERROR(__xludf.DUMMYFUNCTION("IF(ISBLANK(A890),"""",GOOGLETRANSLATE(A890,""en"",""fr""))"),"")</f>
        <v/>
      </c>
    </row>
    <row r="891" spans="2:2">
      <c r="B891" s="3" t="str">
        <f ca="1">IFERROR(__xludf.DUMMYFUNCTION("IF(ISBLANK(A891),"""",GOOGLETRANSLATE(A891,""en"",""fr""))"),"")</f>
        <v/>
      </c>
    </row>
    <row r="892" spans="2:2">
      <c r="B892" s="3" t="str">
        <f ca="1">IFERROR(__xludf.DUMMYFUNCTION("IF(ISBLANK(A892),"""",GOOGLETRANSLATE(A892,""en"",""fr""))"),"")</f>
        <v/>
      </c>
    </row>
    <row r="893" spans="2:2">
      <c r="B893" s="3" t="str">
        <f ca="1">IFERROR(__xludf.DUMMYFUNCTION("IF(ISBLANK(A893),"""",GOOGLETRANSLATE(A893,""en"",""fr""))"),"")</f>
        <v/>
      </c>
    </row>
    <row r="894" spans="2:2">
      <c r="B894" s="3" t="str">
        <f ca="1">IFERROR(__xludf.DUMMYFUNCTION("IF(ISBLANK(A894),"""",GOOGLETRANSLATE(A894,""en"",""fr""))"),"")</f>
        <v/>
      </c>
    </row>
    <row r="895" spans="2:2">
      <c r="B895" s="3" t="str">
        <f ca="1">IFERROR(__xludf.DUMMYFUNCTION("IF(ISBLANK(A895),"""",GOOGLETRANSLATE(A895,""en"",""fr""))"),"")</f>
        <v/>
      </c>
    </row>
    <row r="896" spans="2:2">
      <c r="B896" s="3" t="str">
        <f ca="1">IFERROR(__xludf.DUMMYFUNCTION("IF(ISBLANK(A896),"""",GOOGLETRANSLATE(A896,""en"",""fr""))"),"")</f>
        <v/>
      </c>
    </row>
    <row r="897" spans="2:2">
      <c r="B897" s="3" t="str">
        <f ca="1">IFERROR(__xludf.DUMMYFUNCTION("IF(ISBLANK(A897),"""",GOOGLETRANSLATE(A897,""en"",""fr""))"),"")</f>
        <v/>
      </c>
    </row>
    <row r="898" spans="2:2">
      <c r="B898" s="3" t="str">
        <f ca="1">IFERROR(__xludf.DUMMYFUNCTION("IF(ISBLANK(A898),"""",GOOGLETRANSLATE(A898,""en"",""fr""))"),"")</f>
        <v/>
      </c>
    </row>
    <row r="899" spans="2:2">
      <c r="B899" s="3" t="str">
        <f ca="1">IFERROR(__xludf.DUMMYFUNCTION("IF(ISBLANK(A899),"""",GOOGLETRANSLATE(A899,""en"",""fr""))"),"")</f>
        <v/>
      </c>
    </row>
    <row r="900" spans="2:2">
      <c r="B900" s="3" t="str">
        <f ca="1">IFERROR(__xludf.DUMMYFUNCTION("IF(ISBLANK(A900),"""",GOOGLETRANSLATE(A900,""en"",""fr""))"),"")</f>
        <v/>
      </c>
    </row>
    <row r="901" spans="2:2">
      <c r="B901" s="3" t="str">
        <f ca="1">IFERROR(__xludf.DUMMYFUNCTION("IF(ISBLANK(A901),"""",GOOGLETRANSLATE(A901,""en"",""fr""))"),"")</f>
        <v/>
      </c>
    </row>
    <row r="902" spans="2:2">
      <c r="B902" s="3" t="str">
        <f ca="1">IFERROR(__xludf.DUMMYFUNCTION("IF(ISBLANK(A902),"""",GOOGLETRANSLATE(A902,""en"",""fr""))"),"")</f>
        <v/>
      </c>
    </row>
    <row r="903" spans="2:2">
      <c r="B903" s="3" t="str">
        <f ca="1">IFERROR(__xludf.DUMMYFUNCTION("IF(ISBLANK(A903),"""",GOOGLETRANSLATE(A903,""en"",""fr""))"),"")</f>
        <v/>
      </c>
    </row>
    <row r="904" spans="2:2">
      <c r="B904" s="3" t="str">
        <f ca="1">IFERROR(__xludf.DUMMYFUNCTION("IF(ISBLANK(A904),"""",GOOGLETRANSLATE(A904,""en"",""fr""))"),"")</f>
        <v/>
      </c>
    </row>
    <row r="905" spans="2:2">
      <c r="B905" s="3" t="str">
        <f ca="1">IFERROR(__xludf.DUMMYFUNCTION("IF(ISBLANK(A905),"""",GOOGLETRANSLATE(A905,""en"",""fr""))"),"")</f>
        <v/>
      </c>
    </row>
    <row r="906" spans="2:2">
      <c r="B906" s="3" t="str">
        <f ca="1">IFERROR(__xludf.DUMMYFUNCTION("IF(ISBLANK(A906),"""",GOOGLETRANSLATE(A906,""en"",""fr""))"),"")</f>
        <v/>
      </c>
    </row>
    <row r="907" spans="2:2">
      <c r="B907" s="3" t="str">
        <f ca="1">IFERROR(__xludf.DUMMYFUNCTION("IF(ISBLANK(A907),"""",GOOGLETRANSLATE(A907,""en"",""fr""))"),"")</f>
        <v/>
      </c>
    </row>
    <row r="908" spans="2:2">
      <c r="B908" s="3" t="str">
        <f ca="1">IFERROR(__xludf.DUMMYFUNCTION("IF(ISBLANK(A908),"""",GOOGLETRANSLATE(A908,""en"",""fr""))"),"")</f>
        <v/>
      </c>
    </row>
    <row r="909" spans="2:2">
      <c r="B909" s="3" t="str">
        <f ca="1">IFERROR(__xludf.DUMMYFUNCTION("IF(ISBLANK(A909),"""",GOOGLETRANSLATE(A909,""en"",""fr""))"),"")</f>
        <v/>
      </c>
    </row>
    <row r="910" spans="2:2">
      <c r="B910" s="3" t="str">
        <f ca="1">IFERROR(__xludf.DUMMYFUNCTION("IF(ISBLANK(A910),"""",GOOGLETRANSLATE(A910,""en"",""fr""))"),"")</f>
        <v/>
      </c>
    </row>
    <row r="911" spans="2:2">
      <c r="B911" s="3" t="str">
        <f ca="1">IFERROR(__xludf.DUMMYFUNCTION("IF(ISBLANK(A911),"""",GOOGLETRANSLATE(A911,""en"",""fr""))"),"")</f>
        <v/>
      </c>
    </row>
    <row r="912" spans="2:2">
      <c r="B912" s="3" t="str">
        <f ca="1">IFERROR(__xludf.DUMMYFUNCTION("IF(ISBLANK(A912),"""",GOOGLETRANSLATE(A912,""en"",""fr""))"),"")</f>
        <v/>
      </c>
    </row>
    <row r="913" spans="2:2">
      <c r="B913" s="3" t="str">
        <f ca="1">IFERROR(__xludf.DUMMYFUNCTION("IF(ISBLANK(A913),"""",GOOGLETRANSLATE(A913,""en"",""fr""))"),"")</f>
        <v/>
      </c>
    </row>
    <row r="914" spans="2:2">
      <c r="B914" s="3" t="str">
        <f ca="1">IFERROR(__xludf.DUMMYFUNCTION("IF(ISBLANK(A914),"""",GOOGLETRANSLATE(A914,""en"",""fr""))"),"")</f>
        <v/>
      </c>
    </row>
    <row r="915" spans="2:2">
      <c r="B915" s="3" t="str">
        <f ca="1">IFERROR(__xludf.DUMMYFUNCTION("IF(ISBLANK(A915),"""",GOOGLETRANSLATE(A915,""en"",""fr""))"),"")</f>
        <v/>
      </c>
    </row>
    <row r="916" spans="2:2">
      <c r="B916" s="3" t="str">
        <f ca="1">IFERROR(__xludf.DUMMYFUNCTION("IF(ISBLANK(A916),"""",GOOGLETRANSLATE(A916,""en"",""fr""))"),"")</f>
        <v/>
      </c>
    </row>
    <row r="917" spans="2:2">
      <c r="B917" s="3" t="str">
        <f ca="1">IFERROR(__xludf.DUMMYFUNCTION("IF(ISBLANK(A917),"""",GOOGLETRANSLATE(A917,""en"",""fr""))"),"")</f>
        <v/>
      </c>
    </row>
    <row r="918" spans="2:2">
      <c r="B918" s="3" t="str">
        <f ca="1">IFERROR(__xludf.DUMMYFUNCTION("IF(ISBLANK(A918),"""",GOOGLETRANSLATE(A918,""en"",""fr""))"),"")</f>
        <v/>
      </c>
    </row>
    <row r="919" spans="2:2">
      <c r="B919" s="3" t="str">
        <f ca="1">IFERROR(__xludf.DUMMYFUNCTION("IF(ISBLANK(A919),"""",GOOGLETRANSLATE(A919,""en"",""fr""))"),"")</f>
        <v/>
      </c>
    </row>
    <row r="920" spans="2:2">
      <c r="B920" s="3" t="str">
        <f ca="1">IFERROR(__xludf.DUMMYFUNCTION("IF(ISBLANK(A920),"""",GOOGLETRANSLATE(A920,""en"",""fr""))"),"")</f>
        <v/>
      </c>
    </row>
    <row r="921" spans="2:2">
      <c r="B921" s="3" t="str">
        <f ca="1">IFERROR(__xludf.DUMMYFUNCTION("IF(ISBLANK(A921),"""",GOOGLETRANSLATE(A921,""en"",""fr""))"),"")</f>
        <v/>
      </c>
    </row>
    <row r="922" spans="2:2">
      <c r="B922" s="3" t="str">
        <f ca="1">IFERROR(__xludf.DUMMYFUNCTION("IF(ISBLANK(A922),"""",GOOGLETRANSLATE(A922,""en"",""fr""))"),"")</f>
        <v/>
      </c>
    </row>
    <row r="923" spans="2:2">
      <c r="B923" s="3" t="str">
        <f ca="1">IFERROR(__xludf.DUMMYFUNCTION("IF(ISBLANK(A923),"""",GOOGLETRANSLATE(A923,""en"",""fr""))"),"")</f>
        <v/>
      </c>
    </row>
    <row r="924" spans="2:2">
      <c r="B924" s="3" t="str">
        <f ca="1">IFERROR(__xludf.DUMMYFUNCTION("IF(ISBLANK(A924),"""",GOOGLETRANSLATE(A924,""en"",""fr""))"),"")</f>
        <v/>
      </c>
    </row>
    <row r="925" spans="2:2">
      <c r="B925" s="3" t="str">
        <f ca="1">IFERROR(__xludf.DUMMYFUNCTION("IF(ISBLANK(A925),"""",GOOGLETRANSLATE(A925,""en"",""fr""))"),"")</f>
        <v/>
      </c>
    </row>
    <row r="926" spans="2:2">
      <c r="B926" s="3" t="str">
        <f ca="1">IFERROR(__xludf.DUMMYFUNCTION("IF(ISBLANK(A926),"""",GOOGLETRANSLATE(A926,""en"",""fr""))"),"")</f>
        <v/>
      </c>
    </row>
    <row r="927" spans="2:2">
      <c r="B927" s="3" t="str">
        <f ca="1">IFERROR(__xludf.DUMMYFUNCTION("IF(ISBLANK(A927),"""",GOOGLETRANSLATE(A927,""en"",""fr""))"),"")</f>
        <v/>
      </c>
    </row>
    <row r="928" spans="2:2">
      <c r="B928" s="3" t="str">
        <f ca="1">IFERROR(__xludf.DUMMYFUNCTION("IF(ISBLANK(A928),"""",GOOGLETRANSLATE(A928,""en"",""fr""))"),"")</f>
        <v/>
      </c>
    </row>
    <row r="929" spans="2:2">
      <c r="B929" s="3" t="str">
        <f ca="1">IFERROR(__xludf.DUMMYFUNCTION("IF(ISBLANK(A929),"""",GOOGLETRANSLATE(A929,""en"",""fr""))"),"")</f>
        <v/>
      </c>
    </row>
    <row r="930" spans="2:2">
      <c r="B930" s="3" t="str">
        <f ca="1">IFERROR(__xludf.DUMMYFUNCTION("IF(ISBLANK(A930),"""",GOOGLETRANSLATE(A930,""en"",""fr""))"),"")</f>
        <v/>
      </c>
    </row>
    <row r="931" spans="2:2">
      <c r="B931" s="3" t="str">
        <f ca="1">IFERROR(__xludf.DUMMYFUNCTION("IF(ISBLANK(A931),"""",GOOGLETRANSLATE(A931,""en"",""fr""))"),"")</f>
        <v/>
      </c>
    </row>
    <row r="932" spans="2:2">
      <c r="B932" s="3" t="str">
        <f ca="1">IFERROR(__xludf.DUMMYFUNCTION("IF(ISBLANK(A932),"""",GOOGLETRANSLATE(A932,""en"",""fr""))"),"")</f>
        <v/>
      </c>
    </row>
    <row r="933" spans="2:2">
      <c r="B933" s="3" t="str">
        <f ca="1">IFERROR(__xludf.DUMMYFUNCTION("IF(ISBLANK(A933),"""",GOOGLETRANSLATE(A933,""en"",""fr""))"),"")</f>
        <v/>
      </c>
    </row>
    <row r="934" spans="2:2">
      <c r="B934" s="3" t="str">
        <f ca="1">IFERROR(__xludf.DUMMYFUNCTION("IF(ISBLANK(A934),"""",GOOGLETRANSLATE(A934,""en"",""fr""))"),"")</f>
        <v/>
      </c>
    </row>
    <row r="935" spans="2:2">
      <c r="B935" s="3" t="str">
        <f ca="1">IFERROR(__xludf.DUMMYFUNCTION("IF(ISBLANK(A935),"""",GOOGLETRANSLATE(A935,""en"",""fr""))"),"")</f>
        <v/>
      </c>
    </row>
    <row r="936" spans="2:2">
      <c r="B936" s="3" t="str">
        <f ca="1">IFERROR(__xludf.DUMMYFUNCTION("IF(ISBLANK(A936),"""",GOOGLETRANSLATE(A936,""en"",""fr""))"),"")</f>
        <v/>
      </c>
    </row>
    <row r="937" spans="2:2">
      <c r="B937" s="3" t="str">
        <f ca="1">IFERROR(__xludf.DUMMYFUNCTION("IF(ISBLANK(A937),"""",GOOGLETRANSLATE(A937,""en"",""fr""))"),"")</f>
        <v/>
      </c>
    </row>
    <row r="938" spans="2:2">
      <c r="B938" s="3" t="str">
        <f ca="1">IFERROR(__xludf.DUMMYFUNCTION("IF(ISBLANK(A938),"""",GOOGLETRANSLATE(A938,""en"",""fr""))"),"")</f>
        <v/>
      </c>
    </row>
    <row r="939" spans="2:2">
      <c r="B939" s="3" t="str">
        <f ca="1">IFERROR(__xludf.DUMMYFUNCTION("IF(ISBLANK(A939),"""",GOOGLETRANSLATE(A939,""en"",""fr""))"),"")</f>
        <v/>
      </c>
    </row>
    <row r="940" spans="2:2">
      <c r="B940" s="3" t="str">
        <f ca="1">IFERROR(__xludf.DUMMYFUNCTION("IF(ISBLANK(A940),"""",GOOGLETRANSLATE(A940,""en"",""fr""))"),"")</f>
        <v/>
      </c>
    </row>
    <row r="941" spans="2:2">
      <c r="B941" s="3" t="str">
        <f ca="1">IFERROR(__xludf.DUMMYFUNCTION("IF(ISBLANK(A941),"""",GOOGLETRANSLATE(A941,""en"",""fr""))"),"")</f>
        <v/>
      </c>
    </row>
    <row r="942" spans="2:2">
      <c r="B942" s="3" t="str">
        <f ca="1">IFERROR(__xludf.DUMMYFUNCTION("IF(ISBLANK(A942),"""",GOOGLETRANSLATE(A942,""en"",""fr""))"),"")</f>
        <v/>
      </c>
    </row>
    <row r="943" spans="2:2">
      <c r="B943" s="3" t="str">
        <f ca="1">IFERROR(__xludf.DUMMYFUNCTION("IF(ISBLANK(A943),"""",GOOGLETRANSLATE(A943,""en"",""fr""))"),"")</f>
        <v/>
      </c>
    </row>
    <row r="944" spans="2:2">
      <c r="B944" s="3" t="str">
        <f ca="1">IFERROR(__xludf.DUMMYFUNCTION("IF(ISBLANK(A944),"""",GOOGLETRANSLATE(A944,""en"",""fr""))"),"")</f>
        <v/>
      </c>
    </row>
    <row r="945" spans="2:2">
      <c r="B945" s="3" t="str">
        <f ca="1">IFERROR(__xludf.DUMMYFUNCTION("IF(ISBLANK(A945),"""",GOOGLETRANSLATE(A945,""en"",""fr""))"),"")</f>
        <v/>
      </c>
    </row>
    <row r="946" spans="2:2">
      <c r="B946" s="3" t="str">
        <f ca="1">IFERROR(__xludf.DUMMYFUNCTION("IF(ISBLANK(A946),"""",GOOGLETRANSLATE(A946,""en"",""fr""))"),"")</f>
        <v/>
      </c>
    </row>
    <row r="947" spans="2:2">
      <c r="B947" s="3" t="str">
        <f ca="1">IFERROR(__xludf.DUMMYFUNCTION("IF(ISBLANK(A947),"""",GOOGLETRANSLATE(A947,""en"",""fr""))"),"")</f>
        <v/>
      </c>
    </row>
    <row r="948" spans="2:2">
      <c r="B948" s="3" t="str">
        <f ca="1">IFERROR(__xludf.DUMMYFUNCTION("IF(ISBLANK(A948),"""",GOOGLETRANSLATE(A948,""en"",""fr""))"),"")</f>
        <v/>
      </c>
    </row>
    <row r="949" spans="2:2">
      <c r="B949" s="3" t="str">
        <f ca="1">IFERROR(__xludf.DUMMYFUNCTION("IF(ISBLANK(A949),"""",GOOGLETRANSLATE(A949,""en"",""fr""))"),"")</f>
        <v/>
      </c>
    </row>
    <row r="950" spans="2:2">
      <c r="B950" s="3" t="str">
        <f ca="1">IFERROR(__xludf.DUMMYFUNCTION("IF(ISBLANK(A950),"""",GOOGLETRANSLATE(A950,""en"",""fr""))"),"")</f>
        <v/>
      </c>
    </row>
    <row r="951" spans="2:2">
      <c r="B951" s="3" t="str">
        <f ca="1">IFERROR(__xludf.DUMMYFUNCTION("IF(ISBLANK(A951),"""",GOOGLETRANSLATE(A951,""en"",""fr""))"),"")</f>
        <v/>
      </c>
    </row>
    <row r="952" spans="2:2">
      <c r="B952" s="3" t="str">
        <f ca="1">IFERROR(__xludf.DUMMYFUNCTION("IF(ISBLANK(A952),"""",GOOGLETRANSLATE(A952,""en"",""fr""))"),"")</f>
        <v/>
      </c>
    </row>
    <row r="953" spans="2:2">
      <c r="B953" s="3" t="str">
        <f ca="1">IFERROR(__xludf.DUMMYFUNCTION("IF(ISBLANK(A953),"""",GOOGLETRANSLATE(A953,""en"",""fr""))"),"")</f>
        <v/>
      </c>
    </row>
    <row r="954" spans="2:2">
      <c r="B954" s="3" t="str">
        <f ca="1">IFERROR(__xludf.DUMMYFUNCTION("IF(ISBLANK(A954),"""",GOOGLETRANSLATE(A954,""en"",""fr""))"),"")</f>
        <v/>
      </c>
    </row>
    <row r="955" spans="2:2">
      <c r="B955" s="3" t="str">
        <f ca="1">IFERROR(__xludf.DUMMYFUNCTION("IF(ISBLANK(A955),"""",GOOGLETRANSLATE(A955,""en"",""fr""))"),"")</f>
        <v/>
      </c>
    </row>
    <row r="956" spans="2:2">
      <c r="B956" s="3" t="str">
        <f ca="1">IFERROR(__xludf.DUMMYFUNCTION("IF(ISBLANK(A956),"""",GOOGLETRANSLATE(A956,""en"",""fr""))"),"")</f>
        <v/>
      </c>
    </row>
    <row r="957" spans="2:2">
      <c r="B957" s="3" t="str">
        <f ca="1">IFERROR(__xludf.DUMMYFUNCTION("IF(ISBLANK(A957),"""",GOOGLETRANSLATE(A957,""en"",""fr""))"),"")</f>
        <v/>
      </c>
    </row>
    <row r="958" spans="2:2">
      <c r="B958" s="3" t="str">
        <f ca="1">IFERROR(__xludf.DUMMYFUNCTION("IF(ISBLANK(A958),"""",GOOGLETRANSLATE(A958,""en"",""fr""))"),"")</f>
        <v/>
      </c>
    </row>
    <row r="959" spans="2:2">
      <c r="B959" s="3" t="str">
        <f ca="1">IFERROR(__xludf.DUMMYFUNCTION("IF(ISBLANK(A959),"""",GOOGLETRANSLATE(A959,""en"",""fr""))"),"")</f>
        <v/>
      </c>
    </row>
    <row r="960" spans="2:2">
      <c r="B960" s="3" t="str">
        <f ca="1">IFERROR(__xludf.DUMMYFUNCTION("IF(ISBLANK(A960),"""",GOOGLETRANSLATE(A960,""en"",""fr""))"),"")</f>
        <v/>
      </c>
    </row>
    <row r="961" spans="2:2">
      <c r="B961" s="3" t="str">
        <f ca="1">IFERROR(__xludf.DUMMYFUNCTION("IF(ISBLANK(A961),"""",GOOGLETRANSLATE(A961,""en"",""fr""))"),"")</f>
        <v/>
      </c>
    </row>
    <row r="962" spans="2:2">
      <c r="B962" s="3" t="str">
        <f ca="1">IFERROR(__xludf.DUMMYFUNCTION("IF(ISBLANK(A962),"""",GOOGLETRANSLATE(A962,""en"",""fr""))"),"")</f>
        <v/>
      </c>
    </row>
    <row r="963" spans="2:2">
      <c r="B963" s="3" t="str">
        <f ca="1">IFERROR(__xludf.DUMMYFUNCTION("IF(ISBLANK(A963),"""",GOOGLETRANSLATE(A963,""en"",""fr""))"),"")</f>
        <v/>
      </c>
    </row>
    <row r="964" spans="2:2">
      <c r="B964" s="3" t="str">
        <f ca="1">IFERROR(__xludf.DUMMYFUNCTION("IF(ISBLANK(A964),"""",GOOGLETRANSLATE(A964,""en"",""fr""))"),"")</f>
        <v/>
      </c>
    </row>
    <row r="965" spans="2:2">
      <c r="B965" s="3" t="str">
        <f ca="1">IFERROR(__xludf.DUMMYFUNCTION("IF(ISBLANK(A965),"""",GOOGLETRANSLATE(A965,""en"",""fr""))"),"")</f>
        <v/>
      </c>
    </row>
    <row r="966" spans="2:2">
      <c r="B966" s="3" t="str">
        <f ca="1">IFERROR(__xludf.DUMMYFUNCTION("IF(ISBLANK(A966),"""",GOOGLETRANSLATE(A966,""en"",""fr""))"),"")</f>
        <v/>
      </c>
    </row>
    <row r="967" spans="2:2">
      <c r="B967" s="3" t="str">
        <f ca="1">IFERROR(__xludf.DUMMYFUNCTION("IF(ISBLANK(A967),"""",GOOGLETRANSLATE(A967,""en"",""fr""))"),"")</f>
        <v/>
      </c>
    </row>
    <row r="968" spans="2:2">
      <c r="B968" s="3" t="str">
        <f ca="1">IFERROR(__xludf.DUMMYFUNCTION("IF(ISBLANK(A968),"""",GOOGLETRANSLATE(A968,""en"",""fr""))"),"")</f>
        <v/>
      </c>
    </row>
    <row r="969" spans="2:2">
      <c r="B969" s="3" t="str">
        <f ca="1">IFERROR(__xludf.DUMMYFUNCTION("IF(ISBLANK(A969),"""",GOOGLETRANSLATE(A969,""en"",""fr""))"),"")</f>
        <v/>
      </c>
    </row>
    <row r="970" spans="2:2">
      <c r="B970" s="3" t="str">
        <f ca="1">IFERROR(__xludf.DUMMYFUNCTION("IF(ISBLANK(A970),"""",GOOGLETRANSLATE(A970,""en"",""fr""))"),"")</f>
        <v/>
      </c>
    </row>
    <row r="971" spans="2:2">
      <c r="B971" s="3" t="str">
        <f ca="1">IFERROR(__xludf.DUMMYFUNCTION("IF(ISBLANK(A971),"""",GOOGLETRANSLATE(A971,""en"",""fr""))"),"")</f>
        <v/>
      </c>
    </row>
    <row r="972" spans="2:2">
      <c r="B972" s="3" t="str">
        <f ca="1">IFERROR(__xludf.DUMMYFUNCTION("IF(ISBLANK(A972),"""",GOOGLETRANSLATE(A972,""en"",""fr""))"),"")</f>
        <v/>
      </c>
    </row>
    <row r="973" spans="2:2">
      <c r="B973" s="3" t="str">
        <f ca="1">IFERROR(__xludf.DUMMYFUNCTION("IF(ISBLANK(A973),"""",GOOGLETRANSLATE(A973,""en"",""fr""))"),"")</f>
        <v/>
      </c>
    </row>
    <row r="974" spans="2:2">
      <c r="B974" s="3" t="str">
        <f ca="1">IFERROR(__xludf.DUMMYFUNCTION("IF(ISBLANK(A974),"""",GOOGLETRANSLATE(A974,""en"",""fr""))"),"")</f>
        <v/>
      </c>
    </row>
    <row r="975" spans="2:2">
      <c r="B975" s="3" t="str">
        <f ca="1">IFERROR(__xludf.DUMMYFUNCTION("IF(ISBLANK(A975),"""",GOOGLETRANSLATE(A975,""en"",""fr""))"),"")</f>
        <v/>
      </c>
    </row>
    <row r="976" spans="2:2">
      <c r="B976" s="3" t="str">
        <f ca="1">IFERROR(__xludf.DUMMYFUNCTION("IF(ISBLANK(A976),"""",GOOGLETRANSLATE(A976,""en"",""fr""))"),"")</f>
        <v/>
      </c>
    </row>
    <row r="977" spans="2:2">
      <c r="B977" s="3" t="str">
        <f ca="1">IFERROR(__xludf.DUMMYFUNCTION("IF(ISBLANK(A977),"""",GOOGLETRANSLATE(A977,""en"",""fr""))"),"")</f>
        <v/>
      </c>
    </row>
    <row r="978" spans="2:2">
      <c r="B978" s="3" t="str">
        <f ca="1">IFERROR(__xludf.DUMMYFUNCTION("IF(ISBLANK(A978),"""",GOOGLETRANSLATE(A978,""en"",""fr""))"),"")</f>
        <v/>
      </c>
    </row>
    <row r="979" spans="2:2">
      <c r="B979" s="3" t="str">
        <f ca="1">IFERROR(__xludf.DUMMYFUNCTION("IF(ISBLANK(A979),"""",GOOGLETRANSLATE(A979,""en"",""fr""))"),"")</f>
        <v/>
      </c>
    </row>
    <row r="980" spans="2:2">
      <c r="B980" s="3" t="str">
        <f ca="1">IFERROR(__xludf.DUMMYFUNCTION("IF(ISBLANK(A980),"""",GOOGLETRANSLATE(A980,""en"",""fr""))"),"")</f>
        <v/>
      </c>
    </row>
    <row r="981" spans="2:2">
      <c r="B981" s="3" t="str">
        <f ca="1">IFERROR(__xludf.DUMMYFUNCTION("IF(ISBLANK(A981),"""",GOOGLETRANSLATE(A981,""en"",""fr""))"),"")</f>
        <v/>
      </c>
    </row>
    <row r="982" spans="2:2">
      <c r="B982" s="3" t="str">
        <f ca="1">IFERROR(__xludf.DUMMYFUNCTION("IF(ISBLANK(A982),"""",GOOGLETRANSLATE(A982,""en"",""fr""))"),"")</f>
        <v/>
      </c>
    </row>
    <row r="983" spans="2:2">
      <c r="B983" s="3" t="str">
        <f ca="1">IFERROR(__xludf.DUMMYFUNCTION("IF(ISBLANK(A983),"""",GOOGLETRANSLATE(A983,""en"",""fr""))"),"")</f>
        <v/>
      </c>
    </row>
    <row r="984" spans="2:2">
      <c r="B984" s="3" t="str">
        <f ca="1">IFERROR(__xludf.DUMMYFUNCTION("IF(ISBLANK(A984),"""",GOOGLETRANSLATE(A984,""en"",""fr""))"),"")</f>
        <v/>
      </c>
    </row>
    <row r="985" spans="2:2">
      <c r="B985" s="3" t="str">
        <f ca="1">IFERROR(__xludf.DUMMYFUNCTION("IF(ISBLANK(A985),"""",GOOGLETRANSLATE(A985,""en"",""fr""))"),"")</f>
        <v/>
      </c>
    </row>
    <row r="986" spans="2:2">
      <c r="B986" s="3" t="str">
        <f ca="1">IFERROR(__xludf.DUMMYFUNCTION("IF(ISBLANK(A986),"""",GOOGLETRANSLATE(A986,""en"",""fr""))"),"")</f>
        <v/>
      </c>
    </row>
    <row r="987" spans="2:2">
      <c r="B987" s="3" t="str">
        <f ca="1">IFERROR(__xludf.DUMMYFUNCTION("IF(ISBLANK(A987),"""",GOOGLETRANSLATE(A987,""en"",""fr""))"),"")</f>
        <v/>
      </c>
    </row>
    <row r="988" spans="2:2">
      <c r="B988" s="3" t="str">
        <f ca="1">IFERROR(__xludf.DUMMYFUNCTION("IF(ISBLANK(A988),"""",GOOGLETRANSLATE(A988,""en"",""fr""))"),"")</f>
        <v/>
      </c>
    </row>
    <row r="989" spans="2:2">
      <c r="B989" s="3" t="str">
        <f ca="1">IFERROR(__xludf.DUMMYFUNCTION("IF(ISBLANK(A989),"""",GOOGLETRANSLATE(A989,""en"",""fr""))"),"")</f>
        <v/>
      </c>
    </row>
    <row r="990" spans="2:2">
      <c r="B990" s="3" t="str">
        <f ca="1">IFERROR(__xludf.DUMMYFUNCTION("IF(ISBLANK(A990),"""",GOOGLETRANSLATE(A990,""en"",""fr""))"),"")</f>
        <v/>
      </c>
    </row>
    <row r="991" spans="2:2">
      <c r="B991" s="3" t="str">
        <f ca="1">IFERROR(__xludf.DUMMYFUNCTION("IF(ISBLANK(A991),"""",GOOGLETRANSLATE(A991,""en"",""fr""))"),"")</f>
        <v/>
      </c>
    </row>
    <row r="992" spans="2:2">
      <c r="B992" s="3" t="str">
        <f ca="1">IFERROR(__xludf.DUMMYFUNCTION("IF(ISBLANK(A992),"""",GOOGLETRANSLATE(A992,""en"",""fr""))"),"")</f>
        <v/>
      </c>
    </row>
    <row r="993" spans="2:2">
      <c r="B993" s="3" t="str">
        <f ca="1">IFERROR(__xludf.DUMMYFUNCTION("IF(ISBLANK(A993),"""",GOOGLETRANSLATE(A993,""en"",""fr""))"),"")</f>
        <v/>
      </c>
    </row>
    <row r="994" spans="2:2">
      <c r="B994" s="3" t="str">
        <f ca="1">IFERROR(__xludf.DUMMYFUNCTION("IF(ISBLANK(A994),"""",GOOGLETRANSLATE(A994,""en"",""fr""))"),"")</f>
        <v/>
      </c>
    </row>
    <row r="995" spans="2:2">
      <c r="B995" s="3" t="str">
        <f ca="1">IFERROR(__xludf.DUMMYFUNCTION("IF(ISBLANK(A995),"""",GOOGLETRANSLATE(A995,""en"",""fr""))"),"")</f>
        <v/>
      </c>
    </row>
    <row r="996" spans="2:2">
      <c r="B996" s="3" t="str">
        <f ca="1">IFERROR(__xludf.DUMMYFUNCTION("IF(ISBLANK(A996),"""",GOOGLETRANSLATE(A996,""en"",""fr""))"),"")</f>
        <v/>
      </c>
    </row>
    <row r="997" spans="2:2">
      <c r="B997" s="3" t="str">
        <f ca="1">IFERROR(__xludf.DUMMYFUNCTION("IF(ISBLANK(A997),"""",GOOGLETRANSLATE(A997,""en"",""fr""))"),"")</f>
        <v/>
      </c>
    </row>
    <row r="998" spans="2:2">
      <c r="B998" s="3" t="str">
        <f ca="1">IFERROR(__xludf.DUMMYFUNCTION("IF(ISBLANK(A998),"""",GOOGLETRANSLATE(A998,""en"",""fr""))"),"")</f>
        <v/>
      </c>
    </row>
    <row r="999" spans="2:2">
      <c r="B999" s="3" t="str">
        <f ca="1">IFERROR(__xludf.DUMMYFUNCTION("IF(ISBLANK(A999),"""",GOOGLETRANSLATE(A999,""en"",""fr""))"),"")</f>
        <v/>
      </c>
    </row>
    <row r="1000" spans="2:2">
      <c r="B1000" s="3" t="str">
        <f ca="1">IFERROR(__xludf.DUMMYFUNCTION("IF(ISBLANK(A1000),"""",GOOGLETRANSLATE(A1000,""en"",""fr""))"),"")</f>
        <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B1000"/>
  <sheetViews>
    <sheetView workbookViewId="0"/>
  </sheetViews>
  <sheetFormatPr defaultColWidth="12.6640625" defaultRowHeight="15.75" customHeight="1"/>
  <cols>
    <col min="1" max="1" width="100.88671875" customWidth="1"/>
  </cols>
  <sheetData>
    <row r="1" spans="1:2">
      <c r="A1" s="1" t="s">
        <v>0</v>
      </c>
      <c r="B1" s="1"/>
    </row>
    <row r="2" spans="1:2">
      <c r="A2" s="3" t="s">
        <v>148</v>
      </c>
      <c r="B2" s="3" t="str">
        <f ca="1">IFERROR(__xludf.DUMMYFUNCTION("IF(ISBLANK(A2),"""",GOOGLETRANSLATE(A2,""en"",""fr""))"),"Connaissances")</f>
        <v>Connaissances</v>
      </c>
    </row>
    <row r="3" spans="1:2">
      <c r="A3" s="3" t="s">
        <v>752</v>
      </c>
      <c r="B3" s="3" t="str">
        <f ca="1">IFERROR(__xludf.DUMMYFUNCTION("IF(ISBLANK(A3),"""",GOOGLETRANSLATE(A3,""en"",""fr""))"),"Centre de ressources")</f>
        <v>Centre de ressources</v>
      </c>
    </row>
    <row r="4" spans="1:2">
      <c r="A4" s="3" t="s">
        <v>753</v>
      </c>
      <c r="B4" s="3" t="str">
        <f ca="1">IFERROR(__xludf.DUMMYFUNCTION("IF(ISBLANK(A4),"""",GOOGLETRANSLATE(A4,""en"",""fr""))"),"Explorez les analyses d'experts et les ressources sur le secteur du financement d'actifs et les dernières technologies dans notre centre de contenu complet.")</f>
        <v>Explorez les analyses d'experts et les ressources sur le secteur du financement d'actifs et les dernières technologies dans notre centre de contenu complet.</v>
      </c>
    </row>
    <row r="5" spans="1:2">
      <c r="A5" s="3" t="s">
        <v>8</v>
      </c>
      <c r="B5" s="3" t="str">
        <f ca="1">IFERROR(__xludf.DUMMYFUNCTION("IF(ISBLANK(A5),"""",GOOGLETRANSLATE(A5,""en"",""fr""))"),"Entrer en contact")</f>
        <v>Entrer en contact</v>
      </c>
    </row>
    <row r="6" spans="1:2">
      <c r="A6" s="3" t="s">
        <v>754</v>
      </c>
      <c r="B6" s="3" t="str">
        <f ca="1">IFERROR(__xludf.DUMMYFUNCTION("IF(ISBLANK(A6),"""",GOOGLETRANSLATE(A6,""en"",""fr""))"),"Dernières lectures")</f>
        <v>Dernières lectures</v>
      </c>
    </row>
    <row r="7" spans="1:2">
      <c r="A7" s="3" t="s">
        <v>755</v>
      </c>
      <c r="B7" s="3" t="str">
        <f ca="1">IFERROR(__xludf.DUMMYFUNCTION("IF(ISBLANK(A7),"""",GOOGLETRANSLATE(A7,""en"",""fr""))"),"Recherche par mots-clés")</f>
        <v>Recherche par mots-clés</v>
      </c>
    </row>
    <row r="8" spans="1:2">
      <c r="A8" s="3" t="s">
        <v>756</v>
      </c>
      <c r="B8" s="3" t="str">
        <f ca="1">IFERROR(__xludf.DUMMYFUNCTION("IF(ISBLANK(A8),"""",GOOGLETRANSLATE(A8,""en"",""fr""))"),"Rechercher ici...")</f>
        <v>Rechercher ici...</v>
      </c>
    </row>
    <row r="9" spans="1:2">
      <c r="A9" s="3" t="s">
        <v>757</v>
      </c>
      <c r="B9" s="3" t="str">
        <f ca="1">IFERROR(__xludf.DUMMYFUNCTION("IF(ISBLANK(A9),"""",GOOGLETRANSLATE(A9,""en"",""fr""))"),"Recherche")</f>
        <v>Recherche</v>
      </c>
    </row>
    <row r="10" spans="1:2">
      <c r="A10" s="3" t="s">
        <v>758</v>
      </c>
      <c r="B10" s="3" t="str">
        <f ca="1">IFERROR(__xludf.DUMMYFUNCTION("IF(ISBLANK(A10),"""",GOOGLETRANSLATE(A10,""en"",""fr""))"),"Recherche par type")</f>
        <v>Recherche par type</v>
      </c>
    </row>
    <row r="11" spans="1:2">
      <c r="A11" s="3" t="s">
        <v>759</v>
      </c>
      <c r="B11" s="3" t="str">
        <f ca="1">IFERROR(__xludf.DUMMYFUNCTION("IF(ISBLANK(A11),"""",GOOGLETRANSLATE(A11,""en"",""fr""))"),"Tous")</f>
        <v>Tous</v>
      </c>
    </row>
    <row r="12" spans="1:2">
      <c r="A12" s="3" t="s">
        <v>174</v>
      </c>
      <c r="B12" s="3" t="str">
        <f ca="1">IFERROR(__xludf.DUMMYFUNCTION("IF(ISBLANK(A12),"""",GOOGLETRANSLATE(A12,""en"",""fr""))"),"Études de cas")</f>
        <v>Études de cas</v>
      </c>
    </row>
    <row r="13" spans="1:2">
      <c r="A13" s="3" t="s">
        <v>760</v>
      </c>
      <c r="B13" s="3" t="str">
        <f ca="1">IFERROR(__xludf.DUMMYFUNCTION("IF(ISBLANK(A13),"""",GOOGLETRANSLATE(A13,""en"",""fr""))"),"Livres blancs")</f>
        <v>Livres blancs</v>
      </c>
    </row>
    <row r="14" spans="1:2">
      <c r="A14" s="3" t="s">
        <v>761</v>
      </c>
      <c r="B14" s="3" t="str">
        <f ca="1">IFERROR(__xludf.DUMMYFUNCTION("IF(ISBLANK(A14),"""",GOOGLETRANSLATE(A14,""en"",""fr""))"),"Podcasts")</f>
        <v>Podcasts</v>
      </c>
    </row>
    <row r="15" spans="1:2">
      <c r="A15" s="3" t="s">
        <v>176</v>
      </c>
      <c r="B15" s="3" t="str">
        <f ca="1">IFERROR(__xludf.DUMMYFUNCTION("IF(ISBLANK(A15),"""",GOOGLETRANSLATE(A15,""en"",""fr""))"),"Blogs")</f>
        <v>Blogs</v>
      </c>
    </row>
    <row r="16" spans="1:2">
      <c r="A16" s="3" t="s">
        <v>177</v>
      </c>
      <c r="B16" s="3" t="str">
        <f ca="1">IFERROR(__xludf.DUMMYFUNCTION("IF(ISBLANK(A16),"""",GOOGLETRANSLATE(A16,""en"",""fr""))"),"Événements")</f>
        <v>Événements</v>
      </c>
    </row>
    <row r="17" spans="1:2">
      <c r="A17" s="3" t="s">
        <v>762</v>
      </c>
      <c r="B17" s="3" t="str">
        <f ca="1">IFERROR(__xludf.DUMMYFUNCTION("IF(ISBLANK(A17),"""",GOOGLETRANSLATE(A17,""en"",""fr""))"),"Webinaires")</f>
        <v>Webinaires</v>
      </c>
    </row>
    <row r="18" spans="1:2">
      <c r="A18" s="3" t="s">
        <v>763</v>
      </c>
      <c r="B18" s="3" t="str">
        <f ca="1">IFERROR(__xludf.DUMMYFUNCTION("IF(ISBLANK(A18),"""",GOOGLETRANSLATE(A18,""en"",""fr""))"),"Recherche par mots-clés")</f>
        <v>Recherche par mots-clés</v>
      </c>
    </row>
    <row r="19" spans="1:2">
      <c r="A19" s="3" t="s">
        <v>764</v>
      </c>
      <c r="B19" s="3" t="str">
        <f ca="1">IFERROR(__xludf.DUMMYFUNCTION("IF(ISBLANK(A19),"""",GOOGLETRANSLATE(A19,""en"",""fr""))"),"Financement automobile")</f>
        <v>Financement automobile</v>
      </c>
    </row>
    <row r="20" spans="1:2">
      <c r="A20" s="3" t="s">
        <v>35</v>
      </c>
      <c r="B20" s="3" t="str">
        <f ca="1">IFERROR(__xludf.DUMMYFUNCTION("IF(ISBLANK(A20),"""",GOOGLETRANSLATE(A20,""en"",""fr""))"),"Financement d'équipement")</f>
        <v>Financement d'équipement</v>
      </c>
    </row>
    <row r="21" spans="1:2">
      <c r="A21" s="3" t="s">
        <v>58</v>
      </c>
      <c r="B21" s="3" t="str">
        <f ca="1">IFERROR(__xludf.DUMMYFUNCTION("IF(ISBLANK(A21),"""",GOOGLETRANSLATE(A21,""en"",""fr""))"),"Sécurité de l'information")</f>
        <v>Sécurité de l'information</v>
      </c>
    </row>
    <row r="22" spans="1:2">
      <c r="A22" s="3" t="s">
        <v>131</v>
      </c>
      <c r="B22" s="3" t="str">
        <f ca="1">IFERROR(__xludf.DUMMYFUNCTION("IF(ISBLANK(A22),"""",GOOGLETRANSLATE(A22,""en"",""fr""))"),"Solutions numériques")</f>
        <v>Solutions numériques</v>
      </c>
    </row>
    <row r="23" spans="1:2">
      <c r="A23" s="3" t="s">
        <v>765</v>
      </c>
      <c r="B23" s="3" t="str">
        <f ca="1">IFERROR(__xludf.DUMMYFUNCTION("IF(ISBLANK(A23),"""",GOOGLETRANSLATE(A23,""en"",""fr""))"),"IA et apprentissage automatique")</f>
        <v>IA et apprentissage automatique</v>
      </c>
    </row>
    <row r="24" spans="1:2">
      <c r="A24" s="3" t="s">
        <v>766</v>
      </c>
      <c r="B24" s="3" t="str">
        <f ca="1">IFERROR(__xludf.DUMMYFUNCTION("IF(ISBLANK(A24),"""",GOOGLETRANSLATE(A24,""en"",""fr""))"),"Stratégie numérique")</f>
        <v>Stratégie numérique</v>
      </c>
    </row>
    <row r="25" spans="1:2">
      <c r="A25" s="3" t="s">
        <v>138</v>
      </c>
      <c r="B25" s="3" t="str">
        <f ca="1">IFERROR(__xludf.DUMMYFUNCTION("IF(ISBLANK(A25),"""",GOOGLETRANSLATE(A25,""en"",""fr""))"),"Technologies émergentes")</f>
        <v>Technologies émergentes</v>
      </c>
    </row>
    <row r="26" spans="1:2">
      <c r="A26" s="3" t="s">
        <v>60</v>
      </c>
      <c r="B26" s="3" t="str">
        <f ca="1">IFERROR(__xludf.DUMMYFUNCTION("IF(ISBLANK(A26),"""",GOOGLETRANSLATE(A26,""en"",""fr""))"),"Services cloud")</f>
        <v>Services cloud</v>
      </c>
    </row>
    <row r="27" spans="1:2">
      <c r="A27" s="3" t="s">
        <v>141</v>
      </c>
      <c r="B27" s="3" t="str">
        <f ca="1">IFERROR(__xludf.DUMMYFUNCTION("IF(ISBLANK(A27),"""",GOOGLETRANSLATE(A27,""en"",""fr""))"),"Ingénierie des données")</f>
        <v>Ingénierie des données</v>
      </c>
    </row>
    <row r="28" spans="1:2">
      <c r="A28" s="3" t="s">
        <v>115</v>
      </c>
      <c r="B28" s="3" t="str">
        <f ca="1">IFERROR(__xludf.DUMMYFUNCTION("IF(ISBLANK(A28),"""",GOOGLETRANSLATE(A28,""en"",""fr""))"),"Commerce de détail numérique")</f>
        <v>Commerce de détail numérique</v>
      </c>
    </row>
    <row r="29" spans="1:2">
      <c r="A29" s="3" t="s">
        <v>119</v>
      </c>
      <c r="B29" s="3" t="str">
        <f ca="1">IFERROR(__xludf.DUMMYFUNCTION("IF(ISBLANK(A29),"""",GOOGLETRANSLATE(A29,""en"",""fr""))"),"Origines")</f>
        <v>Origines</v>
      </c>
    </row>
    <row r="30" spans="1:2">
      <c r="A30" s="3" t="s">
        <v>117</v>
      </c>
      <c r="B30" s="3" t="str">
        <f ca="1">IFERROR(__xludf.DUMMYFUNCTION("IF(ISBLANK(A30),"""",GOOGLETRANSLATE(A30,""en"",""fr""))"),"Portails intermédiaires")</f>
        <v>Portails intermédiaires</v>
      </c>
    </row>
    <row r="31" spans="1:2">
      <c r="A31" s="3" t="s">
        <v>121</v>
      </c>
      <c r="B31" s="3" t="str">
        <f ca="1">IFERROR(__xludf.DUMMYFUNCTION("IF(ISBLANK(A31),"""",GOOGLETRANSLATE(A31,""en"",""fr""))"),"Entretien")</f>
        <v>Entretien</v>
      </c>
    </row>
    <row r="32" spans="1:2">
      <c r="A32" s="3" t="s">
        <v>767</v>
      </c>
      <c r="B32" s="3" t="str">
        <f ca="1">IFERROR(__xludf.DUMMYFUNCTION("IF(ISBLANK(A32),"""",GOOGLETRANSLATE(A32,""en"",""fr""))"),"Finance globale")</f>
        <v>Finance globale</v>
      </c>
    </row>
    <row r="33" spans="1:2">
      <c r="A33" s="3" t="s">
        <v>768</v>
      </c>
      <c r="B33" s="3" t="str">
        <f ca="1">IFERROR(__xludf.DUMMYFUNCTION("IF(ISBLANK(A33),"""",GOOGLETRANSLATE(A33,""en"",""fr""))"),"Mobilité")</f>
        <v>Mobilité</v>
      </c>
    </row>
    <row r="34" spans="1:2">
      <c r="A34" s="3" t="s">
        <v>96</v>
      </c>
      <c r="B34" s="3" t="str">
        <f ca="1">IFERROR(__xludf.DUMMYFUNCTION("IF(ISBLANK(A34),"""",GOOGLETRANSLATE(A34,""en"",""fr""))"),"Blog")</f>
        <v>Blog</v>
      </c>
    </row>
    <row r="35" spans="1:2">
      <c r="A35" s="3" t="s">
        <v>769</v>
      </c>
      <c r="B35" s="3" t="str">
        <f ca="1">IFERROR(__xludf.DUMMYFUNCTION("IF(ISBLANK(A35),"""",GOOGLETRANSLATE(A35,""en"",""fr""))"),"Au-delà du DMS : pourquoi l’avenir du commerce automobile est axé sur les API")</f>
        <v>Au-delà du DMS : pourquoi l’avenir du commerce automobile est axé sur les API</v>
      </c>
    </row>
    <row r="36" spans="1:2">
      <c r="A36" s="3" t="s">
        <v>770</v>
      </c>
      <c r="B36" s="3" t="str">
        <f ca="1">IFERROR(__xludf.DUMMYFUNCTION("IF(ISBLANK(A36),"""",GOOGLETRANSLATE(A36,""en"",""fr""))"),"En savoir plus")</f>
        <v>En savoir plus</v>
      </c>
    </row>
    <row r="37" spans="1:2">
      <c r="A37" s="3" t="s">
        <v>771</v>
      </c>
      <c r="B37" s="3" t="str">
        <f ca="1">IFERROR(__xludf.DUMMYFUNCTION("IF(ISBLANK(A37),"""",GOOGLETRANSLATE(A37,""en"",""fr""))"),"NETSOL est présent à la conférence et aux prix GlobalData Automotive Europe 2025.")</f>
        <v>NETSOL est présent à la conférence et aux prix GlobalData Automotive Europe 2025.</v>
      </c>
    </row>
    <row r="38" spans="1:2">
      <c r="B38" s="3" t="str">
        <f ca="1">IFERROR(__xludf.DUMMYFUNCTION("IF(ISBLANK(A38),"""",GOOGLETRANSLATE(A38,""en"",""fr""))"),"")</f>
        <v/>
      </c>
    </row>
    <row r="39" spans="1:2">
      <c r="B39" s="3" t="str">
        <f ca="1">IFERROR(__xludf.DUMMYFUNCTION("IF(ISBLANK(A39),"""",GOOGLETRANSLATE(A39,""en"",""fr""))"),"")</f>
        <v/>
      </c>
    </row>
    <row r="40" spans="1:2">
      <c r="B40" s="3" t="str">
        <f ca="1">IFERROR(__xludf.DUMMYFUNCTION("IF(ISBLANK(A40),"""",GOOGLETRANSLATE(A40,""en"",""fr""))"),"")</f>
        <v/>
      </c>
    </row>
    <row r="41" spans="1:2">
      <c r="A41" s="3" t="s">
        <v>772</v>
      </c>
      <c r="B41" s="3" t="str">
        <f ca="1">IFERROR(__xludf.DUMMYFUNCTION("IF(ISBLANK(A41),"""",GOOGLETRANSLATE(A41,""en"",""fr""))"),"NETSOL est présent au 25e Sommet annuel du financement automobile : Façonner l'avenir du financement automobile")</f>
        <v>NETSOL est présent au 25e Sommet annuel du financement automobile : Façonner l'avenir du financement automobile</v>
      </c>
    </row>
    <row r="42" spans="1:2">
      <c r="B42" s="3" t="str">
        <f ca="1">IFERROR(__xludf.DUMMYFUNCTION("IF(ISBLANK(A42),"""",GOOGLETRANSLATE(A42,""en"",""fr""))"),"")</f>
        <v/>
      </c>
    </row>
    <row r="43" spans="1:2">
      <c r="B43" s="3" t="str">
        <f ca="1">IFERROR(__xludf.DUMMYFUNCTION("IF(ISBLANK(A43),"""",GOOGLETRANSLATE(A43,""en"",""fr""))"),"")</f>
        <v/>
      </c>
    </row>
    <row r="44" spans="1:2">
      <c r="B44" s="3" t="str">
        <f ca="1">IFERROR(__xludf.DUMMYFUNCTION("IF(ISBLANK(A44),"""",GOOGLETRANSLATE(A44,""en"",""fr""))"),"")</f>
        <v/>
      </c>
    </row>
    <row r="45" spans="1:2">
      <c r="A45" s="3" t="s">
        <v>96</v>
      </c>
      <c r="B45" s="3" t="str">
        <f ca="1">IFERROR(__xludf.DUMMYFUNCTION("IF(ISBLANK(A45),"""",GOOGLETRANSLATE(A45,""en"",""fr""))"),"Blog")</f>
        <v>Blog</v>
      </c>
    </row>
    <row r="46" spans="1:2">
      <c r="A46" s="3" t="s">
        <v>773</v>
      </c>
      <c r="B46" s="3" t="str">
        <f ca="1">IFERROR(__xludf.DUMMYFUNCTION("IF(ISBLANK(A46),"""",GOOGLETRANSLATE(A46,""en"",""fr""))"),"NETSOL est présent au Digital Dealer 2025 : Dynamiser l'avenir de la vente au détail automobile")</f>
        <v>NETSOL est présent au Digital Dealer 2025 : Dynamiser l'avenir de la vente au détail automobile</v>
      </c>
    </row>
    <row r="47" spans="1:2">
      <c r="B47" s="3" t="str">
        <f ca="1">IFERROR(__xludf.DUMMYFUNCTION("IF(ISBLANK(A47),"""",GOOGLETRANSLATE(A47,""en"",""fr""))"),"")</f>
        <v/>
      </c>
    </row>
    <row r="48" spans="1:2">
      <c r="A48" s="3" t="s">
        <v>101</v>
      </c>
      <c r="B48" s="3" t="str">
        <f ca="1">IFERROR(__xludf.DUMMYFUNCTION("IF(ISBLANK(A48),"""",GOOGLETRANSLATE(A48,""en"",""fr""))"),"L'IA dans le secteur des services financiers et de l'investissement : révolutionner la gestion des risques")</f>
        <v>L'IA dans le secteur des services financiers et de l'investissement : révolutionner la gestion des risques</v>
      </c>
    </row>
    <row r="49" spans="1:2">
      <c r="B49" s="3" t="str">
        <f ca="1">IFERROR(__xludf.DUMMYFUNCTION("IF(ISBLANK(A49),"""",GOOGLETRANSLATE(A49,""en"",""fr""))"),"")</f>
        <v/>
      </c>
    </row>
    <row r="50" spans="1:2">
      <c r="B50" s="3" t="str">
        <f ca="1">IFERROR(__xludf.DUMMYFUNCTION("IF(ISBLANK(A50),"""",GOOGLETRANSLATE(A50,""en"",""fr""))"),"")</f>
        <v/>
      </c>
    </row>
    <row r="51" spans="1:2">
      <c r="B51" s="3" t="str">
        <f ca="1">IFERROR(__xludf.DUMMYFUNCTION("IF(ISBLANK(A51),"""",GOOGLETRANSLATE(A51,""en"",""fr""))"),"")</f>
        <v/>
      </c>
    </row>
    <row r="52" spans="1:2">
      <c r="A52" s="3" t="s">
        <v>102</v>
      </c>
      <c r="B52" s="3" t="str">
        <f ca="1">IFERROR(__xludf.DUMMYFUNCTION("IF(ISBLANK(A52),"""",GOOGLETRANSLATE(A52,""en"",""fr""))"),"L'importance de la personnalisation du service client : adapter la gestion des paiements et des litiges aux besoins des clients")</f>
        <v>L'importance de la personnalisation du service client : adapter la gestion des paiements et des litiges aux besoins des clients</v>
      </c>
    </row>
    <row r="53" spans="1:2">
      <c r="B53" s="3" t="str">
        <f ca="1">IFERROR(__xludf.DUMMYFUNCTION("IF(ISBLANK(A53),"""",GOOGLETRANSLATE(A53,""en"",""fr""))"),"")</f>
        <v/>
      </c>
    </row>
    <row r="54" spans="1:2">
      <c r="B54" s="3" t="str">
        <f ca="1">IFERROR(__xludf.DUMMYFUNCTION("IF(ISBLANK(A54),"""",GOOGLETRANSLATE(A54,""en"",""fr""))"),"")</f>
        <v/>
      </c>
    </row>
    <row r="55" spans="1:2">
      <c r="B55" s="3" t="str">
        <f ca="1">IFERROR(__xludf.DUMMYFUNCTION("IF(ISBLANK(A55),"""",GOOGLETRANSLATE(A55,""en"",""fr""))"),"")</f>
        <v/>
      </c>
    </row>
    <row r="56" spans="1:2">
      <c r="A56" s="3" t="s">
        <v>103</v>
      </c>
      <c r="B56" s="3" t="str">
        <f ca="1">IFERROR(__xludf.DUMMYFUNCTION("IF(ISBLANK(A56),"""",GOOGLETRANSLATE(A56,""en"",""fr""))"),"Le véritable coût des systèmes déconnectés dans le commerce de détail automobile")</f>
        <v>Le véritable coût des systèmes déconnectés dans le commerce de détail automobile</v>
      </c>
    </row>
    <row r="57" spans="1:2">
      <c r="B57" s="3" t="str">
        <f ca="1">IFERROR(__xludf.DUMMYFUNCTION("IF(ISBLANK(A57),"""",GOOGLETRANSLATE(A57,""en"",""fr""))"),"")</f>
        <v/>
      </c>
    </row>
    <row r="58" spans="1:2">
      <c r="B58" s="3" t="str">
        <f ca="1">IFERROR(__xludf.DUMMYFUNCTION("IF(ISBLANK(A58),"""",GOOGLETRANSLATE(A58,""en"",""fr""))"),"")</f>
        <v/>
      </c>
    </row>
    <row r="59" spans="1:2">
      <c r="B59" s="3" t="str">
        <f ca="1">IFERROR(__xludf.DUMMYFUNCTION("IF(ISBLANK(A59),"""",GOOGLETRANSLATE(A59,""en"",""fr""))"),"")</f>
        <v/>
      </c>
    </row>
    <row r="60" spans="1:2">
      <c r="A60" s="3" t="s">
        <v>104</v>
      </c>
      <c r="B60" s="3" t="str">
        <f ca="1">IFERROR(__xludf.DUMMYFUNCTION("IF(ISBLANK(A60),"""",GOOGLETRANSLATE(A60,""en"",""fr""))"),"Captive du futur : Comment la technologie redéfinit les opérations financières des captives - Points clés du webinaire de l'AFSA")</f>
        <v>Captive du futur : Comment la technologie redéfinit les opérations financières des captives - Points clés du webinaire de l'AFSA</v>
      </c>
    </row>
    <row r="61" spans="1:2">
      <c r="B61" s="3" t="str">
        <f ca="1">IFERROR(__xludf.DUMMYFUNCTION("IF(ISBLANK(A61),"""",GOOGLETRANSLATE(A61,""en"",""fr""))"),"")</f>
        <v/>
      </c>
    </row>
    <row r="62" spans="1:2">
      <c r="B62" s="3" t="str">
        <f ca="1">IFERROR(__xludf.DUMMYFUNCTION("IF(ISBLANK(A62),"""",GOOGLETRANSLATE(A62,""en"",""fr""))"),"")</f>
        <v/>
      </c>
    </row>
    <row r="63" spans="1:2">
      <c r="B63" s="3" t="str">
        <f ca="1">IFERROR(__xludf.DUMMYFUNCTION("IF(ISBLANK(A63),"""",GOOGLETRANSLATE(A63,""en"",""fr""))"),"")</f>
        <v/>
      </c>
    </row>
    <row r="64" spans="1:2">
      <c r="A64" s="3" t="s">
        <v>105</v>
      </c>
      <c r="B64" s="3" t="str">
        <f ca="1">IFERROR(__xludf.DUMMYFUNCTION("IF(ISBLANK(A64),"""",GOOGLETRANSLATE(A64,""en"",""fr""))"),"Lutte contre la fraude dans le secteur financier de gros : exploiter la technologie pour une détection précoce et une atténuation des risques")</f>
        <v>Lutte contre la fraude dans le secteur financier de gros : exploiter la technologie pour une détection précoce et une atténuation des risques</v>
      </c>
    </row>
    <row r="65" spans="1:2">
      <c r="B65" s="3" t="str">
        <f ca="1">IFERROR(__xludf.DUMMYFUNCTION("IF(ISBLANK(A65),"""",GOOGLETRANSLATE(A65,""en"",""fr""))"),"")</f>
        <v/>
      </c>
    </row>
    <row r="66" spans="1:2">
      <c r="B66" s="3" t="str">
        <f ca="1">IFERROR(__xludf.DUMMYFUNCTION("IF(ISBLANK(A66),"""",GOOGLETRANSLATE(A66,""en"",""fr""))"),"")</f>
        <v/>
      </c>
    </row>
    <row r="67" spans="1:2">
      <c r="B67" s="3" t="str">
        <f ca="1">IFERROR(__xludf.DUMMYFUNCTION("IF(ISBLANK(A67),"""",GOOGLETRANSLATE(A67,""en"",""fr""))"),"")</f>
        <v/>
      </c>
    </row>
    <row r="68" spans="1:2">
      <c r="A68" s="3" t="s">
        <v>774</v>
      </c>
      <c r="B68" s="3" t="str">
        <f ca="1">IFERROR(__xludf.DUMMYFUNCTION("IF(ISBLANK(A68),"""",GOOGLETRANSLATE(A68,""en"",""fr""))"),"Voir plus")</f>
        <v>Voir plus</v>
      </c>
    </row>
    <row r="69" spans="1:2">
      <c r="A69" s="3" t="s">
        <v>91</v>
      </c>
      <c r="B69" s="3" t="str">
        <f ca="1">IFERROR(__xludf.DUMMYFUNCTION("IF(ISBLANK(A69),"""",GOOGLETRANSLATE(A69,""en"",""fr""))"),"Haydock Financial rencontre le succès avec la place de marché de NETSOL")</f>
        <v>Haydock Financial rencontre le succès avec la place de marché de NETSOL</v>
      </c>
    </row>
    <row r="70" spans="1:2">
      <c r="A70" s="3" t="s">
        <v>281</v>
      </c>
      <c r="B70" s="3" t="str">
        <f ca="1">IFERROR(__xludf.DUMMYFUNCTION("IF(ISBLANK(A70),"""",GOOGLETRANSLATE(A70,""en"",""fr""))"),"« Je recommande sans hésiter Appex Now et NETSOL. Leurs produits sont excellents et fonctionnent à merveille. De plus, NETSOL a su répondre à nos besoins et a rapidement apporté toutes les modifications nécessaires. »")</f>
        <v>« Je recommande sans hésiter Appex Now et NETSOL. Leurs produits sont excellents et fonctionnent à merveille. De plus, NETSOL a su répondre à nos besoins et a rapidement apporté toutes les modifications nécessaires. »</v>
      </c>
    </row>
    <row r="71" spans="1:2">
      <c r="A71" s="3" t="s">
        <v>775</v>
      </c>
      <c r="B71" s="3" t="str">
        <f ca="1">IFERROR(__xludf.DUMMYFUNCTION("IF(ISBLANK(A71),"""",GOOGLETRANSLATE(A71,""en"",""fr""))"),"Mike Boyes")</f>
        <v>Mike Boyes</v>
      </c>
    </row>
    <row r="72" spans="1:2">
      <c r="A72" s="3" t="s">
        <v>776</v>
      </c>
      <c r="B72" s="3" t="str">
        <f ca="1">IFERROR(__xludf.DUMMYFUNCTION("IF(ISBLANK(A72),"""",GOOGLETRANSLATE(A72,""en"",""fr""))"),"Responsable des fournisseurs, Haydock Finance")</f>
        <v>Responsable des fournisseurs, Haydock Finance</v>
      </c>
    </row>
    <row r="73" spans="1:2">
      <c r="A73" s="3" t="s">
        <v>108</v>
      </c>
      <c r="B73" s="3" t="str">
        <f ca="1">IFERROR(__xludf.DUMMYFUNCTION("IF(ISBLANK(A73),"""",GOOGLETRANSLATE(A73,""en"",""fr""))"),"Abonnez-vous à notre newsletter pour recevoir les dernières nouvelles dans votre boîte mail.")</f>
        <v>Abonnez-vous à notre newsletter pour recevoir les dernières nouvelles dans votre boîte mail.</v>
      </c>
    </row>
    <row r="74" spans="1:2">
      <c r="A74" s="3" t="s">
        <v>109</v>
      </c>
      <c r="B74" s="3" t="str">
        <f ca="1">IFERROR(__xludf.DUMMYFUNCTION("IF(ISBLANK(A74),"""",GOOGLETRANSLATE(A74,""en"",""fr""))"),"abc@exemple.com")</f>
        <v>abc@exemple.com</v>
      </c>
    </row>
    <row r="75" spans="1:2">
      <c r="A75" s="3" t="s">
        <v>110</v>
      </c>
      <c r="B75" s="3" t="str">
        <f ca="1">IFERROR(__xludf.DUMMYFUNCTION("IF(ISBLANK(A75),"""",GOOGLETRANSLATE(A75,""en"",""fr""))"),"S'abonner ")</f>
        <v xml:space="preserve">S'abonner </v>
      </c>
    </row>
    <row r="76" spans="1:2">
      <c r="B76" s="3" t="str">
        <f ca="1">IFERROR(__xludf.DUMMYFUNCTION("IF(ISBLANK(A76),"""",GOOGLETRANSLATE(A76,""en"",""fr""))"),"")</f>
        <v/>
      </c>
    </row>
    <row r="77" spans="1:2">
      <c r="B77" s="3" t="str">
        <f ca="1">IFERROR(__xludf.DUMMYFUNCTION("IF(ISBLANK(A77),"""",GOOGLETRANSLATE(A77,""en"",""fr""))"),"")</f>
        <v/>
      </c>
    </row>
    <row r="78" spans="1:2">
      <c r="B78" s="3" t="str">
        <f ca="1">IFERROR(__xludf.DUMMYFUNCTION("IF(ISBLANK(A78),"""",GOOGLETRANSLATE(A78,""en"",""fr""))"),"")</f>
        <v/>
      </c>
    </row>
    <row r="79" spans="1:2">
      <c r="B79" s="3" t="str">
        <f ca="1">IFERROR(__xludf.DUMMYFUNCTION("IF(ISBLANK(A79),"""",GOOGLETRANSLATE(A79,""en"",""fr""))"),"")</f>
        <v/>
      </c>
    </row>
    <row r="80" spans="1:2">
      <c r="B80" s="3" t="str">
        <f ca="1">IFERROR(__xludf.DUMMYFUNCTION("IF(ISBLANK(A80),"""",GOOGLETRANSLATE(A80,""en"",""fr""))"),"")</f>
        <v/>
      </c>
    </row>
    <row r="81" spans="2:2">
      <c r="B81" s="3" t="str">
        <f ca="1">IFERROR(__xludf.DUMMYFUNCTION("IF(ISBLANK(A81),"""",GOOGLETRANSLATE(A81,""en"",""fr""))"),"")</f>
        <v/>
      </c>
    </row>
    <row r="82" spans="2:2">
      <c r="B82" s="3" t="str">
        <f ca="1">IFERROR(__xludf.DUMMYFUNCTION("IF(ISBLANK(A82),"""",GOOGLETRANSLATE(A82,""en"",""fr""))"),"")</f>
        <v/>
      </c>
    </row>
    <row r="83" spans="2:2">
      <c r="B83" s="3" t="str">
        <f ca="1">IFERROR(__xludf.DUMMYFUNCTION("IF(ISBLANK(A83),"""",GOOGLETRANSLATE(A83,""en"",""fr""))"),"")</f>
        <v/>
      </c>
    </row>
    <row r="84" spans="2:2">
      <c r="B84" s="3" t="str">
        <f ca="1">IFERROR(__xludf.DUMMYFUNCTION("IF(ISBLANK(A84),"""",GOOGLETRANSLATE(A84,""en"",""fr""))"),"")</f>
        <v/>
      </c>
    </row>
    <row r="85" spans="2:2">
      <c r="B85" s="3" t="str">
        <f ca="1">IFERROR(__xludf.DUMMYFUNCTION("IF(ISBLANK(A85),"""",GOOGLETRANSLATE(A85,""en"",""fr""))"),"")</f>
        <v/>
      </c>
    </row>
    <row r="86" spans="2:2">
      <c r="B86" s="3" t="str">
        <f ca="1">IFERROR(__xludf.DUMMYFUNCTION("IF(ISBLANK(A86),"""",GOOGLETRANSLATE(A86,""en"",""fr""))"),"")</f>
        <v/>
      </c>
    </row>
    <row r="87" spans="2:2">
      <c r="B87" s="3" t="str">
        <f ca="1">IFERROR(__xludf.DUMMYFUNCTION("IF(ISBLANK(A87),"""",GOOGLETRANSLATE(A87,""en"",""fr""))"),"")</f>
        <v/>
      </c>
    </row>
    <row r="88" spans="2:2">
      <c r="B88" s="3" t="str">
        <f ca="1">IFERROR(__xludf.DUMMYFUNCTION("IF(ISBLANK(A88),"""",GOOGLETRANSLATE(A88,""en"",""fr""))"),"")</f>
        <v/>
      </c>
    </row>
    <row r="89" spans="2:2">
      <c r="B89" s="3" t="str">
        <f ca="1">IFERROR(__xludf.DUMMYFUNCTION("IF(ISBLANK(A89),"""",GOOGLETRANSLATE(A89,""en"",""fr""))"),"")</f>
        <v/>
      </c>
    </row>
    <row r="90" spans="2:2">
      <c r="B90" s="3" t="str">
        <f ca="1">IFERROR(__xludf.DUMMYFUNCTION("IF(ISBLANK(A90),"""",GOOGLETRANSLATE(A90,""en"",""fr""))"),"")</f>
        <v/>
      </c>
    </row>
    <row r="91" spans="2:2">
      <c r="B91" s="3" t="str">
        <f ca="1">IFERROR(__xludf.DUMMYFUNCTION("IF(ISBLANK(A91),"""",GOOGLETRANSLATE(A91,""en"",""fr""))"),"")</f>
        <v/>
      </c>
    </row>
    <row r="92" spans="2:2">
      <c r="B92" s="3" t="str">
        <f ca="1">IFERROR(__xludf.DUMMYFUNCTION("IF(ISBLANK(A92),"""",GOOGLETRANSLATE(A92,""en"",""fr""))"),"")</f>
        <v/>
      </c>
    </row>
    <row r="93" spans="2:2">
      <c r="B93" s="3" t="str">
        <f ca="1">IFERROR(__xludf.DUMMYFUNCTION("IF(ISBLANK(A93),"""",GOOGLETRANSLATE(A93,""en"",""fr""))"),"")</f>
        <v/>
      </c>
    </row>
    <row r="94" spans="2:2">
      <c r="B94" s="3" t="str">
        <f ca="1">IFERROR(__xludf.DUMMYFUNCTION("IF(ISBLANK(A94),"""",GOOGLETRANSLATE(A94,""en"",""fr""))"),"")</f>
        <v/>
      </c>
    </row>
    <row r="95" spans="2:2">
      <c r="B95" s="3" t="str">
        <f ca="1">IFERROR(__xludf.DUMMYFUNCTION("IF(ISBLANK(A95),"""",GOOGLETRANSLATE(A95,""en"",""fr""))"),"")</f>
        <v/>
      </c>
    </row>
    <row r="96" spans="2:2">
      <c r="B96" s="3" t="str">
        <f ca="1">IFERROR(__xludf.DUMMYFUNCTION("IF(ISBLANK(A96),"""",GOOGLETRANSLATE(A96,""en"",""fr""))"),"")</f>
        <v/>
      </c>
    </row>
    <row r="97" spans="2:2">
      <c r="B97" s="3" t="str">
        <f ca="1">IFERROR(__xludf.DUMMYFUNCTION("IF(ISBLANK(A97),"""",GOOGLETRANSLATE(A97,""en"",""fr""))"),"")</f>
        <v/>
      </c>
    </row>
    <row r="98" spans="2:2">
      <c r="B98" s="3" t="str">
        <f ca="1">IFERROR(__xludf.DUMMYFUNCTION("IF(ISBLANK(A98),"""",GOOGLETRANSLATE(A98,""en"",""fr""))"),"")</f>
        <v/>
      </c>
    </row>
    <row r="99" spans="2:2">
      <c r="B99" s="3" t="str">
        <f ca="1">IFERROR(__xludf.DUMMYFUNCTION("IF(ISBLANK(A99),"""",GOOGLETRANSLATE(A99,""en"",""fr""))"),"")</f>
        <v/>
      </c>
    </row>
    <row r="100" spans="2:2">
      <c r="B100" s="3" t="str">
        <f ca="1">IFERROR(__xludf.DUMMYFUNCTION("IF(ISBLANK(A100),"""",GOOGLETRANSLATE(A100,""en"",""fr""))"),"")</f>
        <v/>
      </c>
    </row>
    <row r="101" spans="2:2">
      <c r="B101" s="3" t="str">
        <f ca="1">IFERROR(__xludf.DUMMYFUNCTION("IF(ISBLANK(A101),"""",GOOGLETRANSLATE(A101,""en"",""fr""))"),"")</f>
        <v/>
      </c>
    </row>
    <row r="102" spans="2:2">
      <c r="B102" s="3" t="str">
        <f ca="1">IFERROR(__xludf.DUMMYFUNCTION("IF(ISBLANK(A102),"""",GOOGLETRANSLATE(A102,""en"",""fr""))"),"")</f>
        <v/>
      </c>
    </row>
    <row r="103" spans="2:2">
      <c r="B103" s="3" t="str">
        <f ca="1">IFERROR(__xludf.DUMMYFUNCTION("IF(ISBLANK(A103),"""",GOOGLETRANSLATE(A103,""en"",""fr""))"),"")</f>
        <v/>
      </c>
    </row>
    <row r="104" spans="2:2">
      <c r="B104" s="3" t="str">
        <f ca="1">IFERROR(__xludf.DUMMYFUNCTION("IF(ISBLANK(A104),"""",GOOGLETRANSLATE(A104,""en"",""fr""))"),"")</f>
        <v/>
      </c>
    </row>
    <row r="105" spans="2:2">
      <c r="B105" s="3" t="str">
        <f ca="1">IFERROR(__xludf.DUMMYFUNCTION("IF(ISBLANK(A105),"""",GOOGLETRANSLATE(A105,""en"",""fr""))"),"")</f>
        <v/>
      </c>
    </row>
    <row r="106" spans="2:2">
      <c r="B106" s="3" t="str">
        <f ca="1">IFERROR(__xludf.DUMMYFUNCTION("IF(ISBLANK(A106),"""",GOOGLETRANSLATE(A106,""en"",""fr""))"),"")</f>
        <v/>
      </c>
    </row>
    <row r="107" spans="2:2">
      <c r="B107" s="3" t="str">
        <f ca="1">IFERROR(__xludf.DUMMYFUNCTION("IF(ISBLANK(A107),"""",GOOGLETRANSLATE(A107,""en"",""fr""))"),"")</f>
        <v/>
      </c>
    </row>
    <row r="108" spans="2:2">
      <c r="B108" s="3" t="str">
        <f ca="1">IFERROR(__xludf.DUMMYFUNCTION("IF(ISBLANK(A108),"""",GOOGLETRANSLATE(A108,""en"",""fr""))"),"")</f>
        <v/>
      </c>
    </row>
    <row r="109" spans="2:2">
      <c r="B109" s="3" t="str">
        <f ca="1">IFERROR(__xludf.DUMMYFUNCTION("IF(ISBLANK(A109),"""",GOOGLETRANSLATE(A109,""en"",""fr""))"),"")</f>
        <v/>
      </c>
    </row>
    <row r="110" spans="2:2">
      <c r="B110" s="3" t="str">
        <f ca="1">IFERROR(__xludf.DUMMYFUNCTION("IF(ISBLANK(A110),"""",GOOGLETRANSLATE(A110,""en"",""fr""))"),"")</f>
        <v/>
      </c>
    </row>
    <row r="111" spans="2:2">
      <c r="B111" s="3" t="str">
        <f ca="1">IFERROR(__xludf.DUMMYFUNCTION("IF(ISBLANK(A111),"""",GOOGLETRANSLATE(A111,""en"",""fr""))"),"")</f>
        <v/>
      </c>
    </row>
    <row r="112" spans="2:2">
      <c r="B112" s="3" t="str">
        <f ca="1">IFERROR(__xludf.DUMMYFUNCTION("IF(ISBLANK(A112),"""",GOOGLETRANSLATE(A112,""en"",""fr""))"),"")</f>
        <v/>
      </c>
    </row>
    <row r="113" spans="2:2">
      <c r="B113" s="3" t="str">
        <f ca="1">IFERROR(__xludf.DUMMYFUNCTION("IF(ISBLANK(A113),"""",GOOGLETRANSLATE(A113,""en"",""fr""))"),"")</f>
        <v/>
      </c>
    </row>
    <row r="114" spans="2:2">
      <c r="B114" s="3" t="str">
        <f ca="1">IFERROR(__xludf.DUMMYFUNCTION("IF(ISBLANK(A114),"""",GOOGLETRANSLATE(A114,""en"",""fr""))"),"")</f>
        <v/>
      </c>
    </row>
    <row r="115" spans="2:2">
      <c r="B115" s="3" t="str">
        <f ca="1">IFERROR(__xludf.DUMMYFUNCTION("IF(ISBLANK(A115),"""",GOOGLETRANSLATE(A115,""en"",""fr""))"),"")</f>
        <v/>
      </c>
    </row>
    <row r="116" spans="2:2">
      <c r="B116" s="3" t="str">
        <f ca="1">IFERROR(__xludf.DUMMYFUNCTION("IF(ISBLANK(A116),"""",GOOGLETRANSLATE(A116,""en"",""fr""))"),"")</f>
        <v/>
      </c>
    </row>
    <row r="117" spans="2:2">
      <c r="B117" s="3" t="str">
        <f ca="1">IFERROR(__xludf.DUMMYFUNCTION("IF(ISBLANK(A117),"""",GOOGLETRANSLATE(A117,""en"",""fr""))"),"")</f>
        <v/>
      </c>
    </row>
    <row r="118" spans="2:2">
      <c r="B118" s="3" t="str">
        <f ca="1">IFERROR(__xludf.DUMMYFUNCTION("IF(ISBLANK(A118),"""",GOOGLETRANSLATE(A118,""en"",""fr""))"),"")</f>
        <v/>
      </c>
    </row>
    <row r="119" spans="2:2">
      <c r="B119" s="3" t="str">
        <f ca="1">IFERROR(__xludf.DUMMYFUNCTION("IF(ISBLANK(A119),"""",GOOGLETRANSLATE(A119,""en"",""fr""))"),"")</f>
        <v/>
      </c>
    </row>
    <row r="120" spans="2:2">
      <c r="B120" s="3" t="str">
        <f ca="1">IFERROR(__xludf.DUMMYFUNCTION("IF(ISBLANK(A120),"""",GOOGLETRANSLATE(A120,""en"",""fr""))"),"")</f>
        <v/>
      </c>
    </row>
    <row r="121" spans="2:2">
      <c r="B121" s="3" t="str">
        <f ca="1">IFERROR(__xludf.DUMMYFUNCTION("IF(ISBLANK(A121),"""",GOOGLETRANSLATE(A121,""en"",""fr""))"),"")</f>
        <v/>
      </c>
    </row>
    <row r="122" spans="2:2">
      <c r="B122" s="3" t="str">
        <f ca="1">IFERROR(__xludf.DUMMYFUNCTION("IF(ISBLANK(A122),"""",GOOGLETRANSLATE(A122,""en"",""fr""))"),"")</f>
        <v/>
      </c>
    </row>
    <row r="123" spans="2:2">
      <c r="B123" s="3" t="str">
        <f ca="1">IFERROR(__xludf.DUMMYFUNCTION("IF(ISBLANK(A123),"""",GOOGLETRANSLATE(A123,""en"",""fr""))"),"")</f>
        <v/>
      </c>
    </row>
    <row r="124" spans="2:2">
      <c r="B124" s="3" t="str">
        <f ca="1">IFERROR(__xludf.DUMMYFUNCTION("IF(ISBLANK(A124),"""",GOOGLETRANSLATE(A124,""en"",""fr""))"),"")</f>
        <v/>
      </c>
    </row>
    <row r="125" spans="2:2">
      <c r="B125" s="3" t="str">
        <f ca="1">IFERROR(__xludf.DUMMYFUNCTION("IF(ISBLANK(A125),"""",GOOGLETRANSLATE(A125,""en"",""fr""))"),"")</f>
        <v/>
      </c>
    </row>
    <row r="126" spans="2:2">
      <c r="B126" s="3" t="str">
        <f ca="1">IFERROR(__xludf.DUMMYFUNCTION("IF(ISBLANK(A126),"""",GOOGLETRANSLATE(A126,""en"",""fr""))"),"")</f>
        <v/>
      </c>
    </row>
    <row r="127" spans="2:2">
      <c r="B127" s="3" t="str">
        <f ca="1">IFERROR(__xludf.DUMMYFUNCTION("IF(ISBLANK(A127),"""",GOOGLETRANSLATE(A127,""en"",""fr""))"),"")</f>
        <v/>
      </c>
    </row>
    <row r="128" spans="2:2">
      <c r="B128" s="3" t="str">
        <f ca="1">IFERROR(__xludf.DUMMYFUNCTION("IF(ISBLANK(A128),"""",GOOGLETRANSLATE(A128,""en"",""fr""))"),"")</f>
        <v/>
      </c>
    </row>
    <row r="129" spans="2:2">
      <c r="B129" s="3" t="str">
        <f ca="1">IFERROR(__xludf.DUMMYFUNCTION("IF(ISBLANK(A129),"""",GOOGLETRANSLATE(A129,""en"",""fr""))"),"")</f>
        <v/>
      </c>
    </row>
    <row r="130" spans="2:2">
      <c r="B130" s="3" t="str">
        <f ca="1">IFERROR(__xludf.DUMMYFUNCTION("IF(ISBLANK(A130),"""",GOOGLETRANSLATE(A130,""en"",""fr""))"),"")</f>
        <v/>
      </c>
    </row>
    <row r="131" spans="2:2">
      <c r="B131" s="3" t="str">
        <f ca="1">IFERROR(__xludf.DUMMYFUNCTION("IF(ISBLANK(A131),"""",GOOGLETRANSLATE(A131,""en"",""fr""))"),"")</f>
        <v/>
      </c>
    </row>
    <row r="132" spans="2:2">
      <c r="B132" s="3" t="str">
        <f ca="1">IFERROR(__xludf.DUMMYFUNCTION("IF(ISBLANK(A132),"""",GOOGLETRANSLATE(A132,""en"",""fr""))"),"")</f>
        <v/>
      </c>
    </row>
    <row r="133" spans="2:2">
      <c r="B133" s="3" t="str">
        <f ca="1">IFERROR(__xludf.DUMMYFUNCTION("IF(ISBLANK(A133),"""",GOOGLETRANSLATE(A133,""en"",""fr""))"),"")</f>
        <v/>
      </c>
    </row>
    <row r="134" spans="2:2">
      <c r="B134" s="3" t="str">
        <f ca="1">IFERROR(__xludf.DUMMYFUNCTION("IF(ISBLANK(A134),"""",GOOGLETRANSLATE(A134,""en"",""fr""))"),"")</f>
        <v/>
      </c>
    </row>
    <row r="135" spans="2:2">
      <c r="B135" s="3" t="str">
        <f ca="1">IFERROR(__xludf.DUMMYFUNCTION("IF(ISBLANK(A135),"""",GOOGLETRANSLATE(A135,""en"",""fr""))"),"")</f>
        <v/>
      </c>
    </row>
    <row r="136" spans="2:2">
      <c r="B136" s="3" t="str">
        <f ca="1">IFERROR(__xludf.DUMMYFUNCTION("IF(ISBLANK(A136),"""",GOOGLETRANSLATE(A136,""en"",""fr""))"),"")</f>
        <v/>
      </c>
    </row>
    <row r="137" spans="2:2">
      <c r="B137" s="3" t="str">
        <f ca="1">IFERROR(__xludf.DUMMYFUNCTION("IF(ISBLANK(A137),"""",GOOGLETRANSLATE(A137,""en"",""fr""))"),"")</f>
        <v/>
      </c>
    </row>
    <row r="138" spans="2:2">
      <c r="B138" s="3" t="str">
        <f ca="1">IFERROR(__xludf.DUMMYFUNCTION("IF(ISBLANK(A138),"""",GOOGLETRANSLATE(A138,""en"",""fr""))"),"")</f>
        <v/>
      </c>
    </row>
    <row r="139" spans="2:2">
      <c r="B139" s="3" t="str">
        <f ca="1">IFERROR(__xludf.DUMMYFUNCTION("IF(ISBLANK(A139),"""",GOOGLETRANSLATE(A139,""en"",""fr""))"),"")</f>
        <v/>
      </c>
    </row>
    <row r="140" spans="2:2">
      <c r="B140" s="3" t="str">
        <f ca="1">IFERROR(__xludf.DUMMYFUNCTION("IF(ISBLANK(A140),"""",GOOGLETRANSLATE(A140,""en"",""fr""))"),"")</f>
        <v/>
      </c>
    </row>
    <row r="141" spans="2:2">
      <c r="B141" s="3" t="str">
        <f ca="1">IFERROR(__xludf.DUMMYFUNCTION("IF(ISBLANK(A141),"""",GOOGLETRANSLATE(A141,""en"",""fr""))"),"")</f>
        <v/>
      </c>
    </row>
    <row r="142" spans="2:2">
      <c r="B142" s="3" t="str">
        <f ca="1">IFERROR(__xludf.DUMMYFUNCTION("IF(ISBLANK(A142),"""",GOOGLETRANSLATE(A142,""en"",""fr""))"),"")</f>
        <v/>
      </c>
    </row>
    <row r="143" spans="2:2">
      <c r="B143" s="3" t="str">
        <f ca="1">IFERROR(__xludf.DUMMYFUNCTION("IF(ISBLANK(A143),"""",GOOGLETRANSLATE(A143,""en"",""fr""))"),"")</f>
        <v/>
      </c>
    </row>
    <row r="144" spans="2:2">
      <c r="B144" s="3" t="str">
        <f ca="1">IFERROR(__xludf.DUMMYFUNCTION("IF(ISBLANK(A144),"""",GOOGLETRANSLATE(A144,""en"",""fr""))"),"")</f>
        <v/>
      </c>
    </row>
    <row r="145" spans="2:2">
      <c r="B145" s="3" t="str">
        <f ca="1">IFERROR(__xludf.DUMMYFUNCTION("IF(ISBLANK(A145),"""",GOOGLETRANSLATE(A145,""en"",""fr""))"),"")</f>
        <v/>
      </c>
    </row>
    <row r="146" spans="2:2">
      <c r="B146" s="3" t="str">
        <f ca="1">IFERROR(__xludf.DUMMYFUNCTION("IF(ISBLANK(A146),"""",GOOGLETRANSLATE(A146,""en"",""fr""))"),"")</f>
        <v/>
      </c>
    </row>
    <row r="147" spans="2:2">
      <c r="B147" s="3" t="str">
        <f ca="1">IFERROR(__xludf.DUMMYFUNCTION("IF(ISBLANK(A147),"""",GOOGLETRANSLATE(A147,""en"",""fr""))"),"")</f>
        <v/>
      </c>
    </row>
    <row r="148" spans="2:2">
      <c r="B148" s="3" t="str">
        <f ca="1">IFERROR(__xludf.DUMMYFUNCTION("IF(ISBLANK(A148),"""",GOOGLETRANSLATE(A148,""en"",""fr""))"),"")</f>
        <v/>
      </c>
    </row>
    <row r="149" spans="2:2">
      <c r="B149" s="3" t="str">
        <f ca="1">IFERROR(__xludf.DUMMYFUNCTION("IF(ISBLANK(A149),"""",GOOGLETRANSLATE(A149,""en"",""fr""))"),"")</f>
        <v/>
      </c>
    </row>
    <row r="150" spans="2:2">
      <c r="B150" s="3" t="str">
        <f ca="1">IFERROR(__xludf.DUMMYFUNCTION("IF(ISBLANK(A150),"""",GOOGLETRANSLATE(A150,""en"",""fr""))"),"")</f>
        <v/>
      </c>
    </row>
    <row r="151" spans="2:2">
      <c r="B151" s="3" t="str">
        <f ca="1">IFERROR(__xludf.DUMMYFUNCTION("IF(ISBLANK(A151),"""",GOOGLETRANSLATE(A151,""en"",""fr""))"),"")</f>
        <v/>
      </c>
    </row>
    <row r="152" spans="2:2">
      <c r="B152" s="3" t="str">
        <f ca="1">IFERROR(__xludf.DUMMYFUNCTION("IF(ISBLANK(A152),"""",GOOGLETRANSLATE(A152,""en"",""fr""))"),"")</f>
        <v/>
      </c>
    </row>
    <row r="153" spans="2:2">
      <c r="B153" s="3" t="str">
        <f ca="1">IFERROR(__xludf.DUMMYFUNCTION("IF(ISBLANK(A153),"""",GOOGLETRANSLATE(A153,""en"",""fr""))"),"")</f>
        <v/>
      </c>
    </row>
    <row r="154" spans="2:2">
      <c r="B154" s="3" t="str">
        <f ca="1">IFERROR(__xludf.DUMMYFUNCTION("IF(ISBLANK(A154),"""",GOOGLETRANSLATE(A154,""en"",""fr""))"),"")</f>
        <v/>
      </c>
    </row>
    <row r="155" spans="2:2">
      <c r="B155" s="3" t="str">
        <f ca="1">IFERROR(__xludf.DUMMYFUNCTION("IF(ISBLANK(A155),"""",GOOGLETRANSLATE(A155,""en"",""fr""))"),"")</f>
        <v/>
      </c>
    </row>
    <row r="156" spans="2:2">
      <c r="B156" s="3" t="str">
        <f ca="1">IFERROR(__xludf.DUMMYFUNCTION("IF(ISBLANK(A156),"""",GOOGLETRANSLATE(A156,""en"",""fr""))"),"")</f>
        <v/>
      </c>
    </row>
    <row r="157" spans="2:2">
      <c r="B157" s="3" t="str">
        <f ca="1">IFERROR(__xludf.DUMMYFUNCTION("IF(ISBLANK(A157),"""",GOOGLETRANSLATE(A157,""en"",""fr""))"),"")</f>
        <v/>
      </c>
    </row>
    <row r="158" spans="2:2">
      <c r="B158" s="3" t="str">
        <f ca="1">IFERROR(__xludf.DUMMYFUNCTION("IF(ISBLANK(A158),"""",GOOGLETRANSLATE(A158,""en"",""fr""))"),"")</f>
        <v/>
      </c>
    </row>
    <row r="159" spans="2:2">
      <c r="B159" s="3" t="str">
        <f ca="1">IFERROR(__xludf.DUMMYFUNCTION("IF(ISBLANK(A159),"""",GOOGLETRANSLATE(A159,""en"",""fr""))"),"")</f>
        <v/>
      </c>
    </row>
    <row r="160" spans="2:2">
      <c r="B160" s="3" t="str">
        <f ca="1">IFERROR(__xludf.DUMMYFUNCTION("IF(ISBLANK(A160),"""",GOOGLETRANSLATE(A160,""en"",""fr""))"),"")</f>
        <v/>
      </c>
    </row>
    <row r="161" spans="2:2">
      <c r="B161" s="3" t="str">
        <f ca="1">IFERROR(__xludf.DUMMYFUNCTION("IF(ISBLANK(A161),"""",GOOGLETRANSLATE(A161,""en"",""fr""))"),"")</f>
        <v/>
      </c>
    </row>
    <row r="162" spans="2:2">
      <c r="B162" s="3" t="str">
        <f ca="1">IFERROR(__xludf.DUMMYFUNCTION("IF(ISBLANK(A162),"""",GOOGLETRANSLATE(A162,""en"",""fr""))"),"")</f>
        <v/>
      </c>
    </row>
    <row r="163" spans="2:2">
      <c r="B163" s="3" t="str">
        <f ca="1">IFERROR(__xludf.DUMMYFUNCTION("IF(ISBLANK(A163),"""",GOOGLETRANSLATE(A163,""en"",""fr""))"),"")</f>
        <v/>
      </c>
    </row>
    <row r="164" spans="2:2">
      <c r="B164" s="3" t="str">
        <f ca="1">IFERROR(__xludf.DUMMYFUNCTION("IF(ISBLANK(A164),"""",GOOGLETRANSLATE(A164,""en"",""fr""))"),"")</f>
        <v/>
      </c>
    </row>
    <row r="165" spans="2:2">
      <c r="B165" s="3" t="str">
        <f ca="1">IFERROR(__xludf.DUMMYFUNCTION("IF(ISBLANK(A165),"""",GOOGLETRANSLATE(A165,""en"",""fr""))"),"")</f>
        <v/>
      </c>
    </row>
    <row r="166" spans="2:2">
      <c r="B166" s="3" t="str">
        <f ca="1">IFERROR(__xludf.DUMMYFUNCTION("IF(ISBLANK(A166),"""",GOOGLETRANSLATE(A166,""en"",""fr""))"),"")</f>
        <v/>
      </c>
    </row>
    <row r="167" spans="2:2">
      <c r="B167" s="3" t="str">
        <f ca="1">IFERROR(__xludf.DUMMYFUNCTION("IF(ISBLANK(A167),"""",GOOGLETRANSLATE(A167,""en"",""fr""))"),"")</f>
        <v/>
      </c>
    </row>
    <row r="168" spans="2:2">
      <c r="B168" s="3" t="str">
        <f ca="1">IFERROR(__xludf.DUMMYFUNCTION("IF(ISBLANK(A168),"""",GOOGLETRANSLATE(A168,""en"",""fr""))"),"")</f>
        <v/>
      </c>
    </row>
    <row r="169" spans="2:2">
      <c r="B169" s="3" t="str">
        <f ca="1">IFERROR(__xludf.DUMMYFUNCTION("IF(ISBLANK(A169),"""",GOOGLETRANSLATE(A169,""en"",""fr""))"),"")</f>
        <v/>
      </c>
    </row>
    <row r="170" spans="2:2">
      <c r="B170" s="3" t="str">
        <f ca="1">IFERROR(__xludf.DUMMYFUNCTION("IF(ISBLANK(A170),"""",GOOGLETRANSLATE(A170,""en"",""fr""))"),"")</f>
        <v/>
      </c>
    </row>
    <row r="171" spans="2:2">
      <c r="B171" s="3" t="str">
        <f ca="1">IFERROR(__xludf.DUMMYFUNCTION("IF(ISBLANK(A171),"""",GOOGLETRANSLATE(A171,""en"",""fr""))"),"")</f>
        <v/>
      </c>
    </row>
    <row r="172" spans="2:2">
      <c r="B172" s="3" t="str">
        <f ca="1">IFERROR(__xludf.DUMMYFUNCTION("IF(ISBLANK(A172),"""",GOOGLETRANSLATE(A172,""en"",""fr""))"),"")</f>
        <v/>
      </c>
    </row>
    <row r="173" spans="2:2">
      <c r="B173" s="3" t="str">
        <f ca="1">IFERROR(__xludf.DUMMYFUNCTION("IF(ISBLANK(A173),"""",GOOGLETRANSLATE(A173,""en"",""fr""))"),"")</f>
        <v/>
      </c>
    </row>
    <row r="174" spans="2:2">
      <c r="B174" s="3" t="str">
        <f ca="1">IFERROR(__xludf.DUMMYFUNCTION("IF(ISBLANK(A174),"""",GOOGLETRANSLATE(A174,""en"",""fr""))"),"")</f>
        <v/>
      </c>
    </row>
    <row r="175" spans="2:2">
      <c r="B175" s="3" t="str">
        <f ca="1">IFERROR(__xludf.DUMMYFUNCTION("IF(ISBLANK(A175),"""",GOOGLETRANSLATE(A175,""en"",""fr""))"),"")</f>
        <v/>
      </c>
    </row>
    <row r="176" spans="2:2">
      <c r="B176" s="3" t="str">
        <f ca="1">IFERROR(__xludf.DUMMYFUNCTION("IF(ISBLANK(A176),"""",GOOGLETRANSLATE(A176,""en"",""fr""))"),"")</f>
        <v/>
      </c>
    </row>
    <row r="177" spans="2:2">
      <c r="B177" s="3" t="str">
        <f ca="1">IFERROR(__xludf.DUMMYFUNCTION("IF(ISBLANK(A177),"""",GOOGLETRANSLATE(A177,""en"",""fr""))"),"")</f>
        <v/>
      </c>
    </row>
    <row r="178" spans="2:2">
      <c r="B178" s="3" t="str">
        <f ca="1">IFERROR(__xludf.DUMMYFUNCTION("IF(ISBLANK(A178),"""",GOOGLETRANSLATE(A178,""en"",""fr""))"),"")</f>
        <v/>
      </c>
    </row>
    <row r="179" spans="2:2">
      <c r="B179" s="3" t="str">
        <f ca="1">IFERROR(__xludf.DUMMYFUNCTION("IF(ISBLANK(A179),"""",GOOGLETRANSLATE(A179,""en"",""fr""))"),"")</f>
        <v/>
      </c>
    </row>
    <row r="180" spans="2:2">
      <c r="B180" s="3" t="str">
        <f ca="1">IFERROR(__xludf.DUMMYFUNCTION("IF(ISBLANK(A180),"""",GOOGLETRANSLATE(A180,""en"",""fr""))"),"")</f>
        <v/>
      </c>
    </row>
    <row r="181" spans="2:2">
      <c r="B181" s="3" t="str">
        <f ca="1">IFERROR(__xludf.DUMMYFUNCTION("IF(ISBLANK(A181),"""",GOOGLETRANSLATE(A181,""en"",""fr""))"),"")</f>
        <v/>
      </c>
    </row>
    <row r="182" spans="2:2">
      <c r="B182" s="3" t="str">
        <f ca="1">IFERROR(__xludf.DUMMYFUNCTION("IF(ISBLANK(A182),"""",GOOGLETRANSLATE(A182,""en"",""fr""))"),"")</f>
        <v/>
      </c>
    </row>
    <row r="183" spans="2:2">
      <c r="B183" s="3" t="str">
        <f ca="1">IFERROR(__xludf.DUMMYFUNCTION("IF(ISBLANK(A183),"""",GOOGLETRANSLATE(A183,""en"",""fr""))"),"")</f>
        <v/>
      </c>
    </row>
    <row r="184" spans="2:2">
      <c r="B184" s="3" t="str">
        <f ca="1">IFERROR(__xludf.DUMMYFUNCTION("IF(ISBLANK(A184),"""",GOOGLETRANSLATE(A184,""en"",""fr""))"),"")</f>
        <v/>
      </c>
    </row>
    <row r="185" spans="2:2">
      <c r="B185" s="3" t="str">
        <f ca="1">IFERROR(__xludf.DUMMYFUNCTION("IF(ISBLANK(A185),"""",GOOGLETRANSLATE(A185,""en"",""fr""))"),"")</f>
        <v/>
      </c>
    </row>
    <row r="186" spans="2:2">
      <c r="B186" s="3" t="str">
        <f ca="1">IFERROR(__xludf.DUMMYFUNCTION("IF(ISBLANK(A186),"""",GOOGLETRANSLATE(A186,""en"",""fr""))"),"")</f>
        <v/>
      </c>
    </row>
    <row r="187" spans="2:2">
      <c r="B187" s="3" t="str">
        <f ca="1">IFERROR(__xludf.DUMMYFUNCTION("IF(ISBLANK(A187),"""",GOOGLETRANSLATE(A187,""en"",""fr""))"),"")</f>
        <v/>
      </c>
    </row>
    <row r="188" spans="2:2">
      <c r="B188" s="3" t="str">
        <f ca="1">IFERROR(__xludf.DUMMYFUNCTION("IF(ISBLANK(A188),"""",GOOGLETRANSLATE(A188,""en"",""fr""))"),"")</f>
        <v/>
      </c>
    </row>
    <row r="189" spans="2:2">
      <c r="B189" s="3" t="str">
        <f ca="1">IFERROR(__xludf.DUMMYFUNCTION("IF(ISBLANK(A189),"""",GOOGLETRANSLATE(A189,""en"",""fr""))"),"")</f>
        <v/>
      </c>
    </row>
    <row r="190" spans="2:2">
      <c r="B190" s="3" t="str">
        <f ca="1">IFERROR(__xludf.DUMMYFUNCTION("IF(ISBLANK(A190),"""",GOOGLETRANSLATE(A190,""en"",""fr""))"),"")</f>
        <v/>
      </c>
    </row>
    <row r="191" spans="2:2">
      <c r="B191" s="3" t="str">
        <f ca="1">IFERROR(__xludf.DUMMYFUNCTION("IF(ISBLANK(A191),"""",GOOGLETRANSLATE(A191,""en"",""fr""))"),"")</f>
        <v/>
      </c>
    </row>
    <row r="192" spans="2:2">
      <c r="B192" s="3" t="str">
        <f ca="1">IFERROR(__xludf.DUMMYFUNCTION("IF(ISBLANK(A192),"""",GOOGLETRANSLATE(A192,""en"",""fr""))"),"")</f>
        <v/>
      </c>
    </row>
    <row r="193" spans="2:2">
      <c r="B193" s="3" t="str">
        <f ca="1">IFERROR(__xludf.DUMMYFUNCTION("IF(ISBLANK(A193),"""",GOOGLETRANSLATE(A193,""en"",""fr""))"),"")</f>
        <v/>
      </c>
    </row>
    <row r="194" spans="2:2">
      <c r="B194" s="3" t="str">
        <f ca="1">IFERROR(__xludf.DUMMYFUNCTION("IF(ISBLANK(A194),"""",GOOGLETRANSLATE(A194,""en"",""fr""))"),"")</f>
        <v/>
      </c>
    </row>
    <row r="195" spans="2:2">
      <c r="B195" s="3" t="str">
        <f ca="1">IFERROR(__xludf.DUMMYFUNCTION("IF(ISBLANK(A195),"""",GOOGLETRANSLATE(A195,""en"",""fr""))"),"")</f>
        <v/>
      </c>
    </row>
    <row r="196" spans="2:2">
      <c r="B196" s="3" t="str">
        <f ca="1">IFERROR(__xludf.DUMMYFUNCTION("IF(ISBLANK(A196),"""",GOOGLETRANSLATE(A196,""en"",""fr""))"),"")</f>
        <v/>
      </c>
    </row>
    <row r="197" spans="2:2">
      <c r="B197" s="3" t="str">
        <f ca="1">IFERROR(__xludf.DUMMYFUNCTION("IF(ISBLANK(A197),"""",GOOGLETRANSLATE(A197,""en"",""fr""))"),"")</f>
        <v/>
      </c>
    </row>
    <row r="198" spans="2:2">
      <c r="B198" s="3" t="str">
        <f ca="1">IFERROR(__xludf.DUMMYFUNCTION("IF(ISBLANK(A198),"""",GOOGLETRANSLATE(A198,""en"",""fr""))"),"")</f>
        <v/>
      </c>
    </row>
    <row r="199" spans="2:2">
      <c r="B199" s="3" t="str">
        <f ca="1">IFERROR(__xludf.DUMMYFUNCTION("IF(ISBLANK(A199),"""",GOOGLETRANSLATE(A199,""en"",""fr""))"),"")</f>
        <v/>
      </c>
    </row>
    <row r="200" spans="2:2">
      <c r="B200" s="3" t="str">
        <f ca="1">IFERROR(__xludf.DUMMYFUNCTION("IF(ISBLANK(A200),"""",GOOGLETRANSLATE(A200,""en"",""fr""))"),"")</f>
        <v/>
      </c>
    </row>
    <row r="201" spans="2:2">
      <c r="B201" s="3" t="str">
        <f ca="1">IFERROR(__xludf.DUMMYFUNCTION("IF(ISBLANK(A201),"""",GOOGLETRANSLATE(A201,""en"",""fr""))"),"")</f>
        <v/>
      </c>
    </row>
    <row r="202" spans="2:2">
      <c r="B202" s="3" t="str">
        <f ca="1">IFERROR(__xludf.DUMMYFUNCTION("IF(ISBLANK(A202),"""",GOOGLETRANSLATE(A202,""en"",""fr""))"),"")</f>
        <v/>
      </c>
    </row>
    <row r="203" spans="2:2">
      <c r="B203" s="3" t="str">
        <f ca="1">IFERROR(__xludf.DUMMYFUNCTION("IF(ISBLANK(A203),"""",GOOGLETRANSLATE(A203,""en"",""fr""))"),"")</f>
        <v/>
      </c>
    </row>
    <row r="204" spans="2:2">
      <c r="B204" s="3" t="str">
        <f ca="1">IFERROR(__xludf.DUMMYFUNCTION("IF(ISBLANK(A204),"""",GOOGLETRANSLATE(A204,""en"",""fr""))"),"")</f>
        <v/>
      </c>
    </row>
    <row r="205" spans="2:2">
      <c r="B205" s="3" t="str">
        <f ca="1">IFERROR(__xludf.DUMMYFUNCTION("IF(ISBLANK(A205),"""",GOOGLETRANSLATE(A205,""en"",""fr""))"),"")</f>
        <v/>
      </c>
    </row>
    <row r="206" spans="2:2">
      <c r="B206" s="3" t="str">
        <f ca="1">IFERROR(__xludf.DUMMYFUNCTION("IF(ISBLANK(A206),"""",GOOGLETRANSLATE(A206,""en"",""fr""))"),"")</f>
        <v/>
      </c>
    </row>
    <row r="207" spans="2:2">
      <c r="B207" s="3" t="str">
        <f ca="1">IFERROR(__xludf.DUMMYFUNCTION("IF(ISBLANK(A207),"""",GOOGLETRANSLATE(A207,""en"",""fr""))"),"")</f>
        <v/>
      </c>
    </row>
    <row r="208" spans="2:2">
      <c r="B208" s="3" t="str">
        <f ca="1">IFERROR(__xludf.DUMMYFUNCTION("IF(ISBLANK(A208),"""",GOOGLETRANSLATE(A208,""en"",""fr""))"),"")</f>
        <v/>
      </c>
    </row>
    <row r="209" spans="2:2">
      <c r="B209" s="3" t="str">
        <f ca="1">IFERROR(__xludf.DUMMYFUNCTION("IF(ISBLANK(A209),"""",GOOGLETRANSLATE(A209,""en"",""fr""))"),"")</f>
        <v/>
      </c>
    </row>
    <row r="210" spans="2:2">
      <c r="B210" s="3" t="str">
        <f ca="1">IFERROR(__xludf.DUMMYFUNCTION("IF(ISBLANK(A210),"""",GOOGLETRANSLATE(A210,""en"",""fr""))"),"")</f>
        <v/>
      </c>
    </row>
    <row r="211" spans="2:2">
      <c r="B211" s="3" t="str">
        <f ca="1">IFERROR(__xludf.DUMMYFUNCTION("IF(ISBLANK(A211),"""",GOOGLETRANSLATE(A211,""en"",""fr""))"),"")</f>
        <v/>
      </c>
    </row>
    <row r="212" spans="2:2">
      <c r="B212" s="3" t="str">
        <f ca="1">IFERROR(__xludf.DUMMYFUNCTION("IF(ISBLANK(A212),"""",GOOGLETRANSLATE(A212,""en"",""fr""))"),"")</f>
        <v/>
      </c>
    </row>
    <row r="213" spans="2:2">
      <c r="B213" s="3" t="str">
        <f ca="1">IFERROR(__xludf.DUMMYFUNCTION("IF(ISBLANK(A213),"""",GOOGLETRANSLATE(A213,""en"",""fr""))"),"")</f>
        <v/>
      </c>
    </row>
    <row r="214" spans="2:2">
      <c r="B214" s="3" t="str">
        <f ca="1">IFERROR(__xludf.DUMMYFUNCTION("IF(ISBLANK(A214),"""",GOOGLETRANSLATE(A214,""en"",""fr""))"),"")</f>
        <v/>
      </c>
    </row>
    <row r="215" spans="2:2">
      <c r="B215" s="3" t="str">
        <f ca="1">IFERROR(__xludf.DUMMYFUNCTION("IF(ISBLANK(A215),"""",GOOGLETRANSLATE(A215,""en"",""fr""))"),"")</f>
        <v/>
      </c>
    </row>
    <row r="216" spans="2:2">
      <c r="B216" s="3" t="str">
        <f ca="1">IFERROR(__xludf.DUMMYFUNCTION("IF(ISBLANK(A216),"""",GOOGLETRANSLATE(A216,""en"",""fr""))"),"")</f>
        <v/>
      </c>
    </row>
    <row r="217" spans="2:2">
      <c r="B217" s="3" t="str">
        <f ca="1">IFERROR(__xludf.DUMMYFUNCTION("IF(ISBLANK(A217),"""",GOOGLETRANSLATE(A217,""en"",""fr""))"),"")</f>
        <v/>
      </c>
    </row>
    <row r="218" spans="2:2">
      <c r="B218" s="3" t="str">
        <f ca="1">IFERROR(__xludf.DUMMYFUNCTION("IF(ISBLANK(A218),"""",GOOGLETRANSLATE(A218,""en"",""fr""))"),"")</f>
        <v/>
      </c>
    </row>
    <row r="219" spans="2:2">
      <c r="B219" s="3" t="str">
        <f ca="1">IFERROR(__xludf.DUMMYFUNCTION("IF(ISBLANK(A219),"""",GOOGLETRANSLATE(A219,""en"",""fr""))"),"")</f>
        <v/>
      </c>
    </row>
    <row r="220" spans="2:2">
      <c r="B220" s="3" t="str">
        <f ca="1">IFERROR(__xludf.DUMMYFUNCTION("IF(ISBLANK(A220),"""",GOOGLETRANSLATE(A220,""en"",""fr""))"),"")</f>
        <v/>
      </c>
    </row>
    <row r="221" spans="2:2">
      <c r="B221" s="3" t="str">
        <f ca="1">IFERROR(__xludf.DUMMYFUNCTION("IF(ISBLANK(A221),"""",GOOGLETRANSLATE(A221,""en"",""fr""))"),"")</f>
        <v/>
      </c>
    </row>
    <row r="222" spans="2:2">
      <c r="B222" s="3" t="str">
        <f ca="1">IFERROR(__xludf.DUMMYFUNCTION("IF(ISBLANK(A222),"""",GOOGLETRANSLATE(A222,""en"",""fr""))"),"")</f>
        <v/>
      </c>
    </row>
    <row r="223" spans="2:2">
      <c r="B223" s="3" t="str">
        <f ca="1">IFERROR(__xludf.DUMMYFUNCTION("IF(ISBLANK(A223),"""",GOOGLETRANSLATE(A223,""en"",""fr""))"),"")</f>
        <v/>
      </c>
    </row>
    <row r="224" spans="2:2">
      <c r="B224" s="3" t="str">
        <f ca="1">IFERROR(__xludf.DUMMYFUNCTION("IF(ISBLANK(A224),"""",GOOGLETRANSLATE(A224,""en"",""fr""))"),"")</f>
        <v/>
      </c>
    </row>
    <row r="225" spans="2:2">
      <c r="B225" s="3" t="str">
        <f ca="1">IFERROR(__xludf.DUMMYFUNCTION("IF(ISBLANK(A225),"""",GOOGLETRANSLATE(A225,""en"",""fr""))"),"")</f>
        <v/>
      </c>
    </row>
    <row r="226" spans="2:2">
      <c r="B226" s="3" t="str">
        <f ca="1">IFERROR(__xludf.DUMMYFUNCTION("IF(ISBLANK(A226),"""",GOOGLETRANSLATE(A226,""en"",""fr""))"),"")</f>
        <v/>
      </c>
    </row>
    <row r="227" spans="2:2">
      <c r="B227" s="3" t="str">
        <f ca="1">IFERROR(__xludf.DUMMYFUNCTION("IF(ISBLANK(A227),"""",GOOGLETRANSLATE(A227,""en"",""fr""))"),"")</f>
        <v/>
      </c>
    </row>
    <row r="228" spans="2:2">
      <c r="B228" s="3" t="str">
        <f ca="1">IFERROR(__xludf.DUMMYFUNCTION("IF(ISBLANK(A228),"""",GOOGLETRANSLATE(A228,""en"",""fr""))"),"")</f>
        <v/>
      </c>
    </row>
    <row r="229" spans="2:2">
      <c r="B229" s="3" t="str">
        <f ca="1">IFERROR(__xludf.DUMMYFUNCTION("IF(ISBLANK(A229),"""",GOOGLETRANSLATE(A229,""en"",""fr""))"),"")</f>
        <v/>
      </c>
    </row>
    <row r="230" spans="2:2">
      <c r="B230" s="3" t="str">
        <f ca="1">IFERROR(__xludf.DUMMYFUNCTION("IF(ISBLANK(A230),"""",GOOGLETRANSLATE(A230,""en"",""fr""))"),"")</f>
        <v/>
      </c>
    </row>
    <row r="231" spans="2:2">
      <c r="B231" s="3" t="str">
        <f ca="1">IFERROR(__xludf.DUMMYFUNCTION("IF(ISBLANK(A231),"""",GOOGLETRANSLATE(A231,""en"",""fr""))"),"")</f>
        <v/>
      </c>
    </row>
    <row r="232" spans="2:2">
      <c r="B232" s="3" t="str">
        <f ca="1">IFERROR(__xludf.DUMMYFUNCTION("IF(ISBLANK(A232),"""",GOOGLETRANSLATE(A232,""en"",""fr""))"),"")</f>
        <v/>
      </c>
    </row>
    <row r="233" spans="2:2">
      <c r="B233" s="3" t="str">
        <f ca="1">IFERROR(__xludf.DUMMYFUNCTION("IF(ISBLANK(A233),"""",GOOGLETRANSLATE(A233,""en"",""fr""))"),"")</f>
        <v/>
      </c>
    </row>
    <row r="234" spans="2:2">
      <c r="B234" s="3" t="str">
        <f ca="1">IFERROR(__xludf.DUMMYFUNCTION("IF(ISBLANK(A234),"""",GOOGLETRANSLATE(A234,""en"",""fr""))"),"")</f>
        <v/>
      </c>
    </row>
    <row r="235" spans="2:2">
      <c r="B235" s="3" t="str">
        <f ca="1">IFERROR(__xludf.DUMMYFUNCTION("IF(ISBLANK(A235),"""",GOOGLETRANSLATE(A235,""en"",""fr""))"),"")</f>
        <v/>
      </c>
    </row>
    <row r="236" spans="2:2">
      <c r="B236" s="3" t="str">
        <f ca="1">IFERROR(__xludf.DUMMYFUNCTION("IF(ISBLANK(A236),"""",GOOGLETRANSLATE(A236,""en"",""fr""))"),"")</f>
        <v/>
      </c>
    </row>
    <row r="237" spans="2:2">
      <c r="B237" s="3" t="str">
        <f ca="1">IFERROR(__xludf.DUMMYFUNCTION("IF(ISBLANK(A237),"""",GOOGLETRANSLATE(A237,""en"",""fr""))"),"")</f>
        <v/>
      </c>
    </row>
    <row r="238" spans="2:2">
      <c r="B238" s="3" t="str">
        <f ca="1">IFERROR(__xludf.DUMMYFUNCTION("IF(ISBLANK(A238),"""",GOOGLETRANSLATE(A238,""en"",""fr""))"),"")</f>
        <v/>
      </c>
    </row>
    <row r="239" spans="2:2">
      <c r="B239" s="3" t="str">
        <f ca="1">IFERROR(__xludf.DUMMYFUNCTION("IF(ISBLANK(A239),"""",GOOGLETRANSLATE(A239,""en"",""fr""))"),"")</f>
        <v/>
      </c>
    </row>
    <row r="240" spans="2:2">
      <c r="B240" s="3" t="str">
        <f ca="1">IFERROR(__xludf.DUMMYFUNCTION("IF(ISBLANK(A240),"""",GOOGLETRANSLATE(A240,""en"",""fr""))"),"")</f>
        <v/>
      </c>
    </row>
    <row r="241" spans="2:2">
      <c r="B241" s="3" t="str">
        <f ca="1">IFERROR(__xludf.DUMMYFUNCTION("IF(ISBLANK(A241),"""",GOOGLETRANSLATE(A241,""en"",""fr""))"),"")</f>
        <v/>
      </c>
    </row>
    <row r="242" spans="2:2">
      <c r="B242" s="3" t="str">
        <f ca="1">IFERROR(__xludf.DUMMYFUNCTION("IF(ISBLANK(A242),"""",GOOGLETRANSLATE(A242,""en"",""fr""))"),"")</f>
        <v/>
      </c>
    </row>
    <row r="243" spans="2:2">
      <c r="B243" s="3" t="str">
        <f ca="1">IFERROR(__xludf.DUMMYFUNCTION("IF(ISBLANK(A243),"""",GOOGLETRANSLATE(A243,""en"",""fr""))"),"")</f>
        <v/>
      </c>
    </row>
    <row r="244" spans="2:2">
      <c r="B244" s="3" t="str">
        <f ca="1">IFERROR(__xludf.DUMMYFUNCTION("IF(ISBLANK(A244),"""",GOOGLETRANSLATE(A244,""en"",""fr""))"),"")</f>
        <v/>
      </c>
    </row>
    <row r="245" spans="2:2">
      <c r="B245" s="3" t="str">
        <f ca="1">IFERROR(__xludf.DUMMYFUNCTION("IF(ISBLANK(A245),"""",GOOGLETRANSLATE(A245,""en"",""fr""))"),"")</f>
        <v/>
      </c>
    </row>
    <row r="246" spans="2:2">
      <c r="B246" s="3" t="str">
        <f ca="1">IFERROR(__xludf.DUMMYFUNCTION("IF(ISBLANK(A246),"""",GOOGLETRANSLATE(A246,""en"",""fr""))"),"")</f>
        <v/>
      </c>
    </row>
    <row r="247" spans="2:2">
      <c r="B247" s="3" t="str">
        <f ca="1">IFERROR(__xludf.DUMMYFUNCTION("IF(ISBLANK(A247),"""",GOOGLETRANSLATE(A247,""en"",""fr""))"),"")</f>
        <v/>
      </c>
    </row>
    <row r="248" spans="2:2">
      <c r="B248" s="3" t="str">
        <f ca="1">IFERROR(__xludf.DUMMYFUNCTION("IF(ISBLANK(A248),"""",GOOGLETRANSLATE(A248,""en"",""fr""))"),"")</f>
        <v/>
      </c>
    </row>
    <row r="249" spans="2:2">
      <c r="B249" s="3" t="str">
        <f ca="1">IFERROR(__xludf.DUMMYFUNCTION("IF(ISBLANK(A249),"""",GOOGLETRANSLATE(A249,""en"",""fr""))"),"")</f>
        <v/>
      </c>
    </row>
    <row r="250" spans="2:2">
      <c r="B250" s="3" t="str">
        <f ca="1">IFERROR(__xludf.DUMMYFUNCTION("IF(ISBLANK(A250),"""",GOOGLETRANSLATE(A250,""en"",""fr""))"),"")</f>
        <v/>
      </c>
    </row>
    <row r="251" spans="2:2">
      <c r="B251" s="3" t="str">
        <f ca="1">IFERROR(__xludf.DUMMYFUNCTION("IF(ISBLANK(A251),"""",GOOGLETRANSLATE(A251,""en"",""fr""))"),"")</f>
        <v/>
      </c>
    </row>
    <row r="252" spans="2:2">
      <c r="B252" s="3" t="str">
        <f ca="1">IFERROR(__xludf.DUMMYFUNCTION("IF(ISBLANK(A252),"""",GOOGLETRANSLATE(A252,""en"",""fr""))"),"")</f>
        <v/>
      </c>
    </row>
    <row r="253" spans="2:2">
      <c r="B253" s="3" t="str">
        <f ca="1">IFERROR(__xludf.DUMMYFUNCTION("IF(ISBLANK(A253),"""",GOOGLETRANSLATE(A253,""en"",""fr""))"),"")</f>
        <v/>
      </c>
    </row>
    <row r="254" spans="2:2">
      <c r="B254" s="3" t="str">
        <f ca="1">IFERROR(__xludf.DUMMYFUNCTION("IF(ISBLANK(A254),"""",GOOGLETRANSLATE(A254,""en"",""fr""))"),"")</f>
        <v/>
      </c>
    </row>
    <row r="255" spans="2:2">
      <c r="B255" s="3" t="str">
        <f ca="1">IFERROR(__xludf.DUMMYFUNCTION("IF(ISBLANK(A255),"""",GOOGLETRANSLATE(A255,""en"",""fr""))"),"")</f>
        <v/>
      </c>
    </row>
    <row r="256" spans="2:2">
      <c r="B256" s="3" t="str">
        <f ca="1">IFERROR(__xludf.DUMMYFUNCTION("IF(ISBLANK(A256),"""",GOOGLETRANSLATE(A256,""en"",""fr""))"),"")</f>
        <v/>
      </c>
    </row>
    <row r="257" spans="2:2">
      <c r="B257" s="3" t="str">
        <f ca="1">IFERROR(__xludf.DUMMYFUNCTION("IF(ISBLANK(A257),"""",GOOGLETRANSLATE(A257,""en"",""fr""))"),"")</f>
        <v/>
      </c>
    </row>
    <row r="258" spans="2:2">
      <c r="B258" s="3" t="str">
        <f ca="1">IFERROR(__xludf.DUMMYFUNCTION("IF(ISBLANK(A258),"""",GOOGLETRANSLATE(A258,""en"",""fr""))"),"")</f>
        <v/>
      </c>
    </row>
    <row r="259" spans="2:2">
      <c r="B259" s="3" t="str">
        <f ca="1">IFERROR(__xludf.DUMMYFUNCTION("IF(ISBLANK(A259),"""",GOOGLETRANSLATE(A259,""en"",""fr""))"),"")</f>
        <v/>
      </c>
    </row>
    <row r="260" spans="2:2">
      <c r="B260" s="3" t="str">
        <f ca="1">IFERROR(__xludf.DUMMYFUNCTION("IF(ISBLANK(A260),"""",GOOGLETRANSLATE(A260,""en"",""fr""))"),"")</f>
        <v/>
      </c>
    </row>
    <row r="261" spans="2:2">
      <c r="B261" s="3" t="str">
        <f ca="1">IFERROR(__xludf.DUMMYFUNCTION("IF(ISBLANK(A261),"""",GOOGLETRANSLATE(A261,""en"",""fr""))"),"")</f>
        <v/>
      </c>
    </row>
    <row r="262" spans="2:2">
      <c r="B262" s="3" t="str">
        <f ca="1">IFERROR(__xludf.DUMMYFUNCTION("IF(ISBLANK(A262),"""",GOOGLETRANSLATE(A262,""en"",""fr""))"),"")</f>
        <v/>
      </c>
    </row>
    <row r="263" spans="2:2">
      <c r="B263" s="3" t="str">
        <f ca="1">IFERROR(__xludf.DUMMYFUNCTION("IF(ISBLANK(A263),"""",GOOGLETRANSLATE(A263,""en"",""fr""))"),"")</f>
        <v/>
      </c>
    </row>
    <row r="264" spans="2:2">
      <c r="B264" s="3" t="str">
        <f ca="1">IFERROR(__xludf.DUMMYFUNCTION("IF(ISBLANK(A264),"""",GOOGLETRANSLATE(A264,""en"",""fr""))"),"")</f>
        <v/>
      </c>
    </row>
    <row r="265" spans="2:2">
      <c r="B265" s="3" t="str">
        <f ca="1">IFERROR(__xludf.DUMMYFUNCTION("IF(ISBLANK(A265),"""",GOOGLETRANSLATE(A265,""en"",""fr""))"),"")</f>
        <v/>
      </c>
    </row>
    <row r="266" spans="2:2">
      <c r="B266" s="3" t="str">
        <f ca="1">IFERROR(__xludf.DUMMYFUNCTION("IF(ISBLANK(A266),"""",GOOGLETRANSLATE(A266,""en"",""fr""))"),"")</f>
        <v/>
      </c>
    </row>
    <row r="267" spans="2:2">
      <c r="B267" s="3" t="str">
        <f ca="1">IFERROR(__xludf.DUMMYFUNCTION("IF(ISBLANK(A267),"""",GOOGLETRANSLATE(A267,""en"",""fr""))"),"")</f>
        <v/>
      </c>
    </row>
    <row r="268" spans="2:2">
      <c r="B268" s="3" t="str">
        <f ca="1">IFERROR(__xludf.DUMMYFUNCTION("IF(ISBLANK(A268),"""",GOOGLETRANSLATE(A268,""en"",""fr""))"),"")</f>
        <v/>
      </c>
    </row>
    <row r="269" spans="2:2">
      <c r="B269" s="3" t="str">
        <f ca="1">IFERROR(__xludf.DUMMYFUNCTION("IF(ISBLANK(A269),"""",GOOGLETRANSLATE(A269,""en"",""fr""))"),"")</f>
        <v/>
      </c>
    </row>
    <row r="270" spans="2:2">
      <c r="B270" s="3" t="str">
        <f ca="1">IFERROR(__xludf.DUMMYFUNCTION("IF(ISBLANK(A270),"""",GOOGLETRANSLATE(A270,""en"",""fr""))"),"")</f>
        <v/>
      </c>
    </row>
    <row r="271" spans="2:2">
      <c r="B271" s="3" t="str">
        <f ca="1">IFERROR(__xludf.DUMMYFUNCTION("IF(ISBLANK(A271),"""",GOOGLETRANSLATE(A271,""en"",""fr""))"),"")</f>
        <v/>
      </c>
    </row>
    <row r="272" spans="2:2">
      <c r="B272" s="3" t="str">
        <f ca="1">IFERROR(__xludf.DUMMYFUNCTION("IF(ISBLANK(A272),"""",GOOGLETRANSLATE(A272,""en"",""fr""))"),"")</f>
        <v/>
      </c>
    </row>
    <row r="273" spans="2:2">
      <c r="B273" s="3" t="str">
        <f ca="1">IFERROR(__xludf.DUMMYFUNCTION("IF(ISBLANK(A273),"""",GOOGLETRANSLATE(A273,""en"",""fr""))"),"")</f>
        <v/>
      </c>
    </row>
    <row r="274" spans="2:2">
      <c r="B274" s="3" t="str">
        <f ca="1">IFERROR(__xludf.DUMMYFUNCTION("IF(ISBLANK(A274),"""",GOOGLETRANSLATE(A274,""en"",""fr""))"),"")</f>
        <v/>
      </c>
    </row>
    <row r="275" spans="2:2">
      <c r="B275" s="3" t="str">
        <f ca="1">IFERROR(__xludf.DUMMYFUNCTION("IF(ISBLANK(A275),"""",GOOGLETRANSLATE(A275,""en"",""fr""))"),"")</f>
        <v/>
      </c>
    </row>
    <row r="276" spans="2:2">
      <c r="B276" s="3" t="str">
        <f ca="1">IFERROR(__xludf.DUMMYFUNCTION("IF(ISBLANK(A276),"""",GOOGLETRANSLATE(A276,""en"",""fr""))"),"")</f>
        <v/>
      </c>
    </row>
    <row r="277" spans="2:2">
      <c r="B277" s="3" t="str">
        <f ca="1">IFERROR(__xludf.DUMMYFUNCTION("IF(ISBLANK(A277),"""",GOOGLETRANSLATE(A277,""en"",""fr""))"),"")</f>
        <v/>
      </c>
    </row>
    <row r="278" spans="2:2">
      <c r="B278" s="3" t="str">
        <f ca="1">IFERROR(__xludf.DUMMYFUNCTION("IF(ISBLANK(A278),"""",GOOGLETRANSLATE(A278,""en"",""fr""))"),"")</f>
        <v/>
      </c>
    </row>
    <row r="279" spans="2:2">
      <c r="B279" s="3" t="str">
        <f ca="1">IFERROR(__xludf.DUMMYFUNCTION("IF(ISBLANK(A279),"""",GOOGLETRANSLATE(A279,""en"",""fr""))"),"")</f>
        <v/>
      </c>
    </row>
    <row r="280" spans="2:2">
      <c r="B280" s="3" t="str">
        <f ca="1">IFERROR(__xludf.DUMMYFUNCTION("IF(ISBLANK(A280),"""",GOOGLETRANSLATE(A280,""en"",""fr""))"),"")</f>
        <v/>
      </c>
    </row>
    <row r="281" spans="2:2">
      <c r="B281" s="3" t="str">
        <f ca="1">IFERROR(__xludf.DUMMYFUNCTION("IF(ISBLANK(A281),"""",GOOGLETRANSLATE(A281,""en"",""fr""))"),"")</f>
        <v/>
      </c>
    </row>
    <row r="282" spans="2:2">
      <c r="B282" s="3" t="str">
        <f ca="1">IFERROR(__xludf.DUMMYFUNCTION("IF(ISBLANK(A282),"""",GOOGLETRANSLATE(A282,""en"",""fr""))"),"")</f>
        <v/>
      </c>
    </row>
    <row r="283" spans="2:2">
      <c r="B283" s="3" t="str">
        <f ca="1">IFERROR(__xludf.DUMMYFUNCTION("IF(ISBLANK(A283),"""",GOOGLETRANSLATE(A283,""en"",""fr""))"),"")</f>
        <v/>
      </c>
    </row>
    <row r="284" spans="2:2">
      <c r="B284" s="3" t="str">
        <f ca="1">IFERROR(__xludf.DUMMYFUNCTION("IF(ISBLANK(A284),"""",GOOGLETRANSLATE(A284,""en"",""fr""))"),"")</f>
        <v/>
      </c>
    </row>
    <row r="285" spans="2:2">
      <c r="B285" s="3" t="str">
        <f ca="1">IFERROR(__xludf.DUMMYFUNCTION("IF(ISBLANK(A285),"""",GOOGLETRANSLATE(A285,""en"",""fr""))"),"")</f>
        <v/>
      </c>
    </row>
    <row r="286" spans="2:2">
      <c r="B286" s="3" t="str">
        <f ca="1">IFERROR(__xludf.DUMMYFUNCTION("IF(ISBLANK(A286),"""",GOOGLETRANSLATE(A286,""en"",""fr""))"),"")</f>
        <v/>
      </c>
    </row>
    <row r="287" spans="2:2">
      <c r="B287" s="3" t="str">
        <f ca="1">IFERROR(__xludf.DUMMYFUNCTION("IF(ISBLANK(A287),"""",GOOGLETRANSLATE(A287,""en"",""fr""))"),"")</f>
        <v/>
      </c>
    </row>
    <row r="288" spans="2:2">
      <c r="B288" s="3" t="str">
        <f ca="1">IFERROR(__xludf.DUMMYFUNCTION("IF(ISBLANK(A288),"""",GOOGLETRANSLATE(A288,""en"",""fr""))"),"")</f>
        <v/>
      </c>
    </row>
    <row r="289" spans="2:2">
      <c r="B289" s="3" t="str">
        <f ca="1">IFERROR(__xludf.DUMMYFUNCTION("IF(ISBLANK(A289),"""",GOOGLETRANSLATE(A289,""en"",""fr""))"),"")</f>
        <v/>
      </c>
    </row>
    <row r="290" spans="2:2">
      <c r="B290" s="3" t="str">
        <f ca="1">IFERROR(__xludf.DUMMYFUNCTION("IF(ISBLANK(A290),"""",GOOGLETRANSLATE(A290,""en"",""fr""))"),"")</f>
        <v/>
      </c>
    </row>
    <row r="291" spans="2:2">
      <c r="B291" s="3" t="str">
        <f ca="1">IFERROR(__xludf.DUMMYFUNCTION("IF(ISBLANK(A291),"""",GOOGLETRANSLATE(A291,""en"",""fr""))"),"")</f>
        <v/>
      </c>
    </row>
    <row r="292" spans="2:2">
      <c r="B292" s="3" t="str">
        <f ca="1">IFERROR(__xludf.DUMMYFUNCTION("IF(ISBLANK(A292),"""",GOOGLETRANSLATE(A292,""en"",""fr""))"),"")</f>
        <v/>
      </c>
    </row>
    <row r="293" spans="2:2">
      <c r="B293" s="3" t="str">
        <f ca="1">IFERROR(__xludf.DUMMYFUNCTION("IF(ISBLANK(A293),"""",GOOGLETRANSLATE(A293,""en"",""fr""))"),"")</f>
        <v/>
      </c>
    </row>
    <row r="294" spans="2:2">
      <c r="B294" s="3" t="str">
        <f ca="1">IFERROR(__xludf.DUMMYFUNCTION("IF(ISBLANK(A294),"""",GOOGLETRANSLATE(A294,""en"",""fr""))"),"")</f>
        <v/>
      </c>
    </row>
    <row r="295" spans="2:2">
      <c r="B295" s="3" t="str">
        <f ca="1">IFERROR(__xludf.DUMMYFUNCTION("IF(ISBLANK(A295),"""",GOOGLETRANSLATE(A295,""en"",""fr""))"),"")</f>
        <v/>
      </c>
    </row>
    <row r="296" spans="2:2">
      <c r="B296" s="3" t="str">
        <f ca="1">IFERROR(__xludf.DUMMYFUNCTION("IF(ISBLANK(A296),"""",GOOGLETRANSLATE(A296,""en"",""fr""))"),"")</f>
        <v/>
      </c>
    </row>
    <row r="297" spans="2:2">
      <c r="B297" s="3" t="str">
        <f ca="1">IFERROR(__xludf.DUMMYFUNCTION("IF(ISBLANK(A297),"""",GOOGLETRANSLATE(A297,""en"",""fr""))"),"")</f>
        <v/>
      </c>
    </row>
    <row r="298" spans="2:2">
      <c r="B298" s="3" t="str">
        <f ca="1">IFERROR(__xludf.DUMMYFUNCTION("IF(ISBLANK(A298),"""",GOOGLETRANSLATE(A298,""en"",""fr""))"),"")</f>
        <v/>
      </c>
    </row>
    <row r="299" spans="2:2">
      <c r="B299" s="3" t="str">
        <f ca="1">IFERROR(__xludf.DUMMYFUNCTION("IF(ISBLANK(A299),"""",GOOGLETRANSLATE(A299,""en"",""fr""))"),"")</f>
        <v/>
      </c>
    </row>
    <row r="300" spans="2:2">
      <c r="B300" s="3" t="str">
        <f ca="1">IFERROR(__xludf.DUMMYFUNCTION("IF(ISBLANK(A300),"""",GOOGLETRANSLATE(A300,""en"",""fr""))"),"")</f>
        <v/>
      </c>
    </row>
    <row r="301" spans="2:2">
      <c r="B301" s="3" t="str">
        <f ca="1">IFERROR(__xludf.DUMMYFUNCTION("IF(ISBLANK(A301),"""",GOOGLETRANSLATE(A301,""en"",""fr""))"),"")</f>
        <v/>
      </c>
    </row>
    <row r="302" spans="2:2">
      <c r="B302" s="3" t="str">
        <f ca="1">IFERROR(__xludf.DUMMYFUNCTION("IF(ISBLANK(A302),"""",GOOGLETRANSLATE(A302,""en"",""fr""))"),"")</f>
        <v/>
      </c>
    </row>
    <row r="303" spans="2:2">
      <c r="B303" s="3" t="str">
        <f ca="1">IFERROR(__xludf.DUMMYFUNCTION("IF(ISBLANK(A303),"""",GOOGLETRANSLATE(A303,""en"",""fr""))"),"")</f>
        <v/>
      </c>
    </row>
    <row r="304" spans="2:2">
      <c r="B304" s="3" t="str">
        <f ca="1">IFERROR(__xludf.DUMMYFUNCTION("IF(ISBLANK(A304),"""",GOOGLETRANSLATE(A304,""en"",""fr""))"),"")</f>
        <v/>
      </c>
    </row>
    <row r="305" spans="2:2">
      <c r="B305" s="3" t="str">
        <f ca="1">IFERROR(__xludf.DUMMYFUNCTION("IF(ISBLANK(A305),"""",GOOGLETRANSLATE(A305,""en"",""fr""))"),"")</f>
        <v/>
      </c>
    </row>
    <row r="306" spans="2:2">
      <c r="B306" s="3" t="str">
        <f ca="1">IFERROR(__xludf.DUMMYFUNCTION("IF(ISBLANK(A306),"""",GOOGLETRANSLATE(A306,""en"",""fr""))"),"")</f>
        <v/>
      </c>
    </row>
    <row r="307" spans="2:2">
      <c r="B307" s="3" t="str">
        <f ca="1">IFERROR(__xludf.DUMMYFUNCTION("IF(ISBLANK(A307),"""",GOOGLETRANSLATE(A307,""en"",""fr""))"),"")</f>
        <v/>
      </c>
    </row>
    <row r="308" spans="2:2">
      <c r="B308" s="3" t="str">
        <f ca="1">IFERROR(__xludf.DUMMYFUNCTION("IF(ISBLANK(A308),"""",GOOGLETRANSLATE(A308,""en"",""fr""))"),"")</f>
        <v/>
      </c>
    </row>
    <row r="309" spans="2:2">
      <c r="B309" s="3" t="str">
        <f ca="1">IFERROR(__xludf.DUMMYFUNCTION("IF(ISBLANK(A309),"""",GOOGLETRANSLATE(A309,""en"",""fr""))"),"")</f>
        <v/>
      </c>
    </row>
    <row r="310" spans="2:2">
      <c r="B310" s="3" t="str">
        <f ca="1">IFERROR(__xludf.DUMMYFUNCTION("IF(ISBLANK(A310),"""",GOOGLETRANSLATE(A310,""en"",""fr""))"),"")</f>
        <v/>
      </c>
    </row>
    <row r="311" spans="2:2">
      <c r="B311" s="3" t="str">
        <f ca="1">IFERROR(__xludf.DUMMYFUNCTION("IF(ISBLANK(A311),"""",GOOGLETRANSLATE(A311,""en"",""fr""))"),"")</f>
        <v/>
      </c>
    </row>
    <row r="312" spans="2:2">
      <c r="B312" s="3" t="str">
        <f ca="1">IFERROR(__xludf.DUMMYFUNCTION("IF(ISBLANK(A312),"""",GOOGLETRANSLATE(A312,""en"",""fr""))"),"")</f>
        <v/>
      </c>
    </row>
    <row r="313" spans="2:2">
      <c r="B313" s="3" t="str">
        <f ca="1">IFERROR(__xludf.DUMMYFUNCTION("IF(ISBLANK(A313),"""",GOOGLETRANSLATE(A313,""en"",""fr""))"),"")</f>
        <v/>
      </c>
    </row>
    <row r="314" spans="2:2">
      <c r="B314" s="3" t="str">
        <f ca="1">IFERROR(__xludf.DUMMYFUNCTION("IF(ISBLANK(A314),"""",GOOGLETRANSLATE(A314,""en"",""fr""))"),"")</f>
        <v/>
      </c>
    </row>
    <row r="315" spans="2:2">
      <c r="B315" s="3" t="str">
        <f ca="1">IFERROR(__xludf.DUMMYFUNCTION("IF(ISBLANK(A315),"""",GOOGLETRANSLATE(A315,""en"",""fr""))"),"")</f>
        <v/>
      </c>
    </row>
    <row r="316" spans="2:2">
      <c r="B316" s="3" t="str">
        <f ca="1">IFERROR(__xludf.DUMMYFUNCTION("IF(ISBLANK(A316),"""",GOOGLETRANSLATE(A316,""en"",""fr""))"),"")</f>
        <v/>
      </c>
    </row>
    <row r="317" spans="2:2">
      <c r="B317" s="3" t="str">
        <f ca="1">IFERROR(__xludf.DUMMYFUNCTION("IF(ISBLANK(A317),"""",GOOGLETRANSLATE(A317,""en"",""fr""))"),"")</f>
        <v/>
      </c>
    </row>
    <row r="318" spans="2:2">
      <c r="B318" s="3" t="str">
        <f ca="1">IFERROR(__xludf.DUMMYFUNCTION("IF(ISBLANK(A318),"""",GOOGLETRANSLATE(A318,""en"",""fr""))"),"")</f>
        <v/>
      </c>
    </row>
    <row r="319" spans="2:2">
      <c r="B319" s="3" t="str">
        <f ca="1">IFERROR(__xludf.DUMMYFUNCTION("IF(ISBLANK(A319),"""",GOOGLETRANSLATE(A319,""en"",""fr""))"),"")</f>
        <v/>
      </c>
    </row>
    <row r="320" spans="2:2">
      <c r="B320" s="3" t="str">
        <f ca="1">IFERROR(__xludf.DUMMYFUNCTION("IF(ISBLANK(A320),"""",GOOGLETRANSLATE(A320,""en"",""fr""))"),"")</f>
        <v/>
      </c>
    </row>
    <row r="321" spans="2:2">
      <c r="B321" s="3" t="str">
        <f ca="1">IFERROR(__xludf.DUMMYFUNCTION("IF(ISBLANK(A321),"""",GOOGLETRANSLATE(A321,""en"",""fr""))"),"")</f>
        <v/>
      </c>
    </row>
    <row r="322" spans="2:2">
      <c r="B322" s="3" t="str">
        <f ca="1">IFERROR(__xludf.DUMMYFUNCTION("IF(ISBLANK(A322),"""",GOOGLETRANSLATE(A322,""en"",""fr""))"),"")</f>
        <v/>
      </c>
    </row>
    <row r="323" spans="2:2">
      <c r="B323" s="3" t="str">
        <f ca="1">IFERROR(__xludf.DUMMYFUNCTION("IF(ISBLANK(A323),"""",GOOGLETRANSLATE(A323,""en"",""fr""))"),"")</f>
        <v/>
      </c>
    </row>
    <row r="324" spans="2:2">
      <c r="B324" s="3" t="str">
        <f ca="1">IFERROR(__xludf.DUMMYFUNCTION("IF(ISBLANK(A324),"""",GOOGLETRANSLATE(A324,""en"",""fr""))"),"")</f>
        <v/>
      </c>
    </row>
    <row r="325" spans="2:2">
      <c r="B325" s="3" t="str">
        <f ca="1">IFERROR(__xludf.DUMMYFUNCTION("IF(ISBLANK(A325),"""",GOOGLETRANSLATE(A325,""en"",""fr""))"),"")</f>
        <v/>
      </c>
    </row>
    <row r="326" spans="2:2">
      <c r="B326" s="3" t="str">
        <f ca="1">IFERROR(__xludf.DUMMYFUNCTION("IF(ISBLANK(A326),"""",GOOGLETRANSLATE(A326,""en"",""fr""))"),"")</f>
        <v/>
      </c>
    </row>
    <row r="327" spans="2:2">
      <c r="B327" s="3" t="str">
        <f ca="1">IFERROR(__xludf.DUMMYFUNCTION("IF(ISBLANK(A327),"""",GOOGLETRANSLATE(A327,""en"",""fr""))"),"")</f>
        <v/>
      </c>
    </row>
    <row r="328" spans="2:2">
      <c r="B328" s="3" t="str">
        <f ca="1">IFERROR(__xludf.DUMMYFUNCTION("IF(ISBLANK(A328),"""",GOOGLETRANSLATE(A328,""en"",""fr""))"),"")</f>
        <v/>
      </c>
    </row>
    <row r="329" spans="2:2">
      <c r="B329" s="3" t="str">
        <f ca="1">IFERROR(__xludf.DUMMYFUNCTION("IF(ISBLANK(A329),"""",GOOGLETRANSLATE(A329,""en"",""fr""))"),"")</f>
        <v/>
      </c>
    </row>
    <row r="330" spans="2:2">
      <c r="B330" s="3" t="str">
        <f ca="1">IFERROR(__xludf.DUMMYFUNCTION("IF(ISBLANK(A330),"""",GOOGLETRANSLATE(A330,""en"",""fr""))"),"")</f>
        <v/>
      </c>
    </row>
    <row r="331" spans="2:2">
      <c r="B331" s="3" t="str">
        <f ca="1">IFERROR(__xludf.DUMMYFUNCTION("IF(ISBLANK(A331),"""",GOOGLETRANSLATE(A331,""en"",""fr""))"),"")</f>
        <v/>
      </c>
    </row>
    <row r="332" spans="2:2">
      <c r="B332" s="3" t="str">
        <f ca="1">IFERROR(__xludf.DUMMYFUNCTION("IF(ISBLANK(A332),"""",GOOGLETRANSLATE(A332,""en"",""fr""))"),"")</f>
        <v/>
      </c>
    </row>
    <row r="333" spans="2:2">
      <c r="B333" s="3" t="str">
        <f ca="1">IFERROR(__xludf.DUMMYFUNCTION("IF(ISBLANK(A333),"""",GOOGLETRANSLATE(A333,""en"",""fr""))"),"")</f>
        <v/>
      </c>
    </row>
    <row r="334" spans="2:2">
      <c r="B334" s="3" t="str">
        <f ca="1">IFERROR(__xludf.DUMMYFUNCTION("IF(ISBLANK(A334),"""",GOOGLETRANSLATE(A334,""en"",""fr""))"),"")</f>
        <v/>
      </c>
    </row>
    <row r="335" spans="2:2">
      <c r="B335" s="3" t="str">
        <f ca="1">IFERROR(__xludf.DUMMYFUNCTION("IF(ISBLANK(A335),"""",GOOGLETRANSLATE(A335,""en"",""fr""))"),"")</f>
        <v/>
      </c>
    </row>
    <row r="336" spans="2:2">
      <c r="B336" s="3" t="str">
        <f ca="1">IFERROR(__xludf.DUMMYFUNCTION("IF(ISBLANK(A336),"""",GOOGLETRANSLATE(A336,""en"",""fr""))"),"")</f>
        <v/>
      </c>
    </row>
    <row r="337" spans="2:2">
      <c r="B337" s="3" t="str">
        <f ca="1">IFERROR(__xludf.DUMMYFUNCTION("IF(ISBLANK(A337),"""",GOOGLETRANSLATE(A337,""en"",""fr""))"),"")</f>
        <v/>
      </c>
    </row>
    <row r="338" spans="2:2">
      <c r="B338" s="3" t="str">
        <f ca="1">IFERROR(__xludf.DUMMYFUNCTION("IF(ISBLANK(A338),"""",GOOGLETRANSLATE(A338,""en"",""fr""))"),"")</f>
        <v/>
      </c>
    </row>
    <row r="339" spans="2:2">
      <c r="B339" s="3" t="str">
        <f ca="1">IFERROR(__xludf.DUMMYFUNCTION("IF(ISBLANK(A339),"""",GOOGLETRANSLATE(A339,""en"",""fr""))"),"")</f>
        <v/>
      </c>
    </row>
    <row r="340" spans="2:2">
      <c r="B340" s="3" t="str">
        <f ca="1">IFERROR(__xludf.DUMMYFUNCTION("IF(ISBLANK(A340),"""",GOOGLETRANSLATE(A340,""en"",""fr""))"),"")</f>
        <v/>
      </c>
    </row>
    <row r="341" spans="2:2">
      <c r="B341" s="3" t="str">
        <f ca="1">IFERROR(__xludf.DUMMYFUNCTION("IF(ISBLANK(A341),"""",GOOGLETRANSLATE(A341,""en"",""fr""))"),"")</f>
        <v/>
      </c>
    </row>
    <row r="342" spans="2:2">
      <c r="B342" s="3" t="str">
        <f ca="1">IFERROR(__xludf.DUMMYFUNCTION("IF(ISBLANK(A342),"""",GOOGLETRANSLATE(A342,""en"",""fr""))"),"")</f>
        <v/>
      </c>
    </row>
    <row r="343" spans="2:2">
      <c r="B343" s="3" t="str">
        <f ca="1">IFERROR(__xludf.DUMMYFUNCTION("IF(ISBLANK(A343),"""",GOOGLETRANSLATE(A343,""en"",""fr""))"),"")</f>
        <v/>
      </c>
    </row>
    <row r="344" spans="2:2">
      <c r="B344" s="3" t="str">
        <f ca="1">IFERROR(__xludf.DUMMYFUNCTION("IF(ISBLANK(A344),"""",GOOGLETRANSLATE(A344,""en"",""fr""))"),"")</f>
        <v/>
      </c>
    </row>
    <row r="345" spans="2:2">
      <c r="B345" s="3" t="str">
        <f ca="1">IFERROR(__xludf.DUMMYFUNCTION("IF(ISBLANK(A345),"""",GOOGLETRANSLATE(A345,""en"",""fr""))"),"")</f>
        <v/>
      </c>
    </row>
    <row r="346" spans="2:2">
      <c r="B346" s="3" t="str">
        <f ca="1">IFERROR(__xludf.DUMMYFUNCTION("IF(ISBLANK(A346),"""",GOOGLETRANSLATE(A346,""en"",""fr""))"),"")</f>
        <v/>
      </c>
    </row>
    <row r="347" spans="2:2">
      <c r="B347" s="3" t="str">
        <f ca="1">IFERROR(__xludf.DUMMYFUNCTION("IF(ISBLANK(A347),"""",GOOGLETRANSLATE(A347,""en"",""fr""))"),"")</f>
        <v/>
      </c>
    </row>
    <row r="348" spans="2:2">
      <c r="B348" s="3" t="str">
        <f ca="1">IFERROR(__xludf.DUMMYFUNCTION("IF(ISBLANK(A348),"""",GOOGLETRANSLATE(A348,""en"",""fr""))"),"")</f>
        <v/>
      </c>
    </row>
    <row r="349" spans="2:2">
      <c r="B349" s="3" t="str">
        <f ca="1">IFERROR(__xludf.DUMMYFUNCTION("IF(ISBLANK(A349),"""",GOOGLETRANSLATE(A349,""en"",""fr""))"),"")</f>
        <v/>
      </c>
    </row>
    <row r="350" spans="2:2">
      <c r="B350" s="3" t="str">
        <f ca="1">IFERROR(__xludf.DUMMYFUNCTION("IF(ISBLANK(A350),"""",GOOGLETRANSLATE(A350,""en"",""fr""))"),"")</f>
        <v/>
      </c>
    </row>
    <row r="351" spans="2:2">
      <c r="B351" s="3" t="str">
        <f ca="1">IFERROR(__xludf.DUMMYFUNCTION("IF(ISBLANK(A351),"""",GOOGLETRANSLATE(A351,""en"",""fr""))"),"")</f>
        <v/>
      </c>
    </row>
    <row r="352" spans="2:2">
      <c r="B352" s="3" t="str">
        <f ca="1">IFERROR(__xludf.DUMMYFUNCTION("IF(ISBLANK(A352),"""",GOOGLETRANSLATE(A352,""en"",""fr""))"),"")</f>
        <v/>
      </c>
    </row>
    <row r="353" spans="2:2">
      <c r="B353" s="3" t="str">
        <f ca="1">IFERROR(__xludf.DUMMYFUNCTION("IF(ISBLANK(A353),"""",GOOGLETRANSLATE(A353,""en"",""fr""))"),"")</f>
        <v/>
      </c>
    </row>
    <row r="354" spans="2:2">
      <c r="B354" s="3" t="str">
        <f ca="1">IFERROR(__xludf.DUMMYFUNCTION("IF(ISBLANK(A354),"""",GOOGLETRANSLATE(A354,""en"",""fr""))"),"")</f>
        <v/>
      </c>
    </row>
    <row r="355" spans="2:2">
      <c r="B355" s="3" t="str">
        <f ca="1">IFERROR(__xludf.DUMMYFUNCTION("IF(ISBLANK(A355),"""",GOOGLETRANSLATE(A355,""en"",""fr""))"),"")</f>
        <v/>
      </c>
    </row>
    <row r="356" spans="2:2">
      <c r="B356" s="3" t="str">
        <f ca="1">IFERROR(__xludf.DUMMYFUNCTION("IF(ISBLANK(A356),"""",GOOGLETRANSLATE(A356,""en"",""fr""))"),"")</f>
        <v/>
      </c>
    </row>
    <row r="357" spans="2:2">
      <c r="B357" s="3" t="str">
        <f ca="1">IFERROR(__xludf.DUMMYFUNCTION("IF(ISBLANK(A357),"""",GOOGLETRANSLATE(A357,""en"",""fr""))"),"")</f>
        <v/>
      </c>
    </row>
    <row r="358" spans="2:2">
      <c r="B358" s="3" t="str">
        <f ca="1">IFERROR(__xludf.DUMMYFUNCTION("IF(ISBLANK(A358),"""",GOOGLETRANSLATE(A358,""en"",""fr""))"),"")</f>
        <v/>
      </c>
    </row>
    <row r="359" spans="2:2">
      <c r="B359" s="3" t="str">
        <f ca="1">IFERROR(__xludf.DUMMYFUNCTION("IF(ISBLANK(A359),"""",GOOGLETRANSLATE(A359,""en"",""fr""))"),"")</f>
        <v/>
      </c>
    </row>
    <row r="360" spans="2:2">
      <c r="B360" s="3" t="str">
        <f ca="1">IFERROR(__xludf.DUMMYFUNCTION("IF(ISBLANK(A360),"""",GOOGLETRANSLATE(A360,""en"",""fr""))"),"")</f>
        <v/>
      </c>
    </row>
    <row r="361" spans="2:2">
      <c r="B361" s="3" t="str">
        <f ca="1">IFERROR(__xludf.DUMMYFUNCTION("IF(ISBLANK(A361),"""",GOOGLETRANSLATE(A361,""en"",""fr""))"),"")</f>
        <v/>
      </c>
    </row>
    <row r="362" spans="2:2">
      <c r="B362" s="3" t="str">
        <f ca="1">IFERROR(__xludf.DUMMYFUNCTION("IF(ISBLANK(A362),"""",GOOGLETRANSLATE(A362,""en"",""fr""))"),"")</f>
        <v/>
      </c>
    </row>
    <row r="363" spans="2:2">
      <c r="B363" s="3" t="str">
        <f ca="1">IFERROR(__xludf.DUMMYFUNCTION("IF(ISBLANK(A363),"""",GOOGLETRANSLATE(A363,""en"",""fr""))"),"")</f>
        <v/>
      </c>
    </row>
    <row r="364" spans="2:2">
      <c r="B364" s="3" t="str">
        <f ca="1">IFERROR(__xludf.DUMMYFUNCTION("IF(ISBLANK(A364),"""",GOOGLETRANSLATE(A364,""en"",""fr""))"),"")</f>
        <v/>
      </c>
    </row>
    <row r="365" spans="2:2">
      <c r="B365" s="3" t="str">
        <f ca="1">IFERROR(__xludf.DUMMYFUNCTION("IF(ISBLANK(A365),"""",GOOGLETRANSLATE(A365,""en"",""fr""))"),"")</f>
        <v/>
      </c>
    </row>
    <row r="366" spans="2:2">
      <c r="B366" s="3" t="str">
        <f ca="1">IFERROR(__xludf.DUMMYFUNCTION("IF(ISBLANK(A366),"""",GOOGLETRANSLATE(A366,""en"",""fr""))"),"")</f>
        <v/>
      </c>
    </row>
    <row r="367" spans="2:2">
      <c r="B367" s="3" t="str">
        <f ca="1">IFERROR(__xludf.DUMMYFUNCTION("IF(ISBLANK(A367),"""",GOOGLETRANSLATE(A367,""en"",""fr""))"),"")</f>
        <v/>
      </c>
    </row>
    <row r="368" spans="2:2">
      <c r="B368" s="3" t="str">
        <f ca="1">IFERROR(__xludf.DUMMYFUNCTION("IF(ISBLANK(A368),"""",GOOGLETRANSLATE(A368,""en"",""fr""))"),"")</f>
        <v/>
      </c>
    </row>
    <row r="369" spans="2:2">
      <c r="B369" s="3" t="str">
        <f ca="1">IFERROR(__xludf.DUMMYFUNCTION("IF(ISBLANK(A369),"""",GOOGLETRANSLATE(A369,""en"",""fr""))"),"")</f>
        <v/>
      </c>
    </row>
    <row r="370" spans="2:2">
      <c r="B370" s="3" t="str">
        <f ca="1">IFERROR(__xludf.DUMMYFUNCTION("IF(ISBLANK(A370),"""",GOOGLETRANSLATE(A370,""en"",""fr""))"),"")</f>
        <v/>
      </c>
    </row>
    <row r="371" spans="2:2">
      <c r="B371" s="3" t="str">
        <f ca="1">IFERROR(__xludf.DUMMYFUNCTION("IF(ISBLANK(A371),"""",GOOGLETRANSLATE(A371,""en"",""fr""))"),"")</f>
        <v/>
      </c>
    </row>
    <row r="372" spans="2:2">
      <c r="B372" s="3" t="str">
        <f ca="1">IFERROR(__xludf.DUMMYFUNCTION("IF(ISBLANK(A372),"""",GOOGLETRANSLATE(A372,""en"",""fr""))"),"")</f>
        <v/>
      </c>
    </row>
    <row r="373" spans="2:2">
      <c r="B373" s="3" t="str">
        <f ca="1">IFERROR(__xludf.DUMMYFUNCTION("IF(ISBLANK(A373),"""",GOOGLETRANSLATE(A373,""en"",""fr""))"),"")</f>
        <v/>
      </c>
    </row>
    <row r="374" spans="2:2">
      <c r="B374" s="3" t="str">
        <f ca="1">IFERROR(__xludf.DUMMYFUNCTION("IF(ISBLANK(A374),"""",GOOGLETRANSLATE(A374,""en"",""fr""))"),"")</f>
        <v/>
      </c>
    </row>
    <row r="375" spans="2:2">
      <c r="B375" s="3" t="str">
        <f ca="1">IFERROR(__xludf.DUMMYFUNCTION("IF(ISBLANK(A375),"""",GOOGLETRANSLATE(A375,""en"",""fr""))"),"")</f>
        <v/>
      </c>
    </row>
    <row r="376" spans="2:2">
      <c r="B376" s="3" t="str">
        <f ca="1">IFERROR(__xludf.DUMMYFUNCTION("IF(ISBLANK(A376),"""",GOOGLETRANSLATE(A376,""en"",""fr""))"),"")</f>
        <v/>
      </c>
    </row>
    <row r="377" spans="2:2">
      <c r="B377" s="3" t="str">
        <f ca="1">IFERROR(__xludf.DUMMYFUNCTION("IF(ISBLANK(A377),"""",GOOGLETRANSLATE(A377,""en"",""fr""))"),"")</f>
        <v/>
      </c>
    </row>
    <row r="378" spans="2:2">
      <c r="B378" s="3" t="str">
        <f ca="1">IFERROR(__xludf.DUMMYFUNCTION("IF(ISBLANK(A378),"""",GOOGLETRANSLATE(A378,""en"",""fr""))"),"")</f>
        <v/>
      </c>
    </row>
    <row r="379" spans="2:2">
      <c r="B379" s="3" t="str">
        <f ca="1">IFERROR(__xludf.DUMMYFUNCTION("IF(ISBLANK(A379),"""",GOOGLETRANSLATE(A379,""en"",""fr""))"),"")</f>
        <v/>
      </c>
    </row>
    <row r="380" spans="2:2">
      <c r="B380" s="3" t="str">
        <f ca="1">IFERROR(__xludf.DUMMYFUNCTION("IF(ISBLANK(A380),"""",GOOGLETRANSLATE(A380,""en"",""fr""))"),"")</f>
        <v/>
      </c>
    </row>
    <row r="381" spans="2:2">
      <c r="B381" s="3" t="str">
        <f ca="1">IFERROR(__xludf.DUMMYFUNCTION("IF(ISBLANK(A381),"""",GOOGLETRANSLATE(A381,""en"",""fr""))"),"")</f>
        <v/>
      </c>
    </row>
    <row r="382" spans="2:2">
      <c r="B382" s="3" t="str">
        <f ca="1">IFERROR(__xludf.DUMMYFUNCTION("IF(ISBLANK(A382),"""",GOOGLETRANSLATE(A382,""en"",""fr""))"),"")</f>
        <v/>
      </c>
    </row>
    <row r="383" spans="2:2">
      <c r="B383" s="3" t="str">
        <f ca="1">IFERROR(__xludf.DUMMYFUNCTION("IF(ISBLANK(A383),"""",GOOGLETRANSLATE(A383,""en"",""fr""))"),"")</f>
        <v/>
      </c>
    </row>
    <row r="384" spans="2:2">
      <c r="B384" s="3" t="str">
        <f ca="1">IFERROR(__xludf.DUMMYFUNCTION("IF(ISBLANK(A384),"""",GOOGLETRANSLATE(A384,""en"",""fr""))"),"")</f>
        <v/>
      </c>
    </row>
    <row r="385" spans="2:2">
      <c r="B385" s="3" t="str">
        <f ca="1">IFERROR(__xludf.DUMMYFUNCTION("IF(ISBLANK(A385),"""",GOOGLETRANSLATE(A385,""en"",""fr""))"),"")</f>
        <v/>
      </c>
    </row>
    <row r="386" spans="2:2">
      <c r="B386" s="3" t="str">
        <f ca="1">IFERROR(__xludf.DUMMYFUNCTION("IF(ISBLANK(A386),"""",GOOGLETRANSLATE(A386,""en"",""fr""))"),"")</f>
        <v/>
      </c>
    </row>
    <row r="387" spans="2:2">
      <c r="B387" s="3" t="str">
        <f ca="1">IFERROR(__xludf.DUMMYFUNCTION("IF(ISBLANK(A387),"""",GOOGLETRANSLATE(A387,""en"",""fr""))"),"")</f>
        <v/>
      </c>
    </row>
    <row r="388" spans="2:2">
      <c r="B388" s="3" t="str">
        <f ca="1">IFERROR(__xludf.DUMMYFUNCTION("IF(ISBLANK(A388),"""",GOOGLETRANSLATE(A388,""en"",""fr""))"),"")</f>
        <v/>
      </c>
    </row>
    <row r="389" spans="2:2">
      <c r="B389" s="3" t="str">
        <f ca="1">IFERROR(__xludf.DUMMYFUNCTION("IF(ISBLANK(A389),"""",GOOGLETRANSLATE(A389,""en"",""fr""))"),"")</f>
        <v/>
      </c>
    </row>
    <row r="390" spans="2:2">
      <c r="B390" s="3" t="str">
        <f ca="1">IFERROR(__xludf.DUMMYFUNCTION("IF(ISBLANK(A390),"""",GOOGLETRANSLATE(A390,""en"",""fr""))"),"")</f>
        <v/>
      </c>
    </row>
    <row r="391" spans="2:2">
      <c r="B391" s="3" t="str">
        <f ca="1">IFERROR(__xludf.DUMMYFUNCTION("IF(ISBLANK(A391),"""",GOOGLETRANSLATE(A391,""en"",""fr""))"),"")</f>
        <v/>
      </c>
    </row>
    <row r="392" spans="2:2">
      <c r="B392" s="3" t="str">
        <f ca="1">IFERROR(__xludf.DUMMYFUNCTION("IF(ISBLANK(A392),"""",GOOGLETRANSLATE(A392,""en"",""fr""))"),"")</f>
        <v/>
      </c>
    </row>
    <row r="393" spans="2:2">
      <c r="B393" s="3" t="str">
        <f ca="1">IFERROR(__xludf.DUMMYFUNCTION("IF(ISBLANK(A393),"""",GOOGLETRANSLATE(A393,""en"",""fr""))"),"")</f>
        <v/>
      </c>
    </row>
    <row r="394" spans="2:2">
      <c r="B394" s="3" t="str">
        <f ca="1">IFERROR(__xludf.DUMMYFUNCTION("IF(ISBLANK(A394),"""",GOOGLETRANSLATE(A394,""en"",""fr""))"),"")</f>
        <v/>
      </c>
    </row>
    <row r="395" spans="2:2">
      <c r="B395" s="3" t="str">
        <f ca="1">IFERROR(__xludf.DUMMYFUNCTION("IF(ISBLANK(A395),"""",GOOGLETRANSLATE(A395,""en"",""fr""))"),"")</f>
        <v/>
      </c>
    </row>
    <row r="396" spans="2:2">
      <c r="B396" s="3" t="str">
        <f ca="1">IFERROR(__xludf.DUMMYFUNCTION("IF(ISBLANK(A396),"""",GOOGLETRANSLATE(A396,""en"",""fr""))"),"")</f>
        <v/>
      </c>
    </row>
    <row r="397" spans="2:2">
      <c r="B397" s="3" t="str">
        <f ca="1">IFERROR(__xludf.DUMMYFUNCTION("IF(ISBLANK(A397),"""",GOOGLETRANSLATE(A397,""en"",""fr""))"),"")</f>
        <v/>
      </c>
    </row>
    <row r="398" spans="2:2">
      <c r="B398" s="3" t="str">
        <f ca="1">IFERROR(__xludf.DUMMYFUNCTION("IF(ISBLANK(A398),"""",GOOGLETRANSLATE(A398,""en"",""fr""))"),"")</f>
        <v/>
      </c>
    </row>
    <row r="399" spans="2:2">
      <c r="B399" s="3" t="str">
        <f ca="1">IFERROR(__xludf.DUMMYFUNCTION("IF(ISBLANK(A399),"""",GOOGLETRANSLATE(A399,""en"",""fr""))"),"")</f>
        <v/>
      </c>
    </row>
    <row r="400" spans="2:2">
      <c r="B400" s="3" t="str">
        <f ca="1">IFERROR(__xludf.DUMMYFUNCTION("IF(ISBLANK(A400),"""",GOOGLETRANSLATE(A400,""en"",""fr""))"),"")</f>
        <v/>
      </c>
    </row>
    <row r="401" spans="2:2">
      <c r="B401" s="3" t="str">
        <f ca="1">IFERROR(__xludf.DUMMYFUNCTION("IF(ISBLANK(A401),"""",GOOGLETRANSLATE(A401,""en"",""fr""))"),"")</f>
        <v/>
      </c>
    </row>
    <row r="402" spans="2:2">
      <c r="B402" s="3" t="str">
        <f ca="1">IFERROR(__xludf.DUMMYFUNCTION("IF(ISBLANK(A402),"""",GOOGLETRANSLATE(A402,""en"",""fr""))"),"")</f>
        <v/>
      </c>
    </row>
    <row r="403" spans="2:2">
      <c r="B403" s="3" t="str">
        <f ca="1">IFERROR(__xludf.DUMMYFUNCTION("IF(ISBLANK(A403),"""",GOOGLETRANSLATE(A403,""en"",""fr""))"),"")</f>
        <v/>
      </c>
    </row>
    <row r="404" spans="2:2">
      <c r="B404" s="3" t="str">
        <f ca="1">IFERROR(__xludf.DUMMYFUNCTION("IF(ISBLANK(A404),"""",GOOGLETRANSLATE(A404,""en"",""fr""))"),"")</f>
        <v/>
      </c>
    </row>
    <row r="405" spans="2:2">
      <c r="B405" s="3" t="str">
        <f ca="1">IFERROR(__xludf.DUMMYFUNCTION("IF(ISBLANK(A405),"""",GOOGLETRANSLATE(A405,""en"",""fr""))"),"")</f>
        <v/>
      </c>
    </row>
    <row r="406" spans="2:2">
      <c r="B406" s="3" t="str">
        <f ca="1">IFERROR(__xludf.DUMMYFUNCTION("IF(ISBLANK(A406),"""",GOOGLETRANSLATE(A406,""en"",""fr""))"),"")</f>
        <v/>
      </c>
    </row>
    <row r="407" spans="2:2">
      <c r="B407" s="3" t="str">
        <f ca="1">IFERROR(__xludf.DUMMYFUNCTION("IF(ISBLANK(A407),"""",GOOGLETRANSLATE(A407,""en"",""fr""))"),"")</f>
        <v/>
      </c>
    </row>
    <row r="408" spans="2:2">
      <c r="B408" s="3" t="str">
        <f ca="1">IFERROR(__xludf.DUMMYFUNCTION("IF(ISBLANK(A408),"""",GOOGLETRANSLATE(A408,""en"",""fr""))"),"")</f>
        <v/>
      </c>
    </row>
    <row r="409" spans="2:2">
      <c r="B409" s="3" t="str">
        <f ca="1">IFERROR(__xludf.DUMMYFUNCTION("IF(ISBLANK(A409),"""",GOOGLETRANSLATE(A409,""en"",""fr""))"),"")</f>
        <v/>
      </c>
    </row>
    <row r="410" spans="2:2">
      <c r="B410" s="3" t="str">
        <f ca="1">IFERROR(__xludf.DUMMYFUNCTION("IF(ISBLANK(A410),"""",GOOGLETRANSLATE(A410,""en"",""fr""))"),"")</f>
        <v/>
      </c>
    </row>
    <row r="411" spans="2:2">
      <c r="B411" s="3" t="str">
        <f ca="1">IFERROR(__xludf.DUMMYFUNCTION("IF(ISBLANK(A411),"""",GOOGLETRANSLATE(A411,""en"",""fr""))"),"")</f>
        <v/>
      </c>
    </row>
    <row r="412" spans="2:2">
      <c r="B412" s="3" t="str">
        <f ca="1">IFERROR(__xludf.DUMMYFUNCTION("IF(ISBLANK(A412),"""",GOOGLETRANSLATE(A412,""en"",""fr""))"),"")</f>
        <v/>
      </c>
    </row>
    <row r="413" spans="2:2">
      <c r="B413" s="3" t="str">
        <f ca="1">IFERROR(__xludf.DUMMYFUNCTION("IF(ISBLANK(A413),"""",GOOGLETRANSLATE(A413,""en"",""fr""))"),"")</f>
        <v/>
      </c>
    </row>
    <row r="414" spans="2:2">
      <c r="B414" s="3" t="str">
        <f ca="1">IFERROR(__xludf.DUMMYFUNCTION("IF(ISBLANK(A414),"""",GOOGLETRANSLATE(A414,""en"",""fr""))"),"")</f>
        <v/>
      </c>
    </row>
    <row r="415" spans="2:2">
      <c r="B415" s="3" t="str">
        <f ca="1">IFERROR(__xludf.DUMMYFUNCTION("IF(ISBLANK(A415),"""",GOOGLETRANSLATE(A415,""en"",""fr""))"),"")</f>
        <v/>
      </c>
    </row>
    <row r="416" spans="2:2">
      <c r="B416" s="3" t="str">
        <f ca="1">IFERROR(__xludf.DUMMYFUNCTION("IF(ISBLANK(A416),"""",GOOGLETRANSLATE(A416,""en"",""fr""))"),"")</f>
        <v/>
      </c>
    </row>
    <row r="417" spans="2:2">
      <c r="B417" s="3" t="str">
        <f ca="1">IFERROR(__xludf.DUMMYFUNCTION("IF(ISBLANK(A417),"""",GOOGLETRANSLATE(A417,""en"",""fr""))"),"")</f>
        <v/>
      </c>
    </row>
    <row r="418" spans="2:2">
      <c r="B418" s="3" t="str">
        <f ca="1">IFERROR(__xludf.DUMMYFUNCTION("IF(ISBLANK(A418),"""",GOOGLETRANSLATE(A418,""en"",""fr""))"),"")</f>
        <v/>
      </c>
    </row>
    <row r="419" spans="2:2">
      <c r="B419" s="3" t="str">
        <f ca="1">IFERROR(__xludf.DUMMYFUNCTION("IF(ISBLANK(A419),"""",GOOGLETRANSLATE(A419,""en"",""fr""))"),"")</f>
        <v/>
      </c>
    </row>
    <row r="420" spans="2:2">
      <c r="B420" s="3" t="str">
        <f ca="1">IFERROR(__xludf.DUMMYFUNCTION("IF(ISBLANK(A420),"""",GOOGLETRANSLATE(A420,""en"",""fr""))"),"")</f>
        <v/>
      </c>
    </row>
    <row r="421" spans="2:2">
      <c r="B421" s="3" t="str">
        <f ca="1">IFERROR(__xludf.DUMMYFUNCTION("IF(ISBLANK(A421),"""",GOOGLETRANSLATE(A421,""en"",""fr""))"),"")</f>
        <v/>
      </c>
    </row>
    <row r="422" spans="2:2">
      <c r="B422" s="3" t="str">
        <f ca="1">IFERROR(__xludf.DUMMYFUNCTION("IF(ISBLANK(A422),"""",GOOGLETRANSLATE(A422,""en"",""fr""))"),"")</f>
        <v/>
      </c>
    </row>
    <row r="423" spans="2:2">
      <c r="B423" s="3" t="str">
        <f ca="1">IFERROR(__xludf.DUMMYFUNCTION("IF(ISBLANK(A423),"""",GOOGLETRANSLATE(A423,""en"",""fr""))"),"")</f>
        <v/>
      </c>
    </row>
    <row r="424" spans="2:2">
      <c r="B424" s="3" t="str">
        <f ca="1">IFERROR(__xludf.DUMMYFUNCTION("IF(ISBLANK(A424),"""",GOOGLETRANSLATE(A424,""en"",""fr""))"),"")</f>
        <v/>
      </c>
    </row>
    <row r="425" spans="2:2">
      <c r="B425" s="3" t="str">
        <f ca="1">IFERROR(__xludf.DUMMYFUNCTION("IF(ISBLANK(A425),"""",GOOGLETRANSLATE(A425,""en"",""fr""))"),"")</f>
        <v/>
      </c>
    </row>
    <row r="426" spans="2:2">
      <c r="B426" s="3" t="str">
        <f ca="1">IFERROR(__xludf.DUMMYFUNCTION("IF(ISBLANK(A426),"""",GOOGLETRANSLATE(A426,""en"",""fr""))"),"")</f>
        <v/>
      </c>
    </row>
    <row r="427" spans="2:2">
      <c r="B427" s="3" t="str">
        <f ca="1">IFERROR(__xludf.DUMMYFUNCTION("IF(ISBLANK(A427),"""",GOOGLETRANSLATE(A427,""en"",""fr""))"),"")</f>
        <v/>
      </c>
    </row>
    <row r="428" spans="2:2">
      <c r="B428" s="3" t="str">
        <f ca="1">IFERROR(__xludf.DUMMYFUNCTION("IF(ISBLANK(A428),"""",GOOGLETRANSLATE(A428,""en"",""fr""))"),"")</f>
        <v/>
      </c>
    </row>
    <row r="429" spans="2:2">
      <c r="B429" s="3" t="str">
        <f ca="1">IFERROR(__xludf.DUMMYFUNCTION("IF(ISBLANK(A429),"""",GOOGLETRANSLATE(A429,""en"",""fr""))"),"")</f>
        <v/>
      </c>
    </row>
    <row r="430" spans="2:2">
      <c r="B430" s="3" t="str">
        <f ca="1">IFERROR(__xludf.DUMMYFUNCTION("IF(ISBLANK(A430),"""",GOOGLETRANSLATE(A430,""en"",""fr""))"),"")</f>
        <v/>
      </c>
    </row>
    <row r="431" spans="2:2">
      <c r="B431" s="3" t="str">
        <f ca="1">IFERROR(__xludf.DUMMYFUNCTION("IF(ISBLANK(A431),"""",GOOGLETRANSLATE(A431,""en"",""fr""))"),"")</f>
        <v/>
      </c>
    </row>
    <row r="432" spans="2:2">
      <c r="B432" s="3" t="str">
        <f ca="1">IFERROR(__xludf.DUMMYFUNCTION("IF(ISBLANK(A432),"""",GOOGLETRANSLATE(A432,""en"",""fr""))"),"")</f>
        <v/>
      </c>
    </row>
    <row r="433" spans="2:2">
      <c r="B433" s="3" t="str">
        <f ca="1">IFERROR(__xludf.DUMMYFUNCTION("IF(ISBLANK(A433),"""",GOOGLETRANSLATE(A433,""en"",""fr""))"),"")</f>
        <v/>
      </c>
    </row>
    <row r="434" spans="2:2">
      <c r="B434" s="3" t="str">
        <f ca="1">IFERROR(__xludf.DUMMYFUNCTION("IF(ISBLANK(A434),"""",GOOGLETRANSLATE(A434,""en"",""fr""))"),"")</f>
        <v/>
      </c>
    </row>
    <row r="435" spans="2:2">
      <c r="B435" s="3" t="str">
        <f ca="1">IFERROR(__xludf.DUMMYFUNCTION("IF(ISBLANK(A435),"""",GOOGLETRANSLATE(A435,""en"",""fr""))"),"")</f>
        <v/>
      </c>
    </row>
    <row r="436" spans="2:2">
      <c r="B436" s="3" t="str">
        <f ca="1">IFERROR(__xludf.DUMMYFUNCTION("IF(ISBLANK(A436),"""",GOOGLETRANSLATE(A436,""en"",""fr""))"),"")</f>
        <v/>
      </c>
    </row>
    <row r="437" spans="2:2">
      <c r="B437" s="3" t="str">
        <f ca="1">IFERROR(__xludf.DUMMYFUNCTION("IF(ISBLANK(A437),"""",GOOGLETRANSLATE(A437,""en"",""fr""))"),"")</f>
        <v/>
      </c>
    </row>
    <row r="438" spans="2:2">
      <c r="B438" s="3" t="str">
        <f ca="1">IFERROR(__xludf.DUMMYFUNCTION("IF(ISBLANK(A438),"""",GOOGLETRANSLATE(A438,""en"",""fr""))"),"")</f>
        <v/>
      </c>
    </row>
    <row r="439" spans="2:2">
      <c r="B439" s="3" t="str">
        <f ca="1">IFERROR(__xludf.DUMMYFUNCTION("IF(ISBLANK(A439),"""",GOOGLETRANSLATE(A439,""en"",""fr""))"),"")</f>
        <v/>
      </c>
    </row>
    <row r="440" spans="2:2">
      <c r="B440" s="3" t="str">
        <f ca="1">IFERROR(__xludf.DUMMYFUNCTION("IF(ISBLANK(A440),"""",GOOGLETRANSLATE(A440,""en"",""fr""))"),"")</f>
        <v/>
      </c>
    </row>
    <row r="441" spans="2:2">
      <c r="B441" s="3" t="str">
        <f ca="1">IFERROR(__xludf.DUMMYFUNCTION("IF(ISBLANK(A441),"""",GOOGLETRANSLATE(A441,""en"",""fr""))"),"")</f>
        <v/>
      </c>
    </row>
    <row r="442" spans="2:2">
      <c r="B442" s="3" t="str">
        <f ca="1">IFERROR(__xludf.DUMMYFUNCTION("IF(ISBLANK(A442),"""",GOOGLETRANSLATE(A442,""en"",""fr""))"),"")</f>
        <v/>
      </c>
    </row>
    <row r="443" spans="2:2">
      <c r="B443" s="3" t="str">
        <f ca="1">IFERROR(__xludf.DUMMYFUNCTION("IF(ISBLANK(A443),"""",GOOGLETRANSLATE(A443,""en"",""fr""))"),"")</f>
        <v/>
      </c>
    </row>
    <row r="444" spans="2:2">
      <c r="B444" s="3" t="str">
        <f ca="1">IFERROR(__xludf.DUMMYFUNCTION("IF(ISBLANK(A444),"""",GOOGLETRANSLATE(A444,""en"",""fr""))"),"")</f>
        <v/>
      </c>
    </row>
    <row r="445" spans="2:2">
      <c r="B445" s="3" t="str">
        <f ca="1">IFERROR(__xludf.DUMMYFUNCTION("IF(ISBLANK(A445),"""",GOOGLETRANSLATE(A445,""en"",""fr""))"),"")</f>
        <v/>
      </c>
    </row>
    <row r="446" spans="2:2">
      <c r="B446" s="3" t="str">
        <f ca="1">IFERROR(__xludf.DUMMYFUNCTION("IF(ISBLANK(A446),"""",GOOGLETRANSLATE(A446,""en"",""fr""))"),"")</f>
        <v/>
      </c>
    </row>
    <row r="447" spans="2:2">
      <c r="B447" s="3" t="str">
        <f ca="1">IFERROR(__xludf.DUMMYFUNCTION("IF(ISBLANK(A447),"""",GOOGLETRANSLATE(A447,""en"",""fr""))"),"")</f>
        <v/>
      </c>
    </row>
    <row r="448" spans="2:2">
      <c r="B448" s="3" t="str">
        <f ca="1">IFERROR(__xludf.DUMMYFUNCTION("IF(ISBLANK(A448),"""",GOOGLETRANSLATE(A448,""en"",""fr""))"),"")</f>
        <v/>
      </c>
    </row>
    <row r="449" spans="2:2">
      <c r="B449" s="3" t="str">
        <f ca="1">IFERROR(__xludf.DUMMYFUNCTION("IF(ISBLANK(A449),"""",GOOGLETRANSLATE(A449,""en"",""fr""))"),"")</f>
        <v/>
      </c>
    </row>
    <row r="450" spans="2:2">
      <c r="B450" s="3" t="str">
        <f ca="1">IFERROR(__xludf.DUMMYFUNCTION("IF(ISBLANK(A450),"""",GOOGLETRANSLATE(A450,""en"",""fr""))"),"")</f>
        <v/>
      </c>
    </row>
    <row r="451" spans="2:2">
      <c r="B451" s="3" t="str">
        <f ca="1">IFERROR(__xludf.DUMMYFUNCTION("IF(ISBLANK(A451),"""",GOOGLETRANSLATE(A451,""en"",""fr""))"),"")</f>
        <v/>
      </c>
    </row>
    <row r="452" spans="2:2">
      <c r="B452" s="3" t="str">
        <f ca="1">IFERROR(__xludf.DUMMYFUNCTION("IF(ISBLANK(A452),"""",GOOGLETRANSLATE(A452,""en"",""fr""))"),"")</f>
        <v/>
      </c>
    </row>
    <row r="453" spans="2:2">
      <c r="B453" s="3" t="str">
        <f ca="1">IFERROR(__xludf.DUMMYFUNCTION("IF(ISBLANK(A453),"""",GOOGLETRANSLATE(A453,""en"",""fr""))"),"")</f>
        <v/>
      </c>
    </row>
    <row r="454" spans="2:2">
      <c r="B454" s="3" t="str">
        <f ca="1">IFERROR(__xludf.DUMMYFUNCTION("IF(ISBLANK(A454),"""",GOOGLETRANSLATE(A454,""en"",""fr""))"),"")</f>
        <v/>
      </c>
    </row>
    <row r="455" spans="2:2">
      <c r="B455" s="3" t="str">
        <f ca="1">IFERROR(__xludf.DUMMYFUNCTION("IF(ISBLANK(A455),"""",GOOGLETRANSLATE(A455,""en"",""fr""))"),"")</f>
        <v/>
      </c>
    </row>
    <row r="456" spans="2:2">
      <c r="B456" s="3" t="str">
        <f ca="1">IFERROR(__xludf.DUMMYFUNCTION("IF(ISBLANK(A456),"""",GOOGLETRANSLATE(A456,""en"",""fr""))"),"")</f>
        <v/>
      </c>
    </row>
    <row r="457" spans="2:2">
      <c r="B457" s="3" t="str">
        <f ca="1">IFERROR(__xludf.DUMMYFUNCTION("IF(ISBLANK(A457),"""",GOOGLETRANSLATE(A457,""en"",""fr""))"),"")</f>
        <v/>
      </c>
    </row>
    <row r="458" spans="2:2">
      <c r="B458" s="3" t="str">
        <f ca="1">IFERROR(__xludf.DUMMYFUNCTION("IF(ISBLANK(A458),"""",GOOGLETRANSLATE(A458,""en"",""fr""))"),"")</f>
        <v/>
      </c>
    </row>
    <row r="459" spans="2:2">
      <c r="B459" s="3" t="str">
        <f ca="1">IFERROR(__xludf.DUMMYFUNCTION("IF(ISBLANK(A459),"""",GOOGLETRANSLATE(A459,""en"",""fr""))"),"")</f>
        <v/>
      </c>
    </row>
    <row r="460" spans="2:2">
      <c r="B460" s="3" t="str">
        <f ca="1">IFERROR(__xludf.DUMMYFUNCTION("IF(ISBLANK(A460),"""",GOOGLETRANSLATE(A460,""en"",""fr""))"),"")</f>
        <v/>
      </c>
    </row>
    <row r="461" spans="2:2">
      <c r="B461" s="3" t="str">
        <f ca="1">IFERROR(__xludf.DUMMYFUNCTION("IF(ISBLANK(A461),"""",GOOGLETRANSLATE(A461,""en"",""fr""))"),"")</f>
        <v/>
      </c>
    </row>
    <row r="462" spans="2:2">
      <c r="B462" s="3" t="str">
        <f ca="1">IFERROR(__xludf.DUMMYFUNCTION("IF(ISBLANK(A462),"""",GOOGLETRANSLATE(A462,""en"",""fr""))"),"")</f>
        <v/>
      </c>
    </row>
    <row r="463" spans="2:2">
      <c r="B463" s="3" t="str">
        <f ca="1">IFERROR(__xludf.DUMMYFUNCTION("IF(ISBLANK(A463),"""",GOOGLETRANSLATE(A463,""en"",""fr""))"),"")</f>
        <v/>
      </c>
    </row>
    <row r="464" spans="2:2">
      <c r="B464" s="3" t="str">
        <f ca="1">IFERROR(__xludf.DUMMYFUNCTION("IF(ISBLANK(A464),"""",GOOGLETRANSLATE(A464,""en"",""fr""))"),"")</f>
        <v/>
      </c>
    </row>
    <row r="465" spans="2:2">
      <c r="B465" s="3" t="str">
        <f ca="1">IFERROR(__xludf.DUMMYFUNCTION("IF(ISBLANK(A465),"""",GOOGLETRANSLATE(A465,""en"",""fr""))"),"")</f>
        <v/>
      </c>
    </row>
    <row r="466" spans="2:2">
      <c r="B466" s="3" t="str">
        <f ca="1">IFERROR(__xludf.DUMMYFUNCTION("IF(ISBLANK(A466),"""",GOOGLETRANSLATE(A466,""en"",""fr""))"),"")</f>
        <v/>
      </c>
    </row>
    <row r="467" spans="2:2">
      <c r="B467" s="3" t="str">
        <f ca="1">IFERROR(__xludf.DUMMYFUNCTION("IF(ISBLANK(A467),"""",GOOGLETRANSLATE(A467,""en"",""fr""))"),"")</f>
        <v/>
      </c>
    </row>
    <row r="468" spans="2:2">
      <c r="B468" s="3" t="str">
        <f ca="1">IFERROR(__xludf.DUMMYFUNCTION("IF(ISBLANK(A468),"""",GOOGLETRANSLATE(A468,""en"",""fr""))"),"")</f>
        <v/>
      </c>
    </row>
    <row r="469" spans="2:2">
      <c r="B469" s="3" t="str">
        <f ca="1">IFERROR(__xludf.DUMMYFUNCTION("IF(ISBLANK(A469),"""",GOOGLETRANSLATE(A469,""en"",""fr""))"),"")</f>
        <v/>
      </c>
    </row>
    <row r="470" spans="2:2">
      <c r="B470" s="3" t="str">
        <f ca="1">IFERROR(__xludf.DUMMYFUNCTION("IF(ISBLANK(A470),"""",GOOGLETRANSLATE(A470,""en"",""fr""))"),"")</f>
        <v/>
      </c>
    </row>
    <row r="471" spans="2:2">
      <c r="B471" s="3" t="str">
        <f ca="1">IFERROR(__xludf.DUMMYFUNCTION("IF(ISBLANK(A471),"""",GOOGLETRANSLATE(A471,""en"",""fr""))"),"")</f>
        <v/>
      </c>
    </row>
    <row r="472" spans="2:2">
      <c r="B472" s="3" t="str">
        <f ca="1">IFERROR(__xludf.DUMMYFUNCTION("IF(ISBLANK(A472),"""",GOOGLETRANSLATE(A472,""en"",""fr""))"),"")</f>
        <v/>
      </c>
    </row>
    <row r="473" spans="2:2">
      <c r="B473" s="3" t="str">
        <f ca="1">IFERROR(__xludf.DUMMYFUNCTION("IF(ISBLANK(A473),"""",GOOGLETRANSLATE(A473,""en"",""fr""))"),"")</f>
        <v/>
      </c>
    </row>
    <row r="474" spans="2:2">
      <c r="B474" s="3" t="str">
        <f ca="1">IFERROR(__xludf.DUMMYFUNCTION("IF(ISBLANK(A474),"""",GOOGLETRANSLATE(A474,""en"",""fr""))"),"")</f>
        <v/>
      </c>
    </row>
    <row r="475" spans="2:2">
      <c r="B475" s="3" t="str">
        <f ca="1">IFERROR(__xludf.DUMMYFUNCTION("IF(ISBLANK(A475),"""",GOOGLETRANSLATE(A475,""en"",""fr""))"),"")</f>
        <v/>
      </c>
    </row>
    <row r="476" spans="2:2">
      <c r="B476" s="3" t="str">
        <f ca="1">IFERROR(__xludf.DUMMYFUNCTION("IF(ISBLANK(A476),"""",GOOGLETRANSLATE(A476,""en"",""fr""))"),"")</f>
        <v/>
      </c>
    </row>
    <row r="477" spans="2:2">
      <c r="B477" s="3" t="str">
        <f ca="1">IFERROR(__xludf.DUMMYFUNCTION("IF(ISBLANK(A477),"""",GOOGLETRANSLATE(A477,""en"",""fr""))"),"")</f>
        <v/>
      </c>
    </row>
    <row r="478" spans="2:2">
      <c r="B478" s="3" t="str">
        <f ca="1">IFERROR(__xludf.DUMMYFUNCTION("IF(ISBLANK(A478),"""",GOOGLETRANSLATE(A478,""en"",""fr""))"),"")</f>
        <v/>
      </c>
    </row>
    <row r="479" spans="2:2">
      <c r="B479" s="3" t="str">
        <f ca="1">IFERROR(__xludf.DUMMYFUNCTION("IF(ISBLANK(A479),"""",GOOGLETRANSLATE(A479,""en"",""fr""))"),"")</f>
        <v/>
      </c>
    </row>
    <row r="480" spans="2:2">
      <c r="B480" s="3" t="str">
        <f ca="1">IFERROR(__xludf.DUMMYFUNCTION("IF(ISBLANK(A480),"""",GOOGLETRANSLATE(A480,""en"",""fr""))"),"")</f>
        <v/>
      </c>
    </row>
    <row r="481" spans="2:2">
      <c r="B481" s="3" t="str">
        <f ca="1">IFERROR(__xludf.DUMMYFUNCTION("IF(ISBLANK(A481),"""",GOOGLETRANSLATE(A481,""en"",""fr""))"),"")</f>
        <v/>
      </c>
    </row>
    <row r="482" spans="2:2">
      <c r="B482" s="3" t="str">
        <f ca="1">IFERROR(__xludf.DUMMYFUNCTION("IF(ISBLANK(A482),"""",GOOGLETRANSLATE(A482,""en"",""fr""))"),"")</f>
        <v/>
      </c>
    </row>
    <row r="483" spans="2:2">
      <c r="B483" s="3" t="str">
        <f ca="1">IFERROR(__xludf.DUMMYFUNCTION("IF(ISBLANK(A483),"""",GOOGLETRANSLATE(A483,""en"",""fr""))"),"")</f>
        <v/>
      </c>
    </row>
    <row r="484" spans="2:2">
      <c r="B484" s="3" t="str">
        <f ca="1">IFERROR(__xludf.DUMMYFUNCTION("IF(ISBLANK(A484),"""",GOOGLETRANSLATE(A484,""en"",""fr""))"),"")</f>
        <v/>
      </c>
    </row>
    <row r="485" spans="2:2">
      <c r="B485" s="3" t="str">
        <f ca="1">IFERROR(__xludf.DUMMYFUNCTION("IF(ISBLANK(A485),"""",GOOGLETRANSLATE(A485,""en"",""fr""))"),"")</f>
        <v/>
      </c>
    </row>
    <row r="486" spans="2:2">
      <c r="B486" s="3" t="str">
        <f ca="1">IFERROR(__xludf.DUMMYFUNCTION("IF(ISBLANK(A486),"""",GOOGLETRANSLATE(A486,""en"",""fr""))"),"")</f>
        <v/>
      </c>
    </row>
    <row r="487" spans="2:2">
      <c r="B487" s="3" t="str">
        <f ca="1">IFERROR(__xludf.DUMMYFUNCTION("IF(ISBLANK(A487),"""",GOOGLETRANSLATE(A487,""en"",""fr""))"),"")</f>
        <v/>
      </c>
    </row>
    <row r="488" spans="2:2">
      <c r="B488" s="3" t="str">
        <f ca="1">IFERROR(__xludf.DUMMYFUNCTION("IF(ISBLANK(A488),"""",GOOGLETRANSLATE(A488,""en"",""fr""))"),"")</f>
        <v/>
      </c>
    </row>
    <row r="489" spans="2:2">
      <c r="B489" s="3" t="str">
        <f ca="1">IFERROR(__xludf.DUMMYFUNCTION("IF(ISBLANK(A489),"""",GOOGLETRANSLATE(A489,""en"",""fr""))"),"")</f>
        <v/>
      </c>
    </row>
    <row r="490" spans="2:2">
      <c r="B490" s="3" t="str">
        <f ca="1">IFERROR(__xludf.DUMMYFUNCTION("IF(ISBLANK(A490),"""",GOOGLETRANSLATE(A490,""en"",""fr""))"),"")</f>
        <v/>
      </c>
    </row>
    <row r="491" spans="2:2">
      <c r="B491" s="3" t="str">
        <f ca="1">IFERROR(__xludf.DUMMYFUNCTION("IF(ISBLANK(A491),"""",GOOGLETRANSLATE(A491,""en"",""fr""))"),"")</f>
        <v/>
      </c>
    </row>
    <row r="492" spans="2:2">
      <c r="B492" s="3" t="str">
        <f ca="1">IFERROR(__xludf.DUMMYFUNCTION("IF(ISBLANK(A492),"""",GOOGLETRANSLATE(A492,""en"",""fr""))"),"")</f>
        <v/>
      </c>
    </row>
    <row r="493" spans="2:2">
      <c r="B493" s="3" t="str">
        <f ca="1">IFERROR(__xludf.DUMMYFUNCTION("IF(ISBLANK(A493),"""",GOOGLETRANSLATE(A493,""en"",""fr""))"),"")</f>
        <v/>
      </c>
    </row>
    <row r="494" spans="2:2">
      <c r="B494" s="3" t="str">
        <f ca="1">IFERROR(__xludf.DUMMYFUNCTION("IF(ISBLANK(A494),"""",GOOGLETRANSLATE(A494,""en"",""fr""))"),"")</f>
        <v/>
      </c>
    </row>
    <row r="495" spans="2:2">
      <c r="B495" s="3" t="str">
        <f ca="1">IFERROR(__xludf.DUMMYFUNCTION("IF(ISBLANK(A495),"""",GOOGLETRANSLATE(A495,""en"",""fr""))"),"")</f>
        <v/>
      </c>
    </row>
    <row r="496" spans="2:2">
      <c r="B496" s="3" t="str">
        <f ca="1">IFERROR(__xludf.DUMMYFUNCTION("IF(ISBLANK(A496),"""",GOOGLETRANSLATE(A496,""en"",""fr""))"),"")</f>
        <v/>
      </c>
    </row>
    <row r="497" spans="2:2">
      <c r="B497" s="3" t="str">
        <f ca="1">IFERROR(__xludf.DUMMYFUNCTION("IF(ISBLANK(A497),"""",GOOGLETRANSLATE(A497,""en"",""fr""))"),"")</f>
        <v/>
      </c>
    </row>
    <row r="498" spans="2:2">
      <c r="B498" s="3" t="str">
        <f ca="1">IFERROR(__xludf.DUMMYFUNCTION("IF(ISBLANK(A498),"""",GOOGLETRANSLATE(A498,""en"",""fr""))"),"")</f>
        <v/>
      </c>
    </row>
    <row r="499" spans="2:2">
      <c r="B499" s="3" t="str">
        <f ca="1">IFERROR(__xludf.DUMMYFUNCTION("IF(ISBLANK(A499),"""",GOOGLETRANSLATE(A499,""en"",""fr""))"),"")</f>
        <v/>
      </c>
    </row>
    <row r="500" spans="2:2">
      <c r="B500" s="3" t="str">
        <f ca="1">IFERROR(__xludf.DUMMYFUNCTION("IF(ISBLANK(A500),"""",GOOGLETRANSLATE(A500,""en"",""fr""))"),"")</f>
        <v/>
      </c>
    </row>
    <row r="501" spans="2:2">
      <c r="B501" s="3" t="str">
        <f ca="1">IFERROR(__xludf.DUMMYFUNCTION("IF(ISBLANK(A501),"""",GOOGLETRANSLATE(A501,""en"",""fr""))"),"")</f>
        <v/>
      </c>
    </row>
    <row r="502" spans="2:2">
      <c r="B502" s="3" t="str">
        <f ca="1">IFERROR(__xludf.DUMMYFUNCTION("IF(ISBLANK(A502),"""",GOOGLETRANSLATE(A502,""en"",""fr""))"),"")</f>
        <v/>
      </c>
    </row>
    <row r="503" spans="2:2">
      <c r="B503" s="3" t="str">
        <f ca="1">IFERROR(__xludf.DUMMYFUNCTION("IF(ISBLANK(A503),"""",GOOGLETRANSLATE(A503,""en"",""fr""))"),"")</f>
        <v/>
      </c>
    </row>
    <row r="504" spans="2:2">
      <c r="B504" s="3" t="str">
        <f ca="1">IFERROR(__xludf.DUMMYFUNCTION("IF(ISBLANK(A504),"""",GOOGLETRANSLATE(A504,""en"",""fr""))"),"")</f>
        <v/>
      </c>
    </row>
    <row r="505" spans="2:2">
      <c r="B505" s="3" t="str">
        <f ca="1">IFERROR(__xludf.DUMMYFUNCTION("IF(ISBLANK(A505),"""",GOOGLETRANSLATE(A505,""en"",""fr""))"),"")</f>
        <v/>
      </c>
    </row>
    <row r="506" spans="2:2">
      <c r="B506" s="3" t="str">
        <f ca="1">IFERROR(__xludf.DUMMYFUNCTION("IF(ISBLANK(A506),"""",GOOGLETRANSLATE(A506,""en"",""fr""))"),"")</f>
        <v/>
      </c>
    </row>
    <row r="507" spans="2:2">
      <c r="B507" s="3" t="str">
        <f ca="1">IFERROR(__xludf.DUMMYFUNCTION("IF(ISBLANK(A507),"""",GOOGLETRANSLATE(A507,""en"",""fr""))"),"")</f>
        <v/>
      </c>
    </row>
    <row r="508" spans="2:2">
      <c r="B508" s="3" t="str">
        <f ca="1">IFERROR(__xludf.DUMMYFUNCTION("IF(ISBLANK(A508),"""",GOOGLETRANSLATE(A508,""en"",""fr""))"),"")</f>
        <v/>
      </c>
    </row>
    <row r="509" spans="2:2">
      <c r="B509" s="3" t="str">
        <f ca="1">IFERROR(__xludf.DUMMYFUNCTION("IF(ISBLANK(A509),"""",GOOGLETRANSLATE(A509,""en"",""fr""))"),"")</f>
        <v/>
      </c>
    </row>
    <row r="510" spans="2:2">
      <c r="B510" s="3" t="str">
        <f ca="1">IFERROR(__xludf.DUMMYFUNCTION("IF(ISBLANK(A510),"""",GOOGLETRANSLATE(A510,""en"",""fr""))"),"")</f>
        <v/>
      </c>
    </row>
    <row r="511" spans="2:2">
      <c r="B511" s="3" t="str">
        <f ca="1">IFERROR(__xludf.DUMMYFUNCTION("IF(ISBLANK(A511),"""",GOOGLETRANSLATE(A511,""en"",""fr""))"),"")</f>
        <v/>
      </c>
    </row>
    <row r="512" spans="2:2">
      <c r="B512" s="3" t="str">
        <f ca="1">IFERROR(__xludf.DUMMYFUNCTION("IF(ISBLANK(A512),"""",GOOGLETRANSLATE(A512,""en"",""fr""))"),"")</f>
        <v/>
      </c>
    </row>
    <row r="513" spans="2:2">
      <c r="B513" s="3" t="str">
        <f ca="1">IFERROR(__xludf.DUMMYFUNCTION("IF(ISBLANK(A513),"""",GOOGLETRANSLATE(A513,""en"",""fr""))"),"")</f>
        <v/>
      </c>
    </row>
    <row r="514" spans="2:2">
      <c r="B514" s="3" t="str">
        <f ca="1">IFERROR(__xludf.DUMMYFUNCTION("IF(ISBLANK(A514),"""",GOOGLETRANSLATE(A514,""en"",""fr""))"),"")</f>
        <v/>
      </c>
    </row>
    <row r="515" spans="2:2">
      <c r="B515" s="3" t="str">
        <f ca="1">IFERROR(__xludf.DUMMYFUNCTION("IF(ISBLANK(A515),"""",GOOGLETRANSLATE(A515,""en"",""fr""))"),"")</f>
        <v/>
      </c>
    </row>
    <row r="516" spans="2:2">
      <c r="B516" s="3" t="str">
        <f ca="1">IFERROR(__xludf.DUMMYFUNCTION("IF(ISBLANK(A516),"""",GOOGLETRANSLATE(A516,""en"",""fr""))"),"")</f>
        <v/>
      </c>
    </row>
    <row r="517" spans="2:2">
      <c r="B517" s="3" t="str">
        <f ca="1">IFERROR(__xludf.DUMMYFUNCTION("IF(ISBLANK(A517),"""",GOOGLETRANSLATE(A517,""en"",""fr""))"),"")</f>
        <v/>
      </c>
    </row>
    <row r="518" spans="2:2">
      <c r="B518" s="3" t="str">
        <f ca="1">IFERROR(__xludf.DUMMYFUNCTION("IF(ISBLANK(A518),"""",GOOGLETRANSLATE(A518,""en"",""fr""))"),"")</f>
        <v/>
      </c>
    </row>
    <row r="519" spans="2:2">
      <c r="B519" s="3" t="str">
        <f ca="1">IFERROR(__xludf.DUMMYFUNCTION("IF(ISBLANK(A519),"""",GOOGLETRANSLATE(A519,""en"",""fr""))"),"")</f>
        <v/>
      </c>
    </row>
    <row r="520" spans="2:2">
      <c r="B520" s="3" t="str">
        <f ca="1">IFERROR(__xludf.DUMMYFUNCTION("IF(ISBLANK(A520),"""",GOOGLETRANSLATE(A520,""en"",""fr""))"),"")</f>
        <v/>
      </c>
    </row>
    <row r="521" spans="2:2">
      <c r="B521" s="3" t="str">
        <f ca="1">IFERROR(__xludf.DUMMYFUNCTION("IF(ISBLANK(A521),"""",GOOGLETRANSLATE(A521,""en"",""fr""))"),"")</f>
        <v/>
      </c>
    </row>
    <row r="522" spans="2:2">
      <c r="B522" s="3" t="str">
        <f ca="1">IFERROR(__xludf.DUMMYFUNCTION("IF(ISBLANK(A522),"""",GOOGLETRANSLATE(A522,""en"",""fr""))"),"")</f>
        <v/>
      </c>
    </row>
    <row r="523" spans="2:2">
      <c r="B523" s="3" t="str">
        <f ca="1">IFERROR(__xludf.DUMMYFUNCTION("IF(ISBLANK(A523),"""",GOOGLETRANSLATE(A523,""en"",""fr""))"),"")</f>
        <v/>
      </c>
    </row>
    <row r="524" spans="2:2">
      <c r="B524" s="3" t="str">
        <f ca="1">IFERROR(__xludf.DUMMYFUNCTION("IF(ISBLANK(A524),"""",GOOGLETRANSLATE(A524,""en"",""fr""))"),"")</f>
        <v/>
      </c>
    </row>
    <row r="525" spans="2:2">
      <c r="B525" s="3" t="str">
        <f ca="1">IFERROR(__xludf.DUMMYFUNCTION("IF(ISBLANK(A525),"""",GOOGLETRANSLATE(A525,""en"",""fr""))"),"")</f>
        <v/>
      </c>
    </row>
    <row r="526" spans="2:2">
      <c r="B526" s="3" t="str">
        <f ca="1">IFERROR(__xludf.DUMMYFUNCTION("IF(ISBLANK(A526),"""",GOOGLETRANSLATE(A526,""en"",""fr""))"),"")</f>
        <v/>
      </c>
    </row>
    <row r="527" spans="2:2">
      <c r="B527" s="3" t="str">
        <f ca="1">IFERROR(__xludf.DUMMYFUNCTION("IF(ISBLANK(A527),"""",GOOGLETRANSLATE(A527,""en"",""fr""))"),"")</f>
        <v/>
      </c>
    </row>
    <row r="528" spans="2:2">
      <c r="B528" s="3" t="str">
        <f ca="1">IFERROR(__xludf.DUMMYFUNCTION("IF(ISBLANK(A528),"""",GOOGLETRANSLATE(A528,""en"",""fr""))"),"")</f>
        <v/>
      </c>
    </row>
    <row r="529" spans="2:2">
      <c r="B529" s="3" t="str">
        <f ca="1">IFERROR(__xludf.DUMMYFUNCTION("IF(ISBLANK(A529),"""",GOOGLETRANSLATE(A529,""en"",""fr""))"),"")</f>
        <v/>
      </c>
    </row>
    <row r="530" spans="2:2">
      <c r="B530" s="3" t="str">
        <f ca="1">IFERROR(__xludf.DUMMYFUNCTION("IF(ISBLANK(A530),"""",GOOGLETRANSLATE(A530,""en"",""fr""))"),"")</f>
        <v/>
      </c>
    </row>
    <row r="531" spans="2:2">
      <c r="B531" s="3" t="str">
        <f ca="1">IFERROR(__xludf.DUMMYFUNCTION("IF(ISBLANK(A531),"""",GOOGLETRANSLATE(A531,""en"",""fr""))"),"")</f>
        <v/>
      </c>
    </row>
    <row r="532" spans="2:2">
      <c r="B532" s="3" t="str">
        <f ca="1">IFERROR(__xludf.DUMMYFUNCTION("IF(ISBLANK(A532),"""",GOOGLETRANSLATE(A532,""en"",""fr""))"),"")</f>
        <v/>
      </c>
    </row>
    <row r="533" spans="2:2">
      <c r="B533" s="3" t="str">
        <f ca="1">IFERROR(__xludf.DUMMYFUNCTION("IF(ISBLANK(A533),"""",GOOGLETRANSLATE(A533,""en"",""fr""))"),"")</f>
        <v/>
      </c>
    </row>
    <row r="534" spans="2:2">
      <c r="B534" s="3" t="str">
        <f ca="1">IFERROR(__xludf.DUMMYFUNCTION("IF(ISBLANK(A534),"""",GOOGLETRANSLATE(A534,""en"",""fr""))"),"")</f>
        <v/>
      </c>
    </row>
    <row r="535" spans="2:2">
      <c r="B535" s="3" t="str">
        <f ca="1">IFERROR(__xludf.DUMMYFUNCTION("IF(ISBLANK(A535),"""",GOOGLETRANSLATE(A535,""en"",""fr""))"),"")</f>
        <v/>
      </c>
    </row>
    <row r="536" spans="2:2">
      <c r="B536" s="3" t="str">
        <f ca="1">IFERROR(__xludf.DUMMYFUNCTION("IF(ISBLANK(A536),"""",GOOGLETRANSLATE(A536,""en"",""fr""))"),"")</f>
        <v/>
      </c>
    </row>
    <row r="537" spans="2:2">
      <c r="B537" s="3" t="str">
        <f ca="1">IFERROR(__xludf.DUMMYFUNCTION("IF(ISBLANK(A537),"""",GOOGLETRANSLATE(A537,""en"",""fr""))"),"")</f>
        <v/>
      </c>
    </row>
    <row r="538" spans="2:2">
      <c r="B538" s="3" t="str">
        <f ca="1">IFERROR(__xludf.DUMMYFUNCTION("IF(ISBLANK(A538),"""",GOOGLETRANSLATE(A538,""en"",""fr""))"),"")</f>
        <v/>
      </c>
    </row>
    <row r="539" spans="2:2">
      <c r="B539" s="3" t="str">
        <f ca="1">IFERROR(__xludf.DUMMYFUNCTION("IF(ISBLANK(A539),"""",GOOGLETRANSLATE(A539,""en"",""fr""))"),"")</f>
        <v/>
      </c>
    </row>
    <row r="540" spans="2:2">
      <c r="B540" s="3" t="str">
        <f ca="1">IFERROR(__xludf.DUMMYFUNCTION("IF(ISBLANK(A540),"""",GOOGLETRANSLATE(A540,""en"",""fr""))"),"")</f>
        <v/>
      </c>
    </row>
    <row r="541" spans="2:2">
      <c r="B541" s="3" t="str">
        <f ca="1">IFERROR(__xludf.DUMMYFUNCTION("IF(ISBLANK(A541),"""",GOOGLETRANSLATE(A541,""en"",""fr""))"),"")</f>
        <v/>
      </c>
    </row>
    <row r="542" spans="2:2">
      <c r="B542" s="3" t="str">
        <f ca="1">IFERROR(__xludf.DUMMYFUNCTION("IF(ISBLANK(A542),"""",GOOGLETRANSLATE(A542,""en"",""fr""))"),"")</f>
        <v/>
      </c>
    </row>
    <row r="543" spans="2:2">
      <c r="B543" s="3" t="str">
        <f ca="1">IFERROR(__xludf.DUMMYFUNCTION("IF(ISBLANK(A543),"""",GOOGLETRANSLATE(A543,""en"",""fr""))"),"")</f>
        <v/>
      </c>
    </row>
    <row r="544" spans="2:2">
      <c r="B544" s="3" t="str">
        <f ca="1">IFERROR(__xludf.DUMMYFUNCTION("IF(ISBLANK(A544),"""",GOOGLETRANSLATE(A544,""en"",""fr""))"),"")</f>
        <v/>
      </c>
    </row>
    <row r="545" spans="2:2">
      <c r="B545" s="3" t="str">
        <f ca="1">IFERROR(__xludf.DUMMYFUNCTION("IF(ISBLANK(A545),"""",GOOGLETRANSLATE(A545,""en"",""fr""))"),"")</f>
        <v/>
      </c>
    </row>
    <row r="546" spans="2:2">
      <c r="B546" s="3" t="str">
        <f ca="1">IFERROR(__xludf.DUMMYFUNCTION("IF(ISBLANK(A546),"""",GOOGLETRANSLATE(A546,""en"",""fr""))"),"")</f>
        <v/>
      </c>
    </row>
    <row r="547" spans="2:2">
      <c r="B547" s="3" t="str">
        <f ca="1">IFERROR(__xludf.DUMMYFUNCTION("IF(ISBLANK(A547),"""",GOOGLETRANSLATE(A547,""en"",""fr""))"),"")</f>
        <v/>
      </c>
    </row>
    <row r="548" spans="2:2">
      <c r="B548" s="3" t="str">
        <f ca="1">IFERROR(__xludf.DUMMYFUNCTION("IF(ISBLANK(A548),"""",GOOGLETRANSLATE(A548,""en"",""fr""))"),"")</f>
        <v/>
      </c>
    </row>
    <row r="549" spans="2:2">
      <c r="B549" s="3" t="str">
        <f ca="1">IFERROR(__xludf.DUMMYFUNCTION("IF(ISBLANK(A549),"""",GOOGLETRANSLATE(A549,""en"",""fr""))"),"")</f>
        <v/>
      </c>
    </row>
    <row r="550" spans="2:2">
      <c r="B550" s="3" t="str">
        <f ca="1">IFERROR(__xludf.DUMMYFUNCTION("IF(ISBLANK(A550),"""",GOOGLETRANSLATE(A550,""en"",""fr""))"),"")</f>
        <v/>
      </c>
    </row>
    <row r="551" spans="2:2">
      <c r="B551" s="3" t="str">
        <f ca="1">IFERROR(__xludf.DUMMYFUNCTION("IF(ISBLANK(A551),"""",GOOGLETRANSLATE(A551,""en"",""fr""))"),"")</f>
        <v/>
      </c>
    </row>
    <row r="552" spans="2:2">
      <c r="B552" s="3" t="str">
        <f ca="1">IFERROR(__xludf.DUMMYFUNCTION("IF(ISBLANK(A552),"""",GOOGLETRANSLATE(A552,""en"",""fr""))"),"")</f>
        <v/>
      </c>
    </row>
    <row r="553" spans="2:2">
      <c r="B553" s="3" t="str">
        <f ca="1">IFERROR(__xludf.DUMMYFUNCTION("IF(ISBLANK(A553),"""",GOOGLETRANSLATE(A553,""en"",""fr""))"),"")</f>
        <v/>
      </c>
    </row>
    <row r="554" spans="2:2">
      <c r="B554" s="3" t="str">
        <f ca="1">IFERROR(__xludf.DUMMYFUNCTION("IF(ISBLANK(A554),"""",GOOGLETRANSLATE(A554,""en"",""fr""))"),"")</f>
        <v/>
      </c>
    </row>
    <row r="555" spans="2:2">
      <c r="B555" s="3" t="str">
        <f ca="1">IFERROR(__xludf.DUMMYFUNCTION("IF(ISBLANK(A555),"""",GOOGLETRANSLATE(A555,""en"",""fr""))"),"")</f>
        <v/>
      </c>
    </row>
    <row r="556" spans="2:2">
      <c r="B556" s="3" t="str">
        <f ca="1">IFERROR(__xludf.DUMMYFUNCTION("IF(ISBLANK(A556),"""",GOOGLETRANSLATE(A556,""en"",""fr""))"),"")</f>
        <v/>
      </c>
    </row>
    <row r="557" spans="2:2">
      <c r="B557" s="3" t="str">
        <f ca="1">IFERROR(__xludf.DUMMYFUNCTION("IF(ISBLANK(A557),"""",GOOGLETRANSLATE(A557,""en"",""fr""))"),"")</f>
        <v/>
      </c>
    </row>
    <row r="558" spans="2:2">
      <c r="B558" s="3" t="str">
        <f ca="1">IFERROR(__xludf.DUMMYFUNCTION("IF(ISBLANK(A558),"""",GOOGLETRANSLATE(A558,""en"",""fr""))"),"")</f>
        <v/>
      </c>
    </row>
    <row r="559" spans="2:2">
      <c r="B559" s="3" t="str">
        <f ca="1">IFERROR(__xludf.DUMMYFUNCTION("IF(ISBLANK(A559),"""",GOOGLETRANSLATE(A559,""en"",""fr""))"),"")</f>
        <v/>
      </c>
    </row>
    <row r="560" spans="2:2">
      <c r="B560" s="3" t="str">
        <f ca="1">IFERROR(__xludf.DUMMYFUNCTION("IF(ISBLANK(A560),"""",GOOGLETRANSLATE(A560,""en"",""fr""))"),"")</f>
        <v/>
      </c>
    </row>
    <row r="561" spans="2:2">
      <c r="B561" s="3" t="str">
        <f ca="1">IFERROR(__xludf.DUMMYFUNCTION("IF(ISBLANK(A561),"""",GOOGLETRANSLATE(A561,""en"",""fr""))"),"")</f>
        <v/>
      </c>
    </row>
    <row r="562" spans="2:2">
      <c r="B562" s="3" t="str">
        <f ca="1">IFERROR(__xludf.DUMMYFUNCTION("IF(ISBLANK(A562),"""",GOOGLETRANSLATE(A562,""en"",""fr""))"),"")</f>
        <v/>
      </c>
    </row>
    <row r="563" spans="2:2">
      <c r="B563" s="3" t="str">
        <f ca="1">IFERROR(__xludf.DUMMYFUNCTION("IF(ISBLANK(A563),"""",GOOGLETRANSLATE(A563,""en"",""fr""))"),"")</f>
        <v/>
      </c>
    </row>
    <row r="564" spans="2:2">
      <c r="B564" s="3" t="str">
        <f ca="1">IFERROR(__xludf.DUMMYFUNCTION("IF(ISBLANK(A564),"""",GOOGLETRANSLATE(A564,""en"",""fr""))"),"")</f>
        <v/>
      </c>
    </row>
    <row r="565" spans="2:2">
      <c r="B565" s="3" t="str">
        <f ca="1">IFERROR(__xludf.DUMMYFUNCTION("IF(ISBLANK(A565),"""",GOOGLETRANSLATE(A565,""en"",""fr""))"),"")</f>
        <v/>
      </c>
    </row>
    <row r="566" spans="2:2">
      <c r="B566" s="3" t="str">
        <f ca="1">IFERROR(__xludf.DUMMYFUNCTION("IF(ISBLANK(A566),"""",GOOGLETRANSLATE(A566,""en"",""fr""))"),"")</f>
        <v/>
      </c>
    </row>
    <row r="567" spans="2:2">
      <c r="B567" s="3" t="str">
        <f ca="1">IFERROR(__xludf.DUMMYFUNCTION("IF(ISBLANK(A567),"""",GOOGLETRANSLATE(A567,""en"",""fr""))"),"")</f>
        <v/>
      </c>
    </row>
    <row r="568" spans="2:2">
      <c r="B568" s="3" t="str">
        <f ca="1">IFERROR(__xludf.DUMMYFUNCTION("IF(ISBLANK(A568),"""",GOOGLETRANSLATE(A568,""en"",""fr""))"),"")</f>
        <v/>
      </c>
    </row>
    <row r="569" spans="2:2">
      <c r="B569" s="3" t="str">
        <f ca="1">IFERROR(__xludf.DUMMYFUNCTION("IF(ISBLANK(A569),"""",GOOGLETRANSLATE(A569,""en"",""fr""))"),"")</f>
        <v/>
      </c>
    </row>
    <row r="570" spans="2:2">
      <c r="B570" s="3" t="str">
        <f ca="1">IFERROR(__xludf.DUMMYFUNCTION("IF(ISBLANK(A570),"""",GOOGLETRANSLATE(A570,""en"",""fr""))"),"")</f>
        <v/>
      </c>
    </row>
    <row r="571" spans="2:2">
      <c r="B571" s="3" t="str">
        <f ca="1">IFERROR(__xludf.DUMMYFUNCTION("IF(ISBLANK(A571),"""",GOOGLETRANSLATE(A571,""en"",""fr""))"),"")</f>
        <v/>
      </c>
    </row>
    <row r="572" spans="2:2">
      <c r="B572" s="3" t="str">
        <f ca="1">IFERROR(__xludf.DUMMYFUNCTION("IF(ISBLANK(A572),"""",GOOGLETRANSLATE(A572,""en"",""fr""))"),"")</f>
        <v/>
      </c>
    </row>
    <row r="573" spans="2:2">
      <c r="B573" s="3" t="str">
        <f ca="1">IFERROR(__xludf.DUMMYFUNCTION("IF(ISBLANK(A573),"""",GOOGLETRANSLATE(A573,""en"",""fr""))"),"")</f>
        <v/>
      </c>
    </row>
    <row r="574" spans="2:2">
      <c r="B574" s="3" t="str">
        <f ca="1">IFERROR(__xludf.DUMMYFUNCTION("IF(ISBLANK(A574),"""",GOOGLETRANSLATE(A574,""en"",""fr""))"),"")</f>
        <v/>
      </c>
    </row>
    <row r="575" spans="2:2">
      <c r="B575" s="3" t="str">
        <f ca="1">IFERROR(__xludf.DUMMYFUNCTION("IF(ISBLANK(A575),"""",GOOGLETRANSLATE(A575,""en"",""fr""))"),"")</f>
        <v/>
      </c>
    </row>
    <row r="576" spans="2:2">
      <c r="B576" s="3" t="str">
        <f ca="1">IFERROR(__xludf.DUMMYFUNCTION("IF(ISBLANK(A576),"""",GOOGLETRANSLATE(A576,""en"",""fr""))"),"")</f>
        <v/>
      </c>
    </row>
    <row r="577" spans="2:2">
      <c r="B577" s="3" t="str">
        <f ca="1">IFERROR(__xludf.DUMMYFUNCTION("IF(ISBLANK(A577),"""",GOOGLETRANSLATE(A577,""en"",""fr""))"),"")</f>
        <v/>
      </c>
    </row>
    <row r="578" spans="2:2">
      <c r="B578" s="3" t="str">
        <f ca="1">IFERROR(__xludf.DUMMYFUNCTION("IF(ISBLANK(A578),"""",GOOGLETRANSLATE(A578,""en"",""fr""))"),"")</f>
        <v/>
      </c>
    </row>
    <row r="579" spans="2:2">
      <c r="B579" s="3" t="str">
        <f ca="1">IFERROR(__xludf.DUMMYFUNCTION("IF(ISBLANK(A579),"""",GOOGLETRANSLATE(A579,""en"",""fr""))"),"")</f>
        <v/>
      </c>
    </row>
    <row r="580" spans="2:2">
      <c r="B580" s="3" t="str">
        <f ca="1">IFERROR(__xludf.DUMMYFUNCTION("IF(ISBLANK(A580),"""",GOOGLETRANSLATE(A580,""en"",""fr""))"),"")</f>
        <v/>
      </c>
    </row>
    <row r="581" spans="2:2">
      <c r="B581" s="3" t="str">
        <f ca="1">IFERROR(__xludf.DUMMYFUNCTION("IF(ISBLANK(A581),"""",GOOGLETRANSLATE(A581,""en"",""fr""))"),"")</f>
        <v/>
      </c>
    </row>
    <row r="582" spans="2:2">
      <c r="B582" s="3" t="str">
        <f ca="1">IFERROR(__xludf.DUMMYFUNCTION("IF(ISBLANK(A582),"""",GOOGLETRANSLATE(A582,""en"",""fr""))"),"")</f>
        <v/>
      </c>
    </row>
    <row r="583" spans="2:2">
      <c r="B583" s="3" t="str">
        <f ca="1">IFERROR(__xludf.DUMMYFUNCTION("IF(ISBLANK(A583),"""",GOOGLETRANSLATE(A583,""en"",""fr""))"),"")</f>
        <v/>
      </c>
    </row>
    <row r="584" spans="2:2">
      <c r="B584" s="3" t="str">
        <f ca="1">IFERROR(__xludf.DUMMYFUNCTION("IF(ISBLANK(A584),"""",GOOGLETRANSLATE(A584,""en"",""fr""))"),"")</f>
        <v/>
      </c>
    </row>
    <row r="585" spans="2:2">
      <c r="B585" s="3" t="str">
        <f ca="1">IFERROR(__xludf.DUMMYFUNCTION("IF(ISBLANK(A585),"""",GOOGLETRANSLATE(A585,""en"",""fr""))"),"")</f>
        <v/>
      </c>
    </row>
    <row r="586" spans="2:2">
      <c r="B586" s="3" t="str">
        <f ca="1">IFERROR(__xludf.DUMMYFUNCTION("IF(ISBLANK(A586),"""",GOOGLETRANSLATE(A586,""en"",""fr""))"),"")</f>
        <v/>
      </c>
    </row>
    <row r="587" spans="2:2">
      <c r="B587" s="3" t="str">
        <f ca="1">IFERROR(__xludf.DUMMYFUNCTION("IF(ISBLANK(A587),"""",GOOGLETRANSLATE(A587,""en"",""fr""))"),"")</f>
        <v/>
      </c>
    </row>
    <row r="588" spans="2:2">
      <c r="B588" s="3" t="str">
        <f ca="1">IFERROR(__xludf.DUMMYFUNCTION("IF(ISBLANK(A588),"""",GOOGLETRANSLATE(A588,""en"",""fr""))"),"")</f>
        <v/>
      </c>
    </row>
    <row r="589" spans="2:2">
      <c r="B589" s="3" t="str">
        <f ca="1">IFERROR(__xludf.DUMMYFUNCTION("IF(ISBLANK(A589),"""",GOOGLETRANSLATE(A589,""en"",""fr""))"),"")</f>
        <v/>
      </c>
    </row>
    <row r="590" spans="2:2">
      <c r="B590" s="3" t="str">
        <f ca="1">IFERROR(__xludf.DUMMYFUNCTION("IF(ISBLANK(A590),"""",GOOGLETRANSLATE(A590,""en"",""fr""))"),"")</f>
        <v/>
      </c>
    </row>
    <row r="591" spans="2:2">
      <c r="B591" s="3" t="str">
        <f ca="1">IFERROR(__xludf.DUMMYFUNCTION("IF(ISBLANK(A591),"""",GOOGLETRANSLATE(A591,""en"",""fr""))"),"")</f>
        <v/>
      </c>
    </row>
    <row r="592" spans="2:2">
      <c r="B592" s="3" t="str">
        <f ca="1">IFERROR(__xludf.DUMMYFUNCTION("IF(ISBLANK(A592),"""",GOOGLETRANSLATE(A592,""en"",""fr""))"),"")</f>
        <v/>
      </c>
    </row>
    <row r="593" spans="2:2">
      <c r="B593" s="3" t="str">
        <f ca="1">IFERROR(__xludf.DUMMYFUNCTION("IF(ISBLANK(A593),"""",GOOGLETRANSLATE(A593,""en"",""fr""))"),"")</f>
        <v/>
      </c>
    </row>
    <row r="594" spans="2:2">
      <c r="B594" s="3" t="str">
        <f ca="1">IFERROR(__xludf.DUMMYFUNCTION("IF(ISBLANK(A594),"""",GOOGLETRANSLATE(A594,""en"",""fr""))"),"")</f>
        <v/>
      </c>
    </row>
    <row r="595" spans="2:2">
      <c r="B595" s="3" t="str">
        <f ca="1">IFERROR(__xludf.DUMMYFUNCTION("IF(ISBLANK(A595),"""",GOOGLETRANSLATE(A595,""en"",""fr""))"),"")</f>
        <v/>
      </c>
    </row>
    <row r="596" spans="2:2">
      <c r="B596" s="3" t="str">
        <f ca="1">IFERROR(__xludf.DUMMYFUNCTION("IF(ISBLANK(A596),"""",GOOGLETRANSLATE(A596,""en"",""fr""))"),"")</f>
        <v/>
      </c>
    </row>
    <row r="597" spans="2:2">
      <c r="B597" s="3" t="str">
        <f ca="1">IFERROR(__xludf.DUMMYFUNCTION("IF(ISBLANK(A597),"""",GOOGLETRANSLATE(A597,""en"",""fr""))"),"")</f>
        <v/>
      </c>
    </row>
    <row r="598" spans="2:2">
      <c r="B598" s="3" t="str">
        <f ca="1">IFERROR(__xludf.DUMMYFUNCTION("IF(ISBLANK(A598),"""",GOOGLETRANSLATE(A598,""en"",""fr""))"),"")</f>
        <v/>
      </c>
    </row>
    <row r="599" spans="2:2">
      <c r="B599" s="3" t="str">
        <f ca="1">IFERROR(__xludf.DUMMYFUNCTION("IF(ISBLANK(A599),"""",GOOGLETRANSLATE(A599,""en"",""fr""))"),"")</f>
        <v/>
      </c>
    </row>
    <row r="600" spans="2:2">
      <c r="B600" s="3" t="str">
        <f ca="1">IFERROR(__xludf.DUMMYFUNCTION("IF(ISBLANK(A600),"""",GOOGLETRANSLATE(A600,""en"",""fr""))"),"")</f>
        <v/>
      </c>
    </row>
    <row r="601" spans="2:2">
      <c r="B601" s="3" t="str">
        <f ca="1">IFERROR(__xludf.DUMMYFUNCTION("IF(ISBLANK(A601),"""",GOOGLETRANSLATE(A601,""en"",""fr""))"),"")</f>
        <v/>
      </c>
    </row>
    <row r="602" spans="2:2">
      <c r="B602" s="3" t="str">
        <f ca="1">IFERROR(__xludf.DUMMYFUNCTION("IF(ISBLANK(A602),"""",GOOGLETRANSLATE(A602,""en"",""fr""))"),"")</f>
        <v/>
      </c>
    </row>
    <row r="603" spans="2:2">
      <c r="B603" s="3" t="str">
        <f ca="1">IFERROR(__xludf.DUMMYFUNCTION("IF(ISBLANK(A603),"""",GOOGLETRANSLATE(A603,""en"",""fr""))"),"")</f>
        <v/>
      </c>
    </row>
    <row r="604" spans="2:2">
      <c r="B604" s="3" t="str">
        <f ca="1">IFERROR(__xludf.DUMMYFUNCTION("IF(ISBLANK(A604),"""",GOOGLETRANSLATE(A604,""en"",""fr""))"),"")</f>
        <v/>
      </c>
    </row>
    <row r="605" spans="2:2">
      <c r="B605" s="3" t="str">
        <f ca="1">IFERROR(__xludf.DUMMYFUNCTION("IF(ISBLANK(A605),"""",GOOGLETRANSLATE(A605,""en"",""fr""))"),"")</f>
        <v/>
      </c>
    </row>
    <row r="606" spans="2:2">
      <c r="B606" s="3" t="str">
        <f ca="1">IFERROR(__xludf.DUMMYFUNCTION("IF(ISBLANK(A606),"""",GOOGLETRANSLATE(A606,""en"",""fr""))"),"")</f>
        <v/>
      </c>
    </row>
    <row r="607" spans="2:2">
      <c r="B607" s="3" t="str">
        <f ca="1">IFERROR(__xludf.DUMMYFUNCTION("IF(ISBLANK(A607),"""",GOOGLETRANSLATE(A607,""en"",""fr""))"),"")</f>
        <v/>
      </c>
    </row>
    <row r="608" spans="2:2">
      <c r="B608" s="3" t="str">
        <f ca="1">IFERROR(__xludf.DUMMYFUNCTION("IF(ISBLANK(A608),"""",GOOGLETRANSLATE(A608,""en"",""fr""))"),"")</f>
        <v/>
      </c>
    </row>
    <row r="609" spans="2:2">
      <c r="B609" s="3" t="str">
        <f ca="1">IFERROR(__xludf.DUMMYFUNCTION("IF(ISBLANK(A609),"""",GOOGLETRANSLATE(A609,""en"",""fr""))"),"")</f>
        <v/>
      </c>
    </row>
    <row r="610" spans="2:2">
      <c r="B610" s="3" t="str">
        <f ca="1">IFERROR(__xludf.DUMMYFUNCTION("IF(ISBLANK(A610),"""",GOOGLETRANSLATE(A610,""en"",""fr""))"),"")</f>
        <v/>
      </c>
    </row>
    <row r="611" spans="2:2">
      <c r="B611" s="3" t="str">
        <f ca="1">IFERROR(__xludf.DUMMYFUNCTION("IF(ISBLANK(A611),"""",GOOGLETRANSLATE(A611,""en"",""fr""))"),"")</f>
        <v/>
      </c>
    </row>
    <row r="612" spans="2:2">
      <c r="B612" s="3" t="str">
        <f ca="1">IFERROR(__xludf.DUMMYFUNCTION("IF(ISBLANK(A612),"""",GOOGLETRANSLATE(A612,""en"",""fr""))"),"")</f>
        <v/>
      </c>
    </row>
    <row r="613" spans="2:2">
      <c r="B613" s="3" t="str">
        <f ca="1">IFERROR(__xludf.DUMMYFUNCTION("IF(ISBLANK(A613),"""",GOOGLETRANSLATE(A613,""en"",""fr""))"),"")</f>
        <v/>
      </c>
    </row>
    <row r="614" spans="2:2">
      <c r="B614" s="3" t="str">
        <f ca="1">IFERROR(__xludf.DUMMYFUNCTION("IF(ISBLANK(A614),"""",GOOGLETRANSLATE(A614,""en"",""fr""))"),"")</f>
        <v/>
      </c>
    </row>
    <row r="615" spans="2:2">
      <c r="B615" s="3" t="str">
        <f ca="1">IFERROR(__xludf.DUMMYFUNCTION("IF(ISBLANK(A615),"""",GOOGLETRANSLATE(A615,""en"",""fr""))"),"")</f>
        <v/>
      </c>
    </row>
    <row r="616" spans="2:2">
      <c r="B616" s="3" t="str">
        <f ca="1">IFERROR(__xludf.DUMMYFUNCTION("IF(ISBLANK(A616),"""",GOOGLETRANSLATE(A616,""en"",""fr""))"),"")</f>
        <v/>
      </c>
    </row>
    <row r="617" spans="2:2">
      <c r="B617" s="3" t="str">
        <f ca="1">IFERROR(__xludf.DUMMYFUNCTION("IF(ISBLANK(A617),"""",GOOGLETRANSLATE(A617,""en"",""fr""))"),"")</f>
        <v/>
      </c>
    </row>
    <row r="618" spans="2:2">
      <c r="B618" s="3" t="str">
        <f ca="1">IFERROR(__xludf.DUMMYFUNCTION("IF(ISBLANK(A618),"""",GOOGLETRANSLATE(A618,""en"",""fr""))"),"")</f>
        <v/>
      </c>
    </row>
    <row r="619" spans="2:2">
      <c r="B619" s="3" t="str">
        <f ca="1">IFERROR(__xludf.DUMMYFUNCTION("IF(ISBLANK(A619),"""",GOOGLETRANSLATE(A619,""en"",""fr""))"),"")</f>
        <v/>
      </c>
    </row>
    <row r="620" spans="2:2">
      <c r="B620" s="3" t="str">
        <f ca="1">IFERROR(__xludf.DUMMYFUNCTION("IF(ISBLANK(A620),"""",GOOGLETRANSLATE(A620,""en"",""fr""))"),"")</f>
        <v/>
      </c>
    </row>
    <row r="621" spans="2:2">
      <c r="B621" s="3" t="str">
        <f ca="1">IFERROR(__xludf.DUMMYFUNCTION("IF(ISBLANK(A621),"""",GOOGLETRANSLATE(A621,""en"",""fr""))"),"")</f>
        <v/>
      </c>
    </row>
    <row r="622" spans="2:2">
      <c r="B622" s="3" t="str">
        <f ca="1">IFERROR(__xludf.DUMMYFUNCTION("IF(ISBLANK(A622),"""",GOOGLETRANSLATE(A622,""en"",""fr""))"),"")</f>
        <v/>
      </c>
    </row>
    <row r="623" spans="2:2">
      <c r="B623" s="3" t="str">
        <f ca="1">IFERROR(__xludf.DUMMYFUNCTION("IF(ISBLANK(A623),"""",GOOGLETRANSLATE(A623,""en"",""fr""))"),"")</f>
        <v/>
      </c>
    </row>
    <row r="624" spans="2:2">
      <c r="B624" s="3" t="str">
        <f ca="1">IFERROR(__xludf.DUMMYFUNCTION("IF(ISBLANK(A624),"""",GOOGLETRANSLATE(A624,""en"",""fr""))"),"")</f>
        <v/>
      </c>
    </row>
    <row r="625" spans="2:2">
      <c r="B625" s="3" t="str">
        <f ca="1">IFERROR(__xludf.DUMMYFUNCTION("IF(ISBLANK(A625),"""",GOOGLETRANSLATE(A625,""en"",""fr""))"),"")</f>
        <v/>
      </c>
    </row>
    <row r="626" spans="2:2">
      <c r="B626" s="3" t="str">
        <f ca="1">IFERROR(__xludf.DUMMYFUNCTION("IF(ISBLANK(A626),"""",GOOGLETRANSLATE(A626,""en"",""fr""))"),"")</f>
        <v/>
      </c>
    </row>
    <row r="627" spans="2:2">
      <c r="B627" s="3" t="str">
        <f ca="1">IFERROR(__xludf.DUMMYFUNCTION("IF(ISBLANK(A627),"""",GOOGLETRANSLATE(A627,""en"",""fr""))"),"")</f>
        <v/>
      </c>
    </row>
    <row r="628" spans="2:2">
      <c r="B628" s="3" t="str">
        <f ca="1">IFERROR(__xludf.DUMMYFUNCTION("IF(ISBLANK(A628),"""",GOOGLETRANSLATE(A628,""en"",""fr""))"),"")</f>
        <v/>
      </c>
    </row>
    <row r="629" spans="2:2">
      <c r="B629" s="3" t="str">
        <f ca="1">IFERROR(__xludf.DUMMYFUNCTION("IF(ISBLANK(A629),"""",GOOGLETRANSLATE(A629,""en"",""fr""))"),"")</f>
        <v/>
      </c>
    </row>
    <row r="630" spans="2:2">
      <c r="B630" s="3" t="str">
        <f ca="1">IFERROR(__xludf.DUMMYFUNCTION("IF(ISBLANK(A630),"""",GOOGLETRANSLATE(A630,""en"",""fr""))"),"")</f>
        <v/>
      </c>
    </row>
    <row r="631" spans="2:2">
      <c r="B631" s="3" t="str">
        <f ca="1">IFERROR(__xludf.DUMMYFUNCTION("IF(ISBLANK(A631),"""",GOOGLETRANSLATE(A631,""en"",""fr""))"),"")</f>
        <v/>
      </c>
    </row>
    <row r="632" spans="2:2">
      <c r="B632" s="3" t="str">
        <f ca="1">IFERROR(__xludf.DUMMYFUNCTION("IF(ISBLANK(A632),"""",GOOGLETRANSLATE(A632,""en"",""fr""))"),"")</f>
        <v/>
      </c>
    </row>
    <row r="633" spans="2:2">
      <c r="B633" s="3" t="str">
        <f ca="1">IFERROR(__xludf.DUMMYFUNCTION("IF(ISBLANK(A633),"""",GOOGLETRANSLATE(A633,""en"",""fr""))"),"")</f>
        <v/>
      </c>
    </row>
    <row r="634" spans="2:2">
      <c r="B634" s="3" t="str">
        <f ca="1">IFERROR(__xludf.DUMMYFUNCTION("IF(ISBLANK(A634),"""",GOOGLETRANSLATE(A634,""en"",""fr""))"),"")</f>
        <v/>
      </c>
    </row>
    <row r="635" spans="2:2">
      <c r="B635" s="3" t="str">
        <f ca="1">IFERROR(__xludf.DUMMYFUNCTION("IF(ISBLANK(A635),"""",GOOGLETRANSLATE(A635,""en"",""fr""))"),"")</f>
        <v/>
      </c>
    </row>
    <row r="636" spans="2:2">
      <c r="B636" s="3" t="str">
        <f ca="1">IFERROR(__xludf.DUMMYFUNCTION("IF(ISBLANK(A636),"""",GOOGLETRANSLATE(A636,""en"",""fr""))"),"")</f>
        <v/>
      </c>
    </row>
    <row r="637" spans="2:2">
      <c r="B637" s="3" t="str">
        <f ca="1">IFERROR(__xludf.DUMMYFUNCTION("IF(ISBLANK(A637),"""",GOOGLETRANSLATE(A637,""en"",""fr""))"),"")</f>
        <v/>
      </c>
    </row>
    <row r="638" spans="2:2">
      <c r="B638" s="3" t="str">
        <f ca="1">IFERROR(__xludf.DUMMYFUNCTION("IF(ISBLANK(A638),"""",GOOGLETRANSLATE(A638,""en"",""fr""))"),"")</f>
        <v/>
      </c>
    </row>
    <row r="639" spans="2:2">
      <c r="B639" s="3" t="str">
        <f ca="1">IFERROR(__xludf.DUMMYFUNCTION("IF(ISBLANK(A639),"""",GOOGLETRANSLATE(A639,""en"",""fr""))"),"")</f>
        <v/>
      </c>
    </row>
    <row r="640" spans="2:2">
      <c r="B640" s="3" t="str">
        <f ca="1">IFERROR(__xludf.DUMMYFUNCTION("IF(ISBLANK(A640),"""",GOOGLETRANSLATE(A640,""en"",""fr""))"),"")</f>
        <v/>
      </c>
    </row>
    <row r="641" spans="2:2">
      <c r="B641" s="3" t="str">
        <f ca="1">IFERROR(__xludf.DUMMYFUNCTION("IF(ISBLANK(A641),"""",GOOGLETRANSLATE(A641,""en"",""fr""))"),"")</f>
        <v/>
      </c>
    </row>
    <row r="642" spans="2:2">
      <c r="B642" s="3" t="str">
        <f ca="1">IFERROR(__xludf.DUMMYFUNCTION("IF(ISBLANK(A642),"""",GOOGLETRANSLATE(A642,""en"",""fr""))"),"")</f>
        <v/>
      </c>
    </row>
    <row r="643" spans="2:2">
      <c r="B643" s="3" t="str">
        <f ca="1">IFERROR(__xludf.DUMMYFUNCTION("IF(ISBLANK(A643),"""",GOOGLETRANSLATE(A643,""en"",""fr""))"),"")</f>
        <v/>
      </c>
    </row>
    <row r="644" spans="2:2">
      <c r="B644" s="3" t="str">
        <f ca="1">IFERROR(__xludf.DUMMYFUNCTION("IF(ISBLANK(A644),"""",GOOGLETRANSLATE(A644,""en"",""fr""))"),"")</f>
        <v/>
      </c>
    </row>
    <row r="645" spans="2:2">
      <c r="B645" s="3" t="str">
        <f ca="1">IFERROR(__xludf.DUMMYFUNCTION("IF(ISBLANK(A645),"""",GOOGLETRANSLATE(A645,""en"",""fr""))"),"")</f>
        <v/>
      </c>
    </row>
    <row r="646" spans="2:2">
      <c r="B646" s="3" t="str">
        <f ca="1">IFERROR(__xludf.DUMMYFUNCTION("IF(ISBLANK(A646),"""",GOOGLETRANSLATE(A646,""en"",""fr""))"),"")</f>
        <v/>
      </c>
    </row>
    <row r="647" spans="2:2">
      <c r="B647" s="3" t="str">
        <f ca="1">IFERROR(__xludf.DUMMYFUNCTION("IF(ISBLANK(A647),"""",GOOGLETRANSLATE(A647,""en"",""fr""))"),"")</f>
        <v/>
      </c>
    </row>
    <row r="648" spans="2:2">
      <c r="B648" s="3" t="str">
        <f ca="1">IFERROR(__xludf.DUMMYFUNCTION("IF(ISBLANK(A648),"""",GOOGLETRANSLATE(A648,""en"",""fr""))"),"")</f>
        <v/>
      </c>
    </row>
    <row r="649" spans="2:2">
      <c r="B649" s="3" t="str">
        <f ca="1">IFERROR(__xludf.DUMMYFUNCTION("IF(ISBLANK(A649),"""",GOOGLETRANSLATE(A649,""en"",""fr""))"),"")</f>
        <v/>
      </c>
    </row>
    <row r="650" spans="2:2">
      <c r="B650" s="3" t="str">
        <f ca="1">IFERROR(__xludf.DUMMYFUNCTION("IF(ISBLANK(A650),"""",GOOGLETRANSLATE(A650,""en"",""fr""))"),"")</f>
        <v/>
      </c>
    </row>
    <row r="651" spans="2:2">
      <c r="B651" s="3" t="str">
        <f ca="1">IFERROR(__xludf.DUMMYFUNCTION("IF(ISBLANK(A651),"""",GOOGLETRANSLATE(A651,""en"",""fr""))"),"")</f>
        <v/>
      </c>
    </row>
    <row r="652" spans="2:2">
      <c r="B652" s="3" t="str">
        <f ca="1">IFERROR(__xludf.DUMMYFUNCTION("IF(ISBLANK(A652),"""",GOOGLETRANSLATE(A652,""en"",""fr""))"),"")</f>
        <v/>
      </c>
    </row>
    <row r="653" spans="2:2">
      <c r="B653" s="3" t="str">
        <f ca="1">IFERROR(__xludf.DUMMYFUNCTION("IF(ISBLANK(A653),"""",GOOGLETRANSLATE(A653,""en"",""fr""))"),"")</f>
        <v/>
      </c>
    </row>
    <row r="654" spans="2:2">
      <c r="B654" s="3" t="str">
        <f ca="1">IFERROR(__xludf.DUMMYFUNCTION("IF(ISBLANK(A654),"""",GOOGLETRANSLATE(A654,""en"",""fr""))"),"")</f>
        <v/>
      </c>
    </row>
    <row r="655" spans="2:2">
      <c r="B655" s="3" t="str">
        <f ca="1">IFERROR(__xludf.DUMMYFUNCTION("IF(ISBLANK(A655),"""",GOOGLETRANSLATE(A655,""en"",""fr""))"),"")</f>
        <v/>
      </c>
    </row>
    <row r="656" spans="2:2">
      <c r="B656" s="3" t="str">
        <f ca="1">IFERROR(__xludf.DUMMYFUNCTION("IF(ISBLANK(A656),"""",GOOGLETRANSLATE(A656,""en"",""fr""))"),"")</f>
        <v/>
      </c>
    </row>
    <row r="657" spans="2:2">
      <c r="B657" s="3" t="str">
        <f ca="1">IFERROR(__xludf.DUMMYFUNCTION("IF(ISBLANK(A657),"""",GOOGLETRANSLATE(A657,""en"",""fr""))"),"")</f>
        <v/>
      </c>
    </row>
    <row r="658" spans="2:2">
      <c r="B658" s="3" t="str">
        <f ca="1">IFERROR(__xludf.DUMMYFUNCTION("IF(ISBLANK(A658),"""",GOOGLETRANSLATE(A658,""en"",""fr""))"),"")</f>
        <v/>
      </c>
    </row>
    <row r="659" spans="2:2">
      <c r="B659" s="3" t="str">
        <f ca="1">IFERROR(__xludf.DUMMYFUNCTION("IF(ISBLANK(A659),"""",GOOGLETRANSLATE(A659,""en"",""fr""))"),"")</f>
        <v/>
      </c>
    </row>
    <row r="660" spans="2:2">
      <c r="B660" s="3" t="str">
        <f ca="1">IFERROR(__xludf.DUMMYFUNCTION("IF(ISBLANK(A660),"""",GOOGLETRANSLATE(A660,""en"",""fr""))"),"")</f>
        <v/>
      </c>
    </row>
    <row r="661" spans="2:2">
      <c r="B661" s="3" t="str">
        <f ca="1">IFERROR(__xludf.DUMMYFUNCTION("IF(ISBLANK(A661),"""",GOOGLETRANSLATE(A661,""en"",""fr""))"),"")</f>
        <v/>
      </c>
    </row>
    <row r="662" spans="2:2">
      <c r="B662" s="3" t="str">
        <f ca="1">IFERROR(__xludf.DUMMYFUNCTION("IF(ISBLANK(A662),"""",GOOGLETRANSLATE(A662,""en"",""fr""))"),"")</f>
        <v/>
      </c>
    </row>
    <row r="663" spans="2:2">
      <c r="B663" s="3" t="str">
        <f ca="1">IFERROR(__xludf.DUMMYFUNCTION("IF(ISBLANK(A663),"""",GOOGLETRANSLATE(A663,""en"",""fr""))"),"")</f>
        <v/>
      </c>
    </row>
    <row r="664" spans="2:2">
      <c r="B664" s="3" t="str">
        <f ca="1">IFERROR(__xludf.DUMMYFUNCTION("IF(ISBLANK(A664),"""",GOOGLETRANSLATE(A664,""en"",""fr""))"),"")</f>
        <v/>
      </c>
    </row>
    <row r="665" spans="2:2">
      <c r="B665" s="3" t="str">
        <f ca="1">IFERROR(__xludf.DUMMYFUNCTION("IF(ISBLANK(A665),"""",GOOGLETRANSLATE(A665,""en"",""fr""))"),"")</f>
        <v/>
      </c>
    </row>
    <row r="666" spans="2:2">
      <c r="B666" s="3" t="str">
        <f ca="1">IFERROR(__xludf.DUMMYFUNCTION("IF(ISBLANK(A666),"""",GOOGLETRANSLATE(A666,""en"",""fr""))"),"")</f>
        <v/>
      </c>
    </row>
    <row r="667" spans="2:2">
      <c r="B667" s="3" t="str">
        <f ca="1">IFERROR(__xludf.DUMMYFUNCTION("IF(ISBLANK(A667),"""",GOOGLETRANSLATE(A667,""en"",""fr""))"),"")</f>
        <v/>
      </c>
    </row>
    <row r="668" spans="2:2">
      <c r="B668" s="3" t="str">
        <f ca="1">IFERROR(__xludf.DUMMYFUNCTION("IF(ISBLANK(A668),"""",GOOGLETRANSLATE(A668,""en"",""fr""))"),"")</f>
        <v/>
      </c>
    </row>
    <row r="669" spans="2:2">
      <c r="B669" s="3" t="str">
        <f ca="1">IFERROR(__xludf.DUMMYFUNCTION("IF(ISBLANK(A669),"""",GOOGLETRANSLATE(A669,""en"",""fr""))"),"")</f>
        <v/>
      </c>
    </row>
    <row r="670" spans="2:2">
      <c r="B670" s="3" t="str">
        <f ca="1">IFERROR(__xludf.DUMMYFUNCTION("IF(ISBLANK(A670),"""",GOOGLETRANSLATE(A670,""en"",""fr""))"),"")</f>
        <v/>
      </c>
    </row>
    <row r="671" spans="2:2">
      <c r="B671" s="3" t="str">
        <f ca="1">IFERROR(__xludf.DUMMYFUNCTION("IF(ISBLANK(A671),"""",GOOGLETRANSLATE(A671,""en"",""fr""))"),"")</f>
        <v/>
      </c>
    </row>
    <row r="672" spans="2:2">
      <c r="B672" s="3" t="str">
        <f ca="1">IFERROR(__xludf.DUMMYFUNCTION("IF(ISBLANK(A672),"""",GOOGLETRANSLATE(A672,""en"",""fr""))"),"")</f>
        <v/>
      </c>
    </row>
    <row r="673" spans="2:2">
      <c r="B673" s="3" t="str">
        <f ca="1">IFERROR(__xludf.DUMMYFUNCTION("IF(ISBLANK(A673),"""",GOOGLETRANSLATE(A673,""en"",""fr""))"),"")</f>
        <v/>
      </c>
    </row>
    <row r="674" spans="2:2">
      <c r="B674" s="3" t="str">
        <f ca="1">IFERROR(__xludf.DUMMYFUNCTION("IF(ISBLANK(A674),"""",GOOGLETRANSLATE(A674,""en"",""fr""))"),"")</f>
        <v/>
      </c>
    </row>
    <row r="675" spans="2:2">
      <c r="B675" s="3" t="str">
        <f ca="1">IFERROR(__xludf.DUMMYFUNCTION("IF(ISBLANK(A675),"""",GOOGLETRANSLATE(A675,""en"",""fr""))"),"")</f>
        <v/>
      </c>
    </row>
    <row r="676" spans="2:2">
      <c r="B676" s="3" t="str">
        <f ca="1">IFERROR(__xludf.DUMMYFUNCTION("IF(ISBLANK(A676),"""",GOOGLETRANSLATE(A676,""en"",""fr""))"),"")</f>
        <v/>
      </c>
    </row>
    <row r="677" spans="2:2">
      <c r="B677" s="3" t="str">
        <f ca="1">IFERROR(__xludf.DUMMYFUNCTION("IF(ISBLANK(A677),"""",GOOGLETRANSLATE(A677,""en"",""fr""))"),"")</f>
        <v/>
      </c>
    </row>
    <row r="678" spans="2:2">
      <c r="B678" s="3" t="str">
        <f ca="1">IFERROR(__xludf.DUMMYFUNCTION("IF(ISBLANK(A678),"""",GOOGLETRANSLATE(A678,""en"",""fr""))"),"")</f>
        <v/>
      </c>
    </row>
    <row r="679" spans="2:2">
      <c r="B679" s="3" t="str">
        <f ca="1">IFERROR(__xludf.DUMMYFUNCTION("IF(ISBLANK(A679),"""",GOOGLETRANSLATE(A679,""en"",""fr""))"),"")</f>
        <v/>
      </c>
    </row>
    <row r="680" spans="2:2">
      <c r="B680" s="3" t="str">
        <f ca="1">IFERROR(__xludf.DUMMYFUNCTION("IF(ISBLANK(A680),"""",GOOGLETRANSLATE(A680,""en"",""fr""))"),"")</f>
        <v/>
      </c>
    </row>
    <row r="681" spans="2:2">
      <c r="B681" s="3" t="str">
        <f ca="1">IFERROR(__xludf.DUMMYFUNCTION("IF(ISBLANK(A681),"""",GOOGLETRANSLATE(A681,""en"",""fr""))"),"")</f>
        <v/>
      </c>
    </row>
    <row r="682" spans="2:2">
      <c r="B682" s="3" t="str">
        <f ca="1">IFERROR(__xludf.DUMMYFUNCTION("IF(ISBLANK(A682),"""",GOOGLETRANSLATE(A682,""en"",""fr""))"),"")</f>
        <v/>
      </c>
    </row>
    <row r="683" spans="2:2">
      <c r="B683" s="3" t="str">
        <f ca="1">IFERROR(__xludf.DUMMYFUNCTION("IF(ISBLANK(A683),"""",GOOGLETRANSLATE(A683,""en"",""fr""))"),"")</f>
        <v/>
      </c>
    </row>
    <row r="684" spans="2:2">
      <c r="B684" s="3" t="str">
        <f ca="1">IFERROR(__xludf.DUMMYFUNCTION("IF(ISBLANK(A684),"""",GOOGLETRANSLATE(A684,""en"",""fr""))"),"")</f>
        <v/>
      </c>
    </row>
    <row r="685" spans="2:2">
      <c r="B685" s="3" t="str">
        <f ca="1">IFERROR(__xludf.DUMMYFUNCTION("IF(ISBLANK(A685),"""",GOOGLETRANSLATE(A685,""en"",""fr""))"),"")</f>
        <v/>
      </c>
    </row>
    <row r="686" spans="2:2">
      <c r="B686" s="3" t="str">
        <f ca="1">IFERROR(__xludf.DUMMYFUNCTION("IF(ISBLANK(A686),"""",GOOGLETRANSLATE(A686,""en"",""fr""))"),"")</f>
        <v/>
      </c>
    </row>
    <row r="687" spans="2:2">
      <c r="B687" s="3" t="str">
        <f ca="1">IFERROR(__xludf.DUMMYFUNCTION("IF(ISBLANK(A687),"""",GOOGLETRANSLATE(A687,""en"",""fr""))"),"")</f>
        <v/>
      </c>
    </row>
    <row r="688" spans="2:2">
      <c r="B688" s="3" t="str">
        <f ca="1">IFERROR(__xludf.DUMMYFUNCTION("IF(ISBLANK(A688),"""",GOOGLETRANSLATE(A688,""en"",""fr""))"),"")</f>
        <v/>
      </c>
    </row>
    <row r="689" spans="2:2">
      <c r="B689" s="3" t="str">
        <f ca="1">IFERROR(__xludf.DUMMYFUNCTION("IF(ISBLANK(A689),"""",GOOGLETRANSLATE(A689,""en"",""fr""))"),"")</f>
        <v/>
      </c>
    </row>
    <row r="690" spans="2:2">
      <c r="B690" s="3" t="str">
        <f ca="1">IFERROR(__xludf.DUMMYFUNCTION("IF(ISBLANK(A690),"""",GOOGLETRANSLATE(A690,""en"",""fr""))"),"")</f>
        <v/>
      </c>
    </row>
    <row r="691" spans="2:2">
      <c r="B691" s="3" t="str">
        <f ca="1">IFERROR(__xludf.DUMMYFUNCTION("IF(ISBLANK(A691),"""",GOOGLETRANSLATE(A691,""en"",""fr""))"),"")</f>
        <v/>
      </c>
    </row>
    <row r="692" spans="2:2">
      <c r="B692" s="3" t="str">
        <f ca="1">IFERROR(__xludf.DUMMYFUNCTION("IF(ISBLANK(A692),"""",GOOGLETRANSLATE(A692,""en"",""fr""))"),"")</f>
        <v/>
      </c>
    </row>
    <row r="693" spans="2:2">
      <c r="B693" s="3" t="str">
        <f ca="1">IFERROR(__xludf.DUMMYFUNCTION("IF(ISBLANK(A693),"""",GOOGLETRANSLATE(A693,""en"",""fr""))"),"")</f>
        <v/>
      </c>
    </row>
    <row r="694" spans="2:2">
      <c r="B694" s="3" t="str">
        <f ca="1">IFERROR(__xludf.DUMMYFUNCTION("IF(ISBLANK(A694),"""",GOOGLETRANSLATE(A694,""en"",""fr""))"),"")</f>
        <v/>
      </c>
    </row>
    <row r="695" spans="2:2">
      <c r="B695" s="3" t="str">
        <f ca="1">IFERROR(__xludf.DUMMYFUNCTION("IF(ISBLANK(A695),"""",GOOGLETRANSLATE(A695,""en"",""fr""))"),"")</f>
        <v/>
      </c>
    </row>
    <row r="696" spans="2:2">
      <c r="B696" s="3" t="str">
        <f ca="1">IFERROR(__xludf.DUMMYFUNCTION("IF(ISBLANK(A696),"""",GOOGLETRANSLATE(A696,""en"",""fr""))"),"")</f>
        <v/>
      </c>
    </row>
    <row r="697" spans="2:2">
      <c r="B697" s="3" t="str">
        <f ca="1">IFERROR(__xludf.DUMMYFUNCTION("IF(ISBLANK(A697),"""",GOOGLETRANSLATE(A697,""en"",""fr""))"),"")</f>
        <v/>
      </c>
    </row>
    <row r="698" spans="2:2">
      <c r="B698" s="3" t="str">
        <f ca="1">IFERROR(__xludf.DUMMYFUNCTION("IF(ISBLANK(A698),"""",GOOGLETRANSLATE(A698,""en"",""fr""))"),"")</f>
        <v/>
      </c>
    </row>
    <row r="699" spans="2:2">
      <c r="B699" s="3" t="str">
        <f ca="1">IFERROR(__xludf.DUMMYFUNCTION("IF(ISBLANK(A699),"""",GOOGLETRANSLATE(A699,""en"",""fr""))"),"")</f>
        <v/>
      </c>
    </row>
    <row r="700" spans="2:2">
      <c r="B700" s="3" t="str">
        <f ca="1">IFERROR(__xludf.DUMMYFUNCTION("IF(ISBLANK(A700),"""",GOOGLETRANSLATE(A700,""en"",""fr""))"),"")</f>
        <v/>
      </c>
    </row>
    <row r="701" spans="2:2">
      <c r="B701" s="3" t="str">
        <f ca="1">IFERROR(__xludf.DUMMYFUNCTION("IF(ISBLANK(A701),"""",GOOGLETRANSLATE(A701,""en"",""fr""))"),"")</f>
        <v/>
      </c>
    </row>
    <row r="702" spans="2:2">
      <c r="B702" s="3" t="str">
        <f ca="1">IFERROR(__xludf.DUMMYFUNCTION("IF(ISBLANK(A702),"""",GOOGLETRANSLATE(A702,""en"",""fr""))"),"")</f>
        <v/>
      </c>
    </row>
    <row r="703" spans="2:2">
      <c r="B703" s="3" t="str">
        <f ca="1">IFERROR(__xludf.DUMMYFUNCTION("IF(ISBLANK(A703),"""",GOOGLETRANSLATE(A703,""en"",""fr""))"),"")</f>
        <v/>
      </c>
    </row>
    <row r="704" spans="2:2">
      <c r="B704" s="3" t="str">
        <f ca="1">IFERROR(__xludf.DUMMYFUNCTION("IF(ISBLANK(A704),"""",GOOGLETRANSLATE(A704,""en"",""fr""))"),"")</f>
        <v/>
      </c>
    </row>
    <row r="705" spans="2:2">
      <c r="B705" s="3" t="str">
        <f ca="1">IFERROR(__xludf.DUMMYFUNCTION("IF(ISBLANK(A705),"""",GOOGLETRANSLATE(A705,""en"",""fr""))"),"")</f>
        <v/>
      </c>
    </row>
    <row r="706" spans="2:2">
      <c r="B706" s="3" t="str">
        <f ca="1">IFERROR(__xludf.DUMMYFUNCTION("IF(ISBLANK(A706),"""",GOOGLETRANSLATE(A706,""en"",""fr""))"),"")</f>
        <v/>
      </c>
    </row>
    <row r="707" spans="2:2">
      <c r="B707" s="3" t="str">
        <f ca="1">IFERROR(__xludf.DUMMYFUNCTION("IF(ISBLANK(A707),"""",GOOGLETRANSLATE(A707,""en"",""fr""))"),"")</f>
        <v/>
      </c>
    </row>
    <row r="708" spans="2:2">
      <c r="B708" s="3" t="str">
        <f ca="1">IFERROR(__xludf.DUMMYFUNCTION("IF(ISBLANK(A708),"""",GOOGLETRANSLATE(A708,""en"",""fr""))"),"")</f>
        <v/>
      </c>
    </row>
    <row r="709" spans="2:2">
      <c r="B709" s="3" t="str">
        <f ca="1">IFERROR(__xludf.DUMMYFUNCTION("IF(ISBLANK(A709),"""",GOOGLETRANSLATE(A709,""en"",""fr""))"),"")</f>
        <v/>
      </c>
    </row>
    <row r="710" spans="2:2">
      <c r="B710" s="3" t="str">
        <f ca="1">IFERROR(__xludf.DUMMYFUNCTION("IF(ISBLANK(A710),"""",GOOGLETRANSLATE(A710,""en"",""fr""))"),"")</f>
        <v/>
      </c>
    </row>
    <row r="711" spans="2:2">
      <c r="B711" s="3" t="str">
        <f ca="1">IFERROR(__xludf.DUMMYFUNCTION("IF(ISBLANK(A711),"""",GOOGLETRANSLATE(A711,""en"",""fr""))"),"")</f>
        <v/>
      </c>
    </row>
    <row r="712" spans="2:2">
      <c r="B712" s="3" t="str">
        <f ca="1">IFERROR(__xludf.DUMMYFUNCTION("IF(ISBLANK(A712),"""",GOOGLETRANSLATE(A712,""en"",""fr""))"),"")</f>
        <v/>
      </c>
    </row>
    <row r="713" spans="2:2">
      <c r="B713" s="3" t="str">
        <f ca="1">IFERROR(__xludf.DUMMYFUNCTION("IF(ISBLANK(A713),"""",GOOGLETRANSLATE(A713,""en"",""fr""))"),"")</f>
        <v/>
      </c>
    </row>
    <row r="714" spans="2:2">
      <c r="B714" s="3" t="str">
        <f ca="1">IFERROR(__xludf.DUMMYFUNCTION("IF(ISBLANK(A714),"""",GOOGLETRANSLATE(A714,""en"",""fr""))"),"")</f>
        <v/>
      </c>
    </row>
    <row r="715" spans="2:2">
      <c r="B715" s="3" t="str">
        <f ca="1">IFERROR(__xludf.DUMMYFUNCTION("IF(ISBLANK(A715),"""",GOOGLETRANSLATE(A715,""en"",""fr""))"),"")</f>
        <v/>
      </c>
    </row>
    <row r="716" spans="2:2">
      <c r="B716" s="3" t="str">
        <f ca="1">IFERROR(__xludf.DUMMYFUNCTION("IF(ISBLANK(A716),"""",GOOGLETRANSLATE(A716,""en"",""fr""))"),"")</f>
        <v/>
      </c>
    </row>
    <row r="717" spans="2:2">
      <c r="B717" s="3" t="str">
        <f ca="1">IFERROR(__xludf.DUMMYFUNCTION("IF(ISBLANK(A717),"""",GOOGLETRANSLATE(A717,""en"",""fr""))"),"")</f>
        <v/>
      </c>
    </row>
    <row r="718" spans="2:2">
      <c r="B718" s="3" t="str">
        <f ca="1">IFERROR(__xludf.DUMMYFUNCTION("IF(ISBLANK(A718),"""",GOOGLETRANSLATE(A718,""en"",""fr""))"),"")</f>
        <v/>
      </c>
    </row>
    <row r="719" spans="2:2">
      <c r="B719" s="3" t="str">
        <f ca="1">IFERROR(__xludf.DUMMYFUNCTION("IF(ISBLANK(A719),"""",GOOGLETRANSLATE(A719,""en"",""fr""))"),"")</f>
        <v/>
      </c>
    </row>
    <row r="720" spans="2:2">
      <c r="B720" s="3" t="str">
        <f ca="1">IFERROR(__xludf.DUMMYFUNCTION("IF(ISBLANK(A720),"""",GOOGLETRANSLATE(A720,""en"",""fr""))"),"")</f>
        <v/>
      </c>
    </row>
    <row r="721" spans="2:2">
      <c r="B721" s="3" t="str">
        <f ca="1">IFERROR(__xludf.DUMMYFUNCTION("IF(ISBLANK(A721),"""",GOOGLETRANSLATE(A721,""en"",""fr""))"),"")</f>
        <v/>
      </c>
    </row>
    <row r="722" spans="2:2">
      <c r="B722" s="3" t="str">
        <f ca="1">IFERROR(__xludf.DUMMYFUNCTION("IF(ISBLANK(A722),"""",GOOGLETRANSLATE(A722,""en"",""fr""))"),"")</f>
        <v/>
      </c>
    </row>
    <row r="723" spans="2:2">
      <c r="B723" s="3" t="str">
        <f ca="1">IFERROR(__xludf.DUMMYFUNCTION("IF(ISBLANK(A723),"""",GOOGLETRANSLATE(A723,""en"",""fr""))"),"")</f>
        <v/>
      </c>
    </row>
    <row r="724" spans="2:2">
      <c r="B724" s="3" t="str">
        <f ca="1">IFERROR(__xludf.DUMMYFUNCTION("IF(ISBLANK(A724),"""",GOOGLETRANSLATE(A724,""en"",""fr""))"),"")</f>
        <v/>
      </c>
    </row>
    <row r="725" spans="2:2">
      <c r="B725" s="3" t="str">
        <f ca="1">IFERROR(__xludf.DUMMYFUNCTION("IF(ISBLANK(A725),"""",GOOGLETRANSLATE(A725,""en"",""fr""))"),"")</f>
        <v/>
      </c>
    </row>
    <row r="726" spans="2:2">
      <c r="B726" s="3" t="str">
        <f ca="1">IFERROR(__xludf.DUMMYFUNCTION("IF(ISBLANK(A726),"""",GOOGLETRANSLATE(A726,""en"",""fr""))"),"")</f>
        <v/>
      </c>
    </row>
    <row r="727" spans="2:2">
      <c r="B727" s="3" t="str">
        <f ca="1">IFERROR(__xludf.DUMMYFUNCTION("IF(ISBLANK(A727),"""",GOOGLETRANSLATE(A727,""en"",""fr""))"),"")</f>
        <v/>
      </c>
    </row>
    <row r="728" spans="2:2">
      <c r="B728" s="3" t="str">
        <f ca="1">IFERROR(__xludf.DUMMYFUNCTION("IF(ISBLANK(A728),"""",GOOGLETRANSLATE(A728,""en"",""fr""))"),"")</f>
        <v/>
      </c>
    </row>
    <row r="729" spans="2:2">
      <c r="B729" s="3" t="str">
        <f ca="1">IFERROR(__xludf.DUMMYFUNCTION("IF(ISBLANK(A729),"""",GOOGLETRANSLATE(A729,""en"",""fr""))"),"")</f>
        <v/>
      </c>
    </row>
    <row r="730" spans="2:2">
      <c r="B730" s="3" t="str">
        <f ca="1">IFERROR(__xludf.DUMMYFUNCTION("IF(ISBLANK(A730),"""",GOOGLETRANSLATE(A730,""en"",""fr""))"),"")</f>
        <v/>
      </c>
    </row>
    <row r="731" spans="2:2">
      <c r="B731" s="3" t="str">
        <f ca="1">IFERROR(__xludf.DUMMYFUNCTION("IF(ISBLANK(A731),"""",GOOGLETRANSLATE(A731,""en"",""fr""))"),"")</f>
        <v/>
      </c>
    </row>
    <row r="732" spans="2:2">
      <c r="B732" s="3" t="str">
        <f ca="1">IFERROR(__xludf.DUMMYFUNCTION("IF(ISBLANK(A732),"""",GOOGLETRANSLATE(A732,""en"",""fr""))"),"")</f>
        <v/>
      </c>
    </row>
    <row r="733" spans="2:2">
      <c r="B733" s="3" t="str">
        <f ca="1">IFERROR(__xludf.DUMMYFUNCTION("IF(ISBLANK(A733),"""",GOOGLETRANSLATE(A733,""en"",""fr""))"),"")</f>
        <v/>
      </c>
    </row>
    <row r="734" spans="2:2">
      <c r="B734" s="3" t="str">
        <f ca="1">IFERROR(__xludf.DUMMYFUNCTION("IF(ISBLANK(A734),"""",GOOGLETRANSLATE(A734,""en"",""fr""))"),"")</f>
        <v/>
      </c>
    </row>
    <row r="735" spans="2:2">
      <c r="B735" s="3" t="str">
        <f ca="1">IFERROR(__xludf.DUMMYFUNCTION("IF(ISBLANK(A735),"""",GOOGLETRANSLATE(A735,""en"",""fr""))"),"")</f>
        <v/>
      </c>
    </row>
    <row r="736" spans="2:2">
      <c r="B736" s="3" t="str">
        <f ca="1">IFERROR(__xludf.DUMMYFUNCTION("IF(ISBLANK(A736),"""",GOOGLETRANSLATE(A736,""en"",""fr""))"),"")</f>
        <v/>
      </c>
    </row>
    <row r="737" spans="2:2">
      <c r="B737" s="3" t="str">
        <f ca="1">IFERROR(__xludf.DUMMYFUNCTION("IF(ISBLANK(A737),"""",GOOGLETRANSLATE(A737,""en"",""fr""))"),"")</f>
        <v/>
      </c>
    </row>
    <row r="738" spans="2:2">
      <c r="B738" s="3" t="str">
        <f ca="1">IFERROR(__xludf.DUMMYFUNCTION("IF(ISBLANK(A738),"""",GOOGLETRANSLATE(A738,""en"",""fr""))"),"")</f>
        <v/>
      </c>
    </row>
    <row r="739" spans="2:2">
      <c r="B739" s="3" t="str">
        <f ca="1">IFERROR(__xludf.DUMMYFUNCTION("IF(ISBLANK(A739),"""",GOOGLETRANSLATE(A739,""en"",""fr""))"),"")</f>
        <v/>
      </c>
    </row>
    <row r="740" spans="2:2">
      <c r="B740" s="3" t="str">
        <f ca="1">IFERROR(__xludf.DUMMYFUNCTION("IF(ISBLANK(A740),"""",GOOGLETRANSLATE(A740,""en"",""fr""))"),"")</f>
        <v/>
      </c>
    </row>
    <row r="741" spans="2:2">
      <c r="B741" s="3" t="str">
        <f ca="1">IFERROR(__xludf.DUMMYFUNCTION("IF(ISBLANK(A741),"""",GOOGLETRANSLATE(A741,""en"",""fr""))"),"")</f>
        <v/>
      </c>
    </row>
    <row r="742" spans="2:2">
      <c r="B742" s="3" t="str">
        <f ca="1">IFERROR(__xludf.DUMMYFUNCTION("IF(ISBLANK(A742),"""",GOOGLETRANSLATE(A742,""en"",""fr""))"),"")</f>
        <v/>
      </c>
    </row>
    <row r="743" spans="2:2">
      <c r="B743" s="3" t="str">
        <f ca="1">IFERROR(__xludf.DUMMYFUNCTION("IF(ISBLANK(A743),"""",GOOGLETRANSLATE(A743,""en"",""fr""))"),"")</f>
        <v/>
      </c>
    </row>
    <row r="744" spans="2:2">
      <c r="B744" s="3" t="str">
        <f ca="1">IFERROR(__xludf.DUMMYFUNCTION("IF(ISBLANK(A744),"""",GOOGLETRANSLATE(A744,""en"",""fr""))"),"")</f>
        <v/>
      </c>
    </row>
    <row r="745" spans="2:2">
      <c r="B745" s="3" t="str">
        <f ca="1">IFERROR(__xludf.DUMMYFUNCTION("IF(ISBLANK(A745),"""",GOOGLETRANSLATE(A745,""en"",""fr""))"),"")</f>
        <v/>
      </c>
    </row>
    <row r="746" spans="2:2">
      <c r="B746" s="3" t="str">
        <f ca="1">IFERROR(__xludf.DUMMYFUNCTION("IF(ISBLANK(A746),"""",GOOGLETRANSLATE(A746,""en"",""fr""))"),"")</f>
        <v/>
      </c>
    </row>
    <row r="747" spans="2:2">
      <c r="B747" s="3" t="str">
        <f ca="1">IFERROR(__xludf.DUMMYFUNCTION("IF(ISBLANK(A747),"""",GOOGLETRANSLATE(A747,""en"",""fr""))"),"")</f>
        <v/>
      </c>
    </row>
    <row r="748" spans="2:2">
      <c r="B748" s="3" t="str">
        <f ca="1">IFERROR(__xludf.DUMMYFUNCTION("IF(ISBLANK(A748),"""",GOOGLETRANSLATE(A748,""en"",""fr""))"),"")</f>
        <v/>
      </c>
    </row>
    <row r="749" spans="2:2">
      <c r="B749" s="3" t="str">
        <f ca="1">IFERROR(__xludf.DUMMYFUNCTION("IF(ISBLANK(A749),"""",GOOGLETRANSLATE(A749,""en"",""fr""))"),"")</f>
        <v/>
      </c>
    </row>
    <row r="750" spans="2:2">
      <c r="B750" s="3" t="str">
        <f ca="1">IFERROR(__xludf.DUMMYFUNCTION("IF(ISBLANK(A750),"""",GOOGLETRANSLATE(A750,""en"",""fr""))"),"")</f>
        <v/>
      </c>
    </row>
    <row r="751" spans="2:2">
      <c r="B751" s="3" t="str">
        <f ca="1">IFERROR(__xludf.DUMMYFUNCTION("IF(ISBLANK(A751),"""",GOOGLETRANSLATE(A751,""en"",""fr""))"),"")</f>
        <v/>
      </c>
    </row>
    <row r="752" spans="2:2">
      <c r="B752" s="3" t="str">
        <f ca="1">IFERROR(__xludf.DUMMYFUNCTION("IF(ISBLANK(A752),"""",GOOGLETRANSLATE(A752,""en"",""fr""))"),"")</f>
        <v/>
      </c>
    </row>
    <row r="753" spans="2:2">
      <c r="B753" s="3" t="str">
        <f ca="1">IFERROR(__xludf.DUMMYFUNCTION("IF(ISBLANK(A753),"""",GOOGLETRANSLATE(A753,""en"",""fr""))"),"")</f>
        <v/>
      </c>
    </row>
    <row r="754" spans="2:2">
      <c r="B754" s="3" t="str">
        <f ca="1">IFERROR(__xludf.DUMMYFUNCTION("IF(ISBLANK(A754),"""",GOOGLETRANSLATE(A754,""en"",""fr""))"),"")</f>
        <v/>
      </c>
    </row>
    <row r="755" spans="2:2">
      <c r="B755" s="3" t="str">
        <f ca="1">IFERROR(__xludf.DUMMYFUNCTION("IF(ISBLANK(A755),"""",GOOGLETRANSLATE(A755,""en"",""fr""))"),"")</f>
        <v/>
      </c>
    </row>
    <row r="756" spans="2:2">
      <c r="B756" s="3" t="str">
        <f ca="1">IFERROR(__xludf.DUMMYFUNCTION("IF(ISBLANK(A756),"""",GOOGLETRANSLATE(A756,""en"",""fr""))"),"")</f>
        <v/>
      </c>
    </row>
    <row r="757" spans="2:2">
      <c r="B757" s="3" t="str">
        <f ca="1">IFERROR(__xludf.DUMMYFUNCTION("IF(ISBLANK(A757),"""",GOOGLETRANSLATE(A757,""en"",""fr""))"),"")</f>
        <v/>
      </c>
    </row>
    <row r="758" spans="2:2">
      <c r="B758" s="3" t="str">
        <f ca="1">IFERROR(__xludf.DUMMYFUNCTION("IF(ISBLANK(A758),"""",GOOGLETRANSLATE(A758,""en"",""fr""))"),"")</f>
        <v/>
      </c>
    </row>
    <row r="759" spans="2:2">
      <c r="B759" s="3" t="str">
        <f ca="1">IFERROR(__xludf.DUMMYFUNCTION("IF(ISBLANK(A759),"""",GOOGLETRANSLATE(A759,""en"",""fr""))"),"")</f>
        <v/>
      </c>
    </row>
    <row r="760" spans="2:2">
      <c r="B760" s="3" t="str">
        <f ca="1">IFERROR(__xludf.DUMMYFUNCTION("IF(ISBLANK(A760),"""",GOOGLETRANSLATE(A760,""en"",""fr""))"),"")</f>
        <v/>
      </c>
    </row>
    <row r="761" spans="2:2">
      <c r="B761" s="3" t="str">
        <f ca="1">IFERROR(__xludf.DUMMYFUNCTION("IF(ISBLANK(A761),"""",GOOGLETRANSLATE(A761,""en"",""fr""))"),"")</f>
        <v/>
      </c>
    </row>
    <row r="762" spans="2:2">
      <c r="B762" s="3" t="str">
        <f ca="1">IFERROR(__xludf.DUMMYFUNCTION("IF(ISBLANK(A762),"""",GOOGLETRANSLATE(A762,""en"",""fr""))"),"")</f>
        <v/>
      </c>
    </row>
    <row r="763" spans="2:2">
      <c r="B763" s="3" t="str">
        <f ca="1">IFERROR(__xludf.DUMMYFUNCTION("IF(ISBLANK(A763),"""",GOOGLETRANSLATE(A763,""en"",""fr""))"),"")</f>
        <v/>
      </c>
    </row>
    <row r="764" spans="2:2">
      <c r="B764" s="3" t="str">
        <f ca="1">IFERROR(__xludf.DUMMYFUNCTION("IF(ISBLANK(A764),"""",GOOGLETRANSLATE(A764,""en"",""fr""))"),"")</f>
        <v/>
      </c>
    </row>
    <row r="765" spans="2:2">
      <c r="B765" s="3" t="str">
        <f ca="1">IFERROR(__xludf.DUMMYFUNCTION("IF(ISBLANK(A765),"""",GOOGLETRANSLATE(A765,""en"",""fr""))"),"")</f>
        <v/>
      </c>
    </row>
    <row r="766" spans="2:2">
      <c r="B766" s="3" t="str">
        <f ca="1">IFERROR(__xludf.DUMMYFUNCTION("IF(ISBLANK(A766),"""",GOOGLETRANSLATE(A766,""en"",""fr""))"),"")</f>
        <v/>
      </c>
    </row>
    <row r="767" spans="2:2">
      <c r="B767" s="3" t="str">
        <f ca="1">IFERROR(__xludf.DUMMYFUNCTION("IF(ISBLANK(A767),"""",GOOGLETRANSLATE(A767,""en"",""fr""))"),"")</f>
        <v/>
      </c>
    </row>
    <row r="768" spans="2:2">
      <c r="B768" s="3" t="str">
        <f ca="1">IFERROR(__xludf.DUMMYFUNCTION("IF(ISBLANK(A768),"""",GOOGLETRANSLATE(A768,""en"",""fr""))"),"")</f>
        <v/>
      </c>
    </row>
    <row r="769" spans="2:2">
      <c r="B769" s="3" t="str">
        <f ca="1">IFERROR(__xludf.DUMMYFUNCTION("IF(ISBLANK(A769),"""",GOOGLETRANSLATE(A769,""en"",""fr""))"),"")</f>
        <v/>
      </c>
    </row>
    <row r="770" spans="2:2">
      <c r="B770" s="3" t="str">
        <f ca="1">IFERROR(__xludf.DUMMYFUNCTION("IF(ISBLANK(A770),"""",GOOGLETRANSLATE(A770,""en"",""fr""))"),"")</f>
        <v/>
      </c>
    </row>
    <row r="771" spans="2:2">
      <c r="B771" s="3" t="str">
        <f ca="1">IFERROR(__xludf.DUMMYFUNCTION("IF(ISBLANK(A771),"""",GOOGLETRANSLATE(A771,""en"",""fr""))"),"")</f>
        <v/>
      </c>
    </row>
    <row r="772" spans="2:2">
      <c r="B772" s="3" t="str">
        <f ca="1">IFERROR(__xludf.DUMMYFUNCTION("IF(ISBLANK(A772),"""",GOOGLETRANSLATE(A772,""en"",""fr""))"),"")</f>
        <v/>
      </c>
    </row>
    <row r="773" spans="2:2">
      <c r="B773" s="3" t="str">
        <f ca="1">IFERROR(__xludf.DUMMYFUNCTION("IF(ISBLANK(A773),"""",GOOGLETRANSLATE(A773,""en"",""fr""))"),"")</f>
        <v/>
      </c>
    </row>
    <row r="774" spans="2:2">
      <c r="B774" s="3" t="str">
        <f ca="1">IFERROR(__xludf.DUMMYFUNCTION("IF(ISBLANK(A774),"""",GOOGLETRANSLATE(A774,""en"",""fr""))"),"")</f>
        <v/>
      </c>
    </row>
    <row r="775" spans="2:2">
      <c r="B775" s="3" t="str">
        <f ca="1">IFERROR(__xludf.DUMMYFUNCTION("IF(ISBLANK(A775),"""",GOOGLETRANSLATE(A775,""en"",""fr""))"),"")</f>
        <v/>
      </c>
    </row>
    <row r="776" spans="2:2">
      <c r="B776" s="3" t="str">
        <f ca="1">IFERROR(__xludf.DUMMYFUNCTION("IF(ISBLANK(A776),"""",GOOGLETRANSLATE(A776,""en"",""fr""))"),"")</f>
        <v/>
      </c>
    </row>
    <row r="777" spans="2:2">
      <c r="B777" s="3" t="str">
        <f ca="1">IFERROR(__xludf.DUMMYFUNCTION("IF(ISBLANK(A777),"""",GOOGLETRANSLATE(A777,""en"",""fr""))"),"")</f>
        <v/>
      </c>
    </row>
    <row r="778" spans="2:2">
      <c r="B778" s="3" t="str">
        <f ca="1">IFERROR(__xludf.DUMMYFUNCTION("IF(ISBLANK(A778),"""",GOOGLETRANSLATE(A778,""en"",""fr""))"),"")</f>
        <v/>
      </c>
    </row>
    <row r="779" spans="2:2">
      <c r="B779" s="3" t="str">
        <f ca="1">IFERROR(__xludf.DUMMYFUNCTION("IF(ISBLANK(A779),"""",GOOGLETRANSLATE(A779,""en"",""fr""))"),"")</f>
        <v/>
      </c>
    </row>
    <row r="780" spans="2:2">
      <c r="B780" s="3" t="str">
        <f ca="1">IFERROR(__xludf.DUMMYFUNCTION("IF(ISBLANK(A780),"""",GOOGLETRANSLATE(A780,""en"",""fr""))"),"")</f>
        <v/>
      </c>
    </row>
    <row r="781" spans="2:2">
      <c r="B781" s="3" t="str">
        <f ca="1">IFERROR(__xludf.DUMMYFUNCTION("IF(ISBLANK(A781),"""",GOOGLETRANSLATE(A781,""en"",""fr""))"),"")</f>
        <v/>
      </c>
    </row>
    <row r="782" spans="2:2">
      <c r="B782" s="3" t="str">
        <f ca="1">IFERROR(__xludf.DUMMYFUNCTION("IF(ISBLANK(A782),"""",GOOGLETRANSLATE(A782,""en"",""fr""))"),"")</f>
        <v/>
      </c>
    </row>
    <row r="783" spans="2:2">
      <c r="B783" s="3" t="str">
        <f ca="1">IFERROR(__xludf.DUMMYFUNCTION("IF(ISBLANK(A783),"""",GOOGLETRANSLATE(A783,""en"",""fr""))"),"")</f>
        <v/>
      </c>
    </row>
    <row r="784" spans="2:2">
      <c r="B784" s="3" t="str">
        <f ca="1">IFERROR(__xludf.DUMMYFUNCTION("IF(ISBLANK(A784),"""",GOOGLETRANSLATE(A784,""en"",""fr""))"),"")</f>
        <v/>
      </c>
    </row>
    <row r="785" spans="2:2">
      <c r="B785" s="3" t="str">
        <f ca="1">IFERROR(__xludf.DUMMYFUNCTION("IF(ISBLANK(A785),"""",GOOGLETRANSLATE(A785,""en"",""fr""))"),"")</f>
        <v/>
      </c>
    </row>
    <row r="786" spans="2:2">
      <c r="B786" s="3" t="str">
        <f ca="1">IFERROR(__xludf.DUMMYFUNCTION("IF(ISBLANK(A786),"""",GOOGLETRANSLATE(A786,""en"",""fr""))"),"")</f>
        <v/>
      </c>
    </row>
    <row r="787" spans="2:2">
      <c r="B787" s="3" t="str">
        <f ca="1">IFERROR(__xludf.DUMMYFUNCTION("IF(ISBLANK(A787),"""",GOOGLETRANSLATE(A787,""en"",""fr""))"),"")</f>
        <v/>
      </c>
    </row>
    <row r="788" spans="2:2">
      <c r="B788" s="3" t="str">
        <f ca="1">IFERROR(__xludf.DUMMYFUNCTION("IF(ISBLANK(A788),"""",GOOGLETRANSLATE(A788,""en"",""fr""))"),"")</f>
        <v/>
      </c>
    </row>
    <row r="789" spans="2:2">
      <c r="B789" s="3" t="str">
        <f ca="1">IFERROR(__xludf.DUMMYFUNCTION("IF(ISBLANK(A789),"""",GOOGLETRANSLATE(A789,""en"",""fr""))"),"")</f>
        <v/>
      </c>
    </row>
    <row r="790" spans="2:2">
      <c r="B790" s="3" t="str">
        <f ca="1">IFERROR(__xludf.DUMMYFUNCTION("IF(ISBLANK(A790),"""",GOOGLETRANSLATE(A790,""en"",""fr""))"),"")</f>
        <v/>
      </c>
    </row>
    <row r="791" spans="2:2">
      <c r="B791" s="3" t="str">
        <f ca="1">IFERROR(__xludf.DUMMYFUNCTION("IF(ISBLANK(A791),"""",GOOGLETRANSLATE(A791,""en"",""fr""))"),"")</f>
        <v/>
      </c>
    </row>
    <row r="792" spans="2:2">
      <c r="B792" s="3" t="str">
        <f ca="1">IFERROR(__xludf.DUMMYFUNCTION("IF(ISBLANK(A792),"""",GOOGLETRANSLATE(A792,""en"",""fr""))"),"")</f>
        <v/>
      </c>
    </row>
    <row r="793" spans="2:2">
      <c r="B793" s="3" t="str">
        <f ca="1">IFERROR(__xludf.DUMMYFUNCTION("IF(ISBLANK(A793),"""",GOOGLETRANSLATE(A793,""en"",""fr""))"),"")</f>
        <v/>
      </c>
    </row>
    <row r="794" spans="2:2">
      <c r="B794" s="3" t="str">
        <f ca="1">IFERROR(__xludf.DUMMYFUNCTION("IF(ISBLANK(A794),"""",GOOGLETRANSLATE(A794,""en"",""fr""))"),"")</f>
        <v/>
      </c>
    </row>
    <row r="795" spans="2:2">
      <c r="B795" s="3" t="str">
        <f ca="1">IFERROR(__xludf.DUMMYFUNCTION("IF(ISBLANK(A795),"""",GOOGLETRANSLATE(A795,""en"",""fr""))"),"")</f>
        <v/>
      </c>
    </row>
    <row r="796" spans="2:2">
      <c r="B796" s="3" t="str">
        <f ca="1">IFERROR(__xludf.DUMMYFUNCTION("IF(ISBLANK(A796),"""",GOOGLETRANSLATE(A796,""en"",""fr""))"),"")</f>
        <v/>
      </c>
    </row>
    <row r="797" spans="2:2">
      <c r="B797" s="3" t="str">
        <f ca="1">IFERROR(__xludf.DUMMYFUNCTION("IF(ISBLANK(A797),"""",GOOGLETRANSLATE(A797,""en"",""fr""))"),"")</f>
        <v/>
      </c>
    </row>
    <row r="798" spans="2:2">
      <c r="B798" s="3" t="str">
        <f ca="1">IFERROR(__xludf.DUMMYFUNCTION("IF(ISBLANK(A798),"""",GOOGLETRANSLATE(A798,""en"",""fr""))"),"")</f>
        <v/>
      </c>
    </row>
    <row r="799" spans="2:2">
      <c r="B799" s="3" t="str">
        <f ca="1">IFERROR(__xludf.DUMMYFUNCTION("IF(ISBLANK(A799),"""",GOOGLETRANSLATE(A799,""en"",""fr""))"),"")</f>
        <v/>
      </c>
    </row>
    <row r="800" spans="2:2">
      <c r="B800" s="3" t="str">
        <f ca="1">IFERROR(__xludf.DUMMYFUNCTION("IF(ISBLANK(A800),"""",GOOGLETRANSLATE(A800,""en"",""fr""))"),"")</f>
        <v/>
      </c>
    </row>
    <row r="801" spans="2:2">
      <c r="B801" s="3" t="str">
        <f ca="1">IFERROR(__xludf.DUMMYFUNCTION("IF(ISBLANK(A801),"""",GOOGLETRANSLATE(A801,""en"",""fr""))"),"")</f>
        <v/>
      </c>
    </row>
    <row r="802" spans="2:2">
      <c r="B802" s="3" t="str">
        <f ca="1">IFERROR(__xludf.DUMMYFUNCTION("IF(ISBLANK(A802),"""",GOOGLETRANSLATE(A802,""en"",""fr""))"),"")</f>
        <v/>
      </c>
    </row>
    <row r="803" spans="2:2">
      <c r="B803" s="3" t="str">
        <f ca="1">IFERROR(__xludf.DUMMYFUNCTION("IF(ISBLANK(A803),"""",GOOGLETRANSLATE(A803,""en"",""fr""))"),"")</f>
        <v/>
      </c>
    </row>
    <row r="804" spans="2:2">
      <c r="B804" s="3" t="str">
        <f ca="1">IFERROR(__xludf.DUMMYFUNCTION("IF(ISBLANK(A804),"""",GOOGLETRANSLATE(A804,""en"",""fr""))"),"")</f>
        <v/>
      </c>
    </row>
    <row r="805" spans="2:2">
      <c r="B805" s="3" t="str">
        <f ca="1">IFERROR(__xludf.DUMMYFUNCTION("IF(ISBLANK(A805),"""",GOOGLETRANSLATE(A805,""en"",""fr""))"),"")</f>
        <v/>
      </c>
    </row>
    <row r="806" spans="2:2">
      <c r="B806" s="3" t="str">
        <f ca="1">IFERROR(__xludf.DUMMYFUNCTION("IF(ISBLANK(A806),"""",GOOGLETRANSLATE(A806,""en"",""fr""))"),"")</f>
        <v/>
      </c>
    </row>
    <row r="807" spans="2:2">
      <c r="B807" s="3" t="str">
        <f ca="1">IFERROR(__xludf.DUMMYFUNCTION("IF(ISBLANK(A807),"""",GOOGLETRANSLATE(A807,""en"",""fr""))"),"")</f>
        <v/>
      </c>
    </row>
    <row r="808" spans="2:2">
      <c r="B808" s="3" t="str">
        <f ca="1">IFERROR(__xludf.DUMMYFUNCTION("IF(ISBLANK(A808),"""",GOOGLETRANSLATE(A808,""en"",""fr""))"),"")</f>
        <v/>
      </c>
    </row>
    <row r="809" spans="2:2">
      <c r="B809" s="3" t="str">
        <f ca="1">IFERROR(__xludf.DUMMYFUNCTION("IF(ISBLANK(A809),"""",GOOGLETRANSLATE(A809,""en"",""fr""))"),"")</f>
        <v/>
      </c>
    </row>
    <row r="810" spans="2:2">
      <c r="B810" s="3" t="str">
        <f ca="1">IFERROR(__xludf.DUMMYFUNCTION("IF(ISBLANK(A810),"""",GOOGLETRANSLATE(A810,""en"",""fr""))"),"")</f>
        <v/>
      </c>
    </row>
    <row r="811" spans="2:2">
      <c r="B811" s="3" t="str">
        <f ca="1">IFERROR(__xludf.DUMMYFUNCTION("IF(ISBLANK(A811),"""",GOOGLETRANSLATE(A811,""en"",""fr""))"),"")</f>
        <v/>
      </c>
    </row>
    <row r="812" spans="2:2">
      <c r="B812" s="3" t="str">
        <f ca="1">IFERROR(__xludf.DUMMYFUNCTION("IF(ISBLANK(A812),"""",GOOGLETRANSLATE(A812,""en"",""fr""))"),"")</f>
        <v/>
      </c>
    </row>
    <row r="813" spans="2:2">
      <c r="B813" s="3" t="str">
        <f ca="1">IFERROR(__xludf.DUMMYFUNCTION("IF(ISBLANK(A813),"""",GOOGLETRANSLATE(A813,""en"",""fr""))"),"")</f>
        <v/>
      </c>
    </row>
    <row r="814" spans="2:2">
      <c r="B814" s="3" t="str">
        <f ca="1">IFERROR(__xludf.DUMMYFUNCTION("IF(ISBLANK(A814),"""",GOOGLETRANSLATE(A814,""en"",""fr""))"),"")</f>
        <v/>
      </c>
    </row>
    <row r="815" spans="2:2">
      <c r="B815" s="3" t="str">
        <f ca="1">IFERROR(__xludf.DUMMYFUNCTION("IF(ISBLANK(A815),"""",GOOGLETRANSLATE(A815,""en"",""fr""))"),"")</f>
        <v/>
      </c>
    </row>
    <row r="816" spans="2:2">
      <c r="B816" s="3" t="str">
        <f ca="1">IFERROR(__xludf.DUMMYFUNCTION("IF(ISBLANK(A816),"""",GOOGLETRANSLATE(A816,""en"",""fr""))"),"")</f>
        <v/>
      </c>
    </row>
    <row r="817" spans="2:2">
      <c r="B817" s="3" t="str">
        <f ca="1">IFERROR(__xludf.DUMMYFUNCTION("IF(ISBLANK(A817),"""",GOOGLETRANSLATE(A817,""en"",""fr""))"),"")</f>
        <v/>
      </c>
    </row>
    <row r="818" spans="2:2">
      <c r="B818" s="3" t="str">
        <f ca="1">IFERROR(__xludf.DUMMYFUNCTION("IF(ISBLANK(A818),"""",GOOGLETRANSLATE(A818,""en"",""fr""))"),"")</f>
        <v/>
      </c>
    </row>
    <row r="819" spans="2:2">
      <c r="B819" s="3" t="str">
        <f ca="1">IFERROR(__xludf.DUMMYFUNCTION("IF(ISBLANK(A819),"""",GOOGLETRANSLATE(A819,""en"",""fr""))"),"")</f>
        <v/>
      </c>
    </row>
    <row r="820" spans="2:2">
      <c r="B820" s="3" t="str">
        <f ca="1">IFERROR(__xludf.DUMMYFUNCTION("IF(ISBLANK(A820),"""",GOOGLETRANSLATE(A820,""en"",""fr""))"),"")</f>
        <v/>
      </c>
    </row>
    <row r="821" spans="2:2">
      <c r="B821" s="3" t="str">
        <f ca="1">IFERROR(__xludf.DUMMYFUNCTION("IF(ISBLANK(A821),"""",GOOGLETRANSLATE(A821,""en"",""fr""))"),"")</f>
        <v/>
      </c>
    </row>
    <row r="822" spans="2:2">
      <c r="B822" s="3" t="str">
        <f ca="1">IFERROR(__xludf.DUMMYFUNCTION("IF(ISBLANK(A822),"""",GOOGLETRANSLATE(A822,""en"",""fr""))"),"")</f>
        <v/>
      </c>
    </row>
    <row r="823" spans="2:2">
      <c r="B823" s="3" t="str">
        <f ca="1">IFERROR(__xludf.DUMMYFUNCTION("IF(ISBLANK(A823),"""",GOOGLETRANSLATE(A823,""en"",""fr""))"),"")</f>
        <v/>
      </c>
    </row>
    <row r="824" spans="2:2">
      <c r="B824" s="3" t="str">
        <f ca="1">IFERROR(__xludf.DUMMYFUNCTION("IF(ISBLANK(A824),"""",GOOGLETRANSLATE(A824,""en"",""fr""))"),"")</f>
        <v/>
      </c>
    </row>
    <row r="825" spans="2:2">
      <c r="B825" s="3" t="str">
        <f ca="1">IFERROR(__xludf.DUMMYFUNCTION("IF(ISBLANK(A825),"""",GOOGLETRANSLATE(A825,""en"",""fr""))"),"")</f>
        <v/>
      </c>
    </row>
    <row r="826" spans="2:2">
      <c r="B826" s="3" t="str">
        <f ca="1">IFERROR(__xludf.DUMMYFUNCTION("IF(ISBLANK(A826),"""",GOOGLETRANSLATE(A826,""en"",""fr""))"),"")</f>
        <v/>
      </c>
    </row>
    <row r="827" spans="2:2">
      <c r="B827" s="3" t="str">
        <f ca="1">IFERROR(__xludf.DUMMYFUNCTION("IF(ISBLANK(A827),"""",GOOGLETRANSLATE(A827,""en"",""fr""))"),"")</f>
        <v/>
      </c>
    </row>
    <row r="828" spans="2:2">
      <c r="B828" s="3" t="str">
        <f ca="1">IFERROR(__xludf.DUMMYFUNCTION("IF(ISBLANK(A828),"""",GOOGLETRANSLATE(A828,""en"",""fr""))"),"")</f>
        <v/>
      </c>
    </row>
    <row r="829" spans="2:2">
      <c r="B829" s="3" t="str">
        <f ca="1">IFERROR(__xludf.DUMMYFUNCTION("IF(ISBLANK(A829),"""",GOOGLETRANSLATE(A829,""en"",""fr""))"),"")</f>
        <v/>
      </c>
    </row>
    <row r="830" spans="2:2">
      <c r="B830" s="3" t="str">
        <f ca="1">IFERROR(__xludf.DUMMYFUNCTION("IF(ISBLANK(A830),"""",GOOGLETRANSLATE(A830,""en"",""fr""))"),"")</f>
        <v/>
      </c>
    </row>
    <row r="831" spans="2:2">
      <c r="B831" s="3" t="str">
        <f ca="1">IFERROR(__xludf.DUMMYFUNCTION("IF(ISBLANK(A831),"""",GOOGLETRANSLATE(A831,""en"",""fr""))"),"")</f>
        <v/>
      </c>
    </row>
    <row r="832" spans="2:2">
      <c r="B832" s="3" t="str">
        <f ca="1">IFERROR(__xludf.DUMMYFUNCTION("IF(ISBLANK(A832),"""",GOOGLETRANSLATE(A832,""en"",""fr""))"),"")</f>
        <v/>
      </c>
    </row>
    <row r="833" spans="2:2">
      <c r="B833" s="3" t="str">
        <f ca="1">IFERROR(__xludf.DUMMYFUNCTION("IF(ISBLANK(A833),"""",GOOGLETRANSLATE(A833,""en"",""fr""))"),"")</f>
        <v/>
      </c>
    </row>
    <row r="834" spans="2:2">
      <c r="B834" s="3" t="str">
        <f ca="1">IFERROR(__xludf.DUMMYFUNCTION("IF(ISBLANK(A834),"""",GOOGLETRANSLATE(A834,""en"",""fr""))"),"")</f>
        <v/>
      </c>
    </row>
    <row r="835" spans="2:2">
      <c r="B835" s="3" t="str">
        <f ca="1">IFERROR(__xludf.DUMMYFUNCTION("IF(ISBLANK(A835),"""",GOOGLETRANSLATE(A835,""en"",""fr""))"),"")</f>
        <v/>
      </c>
    </row>
    <row r="836" spans="2:2">
      <c r="B836" s="3" t="str">
        <f ca="1">IFERROR(__xludf.DUMMYFUNCTION("IF(ISBLANK(A836),"""",GOOGLETRANSLATE(A836,""en"",""fr""))"),"")</f>
        <v/>
      </c>
    </row>
    <row r="837" spans="2:2">
      <c r="B837" s="3" t="str">
        <f ca="1">IFERROR(__xludf.DUMMYFUNCTION("IF(ISBLANK(A837),"""",GOOGLETRANSLATE(A837,""en"",""fr""))"),"")</f>
        <v/>
      </c>
    </row>
    <row r="838" spans="2:2">
      <c r="B838" s="3" t="str">
        <f ca="1">IFERROR(__xludf.DUMMYFUNCTION("IF(ISBLANK(A838),"""",GOOGLETRANSLATE(A838,""en"",""fr""))"),"")</f>
        <v/>
      </c>
    </row>
    <row r="839" spans="2:2">
      <c r="B839" s="3" t="str">
        <f ca="1">IFERROR(__xludf.DUMMYFUNCTION("IF(ISBLANK(A839),"""",GOOGLETRANSLATE(A839,""en"",""fr""))"),"")</f>
        <v/>
      </c>
    </row>
    <row r="840" spans="2:2">
      <c r="B840" s="3" t="str">
        <f ca="1">IFERROR(__xludf.DUMMYFUNCTION("IF(ISBLANK(A840),"""",GOOGLETRANSLATE(A840,""en"",""fr""))"),"")</f>
        <v/>
      </c>
    </row>
    <row r="841" spans="2:2">
      <c r="B841" s="3" t="str">
        <f ca="1">IFERROR(__xludf.DUMMYFUNCTION("IF(ISBLANK(A841),"""",GOOGLETRANSLATE(A841,""en"",""fr""))"),"")</f>
        <v/>
      </c>
    </row>
    <row r="842" spans="2:2">
      <c r="B842" s="3" t="str">
        <f ca="1">IFERROR(__xludf.DUMMYFUNCTION("IF(ISBLANK(A842),"""",GOOGLETRANSLATE(A842,""en"",""fr""))"),"")</f>
        <v/>
      </c>
    </row>
    <row r="843" spans="2:2">
      <c r="B843" s="3" t="str">
        <f ca="1">IFERROR(__xludf.DUMMYFUNCTION("IF(ISBLANK(A843),"""",GOOGLETRANSLATE(A843,""en"",""fr""))"),"")</f>
        <v/>
      </c>
    </row>
    <row r="844" spans="2:2">
      <c r="B844" s="3" t="str">
        <f ca="1">IFERROR(__xludf.DUMMYFUNCTION("IF(ISBLANK(A844),"""",GOOGLETRANSLATE(A844,""en"",""fr""))"),"")</f>
        <v/>
      </c>
    </row>
    <row r="845" spans="2:2">
      <c r="B845" s="3" t="str">
        <f ca="1">IFERROR(__xludf.DUMMYFUNCTION("IF(ISBLANK(A845),"""",GOOGLETRANSLATE(A845,""en"",""fr""))"),"")</f>
        <v/>
      </c>
    </row>
    <row r="846" spans="2:2">
      <c r="B846" s="3" t="str">
        <f ca="1">IFERROR(__xludf.DUMMYFUNCTION("IF(ISBLANK(A846),"""",GOOGLETRANSLATE(A846,""en"",""fr""))"),"")</f>
        <v/>
      </c>
    </row>
    <row r="847" spans="2:2">
      <c r="B847" s="3" t="str">
        <f ca="1">IFERROR(__xludf.DUMMYFUNCTION("IF(ISBLANK(A847),"""",GOOGLETRANSLATE(A847,""en"",""fr""))"),"")</f>
        <v/>
      </c>
    </row>
    <row r="848" spans="2:2">
      <c r="B848" s="3" t="str">
        <f ca="1">IFERROR(__xludf.DUMMYFUNCTION("IF(ISBLANK(A848),"""",GOOGLETRANSLATE(A848,""en"",""fr""))"),"")</f>
        <v/>
      </c>
    </row>
    <row r="849" spans="2:2">
      <c r="B849" s="3" t="str">
        <f ca="1">IFERROR(__xludf.DUMMYFUNCTION("IF(ISBLANK(A849),"""",GOOGLETRANSLATE(A849,""en"",""fr""))"),"")</f>
        <v/>
      </c>
    </row>
    <row r="850" spans="2:2">
      <c r="B850" s="3" t="str">
        <f ca="1">IFERROR(__xludf.DUMMYFUNCTION("IF(ISBLANK(A850),"""",GOOGLETRANSLATE(A850,""en"",""fr""))"),"")</f>
        <v/>
      </c>
    </row>
    <row r="851" spans="2:2">
      <c r="B851" s="3" t="str">
        <f ca="1">IFERROR(__xludf.DUMMYFUNCTION("IF(ISBLANK(A851),"""",GOOGLETRANSLATE(A851,""en"",""fr""))"),"")</f>
        <v/>
      </c>
    </row>
    <row r="852" spans="2:2">
      <c r="B852" s="3" t="str">
        <f ca="1">IFERROR(__xludf.DUMMYFUNCTION("IF(ISBLANK(A852),"""",GOOGLETRANSLATE(A852,""en"",""fr""))"),"")</f>
        <v/>
      </c>
    </row>
    <row r="853" spans="2:2">
      <c r="B853" s="3" t="str">
        <f ca="1">IFERROR(__xludf.DUMMYFUNCTION("IF(ISBLANK(A853),"""",GOOGLETRANSLATE(A853,""en"",""fr""))"),"")</f>
        <v/>
      </c>
    </row>
    <row r="854" spans="2:2">
      <c r="B854" s="3" t="str">
        <f ca="1">IFERROR(__xludf.DUMMYFUNCTION("IF(ISBLANK(A854),"""",GOOGLETRANSLATE(A854,""en"",""fr""))"),"")</f>
        <v/>
      </c>
    </row>
    <row r="855" spans="2:2">
      <c r="B855" s="3" t="str">
        <f ca="1">IFERROR(__xludf.DUMMYFUNCTION("IF(ISBLANK(A855),"""",GOOGLETRANSLATE(A855,""en"",""fr""))"),"")</f>
        <v/>
      </c>
    </row>
    <row r="856" spans="2:2">
      <c r="B856" s="3" t="str">
        <f ca="1">IFERROR(__xludf.DUMMYFUNCTION("IF(ISBLANK(A856),"""",GOOGLETRANSLATE(A856,""en"",""fr""))"),"")</f>
        <v/>
      </c>
    </row>
    <row r="857" spans="2:2">
      <c r="B857" s="3" t="str">
        <f ca="1">IFERROR(__xludf.DUMMYFUNCTION("IF(ISBLANK(A857),"""",GOOGLETRANSLATE(A857,""en"",""fr""))"),"")</f>
        <v/>
      </c>
    </row>
    <row r="858" spans="2:2">
      <c r="B858" s="3" t="str">
        <f ca="1">IFERROR(__xludf.DUMMYFUNCTION("IF(ISBLANK(A858),"""",GOOGLETRANSLATE(A858,""en"",""fr""))"),"")</f>
        <v/>
      </c>
    </row>
    <row r="859" spans="2:2">
      <c r="B859" s="3" t="str">
        <f ca="1">IFERROR(__xludf.DUMMYFUNCTION("IF(ISBLANK(A859),"""",GOOGLETRANSLATE(A859,""en"",""fr""))"),"")</f>
        <v/>
      </c>
    </row>
    <row r="860" spans="2:2">
      <c r="B860" s="3" t="str">
        <f ca="1">IFERROR(__xludf.DUMMYFUNCTION("IF(ISBLANK(A860),"""",GOOGLETRANSLATE(A860,""en"",""fr""))"),"")</f>
        <v/>
      </c>
    </row>
    <row r="861" spans="2:2">
      <c r="B861" s="3" t="str">
        <f ca="1">IFERROR(__xludf.DUMMYFUNCTION("IF(ISBLANK(A861),"""",GOOGLETRANSLATE(A861,""en"",""fr""))"),"")</f>
        <v/>
      </c>
    </row>
    <row r="862" spans="2:2">
      <c r="B862" s="3" t="str">
        <f ca="1">IFERROR(__xludf.DUMMYFUNCTION("IF(ISBLANK(A862),"""",GOOGLETRANSLATE(A862,""en"",""fr""))"),"")</f>
        <v/>
      </c>
    </row>
    <row r="863" spans="2:2">
      <c r="B863" s="3" t="str">
        <f ca="1">IFERROR(__xludf.DUMMYFUNCTION("IF(ISBLANK(A863),"""",GOOGLETRANSLATE(A863,""en"",""fr""))"),"")</f>
        <v/>
      </c>
    </row>
    <row r="864" spans="2:2">
      <c r="B864" s="3" t="str">
        <f ca="1">IFERROR(__xludf.DUMMYFUNCTION("IF(ISBLANK(A864),"""",GOOGLETRANSLATE(A864,""en"",""fr""))"),"")</f>
        <v/>
      </c>
    </row>
    <row r="865" spans="2:2">
      <c r="B865" s="3" t="str">
        <f ca="1">IFERROR(__xludf.DUMMYFUNCTION("IF(ISBLANK(A865),"""",GOOGLETRANSLATE(A865,""en"",""fr""))"),"")</f>
        <v/>
      </c>
    </row>
    <row r="866" spans="2:2">
      <c r="B866" s="3" t="str">
        <f ca="1">IFERROR(__xludf.DUMMYFUNCTION("IF(ISBLANK(A866),"""",GOOGLETRANSLATE(A866,""en"",""fr""))"),"")</f>
        <v/>
      </c>
    </row>
    <row r="867" spans="2:2">
      <c r="B867" s="3" t="str">
        <f ca="1">IFERROR(__xludf.DUMMYFUNCTION("IF(ISBLANK(A867),"""",GOOGLETRANSLATE(A867,""en"",""fr""))"),"")</f>
        <v/>
      </c>
    </row>
    <row r="868" spans="2:2">
      <c r="B868" s="3" t="str">
        <f ca="1">IFERROR(__xludf.DUMMYFUNCTION("IF(ISBLANK(A868),"""",GOOGLETRANSLATE(A868,""en"",""fr""))"),"")</f>
        <v/>
      </c>
    </row>
    <row r="869" spans="2:2">
      <c r="B869" s="3" t="str">
        <f ca="1">IFERROR(__xludf.DUMMYFUNCTION("IF(ISBLANK(A869),"""",GOOGLETRANSLATE(A869,""en"",""fr""))"),"")</f>
        <v/>
      </c>
    </row>
    <row r="870" spans="2:2">
      <c r="B870" s="3" t="str">
        <f ca="1">IFERROR(__xludf.DUMMYFUNCTION("IF(ISBLANK(A870),"""",GOOGLETRANSLATE(A870,""en"",""fr""))"),"")</f>
        <v/>
      </c>
    </row>
    <row r="871" spans="2:2">
      <c r="B871" s="3" t="str">
        <f ca="1">IFERROR(__xludf.DUMMYFUNCTION("IF(ISBLANK(A871),"""",GOOGLETRANSLATE(A871,""en"",""fr""))"),"")</f>
        <v/>
      </c>
    </row>
    <row r="872" spans="2:2">
      <c r="B872" s="3" t="str">
        <f ca="1">IFERROR(__xludf.DUMMYFUNCTION("IF(ISBLANK(A872),"""",GOOGLETRANSLATE(A872,""en"",""fr""))"),"")</f>
        <v/>
      </c>
    </row>
    <row r="873" spans="2:2">
      <c r="B873" s="3" t="str">
        <f ca="1">IFERROR(__xludf.DUMMYFUNCTION("IF(ISBLANK(A873),"""",GOOGLETRANSLATE(A873,""en"",""fr""))"),"")</f>
        <v/>
      </c>
    </row>
    <row r="874" spans="2:2">
      <c r="B874" s="3" t="str">
        <f ca="1">IFERROR(__xludf.DUMMYFUNCTION("IF(ISBLANK(A874),"""",GOOGLETRANSLATE(A874,""en"",""fr""))"),"")</f>
        <v/>
      </c>
    </row>
    <row r="875" spans="2:2">
      <c r="B875" s="3" t="str">
        <f ca="1">IFERROR(__xludf.DUMMYFUNCTION("IF(ISBLANK(A875),"""",GOOGLETRANSLATE(A875,""en"",""fr""))"),"")</f>
        <v/>
      </c>
    </row>
    <row r="876" spans="2:2">
      <c r="B876" s="3" t="str">
        <f ca="1">IFERROR(__xludf.DUMMYFUNCTION("IF(ISBLANK(A876),"""",GOOGLETRANSLATE(A876,""en"",""fr""))"),"")</f>
        <v/>
      </c>
    </row>
    <row r="877" spans="2:2">
      <c r="B877" s="3" t="str">
        <f ca="1">IFERROR(__xludf.DUMMYFUNCTION("IF(ISBLANK(A877),"""",GOOGLETRANSLATE(A877,""en"",""fr""))"),"")</f>
        <v/>
      </c>
    </row>
    <row r="878" spans="2:2">
      <c r="B878" s="3" t="str">
        <f ca="1">IFERROR(__xludf.DUMMYFUNCTION("IF(ISBLANK(A878),"""",GOOGLETRANSLATE(A878,""en"",""fr""))"),"")</f>
        <v/>
      </c>
    </row>
    <row r="879" spans="2:2">
      <c r="B879" s="3" t="str">
        <f ca="1">IFERROR(__xludf.DUMMYFUNCTION("IF(ISBLANK(A879),"""",GOOGLETRANSLATE(A879,""en"",""fr""))"),"")</f>
        <v/>
      </c>
    </row>
    <row r="880" spans="2:2">
      <c r="B880" s="3" t="str">
        <f ca="1">IFERROR(__xludf.DUMMYFUNCTION("IF(ISBLANK(A880),"""",GOOGLETRANSLATE(A880,""en"",""fr""))"),"")</f>
        <v/>
      </c>
    </row>
    <row r="881" spans="2:2">
      <c r="B881" s="3" t="str">
        <f ca="1">IFERROR(__xludf.DUMMYFUNCTION("IF(ISBLANK(A881),"""",GOOGLETRANSLATE(A881,""en"",""fr""))"),"")</f>
        <v/>
      </c>
    </row>
    <row r="882" spans="2:2">
      <c r="B882" s="3" t="str">
        <f ca="1">IFERROR(__xludf.DUMMYFUNCTION("IF(ISBLANK(A882),"""",GOOGLETRANSLATE(A882,""en"",""fr""))"),"")</f>
        <v/>
      </c>
    </row>
    <row r="883" spans="2:2">
      <c r="B883" s="3" t="str">
        <f ca="1">IFERROR(__xludf.DUMMYFUNCTION("IF(ISBLANK(A883),"""",GOOGLETRANSLATE(A883,""en"",""fr""))"),"")</f>
        <v/>
      </c>
    </row>
    <row r="884" spans="2:2">
      <c r="B884" s="3" t="str">
        <f ca="1">IFERROR(__xludf.DUMMYFUNCTION("IF(ISBLANK(A884),"""",GOOGLETRANSLATE(A884,""en"",""fr""))"),"")</f>
        <v/>
      </c>
    </row>
    <row r="885" spans="2:2">
      <c r="B885" s="3" t="str">
        <f ca="1">IFERROR(__xludf.DUMMYFUNCTION("IF(ISBLANK(A885),"""",GOOGLETRANSLATE(A885,""en"",""fr""))"),"")</f>
        <v/>
      </c>
    </row>
    <row r="886" spans="2:2">
      <c r="B886" s="3" t="str">
        <f ca="1">IFERROR(__xludf.DUMMYFUNCTION("IF(ISBLANK(A886),"""",GOOGLETRANSLATE(A886,""en"",""fr""))"),"")</f>
        <v/>
      </c>
    </row>
    <row r="887" spans="2:2">
      <c r="B887" s="3" t="str">
        <f ca="1">IFERROR(__xludf.DUMMYFUNCTION("IF(ISBLANK(A887),"""",GOOGLETRANSLATE(A887,""en"",""fr""))"),"")</f>
        <v/>
      </c>
    </row>
    <row r="888" spans="2:2">
      <c r="B888" s="3" t="str">
        <f ca="1">IFERROR(__xludf.DUMMYFUNCTION("IF(ISBLANK(A888),"""",GOOGLETRANSLATE(A888,""en"",""fr""))"),"")</f>
        <v/>
      </c>
    </row>
    <row r="889" spans="2:2">
      <c r="B889" s="3" t="str">
        <f ca="1">IFERROR(__xludf.DUMMYFUNCTION("IF(ISBLANK(A889),"""",GOOGLETRANSLATE(A889,""en"",""fr""))"),"")</f>
        <v/>
      </c>
    </row>
    <row r="890" spans="2:2">
      <c r="B890" s="3" t="str">
        <f ca="1">IFERROR(__xludf.DUMMYFUNCTION("IF(ISBLANK(A890),"""",GOOGLETRANSLATE(A890,""en"",""fr""))"),"")</f>
        <v/>
      </c>
    </row>
    <row r="891" spans="2:2">
      <c r="B891" s="3" t="str">
        <f ca="1">IFERROR(__xludf.DUMMYFUNCTION("IF(ISBLANK(A891),"""",GOOGLETRANSLATE(A891,""en"",""fr""))"),"")</f>
        <v/>
      </c>
    </row>
    <row r="892" spans="2:2">
      <c r="B892" s="3" t="str">
        <f ca="1">IFERROR(__xludf.DUMMYFUNCTION("IF(ISBLANK(A892),"""",GOOGLETRANSLATE(A892,""en"",""fr""))"),"")</f>
        <v/>
      </c>
    </row>
    <row r="893" spans="2:2">
      <c r="B893" s="3" t="str">
        <f ca="1">IFERROR(__xludf.DUMMYFUNCTION("IF(ISBLANK(A893),"""",GOOGLETRANSLATE(A893,""en"",""fr""))"),"")</f>
        <v/>
      </c>
    </row>
    <row r="894" spans="2:2">
      <c r="B894" s="3" t="str">
        <f ca="1">IFERROR(__xludf.DUMMYFUNCTION("IF(ISBLANK(A894),"""",GOOGLETRANSLATE(A894,""en"",""fr""))"),"")</f>
        <v/>
      </c>
    </row>
    <row r="895" spans="2:2">
      <c r="B895" s="3" t="str">
        <f ca="1">IFERROR(__xludf.DUMMYFUNCTION("IF(ISBLANK(A895),"""",GOOGLETRANSLATE(A895,""en"",""fr""))"),"")</f>
        <v/>
      </c>
    </row>
    <row r="896" spans="2:2">
      <c r="B896" s="3" t="str">
        <f ca="1">IFERROR(__xludf.DUMMYFUNCTION("IF(ISBLANK(A896),"""",GOOGLETRANSLATE(A896,""en"",""fr""))"),"")</f>
        <v/>
      </c>
    </row>
    <row r="897" spans="2:2">
      <c r="B897" s="3" t="str">
        <f ca="1">IFERROR(__xludf.DUMMYFUNCTION("IF(ISBLANK(A897),"""",GOOGLETRANSLATE(A897,""en"",""fr""))"),"")</f>
        <v/>
      </c>
    </row>
    <row r="898" spans="2:2">
      <c r="B898" s="3" t="str">
        <f ca="1">IFERROR(__xludf.DUMMYFUNCTION("IF(ISBLANK(A898),"""",GOOGLETRANSLATE(A898,""en"",""fr""))"),"")</f>
        <v/>
      </c>
    </row>
    <row r="899" spans="2:2">
      <c r="B899" s="3" t="str">
        <f ca="1">IFERROR(__xludf.DUMMYFUNCTION("IF(ISBLANK(A899),"""",GOOGLETRANSLATE(A899,""en"",""fr""))"),"")</f>
        <v/>
      </c>
    </row>
    <row r="900" spans="2:2">
      <c r="B900" s="3" t="str">
        <f ca="1">IFERROR(__xludf.DUMMYFUNCTION("IF(ISBLANK(A900),"""",GOOGLETRANSLATE(A900,""en"",""fr""))"),"")</f>
        <v/>
      </c>
    </row>
    <row r="901" spans="2:2">
      <c r="B901" s="3" t="str">
        <f ca="1">IFERROR(__xludf.DUMMYFUNCTION("IF(ISBLANK(A901),"""",GOOGLETRANSLATE(A901,""en"",""fr""))"),"")</f>
        <v/>
      </c>
    </row>
    <row r="902" spans="2:2">
      <c r="B902" s="3" t="str">
        <f ca="1">IFERROR(__xludf.DUMMYFUNCTION("IF(ISBLANK(A902),"""",GOOGLETRANSLATE(A902,""en"",""fr""))"),"")</f>
        <v/>
      </c>
    </row>
    <row r="903" spans="2:2">
      <c r="B903" s="3" t="str">
        <f ca="1">IFERROR(__xludf.DUMMYFUNCTION("IF(ISBLANK(A903),"""",GOOGLETRANSLATE(A903,""en"",""fr""))"),"")</f>
        <v/>
      </c>
    </row>
    <row r="904" spans="2:2">
      <c r="B904" s="3" t="str">
        <f ca="1">IFERROR(__xludf.DUMMYFUNCTION("IF(ISBLANK(A904),"""",GOOGLETRANSLATE(A904,""en"",""fr""))"),"")</f>
        <v/>
      </c>
    </row>
    <row r="905" spans="2:2">
      <c r="B905" s="3" t="str">
        <f ca="1">IFERROR(__xludf.DUMMYFUNCTION("IF(ISBLANK(A905),"""",GOOGLETRANSLATE(A905,""en"",""fr""))"),"")</f>
        <v/>
      </c>
    </row>
    <row r="906" spans="2:2">
      <c r="B906" s="3" t="str">
        <f ca="1">IFERROR(__xludf.DUMMYFUNCTION("IF(ISBLANK(A906),"""",GOOGLETRANSLATE(A906,""en"",""fr""))"),"")</f>
        <v/>
      </c>
    </row>
    <row r="907" spans="2:2">
      <c r="B907" s="3" t="str">
        <f ca="1">IFERROR(__xludf.DUMMYFUNCTION("IF(ISBLANK(A907),"""",GOOGLETRANSLATE(A907,""en"",""fr""))"),"")</f>
        <v/>
      </c>
    </row>
    <row r="908" spans="2:2">
      <c r="B908" s="3" t="str">
        <f ca="1">IFERROR(__xludf.DUMMYFUNCTION("IF(ISBLANK(A908),"""",GOOGLETRANSLATE(A908,""en"",""fr""))"),"")</f>
        <v/>
      </c>
    </row>
    <row r="909" spans="2:2">
      <c r="B909" s="3" t="str">
        <f ca="1">IFERROR(__xludf.DUMMYFUNCTION("IF(ISBLANK(A909),"""",GOOGLETRANSLATE(A909,""en"",""fr""))"),"")</f>
        <v/>
      </c>
    </row>
    <row r="910" spans="2:2">
      <c r="B910" s="3" t="str">
        <f ca="1">IFERROR(__xludf.DUMMYFUNCTION("IF(ISBLANK(A910),"""",GOOGLETRANSLATE(A910,""en"",""fr""))"),"")</f>
        <v/>
      </c>
    </row>
    <row r="911" spans="2:2">
      <c r="B911" s="3" t="str">
        <f ca="1">IFERROR(__xludf.DUMMYFUNCTION("IF(ISBLANK(A911),"""",GOOGLETRANSLATE(A911,""en"",""fr""))"),"")</f>
        <v/>
      </c>
    </row>
    <row r="912" spans="2:2">
      <c r="B912" s="3" t="str">
        <f ca="1">IFERROR(__xludf.DUMMYFUNCTION("IF(ISBLANK(A912),"""",GOOGLETRANSLATE(A912,""en"",""fr""))"),"")</f>
        <v/>
      </c>
    </row>
    <row r="913" spans="2:2">
      <c r="B913" s="3" t="str">
        <f ca="1">IFERROR(__xludf.DUMMYFUNCTION("IF(ISBLANK(A913),"""",GOOGLETRANSLATE(A913,""en"",""fr""))"),"")</f>
        <v/>
      </c>
    </row>
    <row r="914" spans="2:2">
      <c r="B914" s="3" t="str">
        <f ca="1">IFERROR(__xludf.DUMMYFUNCTION("IF(ISBLANK(A914),"""",GOOGLETRANSLATE(A914,""en"",""fr""))"),"")</f>
        <v/>
      </c>
    </row>
    <row r="915" spans="2:2">
      <c r="B915" s="3" t="str">
        <f ca="1">IFERROR(__xludf.DUMMYFUNCTION("IF(ISBLANK(A915),"""",GOOGLETRANSLATE(A915,""en"",""fr""))"),"")</f>
        <v/>
      </c>
    </row>
    <row r="916" spans="2:2">
      <c r="B916" s="3" t="str">
        <f ca="1">IFERROR(__xludf.DUMMYFUNCTION("IF(ISBLANK(A916),"""",GOOGLETRANSLATE(A916,""en"",""fr""))"),"")</f>
        <v/>
      </c>
    </row>
    <row r="917" spans="2:2">
      <c r="B917" s="3" t="str">
        <f ca="1">IFERROR(__xludf.DUMMYFUNCTION("IF(ISBLANK(A917),"""",GOOGLETRANSLATE(A917,""en"",""fr""))"),"")</f>
        <v/>
      </c>
    </row>
    <row r="918" spans="2:2">
      <c r="B918" s="3" t="str">
        <f ca="1">IFERROR(__xludf.DUMMYFUNCTION("IF(ISBLANK(A918),"""",GOOGLETRANSLATE(A918,""en"",""fr""))"),"")</f>
        <v/>
      </c>
    </row>
    <row r="919" spans="2:2">
      <c r="B919" s="3" t="str">
        <f ca="1">IFERROR(__xludf.DUMMYFUNCTION("IF(ISBLANK(A919),"""",GOOGLETRANSLATE(A919,""en"",""fr""))"),"")</f>
        <v/>
      </c>
    </row>
    <row r="920" spans="2:2">
      <c r="B920" s="3" t="str">
        <f ca="1">IFERROR(__xludf.DUMMYFUNCTION("IF(ISBLANK(A920),"""",GOOGLETRANSLATE(A920,""en"",""fr""))"),"")</f>
        <v/>
      </c>
    </row>
    <row r="921" spans="2:2">
      <c r="B921" s="3" t="str">
        <f ca="1">IFERROR(__xludf.DUMMYFUNCTION("IF(ISBLANK(A921),"""",GOOGLETRANSLATE(A921,""en"",""fr""))"),"")</f>
        <v/>
      </c>
    </row>
    <row r="922" spans="2:2">
      <c r="B922" s="3" t="str">
        <f ca="1">IFERROR(__xludf.DUMMYFUNCTION("IF(ISBLANK(A922),"""",GOOGLETRANSLATE(A922,""en"",""fr""))"),"")</f>
        <v/>
      </c>
    </row>
    <row r="923" spans="2:2">
      <c r="B923" s="3" t="str">
        <f ca="1">IFERROR(__xludf.DUMMYFUNCTION("IF(ISBLANK(A923),"""",GOOGLETRANSLATE(A923,""en"",""fr""))"),"")</f>
        <v/>
      </c>
    </row>
    <row r="924" spans="2:2">
      <c r="B924" s="3" t="str">
        <f ca="1">IFERROR(__xludf.DUMMYFUNCTION("IF(ISBLANK(A924),"""",GOOGLETRANSLATE(A924,""en"",""fr""))"),"")</f>
        <v/>
      </c>
    </row>
    <row r="925" spans="2:2">
      <c r="B925" s="3" t="str">
        <f ca="1">IFERROR(__xludf.DUMMYFUNCTION("IF(ISBLANK(A925),"""",GOOGLETRANSLATE(A925,""en"",""fr""))"),"")</f>
        <v/>
      </c>
    </row>
    <row r="926" spans="2:2">
      <c r="B926" s="3" t="str">
        <f ca="1">IFERROR(__xludf.DUMMYFUNCTION("IF(ISBLANK(A926),"""",GOOGLETRANSLATE(A926,""en"",""fr""))"),"")</f>
        <v/>
      </c>
    </row>
    <row r="927" spans="2:2">
      <c r="B927" s="3" t="str">
        <f ca="1">IFERROR(__xludf.DUMMYFUNCTION("IF(ISBLANK(A927),"""",GOOGLETRANSLATE(A927,""en"",""fr""))"),"")</f>
        <v/>
      </c>
    </row>
    <row r="928" spans="2:2">
      <c r="B928" s="3" t="str">
        <f ca="1">IFERROR(__xludf.DUMMYFUNCTION("IF(ISBLANK(A928),"""",GOOGLETRANSLATE(A928,""en"",""fr""))"),"")</f>
        <v/>
      </c>
    </row>
    <row r="929" spans="2:2">
      <c r="B929" s="3" t="str">
        <f ca="1">IFERROR(__xludf.DUMMYFUNCTION("IF(ISBLANK(A929),"""",GOOGLETRANSLATE(A929,""en"",""fr""))"),"")</f>
        <v/>
      </c>
    </row>
    <row r="930" spans="2:2">
      <c r="B930" s="3" t="str">
        <f ca="1">IFERROR(__xludf.DUMMYFUNCTION("IF(ISBLANK(A930),"""",GOOGLETRANSLATE(A930,""en"",""fr""))"),"")</f>
        <v/>
      </c>
    </row>
    <row r="931" spans="2:2">
      <c r="B931" s="3" t="str">
        <f ca="1">IFERROR(__xludf.DUMMYFUNCTION("IF(ISBLANK(A931),"""",GOOGLETRANSLATE(A931,""en"",""fr""))"),"")</f>
        <v/>
      </c>
    </row>
    <row r="932" spans="2:2">
      <c r="B932" s="3" t="str">
        <f ca="1">IFERROR(__xludf.DUMMYFUNCTION("IF(ISBLANK(A932),"""",GOOGLETRANSLATE(A932,""en"",""fr""))"),"")</f>
        <v/>
      </c>
    </row>
    <row r="933" spans="2:2">
      <c r="B933" s="3" t="str">
        <f ca="1">IFERROR(__xludf.DUMMYFUNCTION("IF(ISBLANK(A933),"""",GOOGLETRANSLATE(A933,""en"",""fr""))"),"")</f>
        <v/>
      </c>
    </row>
    <row r="934" spans="2:2">
      <c r="B934" s="3" t="str">
        <f ca="1">IFERROR(__xludf.DUMMYFUNCTION("IF(ISBLANK(A934),"""",GOOGLETRANSLATE(A934,""en"",""fr""))"),"")</f>
        <v/>
      </c>
    </row>
    <row r="935" spans="2:2">
      <c r="B935" s="3" t="str">
        <f ca="1">IFERROR(__xludf.DUMMYFUNCTION("IF(ISBLANK(A935),"""",GOOGLETRANSLATE(A935,""en"",""fr""))"),"")</f>
        <v/>
      </c>
    </row>
    <row r="936" spans="2:2">
      <c r="B936" s="3" t="str">
        <f ca="1">IFERROR(__xludf.DUMMYFUNCTION("IF(ISBLANK(A936),"""",GOOGLETRANSLATE(A936,""en"",""fr""))"),"")</f>
        <v/>
      </c>
    </row>
    <row r="937" spans="2:2">
      <c r="B937" s="3" t="str">
        <f ca="1">IFERROR(__xludf.DUMMYFUNCTION("IF(ISBLANK(A937),"""",GOOGLETRANSLATE(A937,""en"",""fr""))"),"")</f>
        <v/>
      </c>
    </row>
    <row r="938" spans="2:2">
      <c r="B938" s="3" t="str">
        <f ca="1">IFERROR(__xludf.DUMMYFUNCTION("IF(ISBLANK(A938),"""",GOOGLETRANSLATE(A938,""en"",""fr""))"),"")</f>
        <v/>
      </c>
    </row>
    <row r="939" spans="2:2">
      <c r="B939" s="3" t="str">
        <f ca="1">IFERROR(__xludf.DUMMYFUNCTION("IF(ISBLANK(A939),"""",GOOGLETRANSLATE(A939,""en"",""fr""))"),"")</f>
        <v/>
      </c>
    </row>
    <row r="940" spans="2:2">
      <c r="B940" s="3" t="str">
        <f ca="1">IFERROR(__xludf.DUMMYFUNCTION("IF(ISBLANK(A940),"""",GOOGLETRANSLATE(A940,""en"",""fr""))"),"")</f>
        <v/>
      </c>
    </row>
    <row r="941" spans="2:2">
      <c r="B941" s="3" t="str">
        <f ca="1">IFERROR(__xludf.DUMMYFUNCTION("IF(ISBLANK(A941),"""",GOOGLETRANSLATE(A941,""en"",""fr""))"),"")</f>
        <v/>
      </c>
    </row>
    <row r="942" spans="2:2">
      <c r="B942" s="3" t="str">
        <f ca="1">IFERROR(__xludf.DUMMYFUNCTION("IF(ISBLANK(A942),"""",GOOGLETRANSLATE(A942,""en"",""fr""))"),"")</f>
        <v/>
      </c>
    </row>
    <row r="943" spans="2:2">
      <c r="B943" s="3" t="str">
        <f ca="1">IFERROR(__xludf.DUMMYFUNCTION("IF(ISBLANK(A943),"""",GOOGLETRANSLATE(A943,""en"",""fr""))"),"")</f>
        <v/>
      </c>
    </row>
    <row r="944" spans="2:2">
      <c r="B944" s="3" t="str">
        <f ca="1">IFERROR(__xludf.DUMMYFUNCTION("IF(ISBLANK(A944),"""",GOOGLETRANSLATE(A944,""en"",""fr""))"),"")</f>
        <v/>
      </c>
    </row>
    <row r="945" spans="2:2">
      <c r="B945" s="3" t="str">
        <f ca="1">IFERROR(__xludf.DUMMYFUNCTION("IF(ISBLANK(A945),"""",GOOGLETRANSLATE(A945,""en"",""fr""))"),"")</f>
        <v/>
      </c>
    </row>
    <row r="946" spans="2:2">
      <c r="B946" s="3" t="str">
        <f ca="1">IFERROR(__xludf.DUMMYFUNCTION("IF(ISBLANK(A946),"""",GOOGLETRANSLATE(A946,""en"",""fr""))"),"")</f>
        <v/>
      </c>
    </row>
    <row r="947" spans="2:2">
      <c r="B947" s="3" t="str">
        <f ca="1">IFERROR(__xludf.DUMMYFUNCTION("IF(ISBLANK(A947),"""",GOOGLETRANSLATE(A947,""en"",""fr""))"),"")</f>
        <v/>
      </c>
    </row>
    <row r="948" spans="2:2">
      <c r="B948" s="3" t="str">
        <f ca="1">IFERROR(__xludf.DUMMYFUNCTION("IF(ISBLANK(A948),"""",GOOGLETRANSLATE(A948,""en"",""fr""))"),"")</f>
        <v/>
      </c>
    </row>
    <row r="949" spans="2:2">
      <c r="B949" s="3" t="str">
        <f ca="1">IFERROR(__xludf.DUMMYFUNCTION("IF(ISBLANK(A949),"""",GOOGLETRANSLATE(A949,""en"",""fr""))"),"")</f>
        <v/>
      </c>
    </row>
    <row r="950" spans="2:2">
      <c r="B950" s="3" t="str">
        <f ca="1">IFERROR(__xludf.DUMMYFUNCTION("IF(ISBLANK(A950),"""",GOOGLETRANSLATE(A950,""en"",""fr""))"),"")</f>
        <v/>
      </c>
    </row>
    <row r="951" spans="2:2">
      <c r="B951" s="3" t="str">
        <f ca="1">IFERROR(__xludf.DUMMYFUNCTION("IF(ISBLANK(A951),"""",GOOGLETRANSLATE(A951,""en"",""fr""))"),"")</f>
        <v/>
      </c>
    </row>
    <row r="952" spans="2:2">
      <c r="B952" s="3" t="str">
        <f ca="1">IFERROR(__xludf.DUMMYFUNCTION("IF(ISBLANK(A952),"""",GOOGLETRANSLATE(A952,""en"",""fr""))"),"")</f>
        <v/>
      </c>
    </row>
    <row r="953" spans="2:2">
      <c r="B953" s="3" t="str">
        <f ca="1">IFERROR(__xludf.DUMMYFUNCTION("IF(ISBLANK(A953),"""",GOOGLETRANSLATE(A953,""en"",""fr""))"),"")</f>
        <v/>
      </c>
    </row>
    <row r="954" spans="2:2">
      <c r="B954" s="3" t="str">
        <f ca="1">IFERROR(__xludf.DUMMYFUNCTION("IF(ISBLANK(A954),"""",GOOGLETRANSLATE(A954,""en"",""fr""))"),"")</f>
        <v/>
      </c>
    </row>
    <row r="955" spans="2:2">
      <c r="B955" s="3" t="str">
        <f ca="1">IFERROR(__xludf.DUMMYFUNCTION("IF(ISBLANK(A955),"""",GOOGLETRANSLATE(A955,""en"",""fr""))"),"")</f>
        <v/>
      </c>
    </row>
    <row r="956" spans="2:2">
      <c r="B956" s="3" t="str">
        <f ca="1">IFERROR(__xludf.DUMMYFUNCTION("IF(ISBLANK(A956),"""",GOOGLETRANSLATE(A956,""en"",""fr""))"),"")</f>
        <v/>
      </c>
    </row>
    <row r="957" spans="2:2">
      <c r="B957" s="3" t="str">
        <f ca="1">IFERROR(__xludf.DUMMYFUNCTION("IF(ISBLANK(A957),"""",GOOGLETRANSLATE(A957,""en"",""fr""))"),"")</f>
        <v/>
      </c>
    </row>
    <row r="958" spans="2:2">
      <c r="B958" s="3" t="str">
        <f ca="1">IFERROR(__xludf.DUMMYFUNCTION("IF(ISBLANK(A958),"""",GOOGLETRANSLATE(A958,""en"",""fr""))"),"")</f>
        <v/>
      </c>
    </row>
    <row r="959" spans="2:2">
      <c r="B959" s="3" t="str">
        <f ca="1">IFERROR(__xludf.DUMMYFUNCTION("IF(ISBLANK(A959),"""",GOOGLETRANSLATE(A959,""en"",""fr""))"),"")</f>
        <v/>
      </c>
    </row>
    <row r="960" spans="2:2">
      <c r="B960" s="3" t="str">
        <f ca="1">IFERROR(__xludf.DUMMYFUNCTION("IF(ISBLANK(A960),"""",GOOGLETRANSLATE(A960,""en"",""fr""))"),"")</f>
        <v/>
      </c>
    </row>
    <row r="961" spans="2:2">
      <c r="B961" s="3" t="str">
        <f ca="1">IFERROR(__xludf.DUMMYFUNCTION("IF(ISBLANK(A961),"""",GOOGLETRANSLATE(A961,""en"",""fr""))"),"")</f>
        <v/>
      </c>
    </row>
    <row r="962" spans="2:2">
      <c r="B962" s="3" t="str">
        <f ca="1">IFERROR(__xludf.DUMMYFUNCTION("IF(ISBLANK(A962),"""",GOOGLETRANSLATE(A962,""en"",""fr""))"),"")</f>
        <v/>
      </c>
    </row>
    <row r="963" spans="2:2">
      <c r="B963" s="3" t="str">
        <f ca="1">IFERROR(__xludf.DUMMYFUNCTION("IF(ISBLANK(A963),"""",GOOGLETRANSLATE(A963,""en"",""fr""))"),"")</f>
        <v/>
      </c>
    </row>
    <row r="964" spans="2:2">
      <c r="B964" s="3" t="str">
        <f ca="1">IFERROR(__xludf.DUMMYFUNCTION("IF(ISBLANK(A964),"""",GOOGLETRANSLATE(A964,""en"",""fr""))"),"")</f>
        <v/>
      </c>
    </row>
    <row r="965" spans="2:2">
      <c r="B965" s="3" t="str">
        <f ca="1">IFERROR(__xludf.DUMMYFUNCTION("IF(ISBLANK(A965),"""",GOOGLETRANSLATE(A965,""en"",""fr""))"),"")</f>
        <v/>
      </c>
    </row>
    <row r="966" spans="2:2">
      <c r="B966" s="3" t="str">
        <f ca="1">IFERROR(__xludf.DUMMYFUNCTION("IF(ISBLANK(A966),"""",GOOGLETRANSLATE(A966,""en"",""fr""))"),"")</f>
        <v/>
      </c>
    </row>
    <row r="967" spans="2:2">
      <c r="B967" s="3" t="str">
        <f ca="1">IFERROR(__xludf.DUMMYFUNCTION("IF(ISBLANK(A967),"""",GOOGLETRANSLATE(A967,""en"",""fr""))"),"")</f>
        <v/>
      </c>
    </row>
    <row r="968" spans="2:2">
      <c r="B968" s="3" t="str">
        <f ca="1">IFERROR(__xludf.DUMMYFUNCTION("IF(ISBLANK(A968),"""",GOOGLETRANSLATE(A968,""en"",""fr""))"),"")</f>
        <v/>
      </c>
    </row>
    <row r="969" spans="2:2">
      <c r="B969" s="3" t="str">
        <f ca="1">IFERROR(__xludf.DUMMYFUNCTION("IF(ISBLANK(A969),"""",GOOGLETRANSLATE(A969,""en"",""fr""))"),"")</f>
        <v/>
      </c>
    </row>
    <row r="970" spans="2:2">
      <c r="B970" s="3" t="str">
        <f ca="1">IFERROR(__xludf.DUMMYFUNCTION("IF(ISBLANK(A970),"""",GOOGLETRANSLATE(A970,""en"",""fr""))"),"")</f>
        <v/>
      </c>
    </row>
    <row r="971" spans="2:2">
      <c r="B971" s="3" t="str">
        <f ca="1">IFERROR(__xludf.DUMMYFUNCTION("IF(ISBLANK(A971),"""",GOOGLETRANSLATE(A971,""en"",""fr""))"),"")</f>
        <v/>
      </c>
    </row>
    <row r="972" spans="2:2">
      <c r="B972" s="3" t="str">
        <f ca="1">IFERROR(__xludf.DUMMYFUNCTION("IF(ISBLANK(A972),"""",GOOGLETRANSLATE(A972,""en"",""fr""))"),"")</f>
        <v/>
      </c>
    </row>
    <row r="973" spans="2:2">
      <c r="B973" s="3" t="str">
        <f ca="1">IFERROR(__xludf.DUMMYFUNCTION("IF(ISBLANK(A973),"""",GOOGLETRANSLATE(A973,""en"",""fr""))"),"")</f>
        <v/>
      </c>
    </row>
    <row r="974" spans="2:2">
      <c r="B974" s="3" t="str">
        <f ca="1">IFERROR(__xludf.DUMMYFUNCTION("IF(ISBLANK(A974),"""",GOOGLETRANSLATE(A974,""en"",""fr""))"),"")</f>
        <v/>
      </c>
    </row>
    <row r="975" spans="2:2">
      <c r="B975" s="3" t="str">
        <f ca="1">IFERROR(__xludf.DUMMYFUNCTION("IF(ISBLANK(A975),"""",GOOGLETRANSLATE(A975,""en"",""fr""))"),"")</f>
        <v/>
      </c>
    </row>
    <row r="976" spans="2:2">
      <c r="B976" s="3" t="str">
        <f ca="1">IFERROR(__xludf.DUMMYFUNCTION("IF(ISBLANK(A976),"""",GOOGLETRANSLATE(A976,""en"",""fr""))"),"")</f>
        <v/>
      </c>
    </row>
    <row r="977" spans="2:2">
      <c r="B977" s="3" t="str">
        <f ca="1">IFERROR(__xludf.DUMMYFUNCTION("IF(ISBLANK(A977),"""",GOOGLETRANSLATE(A977,""en"",""fr""))"),"")</f>
        <v/>
      </c>
    </row>
    <row r="978" spans="2:2">
      <c r="B978" s="3" t="str">
        <f ca="1">IFERROR(__xludf.DUMMYFUNCTION("IF(ISBLANK(A978),"""",GOOGLETRANSLATE(A978,""en"",""fr""))"),"")</f>
        <v/>
      </c>
    </row>
    <row r="979" spans="2:2">
      <c r="B979" s="3" t="str">
        <f ca="1">IFERROR(__xludf.DUMMYFUNCTION("IF(ISBLANK(A979),"""",GOOGLETRANSLATE(A979,""en"",""fr""))"),"")</f>
        <v/>
      </c>
    </row>
    <row r="980" spans="2:2">
      <c r="B980" s="3" t="str">
        <f ca="1">IFERROR(__xludf.DUMMYFUNCTION("IF(ISBLANK(A980),"""",GOOGLETRANSLATE(A980,""en"",""fr""))"),"")</f>
        <v/>
      </c>
    </row>
    <row r="981" spans="2:2">
      <c r="B981" s="3" t="str">
        <f ca="1">IFERROR(__xludf.DUMMYFUNCTION("IF(ISBLANK(A981),"""",GOOGLETRANSLATE(A981,""en"",""fr""))"),"")</f>
        <v/>
      </c>
    </row>
    <row r="982" spans="2:2">
      <c r="B982" s="3" t="str">
        <f ca="1">IFERROR(__xludf.DUMMYFUNCTION("IF(ISBLANK(A982),"""",GOOGLETRANSLATE(A982,""en"",""fr""))"),"")</f>
        <v/>
      </c>
    </row>
    <row r="983" spans="2:2">
      <c r="B983" s="3" t="str">
        <f ca="1">IFERROR(__xludf.DUMMYFUNCTION("IF(ISBLANK(A983),"""",GOOGLETRANSLATE(A983,""en"",""fr""))"),"")</f>
        <v/>
      </c>
    </row>
    <row r="984" spans="2:2">
      <c r="B984" s="3" t="str">
        <f ca="1">IFERROR(__xludf.DUMMYFUNCTION("IF(ISBLANK(A984),"""",GOOGLETRANSLATE(A984,""en"",""fr""))"),"")</f>
        <v/>
      </c>
    </row>
    <row r="985" spans="2:2">
      <c r="B985" s="3" t="str">
        <f ca="1">IFERROR(__xludf.DUMMYFUNCTION("IF(ISBLANK(A985),"""",GOOGLETRANSLATE(A985,""en"",""fr""))"),"")</f>
        <v/>
      </c>
    </row>
    <row r="986" spans="2:2">
      <c r="B986" s="3" t="str">
        <f ca="1">IFERROR(__xludf.DUMMYFUNCTION("IF(ISBLANK(A986),"""",GOOGLETRANSLATE(A986,""en"",""fr""))"),"")</f>
        <v/>
      </c>
    </row>
    <row r="987" spans="2:2">
      <c r="B987" s="3" t="str">
        <f ca="1">IFERROR(__xludf.DUMMYFUNCTION("IF(ISBLANK(A987),"""",GOOGLETRANSLATE(A987,""en"",""fr""))"),"")</f>
        <v/>
      </c>
    </row>
    <row r="988" spans="2:2">
      <c r="B988" s="3" t="str">
        <f ca="1">IFERROR(__xludf.DUMMYFUNCTION("IF(ISBLANK(A988),"""",GOOGLETRANSLATE(A988,""en"",""fr""))"),"")</f>
        <v/>
      </c>
    </row>
    <row r="989" spans="2:2">
      <c r="B989" s="3" t="str">
        <f ca="1">IFERROR(__xludf.DUMMYFUNCTION("IF(ISBLANK(A989),"""",GOOGLETRANSLATE(A989,""en"",""fr""))"),"")</f>
        <v/>
      </c>
    </row>
    <row r="990" spans="2:2">
      <c r="B990" s="3" t="str">
        <f ca="1">IFERROR(__xludf.DUMMYFUNCTION("IF(ISBLANK(A990),"""",GOOGLETRANSLATE(A990,""en"",""fr""))"),"")</f>
        <v/>
      </c>
    </row>
    <row r="991" spans="2:2">
      <c r="B991" s="3" t="str">
        <f ca="1">IFERROR(__xludf.DUMMYFUNCTION("IF(ISBLANK(A991),"""",GOOGLETRANSLATE(A991,""en"",""fr""))"),"")</f>
        <v/>
      </c>
    </row>
    <row r="992" spans="2:2">
      <c r="B992" s="3" t="str">
        <f ca="1">IFERROR(__xludf.DUMMYFUNCTION("IF(ISBLANK(A992),"""",GOOGLETRANSLATE(A992,""en"",""fr""))"),"")</f>
        <v/>
      </c>
    </row>
    <row r="993" spans="2:2">
      <c r="B993" s="3" t="str">
        <f ca="1">IFERROR(__xludf.DUMMYFUNCTION("IF(ISBLANK(A993),"""",GOOGLETRANSLATE(A993,""en"",""fr""))"),"")</f>
        <v/>
      </c>
    </row>
    <row r="994" spans="2:2">
      <c r="B994" s="3" t="str">
        <f ca="1">IFERROR(__xludf.DUMMYFUNCTION("IF(ISBLANK(A994),"""",GOOGLETRANSLATE(A994,""en"",""fr""))"),"")</f>
        <v/>
      </c>
    </row>
    <row r="995" spans="2:2">
      <c r="B995" s="3" t="str">
        <f ca="1">IFERROR(__xludf.DUMMYFUNCTION("IF(ISBLANK(A995),"""",GOOGLETRANSLATE(A995,""en"",""fr""))"),"")</f>
        <v/>
      </c>
    </row>
    <row r="996" spans="2:2">
      <c r="B996" s="3" t="str">
        <f ca="1">IFERROR(__xludf.DUMMYFUNCTION("IF(ISBLANK(A996),"""",GOOGLETRANSLATE(A996,""en"",""fr""))"),"")</f>
        <v/>
      </c>
    </row>
    <row r="997" spans="2:2">
      <c r="B997" s="3" t="str">
        <f ca="1">IFERROR(__xludf.DUMMYFUNCTION("IF(ISBLANK(A997),"""",GOOGLETRANSLATE(A997,""en"",""fr""))"),"")</f>
        <v/>
      </c>
    </row>
    <row r="998" spans="2:2">
      <c r="B998" s="3" t="str">
        <f ca="1">IFERROR(__xludf.DUMMYFUNCTION("IF(ISBLANK(A998),"""",GOOGLETRANSLATE(A998,""en"",""fr""))"),"")</f>
        <v/>
      </c>
    </row>
    <row r="999" spans="2:2">
      <c r="B999" s="3" t="str">
        <f ca="1">IFERROR(__xludf.DUMMYFUNCTION("IF(ISBLANK(A999),"""",GOOGLETRANSLATE(A999,""en"",""fr""))"),"")</f>
        <v/>
      </c>
    </row>
    <row r="1000" spans="2:2">
      <c r="B1000" s="3" t="str">
        <f ca="1">IFERROR(__xludf.DUMMYFUNCTION("IF(ISBLANK(A1000),"""",GOOGLETRANSLATE(A1000,""en"",""fr""))"),"")</f>
        <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B1000"/>
  <sheetViews>
    <sheetView workbookViewId="0"/>
  </sheetViews>
  <sheetFormatPr defaultColWidth="12.6640625" defaultRowHeight="15.75" customHeight="1"/>
  <cols>
    <col min="1" max="1" width="78" customWidth="1"/>
  </cols>
  <sheetData>
    <row r="1" spans="1:2">
      <c r="A1" s="1" t="s">
        <v>0</v>
      </c>
      <c r="B1" s="1"/>
    </row>
    <row r="2" spans="1:2">
      <c r="A2" s="3" t="s">
        <v>777</v>
      </c>
      <c r="B2" s="3" t="str">
        <f ca="1">IFERROR(__xludf.DUMMYFUNCTION("IF(ISBLANK(A2),"""",GOOGLETRANSLATE(A2,""en"",""fr""))"),"Conseil d'administration")</f>
        <v>Conseil d'administration</v>
      </c>
    </row>
    <row r="3" spans="1:2">
      <c r="B3" s="3" t="str">
        <f ca="1">IFERROR(__xludf.DUMMYFUNCTION("IF(ISBLANK(A3),"""",GOOGLETRANSLATE(A3,""en"",""fr""))"),"")</f>
        <v/>
      </c>
    </row>
    <row r="4" spans="1:2">
      <c r="A4" s="3" t="s">
        <v>778</v>
      </c>
      <c r="B4" s="3" t="str">
        <f ca="1">IFERROR(__xludf.DUMMYFUNCTION("IF(ISBLANK(A4),"""",GOOGLETRANSLATE(A4,""en"",""fr""))"),"Une gouvernance visionnaire ancrée dans l'expérience du monde réel")</f>
        <v>Une gouvernance visionnaire ancrée dans l'expérience du monde réel</v>
      </c>
    </row>
    <row r="5" spans="1:2">
      <c r="A5" s="3" t="s">
        <v>779</v>
      </c>
      <c r="B5" s="3" t="str">
        <f ca="1">IFERROR(__xludf.DUMMYFUNCTION("IF(ISBLANK(A5),"""",GOOGLETRANSLATE(A5,""en"",""fr""))"),"Najeeb Ghauri")</f>
        <v>Najeeb Ghauri</v>
      </c>
    </row>
    <row r="6" spans="1:2">
      <c r="A6" s="3" t="s">
        <v>780</v>
      </c>
      <c r="B6" s="3" t="str">
        <f ca="1">IFERROR(__xludf.DUMMYFUNCTION("IF(ISBLANK(A6),"""",GOOGLETRANSLATE(A6,""en"",""fr""))"),"Directeur, chef de la direction et président du conseil d'administration, NetSol Technologies, Inc.")</f>
        <v>Directeur, chef de la direction et président du conseil d'administration, NetSol Technologies, Inc.</v>
      </c>
    </row>
    <row r="7" spans="1:2">
      <c r="A7" s="3" t="s">
        <v>781</v>
      </c>
      <c r="B7" s="3" t="str">
        <f ca="1">IFERROR(__xludf.DUMMYFUNCTION("IF(ISBLANK(A7),"""",GOOGLETRANSLATE(A7,""en"",""fr""))"),"Voir le profil")</f>
        <v>Voir le profil</v>
      </c>
    </row>
    <row r="8" spans="1:2">
      <c r="A8" s="3" t="s">
        <v>782</v>
      </c>
      <c r="B8" s="3" t="str">
        <f ca="1">IFERROR(__xludf.DUMMYFUNCTION("IF(ISBLANK(A8),"""",GOOGLETRANSLATE(A8,""en"",""fr""))"),"Syed Kausar Kazmi")</f>
        <v>Syed Kausar Kazmi</v>
      </c>
    </row>
    <row r="9" spans="1:2">
      <c r="A9" s="3" t="s">
        <v>783</v>
      </c>
      <c r="B9" s="3" t="str">
        <f ca="1">IFERROR(__xludf.DUMMYFUNCTION("IF(ISBLANK(A9),"""",GOOGLETRANSLATE(A9,""en"",""fr""))"),"Responsable des services bancaires commerciaux et du développement commercial, Habib Bank Zurich PLC, Royaume-Uni")</f>
        <v>Responsable des services bancaires commerciaux et du développement commercial, Habib Bank Zurich PLC, Royaume-Uni</v>
      </c>
    </row>
    <row r="10" spans="1:2">
      <c r="B10" s="3" t="str">
        <f ca="1">IFERROR(__xludf.DUMMYFUNCTION("IF(ISBLANK(A10),"""",GOOGLETRANSLATE(A10,""en"",""fr""))"),"")</f>
        <v/>
      </c>
    </row>
    <row r="11" spans="1:2">
      <c r="A11" s="3" t="s">
        <v>784</v>
      </c>
      <c r="B11" s="3" t="str">
        <f ca="1">IFERROR(__xludf.DUMMYFUNCTION("IF(ISBLANK(A11),"""",GOOGLETRANSLATE(A11,""en"",""fr""))"),"Marc Caton")</f>
        <v>Marc Caton</v>
      </c>
    </row>
    <row r="12" spans="1:2">
      <c r="A12" s="3" t="s">
        <v>785</v>
      </c>
      <c r="B12" s="3" t="str">
        <f ca="1">IFERROR(__xludf.DUMMYFUNCTION("IF(ISBLANK(A12),"""",GOOGLETRANSLATE(A12,""en"",""fr""))"),"Directeur, président de Centela Capital, Inc.")</f>
        <v>Directeur, président de Centela Capital, Inc.</v>
      </c>
    </row>
    <row r="13" spans="1:2">
      <c r="B13" s="3" t="str">
        <f ca="1">IFERROR(__xludf.DUMMYFUNCTION("IF(ISBLANK(A13),"""",GOOGLETRANSLATE(A13,""en"",""fr""))"),"")</f>
        <v/>
      </c>
    </row>
    <row r="14" spans="1:2">
      <c r="A14" s="3" t="s">
        <v>786</v>
      </c>
      <c r="B14" s="3" t="str">
        <f ca="1">IFERROR(__xludf.DUMMYFUNCTION("IF(ISBLANK(A14),"""",GOOGLETRANSLATE(A14,""en"",""fr""))"),"Ian Smith")</f>
        <v>Ian Smith</v>
      </c>
    </row>
    <row r="15" spans="1:2">
      <c r="A15" s="3" t="s">
        <v>787</v>
      </c>
      <c r="B15" s="3" t="str">
        <f ca="1">IFERROR(__xludf.DUMMYFUNCTION("IF(ISBLANK(A15),"""",GOOGLETRANSLATE(A15,""en"",""fr""))"),"Président, MIP, Inc.")</f>
        <v>Président, MIP, Inc.</v>
      </c>
    </row>
    <row r="16" spans="1:2">
      <c r="B16" s="3" t="str">
        <f ca="1">IFERROR(__xludf.DUMMYFUNCTION("IF(ISBLANK(A16),"""",GOOGLETRANSLATE(A16,""en"",""fr""))"),"")</f>
        <v/>
      </c>
    </row>
    <row r="17" spans="1:2">
      <c r="A17" s="3" t="s">
        <v>788</v>
      </c>
      <c r="B17" s="3" t="str">
        <f ca="1">IFERROR(__xludf.DUMMYFUNCTION("IF(ISBLANK(A17),"""",GOOGLETRANSLATE(A17,""en"",""fr""))"),"Malea Farsai")</f>
        <v>Malea Farsai</v>
      </c>
    </row>
    <row r="18" spans="1:2">
      <c r="A18" s="3" t="s">
        <v>789</v>
      </c>
      <c r="B18" s="3" t="str">
        <f ca="1">IFERROR(__xludf.DUMMYFUNCTION("IF(ISBLANK(A18),"""",GOOGLETRANSLATE(A18,""en"",""fr""))"),"Conseiller juridique, NetSol Technologies, Inc.")</f>
        <v>Conseiller juridique, NetSol Technologies, Inc.</v>
      </c>
    </row>
    <row r="19" spans="1:2">
      <c r="B19" s="3" t="str">
        <f ca="1">IFERROR(__xludf.DUMMYFUNCTION("IF(ISBLANK(A19),"""",GOOGLETRANSLATE(A19,""en"",""fr""))"),"")</f>
        <v/>
      </c>
    </row>
    <row r="20" spans="1:2">
      <c r="A20" s="3" t="s">
        <v>108</v>
      </c>
      <c r="B20" s="3" t="str">
        <f ca="1">IFERROR(__xludf.DUMMYFUNCTION("IF(ISBLANK(A20),"""",GOOGLETRANSLATE(A20,""en"",""fr""))"),"Abonnez-vous à notre newsletter pour recevoir les dernières nouvelles dans votre boîte mail.")</f>
        <v>Abonnez-vous à notre newsletter pour recevoir les dernières nouvelles dans votre boîte mail.</v>
      </c>
    </row>
    <row r="21" spans="1:2">
      <c r="A21" s="3" t="s">
        <v>109</v>
      </c>
      <c r="B21" s="3" t="str">
        <f ca="1">IFERROR(__xludf.DUMMYFUNCTION("IF(ISBLANK(A21),"""",GOOGLETRANSLATE(A21,""en"",""fr""))"),"abc@exemple.com")</f>
        <v>abc@exemple.com</v>
      </c>
    </row>
    <row r="22" spans="1:2">
      <c r="A22" s="3" t="s">
        <v>110</v>
      </c>
      <c r="B22" s="3" t="str">
        <f ca="1">IFERROR(__xludf.DUMMYFUNCTION("IF(ISBLANK(A22),"""",GOOGLETRANSLATE(A22,""en"",""fr""))"),"S'abonner ")</f>
        <v xml:space="preserve">S'abonner </v>
      </c>
    </row>
    <row r="23" spans="1:2">
      <c r="B23" s="3" t="str">
        <f ca="1">IFERROR(__xludf.DUMMYFUNCTION("IF(ISBLANK(A23),"""",GOOGLETRANSLATE(A23,""en"",""fr""))"),"")</f>
        <v/>
      </c>
    </row>
    <row r="24" spans="1:2">
      <c r="B24" s="3" t="str">
        <f ca="1">IFERROR(__xludf.DUMMYFUNCTION("IF(ISBLANK(A24),"""",GOOGLETRANSLATE(A24,""en"",""fr""))"),"")</f>
        <v/>
      </c>
    </row>
    <row r="25" spans="1:2">
      <c r="B25" s="3" t="str">
        <f ca="1">IFERROR(__xludf.DUMMYFUNCTION("IF(ISBLANK(A25),"""",GOOGLETRANSLATE(A25,""en"",""fr""))"),"")</f>
        <v/>
      </c>
    </row>
    <row r="26" spans="1:2">
      <c r="B26" s="3" t="str">
        <f ca="1">IFERROR(__xludf.DUMMYFUNCTION("IF(ISBLANK(A26),"""",GOOGLETRANSLATE(A26,""en"",""fr""))"),"")</f>
        <v/>
      </c>
    </row>
    <row r="27" spans="1:2">
      <c r="B27" s="3" t="str">
        <f ca="1">IFERROR(__xludf.DUMMYFUNCTION("IF(ISBLANK(A27),"""",GOOGLETRANSLATE(A27,""en"",""fr""))"),"")</f>
        <v/>
      </c>
    </row>
    <row r="28" spans="1:2">
      <c r="B28" s="3" t="str">
        <f ca="1">IFERROR(__xludf.DUMMYFUNCTION("IF(ISBLANK(A28),"""",GOOGLETRANSLATE(A28,""en"",""fr""))"),"")</f>
        <v/>
      </c>
    </row>
    <row r="29" spans="1:2">
      <c r="B29" s="3" t="str">
        <f ca="1">IFERROR(__xludf.DUMMYFUNCTION("IF(ISBLANK(A29),"""",GOOGLETRANSLATE(A29,""en"",""fr""))"),"")</f>
        <v/>
      </c>
    </row>
    <row r="30" spans="1:2">
      <c r="B30" s="3" t="str">
        <f ca="1">IFERROR(__xludf.DUMMYFUNCTION("IF(ISBLANK(A30),"""",GOOGLETRANSLATE(A30,""en"",""fr""))"),"")</f>
        <v/>
      </c>
    </row>
    <row r="31" spans="1:2">
      <c r="B31" s="3" t="str">
        <f ca="1">IFERROR(__xludf.DUMMYFUNCTION("IF(ISBLANK(A31),"""",GOOGLETRANSLATE(A31,""en"",""fr""))"),"")</f>
        <v/>
      </c>
    </row>
    <row r="32" spans="1:2">
      <c r="B32" s="3" t="str">
        <f ca="1">IFERROR(__xludf.DUMMYFUNCTION("IF(ISBLANK(A32),"""",GOOGLETRANSLATE(A32,""en"",""fr""))"),"")</f>
        <v/>
      </c>
    </row>
    <row r="33" spans="2:2">
      <c r="B33" s="3" t="str">
        <f ca="1">IFERROR(__xludf.DUMMYFUNCTION("IF(ISBLANK(A33),"""",GOOGLETRANSLATE(A33,""en"",""fr""))"),"")</f>
        <v/>
      </c>
    </row>
    <row r="34" spans="2:2">
      <c r="B34" s="3" t="str">
        <f ca="1">IFERROR(__xludf.DUMMYFUNCTION("IF(ISBLANK(A34),"""",GOOGLETRANSLATE(A34,""en"",""fr""))"),"")</f>
        <v/>
      </c>
    </row>
    <row r="35" spans="2:2">
      <c r="B35" s="3" t="str">
        <f ca="1">IFERROR(__xludf.DUMMYFUNCTION("IF(ISBLANK(A35),"""",GOOGLETRANSLATE(A35,""en"",""fr""))"),"")</f>
        <v/>
      </c>
    </row>
    <row r="36" spans="2:2">
      <c r="B36" s="3" t="str">
        <f ca="1">IFERROR(__xludf.DUMMYFUNCTION("IF(ISBLANK(A36),"""",GOOGLETRANSLATE(A36,""en"",""fr""))"),"")</f>
        <v/>
      </c>
    </row>
    <row r="37" spans="2:2">
      <c r="B37" s="3" t="str">
        <f ca="1">IFERROR(__xludf.DUMMYFUNCTION("IF(ISBLANK(A37),"""",GOOGLETRANSLATE(A37,""en"",""fr""))"),"")</f>
        <v/>
      </c>
    </row>
    <row r="38" spans="2:2">
      <c r="B38" s="3" t="str">
        <f ca="1">IFERROR(__xludf.DUMMYFUNCTION("IF(ISBLANK(A38),"""",GOOGLETRANSLATE(A38,""en"",""fr""))"),"")</f>
        <v/>
      </c>
    </row>
    <row r="39" spans="2:2">
      <c r="B39" s="3" t="str">
        <f ca="1">IFERROR(__xludf.DUMMYFUNCTION("IF(ISBLANK(A39),"""",GOOGLETRANSLATE(A39,""en"",""fr""))"),"")</f>
        <v/>
      </c>
    </row>
    <row r="40" spans="2:2">
      <c r="B40" s="3" t="str">
        <f ca="1">IFERROR(__xludf.DUMMYFUNCTION("IF(ISBLANK(A40),"""",GOOGLETRANSLATE(A40,""en"",""fr""))"),"")</f>
        <v/>
      </c>
    </row>
    <row r="41" spans="2:2">
      <c r="B41" s="3" t="str">
        <f ca="1">IFERROR(__xludf.DUMMYFUNCTION("IF(ISBLANK(A41),"""",GOOGLETRANSLATE(A41,""en"",""fr""))"),"")</f>
        <v/>
      </c>
    </row>
    <row r="42" spans="2:2">
      <c r="B42" s="3" t="str">
        <f ca="1">IFERROR(__xludf.DUMMYFUNCTION("IF(ISBLANK(A42),"""",GOOGLETRANSLATE(A42,""en"",""fr""))"),"")</f>
        <v/>
      </c>
    </row>
    <row r="43" spans="2:2">
      <c r="B43" s="3" t="str">
        <f ca="1">IFERROR(__xludf.DUMMYFUNCTION("IF(ISBLANK(A43),"""",GOOGLETRANSLATE(A43,""en"",""fr""))"),"")</f>
        <v/>
      </c>
    </row>
    <row r="44" spans="2:2">
      <c r="B44" s="3" t="str">
        <f ca="1">IFERROR(__xludf.DUMMYFUNCTION("IF(ISBLANK(A44),"""",GOOGLETRANSLATE(A44,""en"",""fr""))"),"")</f>
        <v/>
      </c>
    </row>
    <row r="45" spans="2:2">
      <c r="B45" s="3" t="str">
        <f ca="1">IFERROR(__xludf.DUMMYFUNCTION("IF(ISBLANK(A45),"""",GOOGLETRANSLATE(A45,""en"",""fr""))"),"")</f>
        <v/>
      </c>
    </row>
    <row r="46" spans="2:2">
      <c r="B46" s="3" t="str">
        <f ca="1">IFERROR(__xludf.DUMMYFUNCTION("IF(ISBLANK(A46),"""",GOOGLETRANSLATE(A46,""en"",""fr""))"),"")</f>
        <v/>
      </c>
    </row>
    <row r="47" spans="2:2">
      <c r="B47" s="3" t="str">
        <f ca="1">IFERROR(__xludf.DUMMYFUNCTION("IF(ISBLANK(A47),"""",GOOGLETRANSLATE(A47,""en"",""fr""))"),"")</f>
        <v/>
      </c>
    </row>
    <row r="48" spans="2:2">
      <c r="B48" s="3" t="str">
        <f ca="1">IFERROR(__xludf.DUMMYFUNCTION("IF(ISBLANK(A48),"""",GOOGLETRANSLATE(A48,""en"",""fr""))"),"")</f>
        <v/>
      </c>
    </row>
    <row r="49" spans="2:2">
      <c r="B49" s="3" t="str">
        <f ca="1">IFERROR(__xludf.DUMMYFUNCTION("IF(ISBLANK(A49),"""",GOOGLETRANSLATE(A49,""en"",""fr""))"),"")</f>
        <v/>
      </c>
    </row>
    <row r="50" spans="2:2">
      <c r="B50" s="3" t="str">
        <f ca="1">IFERROR(__xludf.DUMMYFUNCTION("IF(ISBLANK(A50),"""",GOOGLETRANSLATE(A50,""en"",""fr""))"),"")</f>
        <v/>
      </c>
    </row>
    <row r="51" spans="2:2">
      <c r="B51" s="3" t="str">
        <f ca="1">IFERROR(__xludf.DUMMYFUNCTION("IF(ISBLANK(A51),"""",GOOGLETRANSLATE(A51,""en"",""fr""))"),"")</f>
        <v/>
      </c>
    </row>
    <row r="52" spans="2:2">
      <c r="B52" s="3" t="str">
        <f ca="1">IFERROR(__xludf.DUMMYFUNCTION("IF(ISBLANK(A52),"""",GOOGLETRANSLATE(A52,""en"",""fr""))"),"")</f>
        <v/>
      </c>
    </row>
    <row r="53" spans="2:2">
      <c r="B53" s="3" t="str">
        <f ca="1">IFERROR(__xludf.DUMMYFUNCTION("IF(ISBLANK(A53),"""",GOOGLETRANSLATE(A53,""en"",""fr""))"),"")</f>
        <v/>
      </c>
    </row>
    <row r="54" spans="2:2">
      <c r="B54" s="3" t="str">
        <f ca="1">IFERROR(__xludf.DUMMYFUNCTION("IF(ISBLANK(A54),"""",GOOGLETRANSLATE(A54,""en"",""fr""))"),"")</f>
        <v/>
      </c>
    </row>
    <row r="55" spans="2:2">
      <c r="B55" s="3" t="str">
        <f ca="1">IFERROR(__xludf.DUMMYFUNCTION("IF(ISBLANK(A55),"""",GOOGLETRANSLATE(A55,""en"",""fr""))"),"")</f>
        <v/>
      </c>
    </row>
    <row r="56" spans="2:2">
      <c r="B56" s="3" t="str">
        <f ca="1">IFERROR(__xludf.DUMMYFUNCTION("IF(ISBLANK(A56),"""",GOOGLETRANSLATE(A56,""en"",""fr""))"),"")</f>
        <v/>
      </c>
    </row>
    <row r="57" spans="2:2">
      <c r="B57" s="3" t="str">
        <f ca="1">IFERROR(__xludf.DUMMYFUNCTION("IF(ISBLANK(A57),"""",GOOGLETRANSLATE(A57,""en"",""fr""))"),"")</f>
        <v/>
      </c>
    </row>
    <row r="58" spans="2:2">
      <c r="B58" s="3" t="str">
        <f ca="1">IFERROR(__xludf.DUMMYFUNCTION("IF(ISBLANK(A58),"""",GOOGLETRANSLATE(A58,""en"",""fr""))"),"")</f>
        <v/>
      </c>
    </row>
    <row r="59" spans="2:2">
      <c r="B59" s="3" t="str">
        <f ca="1">IFERROR(__xludf.DUMMYFUNCTION("IF(ISBLANK(A59),"""",GOOGLETRANSLATE(A59,""en"",""fr""))"),"")</f>
        <v/>
      </c>
    </row>
    <row r="60" spans="2:2">
      <c r="B60" s="3" t="str">
        <f ca="1">IFERROR(__xludf.DUMMYFUNCTION("IF(ISBLANK(A60),"""",GOOGLETRANSLATE(A60,""en"",""fr""))"),"")</f>
        <v/>
      </c>
    </row>
    <row r="61" spans="2:2">
      <c r="B61" s="3" t="str">
        <f ca="1">IFERROR(__xludf.DUMMYFUNCTION("IF(ISBLANK(A61),"""",GOOGLETRANSLATE(A61,""en"",""fr""))"),"")</f>
        <v/>
      </c>
    </row>
    <row r="62" spans="2:2">
      <c r="B62" s="3" t="str">
        <f ca="1">IFERROR(__xludf.DUMMYFUNCTION("IF(ISBLANK(A62),"""",GOOGLETRANSLATE(A62,""en"",""fr""))"),"")</f>
        <v/>
      </c>
    </row>
    <row r="63" spans="2:2">
      <c r="B63" s="3" t="str">
        <f ca="1">IFERROR(__xludf.DUMMYFUNCTION("IF(ISBLANK(A63),"""",GOOGLETRANSLATE(A63,""en"",""fr""))"),"")</f>
        <v/>
      </c>
    </row>
    <row r="64" spans="2:2">
      <c r="B64" s="3" t="str">
        <f ca="1">IFERROR(__xludf.DUMMYFUNCTION("IF(ISBLANK(A64),"""",GOOGLETRANSLATE(A64,""en"",""fr""))"),"")</f>
        <v/>
      </c>
    </row>
    <row r="65" spans="2:2">
      <c r="B65" s="3" t="str">
        <f ca="1">IFERROR(__xludf.DUMMYFUNCTION("IF(ISBLANK(A65),"""",GOOGLETRANSLATE(A65,""en"",""fr""))"),"")</f>
        <v/>
      </c>
    </row>
    <row r="66" spans="2:2">
      <c r="B66" s="3" t="str">
        <f ca="1">IFERROR(__xludf.DUMMYFUNCTION("IF(ISBLANK(A66),"""",GOOGLETRANSLATE(A66,""en"",""fr""))"),"")</f>
        <v/>
      </c>
    </row>
    <row r="67" spans="2:2">
      <c r="B67" s="3" t="str">
        <f ca="1">IFERROR(__xludf.DUMMYFUNCTION("IF(ISBLANK(A67),"""",GOOGLETRANSLATE(A67,""en"",""fr""))"),"")</f>
        <v/>
      </c>
    </row>
    <row r="68" spans="2:2">
      <c r="B68" s="3" t="str">
        <f ca="1">IFERROR(__xludf.DUMMYFUNCTION("IF(ISBLANK(A68),"""",GOOGLETRANSLATE(A68,""en"",""fr""))"),"")</f>
        <v/>
      </c>
    </row>
    <row r="69" spans="2:2">
      <c r="B69" s="3" t="str">
        <f ca="1">IFERROR(__xludf.DUMMYFUNCTION("IF(ISBLANK(A69),"""",GOOGLETRANSLATE(A69,""en"",""fr""))"),"")</f>
        <v/>
      </c>
    </row>
    <row r="70" spans="2:2">
      <c r="B70" s="3" t="str">
        <f ca="1">IFERROR(__xludf.DUMMYFUNCTION("IF(ISBLANK(A70),"""",GOOGLETRANSLATE(A70,""en"",""fr""))"),"")</f>
        <v/>
      </c>
    </row>
    <row r="71" spans="2:2">
      <c r="B71" s="3" t="str">
        <f ca="1">IFERROR(__xludf.DUMMYFUNCTION("IF(ISBLANK(A71),"""",GOOGLETRANSLATE(A71,""en"",""fr""))"),"")</f>
        <v/>
      </c>
    </row>
    <row r="72" spans="2:2">
      <c r="B72" s="3" t="str">
        <f ca="1">IFERROR(__xludf.DUMMYFUNCTION("IF(ISBLANK(A72),"""",GOOGLETRANSLATE(A72,""en"",""fr""))"),"")</f>
        <v/>
      </c>
    </row>
    <row r="73" spans="2:2">
      <c r="B73" s="3" t="str">
        <f ca="1">IFERROR(__xludf.DUMMYFUNCTION("IF(ISBLANK(A73),"""",GOOGLETRANSLATE(A73,""en"",""fr""))"),"")</f>
        <v/>
      </c>
    </row>
    <row r="74" spans="2:2">
      <c r="B74" s="3" t="str">
        <f ca="1">IFERROR(__xludf.DUMMYFUNCTION("IF(ISBLANK(A74),"""",GOOGLETRANSLATE(A74,""en"",""fr""))"),"")</f>
        <v/>
      </c>
    </row>
    <row r="75" spans="2:2">
      <c r="B75" s="3" t="str">
        <f ca="1">IFERROR(__xludf.DUMMYFUNCTION("IF(ISBLANK(A75),"""",GOOGLETRANSLATE(A75,""en"",""fr""))"),"")</f>
        <v/>
      </c>
    </row>
    <row r="76" spans="2:2">
      <c r="B76" s="3" t="str">
        <f ca="1">IFERROR(__xludf.DUMMYFUNCTION("IF(ISBLANK(A76),"""",GOOGLETRANSLATE(A76,""en"",""fr""))"),"")</f>
        <v/>
      </c>
    </row>
    <row r="77" spans="2:2">
      <c r="B77" s="3" t="str">
        <f ca="1">IFERROR(__xludf.DUMMYFUNCTION("IF(ISBLANK(A77),"""",GOOGLETRANSLATE(A77,""en"",""fr""))"),"")</f>
        <v/>
      </c>
    </row>
    <row r="78" spans="2:2">
      <c r="B78" s="3" t="str">
        <f ca="1">IFERROR(__xludf.DUMMYFUNCTION("IF(ISBLANK(A78),"""",GOOGLETRANSLATE(A78,""en"",""fr""))"),"")</f>
        <v/>
      </c>
    </row>
    <row r="79" spans="2:2">
      <c r="B79" s="3" t="str">
        <f ca="1">IFERROR(__xludf.DUMMYFUNCTION("IF(ISBLANK(A79),"""",GOOGLETRANSLATE(A79,""en"",""fr""))"),"")</f>
        <v/>
      </c>
    </row>
    <row r="80" spans="2:2">
      <c r="B80" s="3" t="str">
        <f ca="1">IFERROR(__xludf.DUMMYFUNCTION("IF(ISBLANK(A80),"""",GOOGLETRANSLATE(A80,""en"",""fr""))"),"")</f>
        <v/>
      </c>
    </row>
    <row r="81" spans="2:2">
      <c r="B81" s="3" t="str">
        <f ca="1">IFERROR(__xludf.DUMMYFUNCTION("IF(ISBLANK(A81),"""",GOOGLETRANSLATE(A81,""en"",""fr""))"),"")</f>
        <v/>
      </c>
    </row>
    <row r="82" spans="2:2">
      <c r="B82" s="3" t="str">
        <f ca="1">IFERROR(__xludf.DUMMYFUNCTION("IF(ISBLANK(A82),"""",GOOGLETRANSLATE(A82,""en"",""fr""))"),"")</f>
        <v/>
      </c>
    </row>
    <row r="83" spans="2:2">
      <c r="B83" s="3" t="str">
        <f ca="1">IFERROR(__xludf.DUMMYFUNCTION("IF(ISBLANK(A83),"""",GOOGLETRANSLATE(A83,""en"",""fr""))"),"")</f>
        <v/>
      </c>
    </row>
    <row r="84" spans="2:2">
      <c r="B84" s="3" t="str">
        <f ca="1">IFERROR(__xludf.DUMMYFUNCTION("IF(ISBLANK(A84),"""",GOOGLETRANSLATE(A84,""en"",""fr""))"),"")</f>
        <v/>
      </c>
    </row>
    <row r="85" spans="2:2">
      <c r="B85" s="3" t="str">
        <f ca="1">IFERROR(__xludf.DUMMYFUNCTION("IF(ISBLANK(A85),"""",GOOGLETRANSLATE(A85,""en"",""fr""))"),"")</f>
        <v/>
      </c>
    </row>
    <row r="86" spans="2:2">
      <c r="B86" s="3" t="str">
        <f ca="1">IFERROR(__xludf.DUMMYFUNCTION("IF(ISBLANK(A86),"""",GOOGLETRANSLATE(A86,""en"",""fr""))"),"")</f>
        <v/>
      </c>
    </row>
    <row r="87" spans="2:2">
      <c r="B87" s="3" t="str">
        <f ca="1">IFERROR(__xludf.DUMMYFUNCTION("IF(ISBLANK(A87),"""",GOOGLETRANSLATE(A87,""en"",""fr""))"),"")</f>
        <v/>
      </c>
    </row>
    <row r="88" spans="2:2">
      <c r="B88" s="3" t="str">
        <f ca="1">IFERROR(__xludf.DUMMYFUNCTION("IF(ISBLANK(A88),"""",GOOGLETRANSLATE(A88,""en"",""fr""))"),"")</f>
        <v/>
      </c>
    </row>
    <row r="89" spans="2:2">
      <c r="B89" s="3" t="str">
        <f ca="1">IFERROR(__xludf.DUMMYFUNCTION("IF(ISBLANK(A89),"""",GOOGLETRANSLATE(A89,""en"",""fr""))"),"")</f>
        <v/>
      </c>
    </row>
    <row r="90" spans="2:2">
      <c r="B90" s="3" t="str">
        <f ca="1">IFERROR(__xludf.DUMMYFUNCTION("IF(ISBLANK(A90),"""",GOOGLETRANSLATE(A90,""en"",""fr""))"),"")</f>
        <v/>
      </c>
    </row>
    <row r="91" spans="2:2">
      <c r="B91" s="3" t="str">
        <f ca="1">IFERROR(__xludf.DUMMYFUNCTION("IF(ISBLANK(A91),"""",GOOGLETRANSLATE(A91,""en"",""fr""))"),"")</f>
        <v/>
      </c>
    </row>
    <row r="92" spans="2:2">
      <c r="B92" s="3" t="str">
        <f ca="1">IFERROR(__xludf.DUMMYFUNCTION("IF(ISBLANK(A92),"""",GOOGLETRANSLATE(A92,""en"",""fr""))"),"")</f>
        <v/>
      </c>
    </row>
    <row r="93" spans="2:2">
      <c r="B93" s="3" t="str">
        <f ca="1">IFERROR(__xludf.DUMMYFUNCTION("IF(ISBLANK(A93),"""",GOOGLETRANSLATE(A93,""en"",""fr""))"),"")</f>
        <v/>
      </c>
    </row>
    <row r="94" spans="2:2">
      <c r="B94" s="3" t="str">
        <f ca="1">IFERROR(__xludf.DUMMYFUNCTION("IF(ISBLANK(A94),"""",GOOGLETRANSLATE(A94,""en"",""fr""))"),"")</f>
        <v/>
      </c>
    </row>
    <row r="95" spans="2:2">
      <c r="B95" s="3" t="str">
        <f ca="1">IFERROR(__xludf.DUMMYFUNCTION("IF(ISBLANK(A95),"""",GOOGLETRANSLATE(A95,""en"",""fr""))"),"")</f>
        <v/>
      </c>
    </row>
    <row r="96" spans="2:2">
      <c r="B96" s="3" t="str">
        <f ca="1">IFERROR(__xludf.DUMMYFUNCTION("IF(ISBLANK(A96),"""",GOOGLETRANSLATE(A96,""en"",""fr""))"),"")</f>
        <v/>
      </c>
    </row>
    <row r="97" spans="2:2">
      <c r="B97" s="3" t="str">
        <f ca="1">IFERROR(__xludf.DUMMYFUNCTION("IF(ISBLANK(A97),"""",GOOGLETRANSLATE(A97,""en"",""fr""))"),"")</f>
        <v/>
      </c>
    </row>
    <row r="98" spans="2:2">
      <c r="B98" s="3" t="str">
        <f ca="1">IFERROR(__xludf.DUMMYFUNCTION("IF(ISBLANK(A98),"""",GOOGLETRANSLATE(A98,""en"",""fr""))"),"")</f>
        <v/>
      </c>
    </row>
    <row r="99" spans="2:2">
      <c r="B99" s="3" t="str">
        <f ca="1">IFERROR(__xludf.DUMMYFUNCTION("IF(ISBLANK(A99),"""",GOOGLETRANSLATE(A99,""en"",""fr""))"),"")</f>
        <v/>
      </c>
    </row>
    <row r="100" spans="2:2">
      <c r="B100" s="3" t="str">
        <f ca="1">IFERROR(__xludf.DUMMYFUNCTION("IF(ISBLANK(A100),"""",GOOGLETRANSLATE(A100,""en"",""fr""))"),"")</f>
        <v/>
      </c>
    </row>
    <row r="101" spans="2:2">
      <c r="B101" s="3" t="str">
        <f ca="1">IFERROR(__xludf.DUMMYFUNCTION("IF(ISBLANK(A101),"""",GOOGLETRANSLATE(A101,""en"",""fr""))"),"")</f>
        <v/>
      </c>
    </row>
    <row r="102" spans="2:2">
      <c r="B102" s="3" t="str">
        <f ca="1">IFERROR(__xludf.DUMMYFUNCTION("IF(ISBLANK(A102),"""",GOOGLETRANSLATE(A102,""en"",""fr""))"),"")</f>
        <v/>
      </c>
    </row>
    <row r="103" spans="2:2">
      <c r="B103" s="3" t="str">
        <f ca="1">IFERROR(__xludf.DUMMYFUNCTION("IF(ISBLANK(A103),"""",GOOGLETRANSLATE(A103,""en"",""fr""))"),"")</f>
        <v/>
      </c>
    </row>
    <row r="104" spans="2:2">
      <c r="B104" s="3" t="str">
        <f ca="1">IFERROR(__xludf.DUMMYFUNCTION("IF(ISBLANK(A104),"""",GOOGLETRANSLATE(A104,""en"",""fr""))"),"")</f>
        <v/>
      </c>
    </row>
    <row r="105" spans="2:2">
      <c r="B105" s="3" t="str">
        <f ca="1">IFERROR(__xludf.DUMMYFUNCTION("IF(ISBLANK(A105),"""",GOOGLETRANSLATE(A105,""en"",""fr""))"),"")</f>
        <v/>
      </c>
    </row>
    <row r="106" spans="2:2">
      <c r="B106" s="3" t="str">
        <f ca="1">IFERROR(__xludf.DUMMYFUNCTION("IF(ISBLANK(A106),"""",GOOGLETRANSLATE(A106,""en"",""fr""))"),"")</f>
        <v/>
      </c>
    </row>
    <row r="107" spans="2:2">
      <c r="B107" s="3" t="str">
        <f ca="1">IFERROR(__xludf.DUMMYFUNCTION("IF(ISBLANK(A107),"""",GOOGLETRANSLATE(A107,""en"",""fr""))"),"")</f>
        <v/>
      </c>
    </row>
    <row r="108" spans="2:2">
      <c r="B108" s="3" t="str">
        <f ca="1">IFERROR(__xludf.DUMMYFUNCTION("IF(ISBLANK(A108),"""",GOOGLETRANSLATE(A108,""en"",""fr""))"),"")</f>
        <v/>
      </c>
    </row>
    <row r="109" spans="2:2">
      <c r="B109" s="3" t="str">
        <f ca="1">IFERROR(__xludf.DUMMYFUNCTION("IF(ISBLANK(A109),"""",GOOGLETRANSLATE(A109,""en"",""fr""))"),"")</f>
        <v/>
      </c>
    </row>
    <row r="110" spans="2:2">
      <c r="B110" s="3" t="str">
        <f ca="1">IFERROR(__xludf.DUMMYFUNCTION("IF(ISBLANK(A110),"""",GOOGLETRANSLATE(A110,""en"",""fr""))"),"")</f>
        <v/>
      </c>
    </row>
    <row r="111" spans="2:2">
      <c r="B111" s="3" t="str">
        <f ca="1">IFERROR(__xludf.DUMMYFUNCTION("IF(ISBLANK(A111),"""",GOOGLETRANSLATE(A111,""en"",""fr""))"),"")</f>
        <v/>
      </c>
    </row>
    <row r="112" spans="2:2">
      <c r="B112" s="3" t="str">
        <f ca="1">IFERROR(__xludf.DUMMYFUNCTION("IF(ISBLANK(A112),"""",GOOGLETRANSLATE(A112,""en"",""fr""))"),"")</f>
        <v/>
      </c>
    </row>
    <row r="113" spans="2:2">
      <c r="B113" s="3" t="str">
        <f ca="1">IFERROR(__xludf.DUMMYFUNCTION("IF(ISBLANK(A113),"""",GOOGLETRANSLATE(A113,""en"",""fr""))"),"")</f>
        <v/>
      </c>
    </row>
    <row r="114" spans="2:2">
      <c r="B114" s="3" t="str">
        <f ca="1">IFERROR(__xludf.DUMMYFUNCTION("IF(ISBLANK(A114),"""",GOOGLETRANSLATE(A114,""en"",""fr""))"),"")</f>
        <v/>
      </c>
    </row>
    <row r="115" spans="2:2">
      <c r="B115" s="3" t="str">
        <f ca="1">IFERROR(__xludf.DUMMYFUNCTION("IF(ISBLANK(A115),"""",GOOGLETRANSLATE(A115,""en"",""fr""))"),"")</f>
        <v/>
      </c>
    </row>
    <row r="116" spans="2:2">
      <c r="B116" s="3" t="str">
        <f ca="1">IFERROR(__xludf.DUMMYFUNCTION("IF(ISBLANK(A116),"""",GOOGLETRANSLATE(A116,""en"",""fr""))"),"")</f>
        <v/>
      </c>
    </row>
    <row r="117" spans="2:2">
      <c r="B117" s="3" t="str">
        <f ca="1">IFERROR(__xludf.DUMMYFUNCTION("IF(ISBLANK(A117),"""",GOOGLETRANSLATE(A117,""en"",""fr""))"),"")</f>
        <v/>
      </c>
    </row>
    <row r="118" spans="2:2">
      <c r="B118" s="3" t="str">
        <f ca="1">IFERROR(__xludf.DUMMYFUNCTION("IF(ISBLANK(A118),"""",GOOGLETRANSLATE(A118,""en"",""fr""))"),"")</f>
        <v/>
      </c>
    </row>
    <row r="119" spans="2:2">
      <c r="B119" s="3" t="str">
        <f ca="1">IFERROR(__xludf.DUMMYFUNCTION("IF(ISBLANK(A119),"""",GOOGLETRANSLATE(A119,""en"",""fr""))"),"")</f>
        <v/>
      </c>
    </row>
    <row r="120" spans="2:2">
      <c r="B120" s="3" t="str">
        <f ca="1">IFERROR(__xludf.DUMMYFUNCTION("IF(ISBLANK(A120),"""",GOOGLETRANSLATE(A120,""en"",""fr""))"),"")</f>
        <v/>
      </c>
    </row>
    <row r="121" spans="2:2">
      <c r="B121" s="3" t="str">
        <f ca="1">IFERROR(__xludf.DUMMYFUNCTION("IF(ISBLANK(A121),"""",GOOGLETRANSLATE(A121,""en"",""fr""))"),"")</f>
        <v/>
      </c>
    </row>
    <row r="122" spans="2:2">
      <c r="B122" s="3" t="str">
        <f ca="1">IFERROR(__xludf.DUMMYFUNCTION("IF(ISBLANK(A122),"""",GOOGLETRANSLATE(A122,""en"",""fr""))"),"")</f>
        <v/>
      </c>
    </row>
    <row r="123" spans="2:2">
      <c r="B123" s="3" t="str">
        <f ca="1">IFERROR(__xludf.DUMMYFUNCTION("IF(ISBLANK(A123),"""",GOOGLETRANSLATE(A123,""en"",""fr""))"),"")</f>
        <v/>
      </c>
    </row>
    <row r="124" spans="2:2">
      <c r="B124" s="3" t="str">
        <f ca="1">IFERROR(__xludf.DUMMYFUNCTION("IF(ISBLANK(A124),"""",GOOGLETRANSLATE(A124,""en"",""fr""))"),"")</f>
        <v/>
      </c>
    </row>
    <row r="125" spans="2:2">
      <c r="B125" s="3" t="str">
        <f ca="1">IFERROR(__xludf.DUMMYFUNCTION("IF(ISBLANK(A125),"""",GOOGLETRANSLATE(A125,""en"",""fr""))"),"")</f>
        <v/>
      </c>
    </row>
    <row r="126" spans="2:2">
      <c r="B126" s="3" t="str">
        <f ca="1">IFERROR(__xludf.DUMMYFUNCTION("IF(ISBLANK(A126),"""",GOOGLETRANSLATE(A126,""en"",""fr""))"),"")</f>
        <v/>
      </c>
    </row>
    <row r="127" spans="2:2">
      <c r="B127" s="3" t="str">
        <f ca="1">IFERROR(__xludf.DUMMYFUNCTION("IF(ISBLANK(A127),"""",GOOGLETRANSLATE(A127,""en"",""fr""))"),"")</f>
        <v/>
      </c>
    </row>
    <row r="128" spans="2:2">
      <c r="B128" s="3" t="str">
        <f ca="1">IFERROR(__xludf.DUMMYFUNCTION("IF(ISBLANK(A128),"""",GOOGLETRANSLATE(A128,""en"",""fr""))"),"")</f>
        <v/>
      </c>
    </row>
    <row r="129" spans="2:2">
      <c r="B129" s="3" t="str">
        <f ca="1">IFERROR(__xludf.DUMMYFUNCTION("IF(ISBLANK(A129),"""",GOOGLETRANSLATE(A129,""en"",""fr""))"),"")</f>
        <v/>
      </c>
    </row>
    <row r="130" spans="2:2">
      <c r="B130" s="3" t="str">
        <f ca="1">IFERROR(__xludf.DUMMYFUNCTION("IF(ISBLANK(A130),"""",GOOGLETRANSLATE(A130,""en"",""fr""))"),"")</f>
        <v/>
      </c>
    </row>
    <row r="131" spans="2:2">
      <c r="B131" s="3" t="str">
        <f ca="1">IFERROR(__xludf.DUMMYFUNCTION("IF(ISBLANK(A131),"""",GOOGLETRANSLATE(A131,""en"",""fr""))"),"")</f>
        <v/>
      </c>
    </row>
    <row r="132" spans="2:2">
      <c r="B132" s="3" t="str">
        <f ca="1">IFERROR(__xludf.DUMMYFUNCTION("IF(ISBLANK(A132),"""",GOOGLETRANSLATE(A132,""en"",""fr""))"),"")</f>
        <v/>
      </c>
    </row>
    <row r="133" spans="2:2">
      <c r="B133" s="3" t="str">
        <f ca="1">IFERROR(__xludf.DUMMYFUNCTION("IF(ISBLANK(A133),"""",GOOGLETRANSLATE(A133,""en"",""fr""))"),"")</f>
        <v/>
      </c>
    </row>
    <row r="134" spans="2:2">
      <c r="B134" s="3" t="str">
        <f ca="1">IFERROR(__xludf.DUMMYFUNCTION("IF(ISBLANK(A134),"""",GOOGLETRANSLATE(A134,""en"",""fr""))"),"")</f>
        <v/>
      </c>
    </row>
    <row r="135" spans="2:2">
      <c r="B135" s="3" t="str">
        <f ca="1">IFERROR(__xludf.DUMMYFUNCTION("IF(ISBLANK(A135),"""",GOOGLETRANSLATE(A135,""en"",""fr""))"),"")</f>
        <v/>
      </c>
    </row>
    <row r="136" spans="2:2">
      <c r="B136" s="3" t="str">
        <f ca="1">IFERROR(__xludf.DUMMYFUNCTION("IF(ISBLANK(A136),"""",GOOGLETRANSLATE(A136,""en"",""fr""))"),"")</f>
        <v/>
      </c>
    </row>
    <row r="137" spans="2:2">
      <c r="B137" s="3" t="str">
        <f ca="1">IFERROR(__xludf.DUMMYFUNCTION("IF(ISBLANK(A137),"""",GOOGLETRANSLATE(A137,""en"",""fr""))"),"")</f>
        <v/>
      </c>
    </row>
    <row r="138" spans="2:2">
      <c r="B138" s="3" t="str">
        <f ca="1">IFERROR(__xludf.DUMMYFUNCTION("IF(ISBLANK(A138),"""",GOOGLETRANSLATE(A138,""en"",""fr""))"),"")</f>
        <v/>
      </c>
    </row>
    <row r="139" spans="2:2">
      <c r="B139" s="3" t="str">
        <f ca="1">IFERROR(__xludf.DUMMYFUNCTION("IF(ISBLANK(A139),"""",GOOGLETRANSLATE(A139,""en"",""fr""))"),"")</f>
        <v/>
      </c>
    </row>
    <row r="140" spans="2:2">
      <c r="B140" s="3" t="str">
        <f ca="1">IFERROR(__xludf.DUMMYFUNCTION("IF(ISBLANK(A140),"""",GOOGLETRANSLATE(A140,""en"",""fr""))"),"")</f>
        <v/>
      </c>
    </row>
    <row r="141" spans="2:2">
      <c r="B141" s="3" t="str">
        <f ca="1">IFERROR(__xludf.DUMMYFUNCTION("IF(ISBLANK(A141),"""",GOOGLETRANSLATE(A141,""en"",""fr""))"),"")</f>
        <v/>
      </c>
    </row>
    <row r="142" spans="2:2">
      <c r="B142" s="3" t="str">
        <f ca="1">IFERROR(__xludf.DUMMYFUNCTION("IF(ISBLANK(A142),"""",GOOGLETRANSLATE(A142,""en"",""fr""))"),"")</f>
        <v/>
      </c>
    </row>
    <row r="143" spans="2:2">
      <c r="B143" s="3" t="str">
        <f ca="1">IFERROR(__xludf.DUMMYFUNCTION("IF(ISBLANK(A143),"""",GOOGLETRANSLATE(A143,""en"",""fr""))"),"")</f>
        <v/>
      </c>
    </row>
    <row r="144" spans="2:2">
      <c r="B144" s="3" t="str">
        <f ca="1">IFERROR(__xludf.DUMMYFUNCTION("IF(ISBLANK(A144),"""",GOOGLETRANSLATE(A144,""en"",""fr""))"),"")</f>
        <v/>
      </c>
    </row>
    <row r="145" spans="2:2">
      <c r="B145" s="3" t="str">
        <f ca="1">IFERROR(__xludf.DUMMYFUNCTION("IF(ISBLANK(A145),"""",GOOGLETRANSLATE(A145,""en"",""fr""))"),"")</f>
        <v/>
      </c>
    </row>
    <row r="146" spans="2:2">
      <c r="B146" s="3" t="str">
        <f ca="1">IFERROR(__xludf.DUMMYFUNCTION("IF(ISBLANK(A146),"""",GOOGLETRANSLATE(A146,""en"",""fr""))"),"")</f>
        <v/>
      </c>
    </row>
    <row r="147" spans="2:2">
      <c r="B147" s="3" t="str">
        <f ca="1">IFERROR(__xludf.DUMMYFUNCTION("IF(ISBLANK(A147),"""",GOOGLETRANSLATE(A147,""en"",""fr""))"),"")</f>
        <v/>
      </c>
    </row>
    <row r="148" spans="2:2">
      <c r="B148" s="3" t="str">
        <f ca="1">IFERROR(__xludf.DUMMYFUNCTION("IF(ISBLANK(A148),"""",GOOGLETRANSLATE(A148,""en"",""fr""))"),"")</f>
        <v/>
      </c>
    </row>
    <row r="149" spans="2:2">
      <c r="B149" s="3" t="str">
        <f ca="1">IFERROR(__xludf.DUMMYFUNCTION("IF(ISBLANK(A149),"""",GOOGLETRANSLATE(A149,""en"",""fr""))"),"")</f>
        <v/>
      </c>
    </row>
    <row r="150" spans="2:2">
      <c r="B150" s="3" t="str">
        <f ca="1">IFERROR(__xludf.DUMMYFUNCTION("IF(ISBLANK(A150),"""",GOOGLETRANSLATE(A150,""en"",""fr""))"),"")</f>
        <v/>
      </c>
    </row>
    <row r="151" spans="2:2">
      <c r="B151" s="3" t="str">
        <f ca="1">IFERROR(__xludf.DUMMYFUNCTION("IF(ISBLANK(A151),"""",GOOGLETRANSLATE(A151,""en"",""fr""))"),"")</f>
        <v/>
      </c>
    </row>
    <row r="152" spans="2:2">
      <c r="B152" s="3" t="str">
        <f ca="1">IFERROR(__xludf.DUMMYFUNCTION("IF(ISBLANK(A152),"""",GOOGLETRANSLATE(A152,""en"",""fr""))"),"")</f>
        <v/>
      </c>
    </row>
    <row r="153" spans="2:2">
      <c r="B153" s="3" t="str">
        <f ca="1">IFERROR(__xludf.DUMMYFUNCTION("IF(ISBLANK(A153),"""",GOOGLETRANSLATE(A153,""en"",""fr""))"),"")</f>
        <v/>
      </c>
    </row>
    <row r="154" spans="2:2">
      <c r="B154" s="3" t="str">
        <f ca="1">IFERROR(__xludf.DUMMYFUNCTION("IF(ISBLANK(A154),"""",GOOGLETRANSLATE(A154,""en"",""fr""))"),"")</f>
        <v/>
      </c>
    </row>
    <row r="155" spans="2:2">
      <c r="B155" s="3" t="str">
        <f ca="1">IFERROR(__xludf.DUMMYFUNCTION("IF(ISBLANK(A155),"""",GOOGLETRANSLATE(A155,""en"",""fr""))"),"")</f>
        <v/>
      </c>
    </row>
    <row r="156" spans="2:2">
      <c r="B156" s="3" t="str">
        <f ca="1">IFERROR(__xludf.DUMMYFUNCTION("IF(ISBLANK(A156),"""",GOOGLETRANSLATE(A156,""en"",""fr""))"),"")</f>
        <v/>
      </c>
    </row>
    <row r="157" spans="2:2">
      <c r="B157" s="3" t="str">
        <f ca="1">IFERROR(__xludf.DUMMYFUNCTION("IF(ISBLANK(A157),"""",GOOGLETRANSLATE(A157,""en"",""fr""))"),"")</f>
        <v/>
      </c>
    </row>
    <row r="158" spans="2:2">
      <c r="B158" s="3" t="str">
        <f ca="1">IFERROR(__xludf.DUMMYFUNCTION("IF(ISBLANK(A158),"""",GOOGLETRANSLATE(A158,""en"",""fr""))"),"")</f>
        <v/>
      </c>
    </row>
    <row r="159" spans="2:2">
      <c r="B159" s="3" t="str">
        <f ca="1">IFERROR(__xludf.DUMMYFUNCTION("IF(ISBLANK(A159),"""",GOOGLETRANSLATE(A159,""en"",""fr""))"),"")</f>
        <v/>
      </c>
    </row>
    <row r="160" spans="2:2">
      <c r="B160" s="3" t="str">
        <f ca="1">IFERROR(__xludf.DUMMYFUNCTION("IF(ISBLANK(A160),"""",GOOGLETRANSLATE(A160,""en"",""fr""))"),"")</f>
        <v/>
      </c>
    </row>
    <row r="161" spans="2:2">
      <c r="B161" s="3" t="str">
        <f ca="1">IFERROR(__xludf.DUMMYFUNCTION("IF(ISBLANK(A161),"""",GOOGLETRANSLATE(A161,""en"",""fr""))"),"")</f>
        <v/>
      </c>
    </row>
    <row r="162" spans="2:2">
      <c r="B162" s="3" t="str">
        <f ca="1">IFERROR(__xludf.DUMMYFUNCTION("IF(ISBLANK(A162),"""",GOOGLETRANSLATE(A162,""en"",""fr""))"),"")</f>
        <v/>
      </c>
    </row>
    <row r="163" spans="2:2">
      <c r="B163" s="3" t="str">
        <f ca="1">IFERROR(__xludf.DUMMYFUNCTION("IF(ISBLANK(A163),"""",GOOGLETRANSLATE(A163,""en"",""fr""))"),"")</f>
        <v/>
      </c>
    </row>
    <row r="164" spans="2:2">
      <c r="B164" s="3" t="str">
        <f ca="1">IFERROR(__xludf.DUMMYFUNCTION("IF(ISBLANK(A164),"""",GOOGLETRANSLATE(A164,""en"",""fr""))"),"")</f>
        <v/>
      </c>
    </row>
    <row r="165" spans="2:2">
      <c r="B165" s="3" t="str">
        <f ca="1">IFERROR(__xludf.DUMMYFUNCTION("IF(ISBLANK(A165),"""",GOOGLETRANSLATE(A165,""en"",""fr""))"),"")</f>
        <v/>
      </c>
    </row>
    <row r="166" spans="2:2">
      <c r="B166" s="3" t="str">
        <f ca="1">IFERROR(__xludf.DUMMYFUNCTION("IF(ISBLANK(A166),"""",GOOGLETRANSLATE(A166,""en"",""fr""))"),"")</f>
        <v/>
      </c>
    </row>
    <row r="167" spans="2:2">
      <c r="B167" s="3" t="str">
        <f ca="1">IFERROR(__xludf.DUMMYFUNCTION("IF(ISBLANK(A167),"""",GOOGLETRANSLATE(A167,""en"",""fr""))"),"")</f>
        <v/>
      </c>
    </row>
    <row r="168" spans="2:2">
      <c r="B168" s="3" t="str">
        <f ca="1">IFERROR(__xludf.DUMMYFUNCTION("IF(ISBLANK(A168),"""",GOOGLETRANSLATE(A168,""en"",""fr""))"),"")</f>
        <v/>
      </c>
    </row>
    <row r="169" spans="2:2">
      <c r="B169" s="3" t="str">
        <f ca="1">IFERROR(__xludf.DUMMYFUNCTION("IF(ISBLANK(A169),"""",GOOGLETRANSLATE(A169,""en"",""fr""))"),"")</f>
        <v/>
      </c>
    </row>
    <row r="170" spans="2:2">
      <c r="B170" s="3" t="str">
        <f ca="1">IFERROR(__xludf.DUMMYFUNCTION("IF(ISBLANK(A170),"""",GOOGLETRANSLATE(A170,""en"",""fr""))"),"")</f>
        <v/>
      </c>
    </row>
    <row r="171" spans="2:2">
      <c r="B171" s="3" t="str">
        <f ca="1">IFERROR(__xludf.DUMMYFUNCTION("IF(ISBLANK(A171),"""",GOOGLETRANSLATE(A171,""en"",""fr""))"),"")</f>
        <v/>
      </c>
    </row>
    <row r="172" spans="2:2">
      <c r="B172" s="3" t="str">
        <f ca="1">IFERROR(__xludf.DUMMYFUNCTION("IF(ISBLANK(A172),"""",GOOGLETRANSLATE(A172,""en"",""fr""))"),"")</f>
        <v/>
      </c>
    </row>
    <row r="173" spans="2:2">
      <c r="B173" s="3" t="str">
        <f ca="1">IFERROR(__xludf.DUMMYFUNCTION("IF(ISBLANK(A173),"""",GOOGLETRANSLATE(A173,""en"",""fr""))"),"")</f>
        <v/>
      </c>
    </row>
    <row r="174" spans="2:2">
      <c r="B174" s="3" t="str">
        <f ca="1">IFERROR(__xludf.DUMMYFUNCTION("IF(ISBLANK(A174),"""",GOOGLETRANSLATE(A174,""en"",""fr""))"),"")</f>
        <v/>
      </c>
    </row>
    <row r="175" spans="2:2">
      <c r="B175" s="3" t="str">
        <f ca="1">IFERROR(__xludf.DUMMYFUNCTION("IF(ISBLANK(A175),"""",GOOGLETRANSLATE(A175,""en"",""fr""))"),"")</f>
        <v/>
      </c>
    </row>
    <row r="176" spans="2:2">
      <c r="B176" s="3" t="str">
        <f ca="1">IFERROR(__xludf.DUMMYFUNCTION("IF(ISBLANK(A176),"""",GOOGLETRANSLATE(A176,""en"",""fr""))"),"")</f>
        <v/>
      </c>
    </row>
    <row r="177" spans="2:2">
      <c r="B177" s="3" t="str">
        <f ca="1">IFERROR(__xludf.DUMMYFUNCTION("IF(ISBLANK(A177),"""",GOOGLETRANSLATE(A177,""en"",""fr""))"),"")</f>
        <v/>
      </c>
    </row>
    <row r="178" spans="2:2">
      <c r="B178" s="3" t="str">
        <f ca="1">IFERROR(__xludf.DUMMYFUNCTION("IF(ISBLANK(A178),"""",GOOGLETRANSLATE(A178,""en"",""fr""))"),"")</f>
        <v/>
      </c>
    </row>
    <row r="179" spans="2:2">
      <c r="B179" s="3" t="str">
        <f ca="1">IFERROR(__xludf.DUMMYFUNCTION("IF(ISBLANK(A179),"""",GOOGLETRANSLATE(A179,""en"",""fr""))"),"")</f>
        <v/>
      </c>
    </row>
    <row r="180" spans="2:2">
      <c r="B180" s="3" t="str">
        <f ca="1">IFERROR(__xludf.DUMMYFUNCTION("IF(ISBLANK(A180),"""",GOOGLETRANSLATE(A180,""en"",""fr""))"),"")</f>
        <v/>
      </c>
    </row>
    <row r="181" spans="2:2">
      <c r="B181" s="3" t="str">
        <f ca="1">IFERROR(__xludf.DUMMYFUNCTION("IF(ISBLANK(A181),"""",GOOGLETRANSLATE(A181,""en"",""fr""))"),"")</f>
        <v/>
      </c>
    </row>
    <row r="182" spans="2:2">
      <c r="B182" s="3" t="str">
        <f ca="1">IFERROR(__xludf.DUMMYFUNCTION("IF(ISBLANK(A182),"""",GOOGLETRANSLATE(A182,""en"",""fr""))"),"")</f>
        <v/>
      </c>
    </row>
    <row r="183" spans="2:2">
      <c r="B183" s="3" t="str">
        <f ca="1">IFERROR(__xludf.DUMMYFUNCTION("IF(ISBLANK(A183),"""",GOOGLETRANSLATE(A183,""en"",""fr""))"),"")</f>
        <v/>
      </c>
    </row>
    <row r="184" spans="2:2">
      <c r="B184" s="3" t="str">
        <f ca="1">IFERROR(__xludf.DUMMYFUNCTION("IF(ISBLANK(A184),"""",GOOGLETRANSLATE(A184,""en"",""fr""))"),"")</f>
        <v/>
      </c>
    </row>
    <row r="185" spans="2:2">
      <c r="B185" s="3" t="str">
        <f ca="1">IFERROR(__xludf.DUMMYFUNCTION("IF(ISBLANK(A185),"""",GOOGLETRANSLATE(A185,""en"",""fr""))"),"")</f>
        <v/>
      </c>
    </row>
    <row r="186" spans="2:2">
      <c r="B186" s="3" t="str">
        <f ca="1">IFERROR(__xludf.DUMMYFUNCTION("IF(ISBLANK(A186),"""",GOOGLETRANSLATE(A186,""en"",""fr""))"),"")</f>
        <v/>
      </c>
    </row>
    <row r="187" spans="2:2">
      <c r="B187" s="3" t="str">
        <f ca="1">IFERROR(__xludf.DUMMYFUNCTION("IF(ISBLANK(A187),"""",GOOGLETRANSLATE(A187,""en"",""fr""))"),"")</f>
        <v/>
      </c>
    </row>
    <row r="188" spans="2:2">
      <c r="B188" s="3" t="str">
        <f ca="1">IFERROR(__xludf.DUMMYFUNCTION("IF(ISBLANK(A188),"""",GOOGLETRANSLATE(A188,""en"",""fr""))"),"")</f>
        <v/>
      </c>
    </row>
    <row r="189" spans="2:2">
      <c r="B189" s="3" t="str">
        <f ca="1">IFERROR(__xludf.DUMMYFUNCTION("IF(ISBLANK(A189),"""",GOOGLETRANSLATE(A189,""en"",""fr""))"),"")</f>
        <v/>
      </c>
    </row>
    <row r="190" spans="2:2">
      <c r="B190" s="3" t="str">
        <f ca="1">IFERROR(__xludf.DUMMYFUNCTION("IF(ISBLANK(A190),"""",GOOGLETRANSLATE(A190,""en"",""fr""))"),"")</f>
        <v/>
      </c>
    </row>
    <row r="191" spans="2:2">
      <c r="B191" s="3" t="str">
        <f ca="1">IFERROR(__xludf.DUMMYFUNCTION("IF(ISBLANK(A191),"""",GOOGLETRANSLATE(A191,""en"",""fr""))"),"")</f>
        <v/>
      </c>
    </row>
    <row r="192" spans="2:2">
      <c r="B192" s="3" t="str">
        <f ca="1">IFERROR(__xludf.DUMMYFUNCTION("IF(ISBLANK(A192),"""",GOOGLETRANSLATE(A192,""en"",""fr""))"),"")</f>
        <v/>
      </c>
    </row>
    <row r="193" spans="2:2">
      <c r="B193" s="3" t="str">
        <f ca="1">IFERROR(__xludf.DUMMYFUNCTION("IF(ISBLANK(A193),"""",GOOGLETRANSLATE(A193,""en"",""fr""))"),"")</f>
        <v/>
      </c>
    </row>
    <row r="194" spans="2:2">
      <c r="B194" s="3" t="str">
        <f ca="1">IFERROR(__xludf.DUMMYFUNCTION("IF(ISBLANK(A194),"""",GOOGLETRANSLATE(A194,""en"",""fr""))"),"")</f>
        <v/>
      </c>
    </row>
    <row r="195" spans="2:2">
      <c r="B195" s="3" t="str">
        <f ca="1">IFERROR(__xludf.DUMMYFUNCTION("IF(ISBLANK(A195),"""",GOOGLETRANSLATE(A195,""en"",""fr""))"),"")</f>
        <v/>
      </c>
    </row>
    <row r="196" spans="2:2">
      <c r="B196" s="3" t="str">
        <f ca="1">IFERROR(__xludf.DUMMYFUNCTION("IF(ISBLANK(A196),"""",GOOGLETRANSLATE(A196,""en"",""fr""))"),"")</f>
        <v/>
      </c>
    </row>
    <row r="197" spans="2:2">
      <c r="B197" s="3" t="str">
        <f ca="1">IFERROR(__xludf.DUMMYFUNCTION("IF(ISBLANK(A197),"""",GOOGLETRANSLATE(A197,""en"",""fr""))"),"")</f>
        <v/>
      </c>
    </row>
    <row r="198" spans="2:2">
      <c r="B198" s="3" t="str">
        <f ca="1">IFERROR(__xludf.DUMMYFUNCTION("IF(ISBLANK(A198),"""",GOOGLETRANSLATE(A198,""en"",""fr""))"),"")</f>
        <v/>
      </c>
    </row>
    <row r="199" spans="2:2">
      <c r="B199" s="3" t="str">
        <f ca="1">IFERROR(__xludf.DUMMYFUNCTION("IF(ISBLANK(A199),"""",GOOGLETRANSLATE(A199,""en"",""fr""))"),"")</f>
        <v/>
      </c>
    </row>
    <row r="200" spans="2:2">
      <c r="B200" s="3" t="str">
        <f ca="1">IFERROR(__xludf.DUMMYFUNCTION("IF(ISBLANK(A200),"""",GOOGLETRANSLATE(A200,""en"",""fr""))"),"")</f>
        <v/>
      </c>
    </row>
    <row r="201" spans="2:2">
      <c r="B201" s="3" t="str">
        <f ca="1">IFERROR(__xludf.DUMMYFUNCTION("IF(ISBLANK(A201),"""",GOOGLETRANSLATE(A201,""en"",""fr""))"),"")</f>
        <v/>
      </c>
    </row>
    <row r="202" spans="2:2">
      <c r="B202" s="3" t="str">
        <f ca="1">IFERROR(__xludf.DUMMYFUNCTION("IF(ISBLANK(A202),"""",GOOGLETRANSLATE(A202,""en"",""fr""))"),"")</f>
        <v/>
      </c>
    </row>
    <row r="203" spans="2:2">
      <c r="B203" s="3" t="str">
        <f ca="1">IFERROR(__xludf.DUMMYFUNCTION("IF(ISBLANK(A203),"""",GOOGLETRANSLATE(A203,""en"",""fr""))"),"")</f>
        <v/>
      </c>
    </row>
    <row r="204" spans="2:2">
      <c r="B204" s="3" t="str">
        <f ca="1">IFERROR(__xludf.DUMMYFUNCTION("IF(ISBLANK(A204),"""",GOOGLETRANSLATE(A204,""en"",""fr""))"),"")</f>
        <v/>
      </c>
    </row>
    <row r="205" spans="2:2">
      <c r="B205" s="3" t="str">
        <f ca="1">IFERROR(__xludf.DUMMYFUNCTION("IF(ISBLANK(A205),"""",GOOGLETRANSLATE(A205,""en"",""fr""))"),"")</f>
        <v/>
      </c>
    </row>
    <row r="206" spans="2:2">
      <c r="B206" s="3" t="str">
        <f ca="1">IFERROR(__xludf.DUMMYFUNCTION("IF(ISBLANK(A206),"""",GOOGLETRANSLATE(A206,""en"",""fr""))"),"")</f>
        <v/>
      </c>
    </row>
    <row r="207" spans="2:2">
      <c r="B207" s="3" t="str">
        <f ca="1">IFERROR(__xludf.DUMMYFUNCTION("IF(ISBLANK(A207),"""",GOOGLETRANSLATE(A207,""en"",""fr""))"),"")</f>
        <v/>
      </c>
    </row>
    <row r="208" spans="2:2">
      <c r="B208" s="3" t="str">
        <f ca="1">IFERROR(__xludf.DUMMYFUNCTION("IF(ISBLANK(A208),"""",GOOGLETRANSLATE(A208,""en"",""fr""))"),"")</f>
        <v/>
      </c>
    </row>
    <row r="209" spans="2:2">
      <c r="B209" s="3" t="str">
        <f ca="1">IFERROR(__xludf.DUMMYFUNCTION("IF(ISBLANK(A209),"""",GOOGLETRANSLATE(A209,""en"",""fr""))"),"")</f>
        <v/>
      </c>
    </row>
    <row r="210" spans="2:2">
      <c r="B210" s="3" t="str">
        <f ca="1">IFERROR(__xludf.DUMMYFUNCTION("IF(ISBLANK(A210),"""",GOOGLETRANSLATE(A210,""en"",""fr""))"),"")</f>
        <v/>
      </c>
    </row>
    <row r="211" spans="2:2">
      <c r="B211" s="3" t="str">
        <f ca="1">IFERROR(__xludf.DUMMYFUNCTION("IF(ISBLANK(A211),"""",GOOGLETRANSLATE(A211,""en"",""fr""))"),"")</f>
        <v/>
      </c>
    </row>
    <row r="212" spans="2:2">
      <c r="B212" s="3" t="str">
        <f ca="1">IFERROR(__xludf.DUMMYFUNCTION("IF(ISBLANK(A212),"""",GOOGLETRANSLATE(A212,""en"",""fr""))"),"")</f>
        <v/>
      </c>
    </row>
    <row r="213" spans="2:2">
      <c r="B213" s="3" t="str">
        <f ca="1">IFERROR(__xludf.DUMMYFUNCTION("IF(ISBLANK(A213),"""",GOOGLETRANSLATE(A213,""en"",""fr""))"),"")</f>
        <v/>
      </c>
    </row>
    <row r="214" spans="2:2">
      <c r="B214" s="3" t="str">
        <f ca="1">IFERROR(__xludf.DUMMYFUNCTION("IF(ISBLANK(A214),"""",GOOGLETRANSLATE(A214,""en"",""fr""))"),"")</f>
        <v/>
      </c>
    </row>
    <row r="215" spans="2:2">
      <c r="B215" s="3" t="str">
        <f ca="1">IFERROR(__xludf.DUMMYFUNCTION("IF(ISBLANK(A215),"""",GOOGLETRANSLATE(A215,""en"",""fr""))"),"")</f>
        <v/>
      </c>
    </row>
    <row r="216" spans="2:2">
      <c r="B216" s="3" t="str">
        <f ca="1">IFERROR(__xludf.DUMMYFUNCTION("IF(ISBLANK(A216),"""",GOOGLETRANSLATE(A216,""en"",""fr""))"),"")</f>
        <v/>
      </c>
    </row>
    <row r="217" spans="2:2">
      <c r="B217" s="3" t="str">
        <f ca="1">IFERROR(__xludf.DUMMYFUNCTION("IF(ISBLANK(A217),"""",GOOGLETRANSLATE(A217,""en"",""fr""))"),"")</f>
        <v/>
      </c>
    </row>
    <row r="218" spans="2:2">
      <c r="B218" s="3" t="str">
        <f ca="1">IFERROR(__xludf.DUMMYFUNCTION("IF(ISBLANK(A218),"""",GOOGLETRANSLATE(A218,""en"",""fr""))"),"")</f>
        <v/>
      </c>
    </row>
    <row r="219" spans="2:2">
      <c r="B219" s="3" t="str">
        <f ca="1">IFERROR(__xludf.DUMMYFUNCTION("IF(ISBLANK(A219),"""",GOOGLETRANSLATE(A219,""en"",""fr""))"),"")</f>
        <v/>
      </c>
    </row>
    <row r="220" spans="2:2">
      <c r="B220" s="3" t="str">
        <f ca="1">IFERROR(__xludf.DUMMYFUNCTION("IF(ISBLANK(A220),"""",GOOGLETRANSLATE(A220,""en"",""fr""))"),"")</f>
        <v/>
      </c>
    </row>
    <row r="221" spans="2:2">
      <c r="B221" s="3" t="str">
        <f ca="1">IFERROR(__xludf.DUMMYFUNCTION("IF(ISBLANK(A221),"""",GOOGLETRANSLATE(A221,""en"",""fr""))"),"")</f>
        <v/>
      </c>
    </row>
    <row r="222" spans="2:2">
      <c r="B222" s="3" t="str">
        <f ca="1">IFERROR(__xludf.DUMMYFUNCTION("IF(ISBLANK(A222),"""",GOOGLETRANSLATE(A222,""en"",""fr""))"),"")</f>
        <v/>
      </c>
    </row>
    <row r="223" spans="2:2">
      <c r="B223" s="3" t="str">
        <f ca="1">IFERROR(__xludf.DUMMYFUNCTION("IF(ISBLANK(A223),"""",GOOGLETRANSLATE(A223,""en"",""fr""))"),"")</f>
        <v/>
      </c>
    </row>
    <row r="224" spans="2:2">
      <c r="B224" s="3" t="str">
        <f ca="1">IFERROR(__xludf.DUMMYFUNCTION("IF(ISBLANK(A224),"""",GOOGLETRANSLATE(A224,""en"",""fr""))"),"")</f>
        <v/>
      </c>
    </row>
    <row r="225" spans="2:2">
      <c r="B225" s="3" t="str">
        <f ca="1">IFERROR(__xludf.DUMMYFUNCTION("IF(ISBLANK(A225),"""",GOOGLETRANSLATE(A225,""en"",""fr""))"),"")</f>
        <v/>
      </c>
    </row>
    <row r="226" spans="2:2">
      <c r="B226" s="3" t="str">
        <f ca="1">IFERROR(__xludf.DUMMYFUNCTION("IF(ISBLANK(A226),"""",GOOGLETRANSLATE(A226,""en"",""fr""))"),"")</f>
        <v/>
      </c>
    </row>
    <row r="227" spans="2:2">
      <c r="B227" s="3" t="str">
        <f ca="1">IFERROR(__xludf.DUMMYFUNCTION("IF(ISBLANK(A227),"""",GOOGLETRANSLATE(A227,""en"",""fr""))"),"")</f>
        <v/>
      </c>
    </row>
    <row r="228" spans="2:2">
      <c r="B228" s="3" t="str">
        <f ca="1">IFERROR(__xludf.DUMMYFUNCTION("IF(ISBLANK(A228),"""",GOOGLETRANSLATE(A228,""en"",""fr""))"),"")</f>
        <v/>
      </c>
    </row>
    <row r="229" spans="2:2">
      <c r="B229" s="3" t="str">
        <f ca="1">IFERROR(__xludf.DUMMYFUNCTION("IF(ISBLANK(A229),"""",GOOGLETRANSLATE(A229,""en"",""fr""))"),"")</f>
        <v/>
      </c>
    </row>
    <row r="230" spans="2:2">
      <c r="B230" s="3" t="str">
        <f ca="1">IFERROR(__xludf.DUMMYFUNCTION("IF(ISBLANK(A230),"""",GOOGLETRANSLATE(A230,""en"",""fr""))"),"")</f>
        <v/>
      </c>
    </row>
    <row r="231" spans="2:2">
      <c r="B231" s="3" t="str">
        <f ca="1">IFERROR(__xludf.DUMMYFUNCTION("IF(ISBLANK(A231),"""",GOOGLETRANSLATE(A231,""en"",""fr""))"),"")</f>
        <v/>
      </c>
    </row>
    <row r="232" spans="2:2">
      <c r="B232" s="3" t="str">
        <f ca="1">IFERROR(__xludf.DUMMYFUNCTION("IF(ISBLANK(A232),"""",GOOGLETRANSLATE(A232,""en"",""fr""))"),"")</f>
        <v/>
      </c>
    </row>
    <row r="233" spans="2:2">
      <c r="B233" s="3" t="str">
        <f ca="1">IFERROR(__xludf.DUMMYFUNCTION("IF(ISBLANK(A233),"""",GOOGLETRANSLATE(A233,""en"",""fr""))"),"")</f>
        <v/>
      </c>
    </row>
    <row r="234" spans="2:2">
      <c r="B234" s="3" t="str">
        <f ca="1">IFERROR(__xludf.DUMMYFUNCTION("IF(ISBLANK(A234),"""",GOOGLETRANSLATE(A234,""en"",""fr""))"),"")</f>
        <v/>
      </c>
    </row>
    <row r="235" spans="2:2">
      <c r="B235" s="3" t="str">
        <f ca="1">IFERROR(__xludf.DUMMYFUNCTION("IF(ISBLANK(A235),"""",GOOGLETRANSLATE(A235,""en"",""fr""))"),"")</f>
        <v/>
      </c>
    </row>
    <row r="236" spans="2:2">
      <c r="B236" s="3" t="str">
        <f ca="1">IFERROR(__xludf.DUMMYFUNCTION("IF(ISBLANK(A236),"""",GOOGLETRANSLATE(A236,""en"",""fr""))"),"")</f>
        <v/>
      </c>
    </row>
    <row r="237" spans="2:2">
      <c r="B237" s="3" t="str">
        <f ca="1">IFERROR(__xludf.DUMMYFUNCTION("IF(ISBLANK(A237),"""",GOOGLETRANSLATE(A237,""en"",""fr""))"),"")</f>
        <v/>
      </c>
    </row>
    <row r="238" spans="2:2">
      <c r="B238" s="3" t="str">
        <f ca="1">IFERROR(__xludf.DUMMYFUNCTION("IF(ISBLANK(A238),"""",GOOGLETRANSLATE(A238,""en"",""fr""))"),"")</f>
        <v/>
      </c>
    </row>
    <row r="239" spans="2:2">
      <c r="B239" s="3" t="str">
        <f ca="1">IFERROR(__xludf.DUMMYFUNCTION("IF(ISBLANK(A239),"""",GOOGLETRANSLATE(A239,""en"",""fr""))"),"")</f>
        <v/>
      </c>
    </row>
    <row r="240" spans="2:2">
      <c r="B240" s="3" t="str">
        <f ca="1">IFERROR(__xludf.DUMMYFUNCTION("IF(ISBLANK(A240),"""",GOOGLETRANSLATE(A240,""en"",""fr""))"),"")</f>
        <v/>
      </c>
    </row>
    <row r="241" spans="2:2">
      <c r="B241" s="3" t="str">
        <f ca="1">IFERROR(__xludf.DUMMYFUNCTION("IF(ISBLANK(A241),"""",GOOGLETRANSLATE(A241,""en"",""fr""))"),"")</f>
        <v/>
      </c>
    </row>
    <row r="242" spans="2:2">
      <c r="B242" s="3" t="str">
        <f ca="1">IFERROR(__xludf.DUMMYFUNCTION("IF(ISBLANK(A242),"""",GOOGLETRANSLATE(A242,""en"",""fr""))"),"")</f>
        <v/>
      </c>
    </row>
    <row r="243" spans="2:2">
      <c r="B243" s="3" t="str">
        <f ca="1">IFERROR(__xludf.DUMMYFUNCTION("IF(ISBLANK(A243),"""",GOOGLETRANSLATE(A243,""en"",""fr""))"),"")</f>
        <v/>
      </c>
    </row>
    <row r="244" spans="2:2">
      <c r="B244" s="3" t="str">
        <f ca="1">IFERROR(__xludf.DUMMYFUNCTION("IF(ISBLANK(A244),"""",GOOGLETRANSLATE(A244,""en"",""fr""))"),"")</f>
        <v/>
      </c>
    </row>
    <row r="245" spans="2:2">
      <c r="B245" s="3" t="str">
        <f ca="1">IFERROR(__xludf.DUMMYFUNCTION("IF(ISBLANK(A245),"""",GOOGLETRANSLATE(A245,""en"",""fr""))"),"")</f>
        <v/>
      </c>
    </row>
    <row r="246" spans="2:2">
      <c r="B246" s="3" t="str">
        <f ca="1">IFERROR(__xludf.DUMMYFUNCTION("IF(ISBLANK(A246),"""",GOOGLETRANSLATE(A246,""en"",""fr""))"),"")</f>
        <v/>
      </c>
    </row>
    <row r="247" spans="2:2">
      <c r="B247" s="3" t="str">
        <f ca="1">IFERROR(__xludf.DUMMYFUNCTION("IF(ISBLANK(A247),"""",GOOGLETRANSLATE(A247,""en"",""fr""))"),"")</f>
        <v/>
      </c>
    </row>
    <row r="248" spans="2:2">
      <c r="B248" s="3" t="str">
        <f ca="1">IFERROR(__xludf.DUMMYFUNCTION("IF(ISBLANK(A248),"""",GOOGLETRANSLATE(A248,""en"",""fr""))"),"")</f>
        <v/>
      </c>
    </row>
    <row r="249" spans="2:2">
      <c r="B249" s="3" t="str">
        <f ca="1">IFERROR(__xludf.DUMMYFUNCTION("IF(ISBLANK(A249),"""",GOOGLETRANSLATE(A249,""en"",""fr""))"),"")</f>
        <v/>
      </c>
    </row>
    <row r="250" spans="2:2">
      <c r="B250" s="3" t="str">
        <f ca="1">IFERROR(__xludf.DUMMYFUNCTION("IF(ISBLANK(A250),"""",GOOGLETRANSLATE(A250,""en"",""fr""))"),"")</f>
        <v/>
      </c>
    </row>
    <row r="251" spans="2:2">
      <c r="B251" s="3" t="str">
        <f ca="1">IFERROR(__xludf.DUMMYFUNCTION("IF(ISBLANK(A251),"""",GOOGLETRANSLATE(A251,""en"",""fr""))"),"")</f>
        <v/>
      </c>
    </row>
    <row r="252" spans="2:2">
      <c r="B252" s="3" t="str">
        <f ca="1">IFERROR(__xludf.DUMMYFUNCTION("IF(ISBLANK(A252),"""",GOOGLETRANSLATE(A252,""en"",""fr""))"),"")</f>
        <v/>
      </c>
    </row>
    <row r="253" spans="2:2">
      <c r="B253" s="3" t="str">
        <f ca="1">IFERROR(__xludf.DUMMYFUNCTION("IF(ISBLANK(A253),"""",GOOGLETRANSLATE(A253,""en"",""fr""))"),"")</f>
        <v/>
      </c>
    </row>
    <row r="254" spans="2:2">
      <c r="B254" s="3" t="str">
        <f ca="1">IFERROR(__xludf.DUMMYFUNCTION("IF(ISBLANK(A254),"""",GOOGLETRANSLATE(A254,""en"",""fr""))"),"")</f>
        <v/>
      </c>
    </row>
    <row r="255" spans="2:2">
      <c r="B255" s="3" t="str">
        <f ca="1">IFERROR(__xludf.DUMMYFUNCTION("IF(ISBLANK(A255),"""",GOOGLETRANSLATE(A255,""en"",""fr""))"),"")</f>
        <v/>
      </c>
    </row>
    <row r="256" spans="2:2">
      <c r="B256" s="3" t="str">
        <f ca="1">IFERROR(__xludf.DUMMYFUNCTION("IF(ISBLANK(A256),"""",GOOGLETRANSLATE(A256,""en"",""fr""))"),"")</f>
        <v/>
      </c>
    </row>
    <row r="257" spans="2:2">
      <c r="B257" s="3" t="str">
        <f ca="1">IFERROR(__xludf.DUMMYFUNCTION("IF(ISBLANK(A257),"""",GOOGLETRANSLATE(A257,""en"",""fr""))"),"")</f>
        <v/>
      </c>
    </row>
    <row r="258" spans="2:2">
      <c r="B258" s="3" t="str">
        <f ca="1">IFERROR(__xludf.DUMMYFUNCTION("IF(ISBLANK(A258),"""",GOOGLETRANSLATE(A258,""en"",""fr""))"),"")</f>
        <v/>
      </c>
    </row>
    <row r="259" spans="2:2">
      <c r="B259" s="3" t="str">
        <f ca="1">IFERROR(__xludf.DUMMYFUNCTION("IF(ISBLANK(A259),"""",GOOGLETRANSLATE(A259,""en"",""fr""))"),"")</f>
        <v/>
      </c>
    </row>
    <row r="260" spans="2:2">
      <c r="B260" s="3" t="str">
        <f ca="1">IFERROR(__xludf.DUMMYFUNCTION("IF(ISBLANK(A260),"""",GOOGLETRANSLATE(A260,""en"",""fr""))"),"")</f>
        <v/>
      </c>
    </row>
    <row r="261" spans="2:2">
      <c r="B261" s="3" t="str">
        <f ca="1">IFERROR(__xludf.DUMMYFUNCTION("IF(ISBLANK(A261),"""",GOOGLETRANSLATE(A261,""en"",""fr""))"),"")</f>
        <v/>
      </c>
    </row>
    <row r="262" spans="2:2">
      <c r="B262" s="3" t="str">
        <f ca="1">IFERROR(__xludf.DUMMYFUNCTION("IF(ISBLANK(A262),"""",GOOGLETRANSLATE(A262,""en"",""fr""))"),"")</f>
        <v/>
      </c>
    </row>
    <row r="263" spans="2:2">
      <c r="B263" s="3" t="str">
        <f ca="1">IFERROR(__xludf.DUMMYFUNCTION("IF(ISBLANK(A263),"""",GOOGLETRANSLATE(A263,""en"",""fr""))"),"")</f>
        <v/>
      </c>
    </row>
    <row r="264" spans="2:2">
      <c r="B264" s="3" t="str">
        <f ca="1">IFERROR(__xludf.DUMMYFUNCTION("IF(ISBLANK(A264),"""",GOOGLETRANSLATE(A264,""en"",""fr""))"),"")</f>
        <v/>
      </c>
    </row>
    <row r="265" spans="2:2">
      <c r="B265" s="3" t="str">
        <f ca="1">IFERROR(__xludf.DUMMYFUNCTION("IF(ISBLANK(A265),"""",GOOGLETRANSLATE(A265,""en"",""fr""))"),"")</f>
        <v/>
      </c>
    </row>
    <row r="266" spans="2:2">
      <c r="B266" s="3" t="str">
        <f ca="1">IFERROR(__xludf.DUMMYFUNCTION("IF(ISBLANK(A266),"""",GOOGLETRANSLATE(A266,""en"",""fr""))"),"")</f>
        <v/>
      </c>
    </row>
    <row r="267" spans="2:2">
      <c r="B267" s="3" t="str">
        <f ca="1">IFERROR(__xludf.DUMMYFUNCTION("IF(ISBLANK(A267),"""",GOOGLETRANSLATE(A267,""en"",""fr""))"),"")</f>
        <v/>
      </c>
    </row>
    <row r="268" spans="2:2">
      <c r="B268" s="3" t="str">
        <f ca="1">IFERROR(__xludf.DUMMYFUNCTION("IF(ISBLANK(A268),"""",GOOGLETRANSLATE(A268,""en"",""fr""))"),"")</f>
        <v/>
      </c>
    </row>
    <row r="269" spans="2:2">
      <c r="B269" s="3" t="str">
        <f ca="1">IFERROR(__xludf.DUMMYFUNCTION("IF(ISBLANK(A269),"""",GOOGLETRANSLATE(A269,""en"",""fr""))"),"")</f>
        <v/>
      </c>
    </row>
    <row r="270" spans="2:2">
      <c r="B270" s="3" t="str">
        <f ca="1">IFERROR(__xludf.DUMMYFUNCTION("IF(ISBLANK(A270),"""",GOOGLETRANSLATE(A270,""en"",""fr""))"),"")</f>
        <v/>
      </c>
    </row>
    <row r="271" spans="2:2">
      <c r="B271" s="3" t="str">
        <f ca="1">IFERROR(__xludf.DUMMYFUNCTION("IF(ISBLANK(A271),"""",GOOGLETRANSLATE(A271,""en"",""fr""))"),"")</f>
        <v/>
      </c>
    </row>
    <row r="272" spans="2:2">
      <c r="B272" s="3" t="str">
        <f ca="1">IFERROR(__xludf.DUMMYFUNCTION("IF(ISBLANK(A272),"""",GOOGLETRANSLATE(A272,""en"",""fr""))"),"")</f>
        <v/>
      </c>
    </row>
    <row r="273" spans="2:2">
      <c r="B273" s="3" t="str">
        <f ca="1">IFERROR(__xludf.DUMMYFUNCTION("IF(ISBLANK(A273),"""",GOOGLETRANSLATE(A273,""en"",""fr""))"),"")</f>
        <v/>
      </c>
    </row>
    <row r="274" spans="2:2">
      <c r="B274" s="3" t="str">
        <f ca="1">IFERROR(__xludf.DUMMYFUNCTION("IF(ISBLANK(A274),"""",GOOGLETRANSLATE(A274,""en"",""fr""))"),"")</f>
        <v/>
      </c>
    </row>
    <row r="275" spans="2:2">
      <c r="B275" s="3" t="str">
        <f ca="1">IFERROR(__xludf.DUMMYFUNCTION("IF(ISBLANK(A275),"""",GOOGLETRANSLATE(A275,""en"",""fr""))"),"")</f>
        <v/>
      </c>
    </row>
    <row r="276" spans="2:2">
      <c r="B276" s="3" t="str">
        <f ca="1">IFERROR(__xludf.DUMMYFUNCTION("IF(ISBLANK(A276),"""",GOOGLETRANSLATE(A276,""en"",""fr""))"),"")</f>
        <v/>
      </c>
    </row>
    <row r="277" spans="2:2">
      <c r="B277" s="3" t="str">
        <f ca="1">IFERROR(__xludf.DUMMYFUNCTION("IF(ISBLANK(A277),"""",GOOGLETRANSLATE(A277,""en"",""fr""))"),"")</f>
        <v/>
      </c>
    </row>
    <row r="278" spans="2:2">
      <c r="B278" s="3" t="str">
        <f ca="1">IFERROR(__xludf.DUMMYFUNCTION("IF(ISBLANK(A278),"""",GOOGLETRANSLATE(A278,""en"",""fr""))"),"")</f>
        <v/>
      </c>
    </row>
    <row r="279" spans="2:2">
      <c r="B279" s="3" t="str">
        <f ca="1">IFERROR(__xludf.DUMMYFUNCTION("IF(ISBLANK(A279),"""",GOOGLETRANSLATE(A279,""en"",""fr""))"),"")</f>
        <v/>
      </c>
    </row>
    <row r="280" spans="2:2">
      <c r="B280" s="3" t="str">
        <f ca="1">IFERROR(__xludf.DUMMYFUNCTION("IF(ISBLANK(A280),"""",GOOGLETRANSLATE(A280,""en"",""fr""))"),"")</f>
        <v/>
      </c>
    </row>
    <row r="281" spans="2:2">
      <c r="B281" s="3" t="str">
        <f ca="1">IFERROR(__xludf.DUMMYFUNCTION("IF(ISBLANK(A281),"""",GOOGLETRANSLATE(A281,""en"",""fr""))"),"")</f>
        <v/>
      </c>
    </row>
    <row r="282" spans="2:2">
      <c r="B282" s="3" t="str">
        <f ca="1">IFERROR(__xludf.DUMMYFUNCTION("IF(ISBLANK(A282),"""",GOOGLETRANSLATE(A282,""en"",""fr""))"),"")</f>
        <v/>
      </c>
    </row>
    <row r="283" spans="2:2">
      <c r="B283" s="3" t="str">
        <f ca="1">IFERROR(__xludf.DUMMYFUNCTION("IF(ISBLANK(A283),"""",GOOGLETRANSLATE(A283,""en"",""fr""))"),"")</f>
        <v/>
      </c>
    </row>
    <row r="284" spans="2:2">
      <c r="B284" s="3" t="str">
        <f ca="1">IFERROR(__xludf.DUMMYFUNCTION("IF(ISBLANK(A284),"""",GOOGLETRANSLATE(A284,""en"",""fr""))"),"")</f>
        <v/>
      </c>
    </row>
    <row r="285" spans="2:2">
      <c r="B285" s="3" t="str">
        <f ca="1">IFERROR(__xludf.DUMMYFUNCTION("IF(ISBLANK(A285),"""",GOOGLETRANSLATE(A285,""en"",""fr""))"),"")</f>
        <v/>
      </c>
    </row>
    <row r="286" spans="2:2">
      <c r="B286" s="3" t="str">
        <f ca="1">IFERROR(__xludf.DUMMYFUNCTION("IF(ISBLANK(A286),"""",GOOGLETRANSLATE(A286,""en"",""fr""))"),"")</f>
        <v/>
      </c>
    </row>
    <row r="287" spans="2:2">
      <c r="B287" s="3" t="str">
        <f ca="1">IFERROR(__xludf.DUMMYFUNCTION("IF(ISBLANK(A287),"""",GOOGLETRANSLATE(A287,""en"",""fr""))"),"")</f>
        <v/>
      </c>
    </row>
    <row r="288" spans="2:2">
      <c r="B288" s="3" t="str">
        <f ca="1">IFERROR(__xludf.DUMMYFUNCTION("IF(ISBLANK(A288),"""",GOOGLETRANSLATE(A288,""en"",""fr""))"),"")</f>
        <v/>
      </c>
    </row>
    <row r="289" spans="2:2">
      <c r="B289" s="3" t="str">
        <f ca="1">IFERROR(__xludf.DUMMYFUNCTION("IF(ISBLANK(A289),"""",GOOGLETRANSLATE(A289,""en"",""fr""))"),"")</f>
        <v/>
      </c>
    </row>
    <row r="290" spans="2:2">
      <c r="B290" s="3" t="str">
        <f ca="1">IFERROR(__xludf.DUMMYFUNCTION("IF(ISBLANK(A290),"""",GOOGLETRANSLATE(A290,""en"",""fr""))"),"")</f>
        <v/>
      </c>
    </row>
    <row r="291" spans="2:2">
      <c r="B291" s="3" t="str">
        <f ca="1">IFERROR(__xludf.DUMMYFUNCTION("IF(ISBLANK(A291),"""",GOOGLETRANSLATE(A291,""en"",""fr""))"),"")</f>
        <v/>
      </c>
    </row>
    <row r="292" spans="2:2">
      <c r="B292" s="3" t="str">
        <f ca="1">IFERROR(__xludf.DUMMYFUNCTION("IF(ISBLANK(A292),"""",GOOGLETRANSLATE(A292,""en"",""fr""))"),"")</f>
        <v/>
      </c>
    </row>
    <row r="293" spans="2:2">
      <c r="B293" s="3" t="str">
        <f ca="1">IFERROR(__xludf.DUMMYFUNCTION("IF(ISBLANK(A293),"""",GOOGLETRANSLATE(A293,""en"",""fr""))"),"")</f>
        <v/>
      </c>
    </row>
    <row r="294" spans="2:2">
      <c r="B294" s="3" t="str">
        <f ca="1">IFERROR(__xludf.DUMMYFUNCTION("IF(ISBLANK(A294),"""",GOOGLETRANSLATE(A294,""en"",""fr""))"),"")</f>
        <v/>
      </c>
    </row>
    <row r="295" spans="2:2">
      <c r="B295" s="3" t="str">
        <f ca="1">IFERROR(__xludf.DUMMYFUNCTION("IF(ISBLANK(A295),"""",GOOGLETRANSLATE(A295,""en"",""fr""))"),"")</f>
        <v/>
      </c>
    </row>
    <row r="296" spans="2:2">
      <c r="B296" s="3" t="str">
        <f ca="1">IFERROR(__xludf.DUMMYFUNCTION("IF(ISBLANK(A296),"""",GOOGLETRANSLATE(A296,""en"",""fr""))"),"")</f>
        <v/>
      </c>
    </row>
    <row r="297" spans="2:2">
      <c r="B297" s="3" t="str">
        <f ca="1">IFERROR(__xludf.DUMMYFUNCTION("IF(ISBLANK(A297),"""",GOOGLETRANSLATE(A297,""en"",""fr""))"),"")</f>
        <v/>
      </c>
    </row>
    <row r="298" spans="2:2">
      <c r="B298" s="3" t="str">
        <f ca="1">IFERROR(__xludf.DUMMYFUNCTION("IF(ISBLANK(A298),"""",GOOGLETRANSLATE(A298,""en"",""fr""))"),"")</f>
        <v/>
      </c>
    </row>
    <row r="299" spans="2:2">
      <c r="B299" s="3" t="str">
        <f ca="1">IFERROR(__xludf.DUMMYFUNCTION("IF(ISBLANK(A299),"""",GOOGLETRANSLATE(A299,""en"",""fr""))"),"")</f>
        <v/>
      </c>
    </row>
    <row r="300" spans="2:2">
      <c r="B300" s="3" t="str">
        <f ca="1">IFERROR(__xludf.DUMMYFUNCTION("IF(ISBLANK(A300),"""",GOOGLETRANSLATE(A300,""en"",""fr""))"),"")</f>
        <v/>
      </c>
    </row>
    <row r="301" spans="2:2">
      <c r="B301" s="3" t="str">
        <f ca="1">IFERROR(__xludf.DUMMYFUNCTION("IF(ISBLANK(A301),"""",GOOGLETRANSLATE(A301,""en"",""fr""))"),"")</f>
        <v/>
      </c>
    </row>
    <row r="302" spans="2:2">
      <c r="B302" s="3" t="str">
        <f ca="1">IFERROR(__xludf.DUMMYFUNCTION("IF(ISBLANK(A302),"""",GOOGLETRANSLATE(A302,""en"",""fr""))"),"")</f>
        <v/>
      </c>
    </row>
    <row r="303" spans="2:2">
      <c r="B303" s="3" t="str">
        <f ca="1">IFERROR(__xludf.DUMMYFUNCTION("IF(ISBLANK(A303),"""",GOOGLETRANSLATE(A303,""en"",""fr""))"),"")</f>
        <v/>
      </c>
    </row>
    <row r="304" spans="2:2">
      <c r="B304" s="3" t="str">
        <f ca="1">IFERROR(__xludf.DUMMYFUNCTION("IF(ISBLANK(A304),"""",GOOGLETRANSLATE(A304,""en"",""fr""))"),"")</f>
        <v/>
      </c>
    </row>
    <row r="305" spans="2:2">
      <c r="B305" s="3" t="str">
        <f ca="1">IFERROR(__xludf.DUMMYFUNCTION("IF(ISBLANK(A305),"""",GOOGLETRANSLATE(A305,""en"",""fr""))"),"")</f>
        <v/>
      </c>
    </row>
    <row r="306" spans="2:2">
      <c r="B306" s="3" t="str">
        <f ca="1">IFERROR(__xludf.DUMMYFUNCTION("IF(ISBLANK(A306),"""",GOOGLETRANSLATE(A306,""en"",""fr""))"),"")</f>
        <v/>
      </c>
    </row>
    <row r="307" spans="2:2">
      <c r="B307" s="3" t="str">
        <f ca="1">IFERROR(__xludf.DUMMYFUNCTION("IF(ISBLANK(A307),"""",GOOGLETRANSLATE(A307,""en"",""fr""))"),"")</f>
        <v/>
      </c>
    </row>
    <row r="308" spans="2:2">
      <c r="B308" s="3" t="str">
        <f ca="1">IFERROR(__xludf.DUMMYFUNCTION("IF(ISBLANK(A308),"""",GOOGLETRANSLATE(A308,""en"",""fr""))"),"")</f>
        <v/>
      </c>
    </row>
    <row r="309" spans="2:2">
      <c r="B309" s="3" t="str">
        <f ca="1">IFERROR(__xludf.DUMMYFUNCTION("IF(ISBLANK(A309),"""",GOOGLETRANSLATE(A309,""en"",""fr""))"),"")</f>
        <v/>
      </c>
    </row>
    <row r="310" spans="2:2">
      <c r="B310" s="3" t="str">
        <f ca="1">IFERROR(__xludf.DUMMYFUNCTION("IF(ISBLANK(A310),"""",GOOGLETRANSLATE(A310,""en"",""fr""))"),"")</f>
        <v/>
      </c>
    </row>
    <row r="311" spans="2:2">
      <c r="B311" s="3" t="str">
        <f ca="1">IFERROR(__xludf.DUMMYFUNCTION("IF(ISBLANK(A311),"""",GOOGLETRANSLATE(A311,""en"",""fr""))"),"")</f>
        <v/>
      </c>
    </row>
    <row r="312" spans="2:2">
      <c r="B312" s="3" t="str">
        <f ca="1">IFERROR(__xludf.DUMMYFUNCTION("IF(ISBLANK(A312),"""",GOOGLETRANSLATE(A312,""en"",""fr""))"),"")</f>
        <v/>
      </c>
    </row>
    <row r="313" spans="2:2">
      <c r="B313" s="3" t="str">
        <f ca="1">IFERROR(__xludf.DUMMYFUNCTION("IF(ISBLANK(A313),"""",GOOGLETRANSLATE(A313,""en"",""fr""))"),"")</f>
        <v/>
      </c>
    </row>
    <row r="314" spans="2:2">
      <c r="B314" s="3" t="str">
        <f ca="1">IFERROR(__xludf.DUMMYFUNCTION("IF(ISBLANK(A314),"""",GOOGLETRANSLATE(A314,""en"",""fr""))"),"")</f>
        <v/>
      </c>
    </row>
    <row r="315" spans="2:2">
      <c r="B315" s="3" t="str">
        <f ca="1">IFERROR(__xludf.DUMMYFUNCTION("IF(ISBLANK(A315),"""",GOOGLETRANSLATE(A315,""en"",""fr""))"),"")</f>
        <v/>
      </c>
    </row>
    <row r="316" spans="2:2">
      <c r="B316" s="3" t="str">
        <f ca="1">IFERROR(__xludf.DUMMYFUNCTION("IF(ISBLANK(A316),"""",GOOGLETRANSLATE(A316,""en"",""fr""))"),"")</f>
        <v/>
      </c>
    </row>
    <row r="317" spans="2:2">
      <c r="B317" s="3" t="str">
        <f ca="1">IFERROR(__xludf.DUMMYFUNCTION("IF(ISBLANK(A317),"""",GOOGLETRANSLATE(A317,""en"",""fr""))"),"")</f>
        <v/>
      </c>
    </row>
    <row r="318" spans="2:2">
      <c r="B318" s="3" t="str">
        <f ca="1">IFERROR(__xludf.DUMMYFUNCTION("IF(ISBLANK(A318),"""",GOOGLETRANSLATE(A318,""en"",""fr""))"),"")</f>
        <v/>
      </c>
    </row>
    <row r="319" spans="2:2">
      <c r="B319" s="3" t="str">
        <f ca="1">IFERROR(__xludf.DUMMYFUNCTION("IF(ISBLANK(A319),"""",GOOGLETRANSLATE(A319,""en"",""fr""))"),"")</f>
        <v/>
      </c>
    </row>
    <row r="320" spans="2:2">
      <c r="B320" s="3" t="str">
        <f ca="1">IFERROR(__xludf.DUMMYFUNCTION("IF(ISBLANK(A320),"""",GOOGLETRANSLATE(A320,""en"",""fr""))"),"")</f>
        <v/>
      </c>
    </row>
    <row r="321" spans="2:2">
      <c r="B321" s="3" t="str">
        <f ca="1">IFERROR(__xludf.DUMMYFUNCTION("IF(ISBLANK(A321),"""",GOOGLETRANSLATE(A321,""en"",""fr""))"),"")</f>
        <v/>
      </c>
    </row>
    <row r="322" spans="2:2">
      <c r="B322" s="3" t="str">
        <f ca="1">IFERROR(__xludf.DUMMYFUNCTION("IF(ISBLANK(A322),"""",GOOGLETRANSLATE(A322,""en"",""fr""))"),"")</f>
        <v/>
      </c>
    </row>
    <row r="323" spans="2:2">
      <c r="B323" s="3" t="str">
        <f ca="1">IFERROR(__xludf.DUMMYFUNCTION("IF(ISBLANK(A323),"""",GOOGLETRANSLATE(A323,""en"",""fr""))"),"")</f>
        <v/>
      </c>
    </row>
    <row r="324" spans="2:2">
      <c r="B324" s="3" t="str">
        <f ca="1">IFERROR(__xludf.DUMMYFUNCTION("IF(ISBLANK(A324),"""",GOOGLETRANSLATE(A324,""en"",""fr""))"),"")</f>
        <v/>
      </c>
    </row>
    <row r="325" spans="2:2">
      <c r="B325" s="3" t="str">
        <f ca="1">IFERROR(__xludf.DUMMYFUNCTION("IF(ISBLANK(A325),"""",GOOGLETRANSLATE(A325,""en"",""fr""))"),"")</f>
        <v/>
      </c>
    </row>
    <row r="326" spans="2:2">
      <c r="B326" s="3" t="str">
        <f ca="1">IFERROR(__xludf.DUMMYFUNCTION("IF(ISBLANK(A326),"""",GOOGLETRANSLATE(A326,""en"",""fr""))"),"")</f>
        <v/>
      </c>
    </row>
    <row r="327" spans="2:2">
      <c r="B327" s="3" t="str">
        <f ca="1">IFERROR(__xludf.DUMMYFUNCTION("IF(ISBLANK(A327),"""",GOOGLETRANSLATE(A327,""en"",""fr""))"),"")</f>
        <v/>
      </c>
    </row>
    <row r="328" spans="2:2">
      <c r="B328" s="3" t="str">
        <f ca="1">IFERROR(__xludf.DUMMYFUNCTION("IF(ISBLANK(A328),"""",GOOGLETRANSLATE(A328,""en"",""fr""))"),"")</f>
        <v/>
      </c>
    </row>
    <row r="329" spans="2:2">
      <c r="B329" s="3" t="str">
        <f ca="1">IFERROR(__xludf.DUMMYFUNCTION("IF(ISBLANK(A329),"""",GOOGLETRANSLATE(A329,""en"",""fr""))"),"")</f>
        <v/>
      </c>
    </row>
    <row r="330" spans="2:2">
      <c r="B330" s="3" t="str">
        <f ca="1">IFERROR(__xludf.DUMMYFUNCTION("IF(ISBLANK(A330),"""",GOOGLETRANSLATE(A330,""en"",""fr""))"),"")</f>
        <v/>
      </c>
    </row>
    <row r="331" spans="2:2">
      <c r="B331" s="3" t="str">
        <f ca="1">IFERROR(__xludf.DUMMYFUNCTION("IF(ISBLANK(A331),"""",GOOGLETRANSLATE(A331,""en"",""fr""))"),"")</f>
        <v/>
      </c>
    </row>
    <row r="332" spans="2:2">
      <c r="B332" s="3" t="str">
        <f ca="1">IFERROR(__xludf.DUMMYFUNCTION("IF(ISBLANK(A332),"""",GOOGLETRANSLATE(A332,""en"",""fr""))"),"")</f>
        <v/>
      </c>
    </row>
    <row r="333" spans="2:2">
      <c r="B333" s="3" t="str">
        <f ca="1">IFERROR(__xludf.DUMMYFUNCTION("IF(ISBLANK(A333),"""",GOOGLETRANSLATE(A333,""en"",""fr""))"),"")</f>
        <v/>
      </c>
    </row>
    <row r="334" spans="2:2">
      <c r="B334" s="3" t="str">
        <f ca="1">IFERROR(__xludf.DUMMYFUNCTION("IF(ISBLANK(A334),"""",GOOGLETRANSLATE(A334,""en"",""fr""))"),"")</f>
        <v/>
      </c>
    </row>
    <row r="335" spans="2:2">
      <c r="B335" s="3" t="str">
        <f ca="1">IFERROR(__xludf.DUMMYFUNCTION("IF(ISBLANK(A335),"""",GOOGLETRANSLATE(A335,""en"",""fr""))"),"")</f>
        <v/>
      </c>
    </row>
    <row r="336" spans="2:2">
      <c r="B336" s="3" t="str">
        <f ca="1">IFERROR(__xludf.DUMMYFUNCTION("IF(ISBLANK(A336),"""",GOOGLETRANSLATE(A336,""en"",""fr""))"),"")</f>
        <v/>
      </c>
    </row>
    <row r="337" spans="2:2">
      <c r="B337" s="3" t="str">
        <f ca="1">IFERROR(__xludf.DUMMYFUNCTION("IF(ISBLANK(A337),"""",GOOGLETRANSLATE(A337,""en"",""fr""))"),"")</f>
        <v/>
      </c>
    </row>
    <row r="338" spans="2:2">
      <c r="B338" s="3" t="str">
        <f ca="1">IFERROR(__xludf.DUMMYFUNCTION("IF(ISBLANK(A338),"""",GOOGLETRANSLATE(A338,""en"",""fr""))"),"")</f>
        <v/>
      </c>
    </row>
    <row r="339" spans="2:2">
      <c r="B339" s="3" t="str">
        <f ca="1">IFERROR(__xludf.DUMMYFUNCTION("IF(ISBLANK(A339),"""",GOOGLETRANSLATE(A339,""en"",""fr""))"),"")</f>
        <v/>
      </c>
    </row>
    <row r="340" spans="2:2">
      <c r="B340" s="3" t="str">
        <f ca="1">IFERROR(__xludf.DUMMYFUNCTION("IF(ISBLANK(A340),"""",GOOGLETRANSLATE(A340,""en"",""fr""))"),"")</f>
        <v/>
      </c>
    </row>
    <row r="341" spans="2:2">
      <c r="B341" s="3" t="str">
        <f ca="1">IFERROR(__xludf.DUMMYFUNCTION("IF(ISBLANK(A341),"""",GOOGLETRANSLATE(A341,""en"",""fr""))"),"")</f>
        <v/>
      </c>
    </row>
    <row r="342" spans="2:2">
      <c r="B342" s="3" t="str">
        <f ca="1">IFERROR(__xludf.DUMMYFUNCTION("IF(ISBLANK(A342),"""",GOOGLETRANSLATE(A342,""en"",""fr""))"),"")</f>
        <v/>
      </c>
    </row>
    <row r="343" spans="2:2">
      <c r="B343" s="3" t="str">
        <f ca="1">IFERROR(__xludf.DUMMYFUNCTION("IF(ISBLANK(A343),"""",GOOGLETRANSLATE(A343,""en"",""fr""))"),"")</f>
        <v/>
      </c>
    </row>
    <row r="344" spans="2:2">
      <c r="B344" s="3" t="str">
        <f ca="1">IFERROR(__xludf.DUMMYFUNCTION("IF(ISBLANK(A344),"""",GOOGLETRANSLATE(A344,""en"",""fr""))"),"")</f>
        <v/>
      </c>
    </row>
    <row r="345" spans="2:2">
      <c r="B345" s="3" t="str">
        <f ca="1">IFERROR(__xludf.DUMMYFUNCTION("IF(ISBLANK(A345),"""",GOOGLETRANSLATE(A345,""en"",""fr""))"),"")</f>
        <v/>
      </c>
    </row>
    <row r="346" spans="2:2">
      <c r="B346" s="3" t="str">
        <f ca="1">IFERROR(__xludf.DUMMYFUNCTION("IF(ISBLANK(A346),"""",GOOGLETRANSLATE(A346,""en"",""fr""))"),"")</f>
        <v/>
      </c>
    </row>
    <row r="347" spans="2:2">
      <c r="B347" s="3" t="str">
        <f ca="1">IFERROR(__xludf.DUMMYFUNCTION("IF(ISBLANK(A347),"""",GOOGLETRANSLATE(A347,""en"",""fr""))"),"")</f>
        <v/>
      </c>
    </row>
    <row r="348" spans="2:2">
      <c r="B348" s="3" t="str">
        <f ca="1">IFERROR(__xludf.DUMMYFUNCTION("IF(ISBLANK(A348),"""",GOOGLETRANSLATE(A348,""en"",""fr""))"),"")</f>
        <v/>
      </c>
    </row>
    <row r="349" spans="2:2">
      <c r="B349" s="3" t="str">
        <f ca="1">IFERROR(__xludf.DUMMYFUNCTION("IF(ISBLANK(A349),"""",GOOGLETRANSLATE(A349,""en"",""fr""))"),"")</f>
        <v/>
      </c>
    </row>
    <row r="350" spans="2:2">
      <c r="B350" s="3" t="str">
        <f ca="1">IFERROR(__xludf.DUMMYFUNCTION("IF(ISBLANK(A350),"""",GOOGLETRANSLATE(A350,""en"",""fr""))"),"")</f>
        <v/>
      </c>
    </row>
    <row r="351" spans="2:2">
      <c r="B351" s="3" t="str">
        <f ca="1">IFERROR(__xludf.DUMMYFUNCTION("IF(ISBLANK(A351),"""",GOOGLETRANSLATE(A351,""en"",""fr""))"),"")</f>
        <v/>
      </c>
    </row>
    <row r="352" spans="2:2">
      <c r="B352" s="3" t="str">
        <f ca="1">IFERROR(__xludf.DUMMYFUNCTION("IF(ISBLANK(A352),"""",GOOGLETRANSLATE(A352,""en"",""fr""))"),"")</f>
        <v/>
      </c>
    </row>
    <row r="353" spans="2:2">
      <c r="B353" s="3" t="str">
        <f ca="1">IFERROR(__xludf.DUMMYFUNCTION("IF(ISBLANK(A353),"""",GOOGLETRANSLATE(A353,""en"",""fr""))"),"")</f>
        <v/>
      </c>
    </row>
    <row r="354" spans="2:2">
      <c r="B354" s="3" t="str">
        <f ca="1">IFERROR(__xludf.DUMMYFUNCTION("IF(ISBLANK(A354),"""",GOOGLETRANSLATE(A354,""en"",""fr""))"),"")</f>
        <v/>
      </c>
    </row>
    <row r="355" spans="2:2">
      <c r="B355" s="3" t="str">
        <f ca="1">IFERROR(__xludf.DUMMYFUNCTION("IF(ISBLANK(A355),"""",GOOGLETRANSLATE(A355,""en"",""fr""))"),"")</f>
        <v/>
      </c>
    </row>
    <row r="356" spans="2:2">
      <c r="B356" s="3" t="str">
        <f ca="1">IFERROR(__xludf.DUMMYFUNCTION("IF(ISBLANK(A356),"""",GOOGLETRANSLATE(A356,""en"",""fr""))"),"")</f>
        <v/>
      </c>
    </row>
    <row r="357" spans="2:2">
      <c r="B357" s="3" t="str">
        <f ca="1">IFERROR(__xludf.DUMMYFUNCTION("IF(ISBLANK(A357),"""",GOOGLETRANSLATE(A357,""en"",""fr""))"),"")</f>
        <v/>
      </c>
    </row>
    <row r="358" spans="2:2">
      <c r="B358" s="3" t="str">
        <f ca="1">IFERROR(__xludf.DUMMYFUNCTION("IF(ISBLANK(A358),"""",GOOGLETRANSLATE(A358,""en"",""fr""))"),"")</f>
        <v/>
      </c>
    </row>
    <row r="359" spans="2:2">
      <c r="B359" s="3" t="str">
        <f ca="1">IFERROR(__xludf.DUMMYFUNCTION("IF(ISBLANK(A359),"""",GOOGLETRANSLATE(A359,""en"",""fr""))"),"")</f>
        <v/>
      </c>
    </row>
    <row r="360" spans="2:2">
      <c r="B360" s="3" t="str">
        <f ca="1">IFERROR(__xludf.DUMMYFUNCTION("IF(ISBLANK(A360),"""",GOOGLETRANSLATE(A360,""en"",""fr""))"),"")</f>
        <v/>
      </c>
    </row>
    <row r="361" spans="2:2">
      <c r="B361" s="3" t="str">
        <f ca="1">IFERROR(__xludf.DUMMYFUNCTION("IF(ISBLANK(A361),"""",GOOGLETRANSLATE(A361,""en"",""fr""))"),"")</f>
        <v/>
      </c>
    </row>
    <row r="362" spans="2:2">
      <c r="B362" s="3" t="str">
        <f ca="1">IFERROR(__xludf.DUMMYFUNCTION("IF(ISBLANK(A362),"""",GOOGLETRANSLATE(A362,""en"",""fr""))"),"")</f>
        <v/>
      </c>
    </row>
    <row r="363" spans="2:2">
      <c r="B363" s="3" t="str">
        <f ca="1">IFERROR(__xludf.DUMMYFUNCTION("IF(ISBLANK(A363),"""",GOOGLETRANSLATE(A363,""en"",""fr""))"),"")</f>
        <v/>
      </c>
    </row>
    <row r="364" spans="2:2">
      <c r="B364" s="3" t="str">
        <f ca="1">IFERROR(__xludf.DUMMYFUNCTION("IF(ISBLANK(A364),"""",GOOGLETRANSLATE(A364,""en"",""fr""))"),"")</f>
        <v/>
      </c>
    </row>
    <row r="365" spans="2:2">
      <c r="B365" s="3" t="str">
        <f ca="1">IFERROR(__xludf.DUMMYFUNCTION("IF(ISBLANK(A365),"""",GOOGLETRANSLATE(A365,""en"",""fr""))"),"")</f>
        <v/>
      </c>
    </row>
    <row r="366" spans="2:2">
      <c r="B366" s="3" t="str">
        <f ca="1">IFERROR(__xludf.DUMMYFUNCTION("IF(ISBLANK(A366),"""",GOOGLETRANSLATE(A366,""en"",""fr""))"),"")</f>
        <v/>
      </c>
    </row>
    <row r="367" spans="2:2">
      <c r="B367" s="3" t="str">
        <f ca="1">IFERROR(__xludf.DUMMYFUNCTION("IF(ISBLANK(A367),"""",GOOGLETRANSLATE(A367,""en"",""fr""))"),"")</f>
        <v/>
      </c>
    </row>
    <row r="368" spans="2:2">
      <c r="B368" s="3" t="str">
        <f ca="1">IFERROR(__xludf.DUMMYFUNCTION("IF(ISBLANK(A368),"""",GOOGLETRANSLATE(A368,""en"",""fr""))"),"")</f>
        <v/>
      </c>
    </row>
    <row r="369" spans="2:2">
      <c r="B369" s="3" t="str">
        <f ca="1">IFERROR(__xludf.DUMMYFUNCTION("IF(ISBLANK(A369),"""",GOOGLETRANSLATE(A369,""en"",""fr""))"),"")</f>
        <v/>
      </c>
    </row>
    <row r="370" spans="2:2">
      <c r="B370" s="3" t="str">
        <f ca="1">IFERROR(__xludf.DUMMYFUNCTION("IF(ISBLANK(A370),"""",GOOGLETRANSLATE(A370,""en"",""fr""))"),"")</f>
        <v/>
      </c>
    </row>
    <row r="371" spans="2:2">
      <c r="B371" s="3" t="str">
        <f ca="1">IFERROR(__xludf.DUMMYFUNCTION("IF(ISBLANK(A371),"""",GOOGLETRANSLATE(A371,""en"",""fr""))"),"")</f>
        <v/>
      </c>
    </row>
    <row r="372" spans="2:2">
      <c r="B372" s="3" t="str">
        <f ca="1">IFERROR(__xludf.DUMMYFUNCTION("IF(ISBLANK(A372),"""",GOOGLETRANSLATE(A372,""en"",""fr""))"),"")</f>
        <v/>
      </c>
    </row>
    <row r="373" spans="2:2">
      <c r="B373" s="3" t="str">
        <f ca="1">IFERROR(__xludf.DUMMYFUNCTION("IF(ISBLANK(A373),"""",GOOGLETRANSLATE(A373,""en"",""fr""))"),"")</f>
        <v/>
      </c>
    </row>
    <row r="374" spans="2:2">
      <c r="B374" s="3" t="str">
        <f ca="1">IFERROR(__xludf.DUMMYFUNCTION("IF(ISBLANK(A374),"""",GOOGLETRANSLATE(A374,""en"",""fr""))"),"")</f>
        <v/>
      </c>
    </row>
    <row r="375" spans="2:2">
      <c r="B375" s="3" t="str">
        <f ca="1">IFERROR(__xludf.DUMMYFUNCTION("IF(ISBLANK(A375),"""",GOOGLETRANSLATE(A375,""en"",""fr""))"),"")</f>
        <v/>
      </c>
    </row>
    <row r="376" spans="2:2">
      <c r="B376" s="3" t="str">
        <f ca="1">IFERROR(__xludf.DUMMYFUNCTION("IF(ISBLANK(A376),"""",GOOGLETRANSLATE(A376,""en"",""fr""))"),"")</f>
        <v/>
      </c>
    </row>
    <row r="377" spans="2:2">
      <c r="B377" s="3" t="str">
        <f ca="1">IFERROR(__xludf.DUMMYFUNCTION("IF(ISBLANK(A377),"""",GOOGLETRANSLATE(A377,""en"",""fr""))"),"")</f>
        <v/>
      </c>
    </row>
    <row r="378" spans="2:2">
      <c r="B378" s="3" t="str">
        <f ca="1">IFERROR(__xludf.DUMMYFUNCTION("IF(ISBLANK(A378),"""",GOOGLETRANSLATE(A378,""en"",""fr""))"),"")</f>
        <v/>
      </c>
    </row>
    <row r="379" spans="2:2">
      <c r="B379" s="3" t="str">
        <f ca="1">IFERROR(__xludf.DUMMYFUNCTION("IF(ISBLANK(A379),"""",GOOGLETRANSLATE(A379,""en"",""fr""))"),"")</f>
        <v/>
      </c>
    </row>
    <row r="380" spans="2:2">
      <c r="B380" s="3" t="str">
        <f ca="1">IFERROR(__xludf.DUMMYFUNCTION("IF(ISBLANK(A380),"""",GOOGLETRANSLATE(A380,""en"",""fr""))"),"")</f>
        <v/>
      </c>
    </row>
    <row r="381" spans="2:2">
      <c r="B381" s="3" t="str">
        <f ca="1">IFERROR(__xludf.DUMMYFUNCTION("IF(ISBLANK(A381),"""",GOOGLETRANSLATE(A381,""en"",""fr""))"),"")</f>
        <v/>
      </c>
    </row>
    <row r="382" spans="2:2">
      <c r="B382" s="3" t="str">
        <f ca="1">IFERROR(__xludf.DUMMYFUNCTION("IF(ISBLANK(A382),"""",GOOGLETRANSLATE(A382,""en"",""fr""))"),"")</f>
        <v/>
      </c>
    </row>
    <row r="383" spans="2:2">
      <c r="B383" s="3" t="str">
        <f ca="1">IFERROR(__xludf.DUMMYFUNCTION("IF(ISBLANK(A383),"""",GOOGLETRANSLATE(A383,""en"",""fr""))"),"")</f>
        <v/>
      </c>
    </row>
    <row r="384" spans="2:2">
      <c r="B384" s="3" t="str">
        <f ca="1">IFERROR(__xludf.DUMMYFUNCTION("IF(ISBLANK(A384),"""",GOOGLETRANSLATE(A384,""en"",""fr""))"),"")</f>
        <v/>
      </c>
    </row>
    <row r="385" spans="2:2">
      <c r="B385" s="3" t="str">
        <f ca="1">IFERROR(__xludf.DUMMYFUNCTION("IF(ISBLANK(A385),"""",GOOGLETRANSLATE(A385,""en"",""fr""))"),"")</f>
        <v/>
      </c>
    </row>
    <row r="386" spans="2:2">
      <c r="B386" s="3" t="str">
        <f ca="1">IFERROR(__xludf.DUMMYFUNCTION("IF(ISBLANK(A386),"""",GOOGLETRANSLATE(A386,""en"",""fr""))"),"")</f>
        <v/>
      </c>
    </row>
    <row r="387" spans="2:2">
      <c r="B387" s="3" t="str">
        <f ca="1">IFERROR(__xludf.DUMMYFUNCTION("IF(ISBLANK(A387),"""",GOOGLETRANSLATE(A387,""en"",""fr""))"),"")</f>
        <v/>
      </c>
    </row>
    <row r="388" spans="2:2">
      <c r="B388" s="3" t="str">
        <f ca="1">IFERROR(__xludf.DUMMYFUNCTION("IF(ISBLANK(A388),"""",GOOGLETRANSLATE(A388,""en"",""fr""))"),"")</f>
        <v/>
      </c>
    </row>
    <row r="389" spans="2:2">
      <c r="B389" s="3" t="str">
        <f ca="1">IFERROR(__xludf.DUMMYFUNCTION("IF(ISBLANK(A389),"""",GOOGLETRANSLATE(A389,""en"",""fr""))"),"")</f>
        <v/>
      </c>
    </row>
    <row r="390" spans="2:2">
      <c r="B390" s="3" t="str">
        <f ca="1">IFERROR(__xludf.DUMMYFUNCTION("IF(ISBLANK(A390),"""",GOOGLETRANSLATE(A390,""en"",""fr""))"),"")</f>
        <v/>
      </c>
    </row>
    <row r="391" spans="2:2">
      <c r="B391" s="3" t="str">
        <f ca="1">IFERROR(__xludf.DUMMYFUNCTION("IF(ISBLANK(A391),"""",GOOGLETRANSLATE(A391,""en"",""fr""))"),"")</f>
        <v/>
      </c>
    </row>
    <row r="392" spans="2:2">
      <c r="B392" s="3" t="str">
        <f ca="1">IFERROR(__xludf.DUMMYFUNCTION("IF(ISBLANK(A392),"""",GOOGLETRANSLATE(A392,""en"",""fr""))"),"")</f>
        <v/>
      </c>
    </row>
    <row r="393" spans="2:2">
      <c r="B393" s="3" t="str">
        <f ca="1">IFERROR(__xludf.DUMMYFUNCTION("IF(ISBLANK(A393),"""",GOOGLETRANSLATE(A393,""en"",""fr""))"),"")</f>
        <v/>
      </c>
    </row>
    <row r="394" spans="2:2">
      <c r="B394" s="3" t="str">
        <f ca="1">IFERROR(__xludf.DUMMYFUNCTION("IF(ISBLANK(A394),"""",GOOGLETRANSLATE(A394,""en"",""fr""))"),"")</f>
        <v/>
      </c>
    </row>
    <row r="395" spans="2:2">
      <c r="B395" s="3" t="str">
        <f ca="1">IFERROR(__xludf.DUMMYFUNCTION("IF(ISBLANK(A395),"""",GOOGLETRANSLATE(A395,""en"",""fr""))"),"")</f>
        <v/>
      </c>
    </row>
    <row r="396" spans="2:2">
      <c r="B396" s="3" t="str">
        <f ca="1">IFERROR(__xludf.DUMMYFUNCTION("IF(ISBLANK(A396),"""",GOOGLETRANSLATE(A396,""en"",""fr""))"),"")</f>
        <v/>
      </c>
    </row>
    <row r="397" spans="2:2">
      <c r="B397" s="3" t="str">
        <f ca="1">IFERROR(__xludf.DUMMYFUNCTION("IF(ISBLANK(A397),"""",GOOGLETRANSLATE(A397,""en"",""fr""))"),"")</f>
        <v/>
      </c>
    </row>
    <row r="398" spans="2:2">
      <c r="B398" s="3" t="str">
        <f ca="1">IFERROR(__xludf.DUMMYFUNCTION("IF(ISBLANK(A398),"""",GOOGLETRANSLATE(A398,""en"",""fr""))"),"")</f>
        <v/>
      </c>
    </row>
    <row r="399" spans="2:2">
      <c r="B399" s="3" t="str">
        <f ca="1">IFERROR(__xludf.DUMMYFUNCTION("IF(ISBLANK(A399),"""",GOOGLETRANSLATE(A399,""en"",""fr""))"),"")</f>
        <v/>
      </c>
    </row>
    <row r="400" spans="2:2">
      <c r="B400" s="3" t="str">
        <f ca="1">IFERROR(__xludf.DUMMYFUNCTION("IF(ISBLANK(A400),"""",GOOGLETRANSLATE(A400,""en"",""fr""))"),"")</f>
        <v/>
      </c>
    </row>
    <row r="401" spans="2:2">
      <c r="B401" s="3" t="str">
        <f ca="1">IFERROR(__xludf.DUMMYFUNCTION("IF(ISBLANK(A401),"""",GOOGLETRANSLATE(A401,""en"",""fr""))"),"")</f>
        <v/>
      </c>
    </row>
    <row r="402" spans="2:2">
      <c r="B402" s="3" t="str">
        <f ca="1">IFERROR(__xludf.DUMMYFUNCTION("IF(ISBLANK(A402),"""",GOOGLETRANSLATE(A402,""en"",""fr""))"),"")</f>
        <v/>
      </c>
    </row>
    <row r="403" spans="2:2">
      <c r="B403" s="3" t="str">
        <f ca="1">IFERROR(__xludf.DUMMYFUNCTION("IF(ISBLANK(A403),"""",GOOGLETRANSLATE(A403,""en"",""fr""))"),"")</f>
        <v/>
      </c>
    </row>
    <row r="404" spans="2:2">
      <c r="B404" s="3" t="str">
        <f ca="1">IFERROR(__xludf.DUMMYFUNCTION("IF(ISBLANK(A404),"""",GOOGLETRANSLATE(A404,""en"",""fr""))"),"")</f>
        <v/>
      </c>
    </row>
    <row r="405" spans="2:2">
      <c r="B405" s="3" t="str">
        <f ca="1">IFERROR(__xludf.DUMMYFUNCTION("IF(ISBLANK(A405),"""",GOOGLETRANSLATE(A405,""en"",""fr""))"),"")</f>
        <v/>
      </c>
    </row>
    <row r="406" spans="2:2">
      <c r="B406" s="3" t="str">
        <f ca="1">IFERROR(__xludf.DUMMYFUNCTION("IF(ISBLANK(A406),"""",GOOGLETRANSLATE(A406,""en"",""fr""))"),"")</f>
        <v/>
      </c>
    </row>
    <row r="407" spans="2:2">
      <c r="B407" s="3" t="str">
        <f ca="1">IFERROR(__xludf.DUMMYFUNCTION("IF(ISBLANK(A407),"""",GOOGLETRANSLATE(A407,""en"",""fr""))"),"")</f>
        <v/>
      </c>
    </row>
    <row r="408" spans="2:2">
      <c r="B408" s="3" t="str">
        <f ca="1">IFERROR(__xludf.DUMMYFUNCTION("IF(ISBLANK(A408),"""",GOOGLETRANSLATE(A408,""en"",""fr""))"),"")</f>
        <v/>
      </c>
    </row>
    <row r="409" spans="2:2">
      <c r="B409" s="3" t="str">
        <f ca="1">IFERROR(__xludf.DUMMYFUNCTION("IF(ISBLANK(A409),"""",GOOGLETRANSLATE(A409,""en"",""fr""))"),"")</f>
        <v/>
      </c>
    </row>
    <row r="410" spans="2:2">
      <c r="B410" s="3" t="str">
        <f ca="1">IFERROR(__xludf.DUMMYFUNCTION("IF(ISBLANK(A410),"""",GOOGLETRANSLATE(A410,""en"",""fr""))"),"")</f>
        <v/>
      </c>
    </row>
    <row r="411" spans="2:2">
      <c r="B411" s="3" t="str">
        <f ca="1">IFERROR(__xludf.DUMMYFUNCTION("IF(ISBLANK(A411),"""",GOOGLETRANSLATE(A411,""en"",""fr""))"),"")</f>
        <v/>
      </c>
    </row>
    <row r="412" spans="2:2">
      <c r="B412" s="3" t="str">
        <f ca="1">IFERROR(__xludf.DUMMYFUNCTION("IF(ISBLANK(A412),"""",GOOGLETRANSLATE(A412,""en"",""fr""))"),"")</f>
        <v/>
      </c>
    </row>
    <row r="413" spans="2:2">
      <c r="B413" s="3" t="str">
        <f ca="1">IFERROR(__xludf.DUMMYFUNCTION("IF(ISBLANK(A413),"""",GOOGLETRANSLATE(A413,""en"",""fr""))"),"")</f>
        <v/>
      </c>
    </row>
    <row r="414" spans="2:2">
      <c r="B414" s="3" t="str">
        <f ca="1">IFERROR(__xludf.DUMMYFUNCTION("IF(ISBLANK(A414),"""",GOOGLETRANSLATE(A414,""en"",""fr""))"),"")</f>
        <v/>
      </c>
    </row>
    <row r="415" spans="2:2">
      <c r="B415" s="3" t="str">
        <f ca="1">IFERROR(__xludf.DUMMYFUNCTION("IF(ISBLANK(A415),"""",GOOGLETRANSLATE(A415,""en"",""fr""))"),"")</f>
        <v/>
      </c>
    </row>
    <row r="416" spans="2:2">
      <c r="B416" s="3" t="str">
        <f ca="1">IFERROR(__xludf.DUMMYFUNCTION("IF(ISBLANK(A416),"""",GOOGLETRANSLATE(A416,""en"",""fr""))"),"")</f>
        <v/>
      </c>
    </row>
    <row r="417" spans="2:2">
      <c r="B417" s="3" t="str">
        <f ca="1">IFERROR(__xludf.DUMMYFUNCTION("IF(ISBLANK(A417),"""",GOOGLETRANSLATE(A417,""en"",""fr""))"),"")</f>
        <v/>
      </c>
    </row>
    <row r="418" spans="2:2">
      <c r="B418" s="3" t="str">
        <f ca="1">IFERROR(__xludf.DUMMYFUNCTION("IF(ISBLANK(A418),"""",GOOGLETRANSLATE(A418,""en"",""fr""))"),"")</f>
        <v/>
      </c>
    </row>
    <row r="419" spans="2:2">
      <c r="B419" s="3" t="str">
        <f ca="1">IFERROR(__xludf.DUMMYFUNCTION("IF(ISBLANK(A419),"""",GOOGLETRANSLATE(A419,""en"",""fr""))"),"")</f>
        <v/>
      </c>
    </row>
    <row r="420" spans="2:2">
      <c r="B420" s="3" t="str">
        <f ca="1">IFERROR(__xludf.DUMMYFUNCTION("IF(ISBLANK(A420),"""",GOOGLETRANSLATE(A420,""en"",""fr""))"),"")</f>
        <v/>
      </c>
    </row>
    <row r="421" spans="2:2">
      <c r="B421" s="3" t="str">
        <f ca="1">IFERROR(__xludf.DUMMYFUNCTION("IF(ISBLANK(A421),"""",GOOGLETRANSLATE(A421,""en"",""fr""))"),"")</f>
        <v/>
      </c>
    </row>
    <row r="422" spans="2:2">
      <c r="B422" s="3" t="str">
        <f ca="1">IFERROR(__xludf.DUMMYFUNCTION("IF(ISBLANK(A422),"""",GOOGLETRANSLATE(A422,""en"",""fr""))"),"")</f>
        <v/>
      </c>
    </row>
    <row r="423" spans="2:2">
      <c r="B423" s="3" t="str">
        <f ca="1">IFERROR(__xludf.DUMMYFUNCTION("IF(ISBLANK(A423),"""",GOOGLETRANSLATE(A423,""en"",""fr""))"),"")</f>
        <v/>
      </c>
    </row>
    <row r="424" spans="2:2">
      <c r="B424" s="3" t="str">
        <f ca="1">IFERROR(__xludf.DUMMYFUNCTION("IF(ISBLANK(A424),"""",GOOGLETRANSLATE(A424,""en"",""fr""))"),"")</f>
        <v/>
      </c>
    </row>
    <row r="425" spans="2:2">
      <c r="B425" s="3" t="str">
        <f ca="1">IFERROR(__xludf.DUMMYFUNCTION("IF(ISBLANK(A425),"""",GOOGLETRANSLATE(A425,""en"",""fr""))"),"")</f>
        <v/>
      </c>
    </row>
    <row r="426" spans="2:2">
      <c r="B426" s="3" t="str">
        <f ca="1">IFERROR(__xludf.DUMMYFUNCTION("IF(ISBLANK(A426),"""",GOOGLETRANSLATE(A426,""en"",""fr""))"),"")</f>
        <v/>
      </c>
    </row>
    <row r="427" spans="2:2">
      <c r="B427" s="3" t="str">
        <f ca="1">IFERROR(__xludf.DUMMYFUNCTION("IF(ISBLANK(A427),"""",GOOGLETRANSLATE(A427,""en"",""fr""))"),"")</f>
        <v/>
      </c>
    </row>
    <row r="428" spans="2:2">
      <c r="B428" s="3" t="str">
        <f ca="1">IFERROR(__xludf.DUMMYFUNCTION("IF(ISBLANK(A428),"""",GOOGLETRANSLATE(A428,""en"",""fr""))"),"")</f>
        <v/>
      </c>
    </row>
    <row r="429" spans="2:2">
      <c r="B429" s="3" t="str">
        <f ca="1">IFERROR(__xludf.DUMMYFUNCTION("IF(ISBLANK(A429),"""",GOOGLETRANSLATE(A429,""en"",""fr""))"),"")</f>
        <v/>
      </c>
    </row>
    <row r="430" spans="2:2">
      <c r="B430" s="3" t="str">
        <f ca="1">IFERROR(__xludf.DUMMYFUNCTION("IF(ISBLANK(A430),"""",GOOGLETRANSLATE(A430,""en"",""fr""))"),"")</f>
        <v/>
      </c>
    </row>
    <row r="431" spans="2:2">
      <c r="B431" s="3" t="str">
        <f ca="1">IFERROR(__xludf.DUMMYFUNCTION("IF(ISBLANK(A431),"""",GOOGLETRANSLATE(A431,""en"",""fr""))"),"")</f>
        <v/>
      </c>
    </row>
    <row r="432" spans="2:2">
      <c r="B432" s="3" t="str">
        <f ca="1">IFERROR(__xludf.DUMMYFUNCTION("IF(ISBLANK(A432),"""",GOOGLETRANSLATE(A432,""en"",""fr""))"),"")</f>
        <v/>
      </c>
    </row>
    <row r="433" spans="2:2">
      <c r="B433" s="3" t="str">
        <f ca="1">IFERROR(__xludf.DUMMYFUNCTION("IF(ISBLANK(A433),"""",GOOGLETRANSLATE(A433,""en"",""fr""))"),"")</f>
        <v/>
      </c>
    </row>
    <row r="434" spans="2:2">
      <c r="B434" s="3" t="str">
        <f ca="1">IFERROR(__xludf.DUMMYFUNCTION("IF(ISBLANK(A434),"""",GOOGLETRANSLATE(A434,""en"",""fr""))"),"")</f>
        <v/>
      </c>
    </row>
    <row r="435" spans="2:2">
      <c r="B435" s="3" t="str">
        <f ca="1">IFERROR(__xludf.DUMMYFUNCTION("IF(ISBLANK(A435),"""",GOOGLETRANSLATE(A435,""en"",""fr""))"),"")</f>
        <v/>
      </c>
    </row>
    <row r="436" spans="2:2">
      <c r="B436" s="3" t="str">
        <f ca="1">IFERROR(__xludf.DUMMYFUNCTION("IF(ISBLANK(A436),"""",GOOGLETRANSLATE(A436,""en"",""fr""))"),"")</f>
        <v/>
      </c>
    </row>
    <row r="437" spans="2:2">
      <c r="B437" s="3" t="str">
        <f ca="1">IFERROR(__xludf.DUMMYFUNCTION("IF(ISBLANK(A437),"""",GOOGLETRANSLATE(A437,""en"",""fr""))"),"")</f>
        <v/>
      </c>
    </row>
    <row r="438" spans="2:2">
      <c r="B438" s="3" t="str">
        <f ca="1">IFERROR(__xludf.DUMMYFUNCTION("IF(ISBLANK(A438),"""",GOOGLETRANSLATE(A438,""en"",""fr""))"),"")</f>
        <v/>
      </c>
    </row>
    <row r="439" spans="2:2">
      <c r="B439" s="3" t="str">
        <f ca="1">IFERROR(__xludf.DUMMYFUNCTION("IF(ISBLANK(A439),"""",GOOGLETRANSLATE(A439,""en"",""fr""))"),"")</f>
        <v/>
      </c>
    </row>
    <row r="440" spans="2:2">
      <c r="B440" s="3" t="str">
        <f ca="1">IFERROR(__xludf.DUMMYFUNCTION("IF(ISBLANK(A440),"""",GOOGLETRANSLATE(A440,""en"",""fr""))"),"")</f>
        <v/>
      </c>
    </row>
    <row r="441" spans="2:2">
      <c r="B441" s="3" t="str">
        <f ca="1">IFERROR(__xludf.DUMMYFUNCTION("IF(ISBLANK(A441),"""",GOOGLETRANSLATE(A441,""en"",""fr""))"),"")</f>
        <v/>
      </c>
    </row>
    <row r="442" spans="2:2">
      <c r="B442" s="3" t="str">
        <f ca="1">IFERROR(__xludf.DUMMYFUNCTION("IF(ISBLANK(A442),"""",GOOGLETRANSLATE(A442,""en"",""fr""))"),"")</f>
        <v/>
      </c>
    </row>
    <row r="443" spans="2:2">
      <c r="B443" s="3" t="str">
        <f ca="1">IFERROR(__xludf.DUMMYFUNCTION("IF(ISBLANK(A443),"""",GOOGLETRANSLATE(A443,""en"",""fr""))"),"")</f>
        <v/>
      </c>
    </row>
    <row r="444" spans="2:2">
      <c r="B444" s="3" t="str">
        <f ca="1">IFERROR(__xludf.DUMMYFUNCTION("IF(ISBLANK(A444),"""",GOOGLETRANSLATE(A444,""en"",""fr""))"),"")</f>
        <v/>
      </c>
    </row>
    <row r="445" spans="2:2">
      <c r="B445" s="3" t="str">
        <f ca="1">IFERROR(__xludf.DUMMYFUNCTION("IF(ISBLANK(A445),"""",GOOGLETRANSLATE(A445,""en"",""fr""))"),"")</f>
        <v/>
      </c>
    </row>
    <row r="446" spans="2:2">
      <c r="B446" s="3" t="str">
        <f ca="1">IFERROR(__xludf.DUMMYFUNCTION("IF(ISBLANK(A446),"""",GOOGLETRANSLATE(A446,""en"",""fr""))"),"")</f>
        <v/>
      </c>
    </row>
    <row r="447" spans="2:2">
      <c r="B447" s="3" t="str">
        <f ca="1">IFERROR(__xludf.DUMMYFUNCTION("IF(ISBLANK(A447),"""",GOOGLETRANSLATE(A447,""en"",""fr""))"),"")</f>
        <v/>
      </c>
    </row>
    <row r="448" spans="2:2">
      <c r="B448" s="3" t="str">
        <f ca="1">IFERROR(__xludf.DUMMYFUNCTION("IF(ISBLANK(A448),"""",GOOGLETRANSLATE(A448,""en"",""fr""))"),"")</f>
        <v/>
      </c>
    </row>
    <row r="449" spans="2:2">
      <c r="B449" s="3" t="str">
        <f ca="1">IFERROR(__xludf.DUMMYFUNCTION("IF(ISBLANK(A449),"""",GOOGLETRANSLATE(A449,""en"",""fr""))"),"")</f>
        <v/>
      </c>
    </row>
    <row r="450" spans="2:2">
      <c r="B450" s="3" t="str">
        <f ca="1">IFERROR(__xludf.DUMMYFUNCTION("IF(ISBLANK(A450),"""",GOOGLETRANSLATE(A450,""en"",""fr""))"),"")</f>
        <v/>
      </c>
    </row>
    <row r="451" spans="2:2">
      <c r="B451" s="3" t="str">
        <f ca="1">IFERROR(__xludf.DUMMYFUNCTION("IF(ISBLANK(A451),"""",GOOGLETRANSLATE(A451,""en"",""fr""))"),"")</f>
        <v/>
      </c>
    </row>
    <row r="452" spans="2:2">
      <c r="B452" s="3" t="str">
        <f ca="1">IFERROR(__xludf.DUMMYFUNCTION("IF(ISBLANK(A452),"""",GOOGLETRANSLATE(A452,""en"",""fr""))"),"")</f>
        <v/>
      </c>
    </row>
    <row r="453" spans="2:2">
      <c r="B453" s="3" t="str">
        <f ca="1">IFERROR(__xludf.DUMMYFUNCTION("IF(ISBLANK(A453),"""",GOOGLETRANSLATE(A453,""en"",""fr""))"),"")</f>
        <v/>
      </c>
    </row>
    <row r="454" spans="2:2">
      <c r="B454" s="3" t="str">
        <f ca="1">IFERROR(__xludf.DUMMYFUNCTION("IF(ISBLANK(A454),"""",GOOGLETRANSLATE(A454,""en"",""fr""))"),"")</f>
        <v/>
      </c>
    </row>
    <row r="455" spans="2:2">
      <c r="B455" s="3" t="str">
        <f ca="1">IFERROR(__xludf.DUMMYFUNCTION("IF(ISBLANK(A455),"""",GOOGLETRANSLATE(A455,""en"",""fr""))"),"")</f>
        <v/>
      </c>
    </row>
    <row r="456" spans="2:2">
      <c r="B456" s="3" t="str">
        <f ca="1">IFERROR(__xludf.DUMMYFUNCTION("IF(ISBLANK(A456),"""",GOOGLETRANSLATE(A456,""en"",""fr""))"),"")</f>
        <v/>
      </c>
    </row>
    <row r="457" spans="2:2">
      <c r="B457" s="3" t="str">
        <f ca="1">IFERROR(__xludf.DUMMYFUNCTION("IF(ISBLANK(A457),"""",GOOGLETRANSLATE(A457,""en"",""fr""))"),"")</f>
        <v/>
      </c>
    </row>
    <row r="458" spans="2:2">
      <c r="B458" s="3" t="str">
        <f ca="1">IFERROR(__xludf.DUMMYFUNCTION("IF(ISBLANK(A458),"""",GOOGLETRANSLATE(A458,""en"",""fr""))"),"")</f>
        <v/>
      </c>
    </row>
    <row r="459" spans="2:2">
      <c r="B459" s="3" t="str">
        <f ca="1">IFERROR(__xludf.DUMMYFUNCTION("IF(ISBLANK(A459),"""",GOOGLETRANSLATE(A459,""en"",""fr""))"),"")</f>
        <v/>
      </c>
    </row>
    <row r="460" spans="2:2">
      <c r="B460" s="3" t="str">
        <f ca="1">IFERROR(__xludf.DUMMYFUNCTION("IF(ISBLANK(A460),"""",GOOGLETRANSLATE(A460,""en"",""fr""))"),"")</f>
        <v/>
      </c>
    </row>
    <row r="461" spans="2:2">
      <c r="B461" s="3" t="str">
        <f ca="1">IFERROR(__xludf.DUMMYFUNCTION("IF(ISBLANK(A461),"""",GOOGLETRANSLATE(A461,""en"",""fr""))"),"")</f>
        <v/>
      </c>
    </row>
    <row r="462" spans="2:2">
      <c r="B462" s="3" t="str">
        <f ca="1">IFERROR(__xludf.DUMMYFUNCTION("IF(ISBLANK(A462),"""",GOOGLETRANSLATE(A462,""en"",""fr""))"),"")</f>
        <v/>
      </c>
    </row>
    <row r="463" spans="2:2">
      <c r="B463" s="3" t="str">
        <f ca="1">IFERROR(__xludf.DUMMYFUNCTION("IF(ISBLANK(A463),"""",GOOGLETRANSLATE(A463,""en"",""fr""))"),"")</f>
        <v/>
      </c>
    </row>
    <row r="464" spans="2:2">
      <c r="B464" s="3" t="str">
        <f ca="1">IFERROR(__xludf.DUMMYFUNCTION("IF(ISBLANK(A464),"""",GOOGLETRANSLATE(A464,""en"",""fr""))"),"")</f>
        <v/>
      </c>
    </row>
    <row r="465" spans="2:2">
      <c r="B465" s="3" t="str">
        <f ca="1">IFERROR(__xludf.DUMMYFUNCTION("IF(ISBLANK(A465),"""",GOOGLETRANSLATE(A465,""en"",""fr""))"),"")</f>
        <v/>
      </c>
    </row>
    <row r="466" spans="2:2">
      <c r="B466" s="3" t="str">
        <f ca="1">IFERROR(__xludf.DUMMYFUNCTION("IF(ISBLANK(A466),"""",GOOGLETRANSLATE(A466,""en"",""fr""))"),"")</f>
        <v/>
      </c>
    </row>
    <row r="467" spans="2:2">
      <c r="B467" s="3" t="str">
        <f ca="1">IFERROR(__xludf.DUMMYFUNCTION("IF(ISBLANK(A467),"""",GOOGLETRANSLATE(A467,""en"",""fr""))"),"")</f>
        <v/>
      </c>
    </row>
    <row r="468" spans="2:2">
      <c r="B468" s="3" t="str">
        <f ca="1">IFERROR(__xludf.DUMMYFUNCTION("IF(ISBLANK(A468),"""",GOOGLETRANSLATE(A468,""en"",""fr""))"),"")</f>
        <v/>
      </c>
    </row>
    <row r="469" spans="2:2">
      <c r="B469" s="3" t="str">
        <f ca="1">IFERROR(__xludf.DUMMYFUNCTION("IF(ISBLANK(A469),"""",GOOGLETRANSLATE(A469,""en"",""fr""))"),"")</f>
        <v/>
      </c>
    </row>
    <row r="470" spans="2:2">
      <c r="B470" s="3" t="str">
        <f ca="1">IFERROR(__xludf.DUMMYFUNCTION("IF(ISBLANK(A470),"""",GOOGLETRANSLATE(A470,""en"",""fr""))"),"")</f>
        <v/>
      </c>
    </row>
    <row r="471" spans="2:2">
      <c r="B471" s="3" t="str">
        <f ca="1">IFERROR(__xludf.DUMMYFUNCTION("IF(ISBLANK(A471),"""",GOOGLETRANSLATE(A471,""en"",""fr""))"),"")</f>
        <v/>
      </c>
    </row>
    <row r="472" spans="2:2">
      <c r="B472" s="3" t="str">
        <f ca="1">IFERROR(__xludf.DUMMYFUNCTION("IF(ISBLANK(A472),"""",GOOGLETRANSLATE(A472,""en"",""fr""))"),"")</f>
        <v/>
      </c>
    </row>
    <row r="473" spans="2:2">
      <c r="B473" s="3" t="str">
        <f ca="1">IFERROR(__xludf.DUMMYFUNCTION("IF(ISBLANK(A473),"""",GOOGLETRANSLATE(A473,""en"",""fr""))"),"")</f>
        <v/>
      </c>
    </row>
    <row r="474" spans="2:2">
      <c r="B474" s="3" t="str">
        <f ca="1">IFERROR(__xludf.DUMMYFUNCTION("IF(ISBLANK(A474),"""",GOOGLETRANSLATE(A474,""en"",""fr""))"),"")</f>
        <v/>
      </c>
    </row>
    <row r="475" spans="2:2">
      <c r="B475" s="3" t="str">
        <f ca="1">IFERROR(__xludf.DUMMYFUNCTION("IF(ISBLANK(A475),"""",GOOGLETRANSLATE(A475,""en"",""fr""))"),"")</f>
        <v/>
      </c>
    </row>
    <row r="476" spans="2:2">
      <c r="B476" s="3" t="str">
        <f ca="1">IFERROR(__xludf.DUMMYFUNCTION("IF(ISBLANK(A476),"""",GOOGLETRANSLATE(A476,""en"",""fr""))"),"")</f>
        <v/>
      </c>
    </row>
    <row r="477" spans="2:2">
      <c r="B477" s="3" t="str">
        <f ca="1">IFERROR(__xludf.DUMMYFUNCTION("IF(ISBLANK(A477),"""",GOOGLETRANSLATE(A477,""en"",""fr""))"),"")</f>
        <v/>
      </c>
    </row>
    <row r="478" spans="2:2">
      <c r="B478" s="3" t="str">
        <f ca="1">IFERROR(__xludf.DUMMYFUNCTION("IF(ISBLANK(A478),"""",GOOGLETRANSLATE(A478,""en"",""fr""))"),"")</f>
        <v/>
      </c>
    </row>
    <row r="479" spans="2:2">
      <c r="B479" s="3" t="str">
        <f ca="1">IFERROR(__xludf.DUMMYFUNCTION("IF(ISBLANK(A479),"""",GOOGLETRANSLATE(A479,""en"",""fr""))"),"")</f>
        <v/>
      </c>
    </row>
    <row r="480" spans="2:2">
      <c r="B480" s="3" t="str">
        <f ca="1">IFERROR(__xludf.DUMMYFUNCTION("IF(ISBLANK(A480),"""",GOOGLETRANSLATE(A480,""en"",""fr""))"),"")</f>
        <v/>
      </c>
    </row>
    <row r="481" spans="2:2">
      <c r="B481" s="3" t="str">
        <f ca="1">IFERROR(__xludf.DUMMYFUNCTION("IF(ISBLANK(A481),"""",GOOGLETRANSLATE(A481,""en"",""fr""))"),"")</f>
        <v/>
      </c>
    </row>
    <row r="482" spans="2:2">
      <c r="B482" s="3" t="str">
        <f ca="1">IFERROR(__xludf.DUMMYFUNCTION("IF(ISBLANK(A482),"""",GOOGLETRANSLATE(A482,""en"",""fr""))"),"")</f>
        <v/>
      </c>
    </row>
    <row r="483" spans="2:2">
      <c r="B483" s="3" t="str">
        <f ca="1">IFERROR(__xludf.DUMMYFUNCTION("IF(ISBLANK(A483),"""",GOOGLETRANSLATE(A483,""en"",""fr""))"),"")</f>
        <v/>
      </c>
    </row>
    <row r="484" spans="2:2">
      <c r="B484" s="3" t="str">
        <f ca="1">IFERROR(__xludf.DUMMYFUNCTION("IF(ISBLANK(A484),"""",GOOGLETRANSLATE(A484,""en"",""fr""))"),"")</f>
        <v/>
      </c>
    </row>
    <row r="485" spans="2:2">
      <c r="B485" s="3" t="str">
        <f ca="1">IFERROR(__xludf.DUMMYFUNCTION("IF(ISBLANK(A485),"""",GOOGLETRANSLATE(A485,""en"",""fr""))"),"")</f>
        <v/>
      </c>
    </row>
    <row r="486" spans="2:2">
      <c r="B486" s="3" t="str">
        <f ca="1">IFERROR(__xludf.DUMMYFUNCTION("IF(ISBLANK(A486),"""",GOOGLETRANSLATE(A486,""en"",""fr""))"),"")</f>
        <v/>
      </c>
    </row>
    <row r="487" spans="2:2">
      <c r="B487" s="3" t="str">
        <f ca="1">IFERROR(__xludf.DUMMYFUNCTION("IF(ISBLANK(A487),"""",GOOGLETRANSLATE(A487,""en"",""fr""))"),"")</f>
        <v/>
      </c>
    </row>
    <row r="488" spans="2:2">
      <c r="B488" s="3" t="str">
        <f ca="1">IFERROR(__xludf.DUMMYFUNCTION("IF(ISBLANK(A488),"""",GOOGLETRANSLATE(A488,""en"",""fr""))"),"")</f>
        <v/>
      </c>
    </row>
    <row r="489" spans="2:2">
      <c r="B489" s="3" t="str">
        <f ca="1">IFERROR(__xludf.DUMMYFUNCTION("IF(ISBLANK(A489),"""",GOOGLETRANSLATE(A489,""en"",""fr""))"),"")</f>
        <v/>
      </c>
    </row>
    <row r="490" spans="2:2">
      <c r="B490" s="3" t="str">
        <f ca="1">IFERROR(__xludf.DUMMYFUNCTION("IF(ISBLANK(A490),"""",GOOGLETRANSLATE(A490,""en"",""fr""))"),"")</f>
        <v/>
      </c>
    </row>
    <row r="491" spans="2:2">
      <c r="B491" s="3" t="str">
        <f ca="1">IFERROR(__xludf.DUMMYFUNCTION("IF(ISBLANK(A491),"""",GOOGLETRANSLATE(A491,""en"",""fr""))"),"")</f>
        <v/>
      </c>
    </row>
    <row r="492" spans="2:2">
      <c r="B492" s="3" t="str">
        <f ca="1">IFERROR(__xludf.DUMMYFUNCTION("IF(ISBLANK(A492),"""",GOOGLETRANSLATE(A492,""en"",""fr""))"),"")</f>
        <v/>
      </c>
    </row>
    <row r="493" spans="2:2">
      <c r="B493" s="3" t="str">
        <f ca="1">IFERROR(__xludf.DUMMYFUNCTION("IF(ISBLANK(A493),"""",GOOGLETRANSLATE(A493,""en"",""fr""))"),"")</f>
        <v/>
      </c>
    </row>
    <row r="494" spans="2:2">
      <c r="B494" s="3" t="str">
        <f ca="1">IFERROR(__xludf.DUMMYFUNCTION("IF(ISBLANK(A494),"""",GOOGLETRANSLATE(A494,""en"",""fr""))"),"")</f>
        <v/>
      </c>
    </row>
    <row r="495" spans="2:2">
      <c r="B495" s="3" t="str">
        <f ca="1">IFERROR(__xludf.DUMMYFUNCTION("IF(ISBLANK(A495),"""",GOOGLETRANSLATE(A495,""en"",""fr""))"),"")</f>
        <v/>
      </c>
    </row>
    <row r="496" spans="2:2">
      <c r="B496" s="3" t="str">
        <f ca="1">IFERROR(__xludf.DUMMYFUNCTION("IF(ISBLANK(A496),"""",GOOGLETRANSLATE(A496,""en"",""fr""))"),"")</f>
        <v/>
      </c>
    </row>
    <row r="497" spans="2:2">
      <c r="B497" s="3" t="str">
        <f ca="1">IFERROR(__xludf.DUMMYFUNCTION("IF(ISBLANK(A497),"""",GOOGLETRANSLATE(A497,""en"",""fr""))"),"")</f>
        <v/>
      </c>
    </row>
    <row r="498" spans="2:2">
      <c r="B498" s="3" t="str">
        <f ca="1">IFERROR(__xludf.DUMMYFUNCTION("IF(ISBLANK(A498),"""",GOOGLETRANSLATE(A498,""en"",""fr""))"),"")</f>
        <v/>
      </c>
    </row>
    <row r="499" spans="2:2">
      <c r="B499" s="3" t="str">
        <f ca="1">IFERROR(__xludf.DUMMYFUNCTION("IF(ISBLANK(A499),"""",GOOGLETRANSLATE(A499,""en"",""fr""))"),"")</f>
        <v/>
      </c>
    </row>
    <row r="500" spans="2:2">
      <c r="B500" s="3" t="str">
        <f ca="1">IFERROR(__xludf.DUMMYFUNCTION("IF(ISBLANK(A500),"""",GOOGLETRANSLATE(A500,""en"",""fr""))"),"")</f>
        <v/>
      </c>
    </row>
    <row r="501" spans="2:2">
      <c r="B501" s="3" t="str">
        <f ca="1">IFERROR(__xludf.DUMMYFUNCTION("IF(ISBLANK(A501),"""",GOOGLETRANSLATE(A501,""en"",""fr""))"),"")</f>
        <v/>
      </c>
    </row>
    <row r="502" spans="2:2">
      <c r="B502" s="3" t="str">
        <f ca="1">IFERROR(__xludf.DUMMYFUNCTION("IF(ISBLANK(A502),"""",GOOGLETRANSLATE(A502,""en"",""fr""))"),"")</f>
        <v/>
      </c>
    </row>
    <row r="503" spans="2:2">
      <c r="B503" s="3" t="str">
        <f ca="1">IFERROR(__xludf.DUMMYFUNCTION("IF(ISBLANK(A503),"""",GOOGLETRANSLATE(A503,""en"",""fr""))"),"")</f>
        <v/>
      </c>
    </row>
    <row r="504" spans="2:2">
      <c r="B504" s="3" t="str">
        <f ca="1">IFERROR(__xludf.DUMMYFUNCTION("IF(ISBLANK(A504),"""",GOOGLETRANSLATE(A504,""en"",""fr""))"),"")</f>
        <v/>
      </c>
    </row>
    <row r="505" spans="2:2">
      <c r="B505" s="3" t="str">
        <f ca="1">IFERROR(__xludf.DUMMYFUNCTION("IF(ISBLANK(A505),"""",GOOGLETRANSLATE(A505,""en"",""fr""))"),"")</f>
        <v/>
      </c>
    </row>
    <row r="506" spans="2:2">
      <c r="B506" s="3" t="str">
        <f ca="1">IFERROR(__xludf.DUMMYFUNCTION("IF(ISBLANK(A506),"""",GOOGLETRANSLATE(A506,""en"",""fr""))"),"")</f>
        <v/>
      </c>
    </row>
    <row r="507" spans="2:2">
      <c r="B507" s="3" t="str">
        <f ca="1">IFERROR(__xludf.DUMMYFUNCTION("IF(ISBLANK(A507),"""",GOOGLETRANSLATE(A507,""en"",""fr""))"),"")</f>
        <v/>
      </c>
    </row>
    <row r="508" spans="2:2">
      <c r="B508" s="3" t="str">
        <f ca="1">IFERROR(__xludf.DUMMYFUNCTION("IF(ISBLANK(A508),"""",GOOGLETRANSLATE(A508,""en"",""fr""))"),"")</f>
        <v/>
      </c>
    </row>
    <row r="509" spans="2:2">
      <c r="B509" s="3" t="str">
        <f ca="1">IFERROR(__xludf.DUMMYFUNCTION("IF(ISBLANK(A509),"""",GOOGLETRANSLATE(A509,""en"",""fr""))"),"")</f>
        <v/>
      </c>
    </row>
    <row r="510" spans="2:2">
      <c r="B510" s="3" t="str">
        <f ca="1">IFERROR(__xludf.DUMMYFUNCTION("IF(ISBLANK(A510),"""",GOOGLETRANSLATE(A510,""en"",""fr""))"),"")</f>
        <v/>
      </c>
    </row>
    <row r="511" spans="2:2">
      <c r="B511" s="3" t="str">
        <f ca="1">IFERROR(__xludf.DUMMYFUNCTION("IF(ISBLANK(A511),"""",GOOGLETRANSLATE(A511,""en"",""fr""))"),"")</f>
        <v/>
      </c>
    </row>
    <row r="512" spans="2:2">
      <c r="B512" s="3" t="str">
        <f ca="1">IFERROR(__xludf.DUMMYFUNCTION("IF(ISBLANK(A512),"""",GOOGLETRANSLATE(A512,""en"",""fr""))"),"")</f>
        <v/>
      </c>
    </row>
    <row r="513" spans="2:2">
      <c r="B513" s="3" t="str">
        <f ca="1">IFERROR(__xludf.DUMMYFUNCTION("IF(ISBLANK(A513),"""",GOOGLETRANSLATE(A513,""en"",""fr""))"),"")</f>
        <v/>
      </c>
    </row>
    <row r="514" spans="2:2">
      <c r="B514" s="3" t="str">
        <f ca="1">IFERROR(__xludf.DUMMYFUNCTION("IF(ISBLANK(A514),"""",GOOGLETRANSLATE(A514,""en"",""fr""))"),"")</f>
        <v/>
      </c>
    </row>
    <row r="515" spans="2:2">
      <c r="B515" s="3" t="str">
        <f ca="1">IFERROR(__xludf.DUMMYFUNCTION("IF(ISBLANK(A515),"""",GOOGLETRANSLATE(A515,""en"",""fr""))"),"")</f>
        <v/>
      </c>
    </row>
    <row r="516" spans="2:2">
      <c r="B516" s="3" t="str">
        <f ca="1">IFERROR(__xludf.DUMMYFUNCTION("IF(ISBLANK(A516),"""",GOOGLETRANSLATE(A516,""en"",""fr""))"),"")</f>
        <v/>
      </c>
    </row>
    <row r="517" spans="2:2">
      <c r="B517" s="3" t="str">
        <f ca="1">IFERROR(__xludf.DUMMYFUNCTION("IF(ISBLANK(A517),"""",GOOGLETRANSLATE(A517,""en"",""fr""))"),"")</f>
        <v/>
      </c>
    </row>
    <row r="518" spans="2:2">
      <c r="B518" s="3" t="str">
        <f ca="1">IFERROR(__xludf.DUMMYFUNCTION("IF(ISBLANK(A518),"""",GOOGLETRANSLATE(A518,""en"",""fr""))"),"")</f>
        <v/>
      </c>
    </row>
    <row r="519" spans="2:2">
      <c r="B519" s="3" t="str">
        <f ca="1">IFERROR(__xludf.DUMMYFUNCTION("IF(ISBLANK(A519),"""",GOOGLETRANSLATE(A519,""en"",""fr""))"),"")</f>
        <v/>
      </c>
    </row>
    <row r="520" spans="2:2">
      <c r="B520" s="3" t="str">
        <f ca="1">IFERROR(__xludf.DUMMYFUNCTION("IF(ISBLANK(A520),"""",GOOGLETRANSLATE(A520,""en"",""fr""))"),"")</f>
        <v/>
      </c>
    </row>
    <row r="521" spans="2:2">
      <c r="B521" s="3" t="str">
        <f ca="1">IFERROR(__xludf.DUMMYFUNCTION("IF(ISBLANK(A521),"""",GOOGLETRANSLATE(A521,""en"",""fr""))"),"")</f>
        <v/>
      </c>
    </row>
    <row r="522" spans="2:2">
      <c r="B522" s="3" t="str">
        <f ca="1">IFERROR(__xludf.DUMMYFUNCTION("IF(ISBLANK(A522),"""",GOOGLETRANSLATE(A522,""en"",""fr""))"),"")</f>
        <v/>
      </c>
    </row>
    <row r="523" spans="2:2">
      <c r="B523" s="3" t="str">
        <f ca="1">IFERROR(__xludf.DUMMYFUNCTION("IF(ISBLANK(A523),"""",GOOGLETRANSLATE(A523,""en"",""fr""))"),"")</f>
        <v/>
      </c>
    </row>
    <row r="524" spans="2:2">
      <c r="B524" s="3" t="str">
        <f ca="1">IFERROR(__xludf.DUMMYFUNCTION("IF(ISBLANK(A524),"""",GOOGLETRANSLATE(A524,""en"",""fr""))"),"")</f>
        <v/>
      </c>
    </row>
    <row r="525" spans="2:2">
      <c r="B525" s="3" t="str">
        <f ca="1">IFERROR(__xludf.DUMMYFUNCTION("IF(ISBLANK(A525),"""",GOOGLETRANSLATE(A525,""en"",""fr""))"),"")</f>
        <v/>
      </c>
    </row>
    <row r="526" spans="2:2">
      <c r="B526" s="3" t="str">
        <f ca="1">IFERROR(__xludf.DUMMYFUNCTION("IF(ISBLANK(A526),"""",GOOGLETRANSLATE(A526,""en"",""fr""))"),"")</f>
        <v/>
      </c>
    </row>
    <row r="527" spans="2:2">
      <c r="B527" s="3" t="str">
        <f ca="1">IFERROR(__xludf.DUMMYFUNCTION("IF(ISBLANK(A527),"""",GOOGLETRANSLATE(A527,""en"",""fr""))"),"")</f>
        <v/>
      </c>
    </row>
    <row r="528" spans="2:2">
      <c r="B528" s="3" t="str">
        <f ca="1">IFERROR(__xludf.DUMMYFUNCTION("IF(ISBLANK(A528),"""",GOOGLETRANSLATE(A528,""en"",""fr""))"),"")</f>
        <v/>
      </c>
    </row>
    <row r="529" spans="2:2">
      <c r="B529" s="3" t="str">
        <f ca="1">IFERROR(__xludf.DUMMYFUNCTION("IF(ISBLANK(A529),"""",GOOGLETRANSLATE(A529,""en"",""fr""))"),"")</f>
        <v/>
      </c>
    </row>
    <row r="530" spans="2:2">
      <c r="B530" s="3" t="str">
        <f ca="1">IFERROR(__xludf.DUMMYFUNCTION("IF(ISBLANK(A530),"""",GOOGLETRANSLATE(A530,""en"",""fr""))"),"")</f>
        <v/>
      </c>
    </row>
    <row r="531" spans="2:2">
      <c r="B531" s="3" t="str">
        <f ca="1">IFERROR(__xludf.DUMMYFUNCTION("IF(ISBLANK(A531),"""",GOOGLETRANSLATE(A531,""en"",""fr""))"),"")</f>
        <v/>
      </c>
    </row>
    <row r="532" spans="2:2">
      <c r="B532" s="3" t="str">
        <f ca="1">IFERROR(__xludf.DUMMYFUNCTION("IF(ISBLANK(A532),"""",GOOGLETRANSLATE(A532,""en"",""fr""))"),"")</f>
        <v/>
      </c>
    </row>
    <row r="533" spans="2:2">
      <c r="B533" s="3" t="str">
        <f ca="1">IFERROR(__xludf.DUMMYFUNCTION("IF(ISBLANK(A533),"""",GOOGLETRANSLATE(A533,""en"",""fr""))"),"")</f>
        <v/>
      </c>
    </row>
    <row r="534" spans="2:2">
      <c r="B534" s="3" t="str">
        <f ca="1">IFERROR(__xludf.DUMMYFUNCTION("IF(ISBLANK(A534),"""",GOOGLETRANSLATE(A534,""en"",""fr""))"),"")</f>
        <v/>
      </c>
    </row>
    <row r="535" spans="2:2">
      <c r="B535" s="3" t="str">
        <f ca="1">IFERROR(__xludf.DUMMYFUNCTION("IF(ISBLANK(A535),"""",GOOGLETRANSLATE(A535,""en"",""fr""))"),"")</f>
        <v/>
      </c>
    </row>
    <row r="536" spans="2:2">
      <c r="B536" s="3" t="str">
        <f ca="1">IFERROR(__xludf.DUMMYFUNCTION("IF(ISBLANK(A536),"""",GOOGLETRANSLATE(A536,""en"",""fr""))"),"")</f>
        <v/>
      </c>
    </row>
    <row r="537" spans="2:2">
      <c r="B537" s="3" t="str">
        <f ca="1">IFERROR(__xludf.DUMMYFUNCTION("IF(ISBLANK(A537),"""",GOOGLETRANSLATE(A537,""en"",""fr""))"),"")</f>
        <v/>
      </c>
    </row>
    <row r="538" spans="2:2">
      <c r="B538" s="3" t="str">
        <f ca="1">IFERROR(__xludf.DUMMYFUNCTION("IF(ISBLANK(A538),"""",GOOGLETRANSLATE(A538,""en"",""fr""))"),"")</f>
        <v/>
      </c>
    </row>
    <row r="539" spans="2:2">
      <c r="B539" s="3" t="str">
        <f ca="1">IFERROR(__xludf.DUMMYFUNCTION("IF(ISBLANK(A539),"""",GOOGLETRANSLATE(A539,""en"",""fr""))"),"")</f>
        <v/>
      </c>
    </row>
    <row r="540" spans="2:2">
      <c r="B540" s="3" t="str">
        <f ca="1">IFERROR(__xludf.DUMMYFUNCTION("IF(ISBLANK(A540),"""",GOOGLETRANSLATE(A540,""en"",""fr""))"),"")</f>
        <v/>
      </c>
    </row>
    <row r="541" spans="2:2">
      <c r="B541" s="3" t="str">
        <f ca="1">IFERROR(__xludf.DUMMYFUNCTION("IF(ISBLANK(A541),"""",GOOGLETRANSLATE(A541,""en"",""fr""))"),"")</f>
        <v/>
      </c>
    </row>
    <row r="542" spans="2:2">
      <c r="B542" s="3" t="str">
        <f ca="1">IFERROR(__xludf.DUMMYFUNCTION("IF(ISBLANK(A542),"""",GOOGLETRANSLATE(A542,""en"",""fr""))"),"")</f>
        <v/>
      </c>
    </row>
    <row r="543" spans="2:2">
      <c r="B543" s="3" t="str">
        <f ca="1">IFERROR(__xludf.DUMMYFUNCTION("IF(ISBLANK(A543),"""",GOOGLETRANSLATE(A543,""en"",""fr""))"),"")</f>
        <v/>
      </c>
    </row>
    <row r="544" spans="2:2">
      <c r="B544" s="3" t="str">
        <f ca="1">IFERROR(__xludf.DUMMYFUNCTION("IF(ISBLANK(A544),"""",GOOGLETRANSLATE(A544,""en"",""fr""))"),"")</f>
        <v/>
      </c>
    </row>
    <row r="545" spans="2:2">
      <c r="B545" s="3" t="str">
        <f ca="1">IFERROR(__xludf.DUMMYFUNCTION("IF(ISBLANK(A545),"""",GOOGLETRANSLATE(A545,""en"",""fr""))"),"")</f>
        <v/>
      </c>
    </row>
    <row r="546" spans="2:2">
      <c r="B546" s="3" t="str">
        <f ca="1">IFERROR(__xludf.DUMMYFUNCTION("IF(ISBLANK(A546),"""",GOOGLETRANSLATE(A546,""en"",""fr""))"),"")</f>
        <v/>
      </c>
    </row>
    <row r="547" spans="2:2">
      <c r="B547" s="3" t="str">
        <f ca="1">IFERROR(__xludf.DUMMYFUNCTION("IF(ISBLANK(A547),"""",GOOGLETRANSLATE(A547,""en"",""fr""))"),"")</f>
        <v/>
      </c>
    </row>
    <row r="548" spans="2:2">
      <c r="B548" s="3" t="str">
        <f ca="1">IFERROR(__xludf.DUMMYFUNCTION("IF(ISBLANK(A548),"""",GOOGLETRANSLATE(A548,""en"",""fr""))"),"")</f>
        <v/>
      </c>
    </row>
    <row r="549" spans="2:2">
      <c r="B549" s="3" t="str">
        <f ca="1">IFERROR(__xludf.DUMMYFUNCTION("IF(ISBLANK(A549),"""",GOOGLETRANSLATE(A549,""en"",""fr""))"),"")</f>
        <v/>
      </c>
    </row>
    <row r="550" spans="2:2">
      <c r="B550" s="3" t="str">
        <f ca="1">IFERROR(__xludf.DUMMYFUNCTION("IF(ISBLANK(A550),"""",GOOGLETRANSLATE(A550,""en"",""fr""))"),"")</f>
        <v/>
      </c>
    </row>
    <row r="551" spans="2:2">
      <c r="B551" s="3" t="str">
        <f ca="1">IFERROR(__xludf.DUMMYFUNCTION("IF(ISBLANK(A551),"""",GOOGLETRANSLATE(A551,""en"",""fr""))"),"")</f>
        <v/>
      </c>
    </row>
    <row r="552" spans="2:2">
      <c r="B552" s="3" t="str">
        <f ca="1">IFERROR(__xludf.DUMMYFUNCTION("IF(ISBLANK(A552),"""",GOOGLETRANSLATE(A552,""en"",""fr""))"),"")</f>
        <v/>
      </c>
    </row>
    <row r="553" spans="2:2">
      <c r="B553" s="3" t="str">
        <f ca="1">IFERROR(__xludf.DUMMYFUNCTION("IF(ISBLANK(A553),"""",GOOGLETRANSLATE(A553,""en"",""fr""))"),"")</f>
        <v/>
      </c>
    </row>
    <row r="554" spans="2:2">
      <c r="B554" s="3" t="str">
        <f ca="1">IFERROR(__xludf.DUMMYFUNCTION("IF(ISBLANK(A554),"""",GOOGLETRANSLATE(A554,""en"",""fr""))"),"")</f>
        <v/>
      </c>
    </row>
    <row r="555" spans="2:2">
      <c r="B555" s="3" t="str">
        <f ca="1">IFERROR(__xludf.DUMMYFUNCTION("IF(ISBLANK(A555),"""",GOOGLETRANSLATE(A555,""en"",""fr""))"),"")</f>
        <v/>
      </c>
    </row>
    <row r="556" spans="2:2">
      <c r="B556" s="3" t="str">
        <f ca="1">IFERROR(__xludf.DUMMYFUNCTION("IF(ISBLANK(A556),"""",GOOGLETRANSLATE(A556,""en"",""fr""))"),"")</f>
        <v/>
      </c>
    </row>
    <row r="557" spans="2:2">
      <c r="B557" s="3" t="str">
        <f ca="1">IFERROR(__xludf.DUMMYFUNCTION("IF(ISBLANK(A557),"""",GOOGLETRANSLATE(A557,""en"",""fr""))"),"")</f>
        <v/>
      </c>
    </row>
    <row r="558" spans="2:2">
      <c r="B558" s="3" t="str">
        <f ca="1">IFERROR(__xludf.DUMMYFUNCTION("IF(ISBLANK(A558),"""",GOOGLETRANSLATE(A558,""en"",""fr""))"),"")</f>
        <v/>
      </c>
    </row>
    <row r="559" spans="2:2">
      <c r="B559" s="3" t="str">
        <f ca="1">IFERROR(__xludf.DUMMYFUNCTION("IF(ISBLANK(A559),"""",GOOGLETRANSLATE(A559,""en"",""fr""))"),"")</f>
        <v/>
      </c>
    </row>
    <row r="560" spans="2:2">
      <c r="B560" s="3" t="str">
        <f ca="1">IFERROR(__xludf.DUMMYFUNCTION("IF(ISBLANK(A560),"""",GOOGLETRANSLATE(A560,""en"",""fr""))"),"")</f>
        <v/>
      </c>
    </row>
    <row r="561" spans="2:2">
      <c r="B561" s="3" t="str">
        <f ca="1">IFERROR(__xludf.DUMMYFUNCTION("IF(ISBLANK(A561),"""",GOOGLETRANSLATE(A561,""en"",""fr""))"),"")</f>
        <v/>
      </c>
    </row>
    <row r="562" spans="2:2">
      <c r="B562" s="3" t="str">
        <f ca="1">IFERROR(__xludf.DUMMYFUNCTION("IF(ISBLANK(A562),"""",GOOGLETRANSLATE(A562,""en"",""fr""))"),"")</f>
        <v/>
      </c>
    </row>
    <row r="563" spans="2:2">
      <c r="B563" s="3" t="str">
        <f ca="1">IFERROR(__xludf.DUMMYFUNCTION("IF(ISBLANK(A563),"""",GOOGLETRANSLATE(A563,""en"",""fr""))"),"")</f>
        <v/>
      </c>
    </row>
    <row r="564" spans="2:2">
      <c r="B564" s="3" t="str">
        <f ca="1">IFERROR(__xludf.DUMMYFUNCTION("IF(ISBLANK(A564),"""",GOOGLETRANSLATE(A564,""en"",""fr""))"),"")</f>
        <v/>
      </c>
    </row>
    <row r="565" spans="2:2">
      <c r="B565" s="3" t="str">
        <f ca="1">IFERROR(__xludf.DUMMYFUNCTION("IF(ISBLANK(A565),"""",GOOGLETRANSLATE(A565,""en"",""fr""))"),"")</f>
        <v/>
      </c>
    </row>
    <row r="566" spans="2:2">
      <c r="B566" s="3" t="str">
        <f ca="1">IFERROR(__xludf.DUMMYFUNCTION("IF(ISBLANK(A566),"""",GOOGLETRANSLATE(A566,""en"",""fr""))"),"")</f>
        <v/>
      </c>
    </row>
    <row r="567" spans="2:2">
      <c r="B567" s="3" t="str">
        <f ca="1">IFERROR(__xludf.DUMMYFUNCTION("IF(ISBLANK(A567),"""",GOOGLETRANSLATE(A567,""en"",""fr""))"),"")</f>
        <v/>
      </c>
    </row>
    <row r="568" spans="2:2">
      <c r="B568" s="3" t="str">
        <f ca="1">IFERROR(__xludf.DUMMYFUNCTION("IF(ISBLANK(A568),"""",GOOGLETRANSLATE(A568,""en"",""fr""))"),"")</f>
        <v/>
      </c>
    </row>
    <row r="569" spans="2:2">
      <c r="B569" s="3" t="str">
        <f ca="1">IFERROR(__xludf.DUMMYFUNCTION("IF(ISBLANK(A569),"""",GOOGLETRANSLATE(A569,""en"",""fr""))"),"")</f>
        <v/>
      </c>
    </row>
    <row r="570" spans="2:2">
      <c r="B570" s="3" t="str">
        <f ca="1">IFERROR(__xludf.DUMMYFUNCTION("IF(ISBLANK(A570),"""",GOOGLETRANSLATE(A570,""en"",""fr""))"),"")</f>
        <v/>
      </c>
    </row>
    <row r="571" spans="2:2">
      <c r="B571" s="3" t="str">
        <f ca="1">IFERROR(__xludf.DUMMYFUNCTION("IF(ISBLANK(A571),"""",GOOGLETRANSLATE(A571,""en"",""fr""))"),"")</f>
        <v/>
      </c>
    </row>
    <row r="572" spans="2:2">
      <c r="B572" s="3" t="str">
        <f ca="1">IFERROR(__xludf.DUMMYFUNCTION("IF(ISBLANK(A572),"""",GOOGLETRANSLATE(A572,""en"",""fr""))"),"")</f>
        <v/>
      </c>
    </row>
    <row r="573" spans="2:2">
      <c r="B573" s="3" t="str">
        <f ca="1">IFERROR(__xludf.DUMMYFUNCTION("IF(ISBLANK(A573),"""",GOOGLETRANSLATE(A573,""en"",""fr""))"),"")</f>
        <v/>
      </c>
    </row>
    <row r="574" spans="2:2">
      <c r="B574" s="3" t="str">
        <f ca="1">IFERROR(__xludf.DUMMYFUNCTION("IF(ISBLANK(A574),"""",GOOGLETRANSLATE(A574,""en"",""fr""))"),"")</f>
        <v/>
      </c>
    </row>
    <row r="575" spans="2:2">
      <c r="B575" s="3" t="str">
        <f ca="1">IFERROR(__xludf.DUMMYFUNCTION("IF(ISBLANK(A575),"""",GOOGLETRANSLATE(A575,""en"",""fr""))"),"")</f>
        <v/>
      </c>
    </row>
    <row r="576" spans="2:2">
      <c r="B576" s="3" t="str">
        <f ca="1">IFERROR(__xludf.DUMMYFUNCTION("IF(ISBLANK(A576),"""",GOOGLETRANSLATE(A576,""en"",""fr""))"),"")</f>
        <v/>
      </c>
    </row>
    <row r="577" spans="2:2">
      <c r="B577" s="3" t="str">
        <f ca="1">IFERROR(__xludf.DUMMYFUNCTION("IF(ISBLANK(A577),"""",GOOGLETRANSLATE(A577,""en"",""fr""))"),"")</f>
        <v/>
      </c>
    </row>
    <row r="578" spans="2:2">
      <c r="B578" s="3" t="str">
        <f ca="1">IFERROR(__xludf.DUMMYFUNCTION("IF(ISBLANK(A578),"""",GOOGLETRANSLATE(A578,""en"",""fr""))"),"")</f>
        <v/>
      </c>
    </row>
    <row r="579" spans="2:2">
      <c r="B579" s="3" t="str">
        <f ca="1">IFERROR(__xludf.DUMMYFUNCTION("IF(ISBLANK(A579),"""",GOOGLETRANSLATE(A579,""en"",""fr""))"),"")</f>
        <v/>
      </c>
    </row>
    <row r="580" spans="2:2">
      <c r="B580" s="3" t="str">
        <f ca="1">IFERROR(__xludf.DUMMYFUNCTION("IF(ISBLANK(A580),"""",GOOGLETRANSLATE(A580,""en"",""fr""))"),"")</f>
        <v/>
      </c>
    </row>
    <row r="581" spans="2:2">
      <c r="B581" s="3" t="str">
        <f ca="1">IFERROR(__xludf.DUMMYFUNCTION("IF(ISBLANK(A581),"""",GOOGLETRANSLATE(A581,""en"",""fr""))"),"")</f>
        <v/>
      </c>
    </row>
    <row r="582" spans="2:2">
      <c r="B582" s="3" t="str">
        <f ca="1">IFERROR(__xludf.DUMMYFUNCTION("IF(ISBLANK(A582),"""",GOOGLETRANSLATE(A582,""en"",""fr""))"),"")</f>
        <v/>
      </c>
    </row>
    <row r="583" spans="2:2">
      <c r="B583" s="3" t="str">
        <f ca="1">IFERROR(__xludf.DUMMYFUNCTION("IF(ISBLANK(A583),"""",GOOGLETRANSLATE(A583,""en"",""fr""))"),"")</f>
        <v/>
      </c>
    </row>
    <row r="584" spans="2:2">
      <c r="B584" s="3" t="str">
        <f ca="1">IFERROR(__xludf.DUMMYFUNCTION("IF(ISBLANK(A584),"""",GOOGLETRANSLATE(A584,""en"",""fr""))"),"")</f>
        <v/>
      </c>
    </row>
    <row r="585" spans="2:2">
      <c r="B585" s="3" t="str">
        <f ca="1">IFERROR(__xludf.DUMMYFUNCTION("IF(ISBLANK(A585),"""",GOOGLETRANSLATE(A585,""en"",""fr""))"),"")</f>
        <v/>
      </c>
    </row>
    <row r="586" spans="2:2">
      <c r="B586" s="3" t="str">
        <f ca="1">IFERROR(__xludf.DUMMYFUNCTION("IF(ISBLANK(A586),"""",GOOGLETRANSLATE(A586,""en"",""fr""))"),"")</f>
        <v/>
      </c>
    </row>
    <row r="587" spans="2:2">
      <c r="B587" s="3" t="str">
        <f ca="1">IFERROR(__xludf.DUMMYFUNCTION("IF(ISBLANK(A587),"""",GOOGLETRANSLATE(A587,""en"",""fr""))"),"")</f>
        <v/>
      </c>
    </row>
    <row r="588" spans="2:2">
      <c r="B588" s="3" t="str">
        <f ca="1">IFERROR(__xludf.DUMMYFUNCTION("IF(ISBLANK(A588),"""",GOOGLETRANSLATE(A588,""en"",""fr""))"),"")</f>
        <v/>
      </c>
    </row>
    <row r="589" spans="2:2">
      <c r="B589" s="3" t="str">
        <f ca="1">IFERROR(__xludf.DUMMYFUNCTION("IF(ISBLANK(A589),"""",GOOGLETRANSLATE(A589,""en"",""fr""))"),"")</f>
        <v/>
      </c>
    </row>
    <row r="590" spans="2:2">
      <c r="B590" s="3" t="str">
        <f ca="1">IFERROR(__xludf.DUMMYFUNCTION("IF(ISBLANK(A590),"""",GOOGLETRANSLATE(A590,""en"",""fr""))"),"")</f>
        <v/>
      </c>
    </row>
    <row r="591" spans="2:2">
      <c r="B591" s="3" t="str">
        <f ca="1">IFERROR(__xludf.DUMMYFUNCTION("IF(ISBLANK(A591),"""",GOOGLETRANSLATE(A591,""en"",""fr""))"),"")</f>
        <v/>
      </c>
    </row>
    <row r="592" spans="2:2">
      <c r="B592" s="3" t="str">
        <f ca="1">IFERROR(__xludf.DUMMYFUNCTION("IF(ISBLANK(A592),"""",GOOGLETRANSLATE(A592,""en"",""fr""))"),"")</f>
        <v/>
      </c>
    </row>
    <row r="593" spans="2:2">
      <c r="B593" s="3" t="str">
        <f ca="1">IFERROR(__xludf.DUMMYFUNCTION("IF(ISBLANK(A593),"""",GOOGLETRANSLATE(A593,""en"",""fr""))"),"")</f>
        <v/>
      </c>
    </row>
    <row r="594" spans="2:2">
      <c r="B594" s="3" t="str">
        <f ca="1">IFERROR(__xludf.DUMMYFUNCTION("IF(ISBLANK(A594),"""",GOOGLETRANSLATE(A594,""en"",""fr""))"),"")</f>
        <v/>
      </c>
    </row>
    <row r="595" spans="2:2">
      <c r="B595" s="3" t="str">
        <f ca="1">IFERROR(__xludf.DUMMYFUNCTION("IF(ISBLANK(A595),"""",GOOGLETRANSLATE(A595,""en"",""fr""))"),"")</f>
        <v/>
      </c>
    </row>
    <row r="596" spans="2:2">
      <c r="B596" s="3" t="str">
        <f ca="1">IFERROR(__xludf.DUMMYFUNCTION("IF(ISBLANK(A596),"""",GOOGLETRANSLATE(A596,""en"",""fr""))"),"")</f>
        <v/>
      </c>
    </row>
    <row r="597" spans="2:2">
      <c r="B597" s="3" t="str">
        <f ca="1">IFERROR(__xludf.DUMMYFUNCTION("IF(ISBLANK(A597),"""",GOOGLETRANSLATE(A597,""en"",""fr""))"),"")</f>
        <v/>
      </c>
    </row>
    <row r="598" spans="2:2">
      <c r="B598" s="3" t="str">
        <f ca="1">IFERROR(__xludf.DUMMYFUNCTION("IF(ISBLANK(A598),"""",GOOGLETRANSLATE(A598,""en"",""fr""))"),"")</f>
        <v/>
      </c>
    </row>
    <row r="599" spans="2:2">
      <c r="B599" s="3" t="str">
        <f ca="1">IFERROR(__xludf.DUMMYFUNCTION("IF(ISBLANK(A599),"""",GOOGLETRANSLATE(A599,""en"",""fr""))"),"")</f>
        <v/>
      </c>
    </row>
    <row r="600" spans="2:2">
      <c r="B600" s="3" t="str">
        <f ca="1">IFERROR(__xludf.DUMMYFUNCTION("IF(ISBLANK(A600),"""",GOOGLETRANSLATE(A600,""en"",""fr""))"),"")</f>
        <v/>
      </c>
    </row>
    <row r="601" spans="2:2">
      <c r="B601" s="3" t="str">
        <f ca="1">IFERROR(__xludf.DUMMYFUNCTION("IF(ISBLANK(A601),"""",GOOGLETRANSLATE(A601,""en"",""fr""))"),"")</f>
        <v/>
      </c>
    </row>
    <row r="602" spans="2:2">
      <c r="B602" s="3" t="str">
        <f ca="1">IFERROR(__xludf.DUMMYFUNCTION("IF(ISBLANK(A602),"""",GOOGLETRANSLATE(A602,""en"",""fr""))"),"")</f>
        <v/>
      </c>
    </row>
    <row r="603" spans="2:2">
      <c r="B603" s="3" t="str">
        <f ca="1">IFERROR(__xludf.DUMMYFUNCTION("IF(ISBLANK(A603),"""",GOOGLETRANSLATE(A603,""en"",""fr""))"),"")</f>
        <v/>
      </c>
    </row>
    <row r="604" spans="2:2">
      <c r="B604" s="3" t="str">
        <f ca="1">IFERROR(__xludf.DUMMYFUNCTION("IF(ISBLANK(A604),"""",GOOGLETRANSLATE(A604,""en"",""fr""))"),"")</f>
        <v/>
      </c>
    </row>
    <row r="605" spans="2:2">
      <c r="B605" s="3" t="str">
        <f ca="1">IFERROR(__xludf.DUMMYFUNCTION("IF(ISBLANK(A605),"""",GOOGLETRANSLATE(A605,""en"",""fr""))"),"")</f>
        <v/>
      </c>
    </row>
    <row r="606" spans="2:2">
      <c r="B606" s="3" t="str">
        <f ca="1">IFERROR(__xludf.DUMMYFUNCTION("IF(ISBLANK(A606),"""",GOOGLETRANSLATE(A606,""en"",""fr""))"),"")</f>
        <v/>
      </c>
    </row>
    <row r="607" spans="2:2">
      <c r="B607" s="3" t="str">
        <f ca="1">IFERROR(__xludf.DUMMYFUNCTION("IF(ISBLANK(A607),"""",GOOGLETRANSLATE(A607,""en"",""fr""))"),"")</f>
        <v/>
      </c>
    </row>
    <row r="608" spans="2:2">
      <c r="B608" s="3" t="str">
        <f ca="1">IFERROR(__xludf.DUMMYFUNCTION("IF(ISBLANK(A608),"""",GOOGLETRANSLATE(A608,""en"",""fr""))"),"")</f>
        <v/>
      </c>
    </row>
    <row r="609" spans="2:2">
      <c r="B609" s="3" t="str">
        <f ca="1">IFERROR(__xludf.DUMMYFUNCTION("IF(ISBLANK(A609),"""",GOOGLETRANSLATE(A609,""en"",""fr""))"),"")</f>
        <v/>
      </c>
    </row>
    <row r="610" spans="2:2">
      <c r="B610" s="3" t="str">
        <f ca="1">IFERROR(__xludf.DUMMYFUNCTION("IF(ISBLANK(A610),"""",GOOGLETRANSLATE(A610,""en"",""fr""))"),"")</f>
        <v/>
      </c>
    </row>
    <row r="611" spans="2:2">
      <c r="B611" s="3" t="str">
        <f ca="1">IFERROR(__xludf.DUMMYFUNCTION("IF(ISBLANK(A611),"""",GOOGLETRANSLATE(A611,""en"",""fr""))"),"")</f>
        <v/>
      </c>
    </row>
    <row r="612" spans="2:2">
      <c r="B612" s="3" t="str">
        <f ca="1">IFERROR(__xludf.DUMMYFUNCTION("IF(ISBLANK(A612),"""",GOOGLETRANSLATE(A612,""en"",""fr""))"),"")</f>
        <v/>
      </c>
    </row>
    <row r="613" spans="2:2">
      <c r="B613" s="3" t="str">
        <f ca="1">IFERROR(__xludf.DUMMYFUNCTION("IF(ISBLANK(A613),"""",GOOGLETRANSLATE(A613,""en"",""fr""))"),"")</f>
        <v/>
      </c>
    </row>
    <row r="614" spans="2:2">
      <c r="B614" s="3" t="str">
        <f ca="1">IFERROR(__xludf.DUMMYFUNCTION("IF(ISBLANK(A614),"""",GOOGLETRANSLATE(A614,""en"",""fr""))"),"")</f>
        <v/>
      </c>
    </row>
    <row r="615" spans="2:2">
      <c r="B615" s="3" t="str">
        <f ca="1">IFERROR(__xludf.DUMMYFUNCTION("IF(ISBLANK(A615),"""",GOOGLETRANSLATE(A615,""en"",""fr""))"),"")</f>
        <v/>
      </c>
    </row>
    <row r="616" spans="2:2">
      <c r="B616" s="3" t="str">
        <f ca="1">IFERROR(__xludf.DUMMYFUNCTION("IF(ISBLANK(A616),"""",GOOGLETRANSLATE(A616,""en"",""fr""))"),"")</f>
        <v/>
      </c>
    </row>
    <row r="617" spans="2:2">
      <c r="B617" s="3" t="str">
        <f ca="1">IFERROR(__xludf.DUMMYFUNCTION("IF(ISBLANK(A617),"""",GOOGLETRANSLATE(A617,""en"",""fr""))"),"")</f>
        <v/>
      </c>
    </row>
    <row r="618" spans="2:2">
      <c r="B618" s="3" t="str">
        <f ca="1">IFERROR(__xludf.DUMMYFUNCTION("IF(ISBLANK(A618),"""",GOOGLETRANSLATE(A618,""en"",""fr""))"),"")</f>
        <v/>
      </c>
    </row>
    <row r="619" spans="2:2">
      <c r="B619" s="3" t="str">
        <f ca="1">IFERROR(__xludf.DUMMYFUNCTION("IF(ISBLANK(A619),"""",GOOGLETRANSLATE(A619,""en"",""fr""))"),"")</f>
        <v/>
      </c>
    </row>
    <row r="620" spans="2:2">
      <c r="B620" s="3" t="str">
        <f ca="1">IFERROR(__xludf.DUMMYFUNCTION("IF(ISBLANK(A620),"""",GOOGLETRANSLATE(A620,""en"",""fr""))"),"")</f>
        <v/>
      </c>
    </row>
    <row r="621" spans="2:2">
      <c r="B621" s="3" t="str">
        <f ca="1">IFERROR(__xludf.DUMMYFUNCTION("IF(ISBLANK(A621),"""",GOOGLETRANSLATE(A621,""en"",""fr""))"),"")</f>
        <v/>
      </c>
    </row>
    <row r="622" spans="2:2">
      <c r="B622" s="3" t="str">
        <f ca="1">IFERROR(__xludf.DUMMYFUNCTION("IF(ISBLANK(A622),"""",GOOGLETRANSLATE(A622,""en"",""fr""))"),"")</f>
        <v/>
      </c>
    </row>
    <row r="623" spans="2:2">
      <c r="B623" s="3" t="str">
        <f ca="1">IFERROR(__xludf.DUMMYFUNCTION("IF(ISBLANK(A623),"""",GOOGLETRANSLATE(A623,""en"",""fr""))"),"")</f>
        <v/>
      </c>
    </row>
    <row r="624" spans="2:2">
      <c r="B624" s="3" t="str">
        <f ca="1">IFERROR(__xludf.DUMMYFUNCTION("IF(ISBLANK(A624),"""",GOOGLETRANSLATE(A624,""en"",""fr""))"),"")</f>
        <v/>
      </c>
    </row>
    <row r="625" spans="2:2">
      <c r="B625" s="3" t="str">
        <f ca="1">IFERROR(__xludf.DUMMYFUNCTION("IF(ISBLANK(A625),"""",GOOGLETRANSLATE(A625,""en"",""fr""))"),"")</f>
        <v/>
      </c>
    </row>
    <row r="626" spans="2:2">
      <c r="B626" s="3" t="str">
        <f ca="1">IFERROR(__xludf.DUMMYFUNCTION("IF(ISBLANK(A626),"""",GOOGLETRANSLATE(A626,""en"",""fr""))"),"")</f>
        <v/>
      </c>
    </row>
    <row r="627" spans="2:2">
      <c r="B627" s="3" t="str">
        <f ca="1">IFERROR(__xludf.DUMMYFUNCTION("IF(ISBLANK(A627),"""",GOOGLETRANSLATE(A627,""en"",""fr""))"),"")</f>
        <v/>
      </c>
    </row>
    <row r="628" spans="2:2">
      <c r="B628" s="3" t="str">
        <f ca="1">IFERROR(__xludf.DUMMYFUNCTION("IF(ISBLANK(A628),"""",GOOGLETRANSLATE(A628,""en"",""fr""))"),"")</f>
        <v/>
      </c>
    </row>
    <row r="629" spans="2:2">
      <c r="B629" s="3" t="str">
        <f ca="1">IFERROR(__xludf.DUMMYFUNCTION("IF(ISBLANK(A629),"""",GOOGLETRANSLATE(A629,""en"",""fr""))"),"")</f>
        <v/>
      </c>
    </row>
    <row r="630" spans="2:2">
      <c r="B630" s="3" t="str">
        <f ca="1">IFERROR(__xludf.DUMMYFUNCTION("IF(ISBLANK(A630),"""",GOOGLETRANSLATE(A630,""en"",""fr""))"),"")</f>
        <v/>
      </c>
    </row>
    <row r="631" spans="2:2">
      <c r="B631" s="3" t="str">
        <f ca="1">IFERROR(__xludf.DUMMYFUNCTION("IF(ISBLANK(A631),"""",GOOGLETRANSLATE(A631,""en"",""fr""))"),"")</f>
        <v/>
      </c>
    </row>
    <row r="632" spans="2:2">
      <c r="B632" s="3" t="str">
        <f ca="1">IFERROR(__xludf.DUMMYFUNCTION("IF(ISBLANK(A632),"""",GOOGLETRANSLATE(A632,""en"",""fr""))"),"")</f>
        <v/>
      </c>
    </row>
    <row r="633" spans="2:2">
      <c r="B633" s="3" t="str">
        <f ca="1">IFERROR(__xludf.DUMMYFUNCTION("IF(ISBLANK(A633),"""",GOOGLETRANSLATE(A633,""en"",""fr""))"),"")</f>
        <v/>
      </c>
    </row>
    <row r="634" spans="2:2">
      <c r="B634" s="3" t="str">
        <f ca="1">IFERROR(__xludf.DUMMYFUNCTION("IF(ISBLANK(A634),"""",GOOGLETRANSLATE(A634,""en"",""fr""))"),"")</f>
        <v/>
      </c>
    </row>
    <row r="635" spans="2:2">
      <c r="B635" s="3" t="str">
        <f ca="1">IFERROR(__xludf.DUMMYFUNCTION("IF(ISBLANK(A635),"""",GOOGLETRANSLATE(A635,""en"",""fr""))"),"")</f>
        <v/>
      </c>
    </row>
    <row r="636" spans="2:2">
      <c r="B636" s="3" t="str">
        <f ca="1">IFERROR(__xludf.DUMMYFUNCTION("IF(ISBLANK(A636),"""",GOOGLETRANSLATE(A636,""en"",""fr""))"),"")</f>
        <v/>
      </c>
    </row>
    <row r="637" spans="2:2">
      <c r="B637" s="3" t="str">
        <f ca="1">IFERROR(__xludf.DUMMYFUNCTION("IF(ISBLANK(A637),"""",GOOGLETRANSLATE(A637,""en"",""fr""))"),"")</f>
        <v/>
      </c>
    </row>
    <row r="638" spans="2:2">
      <c r="B638" s="3" t="str">
        <f ca="1">IFERROR(__xludf.DUMMYFUNCTION("IF(ISBLANK(A638),"""",GOOGLETRANSLATE(A638,""en"",""fr""))"),"")</f>
        <v/>
      </c>
    </row>
    <row r="639" spans="2:2">
      <c r="B639" s="3" t="str">
        <f ca="1">IFERROR(__xludf.DUMMYFUNCTION("IF(ISBLANK(A639),"""",GOOGLETRANSLATE(A639,""en"",""fr""))"),"")</f>
        <v/>
      </c>
    </row>
    <row r="640" spans="2:2">
      <c r="B640" s="3" t="str">
        <f ca="1">IFERROR(__xludf.DUMMYFUNCTION("IF(ISBLANK(A640),"""",GOOGLETRANSLATE(A640,""en"",""fr""))"),"")</f>
        <v/>
      </c>
    </row>
    <row r="641" spans="2:2">
      <c r="B641" s="3" t="str">
        <f ca="1">IFERROR(__xludf.DUMMYFUNCTION("IF(ISBLANK(A641),"""",GOOGLETRANSLATE(A641,""en"",""fr""))"),"")</f>
        <v/>
      </c>
    </row>
    <row r="642" spans="2:2">
      <c r="B642" s="3" t="str">
        <f ca="1">IFERROR(__xludf.DUMMYFUNCTION("IF(ISBLANK(A642),"""",GOOGLETRANSLATE(A642,""en"",""fr""))"),"")</f>
        <v/>
      </c>
    </row>
    <row r="643" spans="2:2">
      <c r="B643" s="3" t="str">
        <f ca="1">IFERROR(__xludf.DUMMYFUNCTION("IF(ISBLANK(A643),"""",GOOGLETRANSLATE(A643,""en"",""fr""))"),"")</f>
        <v/>
      </c>
    </row>
    <row r="644" spans="2:2">
      <c r="B644" s="3" t="str">
        <f ca="1">IFERROR(__xludf.DUMMYFUNCTION("IF(ISBLANK(A644),"""",GOOGLETRANSLATE(A644,""en"",""fr""))"),"")</f>
        <v/>
      </c>
    </row>
    <row r="645" spans="2:2">
      <c r="B645" s="3" t="str">
        <f ca="1">IFERROR(__xludf.DUMMYFUNCTION("IF(ISBLANK(A645),"""",GOOGLETRANSLATE(A645,""en"",""fr""))"),"")</f>
        <v/>
      </c>
    </row>
    <row r="646" spans="2:2">
      <c r="B646" s="3" t="str">
        <f ca="1">IFERROR(__xludf.DUMMYFUNCTION("IF(ISBLANK(A646),"""",GOOGLETRANSLATE(A646,""en"",""fr""))"),"")</f>
        <v/>
      </c>
    </row>
    <row r="647" spans="2:2">
      <c r="B647" s="3" t="str">
        <f ca="1">IFERROR(__xludf.DUMMYFUNCTION("IF(ISBLANK(A647),"""",GOOGLETRANSLATE(A647,""en"",""fr""))"),"")</f>
        <v/>
      </c>
    </row>
    <row r="648" spans="2:2">
      <c r="B648" s="3" t="str">
        <f ca="1">IFERROR(__xludf.DUMMYFUNCTION("IF(ISBLANK(A648),"""",GOOGLETRANSLATE(A648,""en"",""fr""))"),"")</f>
        <v/>
      </c>
    </row>
    <row r="649" spans="2:2">
      <c r="B649" s="3" t="str">
        <f ca="1">IFERROR(__xludf.DUMMYFUNCTION("IF(ISBLANK(A649),"""",GOOGLETRANSLATE(A649,""en"",""fr""))"),"")</f>
        <v/>
      </c>
    </row>
    <row r="650" spans="2:2">
      <c r="B650" s="3" t="str">
        <f ca="1">IFERROR(__xludf.DUMMYFUNCTION("IF(ISBLANK(A650),"""",GOOGLETRANSLATE(A650,""en"",""fr""))"),"")</f>
        <v/>
      </c>
    </row>
    <row r="651" spans="2:2">
      <c r="B651" s="3" t="str">
        <f ca="1">IFERROR(__xludf.DUMMYFUNCTION("IF(ISBLANK(A651),"""",GOOGLETRANSLATE(A651,""en"",""fr""))"),"")</f>
        <v/>
      </c>
    </row>
    <row r="652" spans="2:2">
      <c r="B652" s="3" t="str">
        <f ca="1">IFERROR(__xludf.DUMMYFUNCTION("IF(ISBLANK(A652),"""",GOOGLETRANSLATE(A652,""en"",""fr""))"),"")</f>
        <v/>
      </c>
    </row>
    <row r="653" spans="2:2">
      <c r="B653" s="3" t="str">
        <f ca="1">IFERROR(__xludf.DUMMYFUNCTION("IF(ISBLANK(A653),"""",GOOGLETRANSLATE(A653,""en"",""fr""))"),"")</f>
        <v/>
      </c>
    </row>
    <row r="654" spans="2:2">
      <c r="B654" s="3" t="str">
        <f ca="1">IFERROR(__xludf.DUMMYFUNCTION("IF(ISBLANK(A654),"""",GOOGLETRANSLATE(A654,""en"",""fr""))"),"")</f>
        <v/>
      </c>
    </row>
    <row r="655" spans="2:2">
      <c r="B655" s="3" t="str">
        <f ca="1">IFERROR(__xludf.DUMMYFUNCTION("IF(ISBLANK(A655),"""",GOOGLETRANSLATE(A655,""en"",""fr""))"),"")</f>
        <v/>
      </c>
    </row>
    <row r="656" spans="2:2">
      <c r="B656" s="3" t="str">
        <f ca="1">IFERROR(__xludf.DUMMYFUNCTION("IF(ISBLANK(A656),"""",GOOGLETRANSLATE(A656,""en"",""fr""))"),"")</f>
        <v/>
      </c>
    </row>
    <row r="657" spans="2:2">
      <c r="B657" s="3" t="str">
        <f ca="1">IFERROR(__xludf.DUMMYFUNCTION("IF(ISBLANK(A657),"""",GOOGLETRANSLATE(A657,""en"",""fr""))"),"")</f>
        <v/>
      </c>
    </row>
    <row r="658" spans="2:2">
      <c r="B658" s="3" t="str">
        <f ca="1">IFERROR(__xludf.DUMMYFUNCTION("IF(ISBLANK(A658),"""",GOOGLETRANSLATE(A658,""en"",""fr""))"),"")</f>
        <v/>
      </c>
    </row>
    <row r="659" spans="2:2">
      <c r="B659" s="3" t="str">
        <f ca="1">IFERROR(__xludf.DUMMYFUNCTION("IF(ISBLANK(A659),"""",GOOGLETRANSLATE(A659,""en"",""fr""))"),"")</f>
        <v/>
      </c>
    </row>
    <row r="660" spans="2:2">
      <c r="B660" s="3" t="str">
        <f ca="1">IFERROR(__xludf.DUMMYFUNCTION("IF(ISBLANK(A660),"""",GOOGLETRANSLATE(A660,""en"",""fr""))"),"")</f>
        <v/>
      </c>
    </row>
    <row r="661" spans="2:2">
      <c r="B661" s="3" t="str">
        <f ca="1">IFERROR(__xludf.DUMMYFUNCTION("IF(ISBLANK(A661),"""",GOOGLETRANSLATE(A661,""en"",""fr""))"),"")</f>
        <v/>
      </c>
    </row>
    <row r="662" spans="2:2">
      <c r="B662" s="3" t="str">
        <f ca="1">IFERROR(__xludf.DUMMYFUNCTION("IF(ISBLANK(A662),"""",GOOGLETRANSLATE(A662,""en"",""fr""))"),"")</f>
        <v/>
      </c>
    </row>
    <row r="663" spans="2:2">
      <c r="B663" s="3" t="str">
        <f ca="1">IFERROR(__xludf.DUMMYFUNCTION("IF(ISBLANK(A663),"""",GOOGLETRANSLATE(A663,""en"",""fr""))"),"")</f>
        <v/>
      </c>
    </row>
    <row r="664" spans="2:2">
      <c r="B664" s="3" t="str">
        <f ca="1">IFERROR(__xludf.DUMMYFUNCTION("IF(ISBLANK(A664),"""",GOOGLETRANSLATE(A664,""en"",""fr""))"),"")</f>
        <v/>
      </c>
    </row>
    <row r="665" spans="2:2">
      <c r="B665" s="3" t="str">
        <f ca="1">IFERROR(__xludf.DUMMYFUNCTION("IF(ISBLANK(A665),"""",GOOGLETRANSLATE(A665,""en"",""fr""))"),"")</f>
        <v/>
      </c>
    </row>
    <row r="666" spans="2:2">
      <c r="B666" s="3" t="str">
        <f ca="1">IFERROR(__xludf.DUMMYFUNCTION("IF(ISBLANK(A666),"""",GOOGLETRANSLATE(A666,""en"",""fr""))"),"")</f>
        <v/>
      </c>
    </row>
    <row r="667" spans="2:2">
      <c r="B667" s="3" t="str">
        <f ca="1">IFERROR(__xludf.DUMMYFUNCTION("IF(ISBLANK(A667),"""",GOOGLETRANSLATE(A667,""en"",""fr""))"),"")</f>
        <v/>
      </c>
    </row>
    <row r="668" spans="2:2">
      <c r="B668" s="3" t="str">
        <f ca="1">IFERROR(__xludf.DUMMYFUNCTION("IF(ISBLANK(A668),"""",GOOGLETRANSLATE(A668,""en"",""fr""))"),"")</f>
        <v/>
      </c>
    </row>
    <row r="669" spans="2:2">
      <c r="B669" s="3" t="str">
        <f ca="1">IFERROR(__xludf.DUMMYFUNCTION("IF(ISBLANK(A669),"""",GOOGLETRANSLATE(A669,""en"",""fr""))"),"")</f>
        <v/>
      </c>
    </row>
    <row r="670" spans="2:2">
      <c r="B670" s="3" t="str">
        <f ca="1">IFERROR(__xludf.DUMMYFUNCTION("IF(ISBLANK(A670),"""",GOOGLETRANSLATE(A670,""en"",""fr""))"),"")</f>
        <v/>
      </c>
    </row>
    <row r="671" spans="2:2">
      <c r="B671" s="3" t="str">
        <f ca="1">IFERROR(__xludf.DUMMYFUNCTION("IF(ISBLANK(A671),"""",GOOGLETRANSLATE(A671,""en"",""fr""))"),"")</f>
        <v/>
      </c>
    </row>
    <row r="672" spans="2:2">
      <c r="B672" s="3" t="str">
        <f ca="1">IFERROR(__xludf.DUMMYFUNCTION("IF(ISBLANK(A672),"""",GOOGLETRANSLATE(A672,""en"",""fr""))"),"")</f>
        <v/>
      </c>
    </row>
    <row r="673" spans="2:2">
      <c r="B673" s="3" t="str">
        <f ca="1">IFERROR(__xludf.DUMMYFUNCTION("IF(ISBLANK(A673),"""",GOOGLETRANSLATE(A673,""en"",""fr""))"),"")</f>
        <v/>
      </c>
    </row>
    <row r="674" spans="2:2">
      <c r="B674" s="3" t="str">
        <f ca="1">IFERROR(__xludf.DUMMYFUNCTION("IF(ISBLANK(A674),"""",GOOGLETRANSLATE(A674,""en"",""fr""))"),"")</f>
        <v/>
      </c>
    </row>
    <row r="675" spans="2:2">
      <c r="B675" s="3" t="str">
        <f ca="1">IFERROR(__xludf.DUMMYFUNCTION("IF(ISBLANK(A675),"""",GOOGLETRANSLATE(A675,""en"",""fr""))"),"")</f>
        <v/>
      </c>
    </row>
    <row r="676" spans="2:2">
      <c r="B676" s="3" t="str">
        <f ca="1">IFERROR(__xludf.DUMMYFUNCTION("IF(ISBLANK(A676),"""",GOOGLETRANSLATE(A676,""en"",""fr""))"),"")</f>
        <v/>
      </c>
    </row>
    <row r="677" spans="2:2">
      <c r="B677" s="3" t="str">
        <f ca="1">IFERROR(__xludf.DUMMYFUNCTION("IF(ISBLANK(A677),"""",GOOGLETRANSLATE(A677,""en"",""fr""))"),"")</f>
        <v/>
      </c>
    </row>
    <row r="678" spans="2:2">
      <c r="B678" s="3" t="str">
        <f ca="1">IFERROR(__xludf.DUMMYFUNCTION("IF(ISBLANK(A678),"""",GOOGLETRANSLATE(A678,""en"",""fr""))"),"")</f>
        <v/>
      </c>
    </row>
    <row r="679" spans="2:2">
      <c r="B679" s="3" t="str">
        <f ca="1">IFERROR(__xludf.DUMMYFUNCTION("IF(ISBLANK(A679),"""",GOOGLETRANSLATE(A679,""en"",""fr""))"),"")</f>
        <v/>
      </c>
    </row>
    <row r="680" spans="2:2">
      <c r="B680" s="3" t="str">
        <f ca="1">IFERROR(__xludf.DUMMYFUNCTION("IF(ISBLANK(A680),"""",GOOGLETRANSLATE(A680,""en"",""fr""))"),"")</f>
        <v/>
      </c>
    </row>
    <row r="681" spans="2:2">
      <c r="B681" s="3" t="str">
        <f ca="1">IFERROR(__xludf.DUMMYFUNCTION("IF(ISBLANK(A681),"""",GOOGLETRANSLATE(A681,""en"",""fr""))"),"")</f>
        <v/>
      </c>
    </row>
    <row r="682" spans="2:2">
      <c r="B682" s="3" t="str">
        <f ca="1">IFERROR(__xludf.DUMMYFUNCTION("IF(ISBLANK(A682),"""",GOOGLETRANSLATE(A682,""en"",""fr""))"),"")</f>
        <v/>
      </c>
    </row>
    <row r="683" spans="2:2">
      <c r="B683" s="3" t="str">
        <f ca="1">IFERROR(__xludf.DUMMYFUNCTION("IF(ISBLANK(A683),"""",GOOGLETRANSLATE(A683,""en"",""fr""))"),"")</f>
        <v/>
      </c>
    </row>
    <row r="684" spans="2:2">
      <c r="B684" s="3" t="str">
        <f ca="1">IFERROR(__xludf.DUMMYFUNCTION("IF(ISBLANK(A684),"""",GOOGLETRANSLATE(A684,""en"",""fr""))"),"")</f>
        <v/>
      </c>
    </row>
    <row r="685" spans="2:2">
      <c r="B685" s="3" t="str">
        <f ca="1">IFERROR(__xludf.DUMMYFUNCTION("IF(ISBLANK(A685),"""",GOOGLETRANSLATE(A685,""en"",""fr""))"),"")</f>
        <v/>
      </c>
    </row>
    <row r="686" spans="2:2">
      <c r="B686" s="3" t="str">
        <f ca="1">IFERROR(__xludf.DUMMYFUNCTION("IF(ISBLANK(A686),"""",GOOGLETRANSLATE(A686,""en"",""fr""))"),"")</f>
        <v/>
      </c>
    </row>
    <row r="687" spans="2:2">
      <c r="B687" s="3" t="str">
        <f ca="1">IFERROR(__xludf.DUMMYFUNCTION("IF(ISBLANK(A687),"""",GOOGLETRANSLATE(A687,""en"",""fr""))"),"")</f>
        <v/>
      </c>
    </row>
    <row r="688" spans="2:2">
      <c r="B688" s="3" t="str">
        <f ca="1">IFERROR(__xludf.DUMMYFUNCTION("IF(ISBLANK(A688),"""",GOOGLETRANSLATE(A688,""en"",""fr""))"),"")</f>
        <v/>
      </c>
    </row>
    <row r="689" spans="2:2">
      <c r="B689" s="3" t="str">
        <f ca="1">IFERROR(__xludf.DUMMYFUNCTION("IF(ISBLANK(A689),"""",GOOGLETRANSLATE(A689,""en"",""fr""))"),"")</f>
        <v/>
      </c>
    </row>
    <row r="690" spans="2:2">
      <c r="B690" s="3" t="str">
        <f ca="1">IFERROR(__xludf.DUMMYFUNCTION("IF(ISBLANK(A690),"""",GOOGLETRANSLATE(A690,""en"",""fr""))"),"")</f>
        <v/>
      </c>
    </row>
    <row r="691" spans="2:2">
      <c r="B691" s="3" t="str">
        <f ca="1">IFERROR(__xludf.DUMMYFUNCTION("IF(ISBLANK(A691),"""",GOOGLETRANSLATE(A691,""en"",""fr""))"),"")</f>
        <v/>
      </c>
    </row>
    <row r="692" spans="2:2">
      <c r="B692" s="3" t="str">
        <f ca="1">IFERROR(__xludf.DUMMYFUNCTION("IF(ISBLANK(A692),"""",GOOGLETRANSLATE(A692,""en"",""fr""))"),"")</f>
        <v/>
      </c>
    </row>
    <row r="693" spans="2:2">
      <c r="B693" s="3" t="str">
        <f ca="1">IFERROR(__xludf.DUMMYFUNCTION("IF(ISBLANK(A693),"""",GOOGLETRANSLATE(A693,""en"",""fr""))"),"")</f>
        <v/>
      </c>
    </row>
    <row r="694" spans="2:2">
      <c r="B694" s="3" t="str">
        <f ca="1">IFERROR(__xludf.DUMMYFUNCTION("IF(ISBLANK(A694),"""",GOOGLETRANSLATE(A694,""en"",""fr""))"),"")</f>
        <v/>
      </c>
    </row>
    <row r="695" spans="2:2">
      <c r="B695" s="3" t="str">
        <f ca="1">IFERROR(__xludf.DUMMYFUNCTION("IF(ISBLANK(A695),"""",GOOGLETRANSLATE(A695,""en"",""fr""))"),"")</f>
        <v/>
      </c>
    </row>
    <row r="696" spans="2:2">
      <c r="B696" s="3" t="str">
        <f ca="1">IFERROR(__xludf.DUMMYFUNCTION("IF(ISBLANK(A696),"""",GOOGLETRANSLATE(A696,""en"",""fr""))"),"")</f>
        <v/>
      </c>
    </row>
    <row r="697" spans="2:2">
      <c r="B697" s="3" t="str">
        <f ca="1">IFERROR(__xludf.DUMMYFUNCTION("IF(ISBLANK(A697),"""",GOOGLETRANSLATE(A697,""en"",""fr""))"),"")</f>
        <v/>
      </c>
    </row>
    <row r="698" spans="2:2">
      <c r="B698" s="3" t="str">
        <f ca="1">IFERROR(__xludf.DUMMYFUNCTION("IF(ISBLANK(A698),"""",GOOGLETRANSLATE(A698,""en"",""fr""))"),"")</f>
        <v/>
      </c>
    </row>
    <row r="699" spans="2:2">
      <c r="B699" s="3" t="str">
        <f ca="1">IFERROR(__xludf.DUMMYFUNCTION("IF(ISBLANK(A699),"""",GOOGLETRANSLATE(A699,""en"",""fr""))"),"")</f>
        <v/>
      </c>
    </row>
    <row r="700" spans="2:2">
      <c r="B700" s="3" t="str">
        <f ca="1">IFERROR(__xludf.DUMMYFUNCTION("IF(ISBLANK(A700),"""",GOOGLETRANSLATE(A700,""en"",""fr""))"),"")</f>
        <v/>
      </c>
    </row>
    <row r="701" spans="2:2">
      <c r="B701" s="3" t="str">
        <f ca="1">IFERROR(__xludf.DUMMYFUNCTION("IF(ISBLANK(A701),"""",GOOGLETRANSLATE(A701,""en"",""fr""))"),"")</f>
        <v/>
      </c>
    </row>
    <row r="702" spans="2:2">
      <c r="B702" s="3" t="str">
        <f ca="1">IFERROR(__xludf.DUMMYFUNCTION("IF(ISBLANK(A702),"""",GOOGLETRANSLATE(A702,""en"",""fr""))"),"")</f>
        <v/>
      </c>
    </row>
    <row r="703" spans="2:2">
      <c r="B703" s="3" t="str">
        <f ca="1">IFERROR(__xludf.DUMMYFUNCTION("IF(ISBLANK(A703),"""",GOOGLETRANSLATE(A703,""en"",""fr""))"),"")</f>
        <v/>
      </c>
    </row>
    <row r="704" spans="2:2">
      <c r="B704" s="3" t="str">
        <f ca="1">IFERROR(__xludf.DUMMYFUNCTION("IF(ISBLANK(A704),"""",GOOGLETRANSLATE(A704,""en"",""fr""))"),"")</f>
        <v/>
      </c>
    </row>
    <row r="705" spans="2:2">
      <c r="B705" s="3" t="str">
        <f ca="1">IFERROR(__xludf.DUMMYFUNCTION("IF(ISBLANK(A705),"""",GOOGLETRANSLATE(A705,""en"",""fr""))"),"")</f>
        <v/>
      </c>
    </row>
    <row r="706" spans="2:2">
      <c r="B706" s="3" t="str">
        <f ca="1">IFERROR(__xludf.DUMMYFUNCTION("IF(ISBLANK(A706),"""",GOOGLETRANSLATE(A706,""en"",""fr""))"),"")</f>
        <v/>
      </c>
    </row>
    <row r="707" spans="2:2">
      <c r="B707" s="3" t="str">
        <f ca="1">IFERROR(__xludf.DUMMYFUNCTION("IF(ISBLANK(A707),"""",GOOGLETRANSLATE(A707,""en"",""fr""))"),"")</f>
        <v/>
      </c>
    </row>
    <row r="708" spans="2:2">
      <c r="B708" s="3" t="str">
        <f ca="1">IFERROR(__xludf.DUMMYFUNCTION("IF(ISBLANK(A708),"""",GOOGLETRANSLATE(A708,""en"",""fr""))"),"")</f>
        <v/>
      </c>
    </row>
    <row r="709" spans="2:2">
      <c r="B709" s="3" t="str">
        <f ca="1">IFERROR(__xludf.DUMMYFUNCTION("IF(ISBLANK(A709),"""",GOOGLETRANSLATE(A709,""en"",""fr""))"),"")</f>
        <v/>
      </c>
    </row>
    <row r="710" spans="2:2">
      <c r="B710" s="3" t="str">
        <f ca="1">IFERROR(__xludf.DUMMYFUNCTION("IF(ISBLANK(A710),"""",GOOGLETRANSLATE(A710,""en"",""fr""))"),"")</f>
        <v/>
      </c>
    </row>
    <row r="711" spans="2:2">
      <c r="B711" s="3" t="str">
        <f ca="1">IFERROR(__xludf.DUMMYFUNCTION("IF(ISBLANK(A711),"""",GOOGLETRANSLATE(A711,""en"",""fr""))"),"")</f>
        <v/>
      </c>
    </row>
    <row r="712" spans="2:2">
      <c r="B712" s="3" t="str">
        <f ca="1">IFERROR(__xludf.DUMMYFUNCTION("IF(ISBLANK(A712),"""",GOOGLETRANSLATE(A712,""en"",""fr""))"),"")</f>
        <v/>
      </c>
    </row>
    <row r="713" spans="2:2">
      <c r="B713" s="3" t="str">
        <f ca="1">IFERROR(__xludf.DUMMYFUNCTION("IF(ISBLANK(A713),"""",GOOGLETRANSLATE(A713,""en"",""fr""))"),"")</f>
        <v/>
      </c>
    </row>
    <row r="714" spans="2:2">
      <c r="B714" s="3" t="str">
        <f ca="1">IFERROR(__xludf.DUMMYFUNCTION("IF(ISBLANK(A714),"""",GOOGLETRANSLATE(A714,""en"",""fr""))"),"")</f>
        <v/>
      </c>
    </row>
    <row r="715" spans="2:2">
      <c r="B715" s="3" t="str">
        <f ca="1">IFERROR(__xludf.DUMMYFUNCTION("IF(ISBLANK(A715),"""",GOOGLETRANSLATE(A715,""en"",""fr""))"),"")</f>
        <v/>
      </c>
    </row>
    <row r="716" spans="2:2">
      <c r="B716" s="3" t="str">
        <f ca="1">IFERROR(__xludf.DUMMYFUNCTION("IF(ISBLANK(A716),"""",GOOGLETRANSLATE(A716,""en"",""fr""))"),"")</f>
        <v/>
      </c>
    </row>
    <row r="717" spans="2:2">
      <c r="B717" s="3" t="str">
        <f ca="1">IFERROR(__xludf.DUMMYFUNCTION("IF(ISBLANK(A717),"""",GOOGLETRANSLATE(A717,""en"",""fr""))"),"")</f>
        <v/>
      </c>
    </row>
    <row r="718" spans="2:2">
      <c r="B718" s="3" t="str">
        <f ca="1">IFERROR(__xludf.DUMMYFUNCTION("IF(ISBLANK(A718),"""",GOOGLETRANSLATE(A718,""en"",""fr""))"),"")</f>
        <v/>
      </c>
    </row>
    <row r="719" spans="2:2">
      <c r="B719" s="3" t="str">
        <f ca="1">IFERROR(__xludf.DUMMYFUNCTION("IF(ISBLANK(A719),"""",GOOGLETRANSLATE(A719,""en"",""fr""))"),"")</f>
        <v/>
      </c>
    </row>
    <row r="720" spans="2:2">
      <c r="B720" s="3" t="str">
        <f ca="1">IFERROR(__xludf.DUMMYFUNCTION("IF(ISBLANK(A720),"""",GOOGLETRANSLATE(A720,""en"",""fr""))"),"")</f>
        <v/>
      </c>
    </row>
    <row r="721" spans="2:2">
      <c r="B721" s="3" t="str">
        <f ca="1">IFERROR(__xludf.DUMMYFUNCTION("IF(ISBLANK(A721),"""",GOOGLETRANSLATE(A721,""en"",""fr""))"),"")</f>
        <v/>
      </c>
    </row>
    <row r="722" spans="2:2">
      <c r="B722" s="3" t="str">
        <f ca="1">IFERROR(__xludf.DUMMYFUNCTION("IF(ISBLANK(A722),"""",GOOGLETRANSLATE(A722,""en"",""fr""))"),"")</f>
        <v/>
      </c>
    </row>
    <row r="723" spans="2:2">
      <c r="B723" s="3" t="str">
        <f ca="1">IFERROR(__xludf.DUMMYFUNCTION("IF(ISBLANK(A723),"""",GOOGLETRANSLATE(A723,""en"",""fr""))"),"")</f>
        <v/>
      </c>
    </row>
    <row r="724" spans="2:2">
      <c r="B724" s="3" t="str">
        <f ca="1">IFERROR(__xludf.DUMMYFUNCTION("IF(ISBLANK(A724),"""",GOOGLETRANSLATE(A724,""en"",""fr""))"),"")</f>
        <v/>
      </c>
    </row>
    <row r="725" spans="2:2">
      <c r="B725" s="3" t="str">
        <f ca="1">IFERROR(__xludf.DUMMYFUNCTION("IF(ISBLANK(A725),"""",GOOGLETRANSLATE(A725,""en"",""fr""))"),"")</f>
        <v/>
      </c>
    </row>
    <row r="726" spans="2:2">
      <c r="B726" s="3" t="str">
        <f ca="1">IFERROR(__xludf.DUMMYFUNCTION("IF(ISBLANK(A726),"""",GOOGLETRANSLATE(A726,""en"",""fr""))"),"")</f>
        <v/>
      </c>
    </row>
    <row r="727" spans="2:2">
      <c r="B727" s="3" t="str">
        <f ca="1">IFERROR(__xludf.DUMMYFUNCTION("IF(ISBLANK(A727),"""",GOOGLETRANSLATE(A727,""en"",""fr""))"),"")</f>
        <v/>
      </c>
    </row>
    <row r="728" spans="2:2">
      <c r="B728" s="3" t="str">
        <f ca="1">IFERROR(__xludf.DUMMYFUNCTION("IF(ISBLANK(A728),"""",GOOGLETRANSLATE(A728,""en"",""fr""))"),"")</f>
        <v/>
      </c>
    </row>
    <row r="729" spans="2:2">
      <c r="B729" s="3" t="str">
        <f ca="1">IFERROR(__xludf.DUMMYFUNCTION("IF(ISBLANK(A729),"""",GOOGLETRANSLATE(A729,""en"",""fr""))"),"")</f>
        <v/>
      </c>
    </row>
    <row r="730" spans="2:2">
      <c r="B730" s="3" t="str">
        <f ca="1">IFERROR(__xludf.DUMMYFUNCTION("IF(ISBLANK(A730),"""",GOOGLETRANSLATE(A730,""en"",""fr""))"),"")</f>
        <v/>
      </c>
    </row>
    <row r="731" spans="2:2">
      <c r="B731" s="3" t="str">
        <f ca="1">IFERROR(__xludf.DUMMYFUNCTION("IF(ISBLANK(A731),"""",GOOGLETRANSLATE(A731,""en"",""fr""))"),"")</f>
        <v/>
      </c>
    </row>
    <row r="732" spans="2:2">
      <c r="B732" s="3" t="str">
        <f ca="1">IFERROR(__xludf.DUMMYFUNCTION("IF(ISBLANK(A732),"""",GOOGLETRANSLATE(A732,""en"",""fr""))"),"")</f>
        <v/>
      </c>
    </row>
    <row r="733" spans="2:2">
      <c r="B733" s="3" t="str">
        <f ca="1">IFERROR(__xludf.DUMMYFUNCTION("IF(ISBLANK(A733),"""",GOOGLETRANSLATE(A733,""en"",""fr""))"),"")</f>
        <v/>
      </c>
    </row>
    <row r="734" spans="2:2">
      <c r="B734" s="3" t="str">
        <f ca="1">IFERROR(__xludf.DUMMYFUNCTION("IF(ISBLANK(A734),"""",GOOGLETRANSLATE(A734,""en"",""fr""))"),"")</f>
        <v/>
      </c>
    </row>
    <row r="735" spans="2:2">
      <c r="B735" s="3" t="str">
        <f ca="1">IFERROR(__xludf.DUMMYFUNCTION("IF(ISBLANK(A735),"""",GOOGLETRANSLATE(A735,""en"",""fr""))"),"")</f>
        <v/>
      </c>
    </row>
    <row r="736" spans="2:2">
      <c r="B736" s="3" t="str">
        <f ca="1">IFERROR(__xludf.DUMMYFUNCTION("IF(ISBLANK(A736),"""",GOOGLETRANSLATE(A736,""en"",""fr""))"),"")</f>
        <v/>
      </c>
    </row>
    <row r="737" spans="2:2">
      <c r="B737" s="3" t="str">
        <f ca="1">IFERROR(__xludf.DUMMYFUNCTION("IF(ISBLANK(A737),"""",GOOGLETRANSLATE(A737,""en"",""fr""))"),"")</f>
        <v/>
      </c>
    </row>
    <row r="738" spans="2:2">
      <c r="B738" s="3" t="str">
        <f ca="1">IFERROR(__xludf.DUMMYFUNCTION("IF(ISBLANK(A738),"""",GOOGLETRANSLATE(A738,""en"",""fr""))"),"")</f>
        <v/>
      </c>
    </row>
    <row r="739" spans="2:2">
      <c r="B739" s="3" t="str">
        <f ca="1">IFERROR(__xludf.DUMMYFUNCTION("IF(ISBLANK(A739),"""",GOOGLETRANSLATE(A739,""en"",""fr""))"),"")</f>
        <v/>
      </c>
    </row>
    <row r="740" spans="2:2">
      <c r="B740" s="3" t="str">
        <f ca="1">IFERROR(__xludf.DUMMYFUNCTION("IF(ISBLANK(A740),"""",GOOGLETRANSLATE(A740,""en"",""fr""))"),"")</f>
        <v/>
      </c>
    </row>
    <row r="741" spans="2:2">
      <c r="B741" s="3" t="str">
        <f ca="1">IFERROR(__xludf.DUMMYFUNCTION("IF(ISBLANK(A741),"""",GOOGLETRANSLATE(A741,""en"",""fr""))"),"")</f>
        <v/>
      </c>
    </row>
    <row r="742" spans="2:2">
      <c r="B742" s="3" t="str">
        <f ca="1">IFERROR(__xludf.DUMMYFUNCTION("IF(ISBLANK(A742),"""",GOOGLETRANSLATE(A742,""en"",""fr""))"),"")</f>
        <v/>
      </c>
    </row>
    <row r="743" spans="2:2">
      <c r="B743" s="3" t="str">
        <f ca="1">IFERROR(__xludf.DUMMYFUNCTION("IF(ISBLANK(A743),"""",GOOGLETRANSLATE(A743,""en"",""fr""))"),"")</f>
        <v/>
      </c>
    </row>
    <row r="744" spans="2:2">
      <c r="B744" s="3" t="str">
        <f ca="1">IFERROR(__xludf.DUMMYFUNCTION("IF(ISBLANK(A744),"""",GOOGLETRANSLATE(A744,""en"",""fr""))"),"")</f>
        <v/>
      </c>
    </row>
    <row r="745" spans="2:2">
      <c r="B745" s="3" t="str">
        <f ca="1">IFERROR(__xludf.DUMMYFUNCTION("IF(ISBLANK(A745),"""",GOOGLETRANSLATE(A745,""en"",""fr""))"),"")</f>
        <v/>
      </c>
    </row>
    <row r="746" spans="2:2">
      <c r="B746" s="3" t="str">
        <f ca="1">IFERROR(__xludf.DUMMYFUNCTION("IF(ISBLANK(A746),"""",GOOGLETRANSLATE(A746,""en"",""fr""))"),"")</f>
        <v/>
      </c>
    </row>
    <row r="747" spans="2:2">
      <c r="B747" s="3" t="str">
        <f ca="1">IFERROR(__xludf.DUMMYFUNCTION("IF(ISBLANK(A747),"""",GOOGLETRANSLATE(A747,""en"",""fr""))"),"")</f>
        <v/>
      </c>
    </row>
    <row r="748" spans="2:2">
      <c r="B748" s="3" t="str">
        <f ca="1">IFERROR(__xludf.DUMMYFUNCTION("IF(ISBLANK(A748),"""",GOOGLETRANSLATE(A748,""en"",""fr""))"),"")</f>
        <v/>
      </c>
    </row>
    <row r="749" spans="2:2">
      <c r="B749" s="3" t="str">
        <f ca="1">IFERROR(__xludf.DUMMYFUNCTION("IF(ISBLANK(A749),"""",GOOGLETRANSLATE(A749,""en"",""fr""))"),"")</f>
        <v/>
      </c>
    </row>
    <row r="750" spans="2:2">
      <c r="B750" s="3" t="str">
        <f ca="1">IFERROR(__xludf.DUMMYFUNCTION("IF(ISBLANK(A750),"""",GOOGLETRANSLATE(A750,""en"",""fr""))"),"")</f>
        <v/>
      </c>
    </row>
    <row r="751" spans="2:2">
      <c r="B751" s="3" t="str">
        <f ca="1">IFERROR(__xludf.DUMMYFUNCTION("IF(ISBLANK(A751),"""",GOOGLETRANSLATE(A751,""en"",""fr""))"),"")</f>
        <v/>
      </c>
    </row>
    <row r="752" spans="2:2">
      <c r="B752" s="3" t="str">
        <f ca="1">IFERROR(__xludf.DUMMYFUNCTION("IF(ISBLANK(A752),"""",GOOGLETRANSLATE(A752,""en"",""fr""))"),"")</f>
        <v/>
      </c>
    </row>
    <row r="753" spans="2:2">
      <c r="B753" s="3" t="str">
        <f ca="1">IFERROR(__xludf.DUMMYFUNCTION("IF(ISBLANK(A753),"""",GOOGLETRANSLATE(A753,""en"",""fr""))"),"")</f>
        <v/>
      </c>
    </row>
    <row r="754" spans="2:2">
      <c r="B754" s="3" t="str">
        <f ca="1">IFERROR(__xludf.DUMMYFUNCTION("IF(ISBLANK(A754),"""",GOOGLETRANSLATE(A754,""en"",""fr""))"),"")</f>
        <v/>
      </c>
    </row>
    <row r="755" spans="2:2">
      <c r="B755" s="3" t="str">
        <f ca="1">IFERROR(__xludf.DUMMYFUNCTION("IF(ISBLANK(A755),"""",GOOGLETRANSLATE(A755,""en"",""fr""))"),"")</f>
        <v/>
      </c>
    </row>
    <row r="756" spans="2:2">
      <c r="B756" s="3" t="str">
        <f ca="1">IFERROR(__xludf.DUMMYFUNCTION("IF(ISBLANK(A756),"""",GOOGLETRANSLATE(A756,""en"",""fr""))"),"")</f>
        <v/>
      </c>
    </row>
    <row r="757" spans="2:2">
      <c r="B757" s="3" t="str">
        <f ca="1">IFERROR(__xludf.DUMMYFUNCTION("IF(ISBLANK(A757),"""",GOOGLETRANSLATE(A757,""en"",""fr""))"),"")</f>
        <v/>
      </c>
    </row>
    <row r="758" spans="2:2">
      <c r="B758" s="3" t="str">
        <f ca="1">IFERROR(__xludf.DUMMYFUNCTION("IF(ISBLANK(A758),"""",GOOGLETRANSLATE(A758,""en"",""fr""))"),"")</f>
        <v/>
      </c>
    </row>
    <row r="759" spans="2:2">
      <c r="B759" s="3" t="str">
        <f ca="1">IFERROR(__xludf.DUMMYFUNCTION("IF(ISBLANK(A759),"""",GOOGLETRANSLATE(A759,""en"",""fr""))"),"")</f>
        <v/>
      </c>
    </row>
    <row r="760" spans="2:2">
      <c r="B760" s="3" t="str">
        <f ca="1">IFERROR(__xludf.DUMMYFUNCTION("IF(ISBLANK(A760),"""",GOOGLETRANSLATE(A760,""en"",""fr""))"),"")</f>
        <v/>
      </c>
    </row>
    <row r="761" spans="2:2">
      <c r="B761" s="3" t="str">
        <f ca="1">IFERROR(__xludf.DUMMYFUNCTION("IF(ISBLANK(A761),"""",GOOGLETRANSLATE(A761,""en"",""fr""))"),"")</f>
        <v/>
      </c>
    </row>
    <row r="762" spans="2:2">
      <c r="B762" s="3" t="str">
        <f ca="1">IFERROR(__xludf.DUMMYFUNCTION("IF(ISBLANK(A762),"""",GOOGLETRANSLATE(A762,""en"",""fr""))"),"")</f>
        <v/>
      </c>
    </row>
    <row r="763" spans="2:2">
      <c r="B763" s="3" t="str">
        <f ca="1">IFERROR(__xludf.DUMMYFUNCTION("IF(ISBLANK(A763),"""",GOOGLETRANSLATE(A763,""en"",""fr""))"),"")</f>
        <v/>
      </c>
    </row>
    <row r="764" spans="2:2">
      <c r="B764" s="3" t="str">
        <f ca="1">IFERROR(__xludf.DUMMYFUNCTION("IF(ISBLANK(A764),"""",GOOGLETRANSLATE(A764,""en"",""fr""))"),"")</f>
        <v/>
      </c>
    </row>
    <row r="765" spans="2:2">
      <c r="B765" s="3" t="str">
        <f ca="1">IFERROR(__xludf.DUMMYFUNCTION("IF(ISBLANK(A765),"""",GOOGLETRANSLATE(A765,""en"",""fr""))"),"")</f>
        <v/>
      </c>
    </row>
    <row r="766" spans="2:2">
      <c r="B766" s="3" t="str">
        <f ca="1">IFERROR(__xludf.DUMMYFUNCTION("IF(ISBLANK(A766),"""",GOOGLETRANSLATE(A766,""en"",""fr""))"),"")</f>
        <v/>
      </c>
    </row>
    <row r="767" spans="2:2">
      <c r="B767" s="3" t="str">
        <f ca="1">IFERROR(__xludf.DUMMYFUNCTION("IF(ISBLANK(A767),"""",GOOGLETRANSLATE(A767,""en"",""fr""))"),"")</f>
        <v/>
      </c>
    </row>
    <row r="768" spans="2:2">
      <c r="B768" s="3" t="str">
        <f ca="1">IFERROR(__xludf.DUMMYFUNCTION("IF(ISBLANK(A768),"""",GOOGLETRANSLATE(A768,""en"",""fr""))"),"")</f>
        <v/>
      </c>
    </row>
    <row r="769" spans="2:2">
      <c r="B769" s="3" t="str">
        <f ca="1">IFERROR(__xludf.DUMMYFUNCTION("IF(ISBLANK(A769),"""",GOOGLETRANSLATE(A769,""en"",""fr""))"),"")</f>
        <v/>
      </c>
    </row>
    <row r="770" spans="2:2">
      <c r="B770" s="3" t="str">
        <f ca="1">IFERROR(__xludf.DUMMYFUNCTION("IF(ISBLANK(A770),"""",GOOGLETRANSLATE(A770,""en"",""fr""))"),"")</f>
        <v/>
      </c>
    </row>
    <row r="771" spans="2:2">
      <c r="B771" s="3" t="str">
        <f ca="1">IFERROR(__xludf.DUMMYFUNCTION("IF(ISBLANK(A771),"""",GOOGLETRANSLATE(A771,""en"",""fr""))"),"")</f>
        <v/>
      </c>
    </row>
    <row r="772" spans="2:2">
      <c r="B772" s="3" t="str">
        <f ca="1">IFERROR(__xludf.DUMMYFUNCTION("IF(ISBLANK(A772),"""",GOOGLETRANSLATE(A772,""en"",""fr""))"),"")</f>
        <v/>
      </c>
    </row>
    <row r="773" spans="2:2">
      <c r="B773" s="3" t="str">
        <f ca="1">IFERROR(__xludf.DUMMYFUNCTION("IF(ISBLANK(A773),"""",GOOGLETRANSLATE(A773,""en"",""fr""))"),"")</f>
        <v/>
      </c>
    </row>
    <row r="774" spans="2:2">
      <c r="B774" s="3" t="str">
        <f ca="1">IFERROR(__xludf.DUMMYFUNCTION("IF(ISBLANK(A774),"""",GOOGLETRANSLATE(A774,""en"",""fr""))"),"")</f>
        <v/>
      </c>
    </row>
    <row r="775" spans="2:2">
      <c r="B775" s="3" t="str">
        <f ca="1">IFERROR(__xludf.DUMMYFUNCTION("IF(ISBLANK(A775),"""",GOOGLETRANSLATE(A775,""en"",""fr""))"),"")</f>
        <v/>
      </c>
    </row>
    <row r="776" spans="2:2">
      <c r="B776" s="3" t="str">
        <f ca="1">IFERROR(__xludf.DUMMYFUNCTION("IF(ISBLANK(A776),"""",GOOGLETRANSLATE(A776,""en"",""fr""))"),"")</f>
        <v/>
      </c>
    </row>
    <row r="777" spans="2:2">
      <c r="B777" s="3" t="str">
        <f ca="1">IFERROR(__xludf.DUMMYFUNCTION("IF(ISBLANK(A777),"""",GOOGLETRANSLATE(A777,""en"",""fr""))"),"")</f>
        <v/>
      </c>
    </row>
    <row r="778" spans="2:2">
      <c r="B778" s="3" t="str">
        <f ca="1">IFERROR(__xludf.DUMMYFUNCTION("IF(ISBLANK(A778),"""",GOOGLETRANSLATE(A778,""en"",""fr""))"),"")</f>
        <v/>
      </c>
    </row>
    <row r="779" spans="2:2">
      <c r="B779" s="3" t="str">
        <f ca="1">IFERROR(__xludf.DUMMYFUNCTION("IF(ISBLANK(A779),"""",GOOGLETRANSLATE(A779,""en"",""fr""))"),"")</f>
        <v/>
      </c>
    </row>
    <row r="780" spans="2:2">
      <c r="B780" s="3" t="str">
        <f ca="1">IFERROR(__xludf.DUMMYFUNCTION("IF(ISBLANK(A780),"""",GOOGLETRANSLATE(A780,""en"",""fr""))"),"")</f>
        <v/>
      </c>
    </row>
    <row r="781" spans="2:2">
      <c r="B781" s="3" t="str">
        <f ca="1">IFERROR(__xludf.DUMMYFUNCTION("IF(ISBLANK(A781),"""",GOOGLETRANSLATE(A781,""en"",""fr""))"),"")</f>
        <v/>
      </c>
    </row>
    <row r="782" spans="2:2">
      <c r="B782" s="3" t="str">
        <f ca="1">IFERROR(__xludf.DUMMYFUNCTION("IF(ISBLANK(A782),"""",GOOGLETRANSLATE(A782,""en"",""fr""))"),"")</f>
        <v/>
      </c>
    </row>
    <row r="783" spans="2:2">
      <c r="B783" s="3" t="str">
        <f ca="1">IFERROR(__xludf.DUMMYFUNCTION("IF(ISBLANK(A783),"""",GOOGLETRANSLATE(A783,""en"",""fr""))"),"")</f>
        <v/>
      </c>
    </row>
    <row r="784" spans="2:2">
      <c r="B784" s="3" t="str">
        <f ca="1">IFERROR(__xludf.DUMMYFUNCTION("IF(ISBLANK(A784),"""",GOOGLETRANSLATE(A784,""en"",""fr""))"),"")</f>
        <v/>
      </c>
    </row>
    <row r="785" spans="2:2">
      <c r="B785" s="3" t="str">
        <f ca="1">IFERROR(__xludf.DUMMYFUNCTION("IF(ISBLANK(A785),"""",GOOGLETRANSLATE(A785,""en"",""fr""))"),"")</f>
        <v/>
      </c>
    </row>
    <row r="786" spans="2:2">
      <c r="B786" s="3" t="str">
        <f ca="1">IFERROR(__xludf.DUMMYFUNCTION("IF(ISBLANK(A786),"""",GOOGLETRANSLATE(A786,""en"",""fr""))"),"")</f>
        <v/>
      </c>
    </row>
    <row r="787" spans="2:2">
      <c r="B787" s="3" t="str">
        <f ca="1">IFERROR(__xludf.DUMMYFUNCTION("IF(ISBLANK(A787),"""",GOOGLETRANSLATE(A787,""en"",""fr""))"),"")</f>
        <v/>
      </c>
    </row>
    <row r="788" spans="2:2">
      <c r="B788" s="3" t="str">
        <f ca="1">IFERROR(__xludf.DUMMYFUNCTION("IF(ISBLANK(A788),"""",GOOGLETRANSLATE(A788,""en"",""fr""))"),"")</f>
        <v/>
      </c>
    </row>
    <row r="789" spans="2:2">
      <c r="B789" s="3" t="str">
        <f ca="1">IFERROR(__xludf.DUMMYFUNCTION("IF(ISBLANK(A789),"""",GOOGLETRANSLATE(A789,""en"",""fr""))"),"")</f>
        <v/>
      </c>
    </row>
    <row r="790" spans="2:2">
      <c r="B790" s="3" t="str">
        <f ca="1">IFERROR(__xludf.DUMMYFUNCTION("IF(ISBLANK(A790),"""",GOOGLETRANSLATE(A790,""en"",""fr""))"),"")</f>
        <v/>
      </c>
    </row>
    <row r="791" spans="2:2">
      <c r="B791" s="3" t="str">
        <f ca="1">IFERROR(__xludf.DUMMYFUNCTION("IF(ISBLANK(A791),"""",GOOGLETRANSLATE(A791,""en"",""fr""))"),"")</f>
        <v/>
      </c>
    </row>
    <row r="792" spans="2:2">
      <c r="B792" s="3" t="str">
        <f ca="1">IFERROR(__xludf.DUMMYFUNCTION("IF(ISBLANK(A792),"""",GOOGLETRANSLATE(A792,""en"",""fr""))"),"")</f>
        <v/>
      </c>
    </row>
    <row r="793" spans="2:2">
      <c r="B793" s="3" t="str">
        <f ca="1">IFERROR(__xludf.DUMMYFUNCTION("IF(ISBLANK(A793),"""",GOOGLETRANSLATE(A793,""en"",""fr""))"),"")</f>
        <v/>
      </c>
    </row>
    <row r="794" spans="2:2">
      <c r="B794" s="3" t="str">
        <f ca="1">IFERROR(__xludf.DUMMYFUNCTION("IF(ISBLANK(A794),"""",GOOGLETRANSLATE(A794,""en"",""fr""))"),"")</f>
        <v/>
      </c>
    </row>
    <row r="795" spans="2:2">
      <c r="B795" s="3" t="str">
        <f ca="1">IFERROR(__xludf.DUMMYFUNCTION("IF(ISBLANK(A795),"""",GOOGLETRANSLATE(A795,""en"",""fr""))"),"")</f>
        <v/>
      </c>
    </row>
    <row r="796" spans="2:2">
      <c r="B796" s="3" t="str">
        <f ca="1">IFERROR(__xludf.DUMMYFUNCTION("IF(ISBLANK(A796),"""",GOOGLETRANSLATE(A796,""en"",""fr""))"),"")</f>
        <v/>
      </c>
    </row>
    <row r="797" spans="2:2">
      <c r="B797" s="3" t="str">
        <f ca="1">IFERROR(__xludf.DUMMYFUNCTION("IF(ISBLANK(A797),"""",GOOGLETRANSLATE(A797,""en"",""fr""))"),"")</f>
        <v/>
      </c>
    </row>
    <row r="798" spans="2:2">
      <c r="B798" s="3" t="str">
        <f ca="1">IFERROR(__xludf.DUMMYFUNCTION("IF(ISBLANK(A798),"""",GOOGLETRANSLATE(A798,""en"",""fr""))"),"")</f>
        <v/>
      </c>
    </row>
    <row r="799" spans="2:2">
      <c r="B799" s="3" t="str">
        <f ca="1">IFERROR(__xludf.DUMMYFUNCTION("IF(ISBLANK(A799),"""",GOOGLETRANSLATE(A799,""en"",""fr""))"),"")</f>
        <v/>
      </c>
    </row>
    <row r="800" spans="2:2">
      <c r="B800" s="3" t="str">
        <f ca="1">IFERROR(__xludf.DUMMYFUNCTION("IF(ISBLANK(A800),"""",GOOGLETRANSLATE(A800,""en"",""fr""))"),"")</f>
        <v/>
      </c>
    </row>
    <row r="801" spans="2:2">
      <c r="B801" s="3" t="str">
        <f ca="1">IFERROR(__xludf.DUMMYFUNCTION("IF(ISBLANK(A801),"""",GOOGLETRANSLATE(A801,""en"",""fr""))"),"")</f>
        <v/>
      </c>
    </row>
    <row r="802" spans="2:2">
      <c r="B802" s="3" t="str">
        <f ca="1">IFERROR(__xludf.DUMMYFUNCTION("IF(ISBLANK(A802),"""",GOOGLETRANSLATE(A802,""en"",""fr""))"),"")</f>
        <v/>
      </c>
    </row>
    <row r="803" spans="2:2">
      <c r="B803" s="3" t="str">
        <f ca="1">IFERROR(__xludf.DUMMYFUNCTION("IF(ISBLANK(A803),"""",GOOGLETRANSLATE(A803,""en"",""fr""))"),"")</f>
        <v/>
      </c>
    </row>
    <row r="804" spans="2:2">
      <c r="B804" s="3" t="str">
        <f ca="1">IFERROR(__xludf.DUMMYFUNCTION("IF(ISBLANK(A804),"""",GOOGLETRANSLATE(A804,""en"",""fr""))"),"")</f>
        <v/>
      </c>
    </row>
    <row r="805" spans="2:2">
      <c r="B805" s="3" t="str">
        <f ca="1">IFERROR(__xludf.DUMMYFUNCTION("IF(ISBLANK(A805),"""",GOOGLETRANSLATE(A805,""en"",""fr""))"),"")</f>
        <v/>
      </c>
    </row>
    <row r="806" spans="2:2">
      <c r="B806" s="3" t="str">
        <f ca="1">IFERROR(__xludf.DUMMYFUNCTION("IF(ISBLANK(A806),"""",GOOGLETRANSLATE(A806,""en"",""fr""))"),"")</f>
        <v/>
      </c>
    </row>
    <row r="807" spans="2:2">
      <c r="B807" s="3" t="str">
        <f ca="1">IFERROR(__xludf.DUMMYFUNCTION("IF(ISBLANK(A807),"""",GOOGLETRANSLATE(A807,""en"",""fr""))"),"")</f>
        <v/>
      </c>
    </row>
    <row r="808" spans="2:2">
      <c r="B808" s="3" t="str">
        <f ca="1">IFERROR(__xludf.DUMMYFUNCTION("IF(ISBLANK(A808),"""",GOOGLETRANSLATE(A808,""en"",""fr""))"),"")</f>
        <v/>
      </c>
    </row>
    <row r="809" spans="2:2">
      <c r="B809" s="3" t="str">
        <f ca="1">IFERROR(__xludf.DUMMYFUNCTION("IF(ISBLANK(A809),"""",GOOGLETRANSLATE(A809,""en"",""fr""))"),"")</f>
        <v/>
      </c>
    </row>
    <row r="810" spans="2:2">
      <c r="B810" s="3" t="str">
        <f ca="1">IFERROR(__xludf.DUMMYFUNCTION("IF(ISBLANK(A810),"""",GOOGLETRANSLATE(A810,""en"",""fr""))"),"")</f>
        <v/>
      </c>
    </row>
    <row r="811" spans="2:2">
      <c r="B811" s="3" t="str">
        <f ca="1">IFERROR(__xludf.DUMMYFUNCTION("IF(ISBLANK(A811),"""",GOOGLETRANSLATE(A811,""en"",""fr""))"),"")</f>
        <v/>
      </c>
    </row>
    <row r="812" spans="2:2">
      <c r="B812" s="3" t="str">
        <f ca="1">IFERROR(__xludf.DUMMYFUNCTION("IF(ISBLANK(A812),"""",GOOGLETRANSLATE(A812,""en"",""fr""))"),"")</f>
        <v/>
      </c>
    </row>
    <row r="813" spans="2:2">
      <c r="B813" s="3" t="str">
        <f ca="1">IFERROR(__xludf.DUMMYFUNCTION("IF(ISBLANK(A813),"""",GOOGLETRANSLATE(A813,""en"",""fr""))"),"")</f>
        <v/>
      </c>
    </row>
    <row r="814" spans="2:2">
      <c r="B814" s="3" t="str">
        <f ca="1">IFERROR(__xludf.DUMMYFUNCTION("IF(ISBLANK(A814),"""",GOOGLETRANSLATE(A814,""en"",""fr""))"),"")</f>
        <v/>
      </c>
    </row>
    <row r="815" spans="2:2">
      <c r="B815" s="3" t="str">
        <f ca="1">IFERROR(__xludf.DUMMYFUNCTION("IF(ISBLANK(A815),"""",GOOGLETRANSLATE(A815,""en"",""fr""))"),"")</f>
        <v/>
      </c>
    </row>
    <row r="816" spans="2:2">
      <c r="B816" s="3" t="str">
        <f ca="1">IFERROR(__xludf.DUMMYFUNCTION("IF(ISBLANK(A816),"""",GOOGLETRANSLATE(A816,""en"",""fr""))"),"")</f>
        <v/>
      </c>
    </row>
    <row r="817" spans="2:2">
      <c r="B817" s="3" t="str">
        <f ca="1">IFERROR(__xludf.DUMMYFUNCTION("IF(ISBLANK(A817),"""",GOOGLETRANSLATE(A817,""en"",""fr""))"),"")</f>
        <v/>
      </c>
    </row>
    <row r="818" spans="2:2">
      <c r="B818" s="3" t="str">
        <f ca="1">IFERROR(__xludf.DUMMYFUNCTION("IF(ISBLANK(A818),"""",GOOGLETRANSLATE(A818,""en"",""fr""))"),"")</f>
        <v/>
      </c>
    </row>
    <row r="819" spans="2:2">
      <c r="B819" s="3" t="str">
        <f ca="1">IFERROR(__xludf.DUMMYFUNCTION("IF(ISBLANK(A819),"""",GOOGLETRANSLATE(A819,""en"",""fr""))"),"")</f>
        <v/>
      </c>
    </row>
    <row r="820" spans="2:2">
      <c r="B820" s="3" t="str">
        <f ca="1">IFERROR(__xludf.DUMMYFUNCTION("IF(ISBLANK(A820),"""",GOOGLETRANSLATE(A820,""en"",""fr""))"),"")</f>
        <v/>
      </c>
    </row>
    <row r="821" spans="2:2">
      <c r="B821" s="3" t="str">
        <f ca="1">IFERROR(__xludf.DUMMYFUNCTION("IF(ISBLANK(A821),"""",GOOGLETRANSLATE(A821,""en"",""fr""))"),"")</f>
        <v/>
      </c>
    </row>
    <row r="822" spans="2:2">
      <c r="B822" s="3" t="str">
        <f ca="1">IFERROR(__xludf.DUMMYFUNCTION("IF(ISBLANK(A822),"""",GOOGLETRANSLATE(A822,""en"",""fr""))"),"")</f>
        <v/>
      </c>
    </row>
    <row r="823" spans="2:2">
      <c r="B823" s="3" t="str">
        <f ca="1">IFERROR(__xludf.DUMMYFUNCTION("IF(ISBLANK(A823),"""",GOOGLETRANSLATE(A823,""en"",""fr""))"),"")</f>
        <v/>
      </c>
    </row>
    <row r="824" spans="2:2">
      <c r="B824" s="3" t="str">
        <f ca="1">IFERROR(__xludf.DUMMYFUNCTION("IF(ISBLANK(A824),"""",GOOGLETRANSLATE(A824,""en"",""fr""))"),"")</f>
        <v/>
      </c>
    </row>
    <row r="825" spans="2:2">
      <c r="B825" s="3" t="str">
        <f ca="1">IFERROR(__xludf.DUMMYFUNCTION("IF(ISBLANK(A825),"""",GOOGLETRANSLATE(A825,""en"",""fr""))"),"")</f>
        <v/>
      </c>
    </row>
    <row r="826" spans="2:2">
      <c r="B826" s="3" t="str">
        <f ca="1">IFERROR(__xludf.DUMMYFUNCTION("IF(ISBLANK(A826),"""",GOOGLETRANSLATE(A826,""en"",""fr""))"),"")</f>
        <v/>
      </c>
    </row>
    <row r="827" spans="2:2">
      <c r="B827" s="3" t="str">
        <f ca="1">IFERROR(__xludf.DUMMYFUNCTION("IF(ISBLANK(A827),"""",GOOGLETRANSLATE(A827,""en"",""fr""))"),"")</f>
        <v/>
      </c>
    </row>
    <row r="828" spans="2:2">
      <c r="B828" s="3" t="str">
        <f ca="1">IFERROR(__xludf.DUMMYFUNCTION("IF(ISBLANK(A828),"""",GOOGLETRANSLATE(A828,""en"",""fr""))"),"")</f>
        <v/>
      </c>
    </row>
    <row r="829" spans="2:2">
      <c r="B829" s="3" t="str">
        <f ca="1">IFERROR(__xludf.DUMMYFUNCTION("IF(ISBLANK(A829),"""",GOOGLETRANSLATE(A829,""en"",""fr""))"),"")</f>
        <v/>
      </c>
    </row>
    <row r="830" spans="2:2">
      <c r="B830" s="3" t="str">
        <f ca="1">IFERROR(__xludf.DUMMYFUNCTION("IF(ISBLANK(A830),"""",GOOGLETRANSLATE(A830,""en"",""fr""))"),"")</f>
        <v/>
      </c>
    </row>
    <row r="831" spans="2:2">
      <c r="B831" s="3" t="str">
        <f ca="1">IFERROR(__xludf.DUMMYFUNCTION("IF(ISBLANK(A831),"""",GOOGLETRANSLATE(A831,""en"",""fr""))"),"")</f>
        <v/>
      </c>
    </row>
    <row r="832" spans="2:2">
      <c r="B832" s="3" t="str">
        <f ca="1">IFERROR(__xludf.DUMMYFUNCTION("IF(ISBLANK(A832),"""",GOOGLETRANSLATE(A832,""en"",""fr""))"),"")</f>
        <v/>
      </c>
    </row>
    <row r="833" spans="2:2">
      <c r="B833" s="3" t="str">
        <f ca="1">IFERROR(__xludf.DUMMYFUNCTION("IF(ISBLANK(A833),"""",GOOGLETRANSLATE(A833,""en"",""fr""))"),"")</f>
        <v/>
      </c>
    </row>
    <row r="834" spans="2:2">
      <c r="B834" s="3" t="str">
        <f ca="1">IFERROR(__xludf.DUMMYFUNCTION("IF(ISBLANK(A834),"""",GOOGLETRANSLATE(A834,""en"",""fr""))"),"")</f>
        <v/>
      </c>
    </row>
    <row r="835" spans="2:2">
      <c r="B835" s="3" t="str">
        <f ca="1">IFERROR(__xludf.DUMMYFUNCTION("IF(ISBLANK(A835),"""",GOOGLETRANSLATE(A835,""en"",""fr""))"),"")</f>
        <v/>
      </c>
    </row>
    <row r="836" spans="2:2">
      <c r="B836" s="3" t="str">
        <f ca="1">IFERROR(__xludf.DUMMYFUNCTION("IF(ISBLANK(A836),"""",GOOGLETRANSLATE(A836,""en"",""fr""))"),"")</f>
        <v/>
      </c>
    </row>
    <row r="837" spans="2:2">
      <c r="B837" s="3" t="str">
        <f ca="1">IFERROR(__xludf.DUMMYFUNCTION("IF(ISBLANK(A837),"""",GOOGLETRANSLATE(A837,""en"",""fr""))"),"")</f>
        <v/>
      </c>
    </row>
    <row r="838" spans="2:2">
      <c r="B838" s="3" t="str">
        <f ca="1">IFERROR(__xludf.DUMMYFUNCTION("IF(ISBLANK(A838),"""",GOOGLETRANSLATE(A838,""en"",""fr""))"),"")</f>
        <v/>
      </c>
    </row>
    <row r="839" spans="2:2">
      <c r="B839" s="3" t="str">
        <f ca="1">IFERROR(__xludf.DUMMYFUNCTION("IF(ISBLANK(A839),"""",GOOGLETRANSLATE(A839,""en"",""fr""))"),"")</f>
        <v/>
      </c>
    </row>
    <row r="840" spans="2:2">
      <c r="B840" s="3" t="str">
        <f ca="1">IFERROR(__xludf.DUMMYFUNCTION("IF(ISBLANK(A840),"""",GOOGLETRANSLATE(A840,""en"",""fr""))"),"")</f>
        <v/>
      </c>
    </row>
    <row r="841" spans="2:2">
      <c r="B841" s="3" t="str">
        <f ca="1">IFERROR(__xludf.DUMMYFUNCTION("IF(ISBLANK(A841),"""",GOOGLETRANSLATE(A841,""en"",""fr""))"),"")</f>
        <v/>
      </c>
    </row>
    <row r="842" spans="2:2">
      <c r="B842" s="3" t="str">
        <f ca="1">IFERROR(__xludf.DUMMYFUNCTION("IF(ISBLANK(A842),"""",GOOGLETRANSLATE(A842,""en"",""fr""))"),"")</f>
        <v/>
      </c>
    </row>
    <row r="843" spans="2:2">
      <c r="B843" s="3" t="str">
        <f ca="1">IFERROR(__xludf.DUMMYFUNCTION("IF(ISBLANK(A843),"""",GOOGLETRANSLATE(A843,""en"",""fr""))"),"")</f>
        <v/>
      </c>
    </row>
    <row r="844" spans="2:2">
      <c r="B844" s="3" t="str">
        <f ca="1">IFERROR(__xludf.DUMMYFUNCTION("IF(ISBLANK(A844),"""",GOOGLETRANSLATE(A844,""en"",""fr""))"),"")</f>
        <v/>
      </c>
    </row>
    <row r="845" spans="2:2">
      <c r="B845" s="3" t="str">
        <f ca="1">IFERROR(__xludf.DUMMYFUNCTION("IF(ISBLANK(A845),"""",GOOGLETRANSLATE(A845,""en"",""fr""))"),"")</f>
        <v/>
      </c>
    </row>
    <row r="846" spans="2:2">
      <c r="B846" s="3" t="str">
        <f ca="1">IFERROR(__xludf.DUMMYFUNCTION("IF(ISBLANK(A846),"""",GOOGLETRANSLATE(A846,""en"",""fr""))"),"")</f>
        <v/>
      </c>
    </row>
    <row r="847" spans="2:2">
      <c r="B847" s="3" t="str">
        <f ca="1">IFERROR(__xludf.DUMMYFUNCTION("IF(ISBLANK(A847),"""",GOOGLETRANSLATE(A847,""en"",""fr""))"),"")</f>
        <v/>
      </c>
    </row>
    <row r="848" spans="2:2">
      <c r="B848" s="3" t="str">
        <f ca="1">IFERROR(__xludf.DUMMYFUNCTION("IF(ISBLANK(A848),"""",GOOGLETRANSLATE(A848,""en"",""fr""))"),"")</f>
        <v/>
      </c>
    </row>
    <row r="849" spans="2:2">
      <c r="B849" s="3" t="str">
        <f ca="1">IFERROR(__xludf.DUMMYFUNCTION("IF(ISBLANK(A849),"""",GOOGLETRANSLATE(A849,""en"",""fr""))"),"")</f>
        <v/>
      </c>
    </row>
    <row r="850" spans="2:2">
      <c r="B850" s="3" t="str">
        <f ca="1">IFERROR(__xludf.DUMMYFUNCTION("IF(ISBLANK(A850),"""",GOOGLETRANSLATE(A850,""en"",""fr""))"),"")</f>
        <v/>
      </c>
    </row>
    <row r="851" spans="2:2">
      <c r="B851" s="3" t="str">
        <f ca="1">IFERROR(__xludf.DUMMYFUNCTION("IF(ISBLANK(A851),"""",GOOGLETRANSLATE(A851,""en"",""fr""))"),"")</f>
        <v/>
      </c>
    </row>
    <row r="852" spans="2:2">
      <c r="B852" s="3" t="str">
        <f ca="1">IFERROR(__xludf.DUMMYFUNCTION("IF(ISBLANK(A852),"""",GOOGLETRANSLATE(A852,""en"",""fr""))"),"")</f>
        <v/>
      </c>
    </row>
    <row r="853" spans="2:2">
      <c r="B853" s="3" t="str">
        <f ca="1">IFERROR(__xludf.DUMMYFUNCTION("IF(ISBLANK(A853),"""",GOOGLETRANSLATE(A853,""en"",""fr""))"),"")</f>
        <v/>
      </c>
    </row>
    <row r="854" spans="2:2">
      <c r="B854" s="3" t="str">
        <f ca="1">IFERROR(__xludf.DUMMYFUNCTION("IF(ISBLANK(A854),"""",GOOGLETRANSLATE(A854,""en"",""fr""))"),"")</f>
        <v/>
      </c>
    </row>
    <row r="855" spans="2:2">
      <c r="B855" s="3" t="str">
        <f ca="1">IFERROR(__xludf.DUMMYFUNCTION("IF(ISBLANK(A855),"""",GOOGLETRANSLATE(A855,""en"",""fr""))"),"")</f>
        <v/>
      </c>
    </row>
    <row r="856" spans="2:2">
      <c r="B856" s="3" t="str">
        <f ca="1">IFERROR(__xludf.DUMMYFUNCTION("IF(ISBLANK(A856),"""",GOOGLETRANSLATE(A856,""en"",""fr""))"),"")</f>
        <v/>
      </c>
    </row>
    <row r="857" spans="2:2">
      <c r="B857" s="3" t="str">
        <f ca="1">IFERROR(__xludf.DUMMYFUNCTION("IF(ISBLANK(A857),"""",GOOGLETRANSLATE(A857,""en"",""fr""))"),"")</f>
        <v/>
      </c>
    </row>
    <row r="858" spans="2:2">
      <c r="B858" s="3" t="str">
        <f ca="1">IFERROR(__xludf.DUMMYFUNCTION("IF(ISBLANK(A858),"""",GOOGLETRANSLATE(A858,""en"",""fr""))"),"")</f>
        <v/>
      </c>
    </row>
    <row r="859" spans="2:2">
      <c r="B859" s="3" t="str">
        <f ca="1">IFERROR(__xludf.DUMMYFUNCTION("IF(ISBLANK(A859),"""",GOOGLETRANSLATE(A859,""en"",""fr""))"),"")</f>
        <v/>
      </c>
    </row>
    <row r="860" spans="2:2">
      <c r="B860" s="3" t="str">
        <f ca="1">IFERROR(__xludf.DUMMYFUNCTION("IF(ISBLANK(A860),"""",GOOGLETRANSLATE(A860,""en"",""fr""))"),"")</f>
        <v/>
      </c>
    </row>
    <row r="861" spans="2:2">
      <c r="B861" s="3" t="str">
        <f ca="1">IFERROR(__xludf.DUMMYFUNCTION("IF(ISBLANK(A861),"""",GOOGLETRANSLATE(A861,""en"",""fr""))"),"")</f>
        <v/>
      </c>
    </row>
    <row r="862" spans="2:2">
      <c r="B862" s="3" t="str">
        <f ca="1">IFERROR(__xludf.DUMMYFUNCTION("IF(ISBLANK(A862),"""",GOOGLETRANSLATE(A862,""en"",""fr""))"),"")</f>
        <v/>
      </c>
    </row>
    <row r="863" spans="2:2">
      <c r="B863" s="3" t="str">
        <f ca="1">IFERROR(__xludf.DUMMYFUNCTION("IF(ISBLANK(A863),"""",GOOGLETRANSLATE(A863,""en"",""fr""))"),"")</f>
        <v/>
      </c>
    </row>
    <row r="864" spans="2:2">
      <c r="B864" s="3" t="str">
        <f ca="1">IFERROR(__xludf.DUMMYFUNCTION("IF(ISBLANK(A864),"""",GOOGLETRANSLATE(A864,""en"",""fr""))"),"")</f>
        <v/>
      </c>
    </row>
    <row r="865" spans="2:2">
      <c r="B865" s="3" t="str">
        <f ca="1">IFERROR(__xludf.DUMMYFUNCTION("IF(ISBLANK(A865),"""",GOOGLETRANSLATE(A865,""en"",""fr""))"),"")</f>
        <v/>
      </c>
    </row>
    <row r="866" spans="2:2">
      <c r="B866" s="3" t="str">
        <f ca="1">IFERROR(__xludf.DUMMYFUNCTION("IF(ISBLANK(A866),"""",GOOGLETRANSLATE(A866,""en"",""fr""))"),"")</f>
        <v/>
      </c>
    </row>
    <row r="867" spans="2:2">
      <c r="B867" s="3" t="str">
        <f ca="1">IFERROR(__xludf.DUMMYFUNCTION("IF(ISBLANK(A867),"""",GOOGLETRANSLATE(A867,""en"",""fr""))"),"")</f>
        <v/>
      </c>
    </row>
    <row r="868" spans="2:2">
      <c r="B868" s="3" t="str">
        <f ca="1">IFERROR(__xludf.DUMMYFUNCTION("IF(ISBLANK(A868),"""",GOOGLETRANSLATE(A868,""en"",""fr""))"),"")</f>
        <v/>
      </c>
    </row>
    <row r="869" spans="2:2">
      <c r="B869" s="3" t="str">
        <f ca="1">IFERROR(__xludf.DUMMYFUNCTION("IF(ISBLANK(A869),"""",GOOGLETRANSLATE(A869,""en"",""fr""))"),"")</f>
        <v/>
      </c>
    </row>
    <row r="870" spans="2:2">
      <c r="B870" s="3" t="str">
        <f ca="1">IFERROR(__xludf.DUMMYFUNCTION("IF(ISBLANK(A870),"""",GOOGLETRANSLATE(A870,""en"",""fr""))"),"")</f>
        <v/>
      </c>
    </row>
    <row r="871" spans="2:2">
      <c r="B871" s="3" t="str">
        <f ca="1">IFERROR(__xludf.DUMMYFUNCTION("IF(ISBLANK(A871),"""",GOOGLETRANSLATE(A871,""en"",""fr""))"),"")</f>
        <v/>
      </c>
    </row>
    <row r="872" spans="2:2">
      <c r="B872" s="3" t="str">
        <f ca="1">IFERROR(__xludf.DUMMYFUNCTION("IF(ISBLANK(A872),"""",GOOGLETRANSLATE(A872,""en"",""fr""))"),"")</f>
        <v/>
      </c>
    </row>
    <row r="873" spans="2:2">
      <c r="B873" s="3" t="str">
        <f ca="1">IFERROR(__xludf.DUMMYFUNCTION("IF(ISBLANK(A873),"""",GOOGLETRANSLATE(A873,""en"",""fr""))"),"")</f>
        <v/>
      </c>
    </row>
    <row r="874" spans="2:2">
      <c r="B874" s="3" t="str">
        <f ca="1">IFERROR(__xludf.DUMMYFUNCTION("IF(ISBLANK(A874),"""",GOOGLETRANSLATE(A874,""en"",""fr""))"),"")</f>
        <v/>
      </c>
    </row>
    <row r="875" spans="2:2">
      <c r="B875" s="3" t="str">
        <f ca="1">IFERROR(__xludf.DUMMYFUNCTION("IF(ISBLANK(A875),"""",GOOGLETRANSLATE(A875,""en"",""fr""))"),"")</f>
        <v/>
      </c>
    </row>
    <row r="876" spans="2:2">
      <c r="B876" s="3" t="str">
        <f ca="1">IFERROR(__xludf.DUMMYFUNCTION("IF(ISBLANK(A876),"""",GOOGLETRANSLATE(A876,""en"",""fr""))"),"")</f>
        <v/>
      </c>
    </row>
    <row r="877" spans="2:2">
      <c r="B877" s="3" t="str">
        <f ca="1">IFERROR(__xludf.DUMMYFUNCTION("IF(ISBLANK(A877),"""",GOOGLETRANSLATE(A877,""en"",""fr""))"),"")</f>
        <v/>
      </c>
    </row>
    <row r="878" spans="2:2">
      <c r="B878" s="3" t="str">
        <f ca="1">IFERROR(__xludf.DUMMYFUNCTION("IF(ISBLANK(A878),"""",GOOGLETRANSLATE(A878,""en"",""fr""))"),"")</f>
        <v/>
      </c>
    </row>
    <row r="879" spans="2:2">
      <c r="B879" s="3" t="str">
        <f ca="1">IFERROR(__xludf.DUMMYFUNCTION("IF(ISBLANK(A879),"""",GOOGLETRANSLATE(A879,""en"",""fr""))"),"")</f>
        <v/>
      </c>
    </row>
    <row r="880" spans="2:2">
      <c r="B880" s="3" t="str">
        <f ca="1">IFERROR(__xludf.DUMMYFUNCTION("IF(ISBLANK(A880),"""",GOOGLETRANSLATE(A880,""en"",""fr""))"),"")</f>
        <v/>
      </c>
    </row>
    <row r="881" spans="2:2">
      <c r="B881" s="3" t="str">
        <f ca="1">IFERROR(__xludf.DUMMYFUNCTION("IF(ISBLANK(A881),"""",GOOGLETRANSLATE(A881,""en"",""fr""))"),"")</f>
        <v/>
      </c>
    </row>
    <row r="882" spans="2:2">
      <c r="B882" s="3" t="str">
        <f ca="1">IFERROR(__xludf.DUMMYFUNCTION("IF(ISBLANK(A882),"""",GOOGLETRANSLATE(A882,""en"",""fr""))"),"")</f>
        <v/>
      </c>
    </row>
    <row r="883" spans="2:2">
      <c r="B883" s="3" t="str">
        <f ca="1">IFERROR(__xludf.DUMMYFUNCTION("IF(ISBLANK(A883),"""",GOOGLETRANSLATE(A883,""en"",""fr""))"),"")</f>
        <v/>
      </c>
    </row>
    <row r="884" spans="2:2">
      <c r="B884" s="3" t="str">
        <f ca="1">IFERROR(__xludf.DUMMYFUNCTION("IF(ISBLANK(A884),"""",GOOGLETRANSLATE(A884,""en"",""fr""))"),"")</f>
        <v/>
      </c>
    </row>
    <row r="885" spans="2:2">
      <c r="B885" s="3" t="str">
        <f ca="1">IFERROR(__xludf.DUMMYFUNCTION("IF(ISBLANK(A885),"""",GOOGLETRANSLATE(A885,""en"",""fr""))"),"")</f>
        <v/>
      </c>
    </row>
    <row r="886" spans="2:2">
      <c r="B886" s="3" t="str">
        <f ca="1">IFERROR(__xludf.DUMMYFUNCTION("IF(ISBLANK(A886),"""",GOOGLETRANSLATE(A886,""en"",""fr""))"),"")</f>
        <v/>
      </c>
    </row>
    <row r="887" spans="2:2">
      <c r="B887" s="3" t="str">
        <f ca="1">IFERROR(__xludf.DUMMYFUNCTION("IF(ISBLANK(A887),"""",GOOGLETRANSLATE(A887,""en"",""fr""))"),"")</f>
        <v/>
      </c>
    </row>
    <row r="888" spans="2:2">
      <c r="B888" s="3" t="str">
        <f ca="1">IFERROR(__xludf.DUMMYFUNCTION("IF(ISBLANK(A888),"""",GOOGLETRANSLATE(A888,""en"",""fr""))"),"")</f>
        <v/>
      </c>
    </row>
    <row r="889" spans="2:2">
      <c r="B889" s="3" t="str">
        <f ca="1">IFERROR(__xludf.DUMMYFUNCTION("IF(ISBLANK(A889),"""",GOOGLETRANSLATE(A889,""en"",""fr""))"),"")</f>
        <v/>
      </c>
    </row>
    <row r="890" spans="2:2">
      <c r="B890" s="3" t="str">
        <f ca="1">IFERROR(__xludf.DUMMYFUNCTION("IF(ISBLANK(A890),"""",GOOGLETRANSLATE(A890,""en"",""fr""))"),"")</f>
        <v/>
      </c>
    </row>
    <row r="891" spans="2:2">
      <c r="B891" s="3" t="str">
        <f ca="1">IFERROR(__xludf.DUMMYFUNCTION("IF(ISBLANK(A891),"""",GOOGLETRANSLATE(A891,""en"",""fr""))"),"")</f>
        <v/>
      </c>
    </row>
    <row r="892" spans="2:2">
      <c r="B892" s="3" t="str">
        <f ca="1">IFERROR(__xludf.DUMMYFUNCTION("IF(ISBLANK(A892),"""",GOOGLETRANSLATE(A892,""en"",""fr""))"),"")</f>
        <v/>
      </c>
    </row>
    <row r="893" spans="2:2">
      <c r="B893" s="3" t="str">
        <f ca="1">IFERROR(__xludf.DUMMYFUNCTION("IF(ISBLANK(A893),"""",GOOGLETRANSLATE(A893,""en"",""fr""))"),"")</f>
        <v/>
      </c>
    </row>
    <row r="894" spans="2:2">
      <c r="B894" s="3" t="str">
        <f ca="1">IFERROR(__xludf.DUMMYFUNCTION("IF(ISBLANK(A894),"""",GOOGLETRANSLATE(A894,""en"",""fr""))"),"")</f>
        <v/>
      </c>
    </row>
    <row r="895" spans="2:2">
      <c r="B895" s="3" t="str">
        <f ca="1">IFERROR(__xludf.DUMMYFUNCTION("IF(ISBLANK(A895),"""",GOOGLETRANSLATE(A895,""en"",""fr""))"),"")</f>
        <v/>
      </c>
    </row>
    <row r="896" spans="2:2">
      <c r="B896" s="3" t="str">
        <f ca="1">IFERROR(__xludf.DUMMYFUNCTION("IF(ISBLANK(A896),"""",GOOGLETRANSLATE(A896,""en"",""fr""))"),"")</f>
        <v/>
      </c>
    </row>
    <row r="897" spans="2:2">
      <c r="B897" s="3" t="str">
        <f ca="1">IFERROR(__xludf.DUMMYFUNCTION("IF(ISBLANK(A897),"""",GOOGLETRANSLATE(A897,""en"",""fr""))"),"")</f>
        <v/>
      </c>
    </row>
    <row r="898" spans="2:2">
      <c r="B898" s="3" t="str">
        <f ca="1">IFERROR(__xludf.DUMMYFUNCTION("IF(ISBLANK(A898),"""",GOOGLETRANSLATE(A898,""en"",""fr""))"),"")</f>
        <v/>
      </c>
    </row>
    <row r="899" spans="2:2">
      <c r="B899" s="3" t="str">
        <f ca="1">IFERROR(__xludf.DUMMYFUNCTION("IF(ISBLANK(A899),"""",GOOGLETRANSLATE(A899,""en"",""fr""))"),"")</f>
        <v/>
      </c>
    </row>
    <row r="900" spans="2:2">
      <c r="B900" s="3" t="str">
        <f ca="1">IFERROR(__xludf.DUMMYFUNCTION("IF(ISBLANK(A900),"""",GOOGLETRANSLATE(A900,""en"",""fr""))"),"")</f>
        <v/>
      </c>
    </row>
    <row r="901" spans="2:2">
      <c r="B901" s="3" t="str">
        <f ca="1">IFERROR(__xludf.DUMMYFUNCTION("IF(ISBLANK(A901),"""",GOOGLETRANSLATE(A901,""en"",""fr""))"),"")</f>
        <v/>
      </c>
    </row>
    <row r="902" spans="2:2">
      <c r="B902" s="3" t="str">
        <f ca="1">IFERROR(__xludf.DUMMYFUNCTION("IF(ISBLANK(A902),"""",GOOGLETRANSLATE(A902,""en"",""fr""))"),"")</f>
        <v/>
      </c>
    </row>
    <row r="903" spans="2:2">
      <c r="B903" s="3" t="str">
        <f ca="1">IFERROR(__xludf.DUMMYFUNCTION("IF(ISBLANK(A903),"""",GOOGLETRANSLATE(A903,""en"",""fr""))"),"")</f>
        <v/>
      </c>
    </row>
    <row r="904" spans="2:2">
      <c r="B904" s="3" t="str">
        <f ca="1">IFERROR(__xludf.DUMMYFUNCTION("IF(ISBLANK(A904),"""",GOOGLETRANSLATE(A904,""en"",""fr""))"),"")</f>
        <v/>
      </c>
    </row>
    <row r="905" spans="2:2">
      <c r="B905" s="3" t="str">
        <f ca="1">IFERROR(__xludf.DUMMYFUNCTION("IF(ISBLANK(A905),"""",GOOGLETRANSLATE(A905,""en"",""fr""))"),"")</f>
        <v/>
      </c>
    </row>
    <row r="906" spans="2:2">
      <c r="B906" s="3" t="str">
        <f ca="1">IFERROR(__xludf.DUMMYFUNCTION("IF(ISBLANK(A906),"""",GOOGLETRANSLATE(A906,""en"",""fr""))"),"")</f>
        <v/>
      </c>
    </row>
    <row r="907" spans="2:2">
      <c r="B907" s="3" t="str">
        <f ca="1">IFERROR(__xludf.DUMMYFUNCTION("IF(ISBLANK(A907),"""",GOOGLETRANSLATE(A907,""en"",""fr""))"),"")</f>
        <v/>
      </c>
    </row>
    <row r="908" spans="2:2">
      <c r="B908" s="3" t="str">
        <f ca="1">IFERROR(__xludf.DUMMYFUNCTION("IF(ISBLANK(A908),"""",GOOGLETRANSLATE(A908,""en"",""fr""))"),"")</f>
        <v/>
      </c>
    </row>
    <row r="909" spans="2:2">
      <c r="B909" s="3" t="str">
        <f ca="1">IFERROR(__xludf.DUMMYFUNCTION("IF(ISBLANK(A909),"""",GOOGLETRANSLATE(A909,""en"",""fr""))"),"")</f>
        <v/>
      </c>
    </row>
    <row r="910" spans="2:2">
      <c r="B910" s="3" t="str">
        <f ca="1">IFERROR(__xludf.DUMMYFUNCTION("IF(ISBLANK(A910),"""",GOOGLETRANSLATE(A910,""en"",""fr""))"),"")</f>
        <v/>
      </c>
    </row>
    <row r="911" spans="2:2">
      <c r="B911" s="3" t="str">
        <f ca="1">IFERROR(__xludf.DUMMYFUNCTION("IF(ISBLANK(A911),"""",GOOGLETRANSLATE(A911,""en"",""fr""))"),"")</f>
        <v/>
      </c>
    </row>
    <row r="912" spans="2:2">
      <c r="B912" s="3" t="str">
        <f ca="1">IFERROR(__xludf.DUMMYFUNCTION("IF(ISBLANK(A912),"""",GOOGLETRANSLATE(A912,""en"",""fr""))"),"")</f>
        <v/>
      </c>
    </row>
    <row r="913" spans="2:2">
      <c r="B913" s="3" t="str">
        <f ca="1">IFERROR(__xludf.DUMMYFUNCTION("IF(ISBLANK(A913),"""",GOOGLETRANSLATE(A913,""en"",""fr""))"),"")</f>
        <v/>
      </c>
    </row>
    <row r="914" spans="2:2">
      <c r="B914" s="3" t="str">
        <f ca="1">IFERROR(__xludf.DUMMYFUNCTION("IF(ISBLANK(A914),"""",GOOGLETRANSLATE(A914,""en"",""fr""))"),"")</f>
        <v/>
      </c>
    </row>
    <row r="915" spans="2:2">
      <c r="B915" s="3" t="str">
        <f ca="1">IFERROR(__xludf.DUMMYFUNCTION("IF(ISBLANK(A915),"""",GOOGLETRANSLATE(A915,""en"",""fr""))"),"")</f>
        <v/>
      </c>
    </row>
    <row r="916" spans="2:2">
      <c r="B916" s="3" t="str">
        <f ca="1">IFERROR(__xludf.DUMMYFUNCTION("IF(ISBLANK(A916),"""",GOOGLETRANSLATE(A916,""en"",""fr""))"),"")</f>
        <v/>
      </c>
    </row>
    <row r="917" spans="2:2">
      <c r="B917" s="3" t="str">
        <f ca="1">IFERROR(__xludf.DUMMYFUNCTION("IF(ISBLANK(A917),"""",GOOGLETRANSLATE(A917,""en"",""fr""))"),"")</f>
        <v/>
      </c>
    </row>
    <row r="918" spans="2:2">
      <c r="B918" s="3" t="str">
        <f ca="1">IFERROR(__xludf.DUMMYFUNCTION("IF(ISBLANK(A918),"""",GOOGLETRANSLATE(A918,""en"",""fr""))"),"")</f>
        <v/>
      </c>
    </row>
    <row r="919" spans="2:2">
      <c r="B919" s="3" t="str">
        <f ca="1">IFERROR(__xludf.DUMMYFUNCTION("IF(ISBLANK(A919),"""",GOOGLETRANSLATE(A919,""en"",""fr""))"),"")</f>
        <v/>
      </c>
    </row>
    <row r="920" spans="2:2">
      <c r="B920" s="3" t="str">
        <f ca="1">IFERROR(__xludf.DUMMYFUNCTION("IF(ISBLANK(A920),"""",GOOGLETRANSLATE(A920,""en"",""fr""))"),"")</f>
        <v/>
      </c>
    </row>
    <row r="921" spans="2:2">
      <c r="B921" s="3" t="str">
        <f ca="1">IFERROR(__xludf.DUMMYFUNCTION("IF(ISBLANK(A921),"""",GOOGLETRANSLATE(A921,""en"",""fr""))"),"")</f>
        <v/>
      </c>
    </row>
    <row r="922" spans="2:2">
      <c r="B922" s="3" t="str">
        <f ca="1">IFERROR(__xludf.DUMMYFUNCTION("IF(ISBLANK(A922),"""",GOOGLETRANSLATE(A922,""en"",""fr""))"),"")</f>
        <v/>
      </c>
    </row>
    <row r="923" spans="2:2">
      <c r="B923" s="3" t="str">
        <f ca="1">IFERROR(__xludf.DUMMYFUNCTION("IF(ISBLANK(A923),"""",GOOGLETRANSLATE(A923,""en"",""fr""))"),"")</f>
        <v/>
      </c>
    </row>
    <row r="924" spans="2:2">
      <c r="B924" s="3" t="str">
        <f ca="1">IFERROR(__xludf.DUMMYFUNCTION("IF(ISBLANK(A924),"""",GOOGLETRANSLATE(A924,""en"",""fr""))"),"")</f>
        <v/>
      </c>
    </row>
    <row r="925" spans="2:2">
      <c r="B925" s="3" t="str">
        <f ca="1">IFERROR(__xludf.DUMMYFUNCTION("IF(ISBLANK(A925),"""",GOOGLETRANSLATE(A925,""en"",""fr""))"),"")</f>
        <v/>
      </c>
    </row>
    <row r="926" spans="2:2">
      <c r="B926" s="3" t="str">
        <f ca="1">IFERROR(__xludf.DUMMYFUNCTION("IF(ISBLANK(A926),"""",GOOGLETRANSLATE(A926,""en"",""fr""))"),"")</f>
        <v/>
      </c>
    </row>
    <row r="927" spans="2:2">
      <c r="B927" s="3" t="str">
        <f ca="1">IFERROR(__xludf.DUMMYFUNCTION("IF(ISBLANK(A927),"""",GOOGLETRANSLATE(A927,""en"",""fr""))"),"")</f>
        <v/>
      </c>
    </row>
    <row r="928" spans="2:2">
      <c r="B928" s="3" t="str">
        <f ca="1">IFERROR(__xludf.DUMMYFUNCTION("IF(ISBLANK(A928),"""",GOOGLETRANSLATE(A928,""en"",""fr""))"),"")</f>
        <v/>
      </c>
    </row>
    <row r="929" spans="2:2">
      <c r="B929" s="3" t="str">
        <f ca="1">IFERROR(__xludf.DUMMYFUNCTION("IF(ISBLANK(A929),"""",GOOGLETRANSLATE(A929,""en"",""fr""))"),"")</f>
        <v/>
      </c>
    </row>
    <row r="930" spans="2:2">
      <c r="B930" s="3" t="str">
        <f ca="1">IFERROR(__xludf.DUMMYFUNCTION("IF(ISBLANK(A930),"""",GOOGLETRANSLATE(A930,""en"",""fr""))"),"")</f>
        <v/>
      </c>
    </row>
    <row r="931" spans="2:2">
      <c r="B931" s="3" t="str">
        <f ca="1">IFERROR(__xludf.DUMMYFUNCTION("IF(ISBLANK(A931),"""",GOOGLETRANSLATE(A931,""en"",""fr""))"),"")</f>
        <v/>
      </c>
    </row>
    <row r="932" spans="2:2">
      <c r="B932" s="3" t="str">
        <f ca="1">IFERROR(__xludf.DUMMYFUNCTION("IF(ISBLANK(A932),"""",GOOGLETRANSLATE(A932,""en"",""fr""))"),"")</f>
        <v/>
      </c>
    </row>
    <row r="933" spans="2:2">
      <c r="B933" s="3" t="str">
        <f ca="1">IFERROR(__xludf.DUMMYFUNCTION("IF(ISBLANK(A933),"""",GOOGLETRANSLATE(A933,""en"",""fr""))"),"")</f>
        <v/>
      </c>
    </row>
    <row r="934" spans="2:2">
      <c r="B934" s="3" t="str">
        <f ca="1">IFERROR(__xludf.DUMMYFUNCTION("IF(ISBLANK(A934),"""",GOOGLETRANSLATE(A934,""en"",""fr""))"),"")</f>
        <v/>
      </c>
    </row>
    <row r="935" spans="2:2">
      <c r="B935" s="3" t="str">
        <f ca="1">IFERROR(__xludf.DUMMYFUNCTION("IF(ISBLANK(A935),"""",GOOGLETRANSLATE(A935,""en"",""fr""))"),"")</f>
        <v/>
      </c>
    </row>
    <row r="936" spans="2:2">
      <c r="B936" s="3" t="str">
        <f ca="1">IFERROR(__xludf.DUMMYFUNCTION("IF(ISBLANK(A936),"""",GOOGLETRANSLATE(A936,""en"",""fr""))"),"")</f>
        <v/>
      </c>
    </row>
    <row r="937" spans="2:2">
      <c r="B937" s="3" t="str">
        <f ca="1">IFERROR(__xludf.DUMMYFUNCTION("IF(ISBLANK(A937),"""",GOOGLETRANSLATE(A937,""en"",""fr""))"),"")</f>
        <v/>
      </c>
    </row>
    <row r="938" spans="2:2">
      <c r="B938" s="3" t="str">
        <f ca="1">IFERROR(__xludf.DUMMYFUNCTION("IF(ISBLANK(A938),"""",GOOGLETRANSLATE(A938,""en"",""fr""))"),"")</f>
        <v/>
      </c>
    </row>
    <row r="939" spans="2:2">
      <c r="B939" s="3" t="str">
        <f ca="1">IFERROR(__xludf.DUMMYFUNCTION("IF(ISBLANK(A939),"""",GOOGLETRANSLATE(A939,""en"",""fr""))"),"")</f>
        <v/>
      </c>
    </row>
    <row r="940" spans="2:2">
      <c r="B940" s="3" t="str">
        <f ca="1">IFERROR(__xludf.DUMMYFUNCTION("IF(ISBLANK(A940),"""",GOOGLETRANSLATE(A940,""en"",""fr""))"),"")</f>
        <v/>
      </c>
    </row>
    <row r="941" spans="2:2">
      <c r="B941" s="3" t="str">
        <f ca="1">IFERROR(__xludf.DUMMYFUNCTION("IF(ISBLANK(A941),"""",GOOGLETRANSLATE(A941,""en"",""fr""))"),"")</f>
        <v/>
      </c>
    </row>
    <row r="942" spans="2:2">
      <c r="B942" s="3" t="str">
        <f ca="1">IFERROR(__xludf.DUMMYFUNCTION("IF(ISBLANK(A942),"""",GOOGLETRANSLATE(A942,""en"",""fr""))"),"")</f>
        <v/>
      </c>
    </row>
    <row r="943" spans="2:2">
      <c r="B943" s="3" t="str">
        <f ca="1">IFERROR(__xludf.DUMMYFUNCTION("IF(ISBLANK(A943),"""",GOOGLETRANSLATE(A943,""en"",""fr""))"),"")</f>
        <v/>
      </c>
    </row>
    <row r="944" spans="2:2">
      <c r="B944" s="3" t="str">
        <f ca="1">IFERROR(__xludf.DUMMYFUNCTION("IF(ISBLANK(A944),"""",GOOGLETRANSLATE(A944,""en"",""fr""))"),"")</f>
        <v/>
      </c>
    </row>
    <row r="945" spans="2:2">
      <c r="B945" s="3" t="str">
        <f ca="1">IFERROR(__xludf.DUMMYFUNCTION("IF(ISBLANK(A945),"""",GOOGLETRANSLATE(A945,""en"",""fr""))"),"")</f>
        <v/>
      </c>
    </row>
    <row r="946" spans="2:2">
      <c r="B946" s="3" t="str">
        <f ca="1">IFERROR(__xludf.DUMMYFUNCTION("IF(ISBLANK(A946),"""",GOOGLETRANSLATE(A946,""en"",""fr""))"),"")</f>
        <v/>
      </c>
    </row>
    <row r="947" spans="2:2">
      <c r="B947" s="3" t="str">
        <f ca="1">IFERROR(__xludf.DUMMYFUNCTION("IF(ISBLANK(A947),"""",GOOGLETRANSLATE(A947,""en"",""fr""))"),"")</f>
        <v/>
      </c>
    </row>
    <row r="948" spans="2:2">
      <c r="B948" s="3" t="str">
        <f ca="1">IFERROR(__xludf.DUMMYFUNCTION("IF(ISBLANK(A948),"""",GOOGLETRANSLATE(A948,""en"",""fr""))"),"")</f>
        <v/>
      </c>
    </row>
    <row r="949" spans="2:2">
      <c r="B949" s="3" t="str">
        <f ca="1">IFERROR(__xludf.DUMMYFUNCTION("IF(ISBLANK(A949),"""",GOOGLETRANSLATE(A949,""en"",""fr""))"),"")</f>
        <v/>
      </c>
    </row>
    <row r="950" spans="2:2">
      <c r="B950" s="3" t="str">
        <f ca="1">IFERROR(__xludf.DUMMYFUNCTION("IF(ISBLANK(A950),"""",GOOGLETRANSLATE(A950,""en"",""fr""))"),"")</f>
        <v/>
      </c>
    </row>
    <row r="951" spans="2:2">
      <c r="B951" s="3" t="str">
        <f ca="1">IFERROR(__xludf.DUMMYFUNCTION("IF(ISBLANK(A951),"""",GOOGLETRANSLATE(A951,""en"",""fr""))"),"")</f>
        <v/>
      </c>
    </row>
    <row r="952" spans="2:2">
      <c r="B952" s="3" t="str">
        <f ca="1">IFERROR(__xludf.DUMMYFUNCTION("IF(ISBLANK(A952),"""",GOOGLETRANSLATE(A952,""en"",""fr""))"),"")</f>
        <v/>
      </c>
    </row>
    <row r="953" spans="2:2">
      <c r="B953" s="3" t="str">
        <f ca="1">IFERROR(__xludf.DUMMYFUNCTION("IF(ISBLANK(A953),"""",GOOGLETRANSLATE(A953,""en"",""fr""))"),"")</f>
        <v/>
      </c>
    </row>
    <row r="954" spans="2:2">
      <c r="B954" s="3" t="str">
        <f ca="1">IFERROR(__xludf.DUMMYFUNCTION("IF(ISBLANK(A954),"""",GOOGLETRANSLATE(A954,""en"",""fr""))"),"")</f>
        <v/>
      </c>
    </row>
    <row r="955" spans="2:2">
      <c r="B955" s="3" t="str">
        <f ca="1">IFERROR(__xludf.DUMMYFUNCTION("IF(ISBLANK(A955),"""",GOOGLETRANSLATE(A955,""en"",""fr""))"),"")</f>
        <v/>
      </c>
    </row>
    <row r="956" spans="2:2">
      <c r="B956" s="3" t="str">
        <f ca="1">IFERROR(__xludf.DUMMYFUNCTION("IF(ISBLANK(A956),"""",GOOGLETRANSLATE(A956,""en"",""fr""))"),"")</f>
        <v/>
      </c>
    </row>
    <row r="957" spans="2:2">
      <c r="B957" s="3" t="str">
        <f ca="1">IFERROR(__xludf.DUMMYFUNCTION("IF(ISBLANK(A957),"""",GOOGLETRANSLATE(A957,""en"",""fr""))"),"")</f>
        <v/>
      </c>
    </row>
    <row r="958" spans="2:2">
      <c r="B958" s="3" t="str">
        <f ca="1">IFERROR(__xludf.DUMMYFUNCTION("IF(ISBLANK(A958),"""",GOOGLETRANSLATE(A958,""en"",""fr""))"),"")</f>
        <v/>
      </c>
    </row>
    <row r="959" spans="2:2">
      <c r="B959" s="3" t="str">
        <f ca="1">IFERROR(__xludf.DUMMYFUNCTION("IF(ISBLANK(A959),"""",GOOGLETRANSLATE(A959,""en"",""fr""))"),"")</f>
        <v/>
      </c>
    </row>
    <row r="960" spans="2:2">
      <c r="B960" s="3" t="str">
        <f ca="1">IFERROR(__xludf.DUMMYFUNCTION("IF(ISBLANK(A960),"""",GOOGLETRANSLATE(A960,""en"",""fr""))"),"")</f>
        <v/>
      </c>
    </row>
    <row r="961" spans="2:2">
      <c r="B961" s="3" t="str">
        <f ca="1">IFERROR(__xludf.DUMMYFUNCTION("IF(ISBLANK(A961),"""",GOOGLETRANSLATE(A961,""en"",""fr""))"),"")</f>
        <v/>
      </c>
    </row>
    <row r="962" spans="2:2">
      <c r="B962" s="3" t="str">
        <f ca="1">IFERROR(__xludf.DUMMYFUNCTION("IF(ISBLANK(A962),"""",GOOGLETRANSLATE(A962,""en"",""fr""))"),"")</f>
        <v/>
      </c>
    </row>
    <row r="963" spans="2:2">
      <c r="B963" s="3" t="str">
        <f ca="1">IFERROR(__xludf.DUMMYFUNCTION("IF(ISBLANK(A963),"""",GOOGLETRANSLATE(A963,""en"",""fr""))"),"")</f>
        <v/>
      </c>
    </row>
    <row r="964" spans="2:2">
      <c r="B964" s="3" t="str">
        <f ca="1">IFERROR(__xludf.DUMMYFUNCTION("IF(ISBLANK(A964),"""",GOOGLETRANSLATE(A964,""en"",""fr""))"),"")</f>
        <v/>
      </c>
    </row>
    <row r="965" spans="2:2">
      <c r="B965" s="3" t="str">
        <f ca="1">IFERROR(__xludf.DUMMYFUNCTION("IF(ISBLANK(A965),"""",GOOGLETRANSLATE(A965,""en"",""fr""))"),"")</f>
        <v/>
      </c>
    </row>
    <row r="966" spans="2:2">
      <c r="B966" s="3" t="str">
        <f ca="1">IFERROR(__xludf.DUMMYFUNCTION("IF(ISBLANK(A966),"""",GOOGLETRANSLATE(A966,""en"",""fr""))"),"")</f>
        <v/>
      </c>
    </row>
    <row r="967" spans="2:2">
      <c r="B967" s="3" t="str">
        <f ca="1">IFERROR(__xludf.DUMMYFUNCTION("IF(ISBLANK(A967),"""",GOOGLETRANSLATE(A967,""en"",""fr""))"),"")</f>
        <v/>
      </c>
    </row>
    <row r="968" spans="2:2">
      <c r="B968" s="3" t="str">
        <f ca="1">IFERROR(__xludf.DUMMYFUNCTION("IF(ISBLANK(A968),"""",GOOGLETRANSLATE(A968,""en"",""fr""))"),"")</f>
        <v/>
      </c>
    </row>
    <row r="969" spans="2:2">
      <c r="B969" s="3" t="str">
        <f ca="1">IFERROR(__xludf.DUMMYFUNCTION("IF(ISBLANK(A969),"""",GOOGLETRANSLATE(A969,""en"",""fr""))"),"")</f>
        <v/>
      </c>
    </row>
    <row r="970" spans="2:2">
      <c r="B970" s="3" t="str">
        <f ca="1">IFERROR(__xludf.DUMMYFUNCTION("IF(ISBLANK(A970),"""",GOOGLETRANSLATE(A970,""en"",""fr""))"),"")</f>
        <v/>
      </c>
    </row>
    <row r="971" spans="2:2">
      <c r="B971" s="3" t="str">
        <f ca="1">IFERROR(__xludf.DUMMYFUNCTION("IF(ISBLANK(A971),"""",GOOGLETRANSLATE(A971,""en"",""fr""))"),"")</f>
        <v/>
      </c>
    </row>
    <row r="972" spans="2:2">
      <c r="B972" s="3" t="str">
        <f ca="1">IFERROR(__xludf.DUMMYFUNCTION("IF(ISBLANK(A972),"""",GOOGLETRANSLATE(A972,""en"",""fr""))"),"")</f>
        <v/>
      </c>
    </row>
    <row r="973" spans="2:2">
      <c r="B973" s="3" t="str">
        <f ca="1">IFERROR(__xludf.DUMMYFUNCTION("IF(ISBLANK(A973),"""",GOOGLETRANSLATE(A973,""en"",""fr""))"),"")</f>
        <v/>
      </c>
    </row>
    <row r="974" spans="2:2">
      <c r="B974" s="3" t="str">
        <f ca="1">IFERROR(__xludf.DUMMYFUNCTION("IF(ISBLANK(A974),"""",GOOGLETRANSLATE(A974,""en"",""fr""))"),"")</f>
        <v/>
      </c>
    </row>
    <row r="975" spans="2:2">
      <c r="B975" s="3" t="str">
        <f ca="1">IFERROR(__xludf.DUMMYFUNCTION("IF(ISBLANK(A975),"""",GOOGLETRANSLATE(A975,""en"",""fr""))"),"")</f>
        <v/>
      </c>
    </row>
    <row r="976" spans="2:2">
      <c r="B976" s="3" t="str">
        <f ca="1">IFERROR(__xludf.DUMMYFUNCTION("IF(ISBLANK(A976),"""",GOOGLETRANSLATE(A976,""en"",""fr""))"),"")</f>
        <v/>
      </c>
    </row>
    <row r="977" spans="2:2">
      <c r="B977" s="3" t="str">
        <f ca="1">IFERROR(__xludf.DUMMYFUNCTION("IF(ISBLANK(A977),"""",GOOGLETRANSLATE(A977,""en"",""fr""))"),"")</f>
        <v/>
      </c>
    </row>
    <row r="978" spans="2:2">
      <c r="B978" s="3" t="str">
        <f ca="1">IFERROR(__xludf.DUMMYFUNCTION("IF(ISBLANK(A978),"""",GOOGLETRANSLATE(A978,""en"",""fr""))"),"")</f>
        <v/>
      </c>
    </row>
    <row r="979" spans="2:2">
      <c r="B979" s="3" t="str">
        <f ca="1">IFERROR(__xludf.DUMMYFUNCTION("IF(ISBLANK(A979),"""",GOOGLETRANSLATE(A979,""en"",""fr""))"),"")</f>
        <v/>
      </c>
    </row>
    <row r="980" spans="2:2">
      <c r="B980" s="3" t="str">
        <f ca="1">IFERROR(__xludf.DUMMYFUNCTION("IF(ISBLANK(A980),"""",GOOGLETRANSLATE(A980,""en"",""fr""))"),"")</f>
        <v/>
      </c>
    </row>
    <row r="981" spans="2:2">
      <c r="B981" s="3" t="str">
        <f ca="1">IFERROR(__xludf.DUMMYFUNCTION("IF(ISBLANK(A981),"""",GOOGLETRANSLATE(A981,""en"",""fr""))"),"")</f>
        <v/>
      </c>
    </row>
    <row r="982" spans="2:2">
      <c r="B982" s="3" t="str">
        <f ca="1">IFERROR(__xludf.DUMMYFUNCTION("IF(ISBLANK(A982),"""",GOOGLETRANSLATE(A982,""en"",""fr""))"),"")</f>
        <v/>
      </c>
    </row>
    <row r="983" spans="2:2">
      <c r="B983" s="3" t="str">
        <f ca="1">IFERROR(__xludf.DUMMYFUNCTION("IF(ISBLANK(A983),"""",GOOGLETRANSLATE(A983,""en"",""fr""))"),"")</f>
        <v/>
      </c>
    </row>
    <row r="984" spans="2:2">
      <c r="B984" s="3" t="str">
        <f ca="1">IFERROR(__xludf.DUMMYFUNCTION("IF(ISBLANK(A984),"""",GOOGLETRANSLATE(A984,""en"",""fr""))"),"")</f>
        <v/>
      </c>
    </row>
    <row r="985" spans="2:2">
      <c r="B985" s="3" t="str">
        <f ca="1">IFERROR(__xludf.DUMMYFUNCTION("IF(ISBLANK(A985),"""",GOOGLETRANSLATE(A985,""en"",""fr""))"),"")</f>
        <v/>
      </c>
    </row>
    <row r="986" spans="2:2">
      <c r="B986" s="3" t="str">
        <f ca="1">IFERROR(__xludf.DUMMYFUNCTION("IF(ISBLANK(A986),"""",GOOGLETRANSLATE(A986,""en"",""fr""))"),"")</f>
        <v/>
      </c>
    </row>
    <row r="987" spans="2:2">
      <c r="B987" s="3" t="str">
        <f ca="1">IFERROR(__xludf.DUMMYFUNCTION("IF(ISBLANK(A987),"""",GOOGLETRANSLATE(A987,""en"",""fr""))"),"")</f>
        <v/>
      </c>
    </row>
    <row r="988" spans="2:2">
      <c r="B988" s="3" t="str">
        <f ca="1">IFERROR(__xludf.DUMMYFUNCTION("IF(ISBLANK(A988),"""",GOOGLETRANSLATE(A988,""en"",""fr""))"),"")</f>
        <v/>
      </c>
    </row>
    <row r="989" spans="2:2">
      <c r="B989" s="3" t="str">
        <f ca="1">IFERROR(__xludf.DUMMYFUNCTION("IF(ISBLANK(A989),"""",GOOGLETRANSLATE(A989,""en"",""fr""))"),"")</f>
        <v/>
      </c>
    </row>
    <row r="990" spans="2:2">
      <c r="B990" s="3" t="str">
        <f ca="1">IFERROR(__xludf.DUMMYFUNCTION("IF(ISBLANK(A990),"""",GOOGLETRANSLATE(A990,""en"",""fr""))"),"")</f>
        <v/>
      </c>
    </row>
    <row r="991" spans="2:2">
      <c r="B991" s="3" t="str">
        <f ca="1">IFERROR(__xludf.DUMMYFUNCTION("IF(ISBLANK(A991),"""",GOOGLETRANSLATE(A991,""en"",""fr""))"),"")</f>
        <v/>
      </c>
    </row>
    <row r="992" spans="2:2">
      <c r="B992" s="3" t="str">
        <f ca="1">IFERROR(__xludf.DUMMYFUNCTION("IF(ISBLANK(A992),"""",GOOGLETRANSLATE(A992,""en"",""fr""))"),"")</f>
        <v/>
      </c>
    </row>
    <row r="993" spans="2:2">
      <c r="B993" s="3" t="str">
        <f ca="1">IFERROR(__xludf.DUMMYFUNCTION("IF(ISBLANK(A993),"""",GOOGLETRANSLATE(A993,""en"",""fr""))"),"")</f>
        <v/>
      </c>
    </row>
    <row r="994" spans="2:2">
      <c r="B994" s="3" t="str">
        <f ca="1">IFERROR(__xludf.DUMMYFUNCTION("IF(ISBLANK(A994),"""",GOOGLETRANSLATE(A994,""en"",""fr""))"),"")</f>
        <v/>
      </c>
    </row>
    <row r="995" spans="2:2">
      <c r="B995" s="3" t="str">
        <f ca="1">IFERROR(__xludf.DUMMYFUNCTION("IF(ISBLANK(A995),"""",GOOGLETRANSLATE(A995,""en"",""fr""))"),"")</f>
        <v/>
      </c>
    </row>
    <row r="996" spans="2:2">
      <c r="B996" s="3" t="str">
        <f ca="1">IFERROR(__xludf.DUMMYFUNCTION("IF(ISBLANK(A996),"""",GOOGLETRANSLATE(A996,""en"",""fr""))"),"")</f>
        <v/>
      </c>
    </row>
    <row r="997" spans="2:2">
      <c r="B997" s="3" t="str">
        <f ca="1">IFERROR(__xludf.DUMMYFUNCTION("IF(ISBLANK(A997),"""",GOOGLETRANSLATE(A997,""en"",""fr""))"),"")</f>
        <v/>
      </c>
    </row>
    <row r="998" spans="2:2">
      <c r="B998" s="3" t="str">
        <f ca="1">IFERROR(__xludf.DUMMYFUNCTION("IF(ISBLANK(A998),"""",GOOGLETRANSLATE(A998,""en"",""fr""))"),"")</f>
        <v/>
      </c>
    </row>
    <row r="999" spans="2:2">
      <c r="B999" s="3" t="str">
        <f ca="1">IFERROR(__xludf.DUMMYFUNCTION("IF(ISBLANK(A999),"""",GOOGLETRANSLATE(A999,""en"",""fr""))"),"")</f>
        <v/>
      </c>
    </row>
    <row r="1000" spans="2:2">
      <c r="B1000" s="3" t="str">
        <f ca="1">IFERROR(__xludf.DUMMYFUNCTION("IF(ISBLANK(A1000),"""",GOOGLETRANSLATE(A1000,""en"",""fr""))"),"")</f>
        <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B1000"/>
  <sheetViews>
    <sheetView workbookViewId="0"/>
  </sheetViews>
  <sheetFormatPr defaultColWidth="12.6640625" defaultRowHeight="15.75" customHeight="1"/>
  <cols>
    <col min="1" max="1" width="75.21875" customWidth="1"/>
  </cols>
  <sheetData>
    <row r="1" spans="1:2">
      <c r="A1" s="1" t="s">
        <v>0</v>
      </c>
      <c r="B1" s="1"/>
    </row>
    <row r="2" spans="1:2">
      <c r="A2" s="3" t="s">
        <v>153</v>
      </c>
      <c r="B2" s="3" t="str">
        <f ca="1">IFERROR(__xludf.DUMMYFUNCTION("IF(ISBLANK(A2),"""",GOOGLETRANSLATE(A2,""en"",""fr""))"),"Équipe de direction")</f>
        <v>Équipe de direction</v>
      </c>
    </row>
    <row r="3" spans="1:2">
      <c r="B3" s="3" t="str">
        <f ca="1">IFERROR(__xludf.DUMMYFUNCTION("IF(ISBLANK(A3),"""",GOOGLETRANSLATE(A3,""en"",""fr""))"),"")</f>
        <v/>
      </c>
    </row>
    <row r="4" spans="1:2">
      <c r="A4" s="3" t="s">
        <v>790</v>
      </c>
      <c r="B4" s="3" t="str">
        <f ca="1">IFERROR(__xludf.DUMMYFUNCTION("IF(ISBLANK(A4),"""",GOOGLETRANSLATE(A4,""en"",""fr""))"),"Mettre à profit des décennies d'expérience internationale dans les domaines de la technologie, de la finance et des opérations pour stimuler la croissance et l'innovation.")</f>
        <v>Mettre à profit des décennies d'expérience internationale dans les domaines de la technologie, de la finance et des opérations pour stimuler la croissance et l'innovation.</v>
      </c>
    </row>
    <row r="5" spans="1:2">
      <c r="A5" s="3" t="s">
        <v>779</v>
      </c>
      <c r="B5" s="3" t="str">
        <f ca="1">IFERROR(__xludf.DUMMYFUNCTION("IF(ISBLANK(A5),"""",GOOGLETRANSLATE(A5,""en"",""fr""))"),"Najeeb Ghauri")</f>
        <v>Najeeb Ghauri</v>
      </c>
    </row>
    <row r="6" spans="1:2">
      <c r="A6" s="3" t="s">
        <v>791</v>
      </c>
      <c r="B6" s="3" t="str">
        <f ca="1">IFERROR(__xludf.DUMMYFUNCTION("IF(ISBLANK(A6),"""",GOOGLETRANSLATE(A6,""en"",""fr""))"),"Fondateur, président et")</f>
        <v>Fondateur, président et</v>
      </c>
    </row>
    <row r="7" spans="1:2">
      <c r="A7" s="3" t="s">
        <v>792</v>
      </c>
      <c r="B7" s="3" t="str">
        <f ca="1">IFERROR(__xludf.DUMMYFUNCTION("IF(ISBLANK(A7),"""",GOOGLETRANSLATE(A7,""en"",""fr""))"),"Directeur général,")</f>
        <v>Directeur général,</v>
      </c>
    </row>
    <row r="8" spans="1:2">
      <c r="A8" s="3" t="s">
        <v>793</v>
      </c>
      <c r="B8" s="3" t="str">
        <f ca="1">IFERROR(__xludf.DUMMYFUNCTION("IF(ISBLANK(A8),"""",GOOGLETRANSLATE(A8,""en"",""fr""))"),"NETSOL Technologies, Inc.")</f>
        <v>NETSOL Technologies, Inc.</v>
      </c>
    </row>
    <row r="9" spans="1:2">
      <c r="A9" s="3" t="s">
        <v>781</v>
      </c>
      <c r="B9" s="3" t="str">
        <f ca="1">IFERROR(__xludf.DUMMYFUNCTION("IF(ISBLANK(A9),"""",GOOGLETRANSLATE(A9,""en"",""fr""))"),"Voir le profil")</f>
        <v>Voir le profil</v>
      </c>
    </row>
    <row r="10" spans="1:2">
      <c r="A10" s="3" t="s">
        <v>794</v>
      </c>
      <c r="B10" s="3" t="str">
        <f ca="1">IFERROR(__xludf.DUMMYFUNCTION("IF(ISBLANK(A10),"""",GOOGLETRANSLATE(A10,""en"",""fr""))"),"Naeem Ghauri")</f>
        <v>Naeem Ghauri</v>
      </c>
    </row>
    <row r="11" spans="1:2">
      <c r="A11" s="3" t="s">
        <v>795</v>
      </c>
      <c r="B11" s="3" t="str">
        <f ca="1">IFERROR(__xludf.DUMMYFUNCTION("IF(ISBLANK(A11),"""",GOOGLETRANSLATE(A11,""en"",""fr""))"),"Fondateur et président de")</f>
        <v>Fondateur et président de</v>
      </c>
    </row>
    <row r="12" spans="1:2">
      <c r="A12" s="3" t="s">
        <v>793</v>
      </c>
      <c r="B12" s="3" t="str">
        <f ca="1">IFERROR(__xludf.DUMMYFUNCTION("IF(ISBLANK(A12),"""",GOOGLETRANSLATE(A12,""en"",""fr""))"),"NETSOL Technologies, Inc.")</f>
        <v>NETSOL Technologies, Inc.</v>
      </c>
    </row>
    <row r="13" spans="1:2">
      <c r="B13" s="3" t="str">
        <f ca="1">IFERROR(__xludf.DUMMYFUNCTION("IF(ISBLANK(A13),"""",GOOGLETRANSLATE(A13,""en"",""fr""))"),"")</f>
        <v/>
      </c>
    </row>
    <row r="14" spans="1:2">
      <c r="A14" s="3" t="s">
        <v>796</v>
      </c>
      <c r="B14" s="3" t="str">
        <f ca="1">IFERROR(__xludf.DUMMYFUNCTION("IF(ISBLANK(A14),"""",GOOGLETRANSLATE(A14,""en"",""fr""))"),"Salim Ghauri")</f>
        <v>Salim Ghauri</v>
      </c>
    </row>
    <row r="15" spans="1:2">
      <c r="A15" s="3" t="s">
        <v>797</v>
      </c>
      <c r="B15" s="3" t="str">
        <f ca="1">IFERROR(__xludf.DUMMYFUNCTION("IF(ISBLANK(A15),"""",GOOGLETRANSLATE(A15,""en"",""fr""))"),"Fondateur et directeur général de NETSOL Technologies, LLC (Pakistan)")</f>
        <v>Fondateur et directeur général de NETSOL Technologies, LLC (Pakistan)</v>
      </c>
    </row>
    <row r="16" spans="1:2">
      <c r="B16" s="3" t="str">
        <f ca="1">IFERROR(__xludf.DUMMYFUNCTION("IF(ISBLANK(A16),"""",GOOGLETRANSLATE(A16,""en"",""fr""))"),"")</f>
        <v/>
      </c>
    </row>
    <row r="17" spans="1:2">
      <c r="A17" s="3" t="s">
        <v>798</v>
      </c>
      <c r="B17" s="3" t="str">
        <f ca="1">IFERROR(__xludf.DUMMYFUNCTION("IF(ISBLANK(A17),"""",GOOGLETRANSLATE(A17,""en"",""fr""))"),"Peter Minshall")</f>
        <v>Peter Minshall</v>
      </c>
    </row>
    <row r="18" spans="1:2">
      <c r="A18" s="3" t="s">
        <v>799</v>
      </c>
      <c r="B18" s="3" t="str">
        <f ca="1">IFERROR(__xludf.DUMMYFUNCTION("IF(ISBLANK(A18),"""",GOOGLETRANSLATE(A18,""en"",""fr""))"),"Vice-président exécutif")</f>
        <v>Vice-président exécutif</v>
      </c>
    </row>
    <row r="19" spans="1:2">
      <c r="A19" s="3" t="s">
        <v>800</v>
      </c>
      <c r="B19" s="3" t="str">
        <f ca="1">IFERROR(__xludf.DUMMYFUNCTION("IF(ISBLANK(A19),"""",GOOGLETRANSLATE(A19,""en"",""fr""))"),"Technologies NETSOL,")</f>
        <v>Technologies NETSOL,</v>
      </c>
    </row>
    <row r="20" spans="1:2">
      <c r="A20" s="3" t="s">
        <v>801</v>
      </c>
      <c r="B20" s="3" t="str">
        <f ca="1">IFERROR(__xludf.DUMMYFUNCTION("IF(ISBLANK(A20),"""",GOOGLETRANSLATE(A20,""en"",""fr""))"),"Amérique du Nord")</f>
        <v>Amérique du Nord</v>
      </c>
    </row>
    <row r="21" spans="1:2">
      <c r="B21" s="3" t="str">
        <f ca="1">IFERROR(__xludf.DUMMYFUNCTION("IF(ISBLANK(A21),"""",GOOGLETRANSLATE(A21,""en"",""fr""))"),"")</f>
        <v/>
      </c>
    </row>
    <row r="22" spans="1:2">
      <c r="A22" s="3" t="s">
        <v>802</v>
      </c>
      <c r="B22" s="3" t="str">
        <f ca="1">IFERROR(__xludf.DUMMYFUNCTION("IF(ISBLANK(A22),"""",GOOGLETRANSLATE(A22,""en"",""fr""))"),"Patti McGlasson")</f>
        <v>Patti McGlasson</v>
      </c>
    </row>
    <row r="23" spans="1:2">
      <c r="A23" s="3" t="s">
        <v>803</v>
      </c>
      <c r="B23" s="3" t="str">
        <f ca="1">IFERROR(__xludf.DUMMYFUNCTION("IF(ISBLANK(A23),"""",GOOGLETRANSLATE(A23,""en"",""fr""))"),"Vice-président principal des affaires juridiques et corporatives, conseiller juridique et secrétaire général, NETSOL Technologies Inc.")</f>
        <v>Vice-président principal des affaires juridiques et corporatives, conseiller juridique et secrétaire général, NETSOL Technologies Inc.</v>
      </c>
    </row>
    <row r="24" spans="1:2">
      <c r="B24" s="3" t="str">
        <f ca="1">IFERROR(__xludf.DUMMYFUNCTION("IF(ISBLANK(A24),"""",GOOGLETRANSLATE(A24,""en"",""fr""))"),"")</f>
        <v/>
      </c>
    </row>
    <row r="25" spans="1:2">
      <c r="A25" s="3" t="s">
        <v>804</v>
      </c>
      <c r="B25" s="3" t="str">
        <f ca="1">IFERROR(__xludf.DUMMYFUNCTION("IF(ISBLANK(A25),"""",GOOGLETRANSLATE(A25,""en"",""fr""))"),"Roger Almond")</f>
        <v>Roger Almond</v>
      </c>
    </row>
    <row r="26" spans="1:2">
      <c r="A26" s="3" t="s">
        <v>805</v>
      </c>
      <c r="B26" s="3" t="str">
        <f ca="1">IFERROR(__xludf.DUMMYFUNCTION("IF(ISBLANK(A26),"""",GOOGLETRANSLATE(A26,""en"",""fr""))"),"Directeur financier, NETSOL Technologies, Inc.")</f>
        <v>Directeur financier, NETSOL Technologies, Inc.</v>
      </c>
    </row>
    <row r="27" spans="1:2">
      <c r="B27" s="3" t="str">
        <f ca="1">IFERROR(__xludf.DUMMYFUNCTION("IF(ISBLANK(A27),"""",GOOGLETRANSLATE(A27,""en"",""fr""))"),"")</f>
        <v/>
      </c>
    </row>
    <row r="28" spans="1:2">
      <c r="A28" s="3" t="s">
        <v>806</v>
      </c>
      <c r="B28" s="3" t="str">
        <f ca="1">IFERROR(__xludf.DUMMYFUNCTION("IF(ISBLANK(A28),"""",GOOGLETRANSLATE(A28,""en"",""fr""))"),"Erik Wagner")</f>
        <v>Erik Wagner</v>
      </c>
    </row>
    <row r="29" spans="1:2">
      <c r="A29" s="3" t="s">
        <v>807</v>
      </c>
      <c r="B29" s="3" t="str">
        <f ca="1">IFERROR(__xludf.DUMMYFUNCTION("IF(ISBLANK(A29),"""",GOOGLETRANSLATE(A29,""en"",""fr""))"),"Directeur du marketing, NETSOL Technologies, Inc.")</f>
        <v>Directeur du marketing, NETSOL Technologies, Inc.</v>
      </c>
    </row>
    <row r="30" spans="1:2">
      <c r="B30" s="3" t="str">
        <f ca="1">IFERROR(__xludf.DUMMYFUNCTION("IF(ISBLANK(A30),"""",GOOGLETRANSLATE(A30,""en"",""fr""))"),"")</f>
        <v/>
      </c>
    </row>
    <row r="31" spans="1:2">
      <c r="A31" s="3" t="s">
        <v>808</v>
      </c>
      <c r="B31" s="3" t="str">
        <f ca="1">IFERROR(__xludf.DUMMYFUNCTION("IF(ISBLANK(A31),"""",GOOGLETRANSLATE(A31,""en"",""fr""))"),"Farooq Ghauri")</f>
        <v>Farooq Ghauri</v>
      </c>
    </row>
    <row r="32" spans="1:2">
      <c r="A32" s="3" t="s">
        <v>809</v>
      </c>
      <c r="B32" s="3" t="str">
        <f ca="1">IFERROR(__xludf.DUMMYFUNCTION("IF(ISBLANK(A32),"""",GOOGLETRANSLATE(A32,""en"",""fr""))"),"Responsable Asie-Pacifique, NETSOL Technologies, APAC")</f>
        <v>Responsable Asie-Pacifique, NETSOL Technologies, APAC</v>
      </c>
    </row>
    <row r="33" spans="1:2">
      <c r="B33" s="3" t="str">
        <f ca="1">IFERROR(__xludf.DUMMYFUNCTION("IF(ISBLANK(A33),"""",GOOGLETRANSLATE(A33,""en"",""fr""))"),"")</f>
        <v/>
      </c>
    </row>
    <row r="34" spans="1:2">
      <c r="A34" s="3" t="s">
        <v>810</v>
      </c>
      <c r="B34" s="3" t="str">
        <f ca="1">IFERROR(__xludf.DUMMYFUNCTION("IF(ISBLANK(A34),"""",GOOGLETRANSLATE(A34,""en"",""fr""))"),"Asad Ghauri")</f>
        <v>Asad Ghauri</v>
      </c>
    </row>
    <row r="35" spans="1:2">
      <c r="A35" s="3" t="s">
        <v>811</v>
      </c>
      <c r="B35" s="3" t="str">
        <f ca="1">IFERROR(__xludf.DUMMYFUNCTION("IF(ISBLANK(A35),"""",GOOGLETRANSLATE(A35,""en"",""fr""))"),"Directeur mondial des ventes et directeur général, NETSOL Technologies, Inc.")</f>
        <v>Directeur mondial des ventes et directeur général, NETSOL Technologies, Inc.</v>
      </c>
    </row>
    <row r="36" spans="1:2">
      <c r="B36" s="3" t="str">
        <f ca="1">IFERROR(__xludf.DUMMYFUNCTION("IF(ISBLANK(A36),"""",GOOGLETRANSLATE(A36,""en"",""fr""))"),"")</f>
        <v/>
      </c>
    </row>
    <row r="37" spans="1:2">
      <c r="A37" s="3" t="s">
        <v>812</v>
      </c>
      <c r="B37" s="3" t="str">
        <f ca="1">IFERROR(__xludf.DUMMYFUNCTION("IF(ISBLANK(A37),"""",GOOGLETRANSLATE(A37,""en"",""fr""))"),"Omar Qadri")</f>
        <v>Omar Qadri</v>
      </c>
    </row>
    <row r="38" spans="1:2">
      <c r="A38" s="3" t="s">
        <v>813</v>
      </c>
      <c r="B38" s="3" t="str">
        <f ca="1">IFERROR(__xludf.DUMMYFUNCTION("IF(ISBLANK(A38),"""",GOOGLETRANSLATE(A38,""en"",""fr""))"),"Directeur adjoint des ventes mondiales, NETSOL Technologies Inc.")</f>
        <v>Directeur adjoint des ventes mondiales, NETSOL Technologies Inc.</v>
      </c>
    </row>
    <row r="39" spans="1:2">
      <c r="B39" s="3" t="str">
        <f ca="1">IFERROR(__xludf.DUMMYFUNCTION("IF(ISBLANK(A39),"""",GOOGLETRANSLATE(A39,""en"",""fr""))"),"")</f>
        <v/>
      </c>
    </row>
    <row r="40" spans="1:2">
      <c r="A40" s="3" t="s">
        <v>814</v>
      </c>
      <c r="B40" s="3" t="str">
        <f ca="1">IFERROR(__xludf.DUMMYFUNCTION("IF(ISBLANK(A40),"""",GOOGLETRANSLATE(A40,""en"",""fr""))"),"Faizaan Ghauri")</f>
        <v>Faizaan Ghauri</v>
      </c>
    </row>
    <row r="41" spans="1:2">
      <c r="A41" s="3" t="s">
        <v>815</v>
      </c>
      <c r="B41" s="3" t="str">
        <f ca="1">IFERROR(__xludf.DUMMYFUNCTION("IF(ISBLANK(A41),"""",GOOGLETRANSLATE(A41,""en"",""fr""))"),"Directeur de la stratégie, NETSOL Technologies, Inc.")</f>
        <v>Directeur de la stratégie, NETSOL Technologies, Inc.</v>
      </c>
    </row>
    <row r="42" spans="1:2">
      <c r="B42" s="3" t="str">
        <f ca="1">IFERROR(__xludf.DUMMYFUNCTION("IF(ISBLANK(A42),"""",GOOGLETRANSLATE(A42,""en"",""fr""))"),"")</f>
        <v/>
      </c>
    </row>
    <row r="43" spans="1:2">
      <c r="A43" s="3" t="s">
        <v>816</v>
      </c>
      <c r="B43" s="3" t="str">
        <f ca="1">IFERROR(__xludf.DUMMYFUNCTION("IF(ISBLANK(A43),"""",GOOGLETRANSLATE(A43,""en"",""fr""))"),"Amanda Li Linjie")</f>
        <v>Amanda Li Linjie</v>
      </c>
    </row>
    <row r="44" spans="1:2">
      <c r="A44" s="3" t="s">
        <v>817</v>
      </c>
      <c r="B44" s="3" t="str">
        <f ca="1">IFERROR(__xludf.DUMMYFUNCTION("IF(ISBLANK(A44),"""",GOOGLETRANSLATE(A44,""en"",""fr""))"),"Président, NETSOL Technologies, Chine.")</f>
        <v>Président, NETSOL Technologies, Chine.</v>
      </c>
    </row>
    <row r="45" spans="1:2">
      <c r="B45" s="3" t="str">
        <f ca="1">IFERROR(__xludf.DUMMYFUNCTION("IF(ISBLANK(A45),"""",GOOGLETRANSLATE(A45,""en"",""fr""))"),"")</f>
        <v/>
      </c>
    </row>
    <row r="46" spans="1:2">
      <c r="A46" s="3" t="s">
        <v>818</v>
      </c>
      <c r="B46" s="3" t="str">
        <f ca="1">IFERROR(__xludf.DUMMYFUNCTION("IF(ISBLANK(A46),"""",GOOGLETRANSLATE(A46,""en"",""fr""))"),"Khurram S. Rana")</f>
        <v>Khurram S. Rana</v>
      </c>
    </row>
    <row r="47" spans="1:2">
      <c r="A47" s="3" t="s">
        <v>819</v>
      </c>
      <c r="B47" s="3" t="str">
        <f ca="1">IFERROR(__xludf.DUMMYFUNCTION("IF(ISBLANK(A47),"""",GOOGLETRANSLATE(A47,""en"",""fr""))"),"DRH mondial - NETSOL Technologies Inc.")</f>
        <v>DRH mondial - NETSOL Technologies Inc.</v>
      </c>
    </row>
    <row r="48" spans="1:2">
      <c r="B48" s="3" t="str">
        <f ca="1">IFERROR(__xludf.DUMMYFUNCTION("IF(ISBLANK(A48),"""",GOOGLETRANSLATE(A48,""en"",""fr""))"),"")</f>
        <v/>
      </c>
    </row>
    <row r="49" spans="1:2">
      <c r="A49" s="3" t="s">
        <v>820</v>
      </c>
      <c r="B49" s="3" t="str">
        <f ca="1">IFERROR(__xludf.DUMMYFUNCTION("IF(ISBLANK(A49),"""",GOOGLETRANSLATE(A49,""en"",""fr""))"),"Kamran Khalid")</f>
        <v>Kamran Khalid</v>
      </c>
    </row>
    <row r="50" spans="1:2">
      <c r="A50" s="3" t="s">
        <v>821</v>
      </c>
      <c r="B50" s="3" t="str">
        <f ca="1">IFERROR(__xludf.DUMMYFUNCTION("IF(ISBLANK(A50),"""",GOOGLETRANSLATE(A50,""en"",""fr""))"),"Directeur des produits et de la livraison, NETSOL Technology, Inc.")</f>
        <v>Directeur des produits et de la livraison, NETSOL Technology, Inc.</v>
      </c>
    </row>
    <row r="51" spans="1:2">
      <c r="B51" s="3" t="str">
        <f ca="1">IFERROR(__xludf.DUMMYFUNCTION("IF(ISBLANK(A51),"""",GOOGLETRANSLATE(A51,""en"",""fr""))"),"")</f>
        <v/>
      </c>
    </row>
    <row r="52" spans="1:2">
      <c r="A52" s="3" t="s">
        <v>822</v>
      </c>
      <c r="B52" s="3" t="str">
        <f ca="1">IFERROR(__xludf.DUMMYFUNCTION("IF(ISBLANK(A52),"""",GOOGLETRANSLATE(A52,""en"",""fr""))"),"Omar Ghauri")</f>
        <v>Omar Ghauri</v>
      </c>
    </row>
    <row r="53" spans="1:2">
      <c r="A53" s="3" t="s">
        <v>823</v>
      </c>
      <c r="B53" s="3" t="str">
        <f ca="1">IFERROR(__xludf.DUMMYFUNCTION("IF(ISBLANK(A53),"""",GOOGLETRANSLATE(A53,""en"",""fr""))"),"Directeur, chef de l'exploitation, NETSOL Technologies Ltd. Pakistan")</f>
        <v>Directeur, chef de l'exploitation, NETSOL Technologies Ltd. Pakistan</v>
      </c>
    </row>
    <row r="54" spans="1:2">
      <c r="B54" s="3" t="str">
        <f ca="1">IFERROR(__xludf.DUMMYFUNCTION("IF(ISBLANK(A54),"""",GOOGLETRANSLATE(A54,""en"",""fr""))"),"")</f>
        <v/>
      </c>
    </row>
    <row r="55" spans="1:2">
      <c r="A55" s="3" t="s">
        <v>108</v>
      </c>
      <c r="B55" s="3" t="str">
        <f ca="1">IFERROR(__xludf.DUMMYFUNCTION("IF(ISBLANK(A55),"""",GOOGLETRANSLATE(A55,""en"",""fr""))"),"Abonnez-vous à notre newsletter pour recevoir les dernières nouvelles dans votre boîte mail.")</f>
        <v>Abonnez-vous à notre newsletter pour recevoir les dernières nouvelles dans votre boîte mail.</v>
      </c>
    </row>
    <row r="56" spans="1:2">
      <c r="A56" s="3" t="s">
        <v>109</v>
      </c>
      <c r="B56" s="3" t="str">
        <f ca="1">IFERROR(__xludf.DUMMYFUNCTION("IF(ISBLANK(A56),"""",GOOGLETRANSLATE(A56,""en"",""fr""))"),"abc@exemple.com")</f>
        <v>abc@exemple.com</v>
      </c>
    </row>
    <row r="57" spans="1:2">
      <c r="A57" s="3" t="s">
        <v>110</v>
      </c>
      <c r="B57" s="3" t="str">
        <f ca="1">IFERROR(__xludf.DUMMYFUNCTION("IF(ISBLANK(A57),"""",GOOGLETRANSLATE(A57,""en"",""fr""))"),"S'abonner ")</f>
        <v xml:space="preserve">S'abonner </v>
      </c>
    </row>
    <row r="58" spans="1:2">
      <c r="B58" s="3" t="str">
        <f ca="1">IFERROR(__xludf.DUMMYFUNCTION("IF(ISBLANK(A58),"""",GOOGLETRANSLATE(A58,""en"",""fr""))"),"")</f>
        <v/>
      </c>
    </row>
    <row r="59" spans="1:2">
      <c r="B59" s="3" t="str">
        <f ca="1">IFERROR(__xludf.DUMMYFUNCTION("IF(ISBLANK(A59),"""",GOOGLETRANSLATE(A59,""en"",""fr""))"),"")</f>
        <v/>
      </c>
    </row>
    <row r="60" spans="1:2">
      <c r="B60" s="3" t="str">
        <f ca="1">IFERROR(__xludf.DUMMYFUNCTION("IF(ISBLANK(A60),"""",GOOGLETRANSLATE(A60,""en"",""fr""))"),"")</f>
        <v/>
      </c>
    </row>
    <row r="61" spans="1:2">
      <c r="B61" s="3" t="str">
        <f ca="1">IFERROR(__xludf.DUMMYFUNCTION("IF(ISBLANK(A61),"""",GOOGLETRANSLATE(A61,""en"",""fr""))"),"")</f>
        <v/>
      </c>
    </row>
    <row r="62" spans="1:2">
      <c r="B62" s="3" t="str">
        <f ca="1">IFERROR(__xludf.DUMMYFUNCTION("IF(ISBLANK(A62),"""",GOOGLETRANSLATE(A62,""en"",""fr""))"),"")</f>
        <v/>
      </c>
    </row>
    <row r="63" spans="1:2">
      <c r="B63" s="3" t="str">
        <f ca="1">IFERROR(__xludf.DUMMYFUNCTION("IF(ISBLANK(A63),"""",GOOGLETRANSLATE(A63,""en"",""fr""))"),"")</f>
        <v/>
      </c>
    </row>
    <row r="64" spans="1:2">
      <c r="B64" s="3" t="str">
        <f ca="1">IFERROR(__xludf.DUMMYFUNCTION("IF(ISBLANK(A64),"""",GOOGLETRANSLATE(A64,""en"",""fr""))"),"")</f>
        <v/>
      </c>
    </row>
    <row r="65" spans="2:2">
      <c r="B65" s="3" t="str">
        <f ca="1">IFERROR(__xludf.DUMMYFUNCTION("IF(ISBLANK(A65),"""",GOOGLETRANSLATE(A65,""en"",""fr""))"),"")</f>
        <v/>
      </c>
    </row>
    <row r="66" spans="2:2">
      <c r="B66" s="3" t="str">
        <f ca="1">IFERROR(__xludf.DUMMYFUNCTION("IF(ISBLANK(A66),"""",GOOGLETRANSLATE(A66,""en"",""fr""))"),"")</f>
        <v/>
      </c>
    </row>
    <row r="67" spans="2:2">
      <c r="B67" s="3" t="str">
        <f ca="1">IFERROR(__xludf.DUMMYFUNCTION("IF(ISBLANK(A67),"""",GOOGLETRANSLATE(A67,""en"",""fr""))"),"")</f>
        <v/>
      </c>
    </row>
    <row r="68" spans="2:2">
      <c r="B68" s="3" t="str">
        <f ca="1">IFERROR(__xludf.DUMMYFUNCTION("IF(ISBLANK(A68),"""",GOOGLETRANSLATE(A68,""en"",""fr""))"),"")</f>
        <v/>
      </c>
    </row>
    <row r="69" spans="2:2">
      <c r="B69" s="3" t="str">
        <f ca="1">IFERROR(__xludf.DUMMYFUNCTION("IF(ISBLANK(A69),"""",GOOGLETRANSLATE(A69,""en"",""fr""))"),"")</f>
        <v/>
      </c>
    </row>
    <row r="70" spans="2:2">
      <c r="B70" s="3" t="str">
        <f ca="1">IFERROR(__xludf.DUMMYFUNCTION("IF(ISBLANK(A70),"""",GOOGLETRANSLATE(A70,""en"",""fr""))"),"")</f>
        <v/>
      </c>
    </row>
    <row r="71" spans="2:2">
      <c r="B71" s="3" t="str">
        <f ca="1">IFERROR(__xludf.DUMMYFUNCTION("IF(ISBLANK(A71),"""",GOOGLETRANSLATE(A71,""en"",""fr""))"),"")</f>
        <v/>
      </c>
    </row>
    <row r="72" spans="2:2">
      <c r="B72" s="3" t="str">
        <f ca="1">IFERROR(__xludf.DUMMYFUNCTION("IF(ISBLANK(A72),"""",GOOGLETRANSLATE(A72,""en"",""fr""))"),"")</f>
        <v/>
      </c>
    </row>
    <row r="73" spans="2:2">
      <c r="B73" s="3" t="str">
        <f ca="1">IFERROR(__xludf.DUMMYFUNCTION("IF(ISBLANK(A73),"""",GOOGLETRANSLATE(A73,""en"",""fr""))"),"")</f>
        <v/>
      </c>
    </row>
    <row r="74" spans="2:2">
      <c r="B74" s="3" t="str">
        <f ca="1">IFERROR(__xludf.DUMMYFUNCTION("IF(ISBLANK(A74),"""",GOOGLETRANSLATE(A74,""en"",""fr""))"),"")</f>
        <v/>
      </c>
    </row>
    <row r="75" spans="2:2">
      <c r="B75" s="3" t="str">
        <f ca="1">IFERROR(__xludf.DUMMYFUNCTION("IF(ISBLANK(A75),"""",GOOGLETRANSLATE(A75,""en"",""fr""))"),"")</f>
        <v/>
      </c>
    </row>
    <row r="76" spans="2:2">
      <c r="B76" s="3" t="str">
        <f ca="1">IFERROR(__xludf.DUMMYFUNCTION("IF(ISBLANK(A76),"""",GOOGLETRANSLATE(A76,""en"",""fr""))"),"")</f>
        <v/>
      </c>
    </row>
    <row r="77" spans="2:2">
      <c r="B77" s="3" t="str">
        <f ca="1">IFERROR(__xludf.DUMMYFUNCTION("IF(ISBLANK(A77),"""",GOOGLETRANSLATE(A77,""en"",""fr""))"),"")</f>
        <v/>
      </c>
    </row>
    <row r="78" spans="2:2">
      <c r="B78" s="3" t="str">
        <f ca="1">IFERROR(__xludf.DUMMYFUNCTION("IF(ISBLANK(A78),"""",GOOGLETRANSLATE(A78,""en"",""fr""))"),"")</f>
        <v/>
      </c>
    </row>
    <row r="79" spans="2:2">
      <c r="B79" s="3" t="str">
        <f ca="1">IFERROR(__xludf.DUMMYFUNCTION("IF(ISBLANK(A79),"""",GOOGLETRANSLATE(A79,""en"",""fr""))"),"")</f>
        <v/>
      </c>
    </row>
    <row r="80" spans="2:2">
      <c r="B80" s="3" t="str">
        <f ca="1">IFERROR(__xludf.DUMMYFUNCTION("IF(ISBLANK(A80),"""",GOOGLETRANSLATE(A80,""en"",""fr""))"),"")</f>
        <v/>
      </c>
    </row>
    <row r="81" spans="2:2">
      <c r="B81" s="3" t="str">
        <f ca="1">IFERROR(__xludf.DUMMYFUNCTION("IF(ISBLANK(A81),"""",GOOGLETRANSLATE(A81,""en"",""fr""))"),"")</f>
        <v/>
      </c>
    </row>
    <row r="82" spans="2:2">
      <c r="B82" s="3" t="str">
        <f ca="1">IFERROR(__xludf.DUMMYFUNCTION("IF(ISBLANK(A82),"""",GOOGLETRANSLATE(A82,""en"",""fr""))"),"")</f>
        <v/>
      </c>
    </row>
    <row r="83" spans="2:2">
      <c r="B83" s="3" t="str">
        <f ca="1">IFERROR(__xludf.DUMMYFUNCTION("IF(ISBLANK(A83),"""",GOOGLETRANSLATE(A83,""en"",""fr""))"),"")</f>
        <v/>
      </c>
    </row>
    <row r="84" spans="2:2">
      <c r="B84" s="3" t="str">
        <f ca="1">IFERROR(__xludf.DUMMYFUNCTION("IF(ISBLANK(A84),"""",GOOGLETRANSLATE(A84,""en"",""fr""))"),"")</f>
        <v/>
      </c>
    </row>
    <row r="85" spans="2:2">
      <c r="B85" s="3" t="str">
        <f ca="1">IFERROR(__xludf.DUMMYFUNCTION("IF(ISBLANK(A85),"""",GOOGLETRANSLATE(A85,""en"",""fr""))"),"")</f>
        <v/>
      </c>
    </row>
    <row r="86" spans="2:2">
      <c r="B86" s="3" t="str">
        <f ca="1">IFERROR(__xludf.DUMMYFUNCTION("IF(ISBLANK(A86),"""",GOOGLETRANSLATE(A86,""en"",""fr""))"),"")</f>
        <v/>
      </c>
    </row>
    <row r="87" spans="2:2">
      <c r="B87" s="3" t="str">
        <f ca="1">IFERROR(__xludf.DUMMYFUNCTION("IF(ISBLANK(A87),"""",GOOGLETRANSLATE(A87,""en"",""fr""))"),"")</f>
        <v/>
      </c>
    </row>
    <row r="88" spans="2:2">
      <c r="B88" s="3" t="str">
        <f ca="1">IFERROR(__xludf.DUMMYFUNCTION("IF(ISBLANK(A88),"""",GOOGLETRANSLATE(A88,""en"",""fr""))"),"")</f>
        <v/>
      </c>
    </row>
    <row r="89" spans="2:2">
      <c r="B89" s="3" t="str">
        <f ca="1">IFERROR(__xludf.DUMMYFUNCTION("IF(ISBLANK(A89),"""",GOOGLETRANSLATE(A89,""en"",""fr""))"),"")</f>
        <v/>
      </c>
    </row>
    <row r="90" spans="2:2">
      <c r="B90" s="3" t="str">
        <f ca="1">IFERROR(__xludf.DUMMYFUNCTION("IF(ISBLANK(A90),"""",GOOGLETRANSLATE(A90,""en"",""fr""))"),"")</f>
        <v/>
      </c>
    </row>
    <row r="91" spans="2:2">
      <c r="B91" s="3" t="str">
        <f ca="1">IFERROR(__xludf.DUMMYFUNCTION("IF(ISBLANK(A91),"""",GOOGLETRANSLATE(A91,""en"",""fr""))"),"")</f>
        <v/>
      </c>
    </row>
    <row r="92" spans="2:2">
      <c r="B92" s="3" t="str">
        <f ca="1">IFERROR(__xludf.DUMMYFUNCTION("IF(ISBLANK(A92),"""",GOOGLETRANSLATE(A92,""en"",""fr""))"),"")</f>
        <v/>
      </c>
    </row>
    <row r="93" spans="2:2">
      <c r="B93" s="3" t="str">
        <f ca="1">IFERROR(__xludf.DUMMYFUNCTION("IF(ISBLANK(A93),"""",GOOGLETRANSLATE(A93,""en"",""fr""))"),"")</f>
        <v/>
      </c>
    </row>
    <row r="94" spans="2:2">
      <c r="B94" s="3" t="str">
        <f ca="1">IFERROR(__xludf.DUMMYFUNCTION("IF(ISBLANK(A94),"""",GOOGLETRANSLATE(A94,""en"",""fr""))"),"")</f>
        <v/>
      </c>
    </row>
    <row r="95" spans="2:2">
      <c r="B95" s="3" t="str">
        <f ca="1">IFERROR(__xludf.DUMMYFUNCTION("IF(ISBLANK(A95),"""",GOOGLETRANSLATE(A95,""en"",""fr""))"),"")</f>
        <v/>
      </c>
    </row>
    <row r="96" spans="2:2">
      <c r="B96" s="3" t="str">
        <f ca="1">IFERROR(__xludf.DUMMYFUNCTION("IF(ISBLANK(A96),"""",GOOGLETRANSLATE(A96,""en"",""fr""))"),"")</f>
        <v/>
      </c>
    </row>
    <row r="97" spans="2:2">
      <c r="B97" s="3" t="str">
        <f ca="1">IFERROR(__xludf.DUMMYFUNCTION("IF(ISBLANK(A97),"""",GOOGLETRANSLATE(A97,""en"",""fr""))"),"")</f>
        <v/>
      </c>
    </row>
    <row r="98" spans="2:2">
      <c r="B98" s="3" t="str">
        <f ca="1">IFERROR(__xludf.DUMMYFUNCTION("IF(ISBLANK(A98),"""",GOOGLETRANSLATE(A98,""en"",""fr""))"),"")</f>
        <v/>
      </c>
    </row>
    <row r="99" spans="2:2">
      <c r="B99" s="3" t="str">
        <f ca="1">IFERROR(__xludf.DUMMYFUNCTION("IF(ISBLANK(A99),"""",GOOGLETRANSLATE(A99,""en"",""fr""))"),"")</f>
        <v/>
      </c>
    </row>
    <row r="100" spans="2:2">
      <c r="B100" s="3" t="str">
        <f ca="1">IFERROR(__xludf.DUMMYFUNCTION("IF(ISBLANK(A100),"""",GOOGLETRANSLATE(A100,""en"",""fr""))"),"")</f>
        <v/>
      </c>
    </row>
    <row r="101" spans="2:2">
      <c r="B101" s="3" t="str">
        <f ca="1">IFERROR(__xludf.DUMMYFUNCTION("IF(ISBLANK(A101),"""",GOOGLETRANSLATE(A101,""en"",""fr""))"),"")</f>
        <v/>
      </c>
    </row>
    <row r="102" spans="2:2">
      <c r="B102" s="3" t="str">
        <f ca="1">IFERROR(__xludf.DUMMYFUNCTION("IF(ISBLANK(A102),"""",GOOGLETRANSLATE(A102,""en"",""fr""))"),"")</f>
        <v/>
      </c>
    </row>
    <row r="103" spans="2:2">
      <c r="B103" s="3" t="str">
        <f ca="1">IFERROR(__xludf.DUMMYFUNCTION("IF(ISBLANK(A103),"""",GOOGLETRANSLATE(A103,""en"",""fr""))"),"")</f>
        <v/>
      </c>
    </row>
    <row r="104" spans="2:2">
      <c r="B104" s="3" t="str">
        <f ca="1">IFERROR(__xludf.DUMMYFUNCTION("IF(ISBLANK(A104),"""",GOOGLETRANSLATE(A104,""en"",""fr""))"),"")</f>
        <v/>
      </c>
    </row>
    <row r="105" spans="2:2">
      <c r="B105" s="3" t="str">
        <f ca="1">IFERROR(__xludf.DUMMYFUNCTION("IF(ISBLANK(A105),"""",GOOGLETRANSLATE(A105,""en"",""fr""))"),"")</f>
        <v/>
      </c>
    </row>
    <row r="106" spans="2:2">
      <c r="B106" s="3" t="str">
        <f ca="1">IFERROR(__xludf.DUMMYFUNCTION("IF(ISBLANK(A106),"""",GOOGLETRANSLATE(A106,""en"",""fr""))"),"")</f>
        <v/>
      </c>
    </row>
    <row r="107" spans="2:2">
      <c r="B107" s="3" t="str">
        <f ca="1">IFERROR(__xludf.DUMMYFUNCTION("IF(ISBLANK(A107),"""",GOOGLETRANSLATE(A107,""en"",""fr""))"),"")</f>
        <v/>
      </c>
    </row>
    <row r="108" spans="2:2">
      <c r="B108" s="3" t="str">
        <f ca="1">IFERROR(__xludf.DUMMYFUNCTION("IF(ISBLANK(A108),"""",GOOGLETRANSLATE(A108,""en"",""fr""))"),"")</f>
        <v/>
      </c>
    </row>
    <row r="109" spans="2:2">
      <c r="B109" s="3" t="str">
        <f ca="1">IFERROR(__xludf.DUMMYFUNCTION("IF(ISBLANK(A109),"""",GOOGLETRANSLATE(A109,""en"",""fr""))"),"")</f>
        <v/>
      </c>
    </row>
    <row r="110" spans="2:2">
      <c r="B110" s="3" t="str">
        <f ca="1">IFERROR(__xludf.DUMMYFUNCTION("IF(ISBLANK(A110),"""",GOOGLETRANSLATE(A110,""en"",""fr""))"),"")</f>
        <v/>
      </c>
    </row>
    <row r="111" spans="2:2">
      <c r="B111" s="3" t="str">
        <f ca="1">IFERROR(__xludf.DUMMYFUNCTION("IF(ISBLANK(A111),"""",GOOGLETRANSLATE(A111,""en"",""fr""))"),"")</f>
        <v/>
      </c>
    </row>
    <row r="112" spans="2:2">
      <c r="B112" s="3" t="str">
        <f ca="1">IFERROR(__xludf.DUMMYFUNCTION("IF(ISBLANK(A112),"""",GOOGLETRANSLATE(A112,""en"",""fr""))"),"")</f>
        <v/>
      </c>
    </row>
    <row r="113" spans="2:2">
      <c r="B113" s="3" t="str">
        <f ca="1">IFERROR(__xludf.DUMMYFUNCTION("IF(ISBLANK(A113),"""",GOOGLETRANSLATE(A113,""en"",""fr""))"),"")</f>
        <v/>
      </c>
    </row>
    <row r="114" spans="2:2">
      <c r="B114" s="3" t="str">
        <f ca="1">IFERROR(__xludf.DUMMYFUNCTION("IF(ISBLANK(A114),"""",GOOGLETRANSLATE(A114,""en"",""fr""))"),"")</f>
        <v/>
      </c>
    </row>
    <row r="115" spans="2:2">
      <c r="B115" s="3" t="str">
        <f ca="1">IFERROR(__xludf.DUMMYFUNCTION("IF(ISBLANK(A115),"""",GOOGLETRANSLATE(A115,""en"",""fr""))"),"")</f>
        <v/>
      </c>
    </row>
    <row r="116" spans="2:2">
      <c r="B116" s="3" t="str">
        <f ca="1">IFERROR(__xludf.DUMMYFUNCTION("IF(ISBLANK(A116),"""",GOOGLETRANSLATE(A116,""en"",""fr""))"),"")</f>
        <v/>
      </c>
    </row>
    <row r="117" spans="2:2">
      <c r="B117" s="3" t="str">
        <f ca="1">IFERROR(__xludf.DUMMYFUNCTION("IF(ISBLANK(A117),"""",GOOGLETRANSLATE(A117,""en"",""fr""))"),"")</f>
        <v/>
      </c>
    </row>
    <row r="118" spans="2:2">
      <c r="B118" s="3" t="str">
        <f ca="1">IFERROR(__xludf.DUMMYFUNCTION("IF(ISBLANK(A118),"""",GOOGLETRANSLATE(A118,""en"",""fr""))"),"")</f>
        <v/>
      </c>
    </row>
    <row r="119" spans="2:2">
      <c r="B119" s="3" t="str">
        <f ca="1">IFERROR(__xludf.DUMMYFUNCTION("IF(ISBLANK(A119),"""",GOOGLETRANSLATE(A119,""en"",""fr""))"),"")</f>
        <v/>
      </c>
    </row>
    <row r="120" spans="2:2">
      <c r="B120" s="3" t="str">
        <f ca="1">IFERROR(__xludf.DUMMYFUNCTION("IF(ISBLANK(A120),"""",GOOGLETRANSLATE(A120,""en"",""fr""))"),"")</f>
        <v/>
      </c>
    </row>
    <row r="121" spans="2:2">
      <c r="B121" s="3" t="str">
        <f ca="1">IFERROR(__xludf.DUMMYFUNCTION("IF(ISBLANK(A121),"""",GOOGLETRANSLATE(A121,""en"",""fr""))"),"")</f>
        <v/>
      </c>
    </row>
    <row r="122" spans="2:2">
      <c r="B122" s="3" t="str">
        <f ca="1">IFERROR(__xludf.DUMMYFUNCTION("IF(ISBLANK(A122),"""",GOOGLETRANSLATE(A122,""en"",""fr""))"),"")</f>
        <v/>
      </c>
    </row>
    <row r="123" spans="2:2">
      <c r="B123" s="3" t="str">
        <f ca="1">IFERROR(__xludf.DUMMYFUNCTION("IF(ISBLANK(A123),"""",GOOGLETRANSLATE(A123,""en"",""fr""))"),"")</f>
        <v/>
      </c>
    </row>
    <row r="124" spans="2:2">
      <c r="B124" s="3" t="str">
        <f ca="1">IFERROR(__xludf.DUMMYFUNCTION("IF(ISBLANK(A124),"""",GOOGLETRANSLATE(A124,""en"",""fr""))"),"")</f>
        <v/>
      </c>
    </row>
    <row r="125" spans="2:2">
      <c r="B125" s="3" t="str">
        <f ca="1">IFERROR(__xludf.DUMMYFUNCTION("IF(ISBLANK(A125),"""",GOOGLETRANSLATE(A125,""en"",""fr""))"),"")</f>
        <v/>
      </c>
    </row>
    <row r="126" spans="2:2">
      <c r="B126" s="3" t="str">
        <f ca="1">IFERROR(__xludf.DUMMYFUNCTION("IF(ISBLANK(A126),"""",GOOGLETRANSLATE(A126,""en"",""fr""))"),"")</f>
        <v/>
      </c>
    </row>
    <row r="127" spans="2:2">
      <c r="B127" s="3" t="str">
        <f ca="1">IFERROR(__xludf.DUMMYFUNCTION("IF(ISBLANK(A127),"""",GOOGLETRANSLATE(A127,""en"",""fr""))"),"")</f>
        <v/>
      </c>
    </row>
    <row r="128" spans="2:2">
      <c r="B128" s="3" t="str">
        <f ca="1">IFERROR(__xludf.DUMMYFUNCTION("IF(ISBLANK(A128),"""",GOOGLETRANSLATE(A128,""en"",""fr""))"),"")</f>
        <v/>
      </c>
    </row>
    <row r="129" spans="2:2">
      <c r="B129" s="3" t="str">
        <f ca="1">IFERROR(__xludf.DUMMYFUNCTION("IF(ISBLANK(A129),"""",GOOGLETRANSLATE(A129,""en"",""fr""))"),"")</f>
        <v/>
      </c>
    </row>
    <row r="130" spans="2:2">
      <c r="B130" s="3" t="str">
        <f ca="1">IFERROR(__xludf.DUMMYFUNCTION("IF(ISBLANK(A130),"""",GOOGLETRANSLATE(A130,""en"",""fr""))"),"")</f>
        <v/>
      </c>
    </row>
    <row r="131" spans="2:2">
      <c r="B131" s="3" t="str">
        <f ca="1">IFERROR(__xludf.DUMMYFUNCTION("IF(ISBLANK(A131),"""",GOOGLETRANSLATE(A131,""en"",""fr""))"),"")</f>
        <v/>
      </c>
    </row>
    <row r="132" spans="2:2">
      <c r="B132" s="3" t="str">
        <f ca="1">IFERROR(__xludf.DUMMYFUNCTION("IF(ISBLANK(A132),"""",GOOGLETRANSLATE(A132,""en"",""fr""))"),"")</f>
        <v/>
      </c>
    </row>
    <row r="133" spans="2:2">
      <c r="B133" s="3" t="str">
        <f ca="1">IFERROR(__xludf.DUMMYFUNCTION("IF(ISBLANK(A133),"""",GOOGLETRANSLATE(A133,""en"",""fr""))"),"")</f>
        <v/>
      </c>
    </row>
    <row r="134" spans="2:2">
      <c r="B134" s="3" t="str">
        <f ca="1">IFERROR(__xludf.DUMMYFUNCTION("IF(ISBLANK(A134),"""",GOOGLETRANSLATE(A134,""en"",""fr""))"),"")</f>
        <v/>
      </c>
    </row>
    <row r="135" spans="2:2">
      <c r="B135" s="3" t="str">
        <f ca="1">IFERROR(__xludf.DUMMYFUNCTION("IF(ISBLANK(A135),"""",GOOGLETRANSLATE(A135,""en"",""fr""))"),"")</f>
        <v/>
      </c>
    </row>
    <row r="136" spans="2:2">
      <c r="B136" s="3" t="str">
        <f ca="1">IFERROR(__xludf.DUMMYFUNCTION("IF(ISBLANK(A136),"""",GOOGLETRANSLATE(A136,""en"",""fr""))"),"")</f>
        <v/>
      </c>
    </row>
    <row r="137" spans="2:2">
      <c r="B137" s="3" t="str">
        <f ca="1">IFERROR(__xludf.DUMMYFUNCTION("IF(ISBLANK(A137),"""",GOOGLETRANSLATE(A137,""en"",""fr""))"),"")</f>
        <v/>
      </c>
    </row>
    <row r="138" spans="2:2">
      <c r="B138" s="3" t="str">
        <f ca="1">IFERROR(__xludf.DUMMYFUNCTION("IF(ISBLANK(A138),"""",GOOGLETRANSLATE(A138,""en"",""fr""))"),"")</f>
        <v/>
      </c>
    </row>
    <row r="139" spans="2:2">
      <c r="B139" s="3" t="str">
        <f ca="1">IFERROR(__xludf.DUMMYFUNCTION("IF(ISBLANK(A139),"""",GOOGLETRANSLATE(A139,""en"",""fr""))"),"")</f>
        <v/>
      </c>
    </row>
    <row r="140" spans="2:2">
      <c r="B140" s="3" t="str">
        <f ca="1">IFERROR(__xludf.DUMMYFUNCTION("IF(ISBLANK(A140),"""",GOOGLETRANSLATE(A140,""en"",""fr""))"),"")</f>
        <v/>
      </c>
    </row>
    <row r="141" spans="2:2">
      <c r="B141" s="3" t="str">
        <f ca="1">IFERROR(__xludf.DUMMYFUNCTION("IF(ISBLANK(A141),"""",GOOGLETRANSLATE(A141,""en"",""fr""))"),"")</f>
        <v/>
      </c>
    </row>
    <row r="142" spans="2:2">
      <c r="B142" s="3" t="str">
        <f ca="1">IFERROR(__xludf.DUMMYFUNCTION("IF(ISBLANK(A142),"""",GOOGLETRANSLATE(A142,""en"",""fr""))"),"")</f>
        <v/>
      </c>
    </row>
    <row r="143" spans="2:2">
      <c r="B143" s="3" t="str">
        <f ca="1">IFERROR(__xludf.DUMMYFUNCTION("IF(ISBLANK(A143),"""",GOOGLETRANSLATE(A143,""en"",""fr""))"),"")</f>
        <v/>
      </c>
    </row>
    <row r="144" spans="2:2">
      <c r="B144" s="3" t="str">
        <f ca="1">IFERROR(__xludf.DUMMYFUNCTION("IF(ISBLANK(A144),"""",GOOGLETRANSLATE(A144,""en"",""fr""))"),"")</f>
        <v/>
      </c>
    </row>
    <row r="145" spans="2:2">
      <c r="B145" s="3" t="str">
        <f ca="1">IFERROR(__xludf.DUMMYFUNCTION("IF(ISBLANK(A145),"""",GOOGLETRANSLATE(A145,""en"",""fr""))"),"")</f>
        <v/>
      </c>
    </row>
    <row r="146" spans="2:2">
      <c r="B146" s="3" t="str">
        <f ca="1">IFERROR(__xludf.DUMMYFUNCTION("IF(ISBLANK(A146),"""",GOOGLETRANSLATE(A146,""en"",""fr""))"),"")</f>
        <v/>
      </c>
    </row>
    <row r="147" spans="2:2">
      <c r="B147" s="3" t="str">
        <f ca="1">IFERROR(__xludf.DUMMYFUNCTION("IF(ISBLANK(A147),"""",GOOGLETRANSLATE(A147,""en"",""fr""))"),"")</f>
        <v/>
      </c>
    </row>
    <row r="148" spans="2:2">
      <c r="B148" s="3" t="str">
        <f ca="1">IFERROR(__xludf.DUMMYFUNCTION("IF(ISBLANK(A148),"""",GOOGLETRANSLATE(A148,""en"",""fr""))"),"")</f>
        <v/>
      </c>
    </row>
    <row r="149" spans="2:2">
      <c r="B149" s="3" t="str">
        <f ca="1">IFERROR(__xludf.DUMMYFUNCTION("IF(ISBLANK(A149),"""",GOOGLETRANSLATE(A149,""en"",""fr""))"),"")</f>
        <v/>
      </c>
    </row>
    <row r="150" spans="2:2">
      <c r="B150" s="3" t="str">
        <f ca="1">IFERROR(__xludf.DUMMYFUNCTION("IF(ISBLANK(A150),"""",GOOGLETRANSLATE(A150,""en"",""fr""))"),"")</f>
        <v/>
      </c>
    </row>
    <row r="151" spans="2:2">
      <c r="B151" s="3" t="str">
        <f ca="1">IFERROR(__xludf.DUMMYFUNCTION("IF(ISBLANK(A151),"""",GOOGLETRANSLATE(A151,""en"",""fr""))"),"")</f>
        <v/>
      </c>
    </row>
    <row r="152" spans="2:2">
      <c r="B152" s="3" t="str">
        <f ca="1">IFERROR(__xludf.DUMMYFUNCTION("IF(ISBLANK(A152),"""",GOOGLETRANSLATE(A152,""en"",""fr""))"),"")</f>
        <v/>
      </c>
    </row>
    <row r="153" spans="2:2">
      <c r="B153" s="3" t="str">
        <f ca="1">IFERROR(__xludf.DUMMYFUNCTION("IF(ISBLANK(A153),"""",GOOGLETRANSLATE(A153,""en"",""fr""))"),"")</f>
        <v/>
      </c>
    </row>
    <row r="154" spans="2:2">
      <c r="B154" s="3" t="str">
        <f ca="1">IFERROR(__xludf.DUMMYFUNCTION("IF(ISBLANK(A154),"""",GOOGLETRANSLATE(A154,""en"",""fr""))"),"")</f>
        <v/>
      </c>
    </row>
    <row r="155" spans="2:2">
      <c r="B155" s="3" t="str">
        <f ca="1">IFERROR(__xludf.DUMMYFUNCTION("IF(ISBLANK(A155),"""",GOOGLETRANSLATE(A155,""en"",""fr""))"),"")</f>
        <v/>
      </c>
    </row>
    <row r="156" spans="2:2">
      <c r="B156" s="3" t="str">
        <f ca="1">IFERROR(__xludf.DUMMYFUNCTION("IF(ISBLANK(A156),"""",GOOGLETRANSLATE(A156,""en"",""fr""))"),"")</f>
        <v/>
      </c>
    </row>
    <row r="157" spans="2:2">
      <c r="B157" s="3" t="str">
        <f ca="1">IFERROR(__xludf.DUMMYFUNCTION("IF(ISBLANK(A157),"""",GOOGLETRANSLATE(A157,""en"",""fr""))"),"")</f>
        <v/>
      </c>
    </row>
    <row r="158" spans="2:2">
      <c r="B158" s="3" t="str">
        <f ca="1">IFERROR(__xludf.DUMMYFUNCTION("IF(ISBLANK(A158),"""",GOOGLETRANSLATE(A158,""en"",""fr""))"),"")</f>
        <v/>
      </c>
    </row>
    <row r="159" spans="2:2">
      <c r="B159" s="3" t="str">
        <f ca="1">IFERROR(__xludf.DUMMYFUNCTION("IF(ISBLANK(A159),"""",GOOGLETRANSLATE(A159,""en"",""fr""))"),"")</f>
        <v/>
      </c>
    </row>
    <row r="160" spans="2:2">
      <c r="B160" s="3" t="str">
        <f ca="1">IFERROR(__xludf.DUMMYFUNCTION("IF(ISBLANK(A160),"""",GOOGLETRANSLATE(A160,""en"",""fr""))"),"")</f>
        <v/>
      </c>
    </row>
    <row r="161" spans="2:2">
      <c r="B161" s="3" t="str">
        <f ca="1">IFERROR(__xludf.DUMMYFUNCTION("IF(ISBLANK(A161),"""",GOOGLETRANSLATE(A161,""en"",""fr""))"),"")</f>
        <v/>
      </c>
    </row>
    <row r="162" spans="2:2">
      <c r="B162" s="3" t="str">
        <f ca="1">IFERROR(__xludf.DUMMYFUNCTION("IF(ISBLANK(A162),"""",GOOGLETRANSLATE(A162,""en"",""fr""))"),"")</f>
        <v/>
      </c>
    </row>
    <row r="163" spans="2:2">
      <c r="B163" s="3" t="str">
        <f ca="1">IFERROR(__xludf.DUMMYFUNCTION("IF(ISBLANK(A163),"""",GOOGLETRANSLATE(A163,""en"",""fr""))"),"")</f>
        <v/>
      </c>
    </row>
    <row r="164" spans="2:2">
      <c r="B164" s="3" t="str">
        <f ca="1">IFERROR(__xludf.DUMMYFUNCTION("IF(ISBLANK(A164),"""",GOOGLETRANSLATE(A164,""en"",""fr""))"),"")</f>
        <v/>
      </c>
    </row>
    <row r="165" spans="2:2">
      <c r="B165" s="3" t="str">
        <f ca="1">IFERROR(__xludf.DUMMYFUNCTION("IF(ISBLANK(A165),"""",GOOGLETRANSLATE(A165,""en"",""fr""))"),"")</f>
        <v/>
      </c>
    </row>
    <row r="166" spans="2:2">
      <c r="B166" s="3" t="str">
        <f ca="1">IFERROR(__xludf.DUMMYFUNCTION("IF(ISBLANK(A166),"""",GOOGLETRANSLATE(A166,""en"",""fr""))"),"")</f>
        <v/>
      </c>
    </row>
    <row r="167" spans="2:2">
      <c r="B167" s="3" t="str">
        <f ca="1">IFERROR(__xludf.DUMMYFUNCTION("IF(ISBLANK(A167),"""",GOOGLETRANSLATE(A167,""en"",""fr""))"),"")</f>
        <v/>
      </c>
    </row>
    <row r="168" spans="2:2">
      <c r="B168" s="3" t="str">
        <f ca="1">IFERROR(__xludf.DUMMYFUNCTION("IF(ISBLANK(A168),"""",GOOGLETRANSLATE(A168,""en"",""fr""))"),"")</f>
        <v/>
      </c>
    </row>
    <row r="169" spans="2:2">
      <c r="B169" s="3" t="str">
        <f ca="1">IFERROR(__xludf.DUMMYFUNCTION("IF(ISBLANK(A169),"""",GOOGLETRANSLATE(A169,""en"",""fr""))"),"")</f>
        <v/>
      </c>
    </row>
    <row r="170" spans="2:2">
      <c r="B170" s="3" t="str">
        <f ca="1">IFERROR(__xludf.DUMMYFUNCTION("IF(ISBLANK(A170),"""",GOOGLETRANSLATE(A170,""en"",""fr""))"),"")</f>
        <v/>
      </c>
    </row>
    <row r="171" spans="2:2">
      <c r="B171" s="3" t="str">
        <f ca="1">IFERROR(__xludf.DUMMYFUNCTION("IF(ISBLANK(A171),"""",GOOGLETRANSLATE(A171,""en"",""fr""))"),"")</f>
        <v/>
      </c>
    </row>
    <row r="172" spans="2:2">
      <c r="B172" s="3" t="str">
        <f ca="1">IFERROR(__xludf.DUMMYFUNCTION("IF(ISBLANK(A172),"""",GOOGLETRANSLATE(A172,""en"",""fr""))"),"")</f>
        <v/>
      </c>
    </row>
    <row r="173" spans="2:2">
      <c r="B173" s="3" t="str">
        <f ca="1">IFERROR(__xludf.DUMMYFUNCTION("IF(ISBLANK(A173),"""",GOOGLETRANSLATE(A173,""en"",""fr""))"),"")</f>
        <v/>
      </c>
    </row>
    <row r="174" spans="2:2">
      <c r="B174" s="3" t="str">
        <f ca="1">IFERROR(__xludf.DUMMYFUNCTION("IF(ISBLANK(A174),"""",GOOGLETRANSLATE(A174,""en"",""fr""))"),"")</f>
        <v/>
      </c>
    </row>
    <row r="175" spans="2:2">
      <c r="B175" s="3" t="str">
        <f ca="1">IFERROR(__xludf.DUMMYFUNCTION("IF(ISBLANK(A175),"""",GOOGLETRANSLATE(A175,""en"",""fr""))"),"")</f>
        <v/>
      </c>
    </row>
    <row r="176" spans="2:2">
      <c r="B176" s="3" t="str">
        <f ca="1">IFERROR(__xludf.DUMMYFUNCTION("IF(ISBLANK(A176),"""",GOOGLETRANSLATE(A176,""en"",""fr""))"),"")</f>
        <v/>
      </c>
    </row>
    <row r="177" spans="2:2">
      <c r="B177" s="3" t="str">
        <f ca="1">IFERROR(__xludf.DUMMYFUNCTION("IF(ISBLANK(A177),"""",GOOGLETRANSLATE(A177,""en"",""fr""))"),"")</f>
        <v/>
      </c>
    </row>
    <row r="178" spans="2:2">
      <c r="B178" s="3" t="str">
        <f ca="1">IFERROR(__xludf.DUMMYFUNCTION("IF(ISBLANK(A178),"""",GOOGLETRANSLATE(A178,""en"",""fr""))"),"")</f>
        <v/>
      </c>
    </row>
    <row r="179" spans="2:2">
      <c r="B179" s="3" t="str">
        <f ca="1">IFERROR(__xludf.DUMMYFUNCTION("IF(ISBLANK(A179),"""",GOOGLETRANSLATE(A179,""en"",""fr""))"),"")</f>
        <v/>
      </c>
    </row>
    <row r="180" spans="2:2">
      <c r="B180" s="3" t="str">
        <f ca="1">IFERROR(__xludf.DUMMYFUNCTION("IF(ISBLANK(A180),"""",GOOGLETRANSLATE(A180,""en"",""fr""))"),"")</f>
        <v/>
      </c>
    </row>
    <row r="181" spans="2:2">
      <c r="B181" s="3" t="str">
        <f ca="1">IFERROR(__xludf.DUMMYFUNCTION("IF(ISBLANK(A181),"""",GOOGLETRANSLATE(A181,""en"",""fr""))"),"")</f>
        <v/>
      </c>
    </row>
    <row r="182" spans="2:2">
      <c r="B182" s="3" t="str">
        <f ca="1">IFERROR(__xludf.DUMMYFUNCTION("IF(ISBLANK(A182),"""",GOOGLETRANSLATE(A182,""en"",""fr""))"),"")</f>
        <v/>
      </c>
    </row>
    <row r="183" spans="2:2">
      <c r="B183" s="3" t="str">
        <f ca="1">IFERROR(__xludf.DUMMYFUNCTION("IF(ISBLANK(A183),"""",GOOGLETRANSLATE(A183,""en"",""fr""))"),"")</f>
        <v/>
      </c>
    </row>
    <row r="184" spans="2:2">
      <c r="B184" s="3" t="str">
        <f ca="1">IFERROR(__xludf.DUMMYFUNCTION("IF(ISBLANK(A184),"""",GOOGLETRANSLATE(A184,""en"",""fr""))"),"")</f>
        <v/>
      </c>
    </row>
    <row r="185" spans="2:2">
      <c r="B185" s="3" t="str">
        <f ca="1">IFERROR(__xludf.DUMMYFUNCTION("IF(ISBLANK(A185),"""",GOOGLETRANSLATE(A185,""en"",""fr""))"),"")</f>
        <v/>
      </c>
    </row>
    <row r="186" spans="2:2">
      <c r="B186" s="3" t="str">
        <f ca="1">IFERROR(__xludf.DUMMYFUNCTION("IF(ISBLANK(A186),"""",GOOGLETRANSLATE(A186,""en"",""fr""))"),"")</f>
        <v/>
      </c>
    </row>
    <row r="187" spans="2:2">
      <c r="B187" s="3" t="str">
        <f ca="1">IFERROR(__xludf.DUMMYFUNCTION("IF(ISBLANK(A187),"""",GOOGLETRANSLATE(A187,""en"",""fr""))"),"")</f>
        <v/>
      </c>
    </row>
    <row r="188" spans="2:2">
      <c r="B188" s="3" t="str">
        <f ca="1">IFERROR(__xludf.DUMMYFUNCTION("IF(ISBLANK(A188),"""",GOOGLETRANSLATE(A188,""en"",""fr""))"),"")</f>
        <v/>
      </c>
    </row>
    <row r="189" spans="2:2">
      <c r="B189" s="3" t="str">
        <f ca="1">IFERROR(__xludf.DUMMYFUNCTION("IF(ISBLANK(A189),"""",GOOGLETRANSLATE(A189,""en"",""fr""))"),"")</f>
        <v/>
      </c>
    </row>
    <row r="190" spans="2:2">
      <c r="B190" s="3" t="str">
        <f ca="1">IFERROR(__xludf.DUMMYFUNCTION("IF(ISBLANK(A190),"""",GOOGLETRANSLATE(A190,""en"",""fr""))"),"")</f>
        <v/>
      </c>
    </row>
    <row r="191" spans="2:2">
      <c r="B191" s="3" t="str">
        <f ca="1">IFERROR(__xludf.DUMMYFUNCTION("IF(ISBLANK(A191),"""",GOOGLETRANSLATE(A191,""en"",""fr""))"),"")</f>
        <v/>
      </c>
    </row>
    <row r="192" spans="2:2">
      <c r="B192" s="3" t="str">
        <f ca="1">IFERROR(__xludf.DUMMYFUNCTION("IF(ISBLANK(A192),"""",GOOGLETRANSLATE(A192,""en"",""fr""))"),"")</f>
        <v/>
      </c>
    </row>
    <row r="193" spans="2:2">
      <c r="B193" s="3" t="str">
        <f ca="1">IFERROR(__xludf.DUMMYFUNCTION("IF(ISBLANK(A193),"""",GOOGLETRANSLATE(A193,""en"",""fr""))"),"")</f>
        <v/>
      </c>
    </row>
    <row r="194" spans="2:2">
      <c r="B194" s="3" t="str">
        <f ca="1">IFERROR(__xludf.DUMMYFUNCTION("IF(ISBLANK(A194),"""",GOOGLETRANSLATE(A194,""en"",""fr""))"),"")</f>
        <v/>
      </c>
    </row>
    <row r="195" spans="2:2">
      <c r="B195" s="3" t="str">
        <f ca="1">IFERROR(__xludf.DUMMYFUNCTION("IF(ISBLANK(A195),"""",GOOGLETRANSLATE(A195,""en"",""fr""))"),"")</f>
        <v/>
      </c>
    </row>
    <row r="196" spans="2:2">
      <c r="B196" s="3" t="str">
        <f ca="1">IFERROR(__xludf.DUMMYFUNCTION("IF(ISBLANK(A196),"""",GOOGLETRANSLATE(A196,""en"",""fr""))"),"")</f>
        <v/>
      </c>
    </row>
    <row r="197" spans="2:2">
      <c r="B197" s="3" t="str">
        <f ca="1">IFERROR(__xludf.DUMMYFUNCTION("IF(ISBLANK(A197),"""",GOOGLETRANSLATE(A197,""en"",""fr""))"),"")</f>
        <v/>
      </c>
    </row>
    <row r="198" spans="2:2">
      <c r="B198" s="3" t="str">
        <f ca="1">IFERROR(__xludf.DUMMYFUNCTION("IF(ISBLANK(A198),"""",GOOGLETRANSLATE(A198,""en"",""fr""))"),"")</f>
        <v/>
      </c>
    </row>
    <row r="199" spans="2:2">
      <c r="B199" s="3" t="str">
        <f ca="1">IFERROR(__xludf.DUMMYFUNCTION("IF(ISBLANK(A199),"""",GOOGLETRANSLATE(A199,""en"",""fr""))"),"")</f>
        <v/>
      </c>
    </row>
    <row r="200" spans="2:2">
      <c r="B200" s="3" t="str">
        <f ca="1">IFERROR(__xludf.DUMMYFUNCTION("IF(ISBLANK(A200),"""",GOOGLETRANSLATE(A200,""en"",""fr""))"),"")</f>
        <v/>
      </c>
    </row>
    <row r="201" spans="2:2">
      <c r="B201" s="3" t="str">
        <f ca="1">IFERROR(__xludf.DUMMYFUNCTION("IF(ISBLANK(A201),"""",GOOGLETRANSLATE(A201,""en"",""fr""))"),"")</f>
        <v/>
      </c>
    </row>
    <row r="202" spans="2:2">
      <c r="B202" s="3" t="str">
        <f ca="1">IFERROR(__xludf.DUMMYFUNCTION("IF(ISBLANK(A202),"""",GOOGLETRANSLATE(A202,""en"",""fr""))"),"")</f>
        <v/>
      </c>
    </row>
    <row r="203" spans="2:2">
      <c r="B203" s="3" t="str">
        <f ca="1">IFERROR(__xludf.DUMMYFUNCTION("IF(ISBLANK(A203),"""",GOOGLETRANSLATE(A203,""en"",""fr""))"),"")</f>
        <v/>
      </c>
    </row>
    <row r="204" spans="2:2">
      <c r="B204" s="3" t="str">
        <f ca="1">IFERROR(__xludf.DUMMYFUNCTION("IF(ISBLANK(A204),"""",GOOGLETRANSLATE(A204,""en"",""fr""))"),"")</f>
        <v/>
      </c>
    </row>
    <row r="205" spans="2:2">
      <c r="B205" s="3" t="str">
        <f ca="1">IFERROR(__xludf.DUMMYFUNCTION("IF(ISBLANK(A205),"""",GOOGLETRANSLATE(A205,""en"",""fr""))"),"")</f>
        <v/>
      </c>
    </row>
    <row r="206" spans="2:2">
      <c r="B206" s="3" t="str">
        <f ca="1">IFERROR(__xludf.DUMMYFUNCTION("IF(ISBLANK(A206),"""",GOOGLETRANSLATE(A206,""en"",""fr""))"),"")</f>
        <v/>
      </c>
    </row>
    <row r="207" spans="2:2">
      <c r="B207" s="3" t="str">
        <f ca="1">IFERROR(__xludf.DUMMYFUNCTION("IF(ISBLANK(A207),"""",GOOGLETRANSLATE(A207,""en"",""fr""))"),"")</f>
        <v/>
      </c>
    </row>
    <row r="208" spans="2:2">
      <c r="B208" s="3" t="str">
        <f ca="1">IFERROR(__xludf.DUMMYFUNCTION("IF(ISBLANK(A208),"""",GOOGLETRANSLATE(A208,""en"",""fr""))"),"")</f>
        <v/>
      </c>
    </row>
    <row r="209" spans="2:2">
      <c r="B209" s="3" t="str">
        <f ca="1">IFERROR(__xludf.DUMMYFUNCTION("IF(ISBLANK(A209),"""",GOOGLETRANSLATE(A209,""en"",""fr""))"),"")</f>
        <v/>
      </c>
    </row>
    <row r="210" spans="2:2">
      <c r="B210" s="3" t="str">
        <f ca="1">IFERROR(__xludf.DUMMYFUNCTION("IF(ISBLANK(A210),"""",GOOGLETRANSLATE(A210,""en"",""fr""))"),"")</f>
        <v/>
      </c>
    </row>
    <row r="211" spans="2:2">
      <c r="B211" s="3" t="str">
        <f ca="1">IFERROR(__xludf.DUMMYFUNCTION("IF(ISBLANK(A211),"""",GOOGLETRANSLATE(A211,""en"",""fr""))"),"")</f>
        <v/>
      </c>
    </row>
    <row r="212" spans="2:2">
      <c r="B212" s="3" t="str">
        <f ca="1">IFERROR(__xludf.DUMMYFUNCTION("IF(ISBLANK(A212),"""",GOOGLETRANSLATE(A212,""en"",""fr""))"),"")</f>
        <v/>
      </c>
    </row>
    <row r="213" spans="2:2">
      <c r="B213" s="3" t="str">
        <f ca="1">IFERROR(__xludf.DUMMYFUNCTION("IF(ISBLANK(A213),"""",GOOGLETRANSLATE(A213,""en"",""fr""))"),"")</f>
        <v/>
      </c>
    </row>
    <row r="214" spans="2:2">
      <c r="B214" s="3" t="str">
        <f ca="1">IFERROR(__xludf.DUMMYFUNCTION("IF(ISBLANK(A214),"""",GOOGLETRANSLATE(A214,""en"",""fr""))"),"")</f>
        <v/>
      </c>
    </row>
    <row r="215" spans="2:2">
      <c r="B215" s="3" t="str">
        <f ca="1">IFERROR(__xludf.DUMMYFUNCTION("IF(ISBLANK(A215),"""",GOOGLETRANSLATE(A215,""en"",""fr""))"),"")</f>
        <v/>
      </c>
    </row>
    <row r="216" spans="2:2">
      <c r="B216" s="3" t="str">
        <f ca="1">IFERROR(__xludf.DUMMYFUNCTION("IF(ISBLANK(A216),"""",GOOGLETRANSLATE(A216,""en"",""fr""))"),"")</f>
        <v/>
      </c>
    </row>
    <row r="217" spans="2:2">
      <c r="B217" s="3" t="str">
        <f ca="1">IFERROR(__xludf.DUMMYFUNCTION("IF(ISBLANK(A217),"""",GOOGLETRANSLATE(A217,""en"",""fr""))"),"")</f>
        <v/>
      </c>
    </row>
    <row r="218" spans="2:2">
      <c r="B218" s="3" t="str">
        <f ca="1">IFERROR(__xludf.DUMMYFUNCTION("IF(ISBLANK(A218),"""",GOOGLETRANSLATE(A218,""en"",""fr""))"),"")</f>
        <v/>
      </c>
    </row>
    <row r="219" spans="2:2">
      <c r="B219" s="3" t="str">
        <f ca="1">IFERROR(__xludf.DUMMYFUNCTION("IF(ISBLANK(A219),"""",GOOGLETRANSLATE(A219,""en"",""fr""))"),"")</f>
        <v/>
      </c>
    </row>
    <row r="220" spans="2:2">
      <c r="B220" s="3" t="str">
        <f ca="1">IFERROR(__xludf.DUMMYFUNCTION("IF(ISBLANK(A220),"""",GOOGLETRANSLATE(A220,""en"",""fr""))"),"")</f>
        <v/>
      </c>
    </row>
    <row r="221" spans="2:2">
      <c r="B221" s="3" t="str">
        <f ca="1">IFERROR(__xludf.DUMMYFUNCTION("IF(ISBLANK(A221),"""",GOOGLETRANSLATE(A221,""en"",""fr""))"),"")</f>
        <v/>
      </c>
    </row>
    <row r="222" spans="2:2">
      <c r="B222" s="3" t="str">
        <f ca="1">IFERROR(__xludf.DUMMYFUNCTION("IF(ISBLANK(A222),"""",GOOGLETRANSLATE(A222,""en"",""fr""))"),"")</f>
        <v/>
      </c>
    </row>
    <row r="223" spans="2:2">
      <c r="B223" s="3" t="str">
        <f ca="1">IFERROR(__xludf.DUMMYFUNCTION("IF(ISBLANK(A223),"""",GOOGLETRANSLATE(A223,""en"",""fr""))"),"")</f>
        <v/>
      </c>
    </row>
    <row r="224" spans="2:2">
      <c r="B224" s="3" t="str">
        <f ca="1">IFERROR(__xludf.DUMMYFUNCTION("IF(ISBLANK(A224),"""",GOOGLETRANSLATE(A224,""en"",""fr""))"),"")</f>
        <v/>
      </c>
    </row>
    <row r="225" spans="2:2">
      <c r="B225" s="3" t="str">
        <f ca="1">IFERROR(__xludf.DUMMYFUNCTION("IF(ISBLANK(A225),"""",GOOGLETRANSLATE(A225,""en"",""fr""))"),"")</f>
        <v/>
      </c>
    </row>
    <row r="226" spans="2:2">
      <c r="B226" s="3" t="str">
        <f ca="1">IFERROR(__xludf.DUMMYFUNCTION("IF(ISBLANK(A226),"""",GOOGLETRANSLATE(A226,""en"",""fr""))"),"")</f>
        <v/>
      </c>
    </row>
    <row r="227" spans="2:2">
      <c r="B227" s="3" t="str">
        <f ca="1">IFERROR(__xludf.DUMMYFUNCTION("IF(ISBLANK(A227),"""",GOOGLETRANSLATE(A227,""en"",""fr""))"),"")</f>
        <v/>
      </c>
    </row>
    <row r="228" spans="2:2">
      <c r="B228" s="3" t="str">
        <f ca="1">IFERROR(__xludf.DUMMYFUNCTION("IF(ISBLANK(A228),"""",GOOGLETRANSLATE(A228,""en"",""fr""))"),"")</f>
        <v/>
      </c>
    </row>
    <row r="229" spans="2:2">
      <c r="B229" s="3" t="str">
        <f ca="1">IFERROR(__xludf.DUMMYFUNCTION("IF(ISBLANK(A229),"""",GOOGLETRANSLATE(A229,""en"",""fr""))"),"")</f>
        <v/>
      </c>
    </row>
    <row r="230" spans="2:2">
      <c r="B230" s="3" t="str">
        <f ca="1">IFERROR(__xludf.DUMMYFUNCTION("IF(ISBLANK(A230),"""",GOOGLETRANSLATE(A230,""en"",""fr""))"),"")</f>
        <v/>
      </c>
    </row>
    <row r="231" spans="2:2">
      <c r="B231" s="3" t="str">
        <f ca="1">IFERROR(__xludf.DUMMYFUNCTION("IF(ISBLANK(A231),"""",GOOGLETRANSLATE(A231,""en"",""fr""))"),"")</f>
        <v/>
      </c>
    </row>
    <row r="232" spans="2:2">
      <c r="B232" s="3" t="str">
        <f ca="1">IFERROR(__xludf.DUMMYFUNCTION("IF(ISBLANK(A232),"""",GOOGLETRANSLATE(A232,""en"",""fr""))"),"")</f>
        <v/>
      </c>
    </row>
    <row r="233" spans="2:2">
      <c r="B233" s="3" t="str">
        <f ca="1">IFERROR(__xludf.DUMMYFUNCTION("IF(ISBLANK(A233),"""",GOOGLETRANSLATE(A233,""en"",""fr""))"),"")</f>
        <v/>
      </c>
    </row>
    <row r="234" spans="2:2">
      <c r="B234" s="3" t="str">
        <f ca="1">IFERROR(__xludf.DUMMYFUNCTION("IF(ISBLANK(A234),"""",GOOGLETRANSLATE(A234,""en"",""fr""))"),"")</f>
        <v/>
      </c>
    </row>
    <row r="235" spans="2:2">
      <c r="B235" s="3" t="str">
        <f ca="1">IFERROR(__xludf.DUMMYFUNCTION("IF(ISBLANK(A235),"""",GOOGLETRANSLATE(A235,""en"",""fr""))"),"")</f>
        <v/>
      </c>
    </row>
    <row r="236" spans="2:2">
      <c r="B236" s="3" t="str">
        <f ca="1">IFERROR(__xludf.DUMMYFUNCTION("IF(ISBLANK(A236),"""",GOOGLETRANSLATE(A236,""en"",""fr""))"),"")</f>
        <v/>
      </c>
    </row>
    <row r="237" spans="2:2">
      <c r="B237" s="3" t="str">
        <f ca="1">IFERROR(__xludf.DUMMYFUNCTION("IF(ISBLANK(A237),"""",GOOGLETRANSLATE(A237,""en"",""fr""))"),"")</f>
        <v/>
      </c>
    </row>
    <row r="238" spans="2:2">
      <c r="B238" s="3" t="str">
        <f ca="1">IFERROR(__xludf.DUMMYFUNCTION("IF(ISBLANK(A238),"""",GOOGLETRANSLATE(A238,""en"",""fr""))"),"")</f>
        <v/>
      </c>
    </row>
    <row r="239" spans="2:2">
      <c r="B239" s="3" t="str">
        <f ca="1">IFERROR(__xludf.DUMMYFUNCTION("IF(ISBLANK(A239),"""",GOOGLETRANSLATE(A239,""en"",""fr""))"),"")</f>
        <v/>
      </c>
    </row>
    <row r="240" spans="2:2">
      <c r="B240" s="3" t="str">
        <f ca="1">IFERROR(__xludf.DUMMYFUNCTION("IF(ISBLANK(A240),"""",GOOGLETRANSLATE(A240,""en"",""fr""))"),"")</f>
        <v/>
      </c>
    </row>
    <row r="241" spans="2:2">
      <c r="B241" s="3" t="str">
        <f ca="1">IFERROR(__xludf.DUMMYFUNCTION("IF(ISBLANK(A241),"""",GOOGLETRANSLATE(A241,""en"",""fr""))"),"")</f>
        <v/>
      </c>
    </row>
    <row r="242" spans="2:2">
      <c r="B242" s="3" t="str">
        <f ca="1">IFERROR(__xludf.DUMMYFUNCTION("IF(ISBLANK(A242),"""",GOOGLETRANSLATE(A242,""en"",""fr""))"),"")</f>
        <v/>
      </c>
    </row>
    <row r="243" spans="2:2">
      <c r="B243" s="3" t="str">
        <f ca="1">IFERROR(__xludf.DUMMYFUNCTION("IF(ISBLANK(A243),"""",GOOGLETRANSLATE(A243,""en"",""fr""))"),"")</f>
        <v/>
      </c>
    </row>
    <row r="244" spans="2:2">
      <c r="B244" s="3" t="str">
        <f ca="1">IFERROR(__xludf.DUMMYFUNCTION("IF(ISBLANK(A244),"""",GOOGLETRANSLATE(A244,""en"",""fr""))"),"")</f>
        <v/>
      </c>
    </row>
    <row r="245" spans="2:2">
      <c r="B245" s="3" t="str">
        <f ca="1">IFERROR(__xludf.DUMMYFUNCTION("IF(ISBLANK(A245),"""",GOOGLETRANSLATE(A245,""en"",""fr""))"),"")</f>
        <v/>
      </c>
    </row>
    <row r="246" spans="2:2">
      <c r="B246" s="3" t="str">
        <f ca="1">IFERROR(__xludf.DUMMYFUNCTION("IF(ISBLANK(A246),"""",GOOGLETRANSLATE(A246,""en"",""fr""))"),"")</f>
        <v/>
      </c>
    </row>
    <row r="247" spans="2:2">
      <c r="B247" s="3" t="str">
        <f ca="1">IFERROR(__xludf.DUMMYFUNCTION("IF(ISBLANK(A247),"""",GOOGLETRANSLATE(A247,""en"",""fr""))"),"")</f>
        <v/>
      </c>
    </row>
    <row r="248" spans="2:2">
      <c r="B248" s="3" t="str">
        <f ca="1">IFERROR(__xludf.DUMMYFUNCTION("IF(ISBLANK(A248),"""",GOOGLETRANSLATE(A248,""en"",""fr""))"),"")</f>
        <v/>
      </c>
    </row>
    <row r="249" spans="2:2">
      <c r="B249" s="3" t="str">
        <f ca="1">IFERROR(__xludf.DUMMYFUNCTION("IF(ISBLANK(A249),"""",GOOGLETRANSLATE(A249,""en"",""fr""))"),"")</f>
        <v/>
      </c>
    </row>
    <row r="250" spans="2:2">
      <c r="B250" s="3" t="str">
        <f ca="1">IFERROR(__xludf.DUMMYFUNCTION("IF(ISBLANK(A250),"""",GOOGLETRANSLATE(A250,""en"",""fr""))"),"")</f>
        <v/>
      </c>
    </row>
    <row r="251" spans="2:2">
      <c r="B251" s="3" t="str">
        <f ca="1">IFERROR(__xludf.DUMMYFUNCTION("IF(ISBLANK(A251),"""",GOOGLETRANSLATE(A251,""en"",""fr""))"),"")</f>
        <v/>
      </c>
    </row>
    <row r="252" spans="2:2">
      <c r="B252" s="3" t="str">
        <f ca="1">IFERROR(__xludf.DUMMYFUNCTION("IF(ISBLANK(A252),"""",GOOGLETRANSLATE(A252,""en"",""fr""))"),"")</f>
        <v/>
      </c>
    </row>
    <row r="253" spans="2:2">
      <c r="B253" s="3" t="str">
        <f ca="1">IFERROR(__xludf.DUMMYFUNCTION("IF(ISBLANK(A253),"""",GOOGLETRANSLATE(A253,""en"",""fr""))"),"")</f>
        <v/>
      </c>
    </row>
    <row r="254" spans="2:2">
      <c r="B254" s="3" t="str">
        <f ca="1">IFERROR(__xludf.DUMMYFUNCTION("IF(ISBLANK(A254),"""",GOOGLETRANSLATE(A254,""en"",""fr""))"),"")</f>
        <v/>
      </c>
    </row>
    <row r="255" spans="2:2">
      <c r="B255" s="3" t="str">
        <f ca="1">IFERROR(__xludf.DUMMYFUNCTION("IF(ISBLANK(A255),"""",GOOGLETRANSLATE(A255,""en"",""fr""))"),"")</f>
        <v/>
      </c>
    </row>
    <row r="256" spans="2:2">
      <c r="B256" s="3" t="str">
        <f ca="1">IFERROR(__xludf.DUMMYFUNCTION("IF(ISBLANK(A256),"""",GOOGLETRANSLATE(A256,""en"",""fr""))"),"")</f>
        <v/>
      </c>
    </row>
    <row r="257" spans="2:2">
      <c r="B257" s="3" t="str">
        <f ca="1">IFERROR(__xludf.DUMMYFUNCTION("IF(ISBLANK(A257),"""",GOOGLETRANSLATE(A257,""en"",""fr""))"),"")</f>
        <v/>
      </c>
    </row>
    <row r="258" spans="2:2">
      <c r="B258" s="3" t="str">
        <f ca="1">IFERROR(__xludf.DUMMYFUNCTION("IF(ISBLANK(A258),"""",GOOGLETRANSLATE(A258,""en"",""fr""))"),"")</f>
        <v/>
      </c>
    </row>
    <row r="259" spans="2:2">
      <c r="B259" s="3" t="str">
        <f ca="1">IFERROR(__xludf.DUMMYFUNCTION("IF(ISBLANK(A259),"""",GOOGLETRANSLATE(A259,""en"",""fr""))"),"")</f>
        <v/>
      </c>
    </row>
    <row r="260" spans="2:2">
      <c r="B260" s="3" t="str">
        <f ca="1">IFERROR(__xludf.DUMMYFUNCTION("IF(ISBLANK(A260),"""",GOOGLETRANSLATE(A260,""en"",""fr""))"),"")</f>
        <v/>
      </c>
    </row>
    <row r="261" spans="2:2">
      <c r="B261" s="3" t="str">
        <f ca="1">IFERROR(__xludf.DUMMYFUNCTION("IF(ISBLANK(A261),"""",GOOGLETRANSLATE(A261,""en"",""fr""))"),"")</f>
        <v/>
      </c>
    </row>
    <row r="262" spans="2:2">
      <c r="B262" s="3" t="str">
        <f ca="1">IFERROR(__xludf.DUMMYFUNCTION("IF(ISBLANK(A262),"""",GOOGLETRANSLATE(A262,""en"",""fr""))"),"")</f>
        <v/>
      </c>
    </row>
    <row r="263" spans="2:2">
      <c r="B263" s="3" t="str">
        <f ca="1">IFERROR(__xludf.DUMMYFUNCTION("IF(ISBLANK(A263),"""",GOOGLETRANSLATE(A263,""en"",""fr""))"),"")</f>
        <v/>
      </c>
    </row>
    <row r="264" spans="2:2">
      <c r="B264" s="3" t="str">
        <f ca="1">IFERROR(__xludf.DUMMYFUNCTION("IF(ISBLANK(A264),"""",GOOGLETRANSLATE(A264,""en"",""fr""))"),"")</f>
        <v/>
      </c>
    </row>
    <row r="265" spans="2:2">
      <c r="B265" s="3" t="str">
        <f ca="1">IFERROR(__xludf.DUMMYFUNCTION("IF(ISBLANK(A265),"""",GOOGLETRANSLATE(A265,""en"",""fr""))"),"")</f>
        <v/>
      </c>
    </row>
    <row r="266" spans="2:2">
      <c r="B266" s="3" t="str">
        <f ca="1">IFERROR(__xludf.DUMMYFUNCTION("IF(ISBLANK(A266),"""",GOOGLETRANSLATE(A266,""en"",""fr""))"),"")</f>
        <v/>
      </c>
    </row>
    <row r="267" spans="2:2">
      <c r="B267" s="3" t="str">
        <f ca="1">IFERROR(__xludf.DUMMYFUNCTION("IF(ISBLANK(A267),"""",GOOGLETRANSLATE(A267,""en"",""fr""))"),"")</f>
        <v/>
      </c>
    </row>
    <row r="268" spans="2:2">
      <c r="B268" s="3" t="str">
        <f ca="1">IFERROR(__xludf.DUMMYFUNCTION("IF(ISBLANK(A268),"""",GOOGLETRANSLATE(A268,""en"",""fr""))"),"")</f>
        <v/>
      </c>
    </row>
    <row r="269" spans="2:2">
      <c r="B269" s="3" t="str">
        <f ca="1">IFERROR(__xludf.DUMMYFUNCTION("IF(ISBLANK(A269),"""",GOOGLETRANSLATE(A269,""en"",""fr""))"),"")</f>
        <v/>
      </c>
    </row>
    <row r="270" spans="2:2">
      <c r="B270" s="3" t="str">
        <f ca="1">IFERROR(__xludf.DUMMYFUNCTION("IF(ISBLANK(A270),"""",GOOGLETRANSLATE(A270,""en"",""fr""))"),"")</f>
        <v/>
      </c>
    </row>
    <row r="271" spans="2:2">
      <c r="B271" s="3" t="str">
        <f ca="1">IFERROR(__xludf.DUMMYFUNCTION("IF(ISBLANK(A271),"""",GOOGLETRANSLATE(A271,""en"",""fr""))"),"")</f>
        <v/>
      </c>
    </row>
    <row r="272" spans="2:2">
      <c r="B272" s="3" t="str">
        <f ca="1">IFERROR(__xludf.DUMMYFUNCTION("IF(ISBLANK(A272),"""",GOOGLETRANSLATE(A272,""en"",""fr""))"),"")</f>
        <v/>
      </c>
    </row>
    <row r="273" spans="2:2">
      <c r="B273" s="3" t="str">
        <f ca="1">IFERROR(__xludf.DUMMYFUNCTION("IF(ISBLANK(A273),"""",GOOGLETRANSLATE(A273,""en"",""fr""))"),"")</f>
        <v/>
      </c>
    </row>
    <row r="274" spans="2:2">
      <c r="B274" s="3" t="str">
        <f ca="1">IFERROR(__xludf.DUMMYFUNCTION("IF(ISBLANK(A274),"""",GOOGLETRANSLATE(A274,""en"",""fr""))"),"")</f>
        <v/>
      </c>
    </row>
    <row r="275" spans="2:2">
      <c r="B275" s="3" t="str">
        <f ca="1">IFERROR(__xludf.DUMMYFUNCTION("IF(ISBLANK(A275),"""",GOOGLETRANSLATE(A275,""en"",""fr""))"),"")</f>
        <v/>
      </c>
    </row>
    <row r="276" spans="2:2">
      <c r="B276" s="3" t="str">
        <f ca="1">IFERROR(__xludf.DUMMYFUNCTION("IF(ISBLANK(A276),"""",GOOGLETRANSLATE(A276,""en"",""fr""))"),"")</f>
        <v/>
      </c>
    </row>
    <row r="277" spans="2:2">
      <c r="B277" s="3" t="str">
        <f ca="1">IFERROR(__xludf.DUMMYFUNCTION("IF(ISBLANK(A277),"""",GOOGLETRANSLATE(A277,""en"",""fr""))"),"")</f>
        <v/>
      </c>
    </row>
    <row r="278" spans="2:2">
      <c r="B278" s="3" t="str">
        <f ca="1">IFERROR(__xludf.DUMMYFUNCTION("IF(ISBLANK(A278),"""",GOOGLETRANSLATE(A278,""en"",""fr""))"),"")</f>
        <v/>
      </c>
    </row>
    <row r="279" spans="2:2">
      <c r="B279" s="3" t="str">
        <f ca="1">IFERROR(__xludf.DUMMYFUNCTION("IF(ISBLANK(A279),"""",GOOGLETRANSLATE(A279,""en"",""fr""))"),"")</f>
        <v/>
      </c>
    </row>
    <row r="280" spans="2:2">
      <c r="B280" s="3" t="str">
        <f ca="1">IFERROR(__xludf.DUMMYFUNCTION("IF(ISBLANK(A280),"""",GOOGLETRANSLATE(A280,""en"",""fr""))"),"")</f>
        <v/>
      </c>
    </row>
    <row r="281" spans="2:2">
      <c r="B281" s="3" t="str">
        <f ca="1">IFERROR(__xludf.DUMMYFUNCTION("IF(ISBLANK(A281),"""",GOOGLETRANSLATE(A281,""en"",""fr""))"),"")</f>
        <v/>
      </c>
    </row>
    <row r="282" spans="2:2">
      <c r="B282" s="3" t="str">
        <f ca="1">IFERROR(__xludf.DUMMYFUNCTION("IF(ISBLANK(A282),"""",GOOGLETRANSLATE(A282,""en"",""fr""))"),"")</f>
        <v/>
      </c>
    </row>
    <row r="283" spans="2:2">
      <c r="B283" s="3" t="str">
        <f ca="1">IFERROR(__xludf.DUMMYFUNCTION("IF(ISBLANK(A283),"""",GOOGLETRANSLATE(A283,""en"",""fr""))"),"")</f>
        <v/>
      </c>
    </row>
    <row r="284" spans="2:2">
      <c r="B284" s="3" t="str">
        <f ca="1">IFERROR(__xludf.DUMMYFUNCTION("IF(ISBLANK(A284),"""",GOOGLETRANSLATE(A284,""en"",""fr""))"),"")</f>
        <v/>
      </c>
    </row>
    <row r="285" spans="2:2">
      <c r="B285" s="3" t="str">
        <f ca="1">IFERROR(__xludf.DUMMYFUNCTION("IF(ISBLANK(A285),"""",GOOGLETRANSLATE(A285,""en"",""fr""))"),"")</f>
        <v/>
      </c>
    </row>
    <row r="286" spans="2:2">
      <c r="B286" s="3" t="str">
        <f ca="1">IFERROR(__xludf.DUMMYFUNCTION("IF(ISBLANK(A286),"""",GOOGLETRANSLATE(A286,""en"",""fr""))"),"")</f>
        <v/>
      </c>
    </row>
    <row r="287" spans="2:2">
      <c r="B287" s="3" t="str">
        <f ca="1">IFERROR(__xludf.DUMMYFUNCTION("IF(ISBLANK(A287),"""",GOOGLETRANSLATE(A287,""en"",""fr""))"),"")</f>
        <v/>
      </c>
    </row>
    <row r="288" spans="2:2">
      <c r="B288" s="3" t="str">
        <f ca="1">IFERROR(__xludf.DUMMYFUNCTION("IF(ISBLANK(A288),"""",GOOGLETRANSLATE(A288,""en"",""fr""))"),"")</f>
        <v/>
      </c>
    </row>
    <row r="289" spans="2:2">
      <c r="B289" s="3" t="str">
        <f ca="1">IFERROR(__xludf.DUMMYFUNCTION("IF(ISBLANK(A289),"""",GOOGLETRANSLATE(A289,""en"",""fr""))"),"")</f>
        <v/>
      </c>
    </row>
    <row r="290" spans="2:2">
      <c r="B290" s="3" t="str">
        <f ca="1">IFERROR(__xludf.DUMMYFUNCTION("IF(ISBLANK(A290),"""",GOOGLETRANSLATE(A290,""en"",""fr""))"),"")</f>
        <v/>
      </c>
    </row>
    <row r="291" spans="2:2">
      <c r="B291" s="3" t="str">
        <f ca="1">IFERROR(__xludf.DUMMYFUNCTION("IF(ISBLANK(A291),"""",GOOGLETRANSLATE(A291,""en"",""fr""))"),"")</f>
        <v/>
      </c>
    </row>
    <row r="292" spans="2:2">
      <c r="B292" s="3" t="str">
        <f ca="1">IFERROR(__xludf.DUMMYFUNCTION("IF(ISBLANK(A292),"""",GOOGLETRANSLATE(A292,""en"",""fr""))"),"")</f>
        <v/>
      </c>
    </row>
    <row r="293" spans="2:2">
      <c r="B293" s="3" t="str">
        <f ca="1">IFERROR(__xludf.DUMMYFUNCTION("IF(ISBLANK(A293),"""",GOOGLETRANSLATE(A293,""en"",""fr""))"),"")</f>
        <v/>
      </c>
    </row>
    <row r="294" spans="2:2">
      <c r="B294" s="3" t="str">
        <f ca="1">IFERROR(__xludf.DUMMYFUNCTION("IF(ISBLANK(A294),"""",GOOGLETRANSLATE(A294,""en"",""fr""))"),"")</f>
        <v/>
      </c>
    </row>
    <row r="295" spans="2:2">
      <c r="B295" s="3" t="str">
        <f ca="1">IFERROR(__xludf.DUMMYFUNCTION("IF(ISBLANK(A295),"""",GOOGLETRANSLATE(A295,""en"",""fr""))"),"")</f>
        <v/>
      </c>
    </row>
    <row r="296" spans="2:2">
      <c r="B296" s="3" t="str">
        <f ca="1">IFERROR(__xludf.DUMMYFUNCTION("IF(ISBLANK(A296),"""",GOOGLETRANSLATE(A296,""en"",""fr""))"),"")</f>
        <v/>
      </c>
    </row>
    <row r="297" spans="2:2">
      <c r="B297" s="3" t="str">
        <f ca="1">IFERROR(__xludf.DUMMYFUNCTION("IF(ISBLANK(A297),"""",GOOGLETRANSLATE(A297,""en"",""fr""))"),"")</f>
        <v/>
      </c>
    </row>
    <row r="298" spans="2:2">
      <c r="B298" s="3" t="str">
        <f ca="1">IFERROR(__xludf.DUMMYFUNCTION("IF(ISBLANK(A298),"""",GOOGLETRANSLATE(A298,""en"",""fr""))"),"")</f>
        <v/>
      </c>
    </row>
    <row r="299" spans="2:2">
      <c r="B299" s="3" t="str">
        <f ca="1">IFERROR(__xludf.DUMMYFUNCTION("IF(ISBLANK(A299),"""",GOOGLETRANSLATE(A299,""en"",""fr""))"),"")</f>
        <v/>
      </c>
    </row>
    <row r="300" spans="2:2">
      <c r="B300" s="3" t="str">
        <f ca="1">IFERROR(__xludf.DUMMYFUNCTION("IF(ISBLANK(A300),"""",GOOGLETRANSLATE(A300,""en"",""fr""))"),"")</f>
        <v/>
      </c>
    </row>
    <row r="301" spans="2:2">
      <c r="B301" s="3" t="str">
        <f ca="1">IFERROR(__xludf.DUMMYFUNCTION("IF(ISBLANK(A301),"""",GOOGLETRANSLATE(A301,""en"",""fr""))"),"")</f>
        <v/>
      </c>
    </row>
    <row r="302" spans="2:2">
      <c r="B302" s="3" t="str">
        <f ca="1">IFERROR(__xludf.DUMMYFUNCTION("IF(ISBLANK(A302),"""",GOOGLETRANSLATE(A302,""en"",""fr""))"),"")</f>
        <v/>
      </c>
    </row>
    <row r="303" spans="2:2">
      <c r="B303" s="3" t="str">
        <f ca="1">IFERROR(__xludf.DUMMYFUNCTION("IF(ISBLANK(A303),"""",GOOGLETRANSLATE(A303,""en"",""fr""))"),"")</f>
        <v/>
      </c>
    </row>
    <row r="304" spans="2:2">
      <c r="B304" s="3" t="str">
        <f ca="1">IFERROR(__xludf.DUMMYFUNCTION("IF(ISBLANK(A304),"""",GOOGLETRANSLATE(A304,""en"",""fr""))"),"")</f>
        <v/>
      </c>
    </row>
    <row r="305" spans="2:2">
      <c r="B305" s="3" t="str">
        <f ca="1">IFERROR(__xludf.DUMMYFUNCTION("IF(ISBLANK(A305),"""",GOOGLETRANSLATE(A305,""en"",""fr""))"),"")</f>
        <v/>
      </c>
    </row>
    <row r="306" spans="2:2">
      <c r="B306" s="3" t="str">
        <f ca="1">IFERROR(__xludf.DUMMYFUNCTION("IF(ISBLANK(A306),"""",GOOGLETRANSLATE(A306,""en"",""fr""))"),"")</f>
        <v/>
      </c>
    </row>
    <row r="307" spans="2:2">
      <c r="B307" s="3" t="str">
        <f ca="1">IFERROR(__xludf.DUMMYFUNCTION("IF(ISBLANK(A307),"""",GOOGLETRANSLATE(A307,""en"",""fr""))"),"")</f>
        <v/>
      </c>
    </row>
    <row r="308" spans="2:2">
      <c r="B308" s="3" t="str">
        <f ca="1">IFERROR(__xludf.DUMMYFUNCTION("IF(ISBLANK(A308),"""",GOOGLETRANSLATE(A308,""en"",""fr""))"),"")</f>
        <v/>
      </c>
    </row>
    <row r="309" spans="2:2">
      <c r="B309" s="3" t="str">
        <f ca="1">IFERROR(__xludf.DUMMYFUNCTION("IF(ISBLANK(A309),"""",GOOGLETRANSLATE(A309,""en"",""fr""))"),"")</f>
        <v/>
      </c>
    </row>
    <row r="310" spans="2:2">
      <c r="B310" s="3" t="str">
        <f ca="1">IFERROR(__xludf.DUMMYFUNCTION("IF(ISBLANK(A310),"""",GOOGLETRANSLATE(A310,""en"",""fr""))"),"")</f>
        <v/>
      </c>
    </row>
    <row r="311" spans="2:2">
      <c r="B311" s="3" t="str">
        <f ca="1">IFERROR(__xludf.DUMMYFUNCTION("IF(ISBLANK(A311),"""",GOOGLETRANSLATE(A311,""en"",""fr""))"),"")</f>
        <v/>
      </c>
    </row>
    <row r="312" spans="2:2">
      <c r="B312" s="3" t="str">
        <f ca="1">IFERROR(__xludf.DUMMYFUNCTION("IF(ISBLANK(A312),"""",GOOGLETRANSLATE(A312,""en"",""fr""))"),"")</f>
        <v/>
      </c>
    </row>
    <row r="313" spans="2:2">
      <c r="B313" s="3" t="str">
        <f ca="1">IFERROR(__xludf.DUMMYFUNCTION("IF(ISBLANK(A313),"""",GOOGLETRANSLATE(A313,""en"",""fr""))"),"")</f>
        <v/>
      </c>
    </row>
    <row r="314" spans="2:2">
      <c r="B314" s="3" t="str">
        <f ca="1">IFERROR(__xludf.DUMMYFUNCTION("IF(ISBLANK(A314),"""",GOOGLETRANSLATE(A314,""en"",""fr""))"),"")</f>
        <v/>
      </c>
    </row>
    <row r="315" spans="2:2">
      <c r="B315" s="3" t="str">
        <f ca="1">IFERROR(__xludf.DUMMYFUNCTION("IF(ISBLANK(A315),"""",GOOGLETRANSLATE(A315,""en"",""fr""))"),"")</f>
        <v/>
      </c>
    </row>
    <row r="316" spans="2:2">
      <c r="B316" s="3" t="str">
        <f ca="1">IFERROR(__xludf.DUMMYFUNCTION("IF(ISBLANK(A316),"""",GOOGLETRANSLATE(A316,""en"",""fr""))"),"")</f>
        <v/>
      </c>
    </row>
    <row r="317" spans="2:2">
      <c r="B317" s="3" t="str">
        <f ca="1">IFERROR(__xludf.DUMMYFUNCTION("IF(ISBLANK(A317),"""",GOOGLETRANSLATE(A317,""en"",""fr""))"),"")</f>
        <v/>
      </c>
    </row>
    <row r="318" spans="2:2">
      <c r="B318" s="3" t="str">
        <f ca="1">IFERROR(__xludf.DUMMYFUNCTION("IF(ISBLANK(A318),"""",GOOGLETRANSLATE(A318,""en"",""fr""))"),"")</f>
        <v/>
      </c>
    </row>
    <row r="319" spans="2:2">
      <c r="B319" s="3" t="str">
        <f ca="1">IFERROR(__xludf.DUMMYFUNCTION("IF(ISBLANK(A319),"""",GOOGLETRANSLATE(A319,""en"",""fr""))"),"")</f>
        <v/>
      </c>
    </row>
    <row r="320" spans="2:2">
      <c r="B320" s="3" t="str">
        <f ca="1">IFERROR(__xludf.DUMMYFUNCTION("IF(ISBLANK(A320),"""",GOOGLETRANSLATE(A320,""en"",""fr""))"),"")</f>
        <v/>
      </c>
    </row>
    <row r="321" spans="2:2">
      <c r="B321" s="3" t="str">
        <f ca="1">IFERROR(__xludf.DUMMYFUNCTION("IF(ISBLANK(A321),"""",GOOGLETRANSLATE(A321,""en"",""fr""))"),"")</f>
        <v/>
      </c>
    </row>
    <row r="322" spans="2:2">
      <c r="B322" s="3" t="str">
        <f ca="1">IFERROR(__xludf.DUMMYFUNCTION("IF(ISBLANK(A322),"""",GOOGLETRANSLATE(A322,""en"",""fr""))"),"")</f>
        <v/>
      </c>
    </row>
    <row r="323" spans="2:2">
      <c r="B323" s="3" t="str">
        <f ca="1">IFERROR(__xludf.DUMMYFUNCTION("IF(ISBLANK(A323),"""",GOOGLETRANSLATE(A323,""en"",""fr""))"),"")</f>
        <v/>
      </c>
    </row>
    <row r="324" spans="2:2">
      <c r="B324" s="3" t="str">
        <f ca="1">IFERROR(__xludf.DUMMYFUNCTION("IF(ISBLANK(A324),"""",GOOGLETRANSLATE(A324,""en"",""fr""))"),"")</f>
        <v/>
      </c>
    </row>
    <row r="325" spans="2:2">
      <c r="B325" s="3" t="str">
        <f ca="1">IFERROR(__xludf.DUMMYFUNCTION("IF(ISBLANK(A325),"""",GOOGLETRANSLATE(A325,""en"",""fr""))"),"")</f>
        <v/>
      </c>
    </row>
    <row r="326" spans="2:2">
      <c r="B326" s="3" t="str">
        <f ca="1">IFERROR(__xludf.DUMMYFUNCTION("IF(ISBLANK(A326),"""",GOOGLETRANSLATE(A326,""en"",""fr""))"),"")</f>
        <v/>
      </c>
    </row>
    <row r="327" spans="2:2">
      <c r="B327" s="3" t="str">
        <f ca="1">IFERROR(__xludf.DUMMYFUNCTION("IF(ISBLANK(A327),"""",GOOGLETRANSLATE(A327,""en"",""fr""))"),"")</f>
        <v/>
      </c>
    </row>
    <row r="328" spans="2:2">
      <c r="B328" s="3" t="str">
        <f ca="1">IFERROR(__xludf.DUMMYFUNCTION("IF(ISBLANK(A328),"""",GOOGLETRANSLATE(A328,""en"",""fr""))"),"")</f>
        <v/>
      </c>
    </row>
    <row r="329" spans="2:2">
      <c r="B329" s="3" t="str">
        <f ca="1">IFERROR(__xludf.DUMMYFUNCTION("IF(ISBLANK(A329),"""",GOOGLETRANSLATE(A329,""en"",""fr""))"),"")</f>
        <v/>
      </c>
    </row>
    <row r="330" spans="2:2">
      <c r="B330" s="3" t="str">
        <f ca="1">IFERROR(__xludf.DUMMYFUNCTION("IF(ISBLANK(A330),"""",GOOGLETRANSLATE(A330,""en"",""fr""))"),"")</f>
        <v/>
      </c>
    </row>
    <row r="331" spans="2:2">
      <c r="B331" s="3" t="str">
        <f ca="1">IFERROR(__xludf.DUMMYFUNCTION("IF(ISBLANK(A331),"""",GOOGLETRANSLATE(A331,""en"",""fr""))"),"")</f>
        <v/>
      </c>
    </row>
    <row r="332" spans="2:2">
      <c r="B332" s="3" t="str">
        <f ca="1">IFERROR(__xludf.DUMMYFUNCTION("IF(ISBLANK(A332),"""",GOOGLETRANSLATE(A332,""en"",""fr""))"),"")</f>
        <v/>
      </c>
    </row>
    <row r="333" spans="2:2">
      <c r="B333" s="3" t="str">
        <f ca="1">IFERROR(__xludf.DUMMYFUNCTION("IF(ISBLANK(A333),"""",GOOGLETRANSLATE(A333,""en"",""fr""))"),"")</f>
        <v/>
      </c>
    </row>
    <row r="334" spans="2:2">
      <c r="B334" s="3" t="str">
        <f ca="1">IFERROR(__xludf.DUMMYFUNCTION("IF(ISBLANK(A334),"""",GOOGLETRANSLATE(A334,""en"",""fr""))"),"")</f>
        <v/>
      </c>
    </row>
    <row r="335" spans="2:2">
      <c r="B335" s="3" t="str">
        <f ca="1">IFERROR(__xludf.DUMMYFUNCTION("IF(ISBLANK(A335),"""",GOOGLETRANSLATE(A335,""en"",""fr""))"),"")</f>
        <v/>
      </c>
    </row>
    <row r="336" spans="2:2">
      <c r="B336" s="3" t="str">
        <f ca="1">IFERROR(__xludf.DUMMYFUNCTION("IF(ISBLANK(A336),"""",GOOGLETRANSLATE(A336,""en"",""fr""))"),"")</f>
        <v/>
      </c>
    </row>
    <row r="337" spans="2:2">
      <c r="B337" s="3" t="str">
        <f ca="1">IFERROR(__xludf.DUMMYFUNCTION("IF(ISBLANK(A337),"""",GOOGLETRANSLATE(A337,""en"",""fr""))"),"")</f>
        <v/>
      </c>
    </row>
    <row r="338" spans="2:2">
      <c r="B338" s="3" t="str">
        <f ca="1">IFERROR(__xludf.DUMMYFUNCTION("IF(ISBLANK(A338),"""",GOOGLETRANSLATE(A338,""en"",""fr""))"),"")</f>
        <v/>
      </c>
    </row>
    <row r="339" spans="2:2">
      <c r="B339" s="3" t="str">
        <f ca="1">IFERROR(__xludf.DUMMYFUNCTION("IF(ISBLANK(A339),"""",GOOGLETRANSLATE(A339,""en"",""fr""))"),"")</f>
        <v/>
      </c>
    </row>
    <row r="340" spans="2:2">
      <c r="B340" s="3" t="str">
        <f ca="1">IFERROR(__xludf.DUMMYFUNCTION("IF(ISBLANK(A340),"""",GOOGLETRANSLATE(A340,""en"",""fr""))"),"")</f>
        <v/>
      </c>
    </row>
    <row r="341" spans="2:2">
      <c r="B341" s="3" t="str">
        <f ca="1">IFERROR(__xludf.DUMMYFUNCTION("IF(ISBLANK(A341),"""",GOOGLETRANSLATE(A341,""en"",""fr""))"),"")</f>
        <v/>
      </c>
    </row>
    <row r="342" spans="2:2">
      <c r="B342" s="3" t="str">
        <f ca="1">IFERROR(__xludf.DUMMYFUNCTION("IF(ISBLANK(A342),"""",GOOGLETRANSLATE(A342,""en"",""fr""))"),"")</f>
        <v/>
      </c>
    </row>
    <row r="343" spans="2:2">
      <c r="B343" s="3" t="str">
        <f ca="1">IFERROR(__xludf.DUMMYFUNCTION("IF(ISBLANK(A343),"""",GOOGLETRANSLATE(A343,""en"",""fr""))"),"")</f>
        <v/>
      </c>
    </row>
    <row r="344" spans="2:2">
      <c r="B344" s="3" t="str">
        <f ca="1">IFERROR(__xludf.DUMMYFUNCTION("IF(ISBLANK(A344),"""",GOOGLETRANSLATE(A344,""en"",""fr""))"),"")</f>
        <v/>
      </c>
    </row>
    <row r="345" spans="2:2">
      <c r="B345" s="3" t="str">
        <f ca="1">IFERROR(__xludf.DUMMYFUNCTION("IF(ISBLANK(A345),"""",GOOGLETRANSLATE(A345,""en"",""fr""))"),"")</f>
        <v/>
      </c>
    </row>
    <row r="346" spans="2:2">
      <c r="B346" s="3" t="str">
        <f ca="1">IFERROR(__xludf.DUMMYFUNCTION("IF(ISBLANK(A346),"""",GOOGLETRANSLATE(A346,""en"",""fr""))"),"")</f>
        <v/>
      </c>
    </row>
    <row r="347" spans="2:2">
      <c r="B347" s="3" t="str">
        <f ca="1">IFERROR(__xludf.DUMMYFUNCTION("IF(ISBLANK(A347),"""",GOOGLETRANSLATE(A347,""en"",""fr""))"),"")</f>
        <v/>
      </c>
    </row>
    <row r="348" spans="2:2">
      <c r="B348" s="3" t="str">
        <f ca="1">IFERROR(__xludf.DUMMYFUNCTION("IF(ISBLANK(A348),"""",GOOGLETRANSLATE(A348,""en"",""fr""))"),"")</f>
        <v/>
      </c>
    </row>
    <row r="349" spans="2:2">
      <c r="B349" s="3" t="str">
        <f ca="1">IFERROR(__xludf.DUMMYFUNCTION("IF(ISBLANK(A349),"""",GOOGLETRANSLATE(A349,""en"",""fr""))"),"")</f>
        <v/>
      </c>
    </row>
    <row r="350" spans="2:2">
      <c r="B350" s="3" t="str">
        <f ca="1">IFERROR(__xludf.DUMMYFUNCTION("IF(ISBLANK(A350),"""",GOOGLETRANSLATE(A350,""en"",""fr""))"),"")</f>
        <v/>
      </c>
    </row>
    <row r="351" spans="2:2">
      <c r="B351" s="3" t="str">
        <f ca="1">IFERROR(__xludf.DUMMYFUNCTION("IF(ISBLANK(A351),"""",GOOGLETRANSLATE(A351,""en"",""fr""))"),"")</f>
        <v/>
      </c>
    </row>
    <row r="352" spans="2:2">
      <c r="B352" s="3" t="str">
        <f ca="1">IFERROR(__xludf.DUMMYFUNCTION("IF(ISBLANK(A352),"""",GOOGLETRANSLATE(A352,""en"",""fr""))"),"")</f>
        <v/>
      </c>
    </row>
    <row r="353" spans="2:2">
      <c r="B353" s="3" t="str">
        <f ca="1">IFERROR(__xludf.DUMMYFUNCTION("IF(ISBLANK(A353),"""",GOOGLETRANSLATE(A353,""en"",""fr""))"),"")</f>
        <v/>
      </c>
    </row>
    <row r="354" spans="2:2">
      <c r="B354" s="3" t="str">
        <f ca="1">IFERROR(__xludf.DUMMYFUNCTION("IF(ISBLANK(A354),"""",GOOGLETRANSLATE(A354,""en"",""fr""))"),"")</f>
        <v/>
      </c>
    </row>
    <row r="355" spans="2:2">
      <c r="B355" s="3" t="str">
        <f ca="1">IFERROR(__xludf.DUMMYFUNCTION("IF(ISBLANK(A355),"""",GOOGLETRANSLATE(A355,""en"",""fr""))"),"")</f>
        <v/>
      </c>
    </row>
    <row r="356" spans="2:2">
      <c r="B356" s="3" t="str">
        <f ca="1">IFERROR(__xludf.DUMMYFUNCTION("IF(ISBLANK(A356),"""",GOOGLETRANSLATE(A356,""en"",""fr""))"),"")</f>
        <v/>
      </c>
    </row>
    <row r="357" spans="2:2">
      <c r="B357" s="3" t="str">
        <f ca="1">IFERROR(__xludf.DUMMYFUNCTION("IF(ISBLANK(A357),"""",GOOGLETRANSLATE(A357,""en"",""fr""))"),"")</f>
        <v/>
      </c>
    </row>
    <row r="358" spans="2:2">
      <c r="B358" s="3" t="str">
        <f ca="1">IFERROR(__xludf.DUMMYFUNCTION("IF(ISBLANK(A358),"""",GOOGLETRANSLATE(A358,""en"",""fr""))"),"")</f>
        <v/>
      </c>
    </row>
    <row r="359" spans="2:2">
      <c r="B359" s="3" t="str">
        <f ca="1">IFERROR(__xludf.DUMMYFUNCTION("IF(ISBLANK(A359),"""",GOOGLETRANSLATE(A359,""en"",""fr""))"),"")</f>
        <v/>
      </c>
    </row>
    <row r="360" spans="2:2">
      <c r="B360" s="3" t="str">
        <f ca="1">IFERROR(__xludf.DUMMYFUNCTION("IF(ISBLANK(A360),"""",GOOGLETRANSLATE(A360,""en"",""fr""))"),"")</f>
        <v/>
      </c>
    </row>
    <row r="361" spans="2:2">
      <c r="B361" s="3" t="str">
        <f ca="1">IFERROR(__xludf.DUMMYFUNCTION("IF(ISBLANK(A361),"""",GOOGLETRANSLATE(A361,""en"",""fr""))"),"")</f>
        <v/>
      </c>
    </row>
    <row r="362" spans="2:2">
      <c r="B362" s="3" t="str">
        <f ca="1">IFERROR(__xludf.DUMMYFUNCTION("IF(ISBLANK(A362),"""",GOOGLETRANSLATE(A362,""en"",""fr""))"),"")</f>
        <v/>
      </c>
    </row>
    <row r="363" spans="2:2">
      <c r="B363" s="3" t="str">
        <f ca="1">IFERROR(__xludf.DUMMYFUNCTION("IF(ISBLANK(A363),"""",GOOGLETRANSLATE(A363,""en"",""fr""))"),"")</f>
        <v/>
      </c>
    </row>
    <row r="364" spans="2:2">
      <c r="B364" s="3" t="str">
        <f ca="1">IFERROR(__xludf.DUMMYFUNCTION("IF(ISBLANK(A364),"""",GOOGLETRANSLATE(A364,""en"",""fr""))"),"")</f>
        <v/>
      </c>
    </row>
    <row r="365" spans="2:2">
      <c r="B365" s="3" t="str">
        <f ca="1">IFERROR(__xludf.DUMMYFUNCTION("IF(ISBLANK(A365),"""",GOOGLETRANSLATE(A365,""en"",""fr""))"),"")</f>
        <v/>
      </c>
    </row>
    <row r="366" spans="2:2">
      <c r="B366" s="3" t="str">
        <f ca="1">IFERROR(__xludf.DUMMYFUNCTION("IF(ISBLANK(A366),"""",GOOGLETRANSLATE(A366,""en"",""fr""))"),"")</f>
        <v/>
      </c>
    </row>
    <row r="367" spans="2:2">
      <c r="B367" s="3" t="str">
        <f ca="1">IFERROR(__xludf.DUMMYFUNCTION("IF(ISBLANK(A367),"""",GOOGLETRANSLATE(A367,""en"",""fr""))"),"")</f>
        <v/>
      </c>
    </row>
    <row r="368" spans="2:2">
      <c r="B368" s="3" t="str">
        <f ca="1">IFERROR(__xludf.DUMMYFUNCTION("IF(ISBLANK(A368),"""",GOOGLETRANSLATE(A368,""en"",""fr""))"),"")</f>
        <v/>
      </c>
    </row>
    <row r="369" spans="2:2">
      <c r="B369" s="3" t="str">
        <f ca="1">IFERROR(__xludf.DUMMYFUNCTION("IF(ISBLANK(A369),"""",GOOGLETRANSLATE(A369,""en"",""fr""))"),"")</f>
        <v/>
      </c>
    </row>
    <row r="370" spans="2:2">
      <c r="B370" s="3" t="str">
        <f ca="1">IFERROR(__xludf.DUMMYFUNCTION("IF(ISBLANK(A370),"""",GOOGLETRANSLATE(A370,""en"",""fr""))"),"")</f>
        <v/>
      </c>
    </row>
    <row r="371" spans="2:2">
      <c r="B371" s="3" t="str">
        <f ca="1">IFERROR(__xludf.DUMMYFUNCTION("IF(ISBLANK(A371),"""",GOOGLETRANSLATE(A371,""en"",""fr""))"),"")</f>
        <v/>
      </c>
    </row>
    <row r="372" spans="2:2">
      <c r="B372" s="3" t="str">
        <f ca="1">IFERROR(__xludf.DUMMYFUNCTION("IF(ISBLANK(A372),"""",GOOGLETRANSLATE(A372,""en"",""fr""))"),"")</f>
        <v/>
      </c>
    </row>
    <row r="373" spans="2:2">
      <c r="B373" s="3" t="str">
        <f ca="1">IFERROR(__xludf.DUMMYFUNCTION("IF(ISBLANK(A373),"""",GOOGLETRANSLATE(A373,""en"",""fr""))"),"")</f>
        <v/>
      </c>
    </row>
    <row r="374" spans="2:2">
      <c r="B374" s="3" t="str">
        <f ca="1">IFERROR(__xludf.DUMMYFUNCTION("IF(ISBLANK(A374),"""",GOOGLETRANSLATE(A374,""en"",""fr""))"),"")</f>
        <v/>
      </c>
    </row>
    <row r="375" spans="2:2">
      <c r="B375" s="3" t="str">
        <f ca="1">IFERROR(__xludf.DUMMYFUNCTION("IF(ISBLANK(A375),"""",GOOGLETRANSLATE(A375,""en"",""fr""))"),"")</f>
        <v/>
      </c>
    </row>
    <row r="376" spans="2:2">
      <c r="B376" s="3" t="str">
        <f ca="1">IFERROR(__xludf.DUMMYFUNCTION("IF(ISBLANK(A376),"""",GOOGLETRANSLATE(A376,""en"",""fr""))"),"")</f>
        <v/>
      </c>
    </row>
    <row r="377" spans="2:2">
      <c r="B377" s="3" t="str">
        <f ca="1">IFERROR(__xludf.DUMMYFUNCTION("IF(ISBLANK(A377),"""",GOOGLETRANSLATE(A377,""en"",""fr""))"),"")</f>
        <v/>
      </c>
    </row>
    <row r="378" spans="2:2">
      <c r="B378" s="3" t="str">
        <f ca="1">IFERROR(__xludf.DUMMYFUNCTION("IF(ISBLANK(A378),"""",GOOGLETRANSLATE(A378,""en"",""fr""))"),"")</f>
        <v/>
      </c>
    </row>
    <row r="379" spans="2:2">
      <c r="B379" s="3" t="str">
        <f ca="1">IFERROR(__xludf.DUMMYFUNCTION("IF(ISBLANK(A379),"""",GOOGLETRANSLATE(A379,""en"",""fr""))"),"")</f>
        <v/>
      </c>
    </row>
    <row r="380" spans="2:2">
      <c r="B380" s="3" t="str">
        <f ca="1">IFERROR(__xludf.DUMMYFUNCTION("IF(ISBLANK(A380),"""",GOOGLETRANSLATE(A380,""en"",""fr""))"),"")</f>
        <v/>
      </c>
    </row>
    <row r="381" spans="2:2">
      <c r="B381" s="3" t="str">
        <f ca="1">IFERROR(__xludf.DUMMYFUNCTION("IF(ISBLANK(A381),"""",GOOGLETRANSLATE(A381,""en"",""fr""))"),"")</f>
        <v/>
      </c>
    </row>
    <row r="382" spans="2:2">
      <c r="B382" s="3" t="str">
        <f ca="1">IFERROR(__xludf.DUMMYFUNCTION("IF(ISBLANK(A382),"""",GOOGLETRANSLATE(A382,""en"",""fr""))"),"")</f>
        <v/>
      </c>
    </row>
    <row r="383" spans="2:2">
      <c r="B383" s="3" t="str">
        <f ca="1">IFERROR(__xludf.DUMMYFUNCTION("IF(ISBLANK(A383),"""",GOOGLETRANSLATE(A383,""en"",""fr""))"),"")</f>
        <v/>
      </c>
    </row>
    <row r="384" spans="2:2">
      <c r="B384" s="3" t="str">
        <f ca="1">IFERROR(__xludf.DUMMYFUNCTION("IF(ISBLANK(A384),"""",GOOGLETRANSLATE(A384,""en"",""fr""))"),"")</f>
        <v/>
      </c>
    </row>
    <row r="385" spans="2:2">
      <c r="B385" s="3" t="str">
        <f ca="1">IFERROR(__xludf.DUMMYFUNCTION("IF(ISBLANK(A385),"""",GOOGLETRANSLATE(A385,""en"",""fr""))"),"")</f>
        <v/>
      </c>
    </row>
    <row r="386" spans="2:2">
      <c r="B386" s="3" t="str">
        <f ca="1">IFERROR(__xludf.DUMMYFUNCTION("IF(ISBLANK(A386),"""",GOOGLETRANSLATE(A386,""en"",""fr""))"),"")</f>
        <v/>
      </c>
    </row>
    <row r="387" spans="2:2">
      <c r="B387" s="3" t="str">
        <f ca="1">IFERROR(__xludf.DUMMYFUNCTION("IF(ISBLANK(A387),"""",GOOGLETRANSLATE(A387,""en"",""fr""))"),"")</f>
        <v/>
      </c>
    </row>
    <row r="388" spans="2:2">
      <c r="B388" s="3" t="str">
        <f ca="1">IFERROR(__xludf.DUMMYFUNCTION("IF(ISBLANK(A388),"""",GOOGLETRANSLATE(A388,""en"",""fr""))"),"")</f>
        <v/>
      </c>
    </row>
    <row r="389" spans="2:2">
      <c r="B389" s="3" t="str">
        <f ca="1">IFERROR(__xludf.DUMMYFUNCTION("IF(ISBLANK(A389),"""",GOOGLETRANSLATE(A389,""en"",""fr""))"),"")</f>
        <v/>
      </c>
    </row>
    <row r="390" spans="2:2">
      <c r="B390" s="3" t="str">
        <f ca="1">IFERROR(__xludf.DUMMYFUNCTION("IF(ISBLANK(A390),"""",GOOGLETRANSLATE(A390,""en"",""fr""))"),"")</f>
        <v/>
      </c>
    </row>
    <row r="391" spans="2:2">
      <c r="B391" s="3" t="str">
        <f ca="1">IFERROR(__xludf.DUMMYFUNCTION("IF(ISBLANK(A391),"""",GOOGLETRANSLATE(A391,""en"",""fr""))"),"")</f>
        <v/>
      </c>
    </row>
    <row r="392" spans="2:2">
      <c r="B392" s="3" t="str">
        <f ca="1">IFERROR(__xludf.DUMMYFUNCTION("IF(ISBLANK(A392),"""",GOOGLETRANSLATE(A392,""en"",""fr""))"),"")</f>
        <v/>
      </c>
    </row>
    <row r="393" spans="2:2">
      <c r="B393" s="3" t="str">
        <f ca="1">IFERROR(__xludf.DUMMYFUNCTION("IF(ISBLANK(A393),"""",GOOGLETRANSLATE(A393,""en"",""fr""))"),"")</f>
        <v/>
      </c>
    </row>
    <row r="394" spans="2:2">
      <c r="B394" s="3" t="str">
        <f ca="1">IFERROR(__xludf.DUMMYFUNCTION("IF(ISBLANK(A394),"""",GOOGLETRANSLATE(A394,""en"",""fr""))"),"")</f>
        <v/>
      </c>
    </row>
    <row r="395" spans="2:2">
      <c r="B395" s="3" t="str">
        <f ca="1">IFERROR(__xludf.DUMMYFUNCTION("IF(ISBLANK(A395),"""",GOOGLETRANSLATE(A395,""en"",""fr""))"),"")</f>
        <v/>
      </c>
    </row>
    <row r="396" spans="2:2">
      <c r="B396" s="3" t="str">
        <f ca="1">IFERROR(__xludf.DUMMYFUNCTION("IF(ISBLANK(A396),"""",GOOGLETRANSLATE(A396,""en"",""fr""))"),"")</f>
        <v/>
      </c>
    </row>
    <row r="397" spans="2:2">
      <c r="B397" s="3" t="str">
        <f ca="1">IFERROR(__xludf.DUMMYFUNCTION("IF(ISBLANK(A397),"""",GOOGLETRANSLATE(A397,""en"",""fr""))"),"")</f>
        <v/>
      </c>
    </row>
    <row r="398" spans="2:2">
      <c r="B398" s="3" t="str">
        <f ca="1">IFERROR(__xludf.DUMMYFUNCTION("IF(ISBLANK(A398),"""",GOOGLETRANSLATE(A398,""en"",""fr""))"),"")</f>
        <v/>
      </c>
    </row>
    <row r="399" spans="2:2">
      <c r="B399" s="3" t="str">
        <f ca="1">IFERROR(__xludf.DUMMYFUNCTION("IF(ISBLANK(A399),"""",GOOGLETRANSLATE(A399,""en"",""fr""))"),"")</f>
        <v/>
      </c>
    </row>
    <row r="400" spans="2:2">
      <c r="B400" s="3" t="str">
        <f ca="1">IFERROR(__xludf.DUMMYFUNCTION("IF(ISBLANK(A400),"""",GOOGLETRANSLATE(A400,""en"",""fr""))"),"")</f>
        <v/>
      </c>
    </row>
    <row r="401" spans="2:2">
      <c r="B401" s="3" t="str">
        <f ca="1">IFERROR(__xludf.DUMMYFUNCTION("IF(ISBLANK(A401),"""",GOOGLETRANSLATE(A401,""en"",""fr""))"),"")</f>
        <v/>
      </c>
    </row>
    <row r="402" spans="2:2">
      <c r="B402" s="3" t="str">
        <f ca="1">IFERROR(__xludf.DUMMYFUNCTION("IF(ISBLANK(A402),"""",GOOGLETRANSLATE(A402,""en"",""fr""))"),"")</f>
        <v/>
      </c>
    </row>
    <row r="403" spans="2:2">
      <c r="B403" s="3" t="str">
        <f ca="1">IFERROR(__xludf.DUMMYFUNCTION("IF(ISBLANK(A403),"""",GOOGLETRANSLATE(A403,""en"",""fr""))"),"")</f>
        <v/>
      </c>
    </row>
    <row r="404" spans="2:2">
      <c r="B404" s="3" t="str">
        <f ca="1">IFERROR(__xludf.DUMMYFUNCTION("IF(ISBLANK(A404),"""",GOOGLETRANSLATE(A404,""en"",""fr""))"),"")</f>
        <v/>
      </c>
    </row>
    <row r="405" spans="2:2">
      <c r="B405" s="3" t="str">
        <f ca="1">IFERROR(__xludf.DUMMYFUNCTION("IF(ISBLANK(A405),"""",GOOGLETRANSLATE(A405,""en"",""fr""))"),"")</f>
        <v/>
      </c>
    </row>
    <row r="406" spans="2:2">
      <c r="B406" s="3" t="str">
        <f ca="1">IFERROR(__xludf.DUMMYFUNCTION("IF(ISBLANK(A406),"""",GOOGLETRANSLATE(A406,""en"",""fr""))"),"")</f>
        <v/>
      </c>
    </row>
    <row r="407" spans="2:2">
      <c r="B407" s="3" t="str">
        <f ca="1">IFERROR(__xludf.DUMMYFUNCTION("IF(ISBLANK(A407),"""",GOOGLETRANSLATE(A407,""en"",""fr""))"),"")</f>
        <v/>
      </c>
    </row>
    <row r="408" spans="2:2">
      <c r="B408" s="3" t="str">
        <f ca="1">IFERROR(__xludf.DUMMYFUNCTION("IF(ISBLANK(A408),"""",GOOGLETRANSLATE(A408,""en"",""fr""))"),"")</f>
        <v/>
      </c>
    </row>
    <row r="409" spans="2:2">
      <c r="B409" s="3" t="str">
        <f ca="1">IFERROR(__xludf.DUMMYFUNCTION("IF(ISBLANK(A409),"""",GOOGLETRANSLATE(A409,""en"",""fr""))"),"")</f>
        <v/>
      </c>
    </row>
    <row r="410" spans="2:2">
      <c r="B410" s="3" t="str">
        <f ca="1">IFERROR(__xludf.DUMMYFUNCTION("IF(ISBLANK(A410),"""",GOOGLETRANSLATE(A410,""en"",""fr""))"),"")</f>
        <v/>
      </c>
    </row>
    <row r="411" spans="2:2">
      <c r="B411" s="3" t="str">
        <f ca="1">IFERROR(__xludf.DUMMYFUNCTION("IF(ISBLANK(A411),"""",GOOGLETRANSLATE(A411,""en"",""fr""))"),"")</f>
        <v/>
      </c>
    </row>
    <row r="412" spans="2:2">
      <c r="B412" s="3" t="str">
        <f ca="1">IFERROR(__xludf.DUMMYFUNCTION("IF(ISBLANK(A412),"""",GOOGLETRANSLATE(A412,""en"",""fr""))"),"")</f>
        <v/>
      </c>
    </row>
    <row r="413" spans="2:2">
      <c r="B413" s="3" t="str">
        <f ca="1">IFERROR(__xludf.DUMMYFUNCTION("IF(ISBLANK(A413),"""",GOOGLETRANSLATE(A413,""en"",""fr""))"),"")</f>
        <v/>
      </c>
    </row>
    <row r="414" spans="2:2">
      <c r="B414" s="3" t="str">
        <f ca="1">IFERROR(__xludf.DUMMYFUNCTION("IF(ISBLANK(A414),"""",GOOGLETRANSLATE(A414,""en"",""fr""))"),"")</f>
        <v/>
      </c>
    </row>
    <row r="415" spans="2:2">
      <c r="B415" s="3" t="str">
        <f ca="1">IFERROR(__xludf.DUMMYFUNCTION("IF(ISBLANK(A415),"""",GOOGLETRANSLATE(A415,""en"",""fr""))"),"")</f>
        <v/>
      </c>
    </row>
    <row r="416" spans="2:2">
      <c r="B416" s="3" t="str">
        <f ca="1">IFERROR(__xludf.DUMMYFUNCTION("IF(ISBLANK(A416),"""",GOOGLETRANSLATE(A416,""en"",""fr""))"),"")</f>
        <v/>
      </c>
    </row>
    <row r="417" spans="2:2">
      <c r="B417" s="3" t="str">
        <f ca="1">IFERROR(__xludf.DUMMYFUNCTION("IF(ISBLANK(A417),"""",GOOGLETRANSLATE(A417,""en"",""fr""))"),"")</f>
        <v/>
      </c>
    </row>
    <row r="418" spans="2:2">
      <c r="B418" s="3" t="str">
        <f ca="1">IFERROR(__xludf.DUMMYFUNCTION("IF(ISBLANK(A418),"""",GOOGLETRANSLATE(A418,""en"",""fr""))"),"")</f>
        <v/>
      </c>
    </row>
    <row r="419" spans="2:2">
      <c r="B419" s="3" t="str">
        <f ca="1">IFERROR(__xludf.DUMMYFUNCTION("IF(ISBLANK(A419),"""",GOOGLETRANSLATE(A419,""en"",""fr""))"),"")</f>
        <v/>
      </c>
    </row>
    <row r="420" spans="2:2">
      <c r="B420" s="3" t="str">
        <f ca="1">IFERROR(__xludf.DUMMYFUNCTION("IF(ISBLANK(A420),"""",GOOGLETRANSLATE(A420,""en"",""fr""))"),"")</f>
        <v/>
      </c>
    </row>
    <row r="421" spans="2:2">
      <c r="B421" s="3" t="str">
        <f ca="1">IFERROR(__xludf.DUMMYFUNCTION("IF(ISBLANK(A421),"""",GOOGLETRANSLATE(A421,""en"",""fr""))"),"")</f>
        <v/>
      </c>
    </row>
    <row r="422" spans="2:2">
      <c r="B422" s="3" t="str">
        <f ca="1">IFERROR(__xludf.DUMMYFUNCTION("IF(ISBLANK(A422),"""",GOOGLETRANSLATE(A422,""en"",""fr""))"),"")</f>
        <v/>
      </c>
    </row>
    <row r="423" spans="2:2">
      <c r="B423" s="3" t="str">
        <f ca="1">IFERROR(__xludf.DUMMYFUNCTION("IF(ISBLANK(A423),"""",GOOGLETRANSLATE(A423,""en"",""fr""))"),"")</f>
        <v/>
      </c>
    </row>
    <row r="424" spans="2:2">
      <c r="B424" s="3" t="str">
        <f ca="1">IFERROR(__xludf.DUMMYFUNCTION("IF(ISBLANK(A424),"""",GOOGLETRANSLATE(A424,""en"",""fr""))"),"")</f>
        <v/>
      </c>
    </row>
    <row r="425" spans="2:2">
      <c r="B425" s="3" t="str">
        <f ca="1">IFERROR(__xludf.DUMMYFUNCTION("IF(ISBLANK(A425),"""",GOOGLETRANSLATE(A425,""en"",""fr""))"),"")</f>
        <v/>
      </c>
    </row>
    <row r="426" spans="2:2">
      <c r="B426" s="3" t="str">
        <f ca="1">IFERROR(__xludf.DUMMYFUNCTION("IF(ISBLANK(A426),"""",GOOGLETRANSLATE(A426,""en"",""fr""))"),"")</f>
        <v/>
      </c>
    </row>
    <row r="427" spans="2:2">
      <c r="B427" s="3" t="str">
        <f ca="1">IFERROR(__xludf.DUMMYFUNCTION("IF(ISBLANK(A427),"""",GOOGLETRANSLATE(A427,""en"",""fr""))"),"")</f>
        <v/>
      </c>
    </row>
    <row r="428" spans="2:2">
      <c r="B428" s="3" t="str">
        <f ca="1">IFERROR(__xludf.DUMMYFUNCTION("IF(ISBLANK(A428),"""",GOOGLETRANSLATE(A428,""en"",""fr""))"),"")</f>
        <v/>
      </c>
    </row>
    <row r="429" spans="2:2">
      <c r="B429" s="3" t="str">
        <f ca="1">IFERROR(__xludf.DUMMYFUNCTION("IF(ISBLANK(A429),"""",GOOGLETRANSLATE(A429,""en"",""fr""))"),"")</f>
        <v/>
      </c>
    </row>
    <row r="430" spans="2:2">
      <c r="B430" s="3" t="str">
        <f ca="1">IFERROR(__xludf.DUMMYFUNCTION("IF(ISBLANK(A430),"""",GOOGLETRANSLATE(A430,""en"",""fr""))"),"")</f>
        <v/>
      </c>
    </row>
    <row r="431" spans="2:2">
      <c r="B431" s="3" t="str">
        <f ca="1">IFERROR(__xludf.DUMMYFUNCTION("IF(ISBLANK(A431),"""",GOOGLETRANSLATE(A431,""en"",""fr""))"),"")</f>
        <v/>
      </c>
    </row>
    <row r="432" spans="2:2">
      <c r="B432" s="3" t="str">
        <f ca="1">IFERROR(__xludf.DUMMYFUNCTION("IF(ISBLANK(A432),"""",GOOGLETRANSLATE(A432,""en"",""fr""))"),"")</f>
        <v/>
      </c>
    </row>
    <row r="433" spans="2:2">
      <c r="B433" s="3" t="str">
        <f ca="1">IFERROR(__xludf.DUMMYFUNCTION("IF(ISBLANK(A433),"""",GOOGLETRANSLATE(A433,""en"",""fr""))"),"")</f>
        <v/>
      </c>
    </row>
    <row r="434" spans="2:2">
      <c r="B434" s="3" t="str">
        <f ca="1">IFERROR(__xludf.DUMMYFUNCTION("IF(ISBLANK(A434),"""",GOOGLETRANSLATE(A434,""en"",""fr""))"),"")</f>
        <v/>
      </c>
    </row>
    <row r="435" spans="2:2">
      <c r="B435" s="3" t="str">
        <f ca="1">IFERROR(__xludf.DUMMYFUNCTION("IF(ISBLANK(A435),"""",GOOGLETRANSLATE(A435,""en"",""fr""))"),"")</f>
        <v/>
      </c>
    </row>
    <row r="436" spans="2:2">
      <c r="B436" s="3" t="str">
        <f ca="1">IFERROR(__xludf.DUMMYFUNCTION("IF(ISBLANK(A436),"""",GOOGLETRANSLATE(A436,""en"",""fr""))"),"")</f>
        <v/>
      </c>
    </row>
    <row r="437" spans="2:2">
      <c r="B437" s="3" t="str">
        <f ca="1">IFERROR(__xludf.DUMMYFUNCTION("IF(ISBLANK(A437),"""",GOOGLETRANSLATE(A437,""en"",""fr""))"),"")</f>
        <v/>
      </c>
    </row>
    <row r="438" spans="2:2">
      <c r="B438" s="3" t="str">
        <f ca="1">IFERROR(__xludf.DUMMYFUNCTION("IF(ISBLANK(A438),"""",GOOGLETRANSLATE(A438,""en"",""fr""))"),"")</f>
        <v/>
      </c>
    </row>
    <row r="439" spans="2:2">
      <c r="B439" s="3" t="str">
        <f ca="1">IFERROR(__xludf.DUMMYFUNCTION("IF(ISBLANK(A439),"""",GOOGLETRANSLATE(A439,""en"",""fr""))"),"")</f>
        <v/>
      </c>
    </row>
    <row r="440" spans="2:2">
      <c r="B440" s="3" t="str">
        <f ca="1">IFERROR(__xludf.DUMMYFUNCTION("IF(ISBLANK(A440),"""",GOOGLETRANSLATE(A440,""en"",""fr""))"),"")</f>
        <v/>
      </c>
    </row>
    <row r="441" spans="2:2">
      <c r="B441" s="3" t="str">
        <f ca="1">IFERROR(__xludf.DUMMYFUNCTION("IF(ISBLANK(A441),"""",GOOGLETRANSLATE(A441,""en"",""fr""))"),"")</f>
        <v/>
      </c>
    </row>
    <row r="442" spans="2:2">
      <c r="B442" s="3" t="str">
        <f ca="1">IFERROR(__xludf.DUMMYFUNCTION("IF(ISBLANK(A442),"""",GOOGLETRANSLATE(A442,""en"",""fr""))"),"")</f>
        <v/>
      </c>
    </row>
    <row r="443" spans="2:2">
      <c r="B443" s="3" t="str">
        <f ca="1">IFERROR(__xludf.DUMMYFUNCTION("IF(ISBLANK(A443),"""",GOOGLETRANSLATE(A443,""en"",""fr""))"),"")</f>
        <v/>
      </c>
    </row>
    <row r="444" spans="2:2">
      <c r="B444" s="3" t="str">
        <f ca="1">IFERROR(__xludf.DUMMYFUNCTION("IF(ISBLANK(A444),"""",GOOGLETRANSLATE(A444,""en"",""fr""))"),"")</f>
        <v/>
      </c>
    </row>
    <row r="445" spans="2:2">
      <c r="B445" s="3" t="str">
        <f ca="1">IFERROR(__xludf.DUMMYFUNCTION("IF(ISBLANK(A445),"""",GOOGLETRANSLATE(A445,""en"",""fr""))"),"")</f>
        <v/>
      </c>
    </row>
    <row r="446" spans="2:2">
      <c r="B446" s="3" t="str">
        <f ca="1">IFERROR(__xludf.DUMMYFUNCTION("IF(ISBLANK(A446),"""",GOOGLETRANSLATE(A446,""en"",""fr""))"),"")</f>
        <v/>
      </c>
    </row>
    <row r="447" spans="2:2">
      <c r="B447" s="3" t="str">
        <f ca="1">IFERROR(__xludf.DUMMYFUNCTION("IF(ISBLANK(A447),"""",GOOGLETRANSLATE(A447,""en"",""fr""))"),"")</f>
        <v/>
      </c>
    </row>
    <row r="448" spans="2:2">
      <c r="B448" s="3" t="str">
        <f ca="1">IFERROR(__xludf.DUMMYFUNCTION("IF(ISBLANK(A448),"""",GOOGLETRANSLATE(A448,""en"",""fr""))"),"")</f>
        <v/>
      </c>
    </row>
    <row r="449" spans="2:2">
      <c r="B449" s="3" t="str">
        <f ca="1">IFERROR(__xludf.DUMMYFUNCTION("IF(ISBLANK(A449),"""",GOOGLETRANSLATE(A449,""en"",""fr""))"),"")</f>
        <v/>
      </c>
    </row>
    <row r="450" spans="2:2">
      <c r="B450" s="3" t="str">
        <f ca="1">IFERROR(__xludf.DUMMYFUNCTION("IF(ISBLANK(A450),"""",GOOGLETRANSLATE(A450,""en"",""fr""))"),"")</f>
        <v/>
      </c>
    </row>
    <row r="451" spans="2:2">
      <c r="B451" s="3" t="str">
        <f ca="1">IFERROR(__xludf.DUMMYFUNCTION("IF(ISBLANK(A451),"""",GOOGLETRANSLATE(A451,""en"",""fr""))"),"")</f>
        <v/>
      </c>
    </row>
    <row r="452" spans="2:2">
      <c r="B452" s="3" t="str">
        <f ca="1">IFERROR(__xludf.DUMMYFUNCTION("IF(ISBLANK(A452),"""",GOOGLETRANSLATE(A452,""en"",""fr""))"),"")</f>
        <v/>
      </c>
    </row>
    <row r="453" spans="2:2">
      <c r="B453" s="3" t="str">
        <f ca="1">IFERROR(__xludf.DUMMYFUNCTION("IF(ISBLANK(A453),"""",GOOGLETRANSLATE(A453,""en"",""fr""))"),"")</f>
        <v/>
      </c>
    </row>
    <row r="454" spans="2:2">
      <c r="B454" s="3" t="str">
        <f ca="1">IFERROR(__xludf.DUMMYFUNCTION("IF(ISBLANK(A454),"""",GOOGLETRANSLATE(A454,""en"",""fr""))"),"")</f>
        <v/>
      </c>
    </row>
    <row r="455" spans="2:2">
      <c r="B455" s="3" t="str">
        <f ca="1">IFERROR(__xludf.DUMMYFUNCTION("IF(ISBLANK(A455),"""",GOOGLETRANSLATE(A455,""en"",""fr""))"),"")</f>
        <v/>
      </c>
    </row>
    <row r="456" spans="2:2">
      <c r="B456" s="3" t="str">
        <f ca="1">IFERROR(__xludf.DUMMYFUNCTION("IF(ISBLANK(A456),"""",GOOGLETRANSLATE(A456,""en"",""fr""))"),"")</f>
        <v/>
      </c>
    </row>
    <row r="457" spans="2:2">
      <c r="B457" s="3" t="str">
        <f ca="1">IFERROR(__xludf.DUMMYFUNCTION("IF(ISBLANK(A457),"""",GOOGLETRANSLATE(A457,""en"",""fr""))"),"")</f>
        <v/>
      </c>
    </row>
    <row r="458" spans="2:2">
      <c r="B458" s="3" t="str">
        <f ca="1">IFERROR(__xludf.DUMMYFUNCTION("IF(ISBLANK(A458),"""",GOOGLETRANSLATE(A458,""en"",""fr""))"),"")</f>
        <v/>
      </c>
    </row>
    <row r="459" spans="2:2">
      <c r="B459" s="3" t="str">
        <f ca="1">IFERROR(__xludf.DUMMYFUNCTION("IF(ISBLANK(A459),"""",GOOGLETRANSLATE(A459,""en"",""fr""))"),"")</f>
        <v/>
      </c>
    </row>
    <row r="460" spans="2:2">
      <c r="B460" s="3" t="str">
        <f ca="1">IFERROR(__xludf.DUMMYFUNCTION("IF(ISBLANK(A460),"""",GOOGLETRANSLATE(A460,""en"",""fr""))"),"")</f>
        <v/>
      </c>
    </row>
    <row r="461" spans="2:2">
      <c r="B461" s="3" t="str">
        <f ca="1">IFERROR(__xludf.DUMMYFUNCTION("IF(ISBLANK(A461),"""",GOOGLETRANSLATE(A461,""en"",""fr""))"),"")</f>
        <v/>
      </c>
    </row>
    <row r="462" spans="2:2">
      <c r="B462" s="3" t="str">
        <f ca="1">IFERROR(__xludf.DUMMYFUNCTION("IF(ISBLANK(A462),"""",GOOGLETRANSLATE(A462,""en"",""fr""))"),"")</f>
        <v/>
      </c>
    </row>
    <row r="463" spans="2:2">
      <c r="B463" s="3" t="str">
        <f ca="1">IFERROR(__xludf.DUMMYFUNCTION("IF(ISBLANK(A463),"""",GOOGLETRANSLATE(A463,""en"",""fr""))"),"")</f>
        <v/>
      </c>
    </row>
    <row r="464" spans="2:2">
      <c r="B464" s="3" t="str">
        <f ca="1">IFERROR(__xludf.DUMMYFUNCTION("IF(ISBLANK(A464),"""",GOOGLETRANSLATE(A464,""en"",""fr""))"),"")</f>
        <v/>
      </c>
    </row>
    <row r="465" spans="2:2">
      <c r="B465" s="3" t="str">
        <f ca="1">IFERROR(__xludf.DUMMYFUNCTION("IF(ISBLANK(A465),"""",GOOGLETRANSLATE(A465,""en"",""fr""))"),"")</f>
        <v/>
      </c>
    </row>
    <row r="466" spans="2:2">
      <c r="B466" s="3" t="str">
        <f ca="1">IFERROR(__xludf.DUMMYFUNCTION("IF(ISBLANK(A466),"""",GOOGLETRANSLATE(A466,""en"",""fr""))"),"")</f>
        <v/>
      </c>
    </row>
    <row r="467" spans="2:2">
      <c r="B467" s="3" t="str">
        <f ca="1">IFERROR(__xludf.DUMMYFUNCTION("IF(ISBLANK(A467),"""",GOOGLETRANSLATE(A467,""en"",""fr""))"),"")</f>
        <v/>
      </c>
    </row>
    <row r="468" spans="2:2">
      <c r="B468" s="3" t="str">
        <f ca="1">IFERROR(__xludf.DUMMYFUNCTION("IF(ISBLANK(A468),"""",GOOGLETRANSLATE(A468,""en"",""fr""))"),"")</f>
        <v/>
      </c>
    </row>
    <row r="469" spans="2:2">
      <c r="B469" s="3" t="str">
        <f ca="1">IFERROR(__xludf.DUMMYFUNCTION("IF(ISBLANK(A469),"""",GOOGLETRANSLATE(A469,""en"",""fr""))"),"")</f>
        <v/>
      </c>
    </row>
    <row r="470" spans="2:2">
      <c r="B470" s="3" t="str">
        <f ca="1">IFERROR(__xludf.DUMMYFUNCTION("IF(ISBLANK(A470),"""",GOOGLETRANSLATE(A470,""en"",""fr""))"),"")</f>
        <v/>
      </c>
    </row>
    <row r="471" spans="2:2">
      <c r="B471" s="3" t="str">
        <f ca="1">IFERROR(__xludf.DUMMYFUNCTION("IF(ISBLANK(A471),"""",GOOGLETRANSLATE(A471,""en"",""fr""))"),"")</f>
        <v/>
      </c>
    </row>
    <row r="472" spans="2:2">
      <c r="B472" s="3" t="str">
        <f ca="1">IFERROR(__xludf.DUMMYFUNCTION("IF(ISBLANK(A472),"""",GOOGLETRANSLATE(A472,""en"",""fr""))"),"")</f>
        <v/>
      </c>
    </row>
    <row r="473" spans="2:2">
      <c r="B473" s="3" t="str">
        <f ca="1">IFERROR(__xludf.DUMMYFUNCTION("IF(ISBLANK(A473),"""",GOOGLETRANSLATE(A473,""en"",""fr""))"),"")</f>
        <v/>
      </c>
    </row>
    <row r="474" spans="2:2">
      <c r="B474" s="3" t="str">
        <f ca="1">IFERROR(__xludf.DUMMYFUNCTION("IF(ISBLANK(A474),"""",GOOGLETRANSLATE(A474,""en"",""fr""))"),"")</f>
        <v/>
      </c>
    </row>
    <row r="475" spans="2:2">
      <c r="B475" s="3" t="str">
        <f ca="1">IFERROR(__xludf.DUMMYFUNCTION("IF(ISBLANK(A475),"""",GOOGLETRANSLATE(A475,""en"",""fr""))"),"")</f>
        <v/>
      </c>
    </row>
    <row r="476" spans="2:2">
      <c r="B476" s="3" t="str">
        <f ca="1">IFERROR(__xludf.DUMMYFUNCTION("IF(ISBLANK(A476),"""",GOOGLETRANSLATE(A476,""en"",""fr""))"),"")</f>
        <v/>
      </c>
    </row>
    <row r="477" spans="2:2">
      <c r="B477" s="3" t="str">
        <f ca="1">IFERROR(__xludf.DUMMYFUNCTION("IF(ISBLANK(A477),"""",GOOGLETRANSLATE(A477,""en"",""fr""))"),"")</f>
        <v/>
      </c>
    </row>
    <row r="478" spans="2:2">
      <c r="B478" s="3" t="str">
        <f ca="1">IFERROR(__xludf.DUMMYFUNCTION("IF(ISBLANK(A478),"""",GOOGLETRANSLATE(A478,""en"",""fr""))"),"")</f>
        <v/>
      </c>
    </row>
    <row r="479" spans="2:2">
      <c r="B479" s="3" t="str">
        <f ca="1">IFERROR(__xludf.DUMMYFUNCTION("IF(ISBLANK(A479),"""",GOOGLETRANSLATE(A479,""en"",""fr""))"),"")</f>
        <v/>
      </c>
    </row>
    <row r="480" spans="2:2">
      <c r="B480" s="3" t="str">
        <f ca="1">IFERROR(__xludf.DUMMYFUNCTION("IF(ISBLANK(A480),"""",GOOGLETRANSLATE(A480,""en"",""fr""))"),"")</f>
        <v/>
      </c>
    </row>
    <row r="481" spans="2:2">
      <c r="B481" s="3" t="str">
        <f ca="1">IFERROR(__xludf.DUMMYFUNCTION("IF(ISBLANK(A481),"""",GOOGLETRANSLATE(A481,""en"",""fr""))"),"")</f>
        <v/>
      </c>
    </row>
    <row r="482" spans="2:2">
      <c r="B482" s="3" t="str">
        <f ca="1">IFERROR(__xludf.DUMMYFUNCTION("IF(ISBLANK(A482),"""",GOOGLETRANSLATE(A482,""en"",""fr""))"),"")</f>
        <v/>
      </c>
    </row>
    <row r="483" spans="2:2">
      <c r="B483" s="3" t="str">
        <f ca="1">IFERROR(__xludf.DUMMYFUNCTION("IF(ISBLANK(A483),"""",GOOGLETRANSLATE(A483,""en"",""fr""))"),"")</f>
        <v/>
      </c>
    </row>
    <row r="484" spans="2:2">
      <c r="B484" s="3" t="str">
        <f ca="1">IFERROR(__xludf.DUMMYFUNCTION("IF(ISBLANK(A484),"""",GOOGLETRANSLATE(A484,""en"",""fr""))"),"")</f>
        <v/>
      </c>
    </row>
    <row r="485" spans="2:2">
      <c r="B485" s="3" t="str">
        <f ca="1">IFERROR(__xludf.DUMMYFUNCTION("IF(ISBLANK(A485),"""",GOOGLETRANSLATE(A485,""en"",""fr""))"),"")</f>
        <v/>
      </c>
    </row>
    <row r="486" spans="2:2">
      <c r="B486" s="3" t="str">
        <f ca="1">IFERROR(__xludf.DUMMYFUNCTION("IF(ISBLANK(A486),"""",GOOGLETRANSLATE(A486,""en"",""fr""))"),"")</f>
        <v/>
      </c>
    </row>
    <row r="487" spans="2:2">
      <c r="B487" s="3" t="str">
        <f ca="1">IFERROR(__xludf.DUMMYFUNCTION("IF(ISBLANK(A487),"""",GOOGLETRANSLATE(A487,""en"",""fr""))"),"")</f>
        <v/>
      </c>
    </row>
    <row r="488" spans="2:2">
      <c r="B488" s="3" t="str">
        <f ca="1">IFERROR(__xludf.DUMMYFUNCTION("IF(ISBLANK(A488),"""",GOOGLETRANSLATE(A488,""en"",""fr""))"),"")</f>
        <v/>
      </c>
    </row>
    <row r="489" spans="2:2">
      <c r="B489" s="3" t="str">
        <f ca="1">IFERROR(__xludf.DUMMYFUNCTION("IF(ISBLANK(A489),"""",GOOGLETRANSLATE(A489,""en"",""fr""))"),"")</f>
        <v/>
      </c>
    </row>
    <row r="490" spans="2:2">
      <c r="B490" s="3" t="str">
        <f ca="1">IFERROR(__xludf.DUMMYFUNCTION("IF(ISBLANK(A490),"""",GOOGLETRANSLATE(A490,""en"",""fr""))"),"")</f>
        <v/>
      </c>
    </row>
    <row r="491" spans="2:2">
      <c r="B491" s="3" t="str">
        <f ca="1">IFERROR(__xludf.DUMMYFUNCTION("IF(ISBLANK(A491),"""",GOOGLETRANSLATE(A491,""en"",""fr""))"),"")</f>
        <v/>
      </c>
    </row>
    <row r="492" spans="2:2">
      <c r="B492" s="3" t="str">
        <f ca="1">IFERROR(__xludf.DUMMYFUNCTION("IF(ISBLANK(A492),"""",GOOGLETRANSLATE(A492,""en"",""fr""))"),"")</f>
        <v/>
      </c>
    </row>
    <row r="493" spans="2:2">
      <c r="B493" s="3" t="str">
        <f ca="1">IFERROR(__xludf.DUMMYFUNCTION("IF(ISBLANK(A493),"""",GOOGLETRANSLATE(A493,""en"",""fr""))"),"")</f>
        <v/>
      </c>
    </row>
    <row r="494" spans="2:2">
      <c r="B494" s="3" t="str">
        <f ca="1">IFERROR(__xludf.DUMMYFUNCTION("IF(ISBLANK(A494),"""",GOOGLETRANSLATE(A494,""en"",""fr""))"),"")</f>
        <v/>
      </c>
    </row>
    <row r="495" spans="2:2">
      <c r="B495" s="3" t="str">
        <f ca="1">IFERROR(__xludf.DUMMYFUNCTION("IF(ISBLANK(A495),"""",GOOGLETRANSLATE(A495,""en"",""fr""))"),"")</f>
        <v/>
      </c>
    </row>
    <row r="496" spans="2:2">
      <c r="B496" s="3" t="str">
        <f ca="1">IFERROR(__xludf.DUMMYFUNCTION("IF(ISBLANK(A496),"""",GOOGLETRANSLATE(A496,""en"",""fr""))"),"")</f>
        <v/>
      </c>
    </row>
    <row r="497" spans="2:2">
      <c r="B497" s="3" t="str">
        <f ca="1">IFERROR(__xludf.DUMMYFUNCTION("IF(ISBLANK(A497),"""",GOOGLETRANSLATE(A497,""en"",""fr""))"),"")</f>
        <v/>
      </c>
    </row>
    <row r="498" spans="2:2">
      <c r="B498" s="3" t="str">
        <f ca="1">IFERROR(__xludf.DUMMYFUNCTION("IF(ISBLANK(A498),"""",GOOGLETRANSLATE(A498,""en"",""fr""))"),"")</f>
        <v/>
      </c>
    </row>
    <row r="499" spans="2:2">
      <c r="B499" s="3" t="str">
        <f ca="1">IFERROR(__xludf.DUMMYFUNCTION("IF(ISBLANK(A499),"""",GOOGLETRANSLATE(A499,""en"",""fr""))"),"")</f>
        <v/>
      </c>
    </row>
    <row r="500" spans="2:2">
      <c r="B500" s="3" t="str">
        <f ca="1">IFERROR(__xludf.DUMMYFUNCTION("IF(ISBLANK(A500),"""",GOOGLETRANSLATE(A500,""en"",""fr""))"),"")</f>
        <v/>
      </c>
    </row>
    <row r="501" spans="2:2">
      <c r="B501" s="3" t="str">
        <f ca="1">IFERROR(__xludf.DUMMYFUNCTION("IF(ISBLANK(A501),"""",GOOGLETRANSLATE(A501,""en"",""fr""))"),"")</f>
        <v/>
      </c>
    </row>
    <row r="502" spans="2:2">
      <c r="B502" s="3" t="str">
        <f ca="1">IFERROR(__xludf.DUMMYFUNCTION("IF(ISBLANK(A502),"""",GOOGLETRANSLATE(A502,""en"",""fr""))"),"")</f>
        <v/>
      </c>
    </row>
    <row r="503" spans="2:2">
      <c r="B503" s="3" t="str">
        <f ca="1">IFERROR(__xludf.DUMMYFUNCTION("IF(ISBLANK(A503),"""",GOOGLETRANSLATE(A503,""en"",""fr""))"),"")</f>
        <v/>
      </c>
    </row>
    <row r="504" spans="2:2">
      <c r="B504" s="3" t="str">
        <f ca="1">IFERROR(__xludf.DUMMYFUNCTION("IF(ISBLANK(A504),"""",GOOGLETRANSLATE(A504,""en"",""fr""))"),"")</f>
        <v/>
      </c>
    </row>
    <row r="505" spans="2:2">
      <c r="B505" s="3" t="str">
        <f ca="1">IFERROR(__xludf.DUMMYFUNCTION("IF(ISBLANK(A505),"""",GOOGLETRANSLATE(A505,""en"",""fr""))"),"")</f>
        <v/>
      </c>
    </row>
    <row r="506" spans="2:2">
      <c r="B506" s="3" t="str">
        <f ca="1">IFERROR(__xludf.DUMMYFUNCTION("IF(ISBLANK(A506),"""",GOOGLETRANSLATE(A506,""en"",""fr""))"),"")</f>
        <v/>
      </c>
    </row>
    <row r="507" spans="2:2">
      <c r="B507" s="3" t="str">
        <f ca="1">IFERROR(__xludf.DUMMYFUNCTION("IF(ISBLANK(A507),"""",GOOGLETRANSLATE(A507,""en"",""fr""))"),"")</f>
        <v/>
      </c>
    </row>
    <row r="508" spans="2:2">
      <c r="B508" s="3" t="str">
        <f ca="1">IFERROR(__xludf.DUMMYFUNCTION("IF(ISBLANK(A508),"""",GOOGLETRANSLATE(A508,""en"",""fr""))"),"")</f>
        <v/>
      </c>
    </row>
    <row r="509" spans="2:2">
      <c r="B509" s="3" t="str">
        <f ca="1">IFERROR(__xludf.DUMMYFUNCTION("IF(ISBLANK(A509),"""",GOOGLETRANSLATE(A509,""en"",""fr""))"),"")</f>
        <v/>
      </c>
    </row>
    <row r="510" spans="2:2">
      <c r="B510" s="3" t="str">
        <f ca="1">IFERROR(__xludf.DUMMYFUNCTION("IF(ISBLANK(A510),"""",GOOGLETRANSLATE(A510,""en"",""fr""))"),"")</f>
        <v/>
      </c>
    </row>
    <row r="511" spans="2:2">
      <c r="B511" s="3" t="str">
        <f ca="1">IFERROR(__xludf.DUMMYFUNCTION("IF(ISBLANK(A511),"""",GOOGLETRANSLATE(A511,""en"",""fr""))"),"")</f>
        <v/>
      </c>
    </row>
    <row r="512" spans="2:2">
      <c r="B512" s="3" t="str">
        <f ca="1">IFERROR(__xludf.DUMMYFUNCTION("IF(ISBLANK(A512),"""",GOOGLETRANSLATE(A512,""en"",""fr""))"),"")</f>
        <v/>
      </c>
    </row>
    <row r="513" spans="2:2">
      <c r="B513" s="3" t="str">
        <f ca="1">IFERROR(__xludf.DUMMYFUNCTION("IF(ISBLANK(A513),"""",GOOGLETRANSLATE(A513,""en"",""fr""))"),"")</f>
        <v/>
      </c>
    </row>
    <row r="514" spans="2:2">
      <c r="B514" s="3" t="str">
        <f ca="1">IFERROR(__xludf.DUMMYFUNCTION("IF(ISBLANK(A514),"""",GOOGLETRANSLATE(A514,""en"",""fr""))"),"")</f>
        <v/>
      </c>
    </row>
    <row r="515" spans="2:2">
      <c r="B515" s="3" t="str">
        <f ca="1">IFERROR(__xludf.DUMMYFUNCTION("IF(ISBLANK(A515),"""",GOOGLETRANSLATE(A515,""en"",""fr""))"),"")</f>
        <v/>
      </c>
    </row>
    <row r="516" spans="2:2">
      <c r="B516" s="3" t="str">
        <f ca="1">IFERROR(__xludf.DUMMYFUNCTION("IF(ISBLANK(A516),"""",GOOGLETRANSLATE(A516,""en"",""fr""))"),"")</f>
        <v/>
      </c>
    </row>
    <row r="517" spans="2:2">
      <c r="B517" s="3" t="str">
        <f ca="1">IFERROR(__xludf.DUMMYFUNCTION("IF(ISBLANK(A517),"""",GOOGLETRANSLATE(A517,""en"",""fr""))"),"")</f>
        <v/>
      </c>
    </row>
    <row r="518" spans="2:2">
      <c r="B518" s="3" t="str">
        <f ca="1">IFERROR(__xludf.DUMMYFUNCTION("IF(ISBLANK(A518),"""",GOOGLETRANSLATE(A518,""en"",""fr""))"),"")</f>
        <v/>
      </c>
    </row>
    <row r="519" spans="2:2">
      <c r="B519" s="3" t="str">
        <f ca="1">IFERROR(__xludf.DUMMYFUNCTION("IF(ISBLANK(A519),"""",GOOGLETRANSLATE(A519,""en"",""fr""))"),"")</f>
        <v/>
      </c>
    </row>
    <row r="520" spans="2:2">
      <c r="B520" s="3" t="str">
        <f ca="1">IFERROR(__xludf.DUMMYFUNCTION("IF(ISBLANK(A520),"""",GOOGLETRANSLATE(A520,""en"",""fr""))"),"")</f>
        <v/>
      </c>
    </row>
    <row r="521" spans="2:2">
      <c r="B521" s="3" t="str">
        <f ca="1">IFERROR(__xludf.DUMMYFUNCTION("IF(ISBLANK(A521),"""",GOOGLETRANSLATE(A521,""en"",""fr""))"),"")</f>
        <v/>
      </c>
    </row>
    <row r="522" spans="2:2">
      <c r="B522" s="3" t="str">
        <f ca="1">IFERROR(__xludf.DUMMYFUNCTION("IF(ISBLANK(A522),"""",GOOGLETRANSLATE(A522,""en"",""fr""))"),"")</f>
        <v/>
      </c>
    </row>
    <row r="523" spans="2:2">
      <c r="B523" s="3" t="str">
        <f ca="1">IFERROR(__xludf.DUMMYFUNCTION("IF(ISBLANK(A523),"""",GOOGLETRANSLATE(A523,""en"",""fr""))"),"")</f>
        <v/>
      </c>
    </row>
    <row r="524" spans="2:2">
      <c r="B524" s="3" t="str">
        <f ca="1">IFERROR(__xludf.DUMMYFUNCTION("IF(ISBLANK(A524),"""",GOOGLETRANSLATE(A524,""en"",""fr""))"),"")</f>
        <v/>
      </c>
    </row>
    <row r="525" spans="2:2">
      <c r="B525" s="3" t="str">
        <f ca="1">IFERROR(__xludf.DUMMYFUNCTION("IF(ISBLANK(A525),"""",GOOGLETRANSLATE(A525,""en"",""fr""))"),"")</f>
        <v/>
      </c>
    </row>
    <row r="526" spans="2:2">
      <c r="B526" s="3" t="str">
        <f ca="1">IFERROR(__xludf.DUMMYFUNCTION("IF(ISBLANK(A526),"""",GOOGLETRANSLATE(A526,""en"",""fr""))"),"")</f>
        <v/>
      </c>
    </row>
    <row r="527" spans="2:2">
      <c r="B527" s="3" t="str">
        <f ca="1">IFERROR(__xludf.DUMMYFUNCTION("IF(ISBLANK(A527),"""",GOOGLETRANSLATE(A527,""en"",""fr""))"),"")</f>
        <v/>
      </c>
    </row>
    <row r="528" spans="2:2">
      <c r="B528" s="3" t="str">
        <f ca="1">IFERROR(__xludf.DUMMYFUNCTION("IF(ISBLANK(A528),"""",GOOGLETRANSLATE(A528,""en"",""fr""))"),"")</f>
        <v/>
      </c>
    </row>
    <row r="529" spans="2:2">
      <c r="B529" s="3" t="str">
        <f ca="1">IFERROR(__xludf.DUMMYFUNCTION("IF(ISBLANK(A529),"""",GOOGLETRANSLATE(A529,""en"",""fr""))"),"")</f>
        <v/>
      </c>
    </row>
    <row r="530" spans="2:2">
      <c r="B530" s="3" t="str">
        <f ca="1">IFERROR(__xludf.DUMMYFUNCTION("IF(ISBLANK(A530),"""",GOOGLETRANSLATE(A530,""en"",""fr""))"),"")</f>
        <v/>
      </c>
    </row>
    <row r="531" spans="2:2">
      <c r="B531" s="3" t="str">
        <f ca="1">IFERROR(__xludf.DUMMYFUNCTION("IF(ISBLANK(A531),"""",GOOGLETRANSLATE(A531,""en"",""fr""))"),"")</f>
        <v/>
      </c>
    </row>
    <row r="532" spans="2:2">
      <c r="B532" s="3" t="str">
        <f ca="1">IFERROR(__xludf.DUMMYFUNCTION("IF(ISBLANK(A532),"""",GOOGLETRANSLATE(A532,""en"",""fr""))"),"")</f>
        <v/>
      </c>
    </row>
    <row r="533" spans="2:2">
      <c r="B533" s="3" t="str">
        <f ca="1">IFERROR(__xludf.DUMMYFUNCTION("IF(ISBLANK(A533),"""",GOOGLETRANSLATE(A533,""en"",""fr""))"),"")</f>
        <v/>
      </c>
    </row>
    <row r="534" spans="2:2">
      <c r="B534" s="3" t="str">
        <f ca="1">IFERROR(__xludf.DUMMYFUNCTION("IF(ISBLANK(A534),"""",GOOGLETRANSLATE(A534,""en"",""fr""))"),"")</f>
        <v/>
      </c>
    </row>
    <row r="535" spans="2:2">
      <c r="B535" s="3" t="str">
        <f ca="1">IFERROR(__xludf.DUMMYFUNCTION("IF(ISBLANK(A535),"""",GOOGLETRANSLATE(A535,""en"",""fr""))"),"")</f>
        <v/>
      </c>
    </row>
    <row r="536" spans="2:2">
      <c r="B536" s="3" t="str">
        <f ca="1">IFERROR(__xludf.DUMMYFUNCTION("IF(ISBLANK(A536),"""",GOOGLETRANSLATE(A536,""en"",""fr""))"),"")</f>
        <v/>
      </c>
    </row>
    <row r="537" spans="2:2">
      <c r="B537" s="3" t="str">
        <f ca="1">IFERROR(__xludf.DUMMYFUNCTION("IF(ISBLANK(A537),"""",GOOGLETRANSLATE(A537,""en"",""fr""))"),"")</f>
        <v/>
      </c>
    </row>
    <row r="538" spans="2:2">
      <c r="B538" s="3" t="str">
        <f ca="1">IFERROR(__xludf.DUMMYFUNCTION("IF(ISBLANK(A538),"""",GOOGLETRANSLATE(A538,""en"",""fr""))"),"")</f>
        <v/>
      </c>
    </row>
    <row r="539" spans="2:2">
      <c r="B539" s="3" t="str">
        <f ca="1">IFERROR(__xludf.DUMMYFUNCTION("IF(ISBLANK(A539),"""",GOOGLETRANSLATE(A539,""en"",""fr""))"),"")</f>
        <v/>
      </c>
    </row>
    <row r="540" spans="2:2">
      <c r="B540" s="3" t="str">
        <f ca="1">IFERROR(__xludf.DUMMYFUNCTION("IF(ISBLANK(A540),"""",GOOGLETRANSLATE(A540,""en"",""fr""))"),"")</f>
        <v/>
      </c>
    </row>
    <row r="541" spans="2:2">
      <c r="B541" s="3" t="str">
        <f ca="1">IFERROR(__xludf.DUMMYFUNCTION("IF(ISBLANK(A541),"""",GOOGLETRANSLATE(A541,""en"",""fr""))"),"")</f>
        <v/>
      </c>
    </row>
    <row r="542" spans="2:2">
      <c r="B542" s="3" t="str">
        <f ca="1">IFERROR(__xludf.DUMMYFUNCTION("IF(ISBLANK(A542),"""",GOOGLETRANSLATE(A542,""en"",""fr""))"),"")</f>
        <v/>
      </c>
    </row>
    <row r="543" spans="2:2">
      <c r="B543" s="3" t="str">
        <f ca="1">IFERROR(__xludf.DUMMYFUNCTION("IF(ISBLANK(A543),"""",GOOGLETRANSLATE(A543,""en"",""fr""))"),"")</f>
        <v/>
      </c>
    </row>
    <row r="544" spans="2:2">
      <c r="B544" s="3" t="str">
        <f ca="1">IFERROR(__xludf.DUMMYFUNCTION("IF(ISBLANK(A544),"""",GOOGLETRANSLATE(A544,""en"",""fr""))"),"")</f>
        <v/>
      </c>
    </row>
    <row r="545" spans="2:2">
      <c r="B545" s="3" t="str">
        <f ca="1">IFERROR(__xludf.DUMMYFUNCTION("IF(ISBLANK(A545),"""",GOOGLETRANSLATE(A545,""en"",""fr""))"),"")</f>
        <v/>
      </c>
    </row>
    <row r="546" spans="2:2">
      <c r="B546" s="3" t="str">
        <f ca="1">IFERROR(__xludf.DUMMYFUNCTION("IF(ISBLANK(A546),"""",GOOGLETRANSLATE(A546,""en"",""fr""))"),"")</f>
        <v/>
      </c>
    </row>
    <row r="547" spans="2:2">
      <c r="B547" s="3" t="str">
        <f ca="1">IFERROR(__xludf.DUMMYFUNCTION("IF(ISBLANK(A547),"""",GOOGLETRANSLATE(A547,""en"",""fr""))"),"")</f>
        <v/>
      </c>
    </row>
    <row r="548" spans="2:2">
      <c r="B548" s="3" t="str">
        <f ca="1">IFERROR(__xludf.DUMMYFUNCTION("IF(ISBLANK(A548),"""",GOOGLETRANSLATE(A548,""en"",""fr""))"),"")</f>
        <v/>
      </c>
    </row>
    <row r="549" spans="2:2">
      <c r="B549" s="3" t="str">
        <f ca="1">IFERROR(__xludf.DUMMYFUNCTION("IF(ISBLANK(A549),"""",GOOGLETRANSLATE(A549,""en"",""fr""))"),"")</f>
        <v/>
      </c>
    </row>
    <row r="550" spans="2:2">
      <c r="B550" s="3" t="str">
        <f ca="1">IFERROR(__xludf.DUMMYFUNCTION("IF(ISBLANK(A550),"""",GOOGLETRANSLATE(A550,""en"",""fr""))"),"")</f>
        <v/>
      </c>
    </row>
    <row r="551" spans="2:2">
      <c r="B551" s="3" t="str">
        <f ca="1">IFERROR(__xludf.DUMMYFUNCTION("IF(ISBLANK(A551),"""",GOOGLETRANSLATE(A551,""en"",""fr""))"),"")</f>
        <v/>
      </c>
    </row>
    <row r="552" spans="2:2">
      <c r="B552" s="3" t="str">
        <f ca="1">IFERROR(__xludf.DUMMYFUNCTION("IF(ISBLANK(A552),"""",GOOGLETRANSLATE(A552,""en"",""fr""))"),"")</f>
        <v/>
      </c>
    </row>
    <row r="553" spans="2:2">
      <c r="B553" s="3" t="str">
        <f ca="1">IFERROR(__xludf.DUMMYFUNCTION("IF(ISBLANK(A553),"""",GOOGLETRANSLATE(A553,""en"",""fr""))"),"")</f>
        <v/>
      </c>
    </row>
    <row r="554" spans="2:2">
      <c r="B554" s="3" t="str">
        <f ca="1">IFERROR(__xludf.DUMMYFUNCTION("IF(ISBLANK(A554),"""",GOOGLETRANSLATE(A554,""en"",""fr""))"),"")</f>
        <v/>
      </c>
    </row>
    <row r="555" spans="2:2">
      <c r="B555" s="3" t="str">
        <f ca="1">IFERROR(__xludf.DUMMYFUNCTION("IF(ISBLANK(A555),"""",GOOGLETRANSLATE(A555,""en"",""fr""))"),"")</f>
        <v/>
      </c>
    </row>
    <row r="556" spans="2:2">
      <c r="B556" s="3" t="str">
        <f ca="1">IFERROR(__xludf.DUMMYFUNCTION("IF(ISBLANK(A556),"""",GOOGLETRANSLATE(A556,""en"",""fr""))"),"")</f>
        <v/>
      </c>
    </row>
    <row r="557" spans="2:2">
      <c r="B557" s="3" t="str">
        <f ca="1">IFERROR(__xludf.DUMMYFUNCTION("IF(ISBLANK(A557),"""",GOOGLETRANSLATE(A557,""en"",""fr""))"),"")</f>
        <v/>
      </c>
    </row>
    <row r="558" spans="2:2">
      <c r="B558" s="3" t="str">
        <f ca="1">IFERROR(__xludf.DUMMYFUNCTION("IF(ISBLANK(A558),"""",GOOGLETRANSLATE(A558,""en"",""fr""))"),"")</f>
        <v/>
      </c>
    </row>
    <row r="559" spans="2:2">
      <c r="B559" s="3" t="str">
        <f ca="1">IFERROR(__xludf.DUMMYFUNCTION("IF(ISBLANK(A559),"""",GOOGLETRANSLATE(A559,""en"",""fr""))"),"")</f>
        <v/>
      </c>
    </row>
    <row r="560" spans="2:2">
      <c r="B560" s="3" t="str">
        <f ca="1">IFERROR(__xludf.DUMMYFUNCTION("IF(ISBLANK(A560),"""",GOOGLETRANSLATE(A560,""en"",""fr""))"),"")</f>
        <v/>
      </c>
    </row>
    <row r="561" spans="2:2">
      <c r="B561" s="3" t="str">
        <f ca="1">IFERROR(__xludf.DUMMYFUNCTION("IF(ISBLANK(A561),"""",GOOGLETRANSLATE(A561,""en"",""fr""))"),"")</f>
        <v/>
      </c>
    </row>
    <row r="562" spans="2:2">
      <c r="B562" s="3" t="str">
        <f ca="1">IFERROR(__xludf.DUMMYFUNCTION("IF(ISBLANK(A562),"""",GOOGLETRANSLATE(A562,""en"",""fr""))"),"")</f>
        <v/>
      </c>
    </row>
    <row r="563" spans="2:2">
      <c r="B563" s="3" t="str">
        <f ca="1">IFERROR(__xludf.DUMMYFUNCTION("IF(ISBLANK(A563),"""",GOOGLETRANSLATE(A563,""en"",""fr""))"),"")</f>
        <v/>
      </c>
    </row>
    <row r="564" spans="2:2">
      <c r="B564" s="3" t="str">
        <f ca="1">IFERROR(__xludf.DUMMYFUNCTION("IF(ISBLANK(A564),"""",GOOGLETRANSLATE(A564,""en"",""fr""))"),"")</f>
        <v/>
      </c>
    </row>
    <row r="565" spans="2:2">
      <c r="B565" s="3" t="str">
        <f ca="1">IFERROR(__xludf.DUMMYFUNCTION("IF(ISBLANK(A565),"""",GOOGLETRANSLATE(A565,""en"",""fr""))"),"")</f>
        <v/>
      </c>
    </row>
    <row r="566" spans="2:2">
      <c r="B566" s="3" t="str">
        <f ca="1">IFERROR(__xludf.DUMMYFUNCTION("IF(ISBLANK(A566),"""",GOOGLETRANSLATE(A566,""en"",""fr""))"),"")</f>
        <v/>
      </c>
    </row>
    <row r="567" spans="2:2">
      <c r="B567" s="3" t="str">
        <f ca="1">IFERROR(__xludf.DUMMYFUNCTION("IF(ISBLANK(A567),"""",GOOGLETRANSLATE(A567,""en"",""fr""))"),"")</f>
        <v/>
      </c>
    </row>
    <row r="568" spans="2:2">
      <c r="B568" s="3" t="str">
        <f ca="1">IFERROR(__xludf.DUMMYFUNCTION("IF(ISBLANK(A568),"""",GOOGLETRANSLATE(A568,""en"",""fr""))"),"")</f>
        <v/>
      </c>
    </row>
    <row r="569" spans="2:2">
      <c r="B569" s="3" t="str">
        <f ca="1">IFERROR(__xludf.DUMMYFUNCTION("IF(ISBLANK(A569),"""",GOOGLETRANSLATE(A569,""en"",""fr""))"),"")</f>
        <v/>
      </c>
    </row>
    <row r="570" spans="2:2">
      <c r="B570" s="3" t="str">
        <f ca="1">IFERROR(__xludf.DUMMYFUNCTION("IF(ISBLANK(A570),"""",GOOGLETRANSLATE(A570,""en"",""fr""))"),"")</f>
        <v/>
      </c>
    </row>
    <row r="571" spans="2:2">
      <c r="B571" s="3" t="str">
        <f ca="1">IFERROR(__xludf.DUMMYFUNCTION("IF(ISBLANK(A571),"""",GOOGLETRANSLATE(A571,""en"",""fr""))"),"")</f>
        <v/>
      </c>
    </row>
    <row r="572" spans="2:2">
      <c r="B572" s="3" t="str">
        <f ca="1">IFERROR(__xludf.DUMMYFUNCTION("IF(ISBLANK(A572),"""",GOOGLETRANSLATE(A572,""en"",""fr""))"),"")</f>
        <v/>
      </c>
    </row>
    <row r="573" spans="2:2">
      <c r="B573" s="3" t="str">
        <f ca="1">IFERROR(__xludf.DUMMYFUNCTION("IF(ISBLANK(A573),"""",GOOGLETRANSLATE(A573,""en"",""fr""))"),"")</f>
        <v/>
      </c>
    </row>
    <row r="574" spans="2:2">
      <c r="B574" s="3" t="str">
        <f ca="1">IFERROR(__xludf.DUMMYFUNCTION("IF(ISBLANK(A574),"""",GOOGLETRANSLATE(A574,""en"",""fr""))"),"")</f>
        <v/>
      </c>
    </row>
    <row r="575" spans="2:2">
      <c r="B575" s="3" t="str">
        <f ca="1">IFERROR(__xludf.DUMMYFUNCTION("IF(ISBLANK(A575),"""",GOOGLETRANSLATE(A575,""en"",""fr""))"),"")</f>
        <v/>
      </c>
    </row>
    <row r="576" spans="2:2">
      <c r="B576" s="3" t="str">
        <f ca="1">IFERROR(__xludf.DUMMYFUNCTION("IF(ISBLANK(A576),"""",GOOGLETRANSLATE(A576,""en"",""fr""))"),"")</f>
        <v/>
      </c>
    </row>
    <row r="577" spans="2:2">
      <c r="B577" s="3" t="str">
        <f ca="1">IFERROR(__xludf.DUMMYFUNCTION("IF(ISBLANK(A577),"""",GOOGLETRANSLATE(A577,""en"",""fr""))"),"")</f>
        <v/>
      </c>
    </row>
    <row r="578" spans="2:2">
      <c r="B578" s="3" t="str">
        <f ca="1">IFERROR(__xludf.DUMMYFUNCTION("IF(ISBLANK(A578),"""",GOOGLETRANSLATE(A578,""en"",""fr""))"),"")</f>
        <v/>
      </c>
    </row>
    <row r="579" spans="2:2">
      <c r="B579" s="3" t="str">
        <f ca="1">IFERROR(__xludf.DUMMYFUNCTION("IF(ISBLANK(A579),"""",GOOGLETRANSLATE(A579,""en"",""fr""))"),"")</f>
        <v/>
      </c>
    </row>
    <row r="580" spans="2:2">
      <c r="B580" s="3" t="str">
        <f ca="1">IFERROR(__xludf.DUMMYFUNCTION("IF(ISBLANK(A580),"""",GOOGLETRANSLATE(A580,""en"",""fr""))"),"")</f>
        <v/>
      </c>
    </row>
    <row r="581" spans="2:2">
      <c r="B581" s="3" t="str">
        <f ca="1">IFERROR(__xludf.DUMMYFUNCTION("IF(ISBLANK(A581),"""",GOOGLETRANSLATE(A581,""en"",""fr""))"),"")</f>
        <v/>
      </c>
    </row>
    <row r="582" spans="2:2">
      <c r="B582" s="3" t="str">
        <f ca="1">IFERROR(__xludf.DUMMYFUNCTION("IF(ISBLANK(A582),"""",GOOGLETRANSLATE(A582,""en"",""fr""))"),"")</f>
        <v/>
      </c>
    </row>
    <row r="583" spans="2:2">
      <c r="B583" s="3" t="str">
        <f ca="1">IFERROR(__xludf.DUMMYFUNCTION("IF(ISBLANK(A583),"""",GOOGLETRANSLATE(A583,""en"",""fr""))"),"")</f>
        <v/>
      </c>
    </row>
    <row r="584" spans="2:2">
      <c r="B584" s="3" t="str">
        <f ca="1">IFERROR(__xludf.DUMMYFUNCTION("IF(ISBLANK(A584),"""",GOOGLETRANSLATE(A584,""en"",""fr""))"),"")</f>
        <v/>
      </c>
    </row>
    <row r="585" spans="2:2">
      <c r="B585" s="3" t="str">
        <f ca="1">IFERROR(__xludf.DUMMYFUNCTION("IF(ISBLANK(A585),"""",GOOGLETRANSLATE(A585,""en"",""fr""))"),"")</f>
        <v/>
      </c>
    </row>
    <row r="586" spans="2:2">
      <c r="B586" s="3" t="str">
        <f ca="1">IFERROR(__xludf.DUMMYFUNCTION("IF(ISBLANK(A586),"""",GOOGLETRANSLATE(A586,""en"",""fr""))"),"")</f>
        <v/>
      </c>
    </row>
    <row r="587" spans="2:2">
      <c r="B587" s="3" t="str">
        <f ca="1">IFERROR(__xludf.DUMMYFUNCTION("IF(ISBLANK(A587),"""",GOOGLETRANSLATE(A587,""en"",""fr""))"),"")</f>
        <v/>
      </c>
    </row>
    <row r="588" spans="2:2">
      <c r="B588" s="3" t="str">
        <f ca="1">IFERROR(__xludf.DUMMYFUNCTION("IF(ISBLANK(A588),"""",GOOGLETRANSLATE(A588,""en"",""fr""))"),"")</f>
        <v/>
      </c>
    </row>
    <row r="589" spans="2:2">
      <c r="B589" s="3" t="str">
        <f ca="1">IFERROR(__xludf.DUMMYFUNCTION("IF(ISBLANK(A589),"""",GOOGLETRANSLATE(A589,""en"",""fr""))"),"")</f>
        <v/>
      </c>
    </row>
    <row r="590" spans="2:2">
      <c r="B590" s="3" t="str">
        <f ca="1">IFERROR(__xludf.DUMMYFUNCTION("IF(ISBLANK(A590),"""",GOOGLETRANSLATE(A590,""en"",""fr""))"),"")</f>
        <v/>
      </c>
    </row>
    <row r="591" spans="2:2">
      <c r="B591" s="3" t="str">
        <f ca="1">IFERROR(__xludf.DUMMYFUNCTION("IF(ISBLANK(A591),"""",GOOGLETRANSLATE(A591,""en"",""fr""))"),"")</f>
        <v/>
      </c>
    </row>
    <row r="592" spans="2:2">
      <c r="B592" s="3" t="str">
        <f ca="1">IFERROR(__xludf.DUMMYFUNCTION("IF(ISBLANK(A592),"""",GOOGLETRANSLATE(A592,""en"",""fr""))"),"")</f>
        <v/>
      </c>
    </row>
    <row r="593" spans="2:2">
      <c r="B593" s="3" t="str">
        <f ca="1">IFERROR(__xludf.DUMMYFUNCTION("IF(ISBLANK(A593),"""",GOOGLETRANSLATE(A593,""en"",""fr""))"),"")</f>
        <v/>
      </c>
    </row>
    <row r="594" spans="2:2">
      <c r="B594" s="3" t="str">
        <f ca="1">IFERROR(__xludf.DUMMYFUNCTION("IF(ISBLANK(A594),"""",GOOGLETRANSLATE(A594,""en"",""fr""))"),"")</f>
        <v/>
      </c>
    </row>
    <row r="595" spans="2:2">
      <c r="B595" s="3" t="str">
        <f ca="1">IFERROR(__xludf.DUMMYFUNCTION("IF(ISBLANK(A595),"""",GOOGLETRANSLATE(A595,""en"",""fr""))"),"")</f>
        <v/>
      </c>
    </row>
    <row r="596" spans="2:2">
      <c r="B596" s="3" t="str">
        <f ca="1">IFERROR(__xludf.DUMMYFUNCTION("IF(ISBLANK(A596),"""",GOOGLETRANSLATE(A596,""en"",""fr""))"),"")</f>
        <v/>
      </c>
    </row>
    <row r="597" spans="2:2">
      <c r="B597" s="3" t="str">
        <f ca="1">IFERROR(__xludf.DUMMYFUNCTION("IF(ISBLANK(A597),"""",GOOGLETRANSLATE(A597,""en"",""fr""))"),"")</f>
        <v/>
      </c>
    </row>
    <row r="598" spans="2:2">
      <c r="B598" s="3" t="str">
        <f ca="1">IFERROR(__xludf.DUMMYFUNCTION("IF(ISBLANK(A598),"""",GOOGLETRANSLATE(A598,""en"",""fr""))"),"")</f>
        <v/>
      </c>
    </row>
    <row r="599" spans="2:2">
      <c r="B599" s="3" t="str">
        <f ca="1">IFERROR(__xludf.DUMMYFUNCTION("IF(ISBLANK(A599),"""",GOOGLETRANSLATE(A599,""en"",""fr""))"),"")</f>
        <v/>
      </c>
    </row>
    <row r="600" spans="2:2">
      <c r="B600" s="3" t="str">
        <f ca="1">IFERROR(__xludf.DUMMYFUNCTION("IF(ISBLANK(A600),"""",GOOGLETRANSLATE(A600,""en"",""fr""))"),"")</f>
        <v/>
      </c>
    </row>
    <row r="601" spans="2:2">
      <c r="B601" s="3" t="str">
        <f ca="1">IFERROR(__xludf.DUMMYFUNCTION("IF(ISBLANK(A601),"""",GOOGLETRANSLATE(A601,""en"",""fr""))"),"")</f>
        <v/>
      </c>
    </row>
    <row r="602" spans="2:2">
      <c r="B602" s="3" t="str">
        <f ca="1">IFERROR(__xludf.DUMMYFUNCTION("IF(ISBLANK(A602),"""",GOOGLETRANSLATE(A602,""en"",""fr""))"),"")</f>
        <v/>
      </c>
    </row>
    <row r="603" spans="2:2">
      <c r="B603" s="3" t="str">
        <f ca="1">IFERROR(__xludf.DUMMYFUNCTION("IF(ISBLANK(A603),"""",GOOGLETRANSLATE(A603,""en"",""fr""))"),"")</f>
        <v/>
      </c>
    </row>
    <row r="604" spans="2:2">
      <c r="B604" s="3" t="str">
        <f ca="1">IFERROR(__xludf.DUMMYFUNCTION("IF(ISBLANK(A604),"""",GOOGLETRANSLATE(A604,""en"",""fr""))"),"")</f>
        <v/>
      </c>
    </row>
    <row r="605" spans="2:2">
      <c r="B605" s="3" t="str">
        <f ca="1">IFERROR(__xludf.DUMMYFUNCTION("IF(ISBLANK(A605),"""",GOOGLETRANSLATE(A605,""en"",""fr""))"),"")</f>
        <v/>
      </c>
    </row>
    <row r="606" spans="2:2">
      <c r="B606" s="3" t="str">
        <f ca="1">IFERROR(__xludf.DUMMYFUNCTION("IF(ISBLANK(A606),"""",GOOGLETRANSLATE(A606,""en"",""fr""))"),"")</f>
        <v/>
      </c>
    </row>
    <row r="607" spans="2:2">
      <c r="B607" s="3" t="str">
        <f ca="1">IFERROR(__xludf.DUMMYFUNCTION("IF(ISBLANK(A607),"""",GOOGLETRANSLATE(A607,""en"",""fr""))"),"")</f>
        <v/>
      </c>
    </row>
    <row r="608" spans="2:2">
      <c r="B608" s="3" t="str">
        <f ca="1">IFERROR(__xludf.DUMMYFUNCTION("IF(ISBLANK(A608),"""",GOOGLETRANSLATE(A608,""en"",""fr""))"),"")</f>
        <v/>
      </c>
    </row>
    <row r="609" spans="2:2">
      <c r="B609" s="3" t="str">
        <f ca="1">IFERROR(__xludf.DUMMYFUNCTION("IF(ISBLANK(A609),"""",GOOGLETRANSLATE(A609,""en"",""fr""))"),"")</f>
        <v/>
      </c>
    </row>
    <row r="610" spans="2:2">
      <c r="B610" s="3" t="str">
        <f ca="1">IFERROR(__xludf.DUMMYFUNCTION("IF(ISBLANK(A610),"""",GOOGLETRANSLATE(A610,""en"",""fr""))"),"")</f>
        <v/>
      </c>
    </row>
    <row r="611" spans="2:2">
      <c r="B611" s="3" t="str">
        <f ca="1">IFERROR(__xludf.DUMMYFUNCTION("IF(ISBLANK(A611),"""",GOOGLETRANSLATE(A611,""en"",""fr""))"),"")</f>
        <v/>
      </c>
    </row>
    <row r="612" spans="2:2">
      <c r="B612" s="3" t="str">
        <f ca="1">IFERROR(__xludf.DUMMYFUNCTION("IF(ISBLANK(A612),"""",GOOGLETRANSLATE(A612,""en"",""fr""))"),"")</f>
        <v/>
      </c>
    </row>
    <row r="613" spans="2:2">
      <c r="B613" s="3" t="str">
        <f ca="1">IFERROR(__xludf.DUMMYFUNCTION("IF(ISBLANK(A613),"""",GOOGLETRANSLATE(A613,""en"",""fr""))"),"")</f>
        <v/>
      </c>
    </row>
    <row r="614" spans="2:2">
      <c r="B614" s="3" t="str">
        <f ca="1">IFERROR(__xludf.DUMMYFUNCTION("IF(ISBLANK(A614),"""",GOOGLETRANSLATE(A614,""en"",""fr""))"),"")</f>
        <v/>
      </c>
    </row>
    <row r="615" spans="2:2">
      <c r="B615" s="3" t="str">
        <f ca="1">IFERROR(__xludf.DUMMYFUNCTION("IF(ISBLANK(A615),"""",GOOGLETRANSLATE(A615,""en"",""fr""))"),"")</f>
        <v/>
      </c>
    </row>
    <row r="616" spans="2:2">
      <c r="B616" s="3" t="str">
        <f ca="1">IFERROR(__xludf.DUMMYFUNCTION("IF(ISBLANK(A616),"""",GOOGLETRANSLATE(A616,""en"",""fr""))"),"")</f>
        <v/>
      </c>
    </row>
    <row r="617" spans="2:2">
      <c r="B617" s="3" t="str">
        <f ca="1">IFERROR(__xludf.DUMMYFUNCTION("IF(ISBLANK(A617),"""",GOOGLETRANSLATE(A617,""en"",""fr""))"),"")</f>
        <v/>
      </c>
    </row>
    <row r="618" spans="2:2">
      <c r="B618" s="3" t="str">
        <f ca="1">IFERROR(__xludf.DUMMYFUNCTION("IF(ISBLANK(A618),"""",GOOGLETRANSLATE(A618,""en"",""fr""))"),"")</f>
        <v/>
      </c>
    </row>
    <row r="619" spans="2:2">
      <c r="B619" s="3" t="str">
        <f ca="1">IFERROR(__xludf.DUMMYFUNCTION("IF(ISBLANK(A619),"""",GOOGLETRANSLATE(A619,""en"",""fr""))"),"")</f>
        <v/>
      </c>
    </row>
    <row r="620" spans="2:2">
      <c r="B620" s="3" t="str">
        <f ca="1">IFERROR(__xludf.DUMMYFUNCTION("IF(ISBLANK(A620),"""",GOOGLETRANSLATE(A620,""en"",""fr""))"),"")</f>
        <v/>
      </c>
    </row>
    <row r="621" spans="2:2">
      <c r="B621" s="3" t="str">
        <f ca="1">IFERROR(__xludf.DUMMYFUNCTION("IF(ISBLANK(A621),"""",GOOGLETRANSLATE(A621,""en"",""fr""))"),"")</f>
        <v/>
      </c>
    </row>
    <row r="622" spans="2:2">
      <c r="B622" s="3" t="str">
        <f ca="1">IFERROR(__xludf.DUMMYFUNCTION("IF(ISBLANK(A622),"""",GOOGLETRANSLATE(A622,""en"",""fr""))"),"")</f>
        <v/>
      </c>
    </row>
    <row r="623" spans="2:2">
      <c r="B623" s="3" t="str">
        <f ca="1">IFERROR(__xludf.DUMMYFUNCTION("IF(ISBLANK(A623),"""",GOOGLETRANSLATE(A623,""en"",""fr""))"),"")</f>
        <v/>
      </c>
    </row>
    <row r="624" spans="2:2">
      <c r="B624" s="3" t="str">
        <f ca="1">IFERROR(__xludf.DUMMYFUNCTION("IF(ISBLANK(A624),"""",GOOGLETRANSLATE(A624,""en"",""fr""))"),"")</f>
        <v/>
      </c>
    </row>
    <row r="625" spans="2:2">
      <c r="B625" s="3" t="str">
        <f ca="1">IFERROR(__xludf.DUMMYFUNCTION("IF(ISBLANK(A625),"""",GOOGLETRANSLATE(A625,""en"",""fr""))"),"")</f>
        <v/>
      </c>
    </row>
    <row r="626" spans="2:2">
      <c r="B626" s="3" t="str">
        <f ca="1">IFERROR(__xludf.DUMMYFUNCTION("IF(ISBLANK(A626),"""",GOOGLETRANSLATE(A626,""en"",""fr""))"),"")</f>
        <v/>
      </c>
    </row>
    <row r="627" spans="2:2">
      <c r="B627" s="3" t="str">
        <f ca="1">IFERROR(__xludf.DUMMYFUNCTION("IF(ISBLANK(A627),"""",GOOGLETRANSLATE(A627,""en"",""fr""))"),"")</f>
        <v/>
      </c>
    </row>
    <row r="628" spans="2:2">
      <c r="B628" s="3" t="str">
        <f ca="1">IFERROR(__xludf.DUMMYFUNCTION("IF(ISBLANK(A628),"""",GOOGLETRANSLATE(A628,""en"",""fr""))"),"")</f>
        <v/>
      </c>
    </row>
    <row r="629" spans="2:2">
      <c r="B629" s="3" t="str">
        <f ca="1">IFERROR(__xludf.DUMMYFUNCTION("IF(ISBLANK(A629),"""",GOOGLETRANSLATE(A629,""en"",""fr""))"),"")</f>
        <v/>
      </c>
    </row>
    <row r="630" spans="2:2">
      <c r="B630" s="3" t="str">
        <f ca="1">IFERROR(__xludf.DUMMYFUNCTION("IF(ISBLANK(A630),"""",GOOGLETRANSLATE(A630,""en"",""fr""))"),"")</f>
        <v/>
      </c>
    </row>
    <row r="631" spans="2:2">
      <c r="B631" s="3" t="str">
        <f ca="1">IFERROR(__xludf.DUMMYFUNCTION("IF(ISBLANK(A631),"""",GOOGLETRANSLATE(A631,""en"",""fr""))"),"")</f>
        <v/>
      </c>
    </row>
    <row r="632" spans="2:2">
      <c r="B632" s="3" t="str">
        <f ca="1">IFERROR(__xludf.DUMMYFUNCTION("IF(ISBLANK(A632),"""",GOOGLETRANSLATE(A632,""en"",""fr""))"),"")</f>
        <v/>
      </c>
    </row>
    <row r="633" spans="2:2">
      <c r="B633" s="3" t="str">
        <f ca="1">IFERROR(__xludf.DUMMYFUNCTION("IF(ISBLANK(A633),"""",GOOGLETRANSLATE(A633,""en"",""fr""))"),"")</f>
        <v/>
      </c>
    </row>
    <row r="634" spans="2:2">
      <c r="B634" s="3" t="str">
        <f ca="1">IFERROR(__xludf.DUMMYFUNCTION("IF(ISBLANK(A634),"""",GOOGLETRANSLATE(A634,""en"",""fr""))"),"")</f>
        <v/>
      </c>
    </row>
    <row r="635" spans="2:2">
      <c r="B635" s="3" t="str">
        <f ca="1">IFERROR(__xludf.DUMMYFUNCTION("IF(ISBLANK(A635),"""",GOOGLETRANSLATE(A635,""en"",""fr""))"),"")</f>
        <v/>
      </c>
    </row>
    <row r="636" spans="2:2">
      <c r="B636" s="3" t="str">
        <f ca="1">IFERROR(__xludf.DUMMYFUNCTION("IF(ISBLANK(A636),"""",GOOGLETRANSLATE(A636,""en"",""fr""))"),"")</f>
        <v/>
      </c>
    </row>
    <row r="637" spans="2:2">
      <c r="B637" s="3" t="str">
        <f ca="1">IFERROR(__xludf.DUMMYFUNCTION("IF(ISBLANK(A637),"""",GOOGLETRANSLATE(A637,""en"",""fr""))"),"")</f>
        <v/>
      </c>
    </row>
    <row r="638" spans="2:2">
      <c r="B638" s="3" t="str">
        <f ca="1">IFERROR(__xludf.DUMMYFUNCTION("IF(ISBLANK(A638),"""",GOOGLETRANSLATE(A638,""en"",""fr""))"),"")</f>
        <v/>
      </c>
    </row>
    <row r="639" spans="2:2">
      <c r="B639" s="3" t="str">
        <f ca="1">IFERROR(__xludf.DUMMYFUNCTION("IF(ISBLANK(A639),"""",GOOGLETRANSLATE(A639,""en"",""fr""))"),"")</f>
        <v/>
      </c>
    </row>
    <row r="640" spans="2:2">
      <c r="B640" s="3" t="str">
        <f ca="1">IFERROR(__xludf.DUMMYFUNCTION("IF(ISBLANK(A640),"""",GOOGLETRANSLATE(A640,""en"",""fr""))"),"")</f>
        <v/>
      </c>
    </row>
    <row r="641" spans="2:2">
      <c r="B641" s="3" t="str">
        <f ca="1">IFERROR(__xludf.DUMMYFUNCTION("IF(ISBLANK(A641),"""",GOOGLETRANSLATE(A641,""en"",""fr""))"),"")</f>
        <v/>
      </c>
    </row>
    <row r="642" spans="2:2">
      <c r="B642" s="3" t="str">
        <f ca="1">IFERROR(__xludf.DUMMYFUNCTION("IF(ISBLANK(A642),"""",GOOGLETRANSLATE(A642,""en"",""fr""))"),"")</f>
        <v/>
      </c>
    </row>
    <row r="643" spans="2:2">
      <c r="B643" s="3" t="str">
        <f ca="1">IFERROR(__xludf.DUMMYFUNCTION("IF(ISBLANK(A643),"""",GOOGLETRANSLATE(A643,""en"",""fr""))"),"")</f>
        <v/>
      </c>
    </row>
    <row r="644" spans="2:2">
      <c r="B644" s="3" t="str">
        <f ca="1">IFERROR(__xludf.DUMMYFUNCTION("IF(ISBLANK(A644),"""",GOOGLETRANSLATE(A644,""en"",""fr""))"),"")</f>
        <v/>
      </c>
    </row>
    <row r="645" spans="2:2">
      <c r="B645" s="3" t="str">
        <f ca="1">IFERROR(__xludf.DUMMYFUNCTION("IF(ISBLANK(A645),"""",GOOGLETRANSLATE(A645,""en"",""fr""))"),"")</f>
        <v/>
      </c>
    </row>
    <row r="646" spans="2:2">
      <c r="B646" s="3" t="str">
        <f ca="1">IFERROR(__xludf.DUMMYFUNCTION("IF(ISBLANK(A646),"""",GOOGLETRANSLATE(A646,""en"",""fr""))"),"")</f>
        <v/>
      </c>
    </row>
    <row r="647" spans="2:2">
      <c r="B647" s="3" t="str">
        <f ca="1">IFERROR(__xludf.DUMMYFUNCTION("IF(ISBLANK(A647),"""",GOOGLETRANSLATE(A647,""en"",""fr""))"),"")</f>
        <v/>
      </c>
    </row>
    <row r="648" spans="2:2">
      <c r="B648" s="3" t="str">
        <f ca="1">IFERROR(__xludf.DUMMYFUNCTION("IF(ISBLANK(A648),"""",GOOGLETRANSLATE(A648,""en"",""fr""))"),"")</f>
        <v/>
      </c>
    </row>
    <row r="649" spans="2:2">
      <c r="B649" s="3" t="str">
        <f ca="1">IFERROR(__xludf.DUMMYFUNCTION("IF(ISBLANK(A649),"""",GOOGLETRANSLATE(A649,""en"",""fr""))"),"")</f>
        <v/>
      </c>
    </row>
    <row r="650" spans="2:2">
      <c r="B650" s="3" t="str">
        <f ca="1">IFERROR(__xludf.DUMMYFUNCTION("IF(ISBLANK(A650),"""",GOOGLETRANSLATE(A650,""en"",""fr""))"),"")</f>
        <v/>
      </c>
    </row>
    <row r="651" spans="2:2">
      <c r="B651" s="3" t="str">
        <f ca="1">IFERROR(__xludf.DUMMYFUNCTION("IF(ISBLANK(A651),"""",GOOGLETRANSLATE(A651,""en"",""fr""))"),"")</f>
        <v/>
      </c>
    </row>
    <row r="652" spans="2:2">
      <c r="B652" s="3" t="str">
        <f ca="1">IFERROR(__xludf.DUMMYFUNCTION("IF(ISBLANK(A652),"""",GOOGLETRANSLATE(A652,""en"",""fr""))"),"")</f>
        <v/>
      </c>
    </row>
    <row r="653" spans="2:2">
      <c r="B653" s="3" t="str">
        <f ca="1">IFERROR(__xludf.DUMMYFUNCTION("IF(ISBLANK(A653),"""",GOOGLETRANSLATE(A653,""en"",""fr""))"),"")</f>
        <v/>
      </c>
    </row>
    <row r="654" spans="2:2">
      <c r="B654" s="3" t="str">
        <f ca="1">IFERROR(__xludf.DUMMYFUNCTION("IF(ISBLANK(A654),"""",GOOGLETRANSLATE(A654,""en"",""fr""))"),"")</f>
        <v/>
      </c>
    </row>
    <row r="655" spans="2:2">
      <c r="B655" s="3" t="str">
        <f ca="1">IFERROR(__xludf.DUMMYFUNCTION("IF(ISBLANK(A655),"""",GOOGLETRANSLATE(A655,""en"",""fr""))"),"")</f>
        <v/>
      </c>
    </row>
    <row r="656" spans="2:2">
      <c r="B656" s="3" t="str">
        <f ca="1">IFERROR(__xludf.DUMMYFUNCTION("IF(ISBLANK(A656),"""",GOOGLETRANSLATE(A656,""en"",""fr""))"),"")</f>
        <v/>
      </c>
    </row>
    <row r="657" spans="2:2">
      <c r="B657" s="3" t="str">
        <f ca="1">IFERROR(__xludf.DUMMYFUNCTION("IF(ISBLANK(A657),"""",GOOGLETRANSLATE(A657,""en"",""fr""))"),"")</f>
        <v/>
      </c>
    </row>
    <row r="658" spans="2:2">
      <c r="B658" s="3" t="str">
        <f ca="1">IFERROR(__xludf.DUMMYFUNCTION("IF(ISBLANK(A658),"""",GOOGLETRANSLATE(A658,""en"",""fr""))"),"")</f>
        <v/>
      </c>
    </row>
    <row r="659" spans="2:2">
      <c r="B659" s="3" t="str">
        <f ca="1">IFERROR(__xludf.DUMMYFUNCTION("IF(ISBLANK(A659),"""",GOOGLETRANSLATE(A659,""en"",""fr""))"),"")</f>
        <v/>
      </c>
    </row>
    <row r="660" spans="2:2">
      <c r="B660" s="3" t="str">
        <f ca="1">IFERROR(__xludf.DUMMYFUNCTION("IF(ISBLANK(A660),"""",GOOGLETRANSLATE(A660,""en"",""fr""))"),"")</f>
        <v/>
      </c>
    </row>
    <row r="661" spans="2:2">
      <c r="B661" s="3" t="str">
        <f ca="1">IFERROR(__xludf.DUMMYFUNCTION("IF(ISBLANK(A661),"""",GOOGLETRANSLATE(A661,""en"",""fr""))"),"")</f>
        <v/>
      </c>
    </row>
    <row r="662" spans="2:2">
      <c r="B662" s="3" t="str">
        <f ca="1">IFERROR(__xludf.DUMMYFUNCTION("IF(ISBLANK(A662),"""",GOOGLETRANSLATE(A662,""en"",""fr""))"),"")</f>
        <v/>
      </c>
    </row>
    <row r="663" spans="2:2">
      <c r="B663" s="3" t="str">
        <f ca="1">IFERROR(__xludf.DUMMYFUNCTION("IF(ISBLANK(A663),"""",GOOGLETRANSLATE(A663,""en"",""fr""))"),"")</f>
        <v/>
      </c>
    </row>
    <row r="664" spans="2:2">
      <c r="B664" s="3" t="str">
        <f ca="1">IFERROR(__xludf.DUMMYFUNCTION("IF(ISBLANK(A664),"""",GOOGLETRANSLATE(A664,""en"",""fr""))"),"")</f>
        <v/>
      </c>
    </row>
    <row r="665" spans="2:2">
      <c r="B665" s="3" t="str">
        <f ca="1">IFERROR(__xludf.DUMMYFUNCTION("IF(ISBLANK(A665),"""",GOOGLETRANSLATE(A665,""en"",""fr""))"),"")</f>
        <v/>
      </c>
    </row>
    <row r="666" spans="2:2">
      <c r="B666" s="3" t="str">
        <f ca="1">IFERROR(__xludf.DUMMYFUNCTION("IF(ISBLANK(A666),"""",GOOGLETRANSLATE(A666,""en"",""fr""))"),"")</f>
        <v/>
      </c>
    </row>
    <row r="667" spans="2:2">
      <c r="B667" s="3" t="str">
        <f ca="1">IFERROR(__xludf.DUMMYFUNCTION("IF(ISBLANK(A667),"""",GOOGLETRANSLATE(A667,""en"",""fr""))"),"")</f>
        <v/>
      </c>
    </row>
    <row r="668" spans="2:2">
      <c r="B668" s="3" t="str">
        <f ca="1">IFERROR(__xludf.DUMMYFUNCTION("IF(ISBLANK(A668),"""",GOOGLETRANSLATE(A668,""en"",""fr""))"),"")</f>
        <v/>
      </c>
    </row>
    <row r="669" spans="2:2">
      <c r="B669" s="3" t="str">
        <f ca="1">IFERROR(__xludf.DUMMYFUNCTION("IF(ISBLANK(A669),"""",GOOGLETRANSLATE(A669,""en"",""fr""))"),"")</f>
        <v/>
      </c>
    </row>
    <row r="670" spans="2:2">
      <c r="B670" s="3" t="str">
        <f ca="1">IFERROR(__xludf.DUMMYFUNCTION("IF(ISBLANK(A670),"""",GOOGLETRANSLATE(A670,""en"",""fr""))"),"")</f>
        <v/>
      </c>
    </row>
    <row r="671" spans="2:2">
      <c r="B671" s="3" t="str">
        <f ca="1">IFERROR(__xludf.DUMMYFUNCTION("IF(ISBLANK(A671),"""",GOOGLETRANSLATE(A671,""en"",""fr""))"),"")</f>
        <v/>
      </c>
    </row>
    <row r="672" spans="2:2">
      <c r="B672" s="3" t="str">
        <f ca="1">IFERROR(__xludf.DUMMYFUNCTION("IF(ISBLANK(A672),"""",GOOGLETRANSLATE(A672,""en"",""fr""))"),"")</f>
        <v/>
      </c>
    </row>
    <row r="673" spans="2:2">
      <c r="B673" s="3" t="str">
        <f ca="1">IFERROR(__xludf.DUMMYFUNCTION("IF(ISBLANK(A673),"""",GOOGLETRANSLATE(A673,""en"",""fr""))"),"")</f>
        <v/>
      </c>
    </row>
    <row r="674" spans="2:2">
      <c r="B674" s="3" t="str">
        <f ca="1">IFERROR(__xludf.DUMMYFUNCTION("IF(ISBLANK(A674),"""",GOOGLETRANSLATE(A674,""en"",""fr""))"),"")</f>
        <v/>
      </c>
    </row>
    <row r="675" spans="2:2">
      <c r="B675" s="3" t="str">
        <f ca="1">IFERROR(__xludf.DUMMYFUNCTION("IF(ISBLANK(A675),"""",GOOGLETRANSLATE(A675,""en"",""fr""))"),"")</f>
        <v/>
      </c>
    </row>
    <row r="676" spans="2:2">
      <c r="B676" s="3" t="str">
        <f ca="1">IFERROR(__xludf.DUMMYFUNCTION("IF(ISBLANK(A676),"""",GOOGLETRANSLATE(A676,""en"",""fr""))"),"")</f>
        <v/>
      </c>
    </row>
    <row r="677" spans="2:2">
      <c r="B677" s="3" t="str">
        <f ca="1">IFERROR(__xludf.DUMMYFUNCTION("IF(ISBLANK(A677),"""",GOOGLETRANSLATE(A677,""en"",""fr""))"),"")</f>
        <v/>
      </c>
    </row>
    <row r="678" spans="2:2">
      <c r="B678" s="3" t="str">
        <f ca="1">IFERROR(__xludf.DUMMYFUNCTION("IF(ISBLANK(A678),"""",GOOGLETRANSLATE(A678,""en"",""fr""))"),"")</f>
        <v/>
      </c>
    </row>
    <row r="679" spans="2:2">
      <c r="B679" s="3" t="str">
        <f ca="1">IFERROR(__xludf.DUMMYFUNCTION("IF(ISBLANK(A679),"""",GOOGLETRANSLATE(A679,""en"",""fr""))"),"")</f>
        <v/>
      </c>
    </row>
    <row r="680" spans="2:2">
      <c r="B680" s="3" t="str">
        <f ca="1">IFERROR(__xludf.DUMMYFUNCTION("IF(ISBLANK(A680),"""",GOOGLETRANSLATE(A680,""en"",""fr""))"),"")</f>
        <v/>
      </c>
    </row>
    <row r="681" spans="2:2">
      <c r="B681" s="3" t="str">
        <f ca="1">IFERROR(__xludf.DUMMYFUNCTION("IF(ISBLANK(A681),"""",GOOGLETRANSLATE(A681,""en"",""fr""))"),"")</f>
        <v/>
      </c>
    </row>
    <row r="682" spans="2:2">
      <c r="B682" s="3" t="str">
        <f ca="1">IFERROR(__xludf.DUMMYFUNCTION("IF(ISBLANK(A682),"""",GOOGLETRANSLATE(A682,""en"",""fr""))"),"")</f>
        <v/>
      </c>
    </row>
    <row r="683" spans="2:2">
      <c r="B683" s="3" t="str">
        <f ca="1">IFERROR(__xludf.DUMMYFUNCTION("IF(ISBLANK(A683),"""",GOOGLETRANSLATE(A683,""en"",""fr""))"),"")</f>
        <v/>
      </c>
    </row>
    <row r="684" spans="2:2">
      <c r="B684" s="3" t="str">
        <f ca="1">IFERROR(__xludf.DUMMYFUNCTION("IF(ISBLANK(A684),"""",GOOGLETRANSLATE(A684,""en"",""fr""))"),"")</f>
        <v/>
      </c>
    </row>
    <row r="685" spans="2:2">
      <c r="B685" s="3" t="str">
        <f ca="1">IFERROR(__xludf.DUMMYFUNCTION("IF(ISBLANK(A685),"""",GOOGLETRANSLATE(A685,""en"",""fr""))"),"")</f>
        <v/>
      </c>
    </row>
    <row r="686" spans="2:2">
      <c r="B686" s="3" t="str">
        <f ca="1">IFERROR(__xludf.DUMMYFUNCTION("IF(ISBLANK(A686),"""",GOOGLETRANSLATE(A686,""en"",""fr""))"),"")</f>
        <v/>
      </c>
    </row>
    <row r="687" spans="2:2">
      <c r="B687" s="3" t="str">
        <f ca="1">IFERROR(__xludf.DUMMYFUNCTION("IF(ISBLANK(A687),"""",GOOGLETRANSLATE(A687,""en"",""fr""))"),"")</f>
        <v/>
      </c>
    </row>
    <row r="688" spans="2:2">
      <c r="B688" s="3" t="str">
        <f ca="1">IFERROR(__xludf.DUMMYFUNCTION("IF(ISBLANK(A688),"""",GOOGLETRANSLATE(A688,""en"",""fr""))"),"")</f>
        <v/>
      </c>
    </row>
    <row r="689" spans="2:2">
      <c r="B689" s="3" t="str">
        <f ca="1">IFERROR(__xludf.DUMMYFUNCTION("IF(ISBLANK(A689),"""",GOOGLETRANSLATE(A689,""en"",""fr""))"),"")</f>
        <v/>
      </c>
    </row>
    <row r="690" spans="2:2">
      <c r="B690" s="3" t="str">
        <f ca="1">IFERROR(__xludf.DUMMYFUNCTION("IF(ISBLANK(A690),"""",GOOGLETRANSLATE(A690,""en"",""fr""))"),"")</f>
        <v/>
      </c>
    </row>
    <row r="691" spans="2:2">
      <c r="B691" s="3" t="str">
        <f ca="1">IFERROR(__xludf.DUMMYFUNCTION("IF(ISBLANK(A691),"""",GOOGLETRANSLATE(A691,""en"",""fr""))"),"")</f>
        <v/>
      </c>
    </row>
    <row r="692" spans="2:2">
      <c r="B692" s="3" t="str">
        <f ca="1">IFERROR(__xludf.DUMMYFUNCTION("IF(ISBLANK(A692),"""",GOOGLETRANSLATE(A692,""en"",""fr""))"),"")</f>
        <v/>
      </c>
    </row>
    <row r="693" spans="2:2">
      <c r="B693" s="3" t="str">
        <f ca="1">IFERROR(__xludf.DUMMYFUNCTION("IF(ISBLANK(A693),"""",GOOGLETRANSLATE(A693,""en"",""fr""))"),"")</f>
        <v/>
      </c>
    </row>
    <row r="694" spans="2:2">
      <c r="B694" s="3" t="str">
        <f ca="1">IFERROR(__xludf.DUMMYFUNCTION("IF(ISBLANK(A694),"""",GOOGLETRANSLATE(A694,""en"",""fr""))"),"")</f>
        <v/>
      </c>
    </row>
    <row r="695" spans="2:2">
      <c r="B695" s="3" t="str">
        <f ca="1">IFERROR(__xludf.DUMMYFUNCTION("IF(ISBLANK(A695),"""",GOOGLETRANSLATE(A695,""en"",""fr""))"),"")</f>
        <v/>
      </c>
    </row>
    <row r="696" spans="2:2">
      <c r="B696" s="3" t="str">
        <f ca="1">IFERROR(__xludf.DUMMYFUNCTION("IF(ISBLANK(A696),"""",GOOGLETRANSLATE(A696,""en"",""fr""))"),"")</f>
        <v/>
      </c>
    </row>
    <row r="697" spans="2:2">
      <c r="B697" s="3" t="str">
        <f ca="1">IFERROR(__xludf.DUMMYFUNCTION("IF(ISBLANK(A697),"""",GOOGLETRANSLATE(A697,""en"",""fr""))"),"")</f>
        <v/>
      </c>
    </row>
    <row r="698" spans="2:2">
      <c r="B698" s="3" t="str">
        <f ca="1">IFERROR(__xludf.DUMMYFUNCTION("IF(ISBLANK(A698),"""",GOOGLETRANSLATE(A698,""en"",""fr""))"),"")</f>
        <v/>
      </c>
    </row>
    <row r="699" spans="2:2">
      <c r="B699" s="3" t="str">
        <f ca="1">IFERROR(__xludf.DUMMYFUNCTION("IF(ISBLANK(A699),"""",GOOGLETRANSLATE(A699,""en"",""fr""))"),"")</f>
        <v/>
      </c>
    </row>
    <row r="700" spans="2:2">
      <c r="B700" s="3" t="str">
        <f ca="1">IFERROR(__xludf.DUMMYFUNCTION("IF(ISBLANK(A700),"""",GOOGLETRANSLATE(A700,""en"",""fr""))"),"")</f>
        <v/>
      </c>
    </row>
    <row r="701" spans="2:2">
      <c r="B701" s="3" t="str">
        <f ca="1">IFERROR(__xludf.DUMMYFUNCTION("IF(ISBLANK(A701),"""",GOOGLETRANSLATE(A701,""en"",""fr""))"),"")</f>
        <v/>
      </c>
    </row>
    <row r="702" spans="2:2">
      <c r="B702" s="3" t="str">
        <f ca="1">IFERROR(__xludf.DUMMYFUNCTION("IF(ISBLANK(A702),"""",GOOGLETRANSLATE(A702,""en"",""fr""))"),"")</f>
        <v/>
      </c>
    </row>
    <row r="703" spans="2:2">
      <c r="B703" s="3" t="str">
        <f ca="1">IFERROR(__xludf.DUMMYFUNCTION("IF(ISBLANK(A703),"""",GOOGLETRANSLATE(A703,""en"",""fr""))"),"")</f>
        <v/>
      </c>
    </row>
    <row r="704" spans="2:2">
      <c r="B704" s="3" t="str">
        <f ca="1">IFERROR(__xludf.DUMMYFUNCTION("IF(ISBLANK(A704),"""",GOOGLETRANSLATE(A704,""en"",""fr""))"),"")</f>
        <v/>
      </c>
    </row>
    <row r="705" spans="2:2">
      <c r="B705" s="3" t="str">
        <f ca="1">IFERROR(__xludf.DUMMYFUNCTION("IF(ISBLANK(A705),"""",GOOGLETRANSLATE(A705,""en"",""fr""))"),"")</f>
        <v/>
      </c>
    </row>
    <row r="706" spans="2:2">
      <c r="B706" s="3" t="str">
        <f ca="1">IFERROR(__xludf.DUMMYFUNCTION("IF(ISBLANK(A706),"""",GOOGLETRANSLATE(A706,""en"",""fr""))"),"")</f>
        <v/>
      </c>
    </row>
    <row r="707" spans="2:2">
      <c r="B707" s="3" t="str">
        <f ca="1">IFERROR(__xludf.DUMMYFUNCTION("IF(ISBLANK(A707),"""",GOOGLETRANSLATE(A707,""en"",""fr""))"),"")</f>
        <v/>
      </c>
    </row>
    <row r="708" spans="2:2">
      <c r="B708" s="3" t="str">
        <f ca="1">IFERROR(__xludf.DUMMYFUNCTION("IF(ISBLANK(A708),"""",GOOGLETRANSLATE(A708,""en"",""fr""))"),"")</f>
        <v/>
      </c>
    </row>
    <row r="709" spans="2:2">
      <c r="B709" s="3" t="str">
        <f ca="1">IFERROR(__xludf.DUMMYFUNCTION("IF(ISBLANK(A709),"""",GOOGLETRANSLATE(A709,""en"",""fr""))"),"")</f>
        <v/>
      </c>
    </row>
    <row r="710" spans="2:2">
      <c r="B710" s="3" t="str">
        <f ca="1">IFERROR(__xludf.DUMMYFUNCTION("IF(ISBLANK(A710),"""",GOOGLETRANSLATE(A710,""en"",""fr""))"),"")</f>
        <v/>
      </c>
    </row>
    <row r="711" spans="2:2">
      <c r="B711" s="3" t="str">
        <f ca="1">IFERROR(__xludf.DUMMYFUNCTION("IF(ISBLANK(A711),"""",GOOGLETRANSLATE(A711,""en"",""fr""))"),"")</f>
        <v/>
      </c>
    </row>
    <row r="712" spans="2:2">
      <c r="B712" s="3" t="str">
        <f ca="1">IFERROR(__xludf.DUMMYFUNCTION("IF(ISBLANK(A712),"""",GOOGLETRANSLATE(A712,""en"",""fr""))"),"")</f>
        <v/>
      </c>
    </row>
    <row r="713" spans="2:2">
      <c r="B713" s="3" t="str">
        <f ca="1">IFERROR(__xludf.DUMMYFUNCTION("IF(ISBLANK(A713),"""",GOOGLETRANSLATE(A713,""en"",""fr""))"),"")</f>
        <v/>
      </c>
    </row>
    <row r="714" spans="2:2">
      <c r="B714" s="3" t="str">
        <f ca="1">IFERROR(__xludf.DUMMYFUNCTION("IF(ISBLANK(A714),"""",GOOGLETRANSLATE(A714,""en"",""fr""))"),"")</f>
        <v/>
      </c>
    </row>
    <row r="715" spans="2:2">
      <c r="B715" s="3" t="str">
        <f ca="1">IFERROR(__xludf.DUMMYFUNCTION("IF(ISBLANK(A715),"""",GOOGLETRANSLATE(A715,""en"",""fr""))"),"")</f>
        <v/>
      </c>
    </row>
    <row r="716" spans="2:2">
      <c r="B716" s="3" t="str">
        <f ca="1">IFERROR(__xludf.DUMMYFUNCTION("IF(ISBLANK(A716),"""",GOOGLETRANSLATE(A716,""en"",""fr""))"),"")</f>
        <v/>
      </c>
    </row>
    <row r="717" spans="2:2">
      <c r="B717" s="3" t="str">
        <f ca="1">IFERROR(__xludf.DUMMYFUNCTION("IF(ISBLANK(A717),"""",GOOGLETRANSLATE(A717,""en"",""fr""))"),"")</f>
        <v/>
      </c>
    </row>
    <row r="718" spans="2:2">
      <c r="B718" s="3" t="str">
        <f ca="1">IFERROR(__xludf.DUMMYFUNCTION("IF(ISBLANK(A718),"""",GOOGLETRANSLATE(A718,""en"",""fr""))"),"")</f>
        <v/>
      </c>
    </row>
    <row r="719" spans="2:2">
      <c r="B719" s="3" t="str">
        <f ca="1">IFERROR(__xludf.DUMMYFUNCTION("IF(ISBLANK(A719),"""",GOOGLETRANSLATE(A719,""en"",""fr""))"),"")</f>
        <v/>
      </c>
    </row>
    <row r="720" spans="2:2">
      <c r="B720" s="3" t="str">
        <f ca="1">IFERROR(__xludf.DUMMYFUNCTION("IF(ISBLANK(A720),"""",GOOGLETRANSLATE(A720,""en"",""fr""))"),"")</f>
        <v/>
      </c>
    </row>
    <row r="721" spans="2:2">
      <c r="B721" s="3" t="str">
        <f ca="1">IFERROR(__xludf.DUMMYFUNCTION("IF(ISBLANK(A721),"""",GOOGLETRANSLATE(A721,""en"",""fr""))"),"")</f>
        <v/>
      </c>
    </row>
    <row r="722" spans="2:2">
      <c r="B722" s="3" t="str">
        <f ca="1">IFERROR(__xludf.DUMMYFUNCTION("IF(ISBLANK(A722),"""",GOOGLETRANSLATE(A722,""en"",""fr""))"),"")</f>
        <v/>
      </c>
    </row>
    <row r="723" spans="2:2">
      <c r="B723" s="3" t="str">
        <f ca="1">IFERROR(__xludf.DUMMYFUNCTION("IF(ISBLANK(A723),"""",GOOGLETRANSLATE(A723,""en"",""fr""))"),"")</f>
        <v/>
      </c>
    </row>
    <row r="724" spans="2:2">
      <c r="B724" s="3" t="str">
        <f ca="1">IFERROR(__xludf.DUMMYFUNCTION("IF(ISBLANK(A724),"""",GOOGLETRANSLATE(A724,""en"",""fr""))"),"")</f>
        <v/>
      </c>
    </row>
    <row r="725" spans="2:2">
      <c r="B725" s="3" t="str">
        <f ca="1">IFERROR(__xludf.DUMMYFUNCTION("IF(ISBLANK(A725),"""",GOOGLETRANSLATE(A725,""en"",""fr""))"),"")</f>
        <v/>
      </c>
    </row>
    <row r="726" spans="2:2">
      <c r="B726" s="3" t="str">
        <f ca="1">IFERROR(__xludf.DUMMYFUNCTION("IF(ISBLANK(A726),"""",GOOGLETRANSLATE(A726,""en"",""fr""))"),"")</f>
        <v/>
      </c>
    </row>
    <row r="727" spans="2:2">
      <c r="B727" s="3" t="str">
        <f ca="1">IFERROR(__xludf.DUMMYFUNCTION("IF(ISBLANK(A727),"""",GOOGLETRANSLATE(A727,""en"",""fr""))"),"")</f>
        <v/>
      </c>
    </row>
    <row r="728" spans="2:2">
      <c r="B728" s="3" t="str">
        <f ca="1">IFERROR(__xludf.DUMMYFUNCTION("IF(ISBLANK(A728),"""",GOOGLETRANSLATE(A728,""en"",""fr""))"),"")</f>
        <v/>
      </c>
    </row>
    <row r="729" spans="2:2">
      <c r="B729" s="3" t="str">
        <f ca="1">IFERROR(__xludf.DUMMYFUNCTION("IF(ISBLANK(A729),"""",GOOGLETRANSLATE(A729,""en"",""fr""))"),"")</f>
        <v/>
      </c>
    </row>
    <row r="730" spans="2:2">
      <c r="B730" s="3" t="str">
        <f ca="1">IFERROR(__xludf.DUMMYFUNCTION("IF(ISBLANK(A730),"""",GOOGLETRANSLATE(A730,""en"",""fr""))"),"")</f>
        <v/>
      </c>
    </row>
    <row r="731" spans="2:2">
      <c r="B731" s="3" t="str">
        <f ca="1">IFERROR(__xludf.DUMMYFUNCTION("IF(ISBLANK(A731),"""",GOOGLETRANSLATE(A731,""en"",""fr""))"),"")</f>
        <v/>
      </c>
    </row>
    <row r="732" spans="2:2">
      <c r="B732" s="3" t="str">
        <f ca="1">IFERROR(__xludf.DUMMYFUNCTION("IF(ISBLANK(A732),"""",GOOGLETRANSLATE(A732,""en"",""fr""))"),"")</f>
        <v/>
      </c>
    </row>
    <row r="733" spans="2:2">
      <c r="B733" s="3" t="str">
        <f ca="1">IFERROR(__xludf.DUMMYFUNCTION("IF(ISBLANK(A733),"""",GOOGLETRANSLATE(A733,""en"",""fr""))"),"")</f>
        <v/>
      </c>
    </row>
    <row r="734" spans="2:2">
      <c r="B734" s="3" t="str">
        <f ca="1">IFERROR(__xludf.DUMMYFUNCTION("IF(ISBLANK(A734),"""",GOOGLETRANSLATE(A734,""en"",""fr""))"),"")</f>
        <v/>
      </c>
    </row>
    <row r="735" spans="2:2">
      <c r="B735" s="3" t="str">
        <f ca="1">IFERROR(__xludf.DUMMYFUNCTION("IF(ISBLANK(A735),"""",GOOGLETRANSLATE(A735,""en"",""fr""))"),"")</f>
        <v/>
      </c>
    </row>
    <row r="736" spans="2:2">
      <c r="B736" s="3" t="str">
        <f ca="1">IFERROR(__xludf.DUMMYFUNCTION("IF(ISBLANK(A736),"""",GOOGLETRANSLATE(A736,""en"",""fr""))"),"")</f>
        <v/>
      </c>
    </row>
    <row r="737" spans="2:2">
      <c r="B737" s="3" t="str">
        <f ca="1">IFERROR(__xludf.DUMMYFUNCTION("IF(ISBLANK(A737),"""",GOOGLETRANSLATE(A737,""en"",""fr""))"),"")</f>
        <v/>
      </c>
    </row>
    <row r="738" spans="2:2">
      <c r="B738" s="3" t="str">
        <f ca="1">IFERROR(__xludf.DUMMYFUNCTION("IF(ISBLANK(A738),"""",GOOGLETRANSLATE(A738,""en"",""fr""))"),"")</f>
        <v/>
      </c>
    </row>
    <row r="739" spans="2:2">
      <c r="B739" s="3" t="str">
        <f ca="1">IFERROR(__xludf.DUMMYFUNCTION("IF(ISBLANK(A739),"""",GOOGLETRANSLATE(A739,""en"",""fr""))"),"")</f>
        <v/>
      </c>
    </row>
    <row r="740" spans="2:2">
      <c r="B740" s="3" t="str">
        <f ca="1">IFERROR(__xludf.DUMMYFUNCTION("IF(ISBLANK(A740),"""",GOOGLETRANSLATE(A740,""en"",""fr""))"),"")</f>
        <v/>
      </c>
    </row>
    <row r="741" spans="2:2">
      <c r="B741" s="3" t="str">
        <f ca="1">IFERROR(__xludf.DUMMYFUNCTION("IF(ISBLANK(A741),"""",GOOGLETRANSLATE(A741,""en"",""fr""))"),"")</f>
        <v/>
      </c>
    </row>
    <row r="742" spans="2:2">
      <c r="B742" s="3" t="str">
        <f ca="1">IFERROR(__xludf.DUMMYFUNCTION("IF(ISBLANK(A742),"""",GOOGLETRANSLATE(A742,""en"",""fr""))"),"")</f>
        <v/>
      </c>
    </row>
    <row r="743" spans="2:2">
      <c r="B743" s="3" t="str">
        <f ca="1">IFERROR(__xludf.DUMMYFUNCTION("IF(ISBLANK(A743),"""",GOOGLETRANSLATE(A743,""en"",""fr""))"),"")</f>
        <v/>
      </c>
    </row>
    <row r="744" spans="2:2">
      <c r="B744" s="3" t="str">
        <f ca="1">IFERROR(__xludf.DUMMYFUNCTION("IF(ISBLANK(A744),"""",GOOGLETRANSLATE(A744,""en"",""fr""))"),"")</f>
        <v/>
      </c>
    </row>
    <row r="745" spans="2:2">
      <c r="B745" s="3" t="str">
        <f ca="1">IFERROR(__xludf.DUMMYFUNCTION("IF(ISBLANK(A745),"""",GOOGLETRANSLATE(A745,""en"",""fr""))"),"")</f>
        <v/>
      </c>
    </row>
    <row r="746" spans="2:2">
      <c r="B746" s="3" t="str">
        <f ca="1">IFERROR(__xludf.DUMMYFUNCTION("IF(ISBLANK(A746),"""",GOOGLETRANSLATE(A746,""en"",""fr""))"),"")</f>
        <v/>
      </c>
    </row>
    <row r="747" spans="2:2">
      <c r="B747" s="3" t="str">
        <f ca="1">IFERROR(__xludf.DUMMYFUNCTION("IF(ISBLANK(A747),"""",GOOGLETRANSLATE(A747,""en"",""fr""))"),"")</f>
        <v/>
      </c>
    </row>
    <row r="748" spans="2:2">
      <c r="B748" s="3" t="str">
        <f ca="1">IFERROR(__xludf.DUMMYFUNCTION("IF(ISBLANK(A748),"""",GOOGLETRANSLATE(A748,""en"",""fr""))"),"")</f>
        <v/>
      </c>
    </row>
    <row r="749" spans="2:2">
      <c r="B749" s="3" t="str">
        <f ca="1">IFERROR(__xludf.DUMMYFUNCTION("IF(ISBLANK(A749),"""",GOOGLETRANSLATE(A749,""en"",""fr""))"),"")</f>
        <v/>
      </c>
    </row>
    <row r="750" spans="2:2">
      <c r="B750" s="3" t="str">
        <f ca="1">IFERROR(__xludf.DUMMYFUNCTION("IF(ISBLANK(A750),"""",GOOGLETRANSLATE(A750,""en"",""fr""))"),"")</f>
        <v/>
      </c>
    </row>
    <row r="751" spans="2:2">
      <c r="B751" s="3" t="str">
        <f ca="1">IFERROR(__xludf.DUMMYFUNCTION("IF(ISBLANK(A751),"""",GOOGLETRANSLATE(A751,""en"",""fr""))"),"")</f>
        <v/>
      </c>
    </row>
    <row r="752" spans="2:2">
      <c r="B752" s="3" t="str">
        <f ca="1">IFERROR(__xludf.DUMMYFUNCTION("IF(ISBLANK(A752),"""",GOOGLETRANSLATE(A752,""en"",""fr""))"),"")</f>
        <v/>
      </c>
    </row>
    <row r="753" spans="2:2">
      <c r="B753" s="3" t="str">
        <f ca="1">IFERROR(__xludf.DUMMYFUNCTION("IF(ISBLANK(A753),"""",GOOGLETRANSLATE(A753,""en"",""fr""))"),"")</f>
        <v/>
      </c>
    </row>
    <row r="754" spans="2:2">
      <c r="B754" s="3" t="str">
        <f ca="1">IFERROR(__xludf.DUMMYFUNCTION("IF(ISBLANK(A754),"""",GOOGLETRANSLATE(A754,""en"",""fr""))"),"")</f>
        <v/>
      </c>
    </row>
    <row r="755" spans="2:2">
      <c r="B755" s="3" t="str">
        <f ca="1">IFERROR(__xludf.DUMMYFUNCTION("IF(ISBLANK(A755),"""",GOOGLETRANSLATE(A755,""en"",""fr""))"),"")</f>
        <v/>
      </c>
    </row>
    <row r="756" spans="2:2">
      <c r="B756" s="3" t="str">
        <f ca="1">IFERROR(__xludf.DUMMYFUNCTION("IF(ISBLANK(A756),"""",GOOGLETRANSLATE(A756,""en"",""fr""))"),"")</f>
        <v/>
      </c>
    </row>
    <row r="757" spans="2:2">
      <c r="B757" s="3" t="str">
        <f ca="1">IFERROR(__xludf.DUMMYFUNCTION("IF(ISBLANK(A757),"""",GOOGLETRANSLATE(A757,""en"",""fr""))"),"")</f>
        <v/>
      </c>
    </row>
    <row r="758" spans="2:2">
      <c r="B758" s="3" t="str">
        <f ca="1">IFERROR(__xludf.DUMMYFUNCTION("IF(ISBLANK(A758),"""",GOOGLETRANSLATE(A758,""en"",""fr""))"),"")</f>
        <v/>
      </c>
    </row>
    <row r="759" spans="2:2">
      <c r="B759" s="3" t="str">
        <f ca="1">IFERROR(__xludf.DUMMYFUNCTION("IF(ISBLANK(A759),"""",GOOGLETRANSLATE(A759,""en"",""fr""))"),"")</f>
        <v/>
      </c>
    </row>
    <row r="760" spans="2:2">
      <c r="B760" s="3" t="str">
        <f ca="1">IFERROR(__xludf.DUMMYFUNCTION("IF(ISBLANK(A760),"""",GOOGLETRANSLATE(A760,""en"",""fr""))"),"")</f>
        <v/>
      </c>
    </row>
    <row r="761" spans="2:2">
      <c r="B761" s="3" t="str">
        <f ca="1">IFERROR(__xludf.DUMMYFUNCTION("IF(ISBLANK(A761),"""",GOOGLETRANSLATE(A761,""en"",""fr""))"),"")</f>
        <v/>
      </c>
    </row>
    <row r="762" spans="2:2">
      <c r="B762" s="3" t="str">
        <f ca="1">IFERROR(__xludf.DUMMYFUNCTION("IF(ISBLANK(A762),"""",GOOGLETRANSLATE(A762,""en"",""fr""))"),"")</f>
        <v/>
      </c>
    </row>
    <row r="763" spans="2:2">
      <c r="B763" s="3" t="str">
        <f ca="1">IFERROR(__xludf.DUMMYFUNCTION("IF(ISBLANK(A763),"""",GOOGLETRANSLATE(A763,""en"",""fr""))"),"")</f>
        <v/>
      </c>
    </row>
    <row r="764" spans="2:2">
      <c r="B764" s="3" t="str">
        <f ca="1">IFERROR(__xludf.DUMMYFUNCTION("IF(ISBLANK(A764),"""",GOOGLETRANSLATE(A764,""en"",""fr""))"),"")</f>
        <v/>
      </c>
    </row>
    <row r="765" spans="2:2">
      <c r="B765" s="3" t="str">
        <f ca="1">IFERROR(__xludf.DUMMYFUNCTION("IF(ISBLANK(A765),"""",GOOGLETRANSLATE(A765,""en"",""fr""))"),"")</f>
        <v/>
      </c>
    </row>
    <row r="766" spans="2:2">
      <c r="B766" s="3" t="str">
        <f ca="1">IFERROR(__xludf.DUMMYFUNCTION("IF(ISBLANK(A766),"""",GOOGLETRANSLATE(A766,""en"",""fr""))"),"")</f>
        <v/>
      </c>
    </row>
    <row r="767" spans="2:2">
      <c r="B767" s="3" t="str">
        <f ca="1">IFERROR(__xludf.DUMMYFUNCTION("IF(ISBLANK(A767),"""",GOOGLETRANSLATE(A767,""en"",""fr""))"),"")</f>
        <v/>
      </c>
    </row>
    <row r="768" spans="2:2">
      <c r="B768" s="3" t="str">
        <f ca="1">IFERROR(__xludf.DUMMYFUNCTION("IF(ISBLANK(A768),"""",GOOGLETRANSLATE(A768,""en"",""fr""))"),"")</f>
        <v/>
      </c>
    </row>
    <row r="769" spans="2:2">
      <c r="B769" s="3" t="str">
        <f ca="1">IFERROR(__xludf.DUMMYFUNCTION("IF(ISBLANK(A769),"""",GOOGLETRANSLATE(A769,""en"",""fr""))"),"")</f>
        <v/>
      </c>
    </row>
    <row r="770" spans="2:2">
      <c r="B770" s="3" t="str">
        <f ca="1">IFERROR(__xludf.DUMMYFUNCTION("IF(ISBLANK(A770),"""",GOOGLETRANSLATE(A770,""en"",""fr""))"),"")</f>
        <v/>
      </c>
    </row>
    <row r="771" spans="2:2">
      <c r="B771" s="3" t="str">
        <f ca="1">IFERROR(__xludf.DUMMYFUNCTION("IF(ISBLANK(A771),"""",GOOGLETRANSLATE(A771,""en"",""fr""))"),"")</f>
        <v/>
      </c>
    </row>
    <row r="772" spans="2:2">
      <c r="B772" s="3" t="str">
        <f ca="1">IFERROR(__xludf.DUMMYFUNCTION("IF(ISBLANK(A772),"""",GOOGLETRANSLATE(A772,""en"",""fr""))"),"")</f>
        <v/>
      </c>
    </row>
    <row r="773" spans="2:2">
      <c r="B773" s="3" t="str">
        <f ca="1">IFERROR(__xludf.DUMMYFUNCTION("IF(ISBLANK(A773),"""",GOOGLETRANSLATE(A773,""en"",""fr""))"),"")</f>
        <v/>
      </c>
    </row>
    <row r="774" spans="2:2">
      <c r="B774" s="3" t="str">
        <f ca="1">IFERROR(__xludf.DUMMYFUNCTION("IF(ISBLANK(A774),"""",GOOGLETRANSLATE(A774,""en"",""fr""))"),"")</f>
        <v/>
      </c>
    </row>
    <row r="775" spans="2:2">
      <c r="B775" s="3" t="str">
        <f ca="1">IFERROR(__xludf.DUMMYFUNCTION("IF(ISBLANK(A775),"""",GOOGLETRANSLATE(A775,""en"",""fr""))"),"")</f>
        <v/>
      </c>
    </row>
    <row r="776" spans="2:2">
      <c r="B776" s="3" t="str">
        <f ca="1">IFERROR(__xludf.DUMMYFUNCTION("IF(ISBLANK(A776),"""",GOOGLETRANSLATE(A776,""en"",""fr""))"),"")</f>
        <v/>
      </c>
    </row>
    <row r="777" spans="2:2">
      <c r="B777" s="3" t="str">
        <f ca="1">IFERROR(__xludf.DUMMYFUNCTION("IF(ISBLANK(A777),"""",GOOGLETRANSLATE(A777,""en"",""fr""))"),"")</f>
        <v/>
      </c>
    </row>
    <row r="778" spans="2:2">
      <c r="B778" s="3" t="str">
        <f ca="1">IFERROR(__xludf.DUMMYFUNCTION("IF(ISBLANK(A778),"""",GOOGLETRANSLATE(A778,""en"",""fr""))"),"")</f>
        <v/>
      </c>
    </row>
    <row r="779" spans="2:2">
      <c r="B779" s="3" t="str">
        <f ca="1">IFERROR(__xludf.DUMMYFUNCTION("IF(ISBLANK(A779),"""",GOOGLETRANSLATE(A779,""en"",""fr""))"),"")</f>
        <v/>
      </c>
    </row>
    <row r="780" spans="2:2">
      <c r="B780" s="3" t="str">
        <f ca="1">IFERROR(__xludf.DUMMYFUNCTION("IF(ISBLANK(A780),"""",GOOGLETRANSLATE(A780,""en"",""fr""))"),"")</f>
        <v/>
      </c>
    </row>
    <row r="781" spans="2:2">
      <c r="B781" s="3" t="str">
        <f ca="1">IFERROR(__xludf.DUMMYFUNCTION("IF(ISBLANK(A781),"""",GOOGLETRANSLATE(A781,""en"",""fr""))"),"")</f>
        <v/>
      </c>
    </row>
    <row r="782" spans="2:2">
      <c r="B782" s="3" t="str">
        <f ca="1">IFERROR(__xludf.DUMMYFUNCTION("IF(ISBLANK(A782),"""",GOOGLETRANSLATE(A782,""en"",""fr""))"),"")</f>
        <v/>
      </c>
    </row>
    <row r="783" spans="2:2">
      <c r="B783" s="3" t="str">
        <f ca="1">IFERROR(__xludf.DUMMYFUNCTION("IF(ISBLANK(A783),"""",GOOGLETRANSLATE(A783,""en"",""fr""))"),"")</f>
        <v/>
      </c>
    </row>
    <row r="784" spans="2:2">
      <c r="B784" s="3" t="str">
        <f ca="1">IFERROR(__xludf.DUMMYFUNCTION("IF(ISBLANK(A784),"""",GOOGLETRANSLATE(A784,""en"",""fr""))"),"")</f>
        <v/>
      </c>
    </row>
    <row r="785" spans="2:2">
      <c r="B785" s="3" t="str">
        <f ca="1">IFERROR(__xludf.DUMMYFUNCTION("IF(ISBLANK(A785),"""",GOOGLETRANSLATE(A785,""en"",""fr""))"),"")</f>
        <v/>
      </c>
    </row>
    <row r="786" spans="2:2">
      <c r="B786" s="3" t="str">
        <f ca="1">IFERROR(__xludf.DUMMYFUNCTION("IF(ISBLANK(A786),"""",GOOGLETRANSLATE(A786,""en"",""fr""))"),"")</f>
        <v/>
      </c>
    </row>
    <row r="787" spans="2:2">
      <c r="B787" s="3" t="str">
        <f ca="1">IFERROR(__xludf.DUMMYFUNCTION("IF(ISBLANK(A787),"""",GOOGLETRANSLATE(A787,""en"",""fr""))"),"")</f>
        <v/>
      </c>
    </row>
    <row r="788" spans="2:2">
      <c r="B788" s="3" t="str">
        <f ca="1">IFERROR(__xludf.DUMMYFUNCTION("IF(ISBLANK(A788),"""",GOOGLETRANSLATE(A788,""en"",""fr""))"),"")</f>
        <v/>
      </c>
    </row>
    <row r="789" spans="2:2">
      <c r="B789" s="3" t="str">
        <f ca="1">IFERROR(__xludf.DUMMYFUNCTION("IF(ISBLANK(A789),"""",GOOGLETRANSLATE(A789,""en"",""fr""))"),"")</f>
        <v/>
      </c>
    </row>
    <row r="790" spans="2:2">
      <c r="B790" s="3" t="str">
        <f ca="1">IFERROR(__xludf.DUMMYFUNCTION("IF(ISBLANK(A790),"""",GOOGLETRANSLATE(A790,""en"",""fr""))"),"")</f>
        <v/>
      </c>
    </row>
    <row r="791" spans="2:2">
      <c r="B791" s="3" t="str">
        <f ca="1">IFERROR(__xludf.DUMMYFUNCTION("IF(ISBLANK(A791),"""",GOOGLETRANSLATE(A791,""en"",""fr""))"),"")</f>
        <v/>
      </c>
    </row>
    <row r="792" spans="2:2">
      <c r="B792" s="3" t="str">
        <f ca="1">IFERROR(__xludf.DUMMYFUNCTION("IF(ISBLANK(A792),"""",GOOGLETRANSLATE(A792,""en"",""fr""))"),"")</f>
        <v/>
      </c>
    </row>
    <row r="793" spans="2:2">
      <c r="B793" s="3" t="str">
        <f ca="1">IFERROR(__xludf.DUMMYFUNCTION("IF(ISBLANK(A793),"""",GOOGLETRANSLATE(A793,""en"",""fr""))"),"")</f>
        <v/>
      </c>
    </row>
    <row r="794" spans="2:2">
      <c r="B794" s="3" t="str">
        <f ca="1">IFERROR(__xludf.DUMMYFUNCTION("IF(ISBLANK(A794),"""",GOOGLETRANSLATE(A794,""en"",""fr""))"),"")</f>
        <v/>
      </c>
    </row>
    <row r="795" spans="2:2">
      <c r="B795" s="3" t="str">
        <f ca="1">IFERROR(__xludf.DUMMYFUNCTION("IF(ISBLANK(A795),"""",GOOGLETRANSLATE(A795,""en"",""fr""))"),"")</f>
        <v/>
      </c>
    </row>
    <row r="796" spans="2:2">
      <c r="B796" s="3" t="str">
        <f ca="1">IFERROR(__xludf.DUMMYFUNCTION("IF(ISBLANK(A796),"""",GOOGLETRANSLATE(A796,""en"",""fr""))"),"")</f>
        <v/>
      </c>
    </row>
    <row r="797" spans="2:2">
      <c r="B797" s="3" t="str">
        <f ca="1">IFERROR(__xludf.DUMMYFUNCTION("IF(ISBLANK(A797),"""",GOOGLETRANSLATE(A797,""en"",""fr""))"),"")</f>
        <v/>
      </c>
    </row>
    <row r="798" spans="2:2">
      <c r="B798" s="3" t="str">
        <f ca="1">IFERROR(__xludf.DUMMYFUNCTION("IF(ISBLANK(A798),"""",GOOGLETRANSLATE(A798,""en"",""fr""))"),"")</f>
        <v/>
      </c>
    </row>
    <row r="799" spans="2:2">
      <c r="B799" s="3" t="str">
        <f ca="1">IFERROR(__xludf.DUMMYFUNCTION("IF(ISBLANK(A799),"""",GOOGLETRANSLATE(A799,""en"",""fr""))"),"")</f>
        <v/>
      </c>
    </row>
    <row r="800" spans="2:2">
      <c r="B800" s="3" t="str">
        <f ca="1">IFERROR(__xludf.DUMMYFUNCTION("IF(ISBLANK(A800),"""",GOOGLETRANSLATE(A800,""en"",""fr""))"),"")</f>
        <v/>
      </c>
    </row>
    <row r="801" spans="2:2">
      <c r="B801" s="3" t="str">
        <f ca="1">IFERROR(__xludf.DUMMYFUNCTION("IF(ISBLANK(A801),"""",GOOGLETRANSLATE(A801,""en"",""fr""))"),"")</f>
        <v/>
      </c>
    </row>
    <row r="802" spans="2:2">
      <c r="B802" s="3" t="str">
        <f ca="1">IFERROR(__xludf.DUMMYFUNCTION("IF(ISBLANK(A802),"""",GOOGLETRANSLATE(A802,""en"",""fr""))"),"")</f>
        <v/>
      </c>
    </row>
    <row r="803" spans="2:2">
      <c r="B803" s="3" t="str">
        <f ca="1">IFERROR(__xludf.DUMMYFUNCTION("IF(ISBLANK(A803),"""",GOOGLETRANSLATE(A803,""en"",""fr""))"),"")</f>
        <v/>
      </c>
    </row>
    <row r="804" spans="2:2">
      <c r="B804" s="3" t="str">
        <f ca="1">IFERROR(__xludf.DUMMYFUNCTION("IF(ISBLANK(A804),"""",GOOGLETRANSLATE(A804,""en"",""fr""))"),"")</f>
        <v/>
      </c>
    </row>
    <row r="805" spans="2:2">
      <c r="B805" s="3" t="str">
        <f ca="1">IFERROR(__xludf.DUMMYFUNCTION("IF(ISBLANK(A805),"""",GOOGLETRANSLATE(A805,""en"",""fr""))"),"")</f>
        <v/>
      </c>
    </row>
    <row r="806" spans="2:2">
      <c r="B806" s="3" t="str">
        <f ca="1">IFERROR(__xludf.DUMMYFUNCTION("IF(ISBLANK(A806),"""",GOOGLETRANSLATE(A806,""en"",""fr""))"),"")</f>
        <v/>
      </c>
    </row>
    <row r="807" spans="2:2">
      <c r="B807" s="3" t="str">
        <f ca="1">IFERROR(__xludf.DUMMYFUNCTION("IF(ISBLANK(A807),"""",GOOGLETRANSLATE(A807,""en"",""fr""))"),"")</f>
        <v/>
      </c>
    </row>
    <row r="808" spans="2:2">
      <c r="B808" s="3" t="str">
        <f ca="1">IFERROR(__xludf.DUMMYFUNCTION("IF(ISBLANK(A808),"""",GOOGLETRANSLATE(A808,""en"",""fr""))"),"")</f>
        <v/>
      </c>
    </row>
    <row r="809" spans="2:2">
      <c r="B809" s="3" t="str">
        <f ca="1">IFERROR(__xludf.DUMMYFUNCTION("IF(ISBLANK(A809),"""",GOOGLETRANSLATE(A809,""en"",""fr""))"),"")</f>
        <v/>
      </c>
    </row>
    <row r="810" spans="2:2">
      <c r="B810" s="3" t="str">
        <f ca="1">IFERROR(__xludf.DUMMYFUNCTION("IF(ISBLANK(A810),"""",GOOGLETRANSLATE(A810,""en"",""fr""))"),"")</f>
        <v/>
      </c>
    </row>
    <row r="811" spans="2:2">
      <c r="B811" s="3" t="str">
        <f ca="1">IFERROR(__xludf.DUMMYFUNCTION("IF(ISBLANK(A811),"""",GOOGLETRANSLATE(A811,""en"",""fr""))"),"")</f>
        <v/>
      </c>
    </row>
    <row r="812" spans="2:2">
      <c r="B812" s="3" t="str">
        <f ca="1">IFERROR(__xludf.DUMMYFUNCTION("IF(ISBLANK(A812),"""",GOOGLETRANSLATE(A812,""en"",""fr""))"),"")</f>
        <v/>
      </c>
    </row>
    <row r="813" spans="2:2">
      <c r="B813" s="3" t="str">
        <f ca="1">IFERROR(__xludf.DUMMYFUNCTION("IF(ISBLANK(A813),"""",GOOGLETRANSLATE(A813,""en"",""fr""))"),"")</f>
        <v/>
      </c>
    </row>
    <row r="814" spans="2:2">
      <c r="B814" s="3" t="str">
        <f ca="1">IFERROR(__xludf.DUMMYFUNCTION("IF(ISBLANK(A814),"""",GOOGLETRANSLATE(A814,""en"",""fr""))"),"")</f>
        <v/>
      </c>
    </row>
    <row r="815" spans="2:2">
      <c r="B815" s="3" t="str">
        <f ca="1">IFERROR(__xludf.DUMMYFUNCTION("IF(ISBLANK(A815),"""",GOOGLETRANSLATE(A815,""en"",""fr""))"),"")</f>
        <v/>
      </c>
    </row>
    <row r="816" spans="2:2">
      <c r="B816" s="3" t="str">
        <f ca="1">IFERROR(__xludf.DUMMYFUNCTION("IF(ISBLANK(A816),"""",GOOGLETRANSLATE(A816,""en"",""fr""))"),"")</f>
        <v/>
      </c>
    </row>
    <row r="817" spans="2:2">
      <c r="B817" s="3" t="str">
        <f ca="1">IFERROR(__xludf.DUMMYFUNCTION("IF(ISBLANK(A817),"""",GOOGLETRANSLATE(A817,""en"",""fr""))"),"")</f>
        <v/>
      </c>
    </row>
    <row r="818" spans="2:2">
      <c r="B818" s="3" t="str">
        <f ca="1">IFERROR(__xludf.DUMMYFUNCTION("IF(ISBLANK(A818),"""",GOOGLETRANSLATE(A818,""en"",""fr""))"),"")</f>
        <v/>
      </c>
    </row>
    <row r="819" spans="2:2">
      <c r="B819" s="3" t="str">
        <f ca="1">IFERROR(__xludf.DUMMYFUNCTION("IF(ISBLANK(A819),"""",GOOGLETRANSLATE(A819,""en"",""fr""))"),"")</f>
        <v/>
      </c>
    </row>
    <row r="820" spans="2:2">
      <c r="B820" s="3" t="str">
        <f ca="1">IFERROR(__xludf.DUMMYFUNCTION("IF(ISBLANK(A820),"""",GOOGLETRANSLATE(A820,""en"",""fr""))"),"")</f>
        <v/>
      </c>
    </row>
    <row r="821" spans="2:2">
      <c r="B821" s="3" t="str">
        <f ca="1">IFERROR(__xludf.DUMMYFUNCTION("IF(ISBLANK(A821),"""",GOOGLETRANSLATE(A821,""en"",""fr""))"),"")</f>
        <v/>
      </c>
    </row>
    <row r="822" spans="2:2">
      <c r="B822" s="3" t="str">
        <f ca="1">IFERROR(__xludf.DUMMYFUNCTION("IF(ISBLANK(A822),"""",GOOGLETRANSLATE(A822,""en"",""fr""))"),"")</f>
        <v/>
      </c>
    </row>
    <row r="823" spans="2:2">
      <c r="B823" s="3" t="str">
        <f ca="1">IFERROR(__xludf.DUMMYFUNCTION("IF(ISBLANK(A823),"""",GOOGLETRANSLATE(A823,""en"",""fr""))"),"")</f>
        <v/>
      </c>
    </row>
    <row r="824" spans="2:2">
      <c r="B824" s="3" t="str">
        <f ca="1">IFERROR(__xludf.DUMMYFUNCTION("IF(ISBLANK(A824),"""",GOOGLETRANSLATE(A824,""en"",""fr""))"),"")</f>
        <v/>
      </c>
    </row>
    <row r="825" spans="2:2">
      <c r="B825" s="3" t="str">
        <f ca="1">IFERROR(__xludf.DUMMYFUNCTION("IF(ISBLANK(A825),"""",GOOGLETRANSLATE(A825,""en"",""fr""))"),"")</f>
        <v/>
      </c>
    </row>
    <row r="826" spans="2:2">
      <c r="B826" s="3" t="str">
        <f ca="1">IFERROR(__xludf.DUMMYFUNCTION("IF(ISBLANK(A826),"""",GOOGLETRANSLATE(A826,""en"",""fr""))"),"")</f>
        <v/>
      </c>
    </row>
    <row r="827" spans="2:2">
      <c r="B827" s="3" t="str">
        <f ca="1">IFERROR(__xludf.DUMMYFUNCTION("IF(ISBLANK(A827),"""",GOOGLETRANSLATE(A827,""en"",""fr""))"),"")</f>
        <v/>
      </c>
    </row>
    <row r="828" spans="2:2">
      <c r="B828" s="3" t="str">
        <f ca="1">IFERROR(__xludf.DUMMYFUNCTION("IF(ISBLANK(A828),"""",GOOGLETRANSLATE(A828,""en"",""fr""))"),"")</f>
        <v/>
      </c>
    </row>
    <row r="829" spans="2:2">
      <c r="B829" s="3" t="str">
        <f ca="1">IFERROR(__xludf.DUMMYFUNCTION("IF(ISBLANK(A829),"""",GOOGLETRANSLATE(A829,""en"",""fr""))"),"")</f>
        <v/>
      </c>
    </row>
    <row r="830" spans="2:2">
      <c r="B830" s="3" t="str">
        <f ca="1">IFERROR(__xludf.DUMMYFUNCTION("IF(ISBLANK(A830),"""",GOOGLETRANSLATE(A830,""en"",""fr""))"),"")</f>
        <v/>
      </c>
    </row>
    <row r="831" spans="2:2">
      <c r="B831" s="3" t="str">
        <f ca="1">IFERROR(__xludf.DUMMYFUNCTION("IF(ISBLANK(A831),"""",GOOGLETRANSLATE(A831,""en"",""fr""))"),"")</f>
        <v/>
      </c>
    </row>
    <row r="832" spans="2:2">
      <c r="B832" s="3" t="str">
        <f ca="1">IFERROR(__xludf.DUMMYFUNCTION("IF(ISBLANK(A832),"""",GOOGLETRANSLATE(A832,""en"",""fr""))"),"")</f>
        <v/>
      </c>
    </row>
    <row r="833" spans="2:2">
      <c r="B833" s="3" t="str">
        <f ca="1">IFERROR(__xludf.DUMMYFUNCTION("IF(ISBLANK(A833),"""",GOOGLETRANSLATE(A833,""en"",""fr""))"),"")</f>
        <v/>
      </c>
    </row>
    <row r="834" spans="2:2">
      <c r="B834" s="3" t="str">
        <f ca="1">IFERROR(__xludf.DUMMYFUNCTION("IF(ISBLANK(A834),"""",GOOGLETRANSLATE(A834,""en"",""fr""))"),"")</f>
        <v/>
      </c>
    </row>
    <row r="835" spans="2:2">
      <c r="B835" s="3" t="str">
        <f ca="1">IFERROR(__xludf.DUMMYFUNCTION("IF(ISBLANK(A835),"""",GOOGLETRANSLATE(A835,""en"",""fr""))"),"")</f>
        <v/>
      </c>
    </row>
    <row r="836" spans="2:2">
      <c r="B836" s="3" t="str">
        <f ca="1">IFERROR(__xludf.DUMMYFUNCTION("IF(ISBLANK(A836),"""",GOOGLETRANSLATE(A836,""en"",""fr""))"),"")</f>
        <v/>
      </c>
    </row>
    <row r="837" spans="2:2">
      <c r="B837" s="3" t="str">
        <f ca="1">IFERROR(__xludf.DUMMYFUNCTION("IF(ISBLANK(A837),"""",GOOGLETRANSLATE(A837,""en"",""fr""))"),"")</f>
        <v/>
      </c>
    </row>
    <row r="838" spans="2:2">
      <c r="B838" s="3" t="str">
        <f ca="1">IFERROR(__xludf.DUMMYFUNCTION("IF(ISBLANK(A838),"""",GOOGLETRANSLATE(A838,""en"",""fr""))"),"")</f>
        <v/>
      </c>
    </row>
    <row r="839" spans="2:2">
      <c r="B839" s="3" t="str">
        <f ca="1">IFERROR(__xludf.DUMMYFUNCTION("IF(ISBLANK(A839),"""",GOOGLETRANSLATE(A839,""en"",""fr""))"),"")</f>
        <v/>
      </c>
    </row>
    <row r="840" spans="2:2">
      <c r="B840" s="3" t="str">
        <f ca="1">IFERROR(__xludf.DUMMYFUNCTION("IF(ISBLANK(A840),"""",GOOGLETRANSLATE(A840,""en"",""fr""))"),"")</f>
        <v/>
      </c>
    </row>
    <row r="841" spans="2:2">
      <c r="B841" s="3" t="str">
        <f ca="1">IFERROR(__xludf.DUMMYFUNCTION("IF(ISBLANK(A841),"""",GOOGLETRANSLATE(A841,""en"",""fr""))"),"")</f>
        <v/>
      </c>
    </row>
    <row r="842" spans="2:2">
      <c r="B842" s="3" t="str">
        <f ca="1">IFERROR(__xludf.DUMMYFUNCTION("IF(ISBLANK(A842),"""",GOOGLETRANSLATE(A842,""en"",""fr""))"),"")</f>
        <v/>
      </c>
    </row>
    <row r="843" spans="2:2">
      <c r="B843" s="3" t="str">
        <f ca="1">IFERROR(__xludf.DUMMYFUNCTION("IF(ISBLANK(A843),"""",GOOGLETRANSLATE(A843,""en"",""fr""))"),"")</f>
        <v/>
      </c>
    </row>
    <row r="844" spans="2:2">
      <c r="B844" s="3" t="str">
        <f ca="1">IFERROR(__xludf.DUMMYFUNCTION("IF(ISBLANK(A844),"""",GOOGLETRANSLATE(A844,""en"",""fr""))"),"")</f>
        <v/>
      </c>
    </row>
    <row r="845" spans="2:2">
      <c r="B845" s="3" t="str">
        <f ca="1">IFERROR(__xludf.DUMMYFUNCTION("IF(ISBLANK(A845),"""",GOOGLETRANSLATE(A845,""en"",""fr""))"),"")</f>
        <v/>
      </c>
    </row>
    <row r="846" spans="2:2">
      <c r="B846" s="3" t="str">
        <f ca="1">IFERROR(__xludf.DUMMYFUNCTION("IF(ISBLANK(A846),"""",GOOGLETRANSLATE(A846,""en"",""fr""))"),"")</f>
        <v/>
      </c>
    </row>
    <row r="847" spans="2:2">
      <c r="B847" s="3" t="str">
        <f ca="1">IFERROR(__xludf.DUMMYFUNCTION("IF(ISBLANK(A847),"""",GOOGLETRANSLATE(A847,""en"",""fr""))"),"")</f>
        <v/>
      </c>
    </row>
    <row r="848" spans="2:2">
      <c r="B848" s="3" t="str">
        <f ca="1">IFERROR(__xludf.DUMMYFUNCTION("IF(ISBLANK(A848),"""",GOOGLETRANSLATE(A848,""en"",""fr""))"),"")</f>
        <v/>
      </c>
    </row>
    <row r="849" spans="2:2">
      <c r="B849" s="3" t="str">
        <f ca="1">IFERROR(__xludf.DUMMYFUNCTION("IF(ISBLANK(A849),"""",GOOGLETRANSLATE(A849,""en"",""fr""))"),"")</f>
        <v/>
      </c>
    </row>
    <row r="850" spans="2:2">
      <c r="B850" s="3" t="str">
        <f ca="1">IFERROR(__xludf.DUMMYFUNCTION("IF(ISBLANK(A850),"""",GOOGLETRANSLATE(A850,""en"",""fr""))"),"")</f>
        <v/>
      </c>
    </row>
    <row r="851" spans="2:2">
      <c r="B851" s="3" t="str">
        <f ca="1">IFERROR(__xludf.DUMMYFUNCTION("IF(ISBLANK(A851),"""",GOOGLETRANSLATE(A851,""en"",""fr""))"),"")</f>
        <v/>
      </c>
    </row>
    <row r="852" spans="2:2">
      <c r="B852" s="3" t="str">
        <f ca="1">IFERROR(__xludf.DUMMYFUNCTION("IF(ISBLANK(A852),"""",GOOGLETRANSLATE(A852,""en"",""fr""))"),"")</f>
        <v/>
      </c>
    </row>
    <row r="853" spans="2:2">
      <c r="B853" s="3" t="str">
        <f ca="1">IFERROR(__xludf.DUMMYFUNCTION("IF(ISBLANK(A853),"""",GOOGLETRANSLATE(A853,""en"",""fr""))"),"")</f>
        <v/>
      </c>
    </row>
    <row r="854" spans="2:2">
      <c r="B854" s="3" t="str">
        <f ca="1">IFERROR(__xludf.DUMMYFUNCTION("IF(ISBLANK(A854),"""",GOOGLETRANSLATE(A854,""en"",""fr""))"),"")</f>
        <v/>
      </c>
    </row>
    <row r="855" spans="2:2">
      <c r="B855" s="3" t="str">
        <f ca="1">IFERROR(__xludf.DUMMYFUNCTION("IF(ISBLANK(A855),"""",GOOGLETRANSLATE(A855,""en"",""fr""))"),"")</f>
        <v/>
      </c>
    </row>
    <row r="856" spans="2:2">
      <c r="B856" s="3" t="str">
        <f ca="1">IFERROR(__xludf.DUMMYFUNCTION("IF(ISBLANK(A856),"""",GOOGLETRANSLATE(A856,""en"",""fr""))"),"")</f>
        <v/>
      </c>
    </row>
    <row r="857" spans="2:2">
      <c r="B857" s="3" t="str">
        <f ca="1">IFERROR(__xludf.DUMMYFUNCTION("IF(ISBLANK(A857),"""",GOOGLETRANSLATE(A857,""en"",""fr""))"),"")</f>
        <v/>
      </c>
    </row>
    <row r="858" spans="2:2">
      <c r="B858" s="3" t="str">
        <f ca="1">IFERROR(__xludf.DUMMYFUNCTION("IF(ISBLANK(A858),"""",GOOGLETRANSLATE(A858,""en"",""fr""))"),"")</f>
        <v/>
      </c>
    </row>
    <row r="859" spans="2:2">
      <c r="B859" s="3" t="str">
        <f ca="1">IFERROR(__xludf.DUMMYFUNCTION("IF(ISBLANK(A859),"""",GOOGLETRANSLATE(A859,""en"",""fr""))"),"")</f>
        <v/>
      </c>
    </row>
    <row r="860" spans="2:2">
      <c r="B860" s="3" t="str">
        <f ca="1">IFERROR(__xludf.DUMMYFUNCTION("IF(ISBLANK(A860),"""",GOOGLETRANSLATE(A860,""en"",""fr""))"),"")</f>
        <v/>
      </c>
    </row>
    <row r="861" spans="2:2">
      <c r="B861" s="3" t="str">
        <f ca="1">IFERROR(__xludf.DUMMYFUNCTION("IF(ISBLANK(A861),"""",GOOGLETRANSLATE(A861,""en"",""fr""))"),"")</f>
        <v/>
      </c>
    </row>
    <row r="862" spans="2:2">
      <c r="B862" s="3" t="str">
        <f ca="1">IFERROR(__xludf.DUMMYFUNCTION("IF(ISBLANK(A862),"""",GOOGLETRANSLATE(A862,""en"",""fr""))"),"")</f>
        <v/>
      </c>
    </row>
    <row r="863" spans="2:2">
      <c r="B863" s="3" t="str">
        <f ca="1">IFERROR(__xludf.DUMMYFUNCTION("IF(ISBLANK(A863),"""",GOOGLETRANSLATE(A863,""en"",""fr""))"),"")</f>
        <v/>
      </c>
    </row>
    <row r="864" spans="2:2">
      <c r="B864" s="3" t="str">
        <f ca="1">IFERROR(__xludf.DUMMYFUNCTION("IF(ISBLANK(A864),"""",GOOGLETRANSLATE(A864,""en"",""fr""))"),"")</f>
        <v/>
      </c>
    </row>
    <row r="865" spans="2:2">
      <c r="B865" s="3" t="str">
        <f ca="1">IFERROR(__xludf.DUMMYFUNCTION("IF(ISBLANK(A865),"""",GOOGLETRANSLATE(A865,""en"",""fr""))"),"")</f>
        <v/>
      </c>
    </row>
    <row r="866" spans="2:2">
      <c r="B866" s="3" t="str">
        <f ca="1">IFERROR(__xludf.DUMMYFUNCTION("IF(ISBLANK(A866),"""",GOOGLETRANSLATE(A866,""en"",""fr""))"),"")</f>
        <v/>
      </c>
    </row>
    <row r="867" spans="2:2">
      <c r="B867" s="3" t="str">
        <f ca="1">IFERROR(__xludf.DUMMYFUNCTION("IF(ISBLANK(A867),"""",GOOGLETRANSLATE(A867,""en"",""fr""))"),"")</f>
        <v/>
      </c>
    </row>
    <row r="868" spans="2:2">
      <c r="B868" s="3" t="str">
        <f ca="1">IFERROR(__xludf.DUMMYFUNCTION("IF(ISBLANK(A868),"""",GOOGLETRANSLATE(A868,""en"",""fr""))"),"")</f>
        <v/>
      </c>
    </row>
    <row r="869" spans="2:2">
      <c r="B869" s="3" t="str">
        <f ca="1">IFERROR(__xludf.DUMMYFUNCTION("IF(ISBLANK(A869),"""",GOOGLETRANSLATE(A869,""en"",""fr""))"),"")</f>
        <v/>
      </c>
    </row>
    <row r="870" spans="2:2">
      <c r="B870" s="3" t="str">
        <f ca="1">IFERROR(__xludf.DUMMYFUNCTION("IF(ISBLANK(A870),"""",GOOGLETRANSLATE(A870,""en"",""fr""))"),"")</f>
        <v/>
      </c>
    </row>
    <row r="871" spans="2:2">
      <c r="B871" s="3" t="str">
        <f ca="1">IFERROR(__xludf.DUMMYFUNCTION("IF(ISBLANK(A871),"""",GOOGLETRANSLATE(A871,""en"",""fr""))"),"")</f>
        <v/>
      </c>
    </row>
    <row r="872" spans="2:2">
      <c r="B872" s="3" t="str">
        <f ca="1">IFERROR(__xludf.DUMMYFUNCTION("IF(ISBLANK(A872),"""",GOOGLETRANSLATE(A872,""en"",""fr""))"),"")</f>
        <v/>
      </c>
    </row>
    <row r="873" spans="2:2">
      <c r="B873" s="3" t="str">
        <f ca="1">IFERROR(__xludf.DUMMYFUNCTION("IF(ISBLANK(A873),"""",GOOGLETRANSLATE(A873,""en"",""fr""))"),"")</f>
        <v/>
      </c>
    </row>
    <row r="874" spans="2:2">
      <c r="B874" s="3" t="str">
        <f ca="1">IFERROR(__xludf.DUMMYFUNCTION("IF(ISBLANK(A874),"""",GOOGLETRANSLATE(A874,""en"",""fr""))"),"")</f>
        <v/>
      </c>
    </row>
    <row r="875" spans="2:2">
      <c r="B875" s="3" t="str">
        <f ca="1">IFERROR(__xludf.DUMMYFUNCTION("IF(ISBLANK(A875),"""",GOOGLETRANSLATE(A875,""en"",""fr""))"),"")</f>
        <v/>
      </c>
    </row>
    <row r="876" spans="2:2">
      <c r="B876" s="3" t="str">
        <f ca="1">IFERROR(__xludf.DUMMYFUNCTION("IF(ISBLANK(A876),"""",GOOGLETRANSLATE(A876,""en"",""fr""))"),"")</f>
        <v/>
      </c>
    </row>
    <row r="877" spans="2:2">
      <c r="B877" s="3" t="str">
        <f ca="1">IFERROR(__xludf.DUMMYFUNCTION("IF(ISBLANK(A877),"""",GOOGLETRANSLATE(A877,""en"",""fr""))"),"")</f>
        <v/>
      </c>
    </row>
    <row r="878" spans="2:2">
      <c r="B878" s="3" t="str">
        <f ca="1">IFERROR(__xludf.DUMMYFUNCTION("IF(ISBLANK(A878),"""",GOOGLETRANSLATE(A878,""en"",""fr""))"),"")</f>
        <v/>
      </c>
    </row>
    <row r="879" spans="2:2">
      <c r="B879" s="3" t="str">
        <f ca="1">IFERROR(__xludf.DUMMYFUNCTION("IF(ISBLANK(A879),"""",GOOGLETRANSLATE(A879,""en"",""fr""))"),"")</f>
        <v/>
      </c>
    </row>
    <row r="880" spans="2:2">
      <c r="B880" s="3" t="str">
        <f ca="1">IFERROR(__xludf.DUMMYFUNCTION("IF(ISBLANK(A880),"""",GOOGLETRANSLATE(A880,""en"",""fr""))"),"")</f>
        <v/>
      </c>
    </row>
    <row r="881" spans="2:2">
      <c r="B881" s="3" t="str">
        <f ca="1">IFERROR(__xludf.DUMMYFUNCTION("IF(ISBLANK(A881),"""",GOOGLETRANSLATE(A881,""en"",""fr""))"),"")</f>
        <v/>
      </c>
    </row>
    <row r="882" spans="2:2">
      <c r="B882" s="3" t="str">
        <f ca="1">IFERROR(__xludf.DUMMYFUNCTION("IF(ISBLANK(A882),"""",GOOGLETRANSLATE(A882,""en"",""fr""))"),"")</f>
        <v/>
      </c>
    </row>
    <row r="883" spans="2:2">
      <c r="B883" s="3" t="str">
        <f ca="1">IFERROR(__xludf.DUMMYFUNCTION("IF(ISBLANK(A883),"""",GOOGLETRANSLATE(A883,""en"",""fr""))"),"")</f>
        <v/>
      </c>
    </row>
    <row r="884" spans="2:2">
      <c r="B884" s="3" t="str">
        <f ca="1">IFERROR(__xludf.DUMMYFUNCTION("IF(ISBLANK(A884),"""",GOOGLETRANSLATE(A884,""en"",""fr""))"),"")</f>
        <v/>
      </c>
    </row>
    <row r="885" spans="2:2">
      <c r="B885" s="3" t="str">
        <f ca="1">IFERROR(__xludf.DUMMYFUNCTION("IF(ISBLANK(A885),"""",GOOGLETRANSLATE(A885,""en"",""fr""))"),"")</f>
        <v/>
      </c>
    </row>
    <row r="886" spans="2:2">
      <c r="B886" s="3" t="str">
        <f ca="1">IFERROR(__xludf.DUMMYFUNCTION("IF(ISBLANK(A886),"""",GOOGLETRANSLATE(A886,""en"",""fr""))"),"")</f>
        <v/>
      </c>
    </row>
    <row r="887" spans="2:2">
      <c r="B887" s="3" t="str">
        <f ca="1">IFERROR(__xludf.DUMMYFUNCTION("IF(ISBLANK(A887),"""",GOOGLETRANSLATE(A887,""en"",""fr""))"),"")</f>
        <v/>
      </c>
    </row>
    <row r="888" spans="2:2">
      <c r="B888" s="3" t="str">
        <f ca="1">IFERROR(__xludf.DUMMYFUNCTION("IF(ISBLANK(A888),"""",GOOGLETRANSLATE(A888,""en"",""fr""))"),"")</f>
        <v/>
      </c>
    </row>
    <row r="889" spans="2:2">
      <c r="B889" s="3" t="str">
        <f ca="1">IFERROR(__xludf.DUMMYFUNCTION("IF(ISBLANK(A889),"""",GOOGLETRANSLATE(A889,""en"",""fr""))"),"")</f>
        <v/>
      </c>
    </row>
    <row r="890" spans="2:2">
      <c r="B890" s="3" t="str">
        <f ca="1">IFERROR(__xludf.DUMMYFUNCTION("IF(ISBLANK(A890),"""",GOOGLETRANSLATE(A890,""en"",""fr""))"),"")</f>
        <v/>
      </c>
    </row>
    <row r="891" spans="2:2">
      <c r="B891" s="3" t="str">
        <f ca="1">IFERROR(__xludf.DUMMYFUNCTION("IF(ISBLANK(A891),"""",GOOGLETRANSLATE(A891,""en"",""fr""))"),"")</f>
        <v/>
      </c>
    </row>
    <row r="892" spans="2:2">
      <c r="B892" s="3" t="str">
        <f ca="1">IFERROR(__xludf.DUMMYFUNCTION("IF(ISBLANK(A892),"""",GOOGLETRANSLATE(A892,""en"",""fr""))"),"")</f>
        <v/>
      </c>
    </row>
    <row r="893" spans="2:2">
      <c r="B893" s="3" t="str">
        <f ca="1">IFERROR(__xludf.DUMMYFUNCTION("IF(ISBLANK(A893),"""",GOOGLETRANSLATE(A893,""en"",""fr""))"),"")</f>
        <v/>
      </c>
    </row>
    <row r="894" spans="2:2">
      <c r="B894" s="3" t="str">
        <f ca="1">IFERROR(__xludf.DUMMYFUNCTION("IF(ISBLANK(A894),"""",GOOGLETRANSLATE(A894,""en"",""fr""))"),"")</f>
        <v/>
      </c>
    </row>
    <row r="895" spans="2:2">
      <c r="B895" s="3" t="str">
        <f ca="1">IFERROR(__xludf.DUMMYFUNCTION("IF(ISBLANK(A895),"""",GOOGLETRANSLATE(A895,""en"",""fr""))"),"")</f>
        <v/>
      </c>
    </row>
    <row r="896" spans="2:2">
      <c r="B896" s="3" t="str">
        <f ca="1">IFERROR(__xludf.DUMMYFUNCTION("IF(ISBLANK(A896),"""",GOOGLETRANSLATE(A896,""en"",""fr""))"),"")</f>
        <v/>
      </c>
    </row>
    <row r="897" spans="2:2">
      <c r="B897" s="3" t="str">
        <f ca="1">IFERROR(__xludf.DUMMYFUNCTION("IF(ISBLANK(A897),"""",GOOGLETRANSLATE(A897,""en"",""fr""))"),"")</f>
        <v/>
      </c>
    </row>
    <row r="898" spans="2:2">
      <c r="B898" s="3" t="str">
        <f ca="1">IFERROR(__xludf.DUMMYFUNCTION("IF(ISBLANK(A898),"""",GOOGLETRANSLATE(A898,""en"",""fr""))"),"")</f>
        <v/>
      </c>
    </row>
    <row r="899" spans="2:2">
      <c r="B899" s="3" t="str">
        <f ca="1">IFERROR(__xludf.DUMMYFUNCTION("IF(ISBLANK(A899),"""",GOOGLETRANSLATE(A899,""en"",""fr""))"),"")</f>
        <v/>
      </c>
    </row>
    <row r="900" spans="2:2">
      <c r="B900" s="3" t="str">
        <f ca="1">IFERROR(__xludf.DUMMYFUNCTION("IF(ISBLANK(A900),"""",GOOGLETRANSLATE(A900,""en"",""fr""))"),"")</f>
        <v/>
      </c>
    </row>
    <row r="901" spans="2:2">
      <c r="B901" s="3" t="str">
        <f ca="1">IFERROR(__xludf.DUMMYFUNCTION("IF(ISBLANK(A901),"""",GOOGLETRANSLATE(A901,""en"",""fr""))"),"")</f>
        <v/>
      </c>
    </row>
    <row r="902" spans="2:2">
      <c r="B902" s="3" t="str">
        <f ca="1">IFERROR(__xludf.DUMMYFUNCTION("IF(ISBLANK(A902),"""",GOOGLETRANSLATE(A902,""en"",""fr""))"),"")</f>
        <v/>
      </c>
    </row>
    <row r="903" spans="2:2">
      <c r="B903" s="3" t="str">
        <f ca="1">IFERROR(__xludf.DUMMYFUNCTION("IF(ISBLANK(A903),"""",GOOGLETRANSLATE(A903,""en"",""fr""))"),"")</f>
        <v/>
      </c>
    </row>
    <row r="904" spans="2:2">
      <c r="B904" s="3" t="str">
        <f ca="1">IFERROR(__xludf.DUMMYFUNCTION("IF(ISBLANK(A904),"""",GOOGLETRANSLATE(A904,""en"",""fr""))"),"")</f>
        <v/>
      </c>
    </row>
    <row r="905" spans="2:2">
      <c r="B905" s="3" t="str">
        <f ca="1">IFERROR(__xludf.DUMMYFUNCTION("IF(ISBLANK(A905),"""",GOOGLETRANSLATE(A905,""en"",""fr""))"),"")</f>
        <v/>
      </c>
    </row>
    <row r="906" spans="2:2">
      <c r="B906" s="3" t="str">
        <f ca="1">IFERROR(__xludf.DUMMYFUNCTION("IF(ISBLANK(A906),"""",GOOGLETRANSLATE(A906,""en"",""fr""))"),"")</f>
        <v/>
      </c>
    </row>
    <row r="907" spans="2:2">
      <c r="B907" s="3" t="str">
        <f ca="1">IFERROR(__xludf.DUMMYFUNCTION("IF(ISBLANK(A907),"""",GOOGLETRANSLATE(A907,""en"",""fr""))"),"")</f>
        <v/>
      </c>
    </row>
    <row r="908" spans="2:2">
      <c r="B908" s="3" t="str">
        <f ca="1">IFERROR(__xludf.DUMMYFUNCTION("IF(ISBLANK(A908),"""",GOOGLETRANSLATE(A908,""en"",""fr""))"),"")</f>
        <v/>
      </c>
    </row>
    <row r="909" spans="2:2">
      <c r="B909" s="3" t="str">
        <f ca="1">IFERROR(__xludf.DUMMYFUNCTION("IF(ISBLANK(A909),"""",GOOGLETRANSLATE(A909,""en"",""fr""))"),"")</f>
        <v/>
      </c>
    </row>
    <row r="910" spans="2:2">
      <c r="B910" s="3" t="str">
        <f ca="1">IFERROR(__xludf.DUMMYFUNCTION("IF(ISBLANK(A910),"""",GOOGLETRANSLATE(A910,""en"",""fr""))"),"")</f>
        <v/>
      </c>
    </row>
    <row r="911" spans="2:2">
      <c r="B911" s="3" t="str">
        <f ca="1">IFERROR(__xludf.DUMMYFUNCTION("IF(ISBLANK(A911),"""",GOOGLETRANSLATE(A911,""en"",""fr""))"),"")</f>
        <v/>
      </c>
    </row>
    <row r="912" spans="2:2">
      <c r="B912" s="3" t="str">
        <f ca="1">IFERROR(__xludf.DUMMYFUNCTION("IF(ISBLANK(A912),"""",GOOGLETRANSLATE(A912,""en"",""fr""))"),"")</f>
        <v/>
      </c>
    </row>
    <row r="913" spans="2:2">
      <c r="B913" s="3" t="str">
        <f ca="1">IFERROR(__xludf.DUMMYFUNCTION("IF(ISBLANK(A913),"""",GOOGLETRANSLATE(A913,""en"",""fr""))"),"")</f>
        <v/>
      </c>
    </row>
    <row r="914" spans="2:2">
      <c r="B914" s="3" t="str">
        <f ca="1">IFERROR(__xludf.DUMMYFUNCTION("IF(ISBLANK(A914),"""",GOOGLETRANSLATE(A914,""en"",""fr""))"),"")</f>
        <v/>
      </c>
    </row>
    <row r="915" spans="2:2">
      <c r="B915" s="3" t="str">
        <f ca="1">IFERROR(__xludf.DUMMYFUNCTION("IF(ISBLANK(A915),"""",GOOGLETRANSLATE(A915,""en"",""fr""))"),"")</f>
        <v/>
      </c>
    </row>
    <row r="916" spans="2:2">
      <c r="B916" s="3" t="str">
        <f ca="1">IFERROR(__xludf.DUMMYFUNCTION("IF(ISBLANK(A916),"""",GOOGLETRANSLATE(A916,""en"",""fr""))"),"")</f>
        <v/>
      </c>
    </row>
    <row r="917" spans="2:2">
      <c r="B917" s="3" t="str">
        <f ca="1">IFERROR(__xludf.DUMMYFUNCTION("IF(ISBLANK(A917),"""",GOOGLETRANSLATE(A917,""en"",""fr""))"),"")</f>
        <v/>
      </c>
    </row>
    <row r="918" spans="2:2">
      <c r="B918" s="3" t="str">
        <f ca="1">IFERROR(__xludf.DUMMYFUNCTION("IF(ISBLANK(A918),"""",GOOGLETRANSLATE(A918,""en"",""fr""))"),"")</f>
        <v/>
      </c>
    </row>
    <row r="919" spans="2:2">
      <c r="B919" s="3" t="str">
        <f ca="1">IFERROR(__xludf.DUMMYFUNCTION("IF(ISBLANK(A919),"""",GOOGLETRANSLATE(A919,""en"",""fr""))"),"")</f>
        <v/>
      </c>
    </row>
    <row r="920" spans="2:2">
      <c r="B920" s="3" t="str">
        <f ca="1">IFERROR(__xludf.DUMMYFUNCTION("IF(ISBLANK(A920),"""",GOOGLETRANSLATE(A920,""en"",""fr""))"),"")</f>
        <v/>
      </c>
    </row>
    <row r="921" spans="2:2">
      <c r="B921" s="3" t="str">
        <f ca="1">IFERROR(__xludf.DUMMYFUNCTION("IF(ISBLANK(A921),"""",GOOGLETRANSLATE(A921,""en"",""fr""))"),"")</f>
        <v/>
      </c>
    </row>
    <row r="922" spans="2:2">
      <c r="B922" s="3" t="str">
        <f ca="1">IFERROR(__xludf.DUMMYFUNCTION("IF(ISBLANK(A922),"""",GOOGLETRANSLATE(A922,""en"",""fr""))"),"")</f>
        <v/>
      </c>
    </row>
    <row r="923" spans="2:2">
      <c r="B923" s="3" t="str">
        <f ca="1">IFERROR(__xludf.DUMMYFUNCTION("IF(ISBLANK(A923),"""",GOOGLETRANSLATE(A923,""en"",""fr""))"),"")</f>
        <v/>
      </c>
    </row>
    <row r="924" spans="2:2">
      <c r="B924" s="3" t="str">
        <f ca="1">IFERROR(__xludf.DUMMYFUNCTION("IF(ISBLANK(A924),"""",GOOGLETRANSLATE(A924,""en"",""fr""))"),"")</f>
        <v/>
      </c>
    </row>
    <row r="925" spans="2:2">
      <c r="B925" s="3" t="str">
        <f ca="1">IFERROR(__xludf.DUMMYFUNCTION("IF(ISBLANK(A925),"""",GOOGLETRANSLATE(A925,""en"",""fr""))"),"")</f>
        <v/>
      </c>
    </row>
    <row r="926" spans="2:2">
      <c r="B926" s="3" t="str">
        <f ca="1">IFERROR(__xludf.DUMMYFUNCTION("IF(ISBLANK(A926),"""",GOOGLETRANSLATE(A926,""en"",""fr""))"),"")</f>
        <v/>
      </c>
    </row>
    <row r="927" spans="2:2">
      <c r="B927" s="3" t="str">
        <f ca="1">IFERROR(__xludf.DUMMYFUNCTION("IF(ISBLANK(A927),"""",GOOGLETRANSLATE(A927,""en"",""fr""))"),"")</f>
        <v/>
      </c>
    </row>
    <row r="928" spans="2:2">
      <c r="B928" s="3" t="str">
        <f ca="1">IFERROR(__xludf.DUMMYFUNCTION("IF(ISBLANK(A928),"""",GOOGLETRANSLATE(A928,""en"",""fr""))"),"")</f>
        <v/>
      </c>
    </row>
    <row r="929" spans="2:2">
      <c r="B929" s="3" t="str">
        <f ca="1">IFERROR(__xludf.DUMMYFUNCTION("IF(ISBLANK(A929),"""",GOOGLETRANSLATE(A929,""en"",""fr""))"),"")</f>
        <v/>
      </c>
    </row>
    <row r="930" spans="2:2">
      <c r="B930" s="3" t="str">
        <f ca="1">IFERROR(__xludf.DUMMYFUNCTION("IF(ISBLANK(A930),"""",GOOGLETRANSLATE(A930,""en"",""fr""))"),"")</f>
        <v/>
      </c>
    </row>
    <row r="931" spans="2:2">
      <c r="B931" s="3" t="str">
        <f ca="1">IFERROR(__xludf.DUMMYFUNCTION("IF(ISBLANK(A931),"""",GOOGLETRANSLATE(A931,""en"",""fr""))"),"")</f>
        <v/>
      </c>
    </row>
    <row r="932" spans="2:2">
      <c r="B932" s="3" t="str">
        <f ca="1">IFERROR(__xludf.DUMMYFUNCTION("IF(ISBLANK(A932),"""",GOOGLETRANSLATE(A932,""en"",""fr""))"),"")</f>
        <v/>
      </c>
    </row>
    <row r="933" spans="2:2">
      <c r="B933" s="3" t="str">
        <f ca="1">IFERROR(__xludf.DUMMYFUNCTION("IF(ISBLANK(A933),"""",GOOGLETRANSLATE(A933,""en"",""fr""))"),"")</f>
        <v/>
      </c>
    </row>
    <row r="934" spans="2:2">
      <c r="B934" s="3" t="str">
        <f ca="1">IFERROR(__xludf.DUMMYFUNCTION("IF(ISBLANK(A934),"""",GOOGLETRANSLATE(A934,""en"",""fr""))"),"")</f>
        <v/>
      </c>
    </row>
    <row r="935" spans="2:2">
      <c r="B935" s="3" t="str">
        <f ca="1">IFERROR(__xludf.DUMMYFUNCTION("IF(ISBLANK(A935),"""",GOOGLETRANSLATE(A935,""en"",""fr""))"),"")</f>
        <v/>
      </c>
    </row>
    <row r="936" spans="2:2">
      <c r="B936" s="3" t="str">
        <f ca="1">IFERROR(__xludf.DUMMYFUNCTION("IF(ISBLANK(A936),"""",GOOGLETRANSLATE(A936,""en"",""fr""))"),"")</f>
        <v/>
      </c>
    </row>
    <row r="937" spans="2:2">
      <c r="B937" s="3" t="str">
        <f ca="1">IFERROR(__xludf.DUMMYFUNCTION("IF(ISBLANK(A937),"""",GOOGLETRANSLATE(A937,""en"",""fr""))"),"")</f>
        <v/>
      </c>
    </row>
    <row r="938" spans="2:2">
      <c r="B938" s="3" t="str">
        <f ca="1">IFERROR(__xludf.DUMMYFUNCTION("IF(ISBLANK(A938),"""",GOOGLETRANSLATE(A938,""en"",""fr""))"),"")</f>
        <v/>
      </c>
    </row>
    <row r="939" spans="2:2">
      <c r="B939" s="3" t="str">
        <f ca="1">IFERROR(__xludf.DUMMYFUNCTION("IF(ISBLANK(A939),"""",GOOGLETRANSLATE(A939,""en"",""fr""))"),"")</f>
        <v/>
      </c>
    </row>
    <row r="940" spans="2:2">
      <c r="B940" s="3" t="str">
        <f ca="1">IFERROR(__xludf.DUMMYFUNCTION("IF(ISBLANK(A940),"""",GOOGLETRANSLATE(A940,""en"",""fr""))"),"")</f>
        <v/>
      </c>
    </row>
    <row r="941" spans="2:2">
      <c r="B941" s="3" t="str">
        <f ca="1">IFERROR(__xludf.DUMMYFUNCTION("IF(ISBLANK(A941),"""",GOOGLETRANSLATE(A941,""en"",""fr""))"),"")</f>
        <v/>
      </c>
    </row>
    <row r="942" spans="2:2">
      <c r="B942" s="3" t="str">
        <f ca="1">IFERROR(__xludf.DUMMYFUNCTION("IF(ISBLANK(A942),"""",GOOGLETRANSLATE(A942,""en"",""fr""))"),"")</f>
        <v/>
      </c>
    </row>
    <row r="943" spans="2:2">
      <c r="B943" s="3" t="str">
        <f ca="1">IFERROR(__xludf.DUMMYFUNCTION("IF(ISBLANK(A943),"""",GOOGLETRANSLATE(A943,""en"",""fr""))"),"")</f>
        <v/>
      </c>
    </row>
    <row r="944" spans="2:2">
      <c r="B944" s="3" t="str">
        <f ca="1">IFERROR(__xludf.DUMMYFUNCTION("IF(ISBLANK(A944),"""",GOOGLETRANSLATE(A944,""en"",""fr""))"),"")</f>
        <v/>
      </c>
    </row>
    <row r="945" spans="2:2">
      <c r="B945" s="3" t="str">
        <f ca="1">IFERROR(__xludf.DUMMYFUNCTION("IF(ISBLANK(A945),"""",GOOGLETRANSLATE(A945,""en"",""fr""))"),"")</f>
        <v/>
      </c>
    </row>
    <row r="946" spans="2:2">
      <c r="B946" s="3" t="str">
        <f ca="1">IFERROR(__xludf.DUMMYFUNCTION("IF(ISBLANK(A946),"""",GOOGLETRANSLATE(A946,""en"",""fr""))"),"")</f>
        <v/>
      </c>
    </row>
    <row r="947" spans="2:2">
      <c r="B947" s="3" t="str">
        <f ca="1">IFERROR(__xludf.DUMMYFUNCTION("IF(ISBLANK(A947),"""",GOOGLETRANSLATE(A947,""en"",""fr""))"),"")</f>
        <v/>
      </c>
    </row>
    <row r="948" spans="2:2">
      <c r="B948" s="3" t="str">
        <f ca="1">IFERROR(__xludf.DUMMYFUNCTION("IF(ISBLANK(A948),"""",GOOGLETRANSLATE(A948,""en"",""fr""))"),"")</f>
        <v/>
      </c>
    </row>
    <row r="949" spans="2:2">
      <c r="B949" s="3" t="str">
        <f ca="1">IFERROR(__xludf.DUMMYFUNCTION("IF(ISBLANK(A949),"""",GOOGLETRANSLATE(A949,""en"",""fr""))"),"")</f>
        <v/>
      </c>
    </row>
    <row r="950" spans="2:2">
      <c r="B950" s="3" t="str">
        <f ca="1">IFERROR(__xludf.DUMMYFUNCTION("IF(ISBLANK(A950),"""",GOOGLETRANSLATE(A950,""en"",""fr""))"),"")</f>
        <v/>
      </c>
    </row>
    <row r="951" spans="2:2">
      <c r="B951" s="3" t="str">
        <f ca="1">IFERROR(__xludf.DUMMYFUNCTION("IF(ISBLANK(A951),"""",GOOGLETRANSLATE(A951,""en"",""fr""))"),"")</f>
        <v/>
      </c>
    </row>
    <row r="952" spans="2:2">
      <c r="B952" s="3" t="str">
        <f ca="1">IFERROR(__xludf.DUMMYFUNCTION("IF(ISBLANK(A952),"""",GOOGLETRANSLATE(A952,""en"",""fr""))"),"")</f>
        <v/>
      </c>
    </row>
    <row r="953" spans="2:2">
      <c r="B953" s="3" t="str">
        <f ca="1">IFERROR(__xludf.DUMMYFUNCTION("IF(ISBLANK(A953),"""",GOOGLETRANSLATE(A953,""en"",""fr""))"),"")</f>
        <v/>
      </c>
    </row>
    <row r="954" spans="2:2">
      <c r="B954" s="3" t="str">
        <f ca="1">IFERROR(__xludf.DUMMYFUNCTION("IF(ISBLANK(A954),"""",GOOGLETRANSLATE(A954,""en"",""fr""))"),"")</f>
        <v/>
      </c>
    </row>
    <row r="955" spans="2:2">
      <c r="B955" s="3" t="str">
        <f ca="1">IFERROR(__xludf.DUMMYFUNCTION("IF(ISBLANK(A955),"""",GOOGLETRANSLATE(A955,""en"",""fr""))"),"")</f>
        <v/>
      </c>
    </row>
    <row r="956" spans="2:2">
      <c r="B956" s="3" t="str">
        <f ca="1">IFERROR(__xludf.DUMMYFUNCTION("IF(ISBLANK(A956),"""",GOOGLETRANSLATE(A956,""en"",""fr""))"),"")</f>
        <v/>
      </c>
    </row>
    <row r="957" spans="2:2">
      <c r="B957" s="3" t="str">
        <f ca="1">IFERROR(__xludf.DUMMYFUNCTION("IF(ISBLANK(A957),"""",GOOGLETRANSLATE(A957,""en"",""fr""))"),"")</f>
        <v/>
      </c>
    </row>
    <row r="958" spans="2:2">
      <c r="B958" s="3" t="str">
        <f ca="1">IFERROR(__xludf.DUMMYFUNCTION("IF(ISBLANK(A958),"""",GOOGLETRANSLATE(A958,""en"",""fr""))"),"")</f>
        <v/>
      </c>
    </row>
    <row r="959" spans="2:2">
      <c r="B959" s="3" t="str">
        <f ca="1">IFERROR(__xludf.DUMMYFUNCTION("IF(ISBLANK(A959),"""",GOOGLETRANSLATE(A959,""en"",""fr""))"),"")</f>
        <v/>
      </c>
    </row>
    <row r="960" spans="2:2">
      <c r="B960" s="3" t="str">
        <f ca="1">IFERROR(__xludf.DUMMYFUNCTION("IF(ISBLANK(A960),"""",GOOGLETRANSLATE(A960,""en"",""fr""))"),"")</f>
        <v/>
      </c>
    </row>
    <row r="961" spans="2:2">
      <c r="B961" s="3" t="str">
        <f ca="1">IFERROR(__xludf.DUMMYFUNCTION("IF(ISBLANK(A961),"""",GOOGLETRANSLATE(A961,""en"",""fr""))"),"")</f>
        <v/>
      </c>
    </row>
    <row r="962" spans="2:2">
      <c r="B962" s="3" t="str">
        <f ca="1">IFERROR(__xludf.DUMMYFUNCTION("IF(ISBLANK(A962),"""",GOOGLETRANSLATE(A962,""en"",""fr""))"),"")</f>
        <v/>
      </c>
    </row>
    <row r="963" spans="2:2">
      <c r="B963" s="3" t="str">
        <f ca="1">IFERROR(__xludf.DUMMYFUNCTION("IF(ISBLANK(A963),"""",GOOGLETRANSLATE(A963,""en"",""fr""))"),"")</f>
        <v/>
      </c>
    </row>
    <row r="964" spans="2:2">
      <c r="B964" s="3" t="str">
        <f ca="1">IFERROR(__xludf.DUMMYFUNCTION("IF(ISBLANK(A964),"""",GOOGLETRANSLATE(A964,""en"",""fr""))"),"")</f>
        <v/>
      </c>
    </row>
    <row r="965" spans="2:2">
      <c r="B965" s="3" t="str">
        <f ca="1">IFERROR(__xludf.DUMMYFUNCTION("IF(ISBLANK(A965),"""",GOOGLETRANSLATE(A965,""en"",""fr""))"),"")</f>
        <v/>
      </c>
    </row>
    <row r="966" spans="2:2">
      <c r="B966" s="3" t="str">
        <f ca="1">IFERROR(__xludf.DUMMYFUNCTION("IF(ISBLANK(A966),"""",GOOGLETRANSLATE(A966,""en"",""fr""))"),"")</f>
        <v/>
      </c>
    </row>
    <row r="967" spans="2:2">
      <c r="B967" s="3" t="str">
        <f ca="1">IFERROR(__xludf.DUMMYFUNCTION("IF(ISBLANK(A967),"""",GOOGLETRANSLATE(A967,""en"",""fr""))"),"")</f>
        <v/>
      </c>
    </row>
    <row r="968" spans="2:2">
      <c r="B968" s="3" t="str">
        <f ca="1">IFERROR(__xludf.DUMMYFUNCTION("IF(ISBLANK(A968),"""",GOOGLETRANSLATE(A968,""en"",""fr""))"),"")</f>
        <v/>
      </c>
    </row>
    <row r="969" spans="2:2">
      <c r="B969" s="3" t="str">
        <f ca="1">IFERROR(__xludf.DUMMYFUNCTION("IF(ISBLANK(A969),"""",GOOGLETRANSLATE(A969,""en"",""fr""))"),"")</f>
        <v/>
      </c>
    </row>
    <row r="970" spans="2:2">
      <c r="B970" s="3" t="str">
        <f ca="1">IFERROR(__xludf.DUMMYFUNCTION("IF(ISBLANK(A970),"""",GOOGLETRANSLATE(A970,""en"",""fr""))"),"")</f>
        <v/>
      </c>
    </row>
    <row r="971" spans="2:2">
      <c r="B971" s="3" t="str">
        <f ca="1">IFERROR(__xludf.DUMMYFUNCTION("IF(ISBLANK(A971),"""",GOOGLETRANSLATE(A971,""en"",""fr""))"),"")</f>
        <v/>
      </c>
    </row>
    <row r="972" spans="2:2">
      <c r="B972" s="3" t="str">
        <f ca="1">IFERROR(__xludf.DUMMYFUNCTION("IF(ISBLANK(A972),"""",GOOGLETRANSLATE(A972,""en"",""fr""))"),"")</f>
        <v/>
      </c>
    </row>
    <row r="973" spans="2:2">
      <c r="B973" s="3" t="str">
        <f ca="1">IFERROR(__xludf.DUMMYFUNCTION("IF(ISBLANK(A973),"""",GOOGLETRANSLATE(A973,""en"",""fr""))"),"")</f>
        <v/>
      </c>
    </row>
    <row r="974" spans="2:2">
      <c r="B974" s="3" t="str">
        <f ca="1">IFERROR(__xludf.DUMMYFUNCTION("IF(ISBLANK(A974),"""",GOOGLETRANSLATE(A974,""en"",""fr""))"),"")</f>
        <v/>
      </c>
    </row>
    <row r="975" spans="2:2">
      <c r="B975" s="3" t="str">
        <f ca="1">IFERROR(__xludf.DUMMYFUNCTION("IF(ISBLANK(A975),"""",GOOGLETRANSLATE(A975,""en"",""fr""))"),"")</f>
        <v/>
      </c>
    </row>
    <row r="976" spans="2:2">
      <c r="B976" s="3" t="str">
        <f ca="1">IFERROR(__xludf.DUMMYFUNCTION("IF(ISBLANK(A976),"""",GOOGLETRANSLATE(A976,""en"",""fr""))"),"")</f>
        <v/>
      </c>
    </row>
    <row r="977" spans="2:2">
      <c r="B977" s="3" t="str">
        <f ca="1">IFERROR(__xludf.DUMMYFUNCTION("IF(ISBLANK(A977),"""",GOOGLETRANSLATE(A977,""en"",""fr""))"),"")</f>
        <v/>
      </c>
    </row>
    <row r="978" spans="2:2">
      <c r="B978" s="3" t="str">
        <f ca="1">IFERROR(__xludf.DUMMYFUNCTION("IF(ISBLANK(A978),"""",GOOGLETRANSLATE(A978,""en"",""fr""))"),"")</f>
        <v/>
      </c>
    </row>
    <row r="979" spans="2:2">
      <c r="B979" s="3" t="str">
        <f ca="1">IFERROR(__xludf.DUMMYFUNCTION("IF(ISBLANK(A979),"""",GOOGLETRANSLATE(A979,""en"",""fr""))"),"")</f>
        <v/>
      </c>
    </row>
    <row r="980" spans="2:2">
      <c r="B980" s="3" t="str">
        <f ca="1">IFERROR(__xludf.DUMMYFUNCTION("IF(ISBLANK(A980),"""",GOOGLETRANSLATE(A980,""en"",""fr""))"),"")</f>
        <v/>
      </c>
    </row>
    <row r="981" spans="2:2">
      <c r="B981" s="3" t="str">
        <f ca="1">IFERROR(__xludf.DUMMYFUNCTION("IF(ISBLANK(A981),"""",GOOGLETRANSLATE(A981,""en"",""fr""))"),"")</f>
        <v/>
      </c>
    </row>
    <row r="982" spans="2:2">
      <c r="B982" s="3" t="str">
        <f ca="1">IFERROR(__xludf.DUMMYFUNCTION("IF(ISBLANK(A982),"""",GOOGLETRANSLATE(A982,""en"",""fr""))"),"")</f>
        <v/>
      </c>
    </row>
    <row r="983" spans="2:2">
      <c r="B983" s="3" t="str">
        <f ca="1">IFERROR(__xludf.DUMMYFUNCTION("IF(ISBLANK(A983),"""",GOOGLETRANSLATE(A983,""en"",""fr""))"),"")</f>
        <v/>
      </c>
    </row>
    <row r="984" spans="2:2">
      <c r="B984" s="3" t="str">
        <f ca="1">IFERROR(__xludf.DUMMYFUNCTION("IF(ISBLANK(A984),"""",GOOGLETRANSLATE(A984,""en"",""fr""))"),"")</f>
        <v/>
      </c>
    </row>
    <row r="985" spans="2:2">
      <c r="B985" s="3" t="str">
        <f ca="1">IFERROR(__xludf.DUMMYFUNCTION("IF(ISBLANK(A985),"""",GOOGLETRANSLATE(A985,""en"",""fr""))"),"")</f>
        <v/>
      </c>
    </row>
    <row r="986" spans="2:2">
      <c r="B986" s="3" t="str">
        <f ca="1">IFERROR(__xludf.DUMMYFUNCTION("IF(ISBLANK(A986),"""",GOOGLETRANSLATE(A986,""en"",""fr""))"),"")</f>
        <v/>
      </c>
    </row>
    <row r="987" spans="2:2">
      <c r="B987" s="3" t="str">
        <f ca="1">IFERROR(__xludf.DUMMYFUNCTION("IF(ISBLANK(A987),"""",GOOGLETRANSLATE(A987,""en"",""fr""))"),"")</f>
        <v/>
      </c>
    </row>
    <row r="988" spans="2:2">
      <c r="B988" s="3" t="str">
        <f ca="1">IFERROR(__xludf.DUMMYFUNCTION("IF(ISBLANK(A988),"""",GOOGLETRANSLATE(A988,""en"",""fr""))"),"")</f>
        <v/>
      </c>
    </row>
    <row r="989" spans="2:2">
      <c r="B989" s="3" t="str">
        <f ca="1">IFERROR(__xludf.DUMMYFUNCTION("IF(ISBLANK(A989),"""",GOOGLETRANSLATE(A989,""en"",""fr""))"),"")</f>
        <v/>
      </c>
    </row>
    <row r="990" spans="2:2">
      <c r="B990" s="3" t="str">
        <f ca="1">IFERROR(__xludf.DUMMYFUNCTION("IF(ISBLANK(A990),"""",GOOGLETRANSLATE(A990,""en"",""fr""))"),"")</f>
        <v/>
      </c>
    </row>
    <row r="991" spans="2:2">
      <c r="B991" s="3" t="str">
        <f ca="1">IFERROR(__xludf.DUMMYFUNCTION("IF(ISBLANK(A991),"""",GOOGLETRANSLATE(A991,""en"",""fr""))"),"")</f>
        <v/>
      </c>
    </row>
    <row r="992" spans="2:2">
      <c r="B992" s="3" t="str">
        <f ca="1">IFERROR(__xludf.DUMMYFUNCTION("IF(ISBLANK(A992),"""",GOOGLETRANSLATE(A992,""en"",""fr""))"),"")</f>
        <v/>
      </c>
    </row>
    <row r="993" spans="2:2">
      <c r="B993" s="3" t="str">
        <f ca="1">IFERROR(__xludf.DUMMYFUNCTION("IF(ISBLANK(A993),"""",GOOGLETRANSLATE(A993,""en"",""fr""))"),"")</f>
        <v/>
      </c>
    </row>
    <row r="994" spans="2:2">
      <c r="B994" s="3" t="str">
        <f ca="1">IFERROR(__xludf.DUMMYFUNCTION("IF(ISBLANK(A994),"""",GOOGLETRANSLATE(A994,""en"",""fr""))"),"")</f>
        <v/>
      </c>
    </row>
    <row r="995" spans="2:2">
      <c r="B995" s="3" t="str">
        <f ca="1">IFERROR(__xludf.DUMMYFUNCTION("IF(ISBLANK(A995),"""",GOOGLETRANSLATE(A995,""en"",""fr""))"),"")</f>
        <v/>
      </c>
    </row>
    <row r="996" spans="2:2">
      <c r="B996" s="3" t="str">
        <f ca="1">IFERROR(__xludf.DUMMYFUNCTION("IF(ISBLANK(A996),"""",GOOGLETRANSLATE(A996,""en"",""fr""))"),"")</f>
        <v/>
      </c>
    </row>
    <row r="997" spans="2:2">
      <c r="B997" s="3" t="str">
        <f ca="1">IFERROR(__xludf.DUMMYFUNCTION("IF(ISBLANK(A997),"""",GOOGLETRANSLATE(A997,""en"",""fr""))"),"")</f>
        <v/>
      </c>
    </row>
    <row r="998" spans="2:2">
      <c r="B998" s="3" t="str">
        <f ca="1">IFERROR(__xludf.DUMMYFUNCTION("IF(ISBLANK(A998),"""",GOOGLETRANSLATE(A998,""en"",""fr""))"),"")</f>
        <v/>
      </c>
    </row>
    <row r="999" spans="2:2">
      <c r="B999" s="3" t="str">
        <f ca="1">IFERROR(__xludf.DUMMYFUNCTION("IF(ISBLANK(A999),"""",GOOGLETRANSLATE(A999,""en"",""fr""))"),"")</f>
        <v/>
      </c>
    </row>
    <row r="1000" spans="2:2">
      <c r="B1000" s="3" t="str">
        <f ca="1">IFERROR(__xludf.DUMMYFUNCTION("IF(ISBLANK(A1000),"""",GOOGLETRANSLATE(A1000,""en"",""fr""))"),"")</f>
        <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B1000"/>
  <sheetViews>
    <sheetView workbookViewId="0"/>
  </sheetViews>
  <sheetFormatPr defaultColWidth="12.6640625" defaultRowHeight="15.75" customHeight="1"/>
  <cols>
    <col min="1" max="1" width="88" customWidth="1"/>
  </cols>
  <sheetData>
    <row r="1" spans="1:2">
      <c r="A1" s="1" t="s">
        <v>0</v>
      </c>
      <c r="B1" s="1"/>
    </row>
    <row r="2" spans="1:2">
      <c r="A2" s="3" t="s">
        <v>824</v>
      </c>
      <c r="B2" s="3" t="str">
        <f ca="1">IFERROR(__xludf.DUMMYFUNCTION("IF(ISBLANK(A2),"""",GOOGLETRANSLATE(A2,""en"",""fr""))"),"Contacter le service commercial")</f>
        <v>Contacter le service commercial</v>
      </c>
    </row>
    <row r="3" spans="1:2">
      <c r="A3" s="3" t="s">
        <v>738</v>
      </c>
      <c r="B3" s="3" t="str">
        <f ca="1">IFERROR(__xludf.DUMMYFUNCTION("IF(ISBLANK(A3),"""",GOOGLETRANSLATE(A3,""en"",""fr""))"),"Connectez-vous avec nous")</f>
        <v>Connectez-vous avec nous</v>
      </c>
    </row>
    <row r="4" spans="1:2">
      <c r="A4" s="3" t="s">
        <v>825</v>
      </c>
      <c r="B4" s="3" t="str">
        <f ca="1">IFERROR(__xludf.DUMMYFUNCTION("IF(ISBLANK(A4),"""",GOOGLETRANSLATE(A4,""en"",""fr""))"),"Remplissez le formulaire pour planifier une démonstration ou poser des questions sur la manière dont nous pouvons soutenir vos objectifs commerciaux.")</f>
        <v>Remplissez le formulaire pour planifier une démonstration ou poser des questions sur la manière dont nous pouvons soutenir vos objectifs commerciaux.</v>
      </c>
    </row>
    <row r="5" spans="1:2">
      <c r="A5" s="3" t="s">
        <v>826</v>
      </c>
      <c r="B5" s="3" t="str">
        <f ca="1">IFERROR(__xludf.DUMMYFUNCTION("IF(ISBLANK(A5),"""",GOOGLETRANSLATE(A5,""en"",""fr""))"),"Vous souhaitez en savoir plus sur les carrières chez NETSOL ?")</f>
        <v>Vous souhaitez en savoir plus sur les carrières chez NETSOL ?</v>
      </c>
    </row>
    <row r="6" spans="1:2">
      <c r="A6" s="3" t="s">
        <v>827</v>
      </c>
      <c r="B6" s="3" t="str">
        <f ca="1">IFERROR(__xludf.DUMMYFUNCTION("IF(ISBLANK(A6),"""",GOOGLETRANSLATE(A6,""en"",""fr""))"),"Nous n'acceptons pas les candidatures via ce formulaire. Pour postuler, veuillez consulter notre portail ici.")</f>
        <v>Nous n'acceptons pas les candidatures via ce formulaire. Pour postuler, veuillez consulter notre portail ici.</v>
      </c>
    </row>
    <row r="7" spans="1:2">
      <c r="A7" s="3" t="s">
        <v>828</v>
      </c>
      <c r="B7" s="3" t="str">
        <f ca="1">IFERROR(__xludf.DUMMYFUNCTION("IF(ISBLANK(A7),"""",GOOGLETRANSLATE(A7,""en"",""fr""))"),"Postulez maintenant")</f>
        <v>Postulez maintenant</v>
      </c>
    </row>
    <row r="8" spans="1:2">
      <c r="A8" s="3" t="s">
        <v>824</v>
      </c>
      <c r="B8" s="3" t="str">
        <f ca="1">IFERROR(__xludf.DUMMYFUNCTION("IF(ISBLANK(A8),"""",GOOGLETRANSLATE(A8,""en"",""fr""))"),"Contacter le service commercial")</f>
        <v>Contacter le service commercial</v>
      </c>
    </row>
    <row r="9" spans="1:2">
      <c r="A9" s="3" t="s">
        <v>829</v>
      </c>
      <c r="B9" s="3" t="str">
        <f ca="1">IFERROR(__xludf.DUMMYFUNCTION("IF(ISBLANK(A9),"""",GOOGLETRANSLATE(A9,""en"",""fr""))"),"Prénom*")</f>
        <v>Prénom*</v>
      </c>
    </row>
    <row r="10" spans="1:2">
      <c r="A10" s="3" t="s">
        <v>830</v>
      </c>
      <c r="B10" s="3" t="str">
        <f ca="1">IFERROR(__xludf.DUMMYFUNCTION("IF(ISBLANK(A10),"""",GOOGLETRANSLATE(A10,""en"",""fr""))"),"Veuillez saisir votre prénom")</f>
        <v>Veuillez saisir votre prénom</v>
      </c>
    </row>
    <row r="11" spans="1:2">
      <c r="A11" s="3" t="s">
        <v>831</v>
      </c>
      <c r="B11" s="3" t="str">
        <f ca="1">IFERROR(__xludf.DUMMYFUNCTION("IF(ISBLANK(A11),"""",GOOGLETRANSLATE(A11,""en"",""fr""))"),"Nom de famille*")</f>
        <v>Nom de famille*</v>
      </c>
    </row>
    <row r="12" spans="1:2">
      <c r="A12" s="3" t="s">
        <v>832</v>
      </c>
      <c r="B12" s="3" t="str">
        <f ca="1">IFERROR(__xludf.DUMMYFUNCTION("IF(ISBLANK(A12),"""",GOOGLETRANSLATE(A12,""en"",""fr""))"),"Entrez votre nom de famille")</f>
        <v>Entrez votre nom de famille</v>
      </c>
    </row>
    <row r="13" spans="1:2">
      <c r="A13" s="3" t="s">
        <v>833</v>
      </c>
      <c r="B13" s="3" t="str">
        <f ca="1">IFERROR(__xludf.DUMMYFUNCTION("IF(ISBLANK(A13),"""",GOOGLETRANSLATE(A13,""en"",""fr""))"),"Adresse e-mail professionnelle*")</f>
        <v>Adresse e-mail professionnelle*</v>
      </c>
    </row>
    <row r="14" spans="1:2">
      <c r="A14" s="3" t="s">
        <v>834</v>
      </c>
      <c r="B14" s="3" t="str">
        <f ca="1">IFERROR(__xludf.DUMMYFUNCTION("IF(ISBLANK(A14),"""",GOOGLETRANSLATE(A14,""en"",""fr""))"),"Entrez votre adresse e-mail professionnelle")</f>
        <v>Entrez votre adresse e-mail professionnelle</v>
      </c>
    </row>
    <row r="15" spans="1:2">
      <c r="A15" s="3" t="s">
        <v>835</v>
      </c>
      <c r="B15" s="3" t="str">
        <f ca="1">IFERROR(__xludf.DUMMYFUNCTION("IF(ISBLANK(A15),"""",GOOGLETRANSLATE(A15,""en"",""fr""))"),"Nom de l'entreprise*")</f>
        <v>Nom de l'entreprise*</v>
      </c>
    </row>
    <row r="16" spans="1:2">
      <c r="A16" s="3" t="s">
        <v>836</v>
      </c>
      <c r="B16" s="3" t="str">
        <f ca="1">IFERROR(__xludf.DUMMYFUNCTION("IF(ISBLANK(A16),"""",GOOGLETRANSLATE(A16,""en"",""fr""))"),"Veuillez saisir le nom de votre entreprise")</f>
        <v>Veuillez saisir le nom de votre entreprise</v>
      </c>
    </row>
    <row r="17" spans="1:2">
      <c r="A17" s="3" t="s">
        <v>837</v>
      </c>
      <c r="B17" s="3" t="str">
        <f ca="1">IFERROR(__xludf.DUMMYFUNCTION("IF(ISBLANK(A17),"""",GOOGLETRANSLATE(A17,""en"",""fr""))"),"Pays*")</f>
        <v>Pays*</v>
      </c>
    </row>
    <row r="18" spans="1:2">
      <c r="A18" s="3" t="s">
        <v>838</v>
      </c>
      <c r="B18" s="3" t="str">
        <f ca="1">IFERROR(__xludf.DUMMYFUNCTION("IF(ISBLANK(A18),"""",GOOGLETRANSLATE(A18,""en"",""fr""))"),"Sélectionnez un pays")</f>
        <v>Sélectionnez un pays</v>
      </c>
    </row>
    <row r="19" spans="1:2">
      <c r="A19" s="3" t="s">
        <v>839</v>
      </c>
      <c r="B19" s="3" t="str">
        <f ca="1">IFERROR(__xludf.DUMMYFUNCTION("IF(ISBLANK(A19),"""",GOOGLETRANSLATE(A19,""en"",""fr""))"),"Comment pouvons-nous vous aider?*")</f>
        <v>Comment pouvons-nous vous aider?*</v>
      </c>
    </row>
    <row r="20" spans="1:2">
      <c r="A20" s="3" t="s">
        <v>840</v>
      </c>
      <c r="B20" s="3" t="str">
        <f ca="1">IFERROR(__xludf.DUMMYFUNCTION("IF(ISBLANK(A20),"""",GOOGLETRANSLATE(A20,""en"",""fr""))"),"Quelles sont vos exigences ?")</f>
        <v>Quelles sont vos exigences ?</v>
      </c>
    </row>
    <row r="21" spans="1:2">
      <c r="A21" s="3" t="s">
        <v>841</v>
      </c>
      <c r="B21" s="3" t="str">
        <f ca="1">IFERROR(__xludf.DUMMYFUNCTION("IF(ISBLANK(A21),"""",GOOGLETRANSLATE(A21,""en"",""fr""))"),"Intérêt pour le produit/service*")</f>
        <v>Intérêt pour le produit/service*</v>
      </c>
    </row>
    <row r="22" spans="1:2">
      <c r="A22" s="3" t="s">
        <v>842</v>
      </c>
      <c r="B22" s="3" t="str">
        <f ca="1">IFERROR(__xludf.DUMMYFUNCTION("IF(ISBLANK(A22),"""",GOOGLETRANSLATE(A22,""en"",""fr""))"),"Veuillez sélectionner")</f>
        <v>Veuillez sélectionner</v>
      </c>
    </row>
    <row r="23" spans="1:2">
      <c r="A23" s="3" t="s">
        <v>843</v>
      </c>
      <c r="B23" s="3" t="str">
        <f ca="1">IFERROR(__xludf.DUMMYFUNCTION("IF(ISBLANK(A23),"""",GOOGLETRANSLATE(A23,""en"",""fr""))"),"Comment avez-vous entendu parler de nous?*")</f>
        <v>Comment avez-vous entendu parler de nous?*</v>
      </c>
    </row>
    <row r="24" spans="1:2">
      <c r="A24" s="3" t="s">
        <v>842</v>
      </c>
      <c r="B24" s="3" t="str">
        <f ca="1">IFERROR(__xludf.DUMMYFUNCTION("IF(ISBLANK(A24),"""",GOOGLETRANSLATE(A24,""en"",""fr""))"),"Veuillez sélectionner")</f>
        <v>Veuillez sélectionner</v>
      </c>
    </row>
    <row r="25" spans="1:2">
      <c r="A25" s="3" t="s">
        <v>844</v>
      </c>
      <c r="B25" s="3" t="str">
        <f ca="1">IFERROR(__xludf.DUMMYFUNCTION("IF(ISBLANK(A25),"""",GOOGLETRANSLATE(A25,""en"",""fr""))"),"En cochant cette case, vous autorisez NETSOL à vous contacter au sujet de produits, services et offres susceptibles de vous intéresser. Politique de confidentialité.")</f>
        <v>En cochant cette case, vous autorisez NETSOL à vous contacter au sujet de produits, services et offres susceptibles de vous intéresser. Politique de confidentialité.</v>
      </c>
    </row>
    <row r="26" spans="1:2">
      <c r="A26" s="3" t="s">
        <v>845</v>
      </c>
      <c r="B26" s="3" t="str">
        <f ca="1">IFERROR(__xludf.DUMMYFUNCTION("IF(ISBLANK(A26),"""",GOOGLETRANSLATE(A26,""en"",""fr""))"),"Soumettre")</f>
        <v>Soumettre</v>
      </c>
    </row>
    <row r="27" spans="1:2">
      <c r="A27" s="3" t="s">
        <v>846</v>
      </c>
      <c r="B27" s="3" t="str">
        <f ca="1">IFERROR(__xludf.DUMMYFUNCTION("IF(ISBLANK(A27),"""",GOOGLETRANSLATE(A27,""en"",""fr""))"),"Emplacements des bureaux")</f>
        <v>Emplacements des bureaux</v>
      </c>
    </row>
    <row r="28" spans="1:2">
      <c r="A28" s="3" t="s">
        <v>847</v>
      </c>
      <c r="B28" s="3" t="str">
        <f ca="1">IFERROR(__xludf.DUMMYFUNCTION("IF(ISBLANK(A28),"""",GOOGLETRANSLATE(A28,""en"",""fr""))"),"Encino, États-Unis")</f>
        <v>Encino, États-Unis</v>
      </c>
    </row>
    <row r="29" spans="1:2">
      <c r="A29" s="3" t="s">
        <v>848</v>
      </c>
      <c r="B29" s="3" t="str">
        <f ca="1">IFERROR(__xludf.DUMMYFUNCTION("IF(ISBLANK(A29),"""",GOOGLETRANSLATE(A29,""en"",""fr""))"),"NETSOL Technologies Inc. (Siège social)")</f>
        <v>NETSOL Technologies Inc. (Siège social)</v>
      </c>
    </row>
    <row r="30" spans="1:2">
      <c r="A30" s="3" t="s">
        <v>849</v>
      </c>
      <c r="B30" s="3" t="str">
        <f ca="1">IFERROR(__xludf.DUMMYFUNCTION("IF(ISBLANK(A30),"""",GOOGLETRANSLATE(A30,""en"",""fr""))"),"16000 Ventura Blvd., Suite 770 Encino, CA 91436")</f>
        <v>16000 Ventura Blvd., Suite 770 Encino, CA 91436</v>
      </c>
    </row>
    <row r="31" spans="1:2">
      <c r="A31" s="3" t="s">
        <v>850</v>
      </c>
      <c r="B31" s="3" t="str">
        <f ca="1">IFERROR(__xludf.DUMMYFUNCTION("IF(ISBLANK(A31),"""",GOOGLETRANSLATE(A31,""en"",""fr""))"),"O: +1 818 222 9195")</f>
        <v>O: +1 818 222 9195</v>
      </c>
    </row>
    <row r="32" spans="1:2">
      <c r="A32" s="3" t="s">
        <v>851</v>
      </c>
      <c r="B32" s="3" t="str">
        <f ca="1">IFERROR(__xludf.DUMMYFUNCTION("IF(ISBLANK(A32),"""",GOOGLETRANSLATE(A32,""en"",""fr""))"),"Austin, États-Unis")</f>
        <v>Austin, États-Unis</v>
      </c>
    </row>
    <row r="33" spans="1:2">
      <c r="A33" s="3" t="s">
        <v>852</v>
      </c>
      <c r="B33" s="3" t="str">
        <f ca="1">IFERROR(__xludf.DUMMYFUNCTION("IF(ISBLANK(A33),"""",GOOGLETRANSLATE(A33,""en"",""fr""))"),"Technologies NETSOL Inc.")</f>
        <v>Technologies NETSOL Inc.</v>
      </c>
    </row>
    <row r="34" spans="1:2">
      <c r="A34" s="3" t="s">
        <v>853</v>
      </c>
      <c r="B34" s="3" t="str">
        <f ca="1">IFERROR(__xludf.DUMMYFUNCTION("IF(ISBLANK(A34),"""",GOOGLETRANSLATE(A34,""en"",""fr""))"),"816 Congress Ave. #1270, Austin, TX 78701")</f>
        <v>816 Congress Ave. #1270, Austin, TX 78701</v>
      </c>
    </row>
    <row r="35" spans="1:2">
      <c r="A35" s="3" t="s">
        <v>850</v>
      </c>
      <c r="B35" s="3" t="str">
        <f ca="1">IFERROR(__xludf.DUMMYFUNCTION("IF(ISBLANK(A35),"""",GOOGLETRANSLATE(A35,""en"",""fr""))"),"O: +1 818 222 9195")</f>
        <v>O: +1 818 222 9195</v>
      </c>
    </row>
    <row r="36" spans="1:2">
      <c r="A36" s="3" t="s">
        <v>854</v>
      </c>
      <c r="B36" s="3" t="str">
        <f ca="1">IFERROR(__xludf.DUMMYFUNCTION("IF(ISBLANK(A36),"""",GOOGLETRANSLATE(A36,""en"",""fr""))"),"Londres, Royaume-Uni")</f>
        <v>Londres, Royaume-Uni</v>
      </c>
    </row>
    <row r="37" spans="1:2">
      <c r="A37" s="3" t="s">
        <v>855</v>
      </c>
      <c r="B37" s="3" t="str">
        <f ca="1">IFERROR(__xludf.DUMMYFUNCTION("IF(ISBLANK(A37),"""",GOOGLETRANSLATE(A37,""en"",""fr""))"),"NETSOL Technologies Europe Ltd.")</f>
        <v>NETSOL Technologies Europe Ltd.</v>
      </c>
    </row>
    <row r="38" spans="1:2">
      <c r="A38" s="3" t="s">
        <v>856</v>
      </c>
      <c r="B38" s="3" t="str">
        <f ca="1">IFERROR(__xludf.DUMMYFUNCTION("IF(ISBLANK(A38),"""",GOOGLETRANSLATE(A38,""en"",""fr""))"),"25 Wilton Road, Pimlico, Londres SW1V 1LW")</f>
        <v>25 Wilton Road, Pimlico, Londres SW1V 1LW</v>
      </c>
    </row>
    <row r="39" spans="1:2">
      <c r="A39" s="3" t="s">
        <v>857</v>
      </c>
      <c r="B39" s="3" t="str">
        <f ca="1">IFERROR(__xludf.DUMMYFUNCTION("IF(ISBLANK(A39),"""",GOOGLETRANSLATE(A39,""en"",""fr""))"),"Tél. : +44 (0) 1403 282 300")</f>
        <v>Tél. : +44 (0) 1403 282 300</v>
      </c>
    </row>
    <row r="40" spans="1:2">
      <c r="A40" s="3" t="s">
        <v>774</v>
      </c>
      <c r="B40" s="3" t="str">
        <f ca="1">IFERROR(__xludf.DUMMYFUNCTION("IF(ISBLANK(A40),"""",GOOGLETRANSLATE(A40,""en"",""fr""))"),"Voir plus")</f>
        <v>Voir plus</v>
      </c>
    </row>
    <row r="41" spans="1:2">
      <c r="A41" s="3" t="s">
        <v>108</v>
      </c>
      <c r="B41" s="3" t="str">
        <f ca="1">IFERROR(__xludf.DUMMYFUNCTION("IF(ISBLANK(A41),"""",GOOGLETRANSLATE(A41,""en"",""fr""))"),"Abonnez-vous à notre newsletter pour recevoir les dernières nouvelles dans votre boîte mail.")</f>
        <v>Abonnez-vous à notre newsletter pour recevoir les dernières nouvelles dans votre boîte mail.</v>
      </c>
    </row>
    <row r="42" spans="1:2">
      <c r="A42" s="3" t="s">
        <v>109</v>
      </c>
      <c r="B42" s="3" t="str">
        <f ca="1">IFERROR(__xludf.DUMMYFUNCTION("IF(ISBLANK(A42),"""",GOOGLETRANSLATE(A42,""en"",""fr""))"),"abc@exemple.com")</f>
        <v>abc@exemple.com</v>
      </c>
    </row>
    <row r="43" spans="1:2">
      <c r="A43" s="3" t="s">
        <v>110</v>
      </c>
      <c r="B43" s="3" t="str">
        <f ca="1">IFERROR(__xludf.DUMMYFUNCTION("IF(ISBLANK(A43),"""",GOOGLETRANSLATE(A43,""en"",""fr""))"),"S'abonner ")</f>
        <v xml:space="preserve">S'abonner </v>
      </c>
    </row>
    <row r="44" spans="1:2">
      <c r="B44" s="3" t="str">
        <f ca="1">IFERROR(__xludf.DUMMYFUNCTION("IF(ISBLANK(A44),"""",GOOGLETRANSLATE(A44,""en"",""fr""))"),"")</f>
        <v/>
      </c>
    </row>
    <row r="45" spans="1:2">
      <c r="B45" s="3" t="str">
        <f ca="1">IFERROR(__xludf.DUMMYFUNCTION("IF(ISBLANK(A45),"""",GOOGLETRANSLATE(A45,""en"",""fr""))"),"")</f>
        <v/>
      </c>
    </row>
    <row r="46" spans="1:2">
      <c r="B46" s="3" t="str">
        <f ca="1">IFERROR(__xludf.DUMMYFUNCTION("IF(ISBLANK(A46),"""",GOOGLETRANSLATE(A46,""en"",""fr""))"),"")</f>
        <v/>
      </c>
    </row>
    <row r="47" spans="1:2">
      <c r="B47" s="3" t="str">
        <f ca="1">IFERROR(__xludf.DUMMYFUNCTION("IF(ISBLANK(A47),"""",GOOGLETRANSLATE(A47,""en"",""fr""))"),"")</f>
        <v/>
      </c>
    </row>
    <row r="48" spans="1:2">
      <c r="B48" s="3" t="str">
        <f ca="1">IFERROR(__xludf.DUMMYFUNCTION("IF(ISBLANK(A48),"""",GOOGLETRANSLATE(A48,""en"",""fr""))"),"")</f>
        <v/>
      </c>
    </row>
    <row r="49" spans="2:2">
      <c r="B49" s="3" t="str">
        <f ca="1">IFERROR(__xludf.DUMMYFUNCTION("IF(ISBLANK(A49),"""",GOOGLETRANSLATE(A49,""en"",""fr""))"),"")</f>
        <v/>
      </c>
    </row>
    <row r="50" spans="2:2">
      <c r="B50" s="3" t="str">
        <f ca="1">IFERROR(__xludf.DUMMYFUNCTION("IF(ISBLANK(A50),"""",GOOGLETRANSLATE(A50,""en"",""fr""))"),"")</f>
        <v/>
      </c>
    </row>
    <row r="51" spans="2:2">
      <c r="B51" s="3" t="str">
        <f ca="1">IFERROR(__xludf.DUMMYFUNCTION("IF(ISBLANK(A51),"""",GOOGLETRANSLATE(A51,""en"",""fr""))"),"")</f>
        <v/>
      </c>
    </row>
    <row r="52" spans="2:2">
      <c r="B52" s="3" t="str">
        <f ca="1">IFERROR(__xludf.DUMMYFUNCTION("IF(ISBLANK(A52),"""",GOOGLETRANSLATE(A52,""en"",""fr""))"),"")</f>
        <v/>
      </c>
    </row>
    <row r="53" spans="2:2">
      <c r="B53" s="3" t="str">
        <f ca="1">IFERROR(__xludf.DUMMYFUNCTION("IF(ISBLANK(A53),"""",GOOGLETRANSLATE(A53,""en"",""fr""))"),"")</f>
        <v/>
      </c>
    </row>
    <row r="54" spans="2:2">
      <c r="B54" s="3" t="str">
        <f ca="1">IFERROR(__xludf.DUMMYFUNCTION("IF(ISBLANK(A54),"""",GOOGLETRANSLATE(A54,""en"",""fr""))"),"")</f>
        <v/>
      </c>
    </row>
    <row r="55" spans="2:2">
      <c r="B55" s="3" t="str">
        <f ca="1">IFERROR(__xludf.DUMMYFUNCTION("IF(ISBLANK(A55),"""",GOOGLETRANSLATE(A55,""en"",""fr""))"),"")</f>
        <v/>
      </c>
    </row>
    <row r="56" spans="2:2">
      <c r="B56" s="3" t="str">
        <f ca="1">IFERROR(__xludf.DUMMYFUNCTION("IF(ISBLANK(A56),"""",GOOGLETRANSLATE(A56,""en"",""fr""))"),"")</f>
        <v/>
      </c>
    </row>
    <row r="57" spans="2:2">
      <c r="B57" s="3" t="str">
        <f ca="1">IFERROR(__xludf.DUMMYFUNCTION("IF(ISBLANK(A57),"""",GOOGLETRANSLATE(A57,""en"",""fr""))"),"")</f>
        <v/>
      </c>
    </row>
    <row r="58" spans="2:2">
      <c r="B58" s="3" t="str">
        <f ca="1">IFERROR(__xludf.DUMMYFUNCTION("IF(ISBLANK(A58),"""",GOOGLETRANSLATE(A58,""en"",""fr""))"),"")</f>
        <v/>
      </c>
    </row>
    <row r="59" spans="2:2">
      <c r="B59" s="3" t="str">
        <f ca="1">IFERROR(__xludf.DUMMYFUNCTION("IF(ISBLANK(A59),"""",GOOGLETRANSLATE(A59,""en"",""fr""))"),"")</f>
        <v/>
      </c>
    </row>
    <row r="60" spans="2:2">
      <c r="B60" s="3" t="str">
        <f ca="1">IFERROR(__xludf.DUMMYFUNCTION("IF(ISBLANK(A60),"""",GOOGLETRANSLATE(A60,""en"",""fr""))"),"")</f>
        <v/>
      </c>
    </row>
    <row r="61" spans="2:2">
      <c r="B61" s="3" t="str">
        <f ca="1">IFERROR(__xludf.DUMMYFUNCTION("IF(ISBLANK(A61),"""",GOOGLETRANSLATE(A61,""en"",""fr""))"),"")</f>
        <v/>
      </c>
    </row>
    <row r="62" spans="2:2">
      <c r="B62" s="3" t="str">
        <f ca="1">IFERROR(__xludf.DUMMYFUNCTION("IF(ISBLANK(A62),"""",GOOGLETRANSLATE(A62,""en"",""fr""))"),"")</f>
        <v/>
      </c>
    </row>
    <row r="63" spans="2:2">
      <c r="B63" s="3" t="str">
        <f ca="1">IFERROR(__xludf.DUMMYFUNCTION("IF(ISBLANK(A63),"""",GOOGLETRANSLATE(A63,""en"",""fr""))"),"")</f>
        <v/>
      </c>
    </row>
    <row r="64" spans="2:2">
      <c r="B64" s="3" t="str">
        <f ca="1">IFERROR(__xludf.DUMMYFUNCTION("IF(ISBLANK(A64),"""",GOOGLETRANSLATE(A64,""en"",""fr""))"),"")</f>
        <v/>
      </c>
    </row>
    <row r="65" spans="2:2">
      <c r="B65" s="3" t="str">
        <f ca="1">IFERROR(__xludf.DUMMYFUNCTION("IF(ISBLANK(A65),"""",GOOGLETRANSLATE(A65,""en"",""fr""))"),"")</f>
        <v/>
      </c>
    </row>
    <row r="66" spans="2:2">
      <c r="B66" s="3" t="str">
        <f ca="1">IFERROR(__xludf.DUMMYFUNCTION("IF(ISBLANK(A66),"""",GOOGLETRANSLATE(A66,""en"",""fr""))"),"")</f>
        <v/>
      </c>
    </row>
    <row r="67" spans="2:2">
      <c r="B67" s="3" t="str">
        <f ca="1">IFERROR(__xludf.DUMMYFUNCTION("IF(ISBLANK(A67),"""",GOOGLETRANSLATE(A67,""en"",""fr""))"),"")</f>
        <v/>
      </c>
    </row>
    <row r="68" spans="2:2">
      <c r="B68" s="3" t="str">
        <f ca="1">IFERROR(__xludf.DUMMYFUNCTION("IF(ISBLANK(A68),"""",GOOGLETRANSLATE(A68,""en"",""fr""))"),"")</f>
        <v/>
      </c>
    </row>
    <row r="69" spans="2:2">
      <c r="B69" s="3" t="str">
        <f ca="1">IFERROR(__xludf.DUMMYFUNCTION("IF(ISBLANK(A69),"""",GOOGLETRANSLATE(A69,""en"",""fr""))"),"")</f>
        <v/>
      </c>
    </row>
    <row r="70" spans="2:2">
      <c r="B70" s="3" t="str">
        <f ca="1">IFERROR(__xludf.DUMMYFUNCTION("IF(ISBLANK(A70),"""",GOOGLETRANSLATE(A70,""en"",""fr""))"),"")</f>
        <v/>
      </c>
    </row>
    <row r="71" spans="2:2">
      <c r="B71" s="3" t="str">
        <f ca="1">IFERROR(__xludf.DUMMYFUNCTION("IF(ISBLANK(A71),"""",GOOGLETRANSLATE(A71,""en"",""fr""))"),"")</f>
        <v/>
      </c>
    </row>
    <row r="72" spans="2:2">
      <c r="B72" s="3" t="str">
        <f ca="1">IFERROR(__xludf.DUMMYFUNCTION("IF(ISBLANK(A72),"""",GOOGLETRANSLATE(A72,""en"",""fr""))"),"")</f>
        <v/>
      </c>
    </row>
    <row r="73" spans="2:2">
      <c r="B73" s="3" t="str">
        <f ca="1">IFERROR(__xludf.DUMMYFUNCTION("IF(ISBLANK(A73),"""",GOOGLETRANSLATE(A73,""en"",""fr""))"),"")</f>
        <v/>
      </c>
    </row>
    <row r="74" spans="2:2">
      <c r="B74" s="3" t="str">
        <f ca="1">IFERROR(__xludf.DUMMYFUNCTION("IF(ISBLANK(A74),"""",GOOGLETRANSLATE(A74,""en"",""fr""))"),"")</f>
        <v/>
      </c>
    </row>
    <row r="75" spans="2:2">
      <c r="B75" s="3" t="str">
        <f ca="1">IFERROR(__xludf.DUMMYFUNCTION("IF(ISBLANK(A75),"""",GOOGLETRANSLATE(A75,""en"",""fr""))"),"")</f>
        <v/>
      </c>
    </row>
    <row r="76" spans="2:2">
      <c r="B76" s="3" t="str">
        <f ca="1">IFERROR(__xludf.DUMMYFUNCTION("IF(ISBLANK(A76),"""",GOOGLETRANSLATE(A76,""en"",""fr""))"),"")</f>
        <v/>
      </c>
    </row>
    <row r="77" spans="2:2">
      <c r="B77" s="3" t="str">
        <f ca="1">IFERROR(__xludf.DUMMYFUNCTION("IF(ISBLANK(A77),"""",GOOGLETRANSLATE(A77,""en"",""fr""))"),"")</f>
        <v/>
      </c>
    </row>
    <row r="78" spans="2:2">
      <c r="B78" s="3" t="str">
        <f ca="1">IFERROR(__xludf.DUMMYFUNCTION("IF(ISBLANK(A78),"""",GOOGLETRANSLATE(A78,""en"",""fr""))"),"")</f>
        <v/>
      </c>
    </row>
    <row r="79" spans="2:2">
      <c r="B79" s="3" t="str">
        <f ca="1">IFERROR(__xludf.DUMMYFUNCTION("IF(ISBLANK(A79),"""",GOOGLETRANSLATE(A79,""en"",""fr""))"),"")</f>
        <v/>
      </c>
    </row>
    <row r="80" spans="2:2">
      <c r="B80" s="3" t="str">
        <f ca="1">IFERROR(__xludf.DUMMYFUNCTION("IF(ISBLANK(A80),"""",GOOGLETRANSLATE(A80,""en"",""fr""))"),"")</f>
        <v/>
      </c>
    </row>
    <row r="81" spans="2:2">
      <c r="B81" s="3" t="str">
        <f ca="1">IFERROR(__xludf.DUMMYFUNCTION("IF(ISBLANK(A81),"""",GOOGLETRANSLATE(A81,""en"",""fr""))"),"")</f>
        <v/>
      </c>
    </row>
    <row r="82" spans="2:2">
      <c r="B82" s="3" t="str">
        <f ca="1">IFERROR(__xludf.DUMMYFUNCTION("IF(ISBLANK(A82),"""",GOOGLETRANSLATE(A82,""en"",""fr""))"),"")</f>
        <v/>
      </c>
    </row>
    <row r="83" spans="2:2">
      <c r="B83" s="3" t="str">
        <f ca="1">IFERROR(__xludf.DUMMYFUNCTION("IF(ISBLANK(A83),"""",GOOGLETRANSLATE(A83,""en"",""fr""))"),"")</f>
        <v/>
      </c>
    </row>
    <row r="84" spans="2:2">
      <c r="B84" s="3" t="str">
        <f ca="1">IFERROR(__xludf.DUMMYFUNCTION("IF(ISBLANK(A84),"""",GOOGLETRANSLATE(A84,""en"",""fr""))"),"")</f>
        <v/>
      </c>
    </row>
    <row r="85" spans="2:2">
      <c r="B85" s="3" t="str">
        <f ca="1">IFERROR(__xludf.DUMMYFUNCTION("IF(ISBLANK(A85),"""",GOOGLETRANSLATE(A85,""en"",""fr""))"),"")</f>
        <v/>
      </c>
    </row>
    <row r="86" spans="2:2">
      <c r="B86" s="3" t="str">
        <f ca="1">IFERROR(__xludf.DUMMYFUNCTION("IF(ISBLANK(A86),"""",GOOGLETRANSLATE(A86,""en"",""fr""))"),"")</f>
        <v/>
      </c>
    </row>
    <row r="87" spans="2:2">
      <c r="B87" s="3" t="str">
        <f ca="1">IFERROR(__xludf.DUMMYFUNCTION("IF(ISBLANK(A87),"""",GOOGLETRANSLATE(A87,""en"",""fr""))"),"")</f>
        <v/>
      </c>
    </row>
    <row r="88" spans="2:2">
      <c r="B88" s="3" t="str">
        <f ca="1">IFERROR(__xludf.DUMMYFUNCTION("IF(ISBLANK(A88),"""",GOOGLETRANSLATE(A88,""en"",""fr""))"),"")</f>
        <v/>
      </c>
    </row>
    <row r="89" spans="2:2">
      <c r="B89" s="3" t="str">
        <f ca="1">IFERROR(__xludf.DUMMYFUNCTION("IF(ISBLANK(A89),"""",GOOGLETRANSLATE(A89,""en"",""fr""))"),"")</f>
        <v/>
      </c>
    </row>
    <row r="90" spans="2:2">
      <c r="B90" s="3" t="str">
        <f ca="1">IFERROR(__xludf.DUMMYFUNCTION("IF(ISBLANK(A90),"""",GOOGLETRANSLATE(A90,""en"",""fr""))"),"")</f>
        <v/>
      </c>
    </row>
    <row r="91" spans="2:2">
      <c r="B91" s="3" t="str">
        <f ca="1">IFERROR(__xludf.DUMMYFUNCTION("IF(ISBLANK(A91),"""",GOOGLETRANSLATE(A91,""en"",""fr""))"),"")</f>
        <v/>
      </c>
    </row>
    <row r="92" spans="2:2">
      <c r="B92" s="3" t="str">
        <f ca="1">IFERROR(__xludf.DUMMYFUNCTION("IF(ISBLANK(A92),"""",GOOGLETRANSLATE(A92,""en"",""fr""))"),"")</f>
        <v/>
      </c>
    </row>
    <row r="93" spans="2:2">
      <c r="B93" s="3" t="str">
        <f ca="1">IFERROR(__xludf.DUMMYFUNCTION("IF(ISBLANK(A93),"""",GOOGLETRANSLATE(A93,""en"",""fr""))"),"")</f>
        <v/>
      </c>
    </row>
    <row r="94" spans="2:2">
      <c r="B94" s="3" t="str">
        <f ca="1">IFERROR(__xludf.DUMMYFUNCTION("IF(ISBLANK(A94),"""",GOOGLETRANSLATE(A94,""en"",""fr""))"),"")</f>
        <v/>
      </c>
    </row>
    <row r="95" spans="2:2">
      <c r="B95" s="3" t="str">
        <f ca="1">IFERROR(__xludf.DUMMYFUNCTION("IF(ISBLANK(A95),"""",GOOGLETRANSLATE(A95,""en"",""fr""))"),"")</f>
        <v/>
      </c>
    </row>
    <row r="96" spans="2:2">
      <c r="B96" s="3" t="str">
        <f ca="1">IFERROR(__xludf.DUMMYFUNCTION("IF(ISBLANK(A96),"""",GOOGLETRANSLATE(A96,""en"",""fr""))"),"")</f>
        <v/>
      </c>
    </row>
    <row r="97" spans="2:2">
      <c r="B97" s="3" t="str">
        <f ca="1">IFERROR(__xludf.DUMMYFUNCTION("IF(ISBLANK(A97),"""",GOOGLETRANSLATE(A97,""en"",""fr""))"),"")</f>
        <v/>
      </c>
    </row>
    <row r="98" spans="2:2">
      <c r="B98" s="3" t="str">
        <f ca="1">IFERROR(__xludf.DUMMYFUNCTION("IF(ISBLANK(A98),"""",GOOGLETRANSLATE(A98,""en"",""fr""))"),"")</f>
        <v/>
      </c>
    </row>
    <row r="99" spans="2:2">
      <c r="B99" s="3" t="str">
        <f ca="1">IFERROR(__xludf.DUMMYFUNCTION("IF(ISBLANK(A99),"""",GOOGLETRANSLATE(A99,""en"",""fr""))"),"")</f>
        <v/>
      </c>
    </row>
    <row r="100" spans="2:2">
      <c r="B100" s="3" t="str">
        <f ca="1">IFERROR(__xludf.DUMMYFUNCTION("IF(ISBLANK(A100),"""",GOOGLETRANSLATE(A100,""en"",""fr""))"),"")</f>
        <v/>
      </c>
    </row>
    <row r="101" spans="2:2">
      <c r="B101" s="3" t="str">
        <f ca="1">IFERROR(__xludf.DUMMYFUNCTION("IF(ISBLANK(A101),"""",GOOGLETRANSLATE(A101,""en"",""fr""))"),"")</f>
        <v/>
      </c>
    </row>
    <row r="102" spans="2:2">
      <c r="B102" s="3" t="str">
        <f ca="1">IFERROR(__xludf.DUMMYFUNCTION("IF(ISBLANK(A102),"""",GOOGLETRANSLATE(A102,""en"",""fr""))"),"")</f>
        <v/>
      </c>
    </row>
    <row r="103" spans="2:2">
      <c r="B103" s="3" t="str">
        <f ca="1">IFERROR(__xludf.DUMMYFUNCTION("IF(ISBLANK(A103),"""",GOOGLETRANSLATE(A103,""en"",""fr""))"),"")</f>
        <v/>
      </c>
    </row>
    <row r="104" spans="2:2">
      <c r="B104" s="3" t="str">
        <f ca="1">IFERROR(__xludf.DUMMYFUNCTION("IF(ISBLANK(A104),"""",GOOGLETRANSLATE(A104,""en"",""fr""))"),"")</f>
        <v/>
      </c>
    </row>
    <row r="105" spans="2:2">
      <c r="B105" s="3" t="str">
        <f ca="1">IFERROR(__xludf.DUMMYFUNCTION("IF(ISBLANK(A105),"""",GOOGLETRANSLATE(A105,""en"",""fr""))"),"")</f>
        <v/>
      </c>
    </row>
    <row r="106" spans="2:2">
      <c r="B106" s="3" t="str">
        <f ca="1">IFERROR(__xludf.DUMMYFUNCTION("IF(ISBLANK(A106),"""",GOOGLETRANSLATE(A106,""en"",""fr""))"),"")</f>
        <v/>
      </c>
    </row>
    <row r="107" spans="2:2">
      <c r="B107" s="3" t="str">
        <f ca="1">IFERROR(__xludf.DUMMYFUNCTION("IF(ISBLANK(A107),"""",GOOGLETRANSLATE(A107,""en"",""fr""))"),"")</f>
        <v/>
      </c>
    </row>
    <row r="108" spans="2:2">
      <c r="B108" s="3" t="str">
        <f ca="1">IFERROR(__xludf.DUMMYFUNCTION("IF(ISBLANK(A108),"""",GOOGLETRANSLATE(A108,""en"",""fr""))"),"")</f>
        <v/>
      </c>
    </row>
    <row r="109" spans="2:2">
      <c r="B109" s="3" t="str">
        <f ca="1">IFERROR(__xludf.DUMMYFUNCTION("IF(ISBLANK(A109),"""",GOOGLETRANSLATE(A109,""en"",""fr""))"),"")</f>
        <v/>
      </c>
    </row>
    <row r="110" spans="2:2">
      <c r="B110" s="3" t="str">
        <f ca="1">IFERROR(__xludf.DUMMYFUNCTION("IF(ISBLANK(A110),"""",GOOGLETRANSLATE(A110,""en"",""fr""))"),"")</f>
        <v/>
      </c>
    </row>
    <row r="111" spans="2:2">
      <c r="B111" s="3" t="str">
        <f ca="1">IFERROR(__xludf.DUMMYFUNCTION("IF(ISBLANK(A111),"""",GOOGLETRANSLATE(A111,""en"",""fr""))"),"")</f>
        <v/>
      </c>
    </row>
    <row r="112" spans="2:2">
      <c r="B112" s="3" t="str">
        <f ca="1">IFERROR(__xludf.DUMMYFUNCTION("IF(ISBLANK(A112),"""",GOOGLETRANSLATE(A112,""en"",""fr""))"),"")</f>
        <v/>
      </c>
    </row>
    <row r="113" spans="2:2">
      <c r="B113" s="3" t="str">
        <f ca="1">IFERROR(__xludf.DUMMYFUNCTION("IF(ISBLANK(A113),"""",GOOGLETRANSLATE(A113,""en"",""fr""))"),"")</f>
        <v/>
      </c>
    </row>
    <row r="114" spans="2:2">
      <c r="B114" s="3" t="str">
        <f ca="1">IFERROR(__xludf.DUMMYFUNCTION("IF(ISBLANK(A114),"""",GOOGLETRANSLATE(A114,""en"",""fr""))"),"")</f>
        <v/>
      </c>
    </row>
    <row r="115" spans="2:2">
      <c r="B115" s="3" t="str">
        <f ca="1">IFERROR(__xludf.DUMMYFUNCTION("IF(ISBLANK(A115),"""",GOOGLETRANSLATE(A115,""en"",""fr""))"),"")</f>
        <v/>
      </c>
    </row>
    <row r="116" spans="2:2">
      <c r="B116" s="3" t="str">
        <f ca="1">IFERROR(__xludf.DUMMYFUNCTION("IF(ISBLANK(A116),"""",GOOGLETRANSLATE(A116,""en"",""fr""))"),"")</f>
        <v/>
      </c>
    </row>
    <row r="117" spans="2:2">
      <c r="B117" s="3" t="str">
        <f ca="1">IFERROR(__xludf.DUMMYFUNCTION("IF(ISBLANK(A117),"""",GOOGLETRANSLATE(A117,""en"",""fr""))"),"")</f>
        <v/>
      </c>
    </row>
    <row r="118" spans="2:2">
      <c r="B118" s="3" t="str">
        <f ca="1">IFERROR(__xludf.DUMMYFUNCTION("IF(ISBLANK(A118),"""",GOOGLETRANSLATE(A118,""en"",""fr""))"),"")</f>
        <v/>
      </c>
    </row>
    <row r="119" spans="2:2">
      <c r="B119" s="3" t="str">
        <f ca="1">IFERROR(__xludf.DUMMYFUNCTION("IF(ISBLANK(A119),"""",GOOGLETRANSLATE(A119,""en"",""fr""))"),"")</f>
        <v/>
      </c>
    </row>
    <row r="120" spans="2:2">
      <c r="B120" s="3" t="str">
        <f ca="1">IFERROR(__xludf.DUMMYFUNCTION("IF(ISBLANK(A120),"""",GOOGLETRANSLATE(A120,""en"",""fr""))"),"")</f>
        <v/>
      </c>
    </row>
    <row r="121" spans="2:2">
      <c r="B121" s="3" t="str">
        <f ca="1">IFERROR(__xludf.DUMMYFUNCTION("IF(ISBLANK(A121),"""",GOOGLETRANSLATE(A121,""en"",""fr""))"),"")</f>
        <v/>
      </c>
    </row>
    <row r="122" spans="2:2">
      <c r="B122" s="3" t="str">
        <f ca="1">IFERROR(__xludf.DUMMYFUNCTION("IF(ISBLANK(A122),"""",GOOGLETRANSLATE(A122,""en"",""fr""))"),"")</f>
        <v/>
      </c>
    </row>
    <row r="123" spans="2:2">
      <c r="B123" s="3" t="str">
        <f ca="1">IFERROR(__xludf.DUMMYFUNCTION("IF(ISBLANK(A123),"""",GOOGLETRANSLATE(A123,""en"",""fr""))"),"")</f>
        <v/>
      </c>
    </row>
    <row r="124" spans="2:2">
      <c r="B124" s="3" t="str">
        <f ca="1">IFERROR(__xludf.DUMMYFUNCTION("IF(ISBLANK(A124),"""",GOOGLETRANSLATE(A124,""en"",""fr""))"),"")</f>
        <v/>
      </c>
    </row>
    <row r="125" spans="2:2">
      <c r="B125" s="3" t="str">
        <f ca="1">IFERROR(__xludf.DUMMYFUNCTION("IF(ISBLANK(A125),"""",GOOGLETRANSLATE(A125,""en"",""fr""))"),"")</f>
        <v/>
      </c>
    </row>
    <row r="126" spans="2:2">
      <c r="B126" s="3" t="str">
        <f ca="1">IFERROR(__xludf.DUMMYFUNCTION("IF(ISBLANK(A126),"""",GOOGLETRANSLATE(A126,""en"",""fr""))"),"")</f>
        <v/>
      </c>
    </row>
    <row r="127" spans="2:2">
      <c r="B127" s="3" t="str">
        <f ca="1">IFERROR(__xludf.DUMMYFUNCTION("IF(ISBLANK(A127),"""",GOOGLETRANSLATE(A127,""en"",""fr""))"),"")</f>
        <v/>
      </c>
    </row>
    <row r="128" spans="2:2">
      <c r="B128" s="3" t="str">
        <f ca="1">IFERROR(__xludf.DUMMYFUNCTION("IF(ISBLANK(A128),"""",GOOGLETRANSLATE(A128,""en"",""fr""))"),"")</f>
        <v/>
      </c>
    </row>
    <row r="129" spans="2:2">
      <c r="B129" s="3" t="str">
        <f ca="1">IFERROR(__xludf.DUMMYFUNCTION("IF(ISBLANK(A129),"""",GOOGLETRANSLATE(A129,""en"",""fr""))"),"")</f>
        <v/>
      </c>
    </row>
    <row r="130" spans="2:2">
      <c r="B130" s="3" t="str">
        <f ca="1">IFERROR(__xludf.DUMMYFUNCTION("IF(ISBLANK(A130),"""",GOOGLETRANSLATE(A130,""en"",""fr""))"),"")</f>
        <v/>
      </c>
    </row>
    <row r="131" spans="2:2">
      <c r="B131" s="3" t="str">
        <f ca="1">IFERROR(__xludf.DUMMYFUNCTION("IF(ISBLANK(A131),"""",GOOGLETRANSLATE(A131,""en"",""fr""))"),"")</f>
        <v/>
      </c>
    </row>
    <row r="132" spans="2:2">
      <c r="B132" s="3" t="str">
        <f ca="1">IFERROR(__xludf.DUMMYFUNCTION("IF(ISBLANK(A132),"""",GOOGLETRANSLATE(A132,""en"",""fr""))"),"")</f>
        <v/>
      </c>
    </row>
    <row r="133" spans="2:2">
      <c r="B133" s="3" t="str">
        <f ca="1">IFERROR(__xludf.DUMMYFUNCTION("IF(ISBLANK(A133),"""",GOOGLETRANSLATE(A133,""en"",""fr""))"),"")</f>
        <v/>
      </c>
    </row>
    <row r="134" spans="2:2">
      <c r="B134" s="3" t="str">
        <f ca="1">IFERROR(__xludf.DUMMYFUNCTION("IF(ISBLANK(A134),"""",GOOGLETRANSLATE(A134,""en"",""fr""))"),"")</f>
        <v/>
      </c>
    </row>
    <row r="135" spans="2:2">
      <c r="B135" s="3" t="str">
        <f ca="1">IFERROR(__xludf.DUMMYFUNCTION("IF(ISBLANK(A135),"""",GOOGLETRANSLATE(A135,""en"",""fr""))"),"")</f>
        <v/>
      </c>
    </row>
    <row r="136" spans="2:2">
      <c r="B136" s="3" t="str">
        <f ca="1">IFERROR(__xludf.DUMMYFUNCTION("IF(ISBLANK(A136),"""",GOOGLETRANSLATE(A136,""en"",""fr""))"),"")</f>
        <v/>
      </c>
    </row>
    <row r="137" spans="2:2">
      <c r="B137" s="3" t="str">
        <f ca="1">IFERROR(__xludf.DUMMYFUNCTION("IF(ISBLANK(A137),"""",GOOGLETRANSLATE(A137,""en"",""fr""))"),"")</f>
        <v/>
      </c>
    </row>
    <row r="138" spans="2:2">
      <c r="B138" s="3" t="str">
        <f ca="1">IFERROR(__xludf.DUMMYFUNCTION("IF(ISBLANK(A138),"""",GOOGLETRANSLATE(A138,""en"",""fr""))"),"")</f>
        <v/>
      </c>
    </row>
    <row r="139" spans="2:2">
      <c r="B139" s="3" t="str">
        <f ca="1">IFERROR(__xludf.DUMMYFUNCTION("IF(ISBLANK(A139),"""",GOOGLETRANSLATE(A139,""en"",""fr""))"),"")</f>
        <v/>
      </c>
    </row>
    <row r="140" spans="2:2">
      <c r="B140" s="3" t="str">
        <f ca="1">IFERROR(__xludf.DUMMYFUNCTION("IF(ISBLANK(A140),"""",GOOGLETRANSLATE(A140,""en"",""fr""))"),"")</f>
        <v/>
      </c>
    </row>
    <row r="141" spans="2:2">
      <c r="B141" s="3" t="str">
        <f ca="1">IFERROR(__xludf.DUMMYFUNCTION("IF(ISBLANK(A141),"""",GOOGLETRANSLATE(A141,""en"",""fr""))"),"")</f>
        <v/>
      </c>
    </row>
    <row r="142" spans="2:2">
      <c r="B142" s="3" t="str">
        <f ca="1">IFERROR(__xludf.DUMMYFUNCTION("IF(ISBLANK(A142),"""",GOOGLETRANSLATE(A142,""en"",""fr""))"),"")</f>
        <v/>
      </c>
    </row>
    <row r="143" spans="2:2">
      <c r="B143" s="3" t="str">
        <f ca="1">IFERROR(__xludf.DUMMYFUNCTION("IF(ISBLANK(A143),"""",GOOGLETRANSLATE(A143,""en"",""fr""))"),"")</f>
        <v/>
      </c>
    </row>
    <row r="144" spans="2:2">
      <c r="B144" s="3" t="str">
        <f ca="1">IFERROR(__xludf.DUMMYFUNCTION("IF(ISBLANK(A144),"""",GOOGLETRANSLATE(A144,""en"",""fr""))"),"")</f>
        <v/>
      </c>
    </row>
    <row r="145" spans="2:2">
      <c r="B145" s="3" t="str">
        <f ca="1">IFERROR(__xludf.DUMMYFUNCTION("IF(ISBLANK(A145),"""",GOOGLETRANSLATE(A145,""en"",""fr""))"),"")</f>
        <v/>
      </c>
    </row>
    <row r="146" spans="2:2">
      <c r="B146" s="3" t="str">
        <f ca="1">IFERROR(__xludf.DUMMYFUNCTION("IF(ISBLANK(A146),"""",GOOGLETRANSLATE(A146,""en"",""fr""))"),"")</f>
        <v/>
      </c>
    </row>
    <row r="147" spans="2:2">
      <c r="B147" s="3" t="str">
        <f ca="1">IFERROR(__xludf.DUMMYFUNCTION("IF(ISBLANK(A147),"""",GOOGLETRANSLATE(A147,""en"",""fr""))"),"")</f>
        <v/>
      </c>
    </row>
    <row r="148" spans="2:2">
      <c r="B148" s="3" t="str">
        <f ca="1">IFERROR(__xludf.DUMMYFUNCTION("IF(ISBLANK(A148),"""",GOOGLETRANSLATE(A148,""en"",""fr""))"),"")</f>
        <v/>
      </c>
    </row>
    <row r="149" spans="2:2">
      <c r="B149" s="3" t="str">
        <f ca="1">IFERROR(__xludf.DUMMYFUNCTION("IF(ISBLANK(A149),"""",GOOGLETRANSLATE(A149,""en"",""fr""))"),"")</f>
        <v/>
      </c>
    </row>
    <row r="150" spans="2:2">
      <c r="B150" s="3" t="str">
        <f ca="1">IFERROR(__xludf.DUMMYFUNCTION("IF(ISBLANK(A150),"""",GOOGLETRANSLATE(A150,""en"",""fr""))"),"")</f>
        <v/>
      </c>
    </row>
    <row r="151" spans="2:2">
      <c r="B151" s="3" t="str">
        <f ca="1">IFERROR(__xludf.DUMMYFUNCTION("IF(ISBLANK(A151),"""",GOOGLETRANSLATE(A151,""en"",""fr""))"),"")</f>
        <v/>
      </c>
    </row>
    <row r="152" spans="2:2">
      <c r="B152" s="3" t="str">
        <f ca="1">IFERROR(__xludf.DUMMYFUNCTION("IF(ISBLANK(A152),"""",GOOGLETRANSLATE(A152,""en"",""fr""))"),"")</f>
        <v/>
      </c>
    </row>
    <row r="153" spans="2:2">
      <c r="B153" s="3" t="str">
        <f ca="1">IFERROR(__xludf.DUMMYFUNCTION("IF(ISBLANK(A153),"""",GOOGLETRANSLATE(A153,""en"",""fr""))"),"")</f>
        <v/>
      </c>
    </row>
    <row r="154" spans="2:2">
      <c r="B154" s="3" t="str">
        <f ca="1">IFERROR(__xludf.DUMMYFUNCTION("IF(ISBLANK(A154),"""",GOOGLETRANSLATE(A154,""en"",""fr""))"),"")</f>
        <v/>
      </c>
    </row>
    <row r="155" spans="2:2">
      <c r="B155" s="3" t="str">
        <f ca="1">IFERROR(__xludf.DUMMYFUNCTION("IF(ISBLANK(A155),"""",GOOGLETRANSLATE(A155,""en"",""fr""))"),"")</f>
        <v/>
      </c>
    </row>
    <row r="156" spans="2:2">
      <c r="B156" s="3" t="str">
        <f ca="1">IFERROR(__xludf.DUMMYFUNCTION("IF(ISBLANK(A156),"""",GOOGLETRANSLATE(A156,""en"",""fr""))"),"")</f>
        <v/>
      </c>
    </row>
    <row r="157" spans="2:2">
      <c r="B157" s="3" t="str">
        <f ca="1">IFERROR(__xludf.DUMMYFUNCTION("IF(ISBLANK(A157),"""",GOOGLETRANSLATE(A157,""en"",""fr""))"),"")</f>
        <v/>
      </c>
    </row>
    <row r="158" spans="2:2">
      <c r="B158" s="3" t="str">
        <f ca="1">IFERROR(__xludf.DUMMYFUNCTION("IF(ISBLANK(A158),"""",GOOGLETRANSLATE(A158,""en"",""fr""))"),"")</f>
        <v/>
      </c>
    </row>
    <row r="159" spans="2:2">
      <c r="B159" s="3" t="str">
        <f ca="1">IFERROR(__xludf.DUMMYFUNCTION("IF(ISBLANK(A159),"""",GOOGLETRANSLATE(A159,""en"",""fr""))"),"")</f>
        <v/>
      </c>
    </row>
    <row r="160" spans="2:2">
      <c r="B160" s="3" t="str">
        <f ca="1">IFERROR(__xludf.DUMMYFUNCTION("IF(ISBLANK(A160),"""",GOOGLETRANSLATE(A160,""en"",""fr""))"),"")</f>
        <v/>
      </c>
    </row>
    <row r="161" spans="2:2">
      <c r="B161" s="3" t="str">
        <f ca="1">IFERROR(__xludf.DUMMYFUNCTION("IF(ISBLANK(A161),"""",GOOGLETRANSLATE(A161,""en"",""fr""))"),"")</f>
        <v/>
      </c>
    </row>
    <row r="162" spans="2:2">
      <c r="B162" s="3" t="str">
        <f ca="1">IFERROR(__xludf.DUMMYFUNCTION("IF(ISBLANK(A162),"""",GOOGLETRANSLATE(A162,""en"",""fr""))"),"")</f>
        <v/>
      </c>
    </row>
    <row r="163" spans="2:2">
      <c r="B163" s="3" t="str">
        <f ca="1">IFERROR(__xludf.DUMMYFUNCTION("IF(ISBLANK(A163),"""",GOOGLETRANSLATE(A163,""en"",""fr""))"),"")</f>
        <v/>
      </c>
    </row>
    <row r="164" spans="2:2">
      <c r="B164" s="3" t="str">
        <f ca="1">IFERROR(__xludf.DUMMYFUNCTION("IF(ISBLANK(A164),"""",GOOGLETRANSLATE(A164,""en"",""fr""))"),"")</f>
        <v/>
      </c>
    </row>
    <row r="165" spans="2:2">
      <c r="B165" s="3" t="str">
        <f ca="1">IFERROR(__xludf.DUMMYFUNCTION("IF(ISBLANK(A165),"""",GOOGLETRANSLATE(A165,""en"",""fr""))"),"")</f>
        <v/>
      </c>
    </row>
    <row r="166" spans="2:2">
      <c r="B166" s="3" t="str">
        <f ca="1">IFERROR(__xludf.DUMMYFUNCTION("IF(ISBLANK(A166),"""",GOOGLETRANSLATE(A166,""en"",""fr""))"),"")</f>
        <v/>
      </c>
    </row>
    <row r="167" spans="2:2">
      <c r="B167" s="3" t="str">
        <f ca="1">IFERROR(__xludf.DUMMYFUNCTION("IF(ISBLANK(A167),"""",GOOGLETRANSLATE(A167,""en"",""fr""))"),"")</f>
        <v/>
      </c>
    </row>
    <row r="168" spans="2:2">
      <c r="B168" s="3" t="str">
        <f ca="1">IFERROR(__xludf.DUMMYFUNCTION("IF(ISBLANK(A168),"""",GOOGLETRANSLATE(A168,""en"",""fr""))"),"")</f>
        <v/>
      </c>
    </row>
    <row r="169" spans="2:2">
      <c r="B169" s="3" t="str">
        <f ca="1">IFERROR(__xludf.DUMMYFUNCTION("IF(ISBLANK(A169),"""",GOOGLETRANSLATE(A169,""en"",""fr""))"),"")</f>
        <v/>
      </c>
    </row>
    <row r="170" spans="2:2">
      <c r="B170" s="3" t="str">
        <f ca="1">IFERROR(__xludf.DUMMYFUNCTION("IF(ISBLANK(A170),"""",GOOGLETRANSLATE(A170,""en"",""fr""))"),"")</f>
        <v/>
      </c>
    </row>
    <row r="171" spans="2:2">
      <c r="B171" s="3" t="str">
        <f ca="1">IFERROR(__xludf.DUMMYFUNCTION("IF(ISBLANK(A171),"""",GOOGLETRANSLATE(A171,""en"",""fr""))"),"")</f>
        <v/>
      </c>
    </row>
    <row r="172" spans="2:2">
      <c r="B172" s="3" t="str">
        <f ca="1">IFERROR(__xludf.DUMMYFUNCTION("IF(ISBLANK(A172),"""",GOOGLETRANSLATE(A172,""en"",""fr""))"),"")</f>
        <v/>
      </c>
    </row>
    <row r="173" spans="2:2">
      <c r="B173" s="3" t="str">
        <f ca="1">IFERROR(__xludf.DUMMYFUNCTION("IF(ISBLANK(A173),"""",GOOGLETRANSLATE(A173,""en"",""fr""))"),"")</f>
        <v/>
      </c>
    </row>
    <row r="174" spans="2:2">
      <c r="B174" s="3" t="str">
        <f ca="1">IFERROR(__xludf.DUMMYFUNCTION("IF(ISBLANK(A174),"""",GOOGLETRANSLATE(A174,""en"",""fr""))"),"")</f>
        <v/>
      </c>
    </row>
    <row r="175" spans="2:2">
      <c r="B175" s="3" t="str">
        <f ca="1">IFERROR(__xludf.DUMMYFUNCTION("IF(ISBLANK(A175),"""",GOOGLETRANSLATE(A175,""en"",""fr""))"),"")</f>
        <v/>
      </c>
    </row>
    <row r="176" spans="2:2">
      <c r="B176" s="3" t="str">
        <f ca="1">IFERROR(__xludf.DUMMYFUNCTION("IF(ISBLANK(A176),"""",GOOGLETRANSLATE(A176,""en"",""fr""))"),"")</f>
        <v/>
      </c>
    </row>
    <row r="177" spans="2:2">
      <c r="B177" s="3" t="str">
        <f ca="1">IFERROR(__xludf.DUMMYFUNCTION("IF(ISBLANK(A177),"""",GOOGLETRANSLATE(A177,""en"",""fr""))"),"")</f>
        <v/>
      </c>
    </row>
    <row r="178" spans="2:2">
      <c r="B178" s="3" t="str">
        <f ca="1">IFERROR(__xludf.DUMMYFUNCTION("IF(ISBLANK(A178),"""",GOOGLETRANSLATE(A178,""en"",""fr""))"),"")</f>
        <v/>
      </c>
    </row>
    <row r="179" spans="2:2">
      <c r="B179" s="3" t="str">
        <f ca="1">IFERROR(__xludf.DUMMYFUNCTION("IF(ISBLANK(A179),"""",GOOGLETRANSLATE(A179,""en"",""fr""))"),"")</f>
        <v/>
      </c>
    </row>
    <row r="180" spans="2:2">
      <c r="B180" s="3" t="str">
        <f ca="1">IFERROR(__xludf.DUMMYFUNCTION("IF(ISBLANK(A180),"""",GOOGLETRANSLATE(A180,""en"",""fr""))"),"")</f>
        <v/>
      </c>
    </row>
    <row r="181" spans="2:2">
      <c r="B181" s="3" t="str">
        <f ca="1">IFERROR(__xludf.DUMMYFUNCTION("IF(ISBLANK(A181),"""",GOOGLETRANSLATE(A181,""en"",""fr""))"),"")</f>
        <v/>
      </c>
    </row>
    <row r="182" spans="2:2">
      <c r="B182" s="3" t="str">
        <f ca="1">IFERROR(__xludf.DUMMYFUNCTION("IF(ISBLANK(A182),"""",GOOGLETRANSLATE(A182,""en"",""fr""))"),"")</f>
        <v/>
      </c>
    </row>
    <row r="183" spans="2:2">
      <c r="B183" s="3" t="str">
        <f ca="1">IFERROR(__xludf.DUMMYFUNCTION("IF(ISBLANK(A183),"""",GOOGLETRANSLATE(A183,""en"",""fr""))"),"")</f>
        <v/>
      </c>
    </row>
    <row r="184" spans="2:2">
      <c r="B184" s="3" t="str">
        <f ca="1">IFERROR(__xludf.DUMMYFUNCTION("IF(ISBLANK(A184),"""",GOOGLETRANSLATE(A184,""en"",""fr""))"),"")</f>
        <v/>
      </c>
    </row>
    <row r="185" spans="2:2">
      <c r="B185" s="3" t="str">
        <f ca="1">IFERROR(__xludf.DUMMYFUNCTION("IF(ISBLANK(A185),"""",GOOGLETRANSLATE(A185,""en"",""fr""))"),"")</f>
        <v/>
      </c>
    </row>
    <row r="186" spans="2:2">
      <c r="B186" s="3" t="str">
        <f ca="1">IFERROR(__xludf.DUMMYFUNCTION("IF(ISBLANK(A186),"""",GOOGLETRANSLATE(A186,""en"",""fr""))"),"")</f>
        <v/>
      </c>
    </row>
    <row r="187" spans="2:2">
      <c r="B187" s="3" t="str">
        <f ca="1">IFERROR(__xludf.DUMMYFUNCTION("IF(ISBLANK(A187),"""",GOOGLETRANSLATE(A187,""en"",""fr""))"),"")</f>
        <v/>
      </c>
    </row>
    <row r="188" spans="2:2">
      <c r="B188" s="3" t="str">
        <f ca="1">IFERROR(__xludf.DUMMYFUNCTION("IF(ISBLANK(A188),"""",GOOGLETRANSLATE(A188,""en"",""fr""))"),"")</f>
        <v/>
      </c>
    </row>
    <row r="189" spans="2:2">
      <c r="B189" s="3" t="str">
        <f ca="1">IFERROR(__xludf.DUMMYFUNCTION("IF(ISBLANK(A189),"""",GOOGLETRANSLATE(A189,""en"",""fr""))"),"")</f>
        <v/>
      </c>
    </row>
    <row r="190" spans="2:2">
      <c r="B190" s="3" t="str">
        <f ca="1">IFERROR(__xludf.DUMMYFUNCTION("IF(ISBLANK(A190),"""",GOOGLETRANSLATE(A190,""en"",""fr""))"),"")</f>
        <v/>
      </c>
    </row>
    <row r="191" spans="2:2">
      <c r="B191" s="3" t="str">
        <f ca="1">IFERROR(__xludf.DUMMYFUNCTION("IF(ISBLANK(A191),"""",GOOGLETRANSLATE(A191,""en"",""fr""))"),"")</f>
        <v/>
      </c>
    </row>
    <row r="192" spans="2:2">
      <c r="B192" s="3" t="str">
        <f ca="1">IFERROR(__xludf.DUMMYFUNCTION("IF(ISBLANK(A192),"""",GOOGLETRANSLATE(A192,""en"",""fr""))"),"")</f>
        <v/>
      </c>
    </row>
    <row r="193" spans="2:2">
      <c r="B193" s="3" t="str">
        <f ca="1">IFERROR(__xludf.DUMMYFUNCTION("IF(ISBLANK(A193),"""",GOOGLETRANSLATE(A193,""en"",""fr""))"),"")</f>
        <v/>
      </c>
    </row>
    <row r="194" spans="2:2">
      <c r="B194" s="3" t="str">
        <f ca="1">IFERROR(__xludf.DUMMYFUNCTION("IF(ISBLANK(A194),"""",GOOGLETRANSLATE(A194,""en"",""fr""))"),"")</f>
        <v/>
      </c>
    </row>
    <row r="195" spans="2:2">
      <c r="B195" s="3" t="str">
        <f ca="1">IFERROR(__xludf.DUMMYFUNCTION("IF(ISBLANK(A195),"""",GOOGLETRANSLATE(A195,""en"",""fr""))"),"")</f>
        <v/>
      </c>
    </row>
    <row r="196" spans="2:2">
      <c r="B196" s="3" t="str">
        <f ca="1">IFERROR(__xludf.DUMMYFUNCTION("IF(ISBLANK(A196),"""",GOOGLETRANSLATE(A196,""en"",""fr""))"),"")</f>
        <v/>
      </c>
    </row>
    <row r="197" spans="2:2">
      <c r="B197" s="3" t="str">
        <f ca="1">IFERROR(__xludf.DUMMYFUNCTION("IF(ISBLANK(A197),"""",GOOGLETRANSLATE(A197,""en"",""fr""))"),"")</f>
        <v/>
      </c>
    </row>
    <row r="198" spans="2:2">
      <c r="B198" s="3" t="str">
        <f ca="1">IFERROR(__xludf.DUMMYFUNCTION("IF(ISBLANK(A198),"""",GOOGLETRANSLATE(A198,""en"",""fr""))"),"")</f>
        <v/>
      </c>
    </row>
    <row r="199" spans="2:2">
      <c r="B199" s="3" t="str">
        <f ca="1">IFERROR(__xludf.DUMMYFUNCTION("IF(ISBLANK(A199),"""",GOOGLETRANSLATE(A199,""en"",""fr""))"),"")</f>
        <v/>
      </c>
    </row>
    <row r="200" spans="2:2">
      <c r="B200" s="3" t="str">
        <f ca="1">IFERROR(__xludf.DUMMYFUNCTION("IF(ISBLANK(A200),"""",GOOGLETRANSLATE(A200,""en"",""fr""))"),"")</f>
        <v/>
      </c>
    </row>
    <row r="201" spans="2:2">
      <c r="B201" s="3" t="str">
        <f ca="1">IFERROR(__xludf.DUMMYFUNCTION("IF(ISBLANK(A201),"""",GOOGLETRANSLATE(A201,""en"",""fr""))"),"")</f>
        <v/>
      </c>
    </row>
    <row r="202" spans="2:2">
      <c r="B202" s="3" t="str">
        <f ca="1">IFERROR(__xludf.DUMMYFUNCTION("IF(ISBLANK(A202),"""",GOOGLETRANSLATE(A202,""en"",""fr""))"),"")</f>
        <v/>
      </c>
    </row>
    <row r="203" spans="2:2">
      <c r="B203" s="3" t="str">
        <f ca="1">IFERROR(__xludf.DUMMYFUNCTION("IF(ISBLANK(A203),"""",GOOGLETRANSLATE(A203,""en"",""fr""))"),"")</f>
        <v/>
      </c>
    </row>
    <row r="204" spans="2:2">
      <c r="B204" s="3" t="str">
        <f ca="1">IFERROR(__xludf.DUMMYFUNCTION("IF(ISBLANK(A204),"""",GOOGLETRANSLATE(A204,""en"",""fr""))"),"")</f>
        <v/>
      </c>
    </row>
    <row r="205" spans="2:2">
      <c r="B205" s="3" t="str">
        <f ca="1">IFERROR(__xludf.DUMMYFUNCTION("IF(ISBLANK(A205),"""",GOOGLETRANSLATE(A205,""en"",""fr""))"),"")</f>
        <v/>
      </c>
    </row>
    <row r="206" spans="2:2">
      <c r="B206" s="3" t="str">
        <f ca="1">IFERROR(__xludf.DUMMYFUNCTION("IF(ISBLANK(A206),"""",GOOGLETRANSLATE(A206,""en"",""fr""))"),"")</f>
        <v/>
      </c>
    </row>
    <row r="207" spans="2:2">
      <c r="B207" s="3" t="str">
        <f ca="1">IFERROR(__xludf.DUMMYFUNCTION("IF(ISBLANK(A207),"""",GOOGLETRANSLATE(A207,""en"",""fr""))"),"")</f>
        <v/>
      </c>
    </row>
    <row r="208" spans="2:2">
      <c r="B208" s="3" t="str">
        <f ca="1">IFERROR(__xludf.DUMMYFUNCTION("IF(ISBLANK(A208),"""",GOOGLETRANSLATE(A208,""en"",""fr""))"),"")</f>
        <v/>
      </c>
    </row>
    <row r="209" spans="2:2">
      <c r="B209" s="3" t="str">
        <f ca="1">IFERROR(__xludf.DUMMYFUNCTION("IF(ISBLANK(A209),"""",GOOGLETRANSLATE(A209,""en"",""fr""))"),"")</f>
        <v/>
      </c>
    </row>
    <row r="210" spans="2:2">
      <c r="B210" s="3" t="str">
        <f ca="1">IFERROR(__xludf.DUMMYFUNCTION("IF(ISBLANK(A210),"""",GOOGLETRANSLATE(A210,""en"",""fr""))"),"")</f>
        <v/>
      </c>
    </row>
    <row r="211" spans="2:2">
      <c r="B211" s="3" t="str">
        <f ca="1">IFERROR(__xludf.DUMMYFUNCTION("IF(ISBLANK(A211),"""",GOOGLETRANSLATE(A211,""en"",""fr""))"),"")</f>
        <v/>
      </c>
    </row>
    <row r="212" spans="2:2">
      <c r="B212" s="3" t="str">
        <f ca="1">IFERROR(__xludf.DUMMYFUNCTION("IF(ISBLANK(A212),"""",GOOGLETRANSLATE(A212,""en"",""fr""))"),"")</f>
        <v/>
      </c>
    </row>
    <row r="213" spans="2:2">
      <c r="B213" s="3" t="str">
        <f ca="1">IFERROR(__xludf.DUMMYFUNCTION("IF(ISBLANK(A213),"""",GOOGLETRANSLATE(A213,""en"",""fr""))"),"")</f>
        <v/>
      </c>
    </row>
    <row r="214" spans="2:2">
      <c r="B214" s="3" t="str">
        <f ca="1">IFERROR(__xludf.DUMMYFUNCTION("IF(ISBLANK(A214),"""",GOOGLETRANSLATE(A214,""en"",""fr""))"),"")</f>
        <v/>
      </c>
    </row>
    <row r="215" spans="2:2">
      <c r="B215" s="3" t="str">
        <f ca="1">IFERROR(__xludf.DUMMYFUNCTION("IF(ISBLANK(A215),"""",GOOGLETRANSLATE(A215,""en"",""fr""))"),"")</f>
        <v/>
      </c>
    </row>
    <row r="216" spans="2:2">
      <c r="B216" s="3" t="str">
        <f ca="1">IFERROR(__xludf.DUMMYFUNCTION("IF(ISBLANK(A216),"""",GOOGLETRANSLATE(A216,""en"",""fr""))"),"")</f>
        <v/>
      </c>
    </row>
    <row r="217" spans="2:2">
      <c r="B217" s="3" t="str">
        <f ca="1">IFERROR(__xludf.DUMMYFUNCTION("IF(ISBLANK(A217),"""",GOOGLETRANSLATE(A217,""en"",""fr""))"),"")</f>
        <v/>
      </c>
    </row>
    <row r="218" spans="2:2">
      <c r="B218" s="3" t="str">
        <f ca="1">IFERROR(__xludf.DUMMYFUNCTION("IF(ISBLANK(A218),"""",GOOGLETRANSLATE(A218,""en"",""fr""))"),"")</f>
        <v/>
      </c>
    </row>
    <row r="219" spans="2:2">
      <c r="B219" s="3" t="str">
        <f ca="1">IFERROR(__xludf.DUMMYFUNCTION("IF(ISBLANK(A219),"""",GOOGLETRANSLATE(A219,""en"",""fr""))"),"")</f>
        <v/>
      </c>
    </row>
    <row r="220" spans="2:2">
      <c r="B220" s="3" t="str">
        <f ca="1">IFERROR(__xludf.DUMMYFUNCTION("IF(ISBLANK(A220),"""",GOOGLETRANSLATE(A220,""en"",""fr""))"),"")</f>
        <v/>
      </c>
    </row>
    <row r="221" spans="2:2">
      <c r="B221" s="3" t="str">
        <f ca="1">IFERROR(__xludf.DUMMYFUNCTION("IF(ISBLANK(A221),"""",GOOGLETRANSLATE(A221,""en"",""fr""))"),"")</f>
        <v/>
      </c>
    </row>
    <row r="222" spans="2:2">
      <c r="B222" s="3" t="str">
        <f ca="1">IFERROR(__xludf.DUMMYFUNCTION("IF(ISBLANK(A222),"""",GOOGLETRANSLATE(A222,""en"",""fr""))"),"")</f>
        <v/>
      </c>
    </row>
    <row r="223" spans="2:2">
      <c r="B223" s="3" t="str">
        <f ca="1">IFERROR(__xludf.DUMMYFUNCTION("IF(ISBLANK(A223),"""",GOOGLETRANSLATE(A223,""en"",""fr""))"),"")</f>
        <v/>
      </c>
    </row>
    <row r="224" spans="2:2">
      <c r="B224" s="3" t="str">
        <f ca="1">IFERROR(__xludf.DUMMYFUNCTION("IF(ISBLANK(A224),"""",GOOGLETRANSLATE(A224,""en"",""fr""))"),"")</f>
        <v/>
      </c>
    </row>
    <row r="225" spans="2:2">
      <c r="B225" s="3" t="str">
        <f ca="1">IFERROR(__xludf.DUMMYFUNCTION("IF(ISBLANK(A225),"""",GOOGLETRANSLATE(A225,""en"",""fr""))"),"")</f>
        <v/>
      </c>
    </row>
    <row r="226" spans="2:2">
      <c r="B226" s="3" t="str">
        <f ca="1">IFERROR(__xludf.DUMMYFUNCTION("IF(ISBLANK(A226),"""",GOOGLETRANSLATE(A226,""en"",""fr""))"),"")</f>
        <v/>
      </c>
    </row>
    <row r="227" spans="2:2">
      <c r="B227" s="3" t="str">
        <f ca="1">IFERROR(__xludf.DUMMYFUNCTION("IF(ISBLANK(A227),"""",GOOGLETRANSLATE(A227,""en"",""fr""))"),"")</f>
        <v/>
      </c>
    </row>
    <row r="228" spans="2:2">
      <c r="B228" s="3" t="str">
        <f ca="1">IFERROR(__xludf.DUMMYFUNCTION("IF(ISBLANK(A228),"""",GOOGLETRANSLATE(A228,""en"",""fr""))"),"")</f>
        <v/>
      </c>
    </row>
    <row r="229" spans="2:2">
      <c r="B229" s="3" t="str">
        <f ca="1">IFERROR(__xludf.DUMMYFUNCTION("IF(ISBLANK(A229),"""",GOOGLETRANSLATE(A229,""en"",""fr""))"),"")</f>
        <v/>
      </c>
    </row>
    <row r="230" spans="2:2">
      <c r="B230" s="3" t="str">
        <f ca="1">IFERROR(__xludf.DUMMYFUNCTION("IF(ISBLANK(A230),"""",GOOGLETRANSLATE(A230,""en"",""fr""))"),"")</f>
        <v/>
      </c>
    </row>
    <row r="231" spans="2:2">
      <c r="B231" s="3" t="str">
        <f ca="1">IFERROR(__xludf.DUMMYFUNCTION("IF(ISBLANK(A231),"""",GOOGLETRANSLATE(A231,""en"",""fr""))"),"")</f>
        <v/>
      </c>
    </row>
    <row r="232" spans="2:2">
      <c r="B232" s="3" t="str">
        <f ca="1">IFERROR(__xludf.DUMMYFUNCTION("IF(ISBLANK(A232),"""",GOOGLETRANSLATE(A232,""en"",""fr""))"),"")</f>
        <v/>
      </c>
    </row>
    <row r="233" spans="2:2">
      <c r="B233" s="3" t="str">
        <f ca="1">IFERROR(__xludf.DUMMYFUNCTION("IF(ISBLANK(A233),"""",GOOGLETRANSLATE(A233,""en"",""fr""))"),"")</f>
        <v/>
      </c>
    </row>
    <row r="234" spans="2:2">
      <c r="B234" s="3" t="str">
        <f ca="1">IFERROR(__xludf.DUMMYFUNCTION("IF(ISBLANK(A234),"""",GOOGLETRANSLATE(A234,""en"",""fr""))"),"")</f>
        <v/>
      </c>
    </row>
    <row r="235" spans="2:2">
      <c r="B235" s="3" t="str">
        <f ca="1">IFERROR(__xludf.DUMMYFUNCTION("IF(ISBLANK(A235),"""",GOOGLETRANSLATE(A235,""en"",""fr""))"),"")</f>
        <v/>
      </c>
    </row>
    <row r="236" spans="2:2">
      <c r="B236" s="3" t="str">
        <f ca="1">IFERROR(__xludf.DUMMYFUNCTION("IF(ISBLANK(A236),"""",GOOGLETRANSLATE(A236,""en"",""fr""))"),"")</f>
        <v/>
      </c>
    </row>
    <row r="237" spans="2:2">
      <c r="B237" s="3" t="str">
        <f ca="1">IFERROR(__xludf.DUMMYFUNCTION("IF(ISBLANK(A237),"""",GOOGLETRANSLATE(A237,""en"",""fr""))"),"")</f>
        <v/>
      </c>
    </row>
    <row r="238" spans="2:2">
      <c r="B238" s="3" t="str">
        <f ca="1">IFERROR(__xludf.DUMMYFUNCTION("IF(ISBLANK(A238),"""",GOOGLETRANSLATE(A238,""en"",""fr""))"),"")</f>
        <v/>
      </c>
    </row>
    <row r="239" spans="2:2">
      <c r="B239" s="3" t="str">
        <f ca="1">IFERROR(__xludf.DUMMYFUNCTION("IF(ISBLANK(A239),"""",GOOGLETRANSLATE(A239,""en"",""fr""))"),"")</f>
        <v/>
      </c>
    </row>
    <row r="240" spans="2:2">
      <c r="B240" s="3" t="str">
        <f ca="1">IFERROR(__xludf.DUMMYFUNCTION("IF(ISBLANK(A240),"""",GOOGLETRANSLATE(A240,""en"",""fr""))"),"")</f>
        <v/>
      </c>
    </row>
    <row r="241" spans="2:2">
      <c r="B241" s="3" t="str">
        <f ca="1">IFERROR(__xludf.DUMMYFUNCTION("IF(ISBLANK(A241),"""",GOOGLETRANSLATE(A241,""en"",""fr""))"),"")</f>
        <v/>
      </c>
    </row>
    <row r="242" spans="2:2">
      <c r="B242" s="3" t="str">
        <f ca="1">IFERROR(__xludf.DUMMYFUNCTION("IF(ISBLANK(A242),"""",GOOGLETRANSLATE(A242,""en"",""fr""))"),"")</f>
        <v/>
      </c>
    </row>
    <row r="243" spans="2:2">
      <c r="B243" s="3" t="str">
        <f ca="1">IFERROR(__xludf.DUMMYFUNCTION("IF(ISBLANK(A243),"""",GOOGLETRANSLATE(A243,""en"",""fr""))"),"")</f>
        <v/>
      </c>
    </row>
    <row r="244" spans="2:2">
      <c r="B244" s="3" t="str">
        <f ca="1">IFERROR(__xludf.DUMMYFUNCTION("IF(ISBLANK(A244),"""",GOOGLETRANSLATE(A244,""en"",""fr""))"),"")</f>
        <v/>
      </c>
    </row>
    <row r="245" spans="2:2">
      <c r="B245" s="3" t="str">
        <f ca="1">IFERROR(__xludf.DUMMYFUNCTION("IF(ISBLANK(A245),"""",GOOGLETRANSLATE(A245,""en"",""fr""))"),"")</f>
        <v/>
      </c>
    </row>
    <row r="246" spans="2:2">
      <c r="B246" s="3" t="str">
        <f ca="1">IFERROR(__xludf.DUMMYFUNCTION("IF(ISBLANK(A246),"""",GOOGLETRANSLATE(A246,""en"",""fr""))"),"")</f>
        <v/>
      </c>
    </row>
    <row r="247" spans="2:2">
      <c r="B247" s="3" t="str">
        <f ca="1">IFERROR(__xludf.DUMMYFUNCTION("IF(ISBLANK(A247),"""",GOOGLETRANSLATE(A247,""en"",""fr""))"),"")</f>
        <v/>
      </c>
    </row>
    <row r="248" spans="2:2">
      <c r="B248" s="3" t="str">
        <f ca="1">IFERROR(__xludf.DUMMYFUNCTION("IF(ISBLANK(A248),"""",GOOGLETRANSLATE(A248,""en"",""fr""))"),"")</f>
        <v/>
      </c>
    </row>
    <row r="249" spans="2:2">
      <c r="B249" s="3" t="str">
        <f ca="1">IFERROR(__xludf.DUMMYFUNCTION("IF(ISBLANK(A249),"""",GOOGLETRANSLATE(A249,""en"",""fr""))"),"")</f>
        <v/>
      </c>
    </row>
    <row r="250" spans="2:2">
      <c r="B250" s="3" t="str">
        <f ca="1">IFERROR(__xludf.DUMMYFUNCTION("IF(ISBLANK(A250),"""",GOOGLETRANSLATE(A250,""en"",""fr""))"),"")</f>
        <v/>
      </c>
    </row>
    <row r="251" spans="2:2">
      <c r="B251" s="3" t="str">
        <f ca="1">IFERROR(__xludf.DUMMYFUNCTION("IF(ISBLANK(A251),"""",GOOGLETRANSLATE(A251,""en"",""fr""))"),"")</f>
        <v/>
      </c>
    </row>
    <row r="252" spans="2:2">
      <c r="B252" s="3" t="str">
        <f ca="1">IFERROR(__xludf.DUMMYFUNCTION("IF(ISBLANK(A252),"""",GOOGLETRANSLATE(A252,""en"",""fr""))"),"")</f>
        <v/>
      </c>
    </row>
    <row r="253" spans="2:2">
      <c r="B253" s="3" t="str">
        <f ca="1">IFERROR(__xludf.DUMMYFUNCTION("IF(ISBLANK(A253),"""",GOOGLETRANSLATE(A253,""en"",""fr""))"),"")</f>
        <v/>
      </c>
    </row>
    <row r="254" spans="2:2">
      <c r="B254" s="3" t="str">
        <f ca="1">IFERROR(__xludf.DUMMYFUNCTION("IF(ISBLANK(A254),"""",GOOGLETRANSLATE(A254,""en"",""fr""))"),"")</f>
        <v/>
      </c>
    </row>
    <row r="255" spans="2:2">
      <c r="B255" s="3" t="str">
        <f ca="1">IFERROR(__xludf.DUMMYFUNCTION("IF(ISBLANK(A255),"""",GOOGLETRANSLATE(A255,""en"",""fr""))"),"")</f>
        <v/>
      </c>
    </row>
    <row r="256" spans="2:2">
      <c r="B256" s="3" t="str">
        <f ca="1">IFERROR(__xludf.DUMMYFUNCTION("IF(ISBLANK(A256),"""",GOOGLETRANSLATE(A256,""en"",""fr""))"),"")</f>
        <v/>
      </c>
    </row>
    <row r="257" spans="2:2">
      <c r="B257" s="3" t="str">
        <f ca="1">IFERROR(__xludf.DUMMYFUNCTION("IF(ISBLANK(A257),"""",GOOGLETRANSLATE(A257,""en"",""fr""))"),"")</f>
        <v/>
      </c>
    </row>
    <row r="258" spans="2:2">
      <c r="B258" s="3" t="str">
        <f ca="1">IFERROR(__xludf.DUMMYFUNCTION("IF(ISBLANK(A258),"""",GOOGLETRANSLATE(A258,""en"",""fr""))"),"")</f>
        <v/>
      </c>
    </row>
    <row r="259" spans="2:2">
      <c r="B259" s="3" t="str">
        <f ca="1">IFERROR(__xludf.DUMMYFUNCTION("IF(ISBLANK(A259),"""",GOOGLETRANSLATE(A259,""en"",""fr""))"),"")</f>
        <v/>
      </c>
    </row>
    <row r="260" spans="2:2">
      <c r="B260" s="3" t="str">
        <f ca="1">IFERROR(__xludf.DUMMYFUNCTION("IF(ISBLANK(A260),"""",GOOGLETRANSLATE(A260,""en"",""fr""))"),"")</f>
        <v/>
      </c>
    </row>
    <row r="261" spans="2:2">
      <c r="B261" s="3" t="str">
        <f ca="1">IFERROR(__xludf.DUMMYFUNCTION("IF(ISBLANK(A261),"""",GOOGLETRANSLATE(A261,""en"",""fr""))"),"")</f>
        <v/>
      </c>
    </row>
    <row r="262" spans="2:2">
      <c r="B262" s="3" t="str">
        <f ca="1">IFERROR(__xludf.DUMMYFUNCTION("IF(ISBLANK(A262),"""",GOOGLETRANSLATE(A262,""en"",""fr""))"),"")</f>
        <v/>
      </c>
    </row>
    <row r="263" spans="2:2">
      <c r="B263" s="3" t="str">
        <f ca="1">IFERROR(__xludf.DUMMYFUNCTION("IF(ISBLANK(A263),"""",GOOGLETRANSLATE(A263,""en"",""fr""))"),"")</f>
        <v/>
      </c>
    </row>
    <row r="264" spans="2:2">
      <c r="B264" s="3" t="str">
        <f ca="1">IFERROR(__xludf.DUMMYFUNCTION("IF(ISBLANK(A264),"""",GOOGLETRANSLATE(A264,""en"",""fr""))"),"")</f>
        <v/>
      </c>
    </row>
    <row r="265" spans="2:2">
      <c r="B265" s="3" t="str">
        <f ca="1">IFERROR(__xludf.DUMMYFUNCTION("IF(ISBLANK(A265),"""",GOOGLETRANSLATE(A265,""en"",""fr""))"),"")</f>
        <v/>
      </c>
    </row>
    <row r="266" spans="2:2">
      <c r="B266" s="3" t="str">
        <f ca="1">IFERROR(__xludf.DUMMYFUNCTION("IF(ISBLANK(A266),"""",GOOGLETRANSLATE(A266,""en"",""fr""))"),"")</f>
        <v/>
      </c>
    </row>
    <row r="267" spans="2:2">
      <c r="B267" s="3" t="str">
        <f ca="1">IFERROR(__xludf.DUMMYFUNCTION("IF(ISBLANK(A267),"""",GOOGLETRANSLATE(A267,""en"",""fr""))"),"")</f>
        <v/>
      </c>
    </row>
    <row r="268" spans="2:2">
      <c r="B268" s="3" t="str">
        <f ca="1">IFERROR(__xludf.DUMMYFUNCTION("IF(ISBLANK(A268),"""",GOOGLETRANSLATE(A268,""en"",""fr""))"),"")</f>
        <v/>
      </c>
    </row>
    <row r="269" spans="2:2">
      <c r="B269" s="3" t="str">
        <f ca="1">IFERROR(__xludf.DUMMYFUNCTION("IF(ISBLANK(A269),"""",GOOGLETRANSLATE(A269,""en"",""fr""))"),"")</f>
        <v/>
      </c>
    </row>
    <row r="270" spans="2:2">
      <c r="B270" s="3" t="str">
        <f ca="1">IFERROR(__xludf.DUMMYFUNCTION("IF(ISBLANK(A270),"""",GOOGLETRANSLATE(A270,""en"",""fr""))"),"")</f>
        <v/>
      </c>
    </row>
    <row r="271" spans="2:2">
      <c r="B271" s="3" t="str">
        <f ca="1">IFERROR(__xludf.DUMMYFUNCTION("IF(ISBLANK(A271),"""",GOOGLETRANSLATE(A271,""en"",""fr""))"),"")</f>
        <v/>
      </c>
    </row>
    <row r="272" spans="2:2">
      <c r="B272" s="3" t="str">
        <f ca="1">IFERROR(__xludf.DUMMYFUNCTION("IF(ISBLANK(A272),"""",GOOGLETRANSLATE(A272,""en"",""fr""))"),"")</f>
        <v/>
      </c>
    </row>
    <row r="273" spans="2:2">
      <c r="B273" s="3" t="str">
        <f ca="1">IFERROR(__xludf.DUMMYFUNCTION("IF(ISBLANK(A273),"""",GOOGLETRANSLATE(A273,""en"",""fr""))"),"")</f>
        <v/>
      </c>
    </row>
    <row r="274" spans="2:2">
      <c r="B274" s="3" t="str">
        <f ca="1">IFERROR(__xludf.DUMMYFUNCTION("IF(ISBLANK(A274),"""",GOOGLETRANSLATE(A274,""en"",""fr""))"),"")</f>
        <v/>
      </c>
    </row>
    <row r="275" spans="2:2">
      <c r="B275" s="3" t="str">
        <f ca="1">IFERROR(__xludf.DUMMYFUNCTION("IF(ISBLANK(A275),"""",GOOGLETRANSLATE(A275,""en"",""fr""))"),"")</f>
        <v/>
      </c>
    </row>
    <row r="276" spans="2:2">
      <c r="B276" s="3" t="str">
        <f ca="1">IFERROR(__xludf.DUMMYFUNCTION("IF(ISBLANK(A276),"""",GOOGLETRANSLATE(A276,""en"",""fr""))"),"")</f>
        <v/>
      </c>
    </row>
    <row r="277" spans="2:2">
      <c r="B277" s="3" t="str">
        <f ca="1">IFERROR(__xludf.DUMMYFUNCTION("IF(ISBLANK(A277),"""",GOOGLETRANSLATE(A277,""en"",""fr""))"),"")</f>
        <v/>
      </c>
    </row>
    <row r="278" spans="2:2">
      <c r="B278" s="3" t="str">
        <f ca="1">IFERROR(__xludf.DUMMYFUNCTION("IF(ISBLANK(A278),"""",GOOGLETRANSLATE(A278,""en"",""fr""))"),"")</f>
        <v/>
      </c>
    </row>
    <row r="279" spans="2:2">
      <c r="B279" s="3" t="str">
        <f ca="1">IFERROR(__xludf.DUMMYFUNCTION("IF(ISBLANK(A279),"""",GOOGLETRANSLATE(A279,""en"",""fr""))"),"")</f>
        <v/>
      </c>
    </row>
    <row r="280" spans="2:2">
      <c r="B280" s="3" t="str">
        <f ca="1">IFERROR(__xludf.DUMMYFUNCTION("IF(ISBLANK(A280),"""",GOOGLETRANSLATE(A280,""en"",""fr""))"),"")</f>
        <v/>
      </c>
    </row>
    <row r="281" spans="2:2">
      <c r="B281" s="3" t="str">
        <f ca="1">IFERROR(__xludf.DUMMYFUNCTION("IF(ISBLANK(A281),"""",GOOGLETRANSLATE(A281,""en"",""fr""))"),"")</f>
        <v/>
      </c>
    </row>
    <row r="282" spans="2:2">
      <c r="B282" s="3" t="str">
        <f ca="1">IFERROR(__xludf.DUMMYFUNCTION("IF(ISBLANK(A282),"""",GOOGLETRANSLATE(A282,""en"",""fr""))"),"")</f>
        <v/>
      </c>
    </row>
    <row r="283" spans="2:2">
      <c r="B283" s="3" t="str">
        <f ca="1">IFERROR(__xludf.DUMMYFUNCTION("IF(ISBLANK(A283),"""",GOOGLETRANSLATE(A283,""en"",""fr""))"),"")</f>
        <v/>
      </c>
    </row>
    <row r="284" spans="2:2">
      <c r="B284" s="3" t="str">
        <f ca="1">IFERROR(__xludf.DUMMYFUNCTION("IF(ISBLANK(A284),"""",GOOGLETRANSLATE(A284,""en"",""fr""))"),"")</f>
        <v/>
      </c>
    </row>
    <row r="285" spans="2:2">
      <c r="B285" s="3" t="str">
        <f ca="1">IFERROR(__xludf.DUMMYFUNCTION("IF(ISBLANK(A285),"""",GOOGLETRANSLATE(A285,""en"",""fr""))"),"")</f>
        <v/>
      </c>
    </row>
    <row r="286" spans="2:2">
      <c r="B286" s="3" t="str">
        <f ca="1">IFERROR(__xludf.DUMMYFUNCTION("IF(ISBLANK(A286),"""",GOOGLETRANSLATE(A286,""en"",""fr""))"),"")</f>
        <v/>
      </c>
    </row>
    <row r="287" spans="2:2">
      <c r="B287" s="3" t="str">
        <f ca="1">IFERROR(__xludf.DUMMYFUNCTION("IF(ISBLANK(A287),"""",GOOGLETRANSLATE(A287,""en"",""fr""))"),"")</f>
        <v/>
      </c>
    </row>
    <row r="288" spans="2:2">
      <c r="B288" s="3" t="str">
        <f ca="1">IFERROR(__xludf.DUMMYFUNCTION("IF(ISBLANK(A288),"""",GOOGLETRANSLATE(A288,""en"",""fr""))"),"")</f>
        <v/>
      </c>
    </row>
    <row r="289" spans="2:2">
      <c r="B289" s="3" t="str">
        <f ca="1">IFERROR(__xludf.DUMMYFUNCTION("IF(ISBLANK(A289),"""",GOOGLETRANSLATE(A289,""en"",""fr""))"),"")</f>
        <v/>
      </c>
    </row>
    <row r="290" spans="2:2">
      <c r="B290" s="3" t="str">
        <f ca="1">IFERROR(__xludf.DUMMYFUNCTION("IF(ISBLANK(A290),"""",GOOGLETRANSLATE(A290,""en"",""fr""))"),"")</f>
        <v/>
      </c>
    </row>
    <row r="291" spans="2:2">
      <c r="B291" s="3" t="str">
        <f ca="1">IFERROR(__xludf.DUMMYFUNCTION("IF(ISBLANK(A291),"""",GOOGLETRANSLATE(A291,""en"",""fr""))"),"")</f>
        <v/>
      </c>
    </row>
    <row r="292" spans="2:2">
      <c r="B292" s="3" t="str">
        <f ca="1">IFERROR(__xludf.DUMMYFUNCTION("IF(ISBLANK(A292),"""",GOOGLETRANSLATE(A292,""en"",""fr""))"),"")</f>
        <v/>
      </c>
    </row>
    <row r="293" spans="2:2">
      <c r="B293" s="3" t="str">
        <f ca="1">IFERROR(__xludf.DUMMYFUNCTION("IF(ISBLANK(A293),"""",GOOGLETRANSLATE(A293,""en"",""fr""))"),"")</f>
        <v/>
      </c>
    </row>
    <row r="294" spans="2:2">
      <c r="B294" s="3" t="str">
        <f ca="1">IFERROR(__xludf.DUMMYFUNCTION("IF(ISBLANK(A294),"""",GOOGLETRANSLATE(A294,""en"",""fr""))"),"")</f>
        <v/>
      </c>
    </row>
    <row r="295" spans="2:2">
      <c r="B295" s="3" t="str">
        <f ca="1">IFERROR(__xludf.DUMMYFUNCTION("IF(ISBLANK(A295),"""",GOOGLETRANSLATE(A295,""en"",""fr""))"),"")</f>
        <v/>
      </c>
    </row>
    <row r="296" spans="2:2">
      <c r="B296" s="3" t="str">
        <f ca="1">IFERROR(__xludf.DUMMYFUNCTION("IF(ISBLANK(A296),"""",GOOGLETRANSLATE(A296,""en"",""fr""))"),"")</f>
        <v/>
      </c>
    </row>
    <row r="297" spans="2:2">
      <c r="B297" s="3" t="str">
        <f ca="1">IFERROR(__xludf.DUMMYFUNCTION("IF(ISBLANK(A297),"""",GOOGLETRANSLATE(A297,""en"",""fr""))"),"")</f>
        <v/>
      </c>
    </row>
    <row r="298" spans="2:2">
      <c r="B298" s="3" t="str">
        <f ca="1">IFERROR(__xludf.DUMMYFUNCTION("IF(ISBLANK(A298),"""",GOOGLETRANSLATE(A298,""en"",""fr""))"),"")</f>
        <v/>
      </c>
    </row>
    <row r="299" spans="2:2">
      <c r="B299" s="3" t="str">
        <f ca="1">IFERROR(__xludf.DUMMYFUNCTION("IF(ISBLANK(A299),"""",GOOGLETRANSLATE(A299,""en"",""fr""))"),"")</f>
        <v/>
      </c>
    </row>
    <row r="300" spans="2:2">
      <c r="B300" s="3" t="str">
        <f ca="1">IFERROR(__xludf.DUMMYFUNCTION("IF(ISBLANK(A300),"""",GOOGLETRANSLATE(A300,""en"",""fr""))"),"")</f>
        <v/>
      </c>
    </row>
    <row r="301" spans="2:2">
      <c r="B301" s="3" t="str">
        <f ca="1">IFERROR(__xludf.DUMMYFUNCTION("IF(ISBLANK(A301),"""",GOOGLETRANSLATE(A301,""en"",""fr""))"),"")</f>
        <v/>
      </c>
    </row>
    <row r="302" spans="2:2">
      <c r="B302" s="3" t="str">
        <f ca="1">IFERROR(__xludf.DUMMYFUNCTION("IF(ISBLANK(A302),"""",GOOGLETRANSLATE(A302,""en"",""fr""))"),"")</f>
        <v/>
      </c>
    </row>
    <row r="303" spans="2:2">
      <c r="B303" s="3" t="str">
        <f ca="1">IFERROR(__xludf.DUMMYFUNCTION("IF(ISBLANK(A303),"""",GOOGLETRANSLATE(A303,""en"",""fr""))"),"")</f>
        <v/>
      </c>
    </row>
    <row r="304" spans="2:2">
      <c r="B304" s="3" t="str">
        <f ca="1">IFERROR(__xludf.DUMMYFUNCTION("IF(ISBLANK(A304),"""",GOOGLETRANSLATE(A304,""en"",""fr""))"),"")</f>
        <v/>
      </c>
    </row>
    <row r="305" spans="2:2">
      <c r="B305" s="3" t="str">
        <f ca="1">IFERROR(__xludf.DUMMYFUNCTION("IF(ISBLANK(A305),"""",GOOGLETRANSLATE(A305,""en"",""fr""))"),"")</f>
        <v/>
      </c>
    </row>
    <row r="306" spans="2:2">
      <c r="B306" s="3" t="str">
        <f ca="1">IFERROR(__xludf.DUMMYFUNCTION("IF(ISBLANK(A306),"""",GOOGLETRANSLATE(A306,""en"",""fr""))"),"")</f>
        <v/>
      </c>
    </row>
    <row r="307" spans="2:2">
      <c r="B307" s="3" t="str">
        <f ca="1">IFERROR(__xludf.DUMMYFUNCTION("IF(ISBLANK(A307),"""",GOOGLETRANSLATE(A307,""en"",""fr""))"),"")</f>
        <v/>
      </c>
    </row>
    <row r="308" spans="2:2">
      <c r="B308" s="3" t="str">
        <f ca="1">IFERROR(__xludf.DUMMYFUNCTION("IF(ISBLANK(A308),"""",GOOGLETRANSLATE(A308,""en"",""fr""))"),"")</f>
        <v/>
      </c>
    </row>
    <row r="309" spans="2:2">
      <c r="B309" s="3" t="str">
        <f ca="1">IFERROR(__xludf.DUMMYFUNCTION("IF(ISBLANK(A309),"""",GOOGLETRANSLATE(A309,""en"",""fr""))"),"")</f>
        <v/>
      </c>
    </row>
    <row r="310" spans="2:2">
      <c r="B310" s="3" t="str">
        <f ca="1">IFERROR(__xludf.DUMMYFUNCTION("IF(ISBLANK(A310),"""",GOOGLETRANSLATE(A310,""en"",""fr""))"),"")</f>
        <v/>
      </c>
    </row>
    <row r="311" spans="2:2">
      <c r="B311" s="3" t="str">
        <f ca="1">IFERROR(__xludf.DUMMYFUNCTION("IF(ISBLANK(A311),"""",GOOGLETRANSLATE(A311,""en"",""fr""))"),"")</f>
        <v/>
      </c>
    </row>
    <row r="312" spans="2:2">
      <c r="B312" s="3" t="str">
        <f ca="1">IFERROR(__xludf.DUMMYFUNCTION("IF(ISBLANK(A312),"""",GOOGLETRANSLATE(A312,""en"",""fr""))"),"")</f>
        <v/>
      </c>
    </row>
    <row r="313" spans="2:2">
      <c r="B313" s="3" t="str">
        <f ca="1">IFERROR(__xludf.DUMMYFUNCTION("IF(ISBLANK(A313),"""",GOOGLETRANSLATE(A313,""en"",""fr""))"),"")</f>
        <v/>
      </c>
    </row>
    <row r="314" spans="2:2">
      <c r="B314" s="3" t="str">
        <f ca="1">IFERROR(__xludf.DUMMYFUNCTION("IF(ISBLANK(A314),"""",GOOGLETRANSLATE(A314,""en"",""fr""))"),"")</f>
        <v/>
      </c>
    </row>
    <row r="315" spans="2:2">
      <c r="B315" s="3" t="str">
        <f ca="1">IFERROR(__xludf.DUMMYFUNCTION("IF(ISBLANK(A315),"""",GOOGLETRANSLATE(A315,""en"",""fr""))"),"")</f>
        <v/>
      </c>
    </row>
    <row r="316" spans="2:2">
      <c r="B316" s="3" t="str">
        <f ca="1">IFERROR(__xludf.DUMMYFUNCTION("IF(ISBLANK(A316),"""",GOOGLETRANSLATE(A316,""en"",""fr""))"),"")</f>
        <v/>
      </c>
    </row>
    <row r="317" spans="2:2">
      <c r="B317" s="3" t="str">
        <f ca="1">IFERROR(__xludf.DUMMYFUNCTION("IF(ISBLANK(A317),"""",GOOGLETRANSLATE(A317,""en"",""fr""))"),"")</f>
        <v/>
      </c>
    </row>
    <row r="318" spans="2:2">
      <c r="B318" s="3" t="str">
        <f ca="1">IFERROR(__xludf.DUMMYFUNCTION("IF(ISBLANK(A318),"""",GOOGLETRANSLATE(A318,""en"",""fr""))"),"")</f>
        <v/>
      </c>
    </row>
    <row r="319" spans="2:2">
      <c r="B319" s="3" t="str">
        <f ca="1">IFERROR(__xludf.DUMMYFUNCTION("IF(ISBLANK(A319),"""",GOOGLETRANSLATE(A319,""en"",""fr""))"),"")</f>
        <v/>
      </c>
    </row>
    <row r="320" spans="2:2">
      <c r="B320" s="3" t="str">
        <f ca="1">IFERROR(__xludf.DUMMYFUNCTION("IF(ISBLANK(A320),"""",GOOGLETRANSLATE(A320,""en"",""fr""))"),"")</f>
        <v/>
      </c>
    </row>
    <row r="321" spans="2:2">
      <c r="B321" s="3" t="str">
        <f ca="1">IFERROR(__xludf.DUMMYFUNCTION("IF(ISBLANK(A321),"""",GOOGLETRANSLATE(A321,""en"",""fr""))"),"")</f>
        <v/>
      </c>
    </row>
    <row r="322" spans="2:2">
      <c r="B322" s="3" t="str">
        <f ca="1">IFERROR(__xludf.DUMMYFUNCTION("IF(ISBLANK(A322),"""",GOOGLETRANSLATE(A322,""en"",""fr""))"),"")</f>
        <v/>
      </c>
    </row>
    <row r="323" spans="2:2">
      <c r="B323" s="3" t="str">
        <f ca="1">IFERROR(__xludf.DUMMYFUNCTION("IF(ISBLANK(A323),"""",GOOGLETRANSLATE(A323,""en"",""fr""))"),"")</f>
        <v/>
      </c>
    </row>
    <row r="324" spans="2:2">
      <c r="B324" s="3" t="str">
        <f ca="1">IFERROR(__xludf.DUMMYFUNCTION("IF(ISBLANK(A324),"""",GOOGLETRANSLATE(A324,""en"",""fr""))"),"")</f>
        <v/>
      </c>
    </row>
    <row r="325" spans="2:2">
      <c r="B325" s="3" t="str">
        <f ca="1">IFERROR(__xludf.DUMMYFUNCTION("IF(ISBLANK(A325),"""",GOOGLETRANSLATE(A325,""en"",""fr""))"),"")</f>
        <v/>
      </c>
    </row>
    <row r="326" spans="2:2">
      <c r="B326" s="3" t="str">
        <f ca="1">IFERROR(__xludf.DUMMYFUNCTION("IF(ISBLANK(A326),"""",GOOGLETRANSLATE(A326,""en"",""fr""))"),"")</f>
        <v/>
      </c>
    </row>
    <row r="327" spans="2:2">
      <c r="B327" s="3" t="str">
        <f ca="1">IFERROR(__xludf.DUMMYFUNCTION("IF(ISBLANK(A327),"""",GOOGLETRANSLATE(A327,""en"",""fr""))"),"")</f>
        <v/>
      </c>
    </row>
    <row r="328" spans="2:2">
      <c r="B328" s="3" t="str">
        <f ca="1">IFERROR(__xludf.DUMMYFUNCTION("IF(ISBLANK(A328),"""",GOOGLETRANSLATE(A328,""en"",""fr""))"),"")</f>
        <v/>
      </c>
    </row>
    <row r="329" spans="2:2">
      <c r="B329" s="3" t="str">
        <f ca="1">IFERROR(__xludf.DUMMYFUNCTION("IF(ISBLANK(A329),"""",GOOGLETRANSLATE(A329,""en"",""fr""))"),"")</f>
        <v/>
      </c>
    </row>
    <row r="330" spans="2:2">
      <c r="B330" s="3" t="str">
        <f ca="1">IFERROR(__xludf.DUMMYFUNCTION("IF(ISBLANK(A330),"""",GOOGLETRANSLATE(A330,""en"",""fr""))"),"")</f>
        <v/>
      </c>
    </row>
    <row r="331" spans="2:2">
      <c r="B331" s="3" t="str">
        <f ca="1">IFERROR(__xludf.DUMMYFUNCTION("IF(ISBLANK(A331),"""",GOOGLETRANSLATE(A331,""en"",""fr""))"),"")</f>
        <v/>
      </c>
    </row>
    <row r="332" spans="2:2">
      <c r="B332" s="3" t="str">
        <f ca="1">IFERROR(__xludf.DUMMYFUNCTION("IF(ISBLANK(A332),"""",GOOGLETRANSLATE(A332,""en"",""fr""))"),"")</f>
        <v/>
      </c>
    </row>
    <row r="333" spans="2:2">
      <c r="B333" s="3" t="str">
        <f ca="1">IFERROR(__xludf.DUMMYFUNCTION("IF(ISBLANK(A333),"""",GOOGLETRANSLATE(A333,""en"",""fr""))"),"")</f>
        <v/>
      </c>
    </row>
    <row r="334" spans="2:2">
      <c r="B334" s="3" t="str">
        <f ca="1">IFERROR(__xludf.DUMMYFUNCTION("IF(ISBLANK(A334),"""",GOOGLETRANSLATE(A334,""en"",""fr""))"),"")</f>
        <v/>
      </c>
    </row>
    <row r="335" spans="2:2">
      <c r="B335" s="3" t="str">
        <f ca="1">IFERROR(__xludf.DUMMYFUNCTION("IF(ISBLANK(A335),"""",GOOGLETRANSLATE(A335,""en"",""fr""))"),"")</f>
        <v/>
      </c>
    </row>
    <row r="336" spans="2:2">
      <c r="B336" s="3" t="str">
        <f ca="1">IFERROR(__xludf.DUMMYFUNCTION("IF(ISBLANK(A336),"""",GOOGLETRANSLATE(A336,""en"",""fr""))"),"")</f>
        <v/>
      </c>
    </row>
    <row r="337" spans="2:2">
      <c r="B337" s="3" t="str">
        <f ca="1">IFERROR(__xludf.DUMMYFUNCTION("IF(ISBLANK(A337),"""",GOOGLETRANSLATE(A337,""en"",""fr""))"),"")</f>
        <v/>
      </c>
    </row>
    <row r="338" spans="2:2">
      <c r="B338" s="3" t="str">
        <f ca="1">IFERROR(__xludf.DUMMYFUNCTION("IF(ISBLANK(A338),"""",GOOGLETRANSLATE(A338,""en"",""fr""))"),"")</f>
        <v/>
      </c>
    </row>
    <row r="339" spans="2:2">
      <c r="B339" s="3" t="str">
        <f ca="1">IFERROR(__xludf.DUMMYFUNCTION("IF(ISBLANK(A339),"""",GOOGLETRANSLATE(A339,""en"",""fr""))"),"")</f>
        <v/>
      </c>
    </row>
    <row r="340" spans="2:2">
      <c r="B340" s="3" t="str">
        <f ca="1">IFERROR(__xludf.DUMMYFUNCTION("IF(ISBLANK(A340),"""",GOOGLETRANSLATE(A340,""en"",""fr""))"),"")</f>
        <v/>
      </c>
    </row>
    <row r="341" spans="2:2">
      <c r="B341" s="3" t="str">
        <f ca="1">IFERROR(__xludf.DUMMYFUNCTION("IF(ISBLANK(A341),"""",GOOGLETRANSLATE(A341,""en"",""fr""))"),"")</f>
        <v/>
      </c>
    </row>
    <row r="342" spans="2:2">
      <c r="B342" s="3" t="str">
        <f ca="1">IFERROR(__xludf.DUMMYFUNCTION("IF(ISBLANK(A342),"""",GOOGLETRANSLATE(A342,""en"",""fr""))"),"")</f>
        <v/>
      </c>
    </row>
    <row r="343" spans="2:2">
      <c r="B343" s="3" t="str">
        <f ca="1">IFERROR(__xludf.DUMMYFUNCTION("IF(ISBLANK(A343),"""",GOOGLETRANSLATE(A343,""en"",""fr""))"),"")</f>
        <v/>
      </c>
    </row>
    <row r="344" spans="2:2">
      <c r="B344" s="3" t="str">
        <f ca="1">IFERROR(__xludf.DUMMYFUNCTION("IF(ISBLANK(A344),"""",GOOGLETRANSLATE(A344,""en"",""fr""))"),"")</f>
        <v/>
      </c>
    </row>
    <row r="345" spans="2:2">
      <c r="B345" s="3" t="str">
        <f ca="1">IFERROR(__xludf.DUMMYFUNCTION("IF(ISBLANK(A345),"""",GOOGLETRANSLATE(A345,""en"",""fr""))"),"")</f>
        <v/>
      </c>
    </row>
    <row r="346" spans="2:2">
      <c r="B346" s="3" t="str">
        <f ca="1">IFERROR(__xludf.DUMMYFUNCTION("IF(ISBLANK(A346),"""",GOOGLETRANSLATE(A346,""en"",""fr""))"),"")</f>
        <v/>
      </c>
    </row>
    <row r="347" spans="2:2">
      <c r="B347" s="3" t="str">
        <f ca="1">IFERROR(__xludf.DUMMYFUNCTION("IF(ISBLANK(A347),"""",GOOGLETRANSLATE(A347,""en"",""fr""))"),"")</f>
        <v/>
      </c>
    </row>
    <row r="348" spans="2:2">
      <c r="B348" s="3" t="str">
        <f ca="1">IFERROR(__xludf.DUMMYFUNCTION("IF(ISBLANK(A348),"""",GOOGLETRANSLATE(A348,""en"",""fr""))"),"")</f>
        <v/>
      </c>
    </row>
    <row r="349" spans="2:2">
      <c r="B349" s="3" t="str">
        <f ca="1">IFERROR(__xludf.DUMMYFUNCTION("IF(ISBLANK(A349),"""",GOOGLETRANSLATE(A349,""en"",""fr""))"),"")</f>
        <v/>
      </c>
    </row>
    <row r="350" spans="2:2">
      <c r="B350" s="3" t="str">
        <f ca="1">IFERROR(__xludf.DUMMYFUNCTION("IF(ISBLANK(A350),"""",GOOGLETRANSLATE(A350,""en"",""fr""))"),"")</f>
        <v/>
      </c>
    </row>
    <row r="351" spans="2:2">
      <c r="B351" s="3" t="str">
        <f ca="1">IFERROR(__xludf.DUMMYFUNCTION("IF(ISBLANK(A351),"""",GOOGLETRANSLATE(A351,""en"",""fr""))"),"")</f>
        <v/>
      </c>
    </row>
    <row r="352" spans="2:2">
      <c r="B352" s="3" t="str">
        <f ca="1">IFERROR(__xludf.DUMMYFUNCTION("IF(ISBLANK(A352),"""",GOOGLETRANSLATE(A352,""en"",""fr""))"),"")</f>
        <v/>
      </c>
    </row>
    <row r="353" spans="2:2">
      <c r="B353" s="3" t="str">
        <f ca="1">IFERROR(__xludf.DUMMYFUNCTION("IF(ISBLANK(A353),"""",GOOGLETRANSLATE(A353,""en"",""fr""))"),"")</f>
        <v/>
      </c>
    </row>
    <row r="354" spans="2:2">
      <c r="B354" s="3" t="str">
        <f ca="1">IFERROR(__xludf.DUMMYFUNCTION("IF(ISBLANK(A354),"""",GOOGLETRANSLATE(A354,""en"",""fr""))"),"")</f>
        <v/>
      </c>
    </row>
    <row r="355" spans="2:2">
      <c r="B355" s="3" t="str">
        <f ca="1">IFERROR(__xludf.DUMMYFUNCTION("IF(ISBLANK(A355),"""",GOOGLETRANSLATE(A355,""en"",""fr""))"),"")</f>
        <v/>
      </c>
    </row>
    <row r="356" spans="2:2">
      <c r="B356" s="3" t="str">
        <f ca="1">IFERROR(__xludf.DUMMYFUNCTION("IF(ISBLANK(A356),"""",GOOGLETRANSLATE(A356,""en"",""fr""))"),"")</f>
        <v/>
      </c>
    </row>
    <row r="357" spans="2:2">
      <c r="B357" s="3" t="str">
        <f ca="1">IFERROR(__xludf.DUMMYFUNCTION("IF(ISBLANK(A357),"""",GOOGLETRANSLATE(A357,""en"",""fr""))"),"")</f>
        <v/>
      </c>
    </row>
    <row r="358" spans="2:2">
      <c r="B358" s="3" t="str">
        <f ca="1">IFERROR(__xludf.DUMMYFUNCTION("IF(ISBLANK(A358),"""",GOOGLETRANSLATE(A358,""en"",""fr""))"),"")</f>
        <v/>
      </c>
    </row>
    <row r="359" spans="2:2">
      <c r="B359" s="3" t="str">
        <f ca="1">IFERROR(__xludf.DUMMYFUNCTION("IF(ISBLANK(A359),"""",GOOGLETRANSLATE(A359,""en"",""fr""))"),"")</f>
        <v/>
      </c>
    </row>
    <row r="360" spans="2:2">
      <c r="B360" s="3" t="str">
        <f ca="1">IFERROR(__xludf.DUMMYFUNCTION("IF(ISBLANK(A360),"""",GOOGLETRANSLATE(A360,""en"",""fr""))"),"")</f>
        <v/>
      </c>
    </row>
    <row r="361" spans="2:2">
      <c r="B361" s="3" t="str">
        <f ca="1">IFERROR(__xludf.DUMMYFUNCTION("IF(ISBLANK(A361),"""",GOOGLETRANSLATE(A361,""en"",""fr""))"),"")</f>
        <v/>
      </c>
    </row>
    <row r="362" spans="2:2">
      <c r="B362" s="3" t="str">
        <f ca="1">IFERROR(__xludf.DUMMYFUNCTION("IF(ISBLANK(A362),"""",GOOGLETRANSLATE(A362,""en"",""fr""))"),"")</f>
        <v/>
      </c>
    </row>
    <row r="363" spans="2:2">
      <c r="B363" s="3" t="str">
        <f ca="1">IFERROR(__xludf.DUMMYFUNCTION("IF(ISBLANK(A363),"""",GOOGLETRANSLATE(A363,""en"",""fr""))"),"")</f>
        <v/>
      </c>
    </row>
    <row r="364" spans="2:2">
      <c r="B364" s="3" t="str">
        <f ca="1">IFERROR(__xludf.DUMMYFUNCTION("IF(ISBLANK(A364),"""",GOOGLETRANSLATE(A364,""en"",""fr""))"),"")</f>
        <v/>
      </c>
    </row>
    <row r="365" spans="2:2">
      <c r="B365" s="3" t="str">
        <f ca="1">IFERROR(__xludf.DUMMYFUNCTION("IF(ISBLANK(A365),"""",GOOGLETRANSLATE(A365,""en"",""fr""))"),"")</f>
        <v/>
      </c>
    </row>
    <row r="366" spans="2:2">
      <c r="B366" s="3" t="str">
        <f ca="1">IFERROR(__xludf.DUMMYFUNCTION("IF(ISBLANK(A366),"""",GOOGLETRANSLATE(A366,""en"",""fr""))"),"")</f>
        <v/>
      </c>
    </row>
    <row r="367" spans="2:2">
      <c r="B367" s="3" t="str">
        <f ca="1">IFERROR(__xludf.DUMMYFUNCTION("IF(ISBLANK(A367),"""",GOOGLETRANSLATE(A367,""en"",""fr""))"),"")</f>
        <v/>
      </c>
    </row>
    <row r="368" spans="2:2">
      <c r="B368" s="3" t="str">
        <f ca="1">IFERROR(__xludf.DUMMYFUNCTION("IF(ISBLANK(A368),"""",GOOGLETRANSLATE(A368,""en"",""fr""))"),"")</f>
        <v/>
      </c>
    </row>
    <row r="369" spans="2:2">
      <c r="B369" s="3" t="str">
        <f ca="1">IFERROR(__xludf.DUMMYFUNCTION("IF(ISBLANK(A369),"""",GOOGLETRANSLATE(A369,""en"",""fr""))"),"")</f>
        <v/>
      </c>
    </row>
    <row r="370" spans="2:2">
      <c r="B370" s="3" t="str">
        <f ca="1">IFERROR(__xludf.DUMMYFUNCTION("IF(ISBLANK(A370),"""",GOOGLETRANSLATE(A370,""en"",""fr""))"),"")</f>
        <v/>
      </c>
    </row>
    <row r="371" spans="2:2">
      <c r="B371" s="3" t="str">
        <f ca="1">IFERROR(__xludf.DUMMYFUNCTION("IF(ISBLANK(A371),"""",GOOGLETRANSLATE(A371,""en"",""fr""))"),"")</f>
        <v/>
      </c>
    </row>
    <row r="372" spans="2:2">
      <c r="B372" s="3" t="str">
        <f ca="1">IFERROR(__xludf.DUMMYFUNCTION("IF(ISBLANK(A372),"""",GOOGLETRANSLATE(A372,""en"",""fr""))"),"")</f>
        <v/>
      </c>
    </row>
    <row r="373" spans="2:2">
      <c r="B373" s="3" t="str">
        <f ca="1">IFERROR(__xludf.DUMMYFUNCTION("IF(ISBLANK(A373),"""",GOOGLETRANSLATE(A373,""en"",""fr""))"),"")</f>
        <v/>
      </c>
    </row>
    <row r="374" spans="2:2">
      <c r="B374" s="3" t="str">
        <f ca="1">IFERROR(__xludf.DUMMYFUNCTION("IF(ISBLANK(A374),"""",GOOGLETRANSLATE(A374,""en"",""fr""))"),"")</f>
        <v/>
      </c>
    </row>
    <row r="375" spans="2:2">
      <c r="B375" s="3" t="str">
        <f ca="1">IFERROR(__xludf.DUMMYFUNCTION("IF(ISBLANK(A375),"""",GOOGLETRANSLATE(A375,""en"",""fr""))"),"")</f>
        <v/>
      </c>
    </row>
    <row r="376" spans="2:2">
      <c r="B376" s="3" t="str">
        <f ca="1">IFERROR(__xludf.DUMMYFUNCTION("IF(ISBLANK(A376),"""",GOOGLETRANSLATE(A376,""en"",""fr""))"),"")</f>
        <v/>
      </c>
    </row>
    <row r="377" spans="2:2">
      <c r="B377" s="3" t="str">
        <f ca="1">IFERROR(__xludf.DUMMYFUNCTION("IF(ISBLANK(A377),"""",GOOGLETRANSLATE(A377,""en"",""fr""))"),"")</f>
        <v/>
      </c>
    </row>
    <row r="378" spans="2:2">
      <c r="B378" s="3" t="str">
        <f ca="1">IFERROR(__xludf.DUMMYFUNCTION("IF(ISBLANK(A378),"""",GOOGLETRANSLATE(A378,""en"",""fr""))"),"")</f>
        <v/>
      </c>
    </row>
    <row r="379" spans="2:2">
      <c r="B379" s="3" t="str">
        <f ca="1">IFERROR(__xludf.DUMMYFUNCTION("IF(ISBLANK(A379),"""",GOOGLETRANSLATE(A379,""en"",""fr""))"),"")</f>
        <v/>
      </c>
    </row>
    <row r="380" spans="2:2">
      <c r="B380" s="3" t="str">
        <f ca="1">IFERROR(__xludf.DUMMYFUNCTION("IF(ISBLANK(A380),"""",GOOGLETRANSLATE(A380,""en"",""fr""))"),"")</f>
        <v/>
      </c>
    </row>
    <row r="381" spans="2:2">
      <c r="B381" s="3" t="str">
        <f ca="1">IFERROR(__xludf.DUMMYFUNCTION("IF(ISBLANK(A381),"""",GOOGLETRANSLATE(A381,""en"",""fr""))"),"")</f>
        <v/>
      </c>
    </row>
    <row r="382" spans="2:2">
      <c r="B382" s="3" t="str">
        <f ca="1">IFERROR(__xludf.DUMMYFUNCTION("IF(ISBLANK(A382),"""",GOOGLETRANSLATE(A382,""en"",""fr""))"),"")</f>
        <v/>
      </c>
    </row>
    <row r="383" spans="2:2">
      <c r="B383" s="3" t="str">
        <f ca="1">IFERROR(__xludf.DUMMYFUNCTION("IF(ISBLANK(A383),"""",GOOGLETRANSLATE(A383,""en"",""fr""))"),"")</f>
        <v/>
      </c>
    </row>
    <row r="384" spans="2:2">
      <c r="B384" s="3" t="str">
        <f ca="1">IFERROR(__xludf.DUMMYFUNCTION("IF(ISBLANK(A384),"""",GOOGLETRANSLATE(A384,""en"",""fr""))"),"")</f>
        <v/>
      </c>
    </row>
    <row r="385" spans="2:2">
      <c r="B385" s="3" t="str">
        <f ca="1">IFERROR(__xludf.DUMMYFUNCTION("IF(ISBLANK(A385),"""",GOOGLETRANSLATE(A385,""en"",""fr""))"),"")</f>
        <v/>
      </c>
    </row>
    <row r="386" spans="2:2">
      <c r="B386" s="3" t="str">
        <f ca="1">IFERROR(__xludf.DUMMYFUNCTION("IF(ISBLANK(A386),"""",GOOGLETRANSLATE(A386,""en"",""fr""))"),"")</f>
        <v/>
      </c>
    </row>
    <row r="387" spans="2:2">
      <c r="B387" s="3" t="str">
        <f ca="1">IFERROR(__xludf.DUMMYFUNCTION("IF(ISBLANK(A387),"""",GOOGLETRANSLATE(A387,""en"",""fr""))"),"")</f>
        <v/>
      </c>
    </row>
    <row r="388" spans="2:2">
      <c r="B388" s="3" t="str">
        <f ca="1">IFERROR(__xludf.DUMMYFUNCTION("IF(ISBLANK(A388),"""",GOOGLETRANSLATE(A388,""en"",""fr""))"),"")</f>
        <v/>
      </c>
    </row>
    <row r="389" spans="2:2">
      <c r="B389" s="3" t="str">
        <f ca="1">IFERROR(__xludf.DUMMYFUNCTION("IF(ISBLANK(A389),"""",GOOGLETRANSLATE(A389,""en"",""fr""))"),"")</f>
        <v/>
      </c>
    </row>
    <row r="390" spans="2:2">
      <c r="B390" s="3" t="str">
        <f ca="1">IFERROR(__xludf.DUMMYFUNCTION("IF(ISBLANK(A390),"""",GOOGLETRANSLATE(A390,""en"",""fr""))"),"")</f>
        <v/>
      </c>
    </row>
    <row r="391" spans="2:2">
      <c r="B391" s="3" t="str">
        <f ca="1">IFERROR(__xludf.DUMMYFUNCTION("IF(ISBLANK(A391),"""",GOOGLETRANSLATE(A391,""en"",""fr""))"),"")</f>
        <v/>
      </c>
    </row>
    <row r="392" spans="2:2">
      <c r="B392" s="3" t="str">
        <f ca="1">IFERROR(__xludf.DUMMYFUNCTION("IF(ISBLANK(A392),"""",GOOGLETRANSLATE(A392,""en"",""fr""))"),"")</f>
        <v/>
      </c>
    </row>
    <row r="393" spans="2:2">
      <c r="B393" s="3" t="str">
        <f ca="1">IFERROR(__xludf.DUMMYFUNCTION("IF(ISBLANK(A393),"""",GOOGLETRANSLATE(A393,""en"",""fr""))"),"")</f>
        <v/>
      </c>
    </row>
    <row r="394" spans="2:2">
      <c r="B394" s="3" t="str">
        <f ca="1">IFERROR(__xludf.DUMMYFUNCTION("IF(ISBLANK(A394),"""",GOOGLETRANSLATE(A394,""en"",""fr""))"),"")</f>
        <v/>
      </c>
    </row>
    <row r="395" spans="2:2">
      <c r="B395" s="3" t="str">
        <f ca="1">IFERROR(__xludf.DUMMYFUNCTION("IF(ISBLANK(A395),"""",GOOGLETRANSLATE(A395,""en"",""fr""))"),"")</f>
        <v/>
      </c>
    </row>
    <row r="396" spans="2:2">
      <c r="B396" s="3" t="str">
        <f ca="1">IFERROR(__xludf.DUMMYFUNCTION("IF(ISBLANK(A396),"""",GOOGLETRANSLATE(A396,""en"",""fr""))"),"")</f>
        <v/>
      </c>
    </row>
    <row r="397" spans="2:2">
      <c r="B397" s="3" t="str">
        <f ca="1">IFERROR(__xludf.DUMMYFUNCTION("IF(ISBLANK(A397),"""",GOOGLETRANSLATE(A397,""en"",""fr""))"),"")</f>
        <v/>
      </c>
    </row>
    <row r="398" spans="2:2">
      <c r="B398" s="3" t="str">
        <f ca="1">IFERROR(__xludf.DUMMYFUNCTION("IF(ISBLANK(A398),"""",GOOGLETRANSLATE(A398,""en"",""fr""))"),"")</f>
        <v/>
      </c>
    </row>
    <row r="399" spans="2:2">
      <c r="B399" s="3" t="str">
        <f ca="1">IFERROR(__xludf.DUMMYFUNCTION("IF(ISBLANK(A399),"""",GOOGLETRANSLATE(A399,""en"",""fr""))"),"")</f>
        <v/>
      </c>
    </row>
    <row r="400" spans="2:2">
      <c r="B400" s="3" t="str">
        <f ca="1">IFERROR(__xludf.DUMMYFUNCTION("IF(ISBLANK(A400),"""",GOOGLETRANSLATE(A400,""en"",""fr""))"),"")</f>
        <v/>
      </c>
    </row>
    <row r="401" spans="2:2">
      <c r="B401" s="3" t="str">
        <f ca="1">IFERROR(__xludf.DUMMYFUNCTION("IF(ISBLANK(A401),"""",GOOGLETRANSLATE(A401,""en"",""fr""))"),"")</f>
        <v/>
      </c>
    </row>
    <row r="402" spans="2:2">
      <c r="B402" s="3" t="str">
        <f ca="1">IFERROR(__xludf.DUMMYFUNCTION("IF(ISBLANK(A402),"""",GOOGLETRANSLATE(A402,""en"",""fr""))"),"")</f>
        <v/>
      </c>
    </row>
    <row r="403" spans="2:2">
      <c r="B403" s="3" t="str">
        <f ca="1">IFERROR(__xludf.DUMMYFUNCTION("IF(ISBLANK(A403),"""",GOOGLETRANSLATE(A403,""en"",""fr""))"),"")</f>
        <v/>
      </c>
    </row>
    <row r="404" spans="2:2">
      <c r="B404" s="3" t="str">
        <f ca="1">IFERROR(__xludf.DUMMYFUNCTION("IF(ISBLANK(A404),"""",GOOGLETRANSLATE(A404,""en"",""fr""))"),"")</f>
        <v/>
      </c>
    </row>
    <row r="405" spans="2:2">
      <c r="B405" s="3" t="str">
        <f ca="1">IFERROR(__xludf.DUMMYFUNCTION("IF(ISBLANK(A405),"""",GOOGLETRANSLATE(A405,""en"",""fr""))"),"")</f>
        <v/>
      </c>
    </row>
    <row r="406" spans="2:2">
      <c r="B406" s="3" t="str">
        <f ca="1">IFERROR(__xludf.DUMMYFUNCTION("IF(ISBLANK(A406),"""",GOOGLETRANSLATE(A406,""en"",""fr""))"),"")</f>
        <v/>
      </c>
    </row>
    <row r="407" spans="2:2">
      <c r="B407" s="3" t="str">
        <f ca="1">IFERROR(__xludf.DUMMYFUNCTION("IF(ISBLANK(A407),"""",GOOGLETRANSLATE(A407,""en"",""fr""))"),"")</f>
        <v/>
      </c>
    </row>
    <row r="408" spans="2:2">
      <c r="B408" s="3" t="str">
        <f ca="1">IFERROR(__xludf.DUMMYFUNCTION("IF(ISBLANK(A408),"""",GOOGLETRANSLATE(A408,""en"",""fr""))"),"")</f>
        <v/>
      </c>
    </row>
    <row r="409" spans="2:2">
      <c r="B409" s="3" t="str">
        <f ca="1">IFERROR(__xludf.DUMMYFUNCTION("IF(ISBLANK(A409),"""",GOOGLETRANSLATE(A409,""en"",""fr""))"),"")</f>
        <v/>
      </c>
    </row>
    <row r="410" spans="2:2">
      <c r="B410" s="3" t="str">
        <f ca="1">IFERROR(__xludf.DUMMYFUNCTION("IF(ISBLANK(A410),"""",GOOGLETRANSLATE(A410,""en"",""fr""))"),"")</f>
        <v/>
      </c>
    </row>
    <row r="411" spans="2:2">
      <c r="B411" s="3" t="str">
        <f ca="1">IFERROR(__xludf.DUMMYFUNCTION("IF(ISBLANK(A411),"""",GOOGLETRANSLATE(A411,""en"",""fr""))"),"")</f>
        <v/>
      </c>
    </row>
    <row r="412" spans="2:2">
      <c r="B412" s="3" t="str">
        <f ca="1">IFERROR(__xludf.DUMMYFUNCTION("IF(ISBLANK(A412),"""",GOOGLETRANSLATE(A412,""en"",""fr""))"),"")</f>
        <v/>
      </c>
    </row>
    <row r="413" spans="2:2">
      <c r="B413" s="3" t="str">
        <f ca="1">IFERROR(__xludf.DUMMYFUNCTION("IF(ISBLANK(A413),"""",GOOGLETRANSLATE(A413,""en"",""fr""))"),"")</f>
        <v/>
      </c>
    </row>
    <row r="414" spans="2:2">
      <c r="B414" s="3" t="str">
        <f ca="1">IFERROR(__xludf.DUMMYFUNCTION("IF(ISBLANK(A414),"""",GOOGLETRANSLATE(A414,""en"",""fr""))"),"")</f>
        <v/>
      </c>
    </row>
    <row r="415" spans="2:2">
      <c r="B415" s="3" t="str">
        <f ca="1">IFERROR(__xludf.DUMMYFUNCTION("IF(ISBLANK(A415),"""",GOOGLETRANSLATE(A415,""en"",""fr""))"),"")</f>
        <v/>
      </c>
    </row>
    <row r="416" spans="2:2">
      <c r="B416" s="3" t="str">
        <f ca="1">IFERROR(__xludf.DUMMYFUNCTION("IF(ISBLANK(A416),"""",GOOGLETRANSLATE(A416,""en"",""fr""))"),"")</f>
        <v/>
      </c>
    </row>
    <row r="417" spans="2:2">
      <c r="B417" s="3" t="str">
        <f ca="1">IFERROR(__xludf.DUMMYFUNCTION("IF(ISBLANK(A417),"""",GOOGLETRANSLATE(A417,""en"",""fr""))"),"")</f>
        <v/>
      </c>
    </row>
    <row r="418" spans="2:2">
      <c r="B418" s="3" t="str">
        <f ca="1">IFERROR(__xludf.DUMMYFUNCTION("IF(ISBLANK(A418),"""",GOOGLETRANSLATE(A418,""en"",""fr""))"),"")</f>
        <v/>
      </c>
    </row>
    <row r="419" spans="2:2">
      <c r="B419" s="3" t="str">
        <f ca="1">IFERROR(__xludf.DUMMYFUNCTION("IF(ISBLANK(A419),"""",GOOGLETRANSLATE(A419,""en"",""fr""))"),"")</f>
        <v/>
      </c>
    </row>
    <row r="420" spans="2:2">
      <c r="B420" s="3" t="str">
        <f ca="1">IFERROR(__xludf.DUMMYFUNCTION("IF(ISBLANK(A420),"""",GOOGLETRANSLATE(A420,""en"",""fr""))"),"")</f>
        <v/>
      </c>
    </row>
    <row r="421" spans="2:2">
      <c r="B421" s="3" t="str">
        <f ca="1">IFERROR(__xludf.DUMMYFUNCTION("IF(ISBLANK(A421),"""",GOOGLETRANSLATE(A421,""en"",""fr""))"),"")</f>
        <v/>
      </c>
    </row>
    <row r="422" spans="2:2">
      <c r="B422" s="3" t="str">
        <f ca="1">IFERROR(__xludf.DUMMYFUNCTION("IF(ISBLANK(A422),"""",GOOGLETRANSLATE(A422,""en"",""fr""))"),"")</f>
        <v/>
      </c>
    </row>
    <row r="423" spans="2:2">
      <c r="B423" s="3" t="str">
        <f ca="1">IFERROR(__xludf.DUMMYFUNCTION("IF(ISBLANK(A423),"""",GOOGLETRANSLATE(A423,""en"",""fr""))"),"")</f>
        <v/>
      </c>
    </row>
    <row r="424" spans="2:2">
      <c r="B424" s="3" t="str">
        <f ca="1">IFERROR(__xludf.DUMMYFUNCTION("IF(ISBLANK(A424),"""",GOOGLETRANSLATE(A424,""en"",""fr""))"),"")</f>
        <v/>
      </c>
    </row>
    <row r="425" spans="2:2">
      <c r="B425" s="3" t="str">
        <f ca="1">IFERROR(__xludf.DUMMYFUNCTION("IF(ISBLANK(A425),"""",GOOGLETRANSLATE(A425,""en"",""fr""))"),"")</f>
        <v/>
      </c>
    </row>
    <row r="426" spans="2:2">
      <c r="B426" s="3" t="str">
        <f ca="1">IFERROR(__xludf.DUMMYFUNCTION("IF(ISBLANK(A426),"""",GOOGLETRANSLATE(A426,""en"",""fr""))"),"")</f>
        <v/>
      </c>
    </row>
    <row r="427" spans="2:2">
      <c r="B427" s="3" t="str">
        <f ca="1">IFERROR(__xludf.DUMMYFUNCTION("IF(ISBLANK(A427),"""",GOOGLETRANSLATE(A427,""en"",""fr""))"),"")</f>
        <v/>
      </c>
    </row>
    <row r="428" spans="2:2">
      <c r="B428" s="3" t="str">
        <f ca="1">IFERROR(__xludf.DUMMYFUNCTION("IF(ISBLANK(A428),"""",GOOGLETRANSLATE(A428,""en"",""fr""))"),"")</f>
        <v/>
      </c>
    </row>
    <row r="429" spans="2:2">
      <c r="B429" s="3" t="str">
        <f ca="1">IFERROR(__xludf.DUMMYFUNCTION("IF(ISBLANK(A429),"""",GOOGLETRANSLATE(A429,""en"",""fr""))"),"")</f>
        <v/>
      </c>
    </row>
    <row r="430" spans="2:2">
      <c r="B430" s="3" t="str">
        <f ca="1">IFERROR(__xludf.DUMMYFUNCTION("IF(ISBLANK(A430),"""",GOOGLETRANSLATE(A430,""en"",""fr""))"),"")</f>
        <v/>
      </c>
    </row>
    <row r="431" spans="2:2">
      <c r="B431" s="3" t="str">
        <f ca="1">IFERROR(__xludf.DUMMYFUNCTION("IF(ISBLANK(A431),"""",GOOGLETRANSLATE(A431,""en"",""fr""))"),"")</f>
        <v/>
      </c>
    </row>
    <row r="432" spans="2:2">
      <c r="B432" s="3" t="str">
        <f ca="1">IFERROR(__xludf.DUMMYFUNCTION("IF(ISBLANK(A432),"""",GOOGLETRANSLATE(A432,""en"",""fr""))"),"")</f>
        <v/>
      </c>
    </row>
    <row r="433" spans="2:2">
      <c r="B433" s="3" t="str">
        <f ca="1">IFERROR(__xludf.DUMMYFUNCTION("IF(ISBLANK(A433),"""",GOOGLETRANSLATE(A433,""en"",""fr""))"),"")</f>
        <v/>
      </c>
    </row>
    <row r="434" spans="2:2">
      <c r="B434" s="3" t="str">
        <f ca="1">IFERROR(__xludf.DUMMYFUNCTION("IF(ISBLANK(A434),"""",GOOGLETRANSLATE(A434,""en"",""fr""))"),"")</f>
        <v/>
      </c>
    </row>
    <row r="435" spans="2:2">
      <c r="B435" s="3" t="str">
        <f ca="1">IFERROR(__xludf.DUMMYFUNCTION("IF(ISBLANK(A435),"""",GOOGLETRANSLATE(A435,""en"",""fr""))"),"")</f>
        <v/>
      </c>
    </row>
    <row r="436" spans="2:2">
      <c r="B436" s="3" t="str">
        <f ca="1">IFERROR(__xludf.DUMMYFUNCTION("IF(ISBLANK(A436),"""",GOOGLETRANSLATE(A436,""en"",""fr""))"),"")</f>
        <v/>
      </c>
    </row>
    <row r="437" spans="2:2">
      <c r="B437" s="3" t="str">
        <f ca="1">IFERROR(__xludf.DUMMYFUNCTION("IF(ISBLANK(A437),"""",GOOGLETRANSLATE(A437,""en"",""fr""))"),"")</f>
        <v/>
      </c>
    </row>
    <row r="438" spans="2:2">
      <c r="B438" s="3" t="str">
        <f ca="1">IFERROR(__xludf.DUMMYFUNCTION("IF(ISBLANK(A438),"""",GOOGLETRANSLATE(A438,""en"",""fr""))"),"")</f>
        <v/>
      </c>
    </row>
    <row r="439" spans="2:2">
      <c r="B439" s="3" t="str">
        <f ca="1">IFERROR(__xludf.DUMMYFUNCTION("IF(ISBLANK(A439),"""",GOOGLETRANSLATE(A439,""en"",""fr""))"),"")</f>
        <v/>
      </c>
    </row>
    <row r="440" spans="2:2">
      <c r="B440" s="3" t="str">
        <f ca="1">IFERROR(__xludf.DUMMYFUNCTION("IF(ISBLANK(A440),"""",GOOGLETRANSLATE(A440,""en"",""fr""))"),"")</f>
        <v/>
      </c>
    </row>
    <row r="441" spans="2:2">
      <c r="B441" s="3" t="str">
        <f ca="1">IFERROR(__xludf.DUMMYFUNCTION("IF(ISBLANK(A441),"""",GOOGLETRANSLATE(A441,""en"",""fr""))"),"")</f>
        <v/>
      </c>
    </row>
    <row r="442" spans="2:2">
      <c r="B442" s="3" t="str">
        <f ca="1">IFERROR(__xludf.DUMMYFUNCTION("IF(ISBLANK(A442),"""",GOOGLETRANSLATE(A442,""en"",""fr""))"),"")</f>
        <v/>
      </c>
    </row>
    <row r="443" spans="2:2">
      <c r="B443" s="3" t="str">
        <f ca="1">IFERROR(__xludf.DUMMYFUNCTION("IF(ISBLANK(A443),"""",GOOGLETRANSLATE(A443,""en"",""fr""))"),"")</f>
        <v/>
      </c>
    </row>
    <row r="444" spans="2:2">
      <c r="B444" s="3" t="str">
        <f ca="1">IFERROR(__xludf.DUMMYFUNCTION("IF(ISBLANK(A444),"""",GOOGLETRANSLATE(A444,""en"",""fr""))"),"")</f>
        <v/>
      </c>
    </row>
    <row r="445" spans="2:2">
      <c r="B445" s="3" t="str">
        <f ca="1">IFERROR(__xludf.DUMMYFUNCTION("IF(ISBLANK(A445),"""",GOOGLETRANSLATE(A445,""en"",""fr""))"),"")</f>
        <v/>
      </c>
    </row>
    <row r="446" spans="2:2">
      <c r="B446" s="3" t="str">
        <f ca="1">IFERROR(__xludf.DUMMYFUNCTION("IF(ISBLANK(A446),"""",GOOGLETRANSLATE(A446,""en"",""fr""))"),"")</f>
        <v/>
      </c>
    </row>
    <row r="447" spans="2:2">
      <c r="B447" s="3" t="str">
        <f ca="1">IFERROR(__xludf.DUMMYFUNCTION("IF(ISBLANK(A447),"""",GOOGLETRANSLATE(A447,""en"",""fr""))"),"")</f>
        <v/>
      </c>
    </row>
    <row r="448" spans="2:2">
      <c r="B448" s="3" t="str">
        <f ca="1">IFERROR(__xludf.DUMMYFUNCTION("IF(ISBLANK(A448),"""",GOOGLETRANSLATE(A448,""en"",""fr""))"),"")</f>
        <v/>
      </c>
    </row>
    <row r="449" spans="2:2">
      <c r="B449" s="3" t="str">
        <f ca="1">IFERROR(__xludf.DUMMYFUNCTION("IF(ISBLANK(A449),"""",GOOGLETRANSLATE(A449,""en"",""fr""))"),"")</f>
        <v/>
      </c>
    </row>
    <row r="450" spans="2:2">
      <c r="B450" s="3" t="str">
        <f ca="1">IFERROR(__xludf.DUMMYFUNCTION("IF(ISBLANK(A450),"""",GOOGLETRANSLATE(A450,""en"",""fr""))"),"")</f>
        <v/>
      </c>
    </row>
    <row r="451" spans="2:2">
      <c r="B451" s="3" t="str">
        <f ca="1">IFERROR(__xludf.DUMMYFUNCTION("IF(ISBLANK(A451),"""",GOOGLETRANSLATE(A451,""en"",""fr""))"),"")</f>
        <v/>
      </c>
    </row>
    <row r="452" spans="2:2">
      <c r="B452" s="3" t="str">
        <f ca="1">IFERROR(__xludf.DUMMYFUNCTION("IF(ISBLANK(A452),"""",GOOGLETRANSLATE(A452,""en"",""fr""))"),"")</f>
        <v/>
      </c>
    </row>
    <row r="453" spans="2:2">
      <c r="B453" s="3" t="str">
        <f ca="1">IFERROR(__xludf.DUMMYFUNCTION("IF(ISBLANK(A453),"""",GOOGLETRANSLATE(A453,""en"",""fr""))"),"")</f>
        <v/>
      </c>
    </row>
    <row r="454" spans="2:2">
      <c r="B454" s="3" t="str">
        <f ca="1">IFERROR(__xludf.DUMMYFUNCTION("IF(ISBLANK(A454),"""",GOOGLETRANSLATE(A454,""en"",""fr""))"),"")</f>
        <v/>
      </c>
    </row>
    <row r="455" spans="2:2">
      <c r="B455" s="3" t="str">
        <f ca="1">IFERROR(__xludf.DUMMYFUNCTION("IF(ISBLANK(A455),"""",GOOGLETRANSLATE(A455,""en"",""fr""))"),"")</f>
        <v/>
      </c>
    </row>
    <row r="456" spans="2:2">
      <c r="B456" s="3" t="str">
        <f ca="1">IFERROR(__xludf.DUMMYFUNCTION("IF(ISBLANK(A456),"""",GOOGLETRANSLATE(A456,""en"",""fr""))"),"")</f>
        <v/>
      </c>
    </row>
    <row r="457" spans="2:2">
      <c r="B457" s="3" t="str">
        <f ca="1">IFERROR(__xludf.DUMMYFUNCTION("IF(ISBLANK(A457),"""",GOOGLETRANSLATE(A457,""en"",""fr""))"),"")</f>
        <v/>
      </c>
    </row>
    <row r="458" spans="2:2">
      <c r="B458" s="3" t="str">
        <f ca="1">IFERROR(__xludf.DUMMYFUNCTION("IF(ISBLANK(A458),"""",GOOGLETRANSLATE(A458,""en"",""fr""))"),"")</f>
        <v/>
      </c>
    </row>
    <row r="459" spans="2:2">
      <c r="B459" s="3" t="str">
        <f ca="1">IFERROR(__xludf.DUMMYFUNCTION("IF(ISBLANK(A459),"""",GOOGLETRANSLATE(A459,""en"",""fr""))"),"")</f>
        <v/>
      </c>
    </row>
    <row r="460" spans="2:2">
      <c r="B460" s="3" t="str">
        <f ca="1">IFERROR(__xludf.DUMMYFUNCTION("IF(ISBLANK(A460),"""",GOOGLETRANSLATE(A460,""en"",""fr""))"),"")</f>
        <v/>
      </c>
    </row>
    <row r="461" spans="2:2">
      <c r="B461" s="3" t="str">
        <f ca="1">IFERROR(__xludf.DUMMYFUNCTION("IF(ISBLANK(A461),"""",GOOGLETRANSLATE(A461,""en"",""fr""))"),"")</f>
        <v/>
      </c>
    </row>
    <row r="462" spans="2:2">
      <c r="B462" s="3" t="str">
        <f ca="1">IFERROR(__xludf.DUMMYFUNCTION("IF(ISBLANK(A462),"""",GOOGLETRANSLATE(A462,""en"",""fr""))"),"")</f>
        <v/>
      </c>
    </row>
    <row r="463" spans="2:2">
      <c r="B463" s="3" t="str">
        <f ca="1">IFERROR(__xludf.DUMMYFUNCTION("IF(ISBLANK(A463),"""",GOOGLETRANSLATE(A463,""en"",""fr""))"),"")</f>
        <v/>
      </c>
    </row>
    <row r="464" spans="2:2">
      <c r="B464" s="3" t="str">
        <f ca="1">IFERROR(__xludf.DUMMYFUNCTION("IF(ISBLANK(A464),"""",GOOGLETRANSLATE(A464,""en"",""fr""))"),"")</f>
        <v/>
      </c>
    </row>
    <row r="465" spans="2:2">
      <c r="B465" s="3" t="str">
        <f ca="1">IFERROR(__xludf.DUMMYFUNCTION("IF(ISBLANK(A465),"""",GOOGLETRANSLATE(A465,""en"",""fr""))"),"")</f>
        <v/>
      </c>
    </row>
    <row r="466" spans="2:2">
      <c r="B466" s="3" t="str">
        <f ca="1">IFERROR(__xludf.DUMMYFUNCTION("IF(ISBLANK(A466),"""",GOOGLETRANSLATE(A466,""en"",""fr""))"),"")</f>
        <v/>
      </c>
    </row>
    <row r="467" spans="2:2">
      <c r="B467" s="3" t="str">
        <f ca="1">IFERROR(__xludf.DUMMYFUNCTION("IF(ISBLANK(A467),"""",GOOGLETRANSLATE(A467,""en"",""fr""))"),"")</f>
        <v/>
      </c>
    </row>
    <row r="468" spans="2:2">
      <c r="B468" s="3" t="str">
        <f ca="1">IFERROR(__xludf.DUMMYFUNCTION("IF(ISBLANK(A468),"""",GOOGLETRANSLATE(A468,""en"",""fr""))"),"")</f>
        <v/>
      </c>
    </row>
    <row r="469" spans="2:2">
      <c r="B469" s="3" t="str">
        <f ca="1">IFERROR(__xludf.DUMMYFUNCTION("IF(ISBLANK(A469),"""",GOOGLETRANSLATE(A469,""en"",""fr""))"),"")</f>
        <v/>
      </c>
    </row>
    <row r="470" spans="2:2">
      <c r="B470" s="3" t="str">
        <f ca="1">IFERROR(__xludf.DUMMYFUNCTION("IF(ISBLANK(A470),"""",GOOGLETRANSLATE(A470,""en"",""fr""))"),"")</f>
        <v/>
      </c>
    </row>
    <row r="471" spans="2:2">
      <c r="B471" s="3" t="str">
        <f ca="1">IFERROR(__xludf.DUMMYFUNCTION("IF(ISBLANK(A471),"""",GOOGLETRANSLATE(A471,""en"",""fr""))"),"")</f>
        <v/>
      </c>
    </row>
    <row r="472" spans="2:2">
      <c r="B472" s="3" t="str">
        <f ca="1">IFERROR(__xludf.DUMMYFUNCTION("IF(ISBLANK(A472),"""",GOOGLETRANSLATE(A472,""en"",""fr""))"),"")</f>
        <v/>
      </c>
    </row>
    <row r="473" spans="2:2">
      <c r="B473" s="3" t="str">
        <f ca="1">IFERROR(__xludf.DUMMYFUNCTION("IF(ISBLANK(A473),"""",GOOGLETRANSLATE(A473,""en"",""fr""))"),"")</f>
        <v/>
      </c>
    </row>
    <row r="474" spans="2:2">
      <c r="B474" s="3" t="str">
        <f ca="1">IFERROR(__xludf.DUMMYFUNCTION("IF(ISBLANK(A474),"""",GOOGLETRANSLATE(A474,""en"",""fr""))"),"")</f>
        <v/>
      </c>
    </row>
    <row r="475" spans="2:2">
      <c r="B475" s="3" t="str">
        <f ca="1">IFERROR(__xludf.DUMMYFUNCTION("IF(ISBLANK(A475),"""",GOOGLETRANSLATE(A475,""en"",""fr""))"),"")</f>
        <v/>
      </c>
    </row>
    <row r="476" spans="2:2">
      <c r="B476" s="3" t="str">
        <f ca="1">IFERROR(__xludf.DUMMYFUNCTION("IF(ISBLANK(A476),"""",GOOGLETRANSLATE(A476,""en"",""fr""))"),"")</f>
        <v/>
      </c>
    </row>
    <row r="477" spans="2:2">
      <c r="B477" s="3" t="str">
        <f ca="1">IFERROR(__xludf.DUMMYFUNCTION("IF(ISBLANK(A477),"""",GOOGLETRANSLATE(A477,""en"",""fr""))"),"")</f>
        <v/>
      </c>
    </row>
    <row r="478" spans="2:2">
      <c r="B478" s="3" t="str">
        <f ca="1">IFERROR(__xludf.DUMMYFUNCTION("IF(ISBLANK(A478),"""",GOOGLETRANSLATE(A478,""en"",""fr""))"),"")</f>
        <v/>
      </c>
    </row>
    <row r="479" spans="2:2">
      <c r="B479" s="3" t="str">
        <f ca="1">IFERROR(__xludf.DUMMYFUNCTION("IF(ISBLANK(A479),"""",GOOGLETRANSLATE(A479,""en"",""fr""))"),"")</f>
        <v/>
      </c>
    </row>
    <row r="480" spans="2:2">
      <c r="B480" s="3" t="str">
        <f ca="1">IFERROR(__xludf.DUMMYFUNCTION("IF(ISBLANK(A480),"""",GOOGLETRANSLATE(A480,""en"",""fr""))"),"")</f>
        <v/>
      </c>
    </row>
    <row r="481" spans="2:2">
      <c r="B481" s="3" t="str">
        <f ca="1">IFERROR(__xludf.DUMMYFUNCTION("IF(ISBLANK(A481),"""",GOOGLETRANSLATE(A481,""en"",""fr""))"),"")</f>
        <v/>
      </c>
    </row>
    <row r="482" spans="2:2">
      <c r="B482" s="3" t="str">
        <f ca="1">IFERROR(__xludf.DUMMYFUNCTION("IF(ISBLANK(A482),"""",GOOGLETRANSLATE(A482,""en"",""fr""))"),"")</f>
        <v/>
      </c>
    </row>
    <row r="483" spans="2:2">
      <c r="B483" s="3" t="str">
        <f ca="1">IFERROR(__xludf.DUMMYFUNCTION("IF(ISBLANK(A483),"""",GOOGLETRANSLATE(A483,""en"",""fr""))"),"")</f>
        <v/>
      </c>
    </row>
    <row r="484" spans="2:2">
      <c r="B484" s="3" t="str">
        <f ca="1">IFERROR(__xludf.DUMMYFUNCTION("IF(ISBLANK(A484),"""",GOOGLETRANSLATE(A484,""en"",""fr""))"),"")</f>
        <v/>
      </c>
    </row>
    <row r="485" spans="2:2">
      <c r="B485" s="3" t="str">
        <f ca="1">IFERROR(__xludf.DUMMYFUNCTION("IF(ISBLANK(A485),"""",GOOGLETRANSLATE(A485,""en"",""fr""))"),"")</f>
        <v/>
      </c>
    </row>
    <row r="486" spans="2:2">
      <c r="B486" s="3" t="str">
        <f ca="1">IFERROR(__xludf.DUMMYFUNCTION("IF(ISBLANK(A486),"""",GOOGLETRANSLATE(A486,""en"",""fr""))"),"")</f>
        <v/>
      </c>
    </row>
    <row r="487" spans="2:2">
      <c r="B487" s="3" t="str">
        <f ca="1">IFERROR(__xludf.DUMMYFUNCTION("IF(ISBLANK(A487),"""",GOOGLETRANSLATE(A487,""en"",""fr""))"),"")</f>
        <v/>
      </c>
    </row>
    <row r="488" spans="2:2">
      <c r="B488" s="3" t="str">
        <f ca="1">IFERROR(__xludf.DUMMYFUNCTION("IF(ISBLANK(A488),"""",GOOGLETRANSLATE(A488,""en"",""fr""))"),"")</f>
        <v/>
      </c>
    </row>
    <row r="489" spans="2:2">
      <c r="B489" s="3" t="str">
        <f ca="1">IFERROR(__xludf.DUMMYFUNCTION("IF(ISBLANK(A489),"""",GOOGLETRANSLATE(A489,""en"",""fr""))"),"")</f>
        <v/>
      </c>
    </row>
    <row r="490" spans="2:2">
      <c r="B490" s="3" t="str">
        <f ca="1">IFERROR(__xludf.DUMMYFUNCTION("IF(ISBLANK(A490),"""",GOOGLETRANSLATE(A490,""en"",""fr""))"),"")</f>
        <v/>
      </c>
    </row>
    <row r="491" spans="2:2">
      <c r="B491" s="3" t="str">
        <f ca="1">IFERROR(__xludf.DUMMYFUNCTION("IF(ISBLANK(A491),"""",GOOGLETRANSLATE(A491,""en"",""fr""))"),"")</f>
        <v/>
      </c>
    </row>
    <row r="492" spans="2:2">
      <c r="B492" s="3" t="str">
        <f ca="1">IFERROR(__xludf.DUMMYFUNCTION("IF(ISBLANK(A492),"""",GOOGLETRANSLATE(A492,""en"",""fr""))"),"")</f>
        <v/>
      </c>
    </row>
    <row r="493" spans="2:2">
      <c r="B493" s="3" t="str">
        <f ca="1">IFERROR(__xludf.DUMMYFUNCTION("IF(ISBLANK(A493),"""",GOOGLETRANSLATE(A493,""en"",""fr""))"),"")</f>
        <v/>
      </c>
    </row>
    <row r="494" spans="2:2">
      <c r="B494" s="3" t="str">
        <f ca="1">IFERROR(__xludf.DUMMYFUNCTION("IF(ISBLANK(A494),"""",GOOGLETRANSLATE(A494,""en"",""fr""))"),"")</f>
        <v/>
      </c>
    </row>
    <row r="495" spans="2:2">
      <c r="B495" s="3" t="str">
        <f ca="1">IFERROR(__xludf.DUMMYFUNCTION("IF(ISBLANK(A495),"""",GOOGLETRANSLATE(A495,""en"",""fr""))"),"")</f>
        <v/>
      </c>
    </row>
    <row r="496" spans="2:2">
      <c r="B496" s="3" t="str">
        <f ca="1">IFERROR(__xludf.DUMMYFUNCTION("IF(ISBLANK(A496),"""",GOOGLETRANSLATE(A496,""en"",""fr""))"),"")</f>
        <v/>
      </c>
    </row>
    <row r="497" spans="2:2">
      <c r="B497" s="3" t="str">
        <f ca="1">IFERROR(__xludf.DUMMYFUNCTION("IF(ISBLANK(A497),"""",GOOGLETRANSLATE(A497,""en"",""fr""))"),"")</f>
        <v/>
      </c>
    </row>
    <row r="498" spans="2:2">
      <c r="B498" s="3" t="str">
        <f ca="1">IFERROR(__xludf.DUMMYFUNCTION("IF(ISBLANK(A498),"""",GOOGLETRANSLATE(A498,""en"",""fr""))"),"")</f>
        <v/>
      </c>
    </row>
    <row r="499" spans="2:2">
      <c r="B499" s="3" t="str">
        <f ca="1">IFERROR(__xludf.DUMMYFUNCTION("IF(ISBLANK(A499),"""",GOOGLETRANSLATE(A499,""en"",""fr""))"),"")</f>
        <v/>
      </c>
    </row>
    <row r="500" spans="2:2">
      <c r="B500" s="3" t="str">
        <f ca="1">IFERROR(__xludf.DUMMYFUNCTION("IF(ISBLANK(A500),"""",GOOGLETRANSLATE(A500,""en"",""fr""))"),"")</f>
        <v/>
      </c>
    </row>
    <row r="501" spans="2:2">
      <c r="B501" s="3" t="str">
        <f ca="1">IFERROR(__xludf.DUMMYFUNCTION("IF(ISBLANK(A501),"""",GOOGLETRANSLATE(A501,""en"",""fr""))"),"")</f>
        <v/>
      </c>
    </row>
    <row r="502" spans="2:2">
      <c r="B502" s="3" t="str">
        <f ca="1">IFERROR(__xludf.DUMMYFUNCTION("IF(ISBLANK(A502),"""",GOOGLETRANSLATE(A502,""en"",""fr""))"),"")</f>
        <v/>
      </c>
    </row>
    <row r="503" spans="2:2">
      <c r="B503" s="3" t="str">
        <f ca="1">IFERROR(__xludf.DUMMYFUNCTION("IF(ISBLANK(A503),"""",GOOGLETRANSLATE(A503,""en"",""fr""))"),"")</f>
        <v/>
      </c>
    </row>
    <row r="504" spans="2:2">
      <c r="B504" s="3" t="str">
        <f ca="1">IFERROR(__xludf.DUMMYFUNCTION("IF(ISBLANK(A504),"""",GOOGLETRANSLATE(A504,""en"",""fr""))"),"")</f>
        <v/>
      </c>
    </row>
    <row r="505" spans="2:2">
      <c r="B505" s="3" t="str">
        <f ca="1">IFERROR(__xludf.DUMMYFUNCTION("IF(ISBLANK(A505),"""",GOOGLETRANSLATE(A505,""en"",""fr""))"),"")</f>
        <v/>
      </c>
    </row>
    <row r="506" spans="2:2">
      <c r="B506" s="3" t="str">
        <f ca="1">IFERROR(__xludf.DUMMYFUNCTION("IF(ISBLANK(A506),"""",GOOGLETRANSLATE(A506,""en"",""fr""))"),"")</f>
        <v/>
      </c>
    </row>
    <row r="507" spans="2:2">
      <c r="B507" s="3" t="str">
        <f ca="1">IFERROR(__xludf.DUMMYFUNCTION("IF(ISBLANK(A507),"""",GOOGLETRANSLATE(A507,""en"",""fr""))"),"")</f>
        <v/>
      </c>
    </row>
    <row r="508" spans="2:2">
      <c r="B508" s="3" t="str">
        <f ca="1">IFERROR(__xludf.DUMMYFUNCTION("IF(ISBLANK(A508),"""",GOOGLETRANSLATE(A508,""en"",""fr""))"),"")</f>
        <v/>
      </c>
    </row>
    <row r="509" spans="2:2">
      <c r="B509" s="3" t="str">
        <f ca="1">IFERROR(__xludf.DUMMYFUNCTION("IF(ISBLANK(A509),"""",GOOGLETRANSLATE(A509,""en"",""fr""))"),"")</f>
        <v/>
      </c>
    </row>
    <row r="510" spans="2:2">
      <c r="B510" s="3" t="str">
        <f ca="1">IFERROR(__xludf.DUMMYFUNCTION("IF(ISBLANK(A510),"""",GOOGLETRANSLATE(A510,""en"",""fr""))"),"")</f>
        <v/>
      </c>
    </row>
    <row r="511" spans="2:2">
      <c r="B511" s="3" t="str">
        <f ca="1">IFERROR(__xludf.DUMMYFUNCTION("IF(ISBLANK(A511),"""",GOOGLETRANSLATE(A511,""en"",""fr""))"),"")</f>
        <v/>
      </c>
    </row>
    <row r="512" spans="2:2">
      <c r="B512" s="3" t="str">
        <f ca="1">IFERROR(__xludf.DUMMYFUNCTION("IF(ISBLANK(A512),"""",GOOGLETRANSLATE(A512,""en"",""fr""))"),"")</f>
        <v/>
      </c>
    </row>
    <row r="513" spans="2:2">
      <c r="B513" s="3" t="str">
        <f ca="1">IFERROR(__xludf.DUMMYFUNCTION("IF(ISBLANK(A513),"""",GOOGLETRANSLATE(A513,""en"",""fr""))"),"")</f>
        <v/>
      </c>
    </row>
    <row r="514" spans="2:2">
      <c r="B514" s="3" t="str">
        <f ca="1">IFERROR(__xludf.DUMMYFUNCTION("IF(ISBLANK(A514),"""",GOOGLETRANSLATE(A514,""en"",""fr""))"),"")</f>
        <v/>
      </c>
    </row>
    <row r="515" spans="2:2">
      <c r="B515" s="3" t="str">
        <f ca="1">IFERROR(__xludf.DUMMYFUNCTION("IF(ISBLANK(A515),"""",GOOGLETRANSLATE(A515,""en"",""fr""))"),"")</f>
        <v/>
      </c>
    </row>
    <row r="516" spans="2:2">
      <c r="B516" s="3" t="str">
        <f ca="1">IFERROR(__xludf.DUMMYFUNCTION("IF(ISBLANK(A516),"""",GOOGLETRANSLATE(A516,""en"",""fr""))"),"")</f>
        <v/>
      </c>
    </row>
    <row r="517" spans="2:2">
      <c r="B517" s="3" t="str">
        <f ca="1">IFERROR(__xludf.DUMMYFUNCTION("IF(ISBLANK(A517),"""",GOOGLETRANSLATE(A517,""en"",""fr""))"),"")</f>
        <v/>
      </c>
    </row>
    <row r="518" spans="2:2">
      <c r="B518" s="3" t="str">
        <f ca="1">IFERROR(__xludf.DUMMYFUNCTION("IF(ISBLANK(A518),"""",GOOGLETRANSLATE(A518,""en"",""fr""))"),"")</f>
        <v/>
      </c>
    </row>
    <row r="519" spans="2:2">
      <c r="B519" s="3" t="str">
        <f ca="1">IFERROR(__xludf.DUMMYFUNCTION("IF(ISBLANK(A519),"""",GOOGLETRANSLATE(A519,""en"",""fr""))"),"")</f>
        <v/>
      </c>
    </row>
    <row r="520" spans="2:2">
      <c r="B520" s="3" t="str">
        <f ca="1">IFERROR(__xludf.DUMMYFUNCTION("IF(ISBLANK(A520),"""",GOOGLETRANSLATE(A520,""en"",""fr""))"),"")</f>
        <v/>
      </c>
    </row>
    <row r="521" spans="2:2">
      <c r="B521" s="3" t="str">
        <f ca="1">IFERROR(__xludf.DUMMYFUNCTION("IF(ISBLANK(A521),"""",GOOGLETRANSLATE(A521,""en"",""fr""))"),"")</f>
        <v/>
      </c>
    </row>
    <row r="522" spans="2:2">
      <c r="B522" s="3" t="str">
        <f ca="1">IFERROR(__xludf.DUMMYFUNCTION("IF(ISBLANK(A522),"""",GOOGLETRANSLATE(A522,""en"",""fr""))"),"")</f>
        <v/>
      </c>
    </row>
    <row r="523" spans="2:2">
      <c r="B523" s="3" t="str">
        <f ca="1">IFERROR(__xludf.DUMMYFUNCTION("IF(ISBLANK(A523),"""",GOOGLETRANSLATE(A523,""en"",""fr""))"),"")</f>
        <v/>
      </c>
    </row>
    <row r="524" spans="2:2">
      <c r="B524" s="3" t="str">
        <f ca="1">IFERROR(__xludf.DUMMYFUNCTION("IF(ISBLANK(A524),"""",GOOGLETRANSLATE(A524,""en"",""fr""))"),"")</f>
        <v/>
      </c>
    </row>
    <row r="525" spans="2:2">
      <c r="B525" s="3" t="str">
        <f ca="1">IFERROR(__xludf.DUMMYFUNCTION("IF(ISBLANK(A525),"""",GOOGLETRANSLATE(A525,""en"",""fr""))"),"")</f>
        <v/>
      </c>
    </row>
    <row r="526" spans="2:2">
      <c r="B526" s="3" t="str">
        <f ca="1">IFERROR(__xludf.DUMMYFUNCTION("IF(ISBLANK(A526),"""",GOOGLETRANSLATE(A526,""en"",""fr""))"),"")</f>
        <v/>
      </c>
    </row>
    <row r="527" spans="2:2">
      <c r="B527" s="3" t="str">
        <f ca="1">IFERROR(__xludf.DUMMYFUNCTION("IF(ISBLANK(A527),"""",GOOGLETRANSLATE(A527,""en"",""fr""))"),"")</f>
        <v/>
      </c>
    </row>
    <row r="528" spans="2:2">
      <c r="B528" s="3" t="str">
        <f ca="1">IFERROR(__xludf.DUMMYFUNCTION("IF(ISBLANK(A528),"""",GOOGLETRANSLATE(A528,""en"",""fr""))"),"")</f>
        <v/>
      </c>
    </row>
    <row r="529" spans="2:2">
      <c r="B529" s="3" t="str">
        <f ca="1">IFERROR(__xludf.DUMMYFUNCTION("IF(ISBLANK(A529),"""",GOOGLETRANSLATE(A529,""en"",""fr""))"),"")</f>
        <v/>
      </c>
    </row>
    <row r="530" spans="2:2">
      <c r="B530" s="3" t="str">
        <f ca="1">IFERROR(__xludf.DUMMYFUNCTION("IF(ISBLANK(A530),"""",GOOGLETRANSLATE(A530,""en"",""fr""))"),"")</f>
        <v/>
      </c>
    </row>
    <row r="531" spans="2:2">
      <c r="B531" s="3" t="str">
        <f ca="1">IFERROR(__xludf.DUMMYFUNCTION("IF(ISBLANK(A531),"""",GOOGLETRANSLATE(A531,""en"",""fr""))"),"")</f>
        <v/>
      </c>
    </row>
    <row r="532" spans="2:2">
      <c r="B532" s="3" t="str">
        <f ca="1">IFERROR(__xludf.DUMMYFUNCTION("IF(ISBLANK(A532),"""",GOOGLETRANSLATE(A532,""en"",""fr""))"),"")</f>
        <v/>
      </c>
    </row>
    <row r="533" spans="2:2">
      <c r="B533" s="3" t="str">
        <f ca="1">IFERROR(__xludf.DUMMYFUNCTION("IF(ISBLANK(A533),"""",GOOGLETRANSLATE(A533,""en"",""fr""))"),"")</f>
        <v/>
      </c>
    </row>
    <row r="534" spans="2:2">
      <c r="B534" s="3" t="str">
        <f ca="1">IFERROR(__xludf.DUMMYFUNCTION("IF(ISBLANK(A534),"""",GOOGLETRANSLATE(A534,""en"",""fr""))"),"")</f>
        <v/>
      </c>
    </row>
    <row r="535" spans="2:2">
      <c r="B535" s="3" t="str">
        <f ca="1">IFERROR(__xludf.DUMMYFUNCTION("IF(ISBLANK(A535),"""",GOOGLETRANSLATE(A535,""en"",""fr""))"),"")</f>
        <v/>
      </c>
    </row>
    <row r="536" spans="2:2">
      <c r="B536" s="3" t="str">
        <f ca="1">IFERROR(__xludf.DUMMYFUNCTION("IF(ISBLANK(A536),"""",GOOGLETRANSLATE(A536,""en"",""fr""))"),"")</f>
        <v/>
      </c>
    </row>
    <row r="537" spans="2:2">
      <c r="B537" s="3" t="str">
        <f ca="1">IFERROR(__xludf.DUMMYFUNCTION("IF(ISBLANK(A537),"""",GOOGLETRANSLATE(A537,""en"",""fr""))"),"")</f>
        <v/>
      </c>
    </row>
    <row r="538" spans="2:2">
      <c r="B538" s="3" t="str">
        <f ca="1">IFERROR(__xludf.DUMMYFUNCTION("IF(ISBLANK(A538),"""",GOOGLETRANSLATE(A538,""en"",""fr""))"),"")</f>
        <v/>
      </c>
    </row>
    <row r="539" spans="2:2">
      <c r="B539" s="3" t="str">
        <f ca="1">IFERROR(__xludf.DUMMYFUNCTION("IF(ISBLANK(A539),"""",GOOGLETRANSLATE(A539,""en"",""fr""))"),"")</f>
        <v/>
      </c>
    </row>
    <row r="540" spans="2:2">
      <c r="B540" s="3" t="str">
        <f ca="1">IFERROR(__xludf.DUMMYFUNCTION("IF(ISBLANK(A540),"""",GOOGLETRANSLATE(A540,""en"",""fr""))"),"")</f>
        <v/>
      </c>
    </row>
    <row r="541" spans="2:2">
      <c r="B541" s="3" t="str">
        <f ca="1">IFERROR(__xludf.DUMMYFUNCTION("IF(ISBLANK(A541),"""",GOOGLETRANSLATE(A541,""en"",""fr""))"),"")</f>
        <v/>
      </c>
    </row>
    <row r="542" spans="2:2">
      <c r="B542" s="3" t="str">
        <f ca="1">IFERROR(__xludf.DUMMYFUNCTION("IF(ISBLANK(A542),"""",GOOGLETRANSLATE(A542,""en"",""fr""))"),"")</f>
        <v/>
      </c>
    </row>
    <row r="543" spans="2:2">
      <c r="B543" s="3" t="str">
        <f ca="1">IFERROR(__xludf.DUMMYFUNCTION("IF(ISBLANK(A543),"""",GOOGLETRANSLATE(A543,""en"",""fr""))"),"")</f>
        <v/>
      </c>
    </row>
    <row r="544" spans="2:2">
      <c r="B544" s="3" t="str">
        <f ca="1">IFERROR(__xludf.DUMMYFUNCTION("IF(ISBLANK(A544),"""",GOOGLETRANSLATE(A544,""en"",""fr""))"),"")</f>
        <v/>
      </c>
    </row>
    <row r="545" spans="2:2">
      <c r="B545" s="3" t="str">
        <f ca="1">IFERROR(__xludf.DUMMYFUNCTION("IF(ISBLANK(A545),"""",GOOGLETRANSLATE(A545,""en"",""fr""))"),"")</f>
        <v/>
      </c>
    </row>
    <row r="546" spans="2:2">
      <c r="B546" s="3" t="str">
        <f ca="1">IFERROR(__xludf.DUMMYFUNCTION("IF(ISBLANK(A546),"""",GOOGLETRANSLATE(A546,""en"",""fr""))"),"")</f>
        <v/>
      </c>
    </row>
    <row r="547" spans="2:2">
      <c r="B547" s="3" t="str">
        <f ca="1">IFERROR(__xludf.DUMMYFUNCTION("IF(ISBLANK(A547),"""",GOOGLETRANSLATE(A547,""en"",""fr""))"),"")</f>
        <v/>
      </c>
    </row>
    <row r="548" spans="2:2">
      <c r="B548" s="3" t="str">
        <f ca="1">IFERROR(__xludf.DUMMYFUNCTION("IF(ISBLANK(A548),"""",GOOGLETRANSLATE(A548,""en"",""fr""))"),"")</f>
        <v/>
      </c>
    </row>
    <row r="549" spans="2:2">
      <c r="B549" s="3" t="str">
        <f ca="1">IFERROR(__xludf.DUMMYFUNCTION("IF(ISBLANK(A549),"""",GOOGLETRANSLATE(A549,""en"",""fr""))"),"")</f>
        <v/>
      </c>
    </row>
    <row r="550" spans="2:2">
      <c r="B550" s="3" t="str">
        <f ca="1">IFERROR(__xludf.DUMMYFUNCTION("IF(ISBLANK(A550),"""",GOOGLETRANSLATE(A550,""en"",""fr""))"),"")</f>
        <v/>
      </c>
    </row>
    <row r="551" spans="2:2">
      <c r="B551" s="3" t="str">
        <f ca="1">IFERROR(__xludf.DUMMYFUNCTION("IF(ISBLANK(A551),"""",GOOGLETRANSLATE(A551,""en"",""fr""))"),"")</f>
        <v/>
      </c>
    </row>
    <row r="552" spans="2:2">
      <c r="B552" s="3" t="str">
        <f ca="1">IFERROR(__xludf.DUMMYFUNCTION("IF(ISBLANK(A552),"""",GOOGLETRANSLATE(A552,""en"",""fr""))"),"")</f>
        <v/>
      </c>
    </row>
    <row r="553" spans="2:2">
      <c r="B553" s="3" t="str">
        <f ca="1">IFERROR(__xludf.DUMMYFUNCTION("IF(ISBLANK(A553),"""",GOOGLETRANSLATE(A553,""en"",""fr""))"),"")</f>
        <v/>
      </c>
    </row>
    <row r="554" spans="2:2">
      <c r="B554" s="3" t="str">
        <f ca="1">IFERROR(__xludf.DUMMYFUNCTION("IF(ISBLANK(A554),"""",GOOGLETRANSLATE(A554,""en"",""fr""))"),"")</f>
        <v/>
      </c>
    </row>
    <row r="555" spans="2:2">
      <c r="B555" s="3" t="str">
        <f ca="1">IFERROR(__xludf.DUMMYFUNCTION("IF(ISBLANK(A555),"""",GOOGLETRANSLATE(A555,""en"",""fr""))"),"")</f>
        <v/>
      </c>
    </row>
    <row r="556" spans="2:2">
      <c r="B556" s="3" t="str">
        <f ca="1">IFERROR(__xludf.DUMMYFUNCTION("IF(ISBLANK(A556),"""",GOOGLETRANSLATE(A556,""en"",""fr""))"),"")</f>
        <v/>
      </c>
    </row>
    <row r="557" spans="2:2">
      <c r="B557" s="3" t="str">
        <f ca="1">IFERROR(__xludf.DUMMYFUNCTION("IF(ISBLANK(A557),"""",GOOGLETRANSLATE(A557,""en"",""fr""))"),"")</f>
        <v/>
      </c>
    </row>
    <row r="558" spans="2:2">
      <c r="B558" s="3" t="str">
        <f ca="1">IFERROR(__xludf.DUMMYFUNCTION("IF(ISBLANK(A558),"""",GOOGLETRANSLATE(A558,""en"",""fr""))"),"")</f>
        <v/>
      </c>
    </row>
    <row r="559" spans="2:2">
      <c r="B559" s="3" t="str">
        <f ca="1">IFERROR(__xludf.DUMMYFUNCTION("IF(ISBLANK(A559),"""",GOOGLETRANSLATE(A559,""en"",""fr""))"),"")</f>
        <v/>
      </c>
    </row>
    <row r="560" spans="2:2">
      <c r="B560" s="3" t="str">
        <f ca="1">IFERROR(__xludf.DUMMYFUNCTION("IF(ISBLANK(A560),"""",GOOGLETRANSLATE(A560,""en"",""fr""))"),"")</f>
        <v/>
      </c>
    </row>
    <row r="561" spans="2:2">
      <c r="B561" s="3" t="str">
        <f ca="1">IFERROR(__xludf.DUMMYFUNCTION("IF(ISBLANK(A561),"""",GOOGLETRANSLATE(A561,""en"",""fr""))"),"")</f>
        <v/>
      </c>
    </row>
    <row r="562" spans="2:2">
      <c r="B562" s="3" t="str">
        <f ca="1">IFERROR(__xludf.DUMMYFUNCTION("IF(ISBLANK(A562),"""",GOOGLETRANSLATE(A562,""en"",""fr""))"),"")</f>
        <v/>
      </c>
    </row>
    <row r="563" spans="2:2">
      <c r="B563" s="3" t="str">
        <f ca="1">IFERROR(__xludf.DUMMYFUNCTION("IF(ISBLANK(A563),"""",GOOGLETRANSLATE(A563,""en"",""fr""))"),"")</f>
        <v/>
      </c>
    </row>
    <row r="564" spans="2:2">
      <c r="B564" s="3" t="str">
        <f ca="1">IFERROR(__xludf.DUMMYFUNCTION("IF(ISBLANK(A564),"""",GOOGLETRANSLATE(A564,""en"",""fr""))"),"")</f>
        <v/>
      </c>
    </row>
    <row r="565" spans="2:2">
      <c r="B565" s="3" t="str">
        <f ca="1">IFERROR(__xludf.DUMMYFUNCTION("IF(ISBLANK(A565),"""",GOOGLETRANSLATE(A565,""en"",""fr""))"),"")</f>
        <v/>
      </c>
    </row>
    <row r="566" spans="2:2">
      <c r="B566" s="3" t="str">
        <f ca="1">IFERROR(__xludf.DUMMYFUNCTION("IF(ISBLANK(A566),"""",GOOGLETRANSLATE(A566,""en"",""fr""))"),"")</f>
        <v/>
      </c>
    </row>
    <row r="567" spans="2:2">
      <c r="B567" s="3" t="str">
        <f ca="1">IFERROR(__xludf.DUMMYFUNCTION("IF(ISBLANK(A567),"""",GOOGLETRANSLATE(A567,""en"",""fr""))"),"")</f>
        <v/>
      </c>
    </row>
    <row r="568" spans="2:2">
      <c r="B568" s="3" t="str">
        <f ca="1">IFERROR(__xludf.DUMMYFUNCTION("IF(ISBLANK(A568),"""",GOOGLETRANSLATE(A568,""en"",""fr""))"),"")</f>
        <v/>
      </c>
    </row>
    <row r="569" spans="2:2">
      <c r="B569" s="3" t="str">
        <f ca="1">IFERROR(__xludf.DUMMYFUNCTION("IF(ISBLANK(A569),"""",GOOGLETRANSLATE(A569,""en"",""fr""))"),"")</f>
        <v/>
      </c>
    </row>
    <row r="570" spans="2:2">
      <c r="B570" s="3" t="str">
        <f ca="1">IFERROR(__xludf.DUMMYFUNCTION("IF(ISBLANK(A570),"""",GOOGLETRANSLATE(A570,""en"",""fr""))"),"")</f>
        <v/>
      </c>
    </row>
    <row r="571" spans="2:2">
      <c r="B571" s="3" t="str">
        <f ca="1">IFERROR(__xludf.DUMMYFUNCTION("IF(ISBLANK(A571),"""",GOOGLETRANSLATE(A571,""en"",""fr""))"),"")</f>
        <v/>
      </c>
    </row>
    <row r="572" spans="2:2">
      <c r="B572" s="3" t="str">
        <f ca="1">IFERROR(__xludf.DUMMYFUNCTION("IF(ISBLANK(A572),"""",GOOGLETRANSLATE(A572,""en"",""fr""))"),"")</f>
        <v/>
      </c>
    </row>
    <row r="573" spans="2:2">
      <c r="B573" s="3" t="str">
        <f ca="1">IFERROR(__xludf.DUMMYFUNCTION("IF(ISBLANK(A573),"""",GOOGLETRANSLATE(A573,""en"",""fr""))"),"")</f>
        <v/>
      </c>
    </row>
    <row r="574" spans="2:2">
      <c r="B574" s="3" t="str">
        <f ca="1">IFERROR(__xludf.DUMMYFUNCTION("IF(ISBLANK(A574),"""",GOOGLETRANSLATE(A574,""en"",""fr""))"),"")</f>
        <v/>
      </c>
    </row>
    <row r="575" spans="2:2">
      <c r="B575" s="3" t="str">
        <f ca="1">IFERROR(__xludf.DUMMYFUNCTION("IF(ISBLANK(A575),"""",GOOGLETRANSLATE(A575,""en"",""fr""))"),"")</f>
        <v/>
      </c>
    </row>
    <row r="576" spans="2:2">
      <c r="B576" s="3" t="str">
        <f ca="1">IFERROR(__xludf.DUMMYFUNCTION("IF(ISBLANK(A576),"""",GOOGLETRANSLATE(A576,""en"",""fr""))"),"")</f>
        <v/>
      </c>
    </row>
    <row r="577" spans="2:2">
      <c r="B577" s="3" t="str">
        <f ca="1">IFERROR(__xludf.DUMMYFUNCTION("IF(ISBLANK(A577),"""",GOOGLETRANSLATE(A577,""en"",""fr""))"),"")</f>
        <v/>
      </c>
    </row>
    <row r="578" spans="2:2">
      <c r="B578" s="3" t="str">
        <f ca="1">IFERROR(__xludf.DUMMYFUNCTION("IF(ISBLANK(A578),"""",GOOGLETRANSLATE(A578,""en"",""fr""))"),"")</f>
        <v/>
      </c>
    </row>
    <row r="579" spans="2:2">
      <c r="B579" s="3" t="str">
        <f ca="1">IFERROR(__xludf.DUMMYFUNCTION("IF(ISBLANK(A579),"""",GOOGLETRANSLATE(A579,""en"",""fr""))"),"")</f>
        <v/>
      </c>
    </row>
    <row r="580" spans="2:2">
      <c r="B580" s="3" t="str">
        <f ca="1">IFERROR(__xludf.DUMMYFUNCTION("IF(ISBLANK(A580),"""",GOOGLETRANSLATE(A580,""en"",""fr""))"),"")</f>
        <v/>
      </c>
    </row>
    <row r="581" spans="2:2">
      <c r="B581" s="3" t="str">
        <f ca="1">IFERROR(__xludf.DUMMYFUNCTION("IF(ISBLANK(A581),"""",GOOGLETRANSLATE(A581,""en"",""fr""))"),"")</f>
        <v/>
      </c>
    </row>
    <row r="582" spans="2:2">
      <c r="B582" s="3" t="str">
        <f ca="1">IFERROR(__xludf.DUMMYFUNCTION("IF(ISBLANK(A582),"""",GOOGLETRANSLATE(A582,""en"",""fr""))"),"")</f>
        <v/>
      </c>
    </row>
    <row r="583" spans="2:2">
      <c r="B583" s="3" t="str">
        <f ca="1">IFERROR(__xludf.DUMMYFUNCTION("IF(ISBLANK(A583),"""",GOOGLETRANSLATE(A583,""en"",""fr""))"),"")</f>
        <v/>
      </c>
    </row>
    <row r="584" spans="2:2">
      <c r="B584" s="3" t="str">
        <f ca="1">IFERROR(__xludf.DUMMYFUNCTION("IF(ISBLANK(A584),"""",GOOGLETRANSLATE(A584,""en"",""fr""))"),"")</f>
        <v/>
      </c>
    </row>
    <row r="585" spans="2:2">
      <c r="B585" s="3" t="str">
        <f ca="1">IFERROR(__xludf.DUMMYFUNCTION("IF(ISBLANK(A585),"""",GOOGLETRANSLATE(A585,""en"",""fr""))"),"")</f>
        <v/>
      </c>
    </row>
    <row r="586" spans="2:2">
      <c r="B586" s="3" t="str">
        <f ca="1">IFERROR(__xludf.DUMMYFUNCTION("IF(ISBLANK(A586),"""",GOOGLETRANSLATE(A586,""en"",""fr""))"),"")</f>
        <v/>
      </c>
    </row>
    <row r="587" spans="2:2">
      <c r="B587" s="3" t="str">
        <f ca="1">IFERROR(__xludf.DUMMYFUNCTION("IF(ISBLANK(A587),"""",GOOGLETRANSLATE(A587,""en"",""fr""))"),"")</f>
        <v/>
      </c>
    </row>
    <row r="588" spans="2:2">
      <c r="B588" s="3" t="str">
        <f ca="1">IFERROR(__xludf.DUMMYFUNCTION("IF(ISBLANK(A588),"""",GOOGLETRANSLATE(A588,""en"",""fr""))"),"")</f>
        <v/>
      </c>
    </row>
    <row r="589" spans="2:2">
      <c r="B589" s="3" t="str">
        <f ca="1">IFERROR(__xludf.DUMMYFUNCTION("IF(ISBLANK(A589),"""",GOOGLETRANSLATE(A589,""en"",""fr""))"),"")</f>
        <v/>
      </c>
    </row>
    <row r="590" spans="2:2">
      <c r="B590" s="3" t="str">
        <f ca="1">IFERROR(__xludf.DUMMYFUNCTION("IF(ISBLANK(A590),"""",GOOGLETRANSLATE(A590,""en"",""fr""))"),"")</f>
        <v/>
      </c>
    </row>
    <row r="591" spans="2:2">
      <c r="B591" s="3" t="str">
        <f ca="1">IFERROR(__xludf.DUMMYFUNCTION("IF(ISBLANK(A591),"""",GOOGLETRANSLATE(A591,""en"",""fr""))"),"")</f>
        <v/>
      </c>
    </row>
    <row r="592" spans="2:2">
      <c r="B592" s="3" t="str">
        <f ca="1">IFERROR(__xludf.DUMMYFUNCTION("IF(ISBLANK(A592),"""",GOOGLETRANSLATE(A592,""en"",""fr""))"),"")</f>
        <v/>
      </c>
    </row>
    <row r="593" spans="2:2">
      <c r="B593" s="3" t="str">
        <f ca="1">IFERROR(__xludf.DUMMYFUNCTION("IF(ISBLANK(A593),"""",GOOGLETRANSLATE(A593,""en"",""fr""))"),"")</f>
        <v/>
      </c>
    </row>
    <row r="594" spans="2:2">
      <c r="B594" s="3" t="str">
        <f ca="1">IFERROR(__xludf.DUMMYFUNCTION("IF(ISBLANK(A594),"""",GOOGLETRANSLATE(A594,""en"",""fr""))"),"")</f>
        <v/>
      </c>
    </row>
    <row r="595" spans="2:2">
      <c r="B595" s="3" t="str">
        <f ca="1">IFERROR(__xludf.DUMMYFUNCTION("IF(ISBLANK(A595),"""",GOOGLETRANSLATE(A595,""en"",""fr""))"),"")</f>
        <v/>
      </c>
    </row>
    <row r="596" spans="2:2">
      <c r="B596" s="3" t="str">
        <f ca="1">IFERROR(__xludf.DUMMYFUNCTION("IF(ISBLANK(A596),"""",GOOGLETRANSLATE(A596,""en"",""fr""))"),"")</f>
        <v/>
      </c>
    </row>
    <row r="597" spans="2:2">
      <c r="B597" s="3" t="str">
        <f ca="1">IFERROR(__xludf.DUMMYFUNCTION("IF(ISBLANK(A597),"""",GOOGLETRANSLATE(A597,""en"",""fr""))"),"")</f>
        <v/>
      </c>
    </row>
    <row r="598" spans="2:2">
      <c r="B598" s="3" t="str">
        <f ca="1">IFERROR(__xludf.DUMMYFUNCTION("IF(ISBLANK(A598),"""",GOOGLETRANSLATE(A598,""en"",""fr""))"),"")</f>
        <v/>
      </c>
    </row>
    <row r="599" spans="2:2">
      <c r="B599" s="3" t="str">
        <f ca="1">IFERROR(__xludf.DUMMYFUNCTION("IF(ISBLANK(A599),"""",GOOGLETRANSLATE(A599,""en"",""fr""))"),"")</f>
        <v/>
      </c>
    </row>
    <row r="600" spans="2:2">
      <c r="B600" s="3" t="str">
        <f ca="1">IFERROR(__xludf.DUMMYFUNCTION("IF(ISBLANK(A600),"""",GOOGLETRANSLATE(A600,""en"",""fr""))"),"")</f>
        <v/>
      </c>
    </row>
    <row r="601" spans="2:2">
      <c r="B601" s="3" t="str">
        <f ca="1">IFERROR(__xludf.DUMMYFUNCTION("IF(ISBLANK(A601),"""",GOOGLETRANSLATE(A601,""en"",""fr""))"),"")</f>
        <v/>
      </c>
    </row>
    <row r="602" spans="2:2">
      <c r="B602" s="3" t="str">
        <f ca="1">IFERROR(__xludf.DUMMYFUNCTION("IF(ISBLANK(A602),"""",GOOGLETRANSLATE(A602,""en"",""fr""))"),"")</f>
        <v/>
      </c>
    </row>
    <row r="603" spans="2:2">
      <c r="B603" s="3" t="str">
        <f ca="1">IFERROR(__xludf.DUMMYFUNCTION("IF(ISBLANK(A603),"""",GOOGLETRANSLATE(A603,""en"",""fr""))"),"")</f>
        <v/>
      </c>
    </row>
    <row r="604" spans="2:2">
      <c r="B604" s="3" t="str">
        <f ca="1">IFERROR(__xludf.DUMMYFUNCTION("IF(ISBLANK(A604),"""",GOOGLETRANSLATE(A604,""en"",""fr""))"),"")</f>
        <v/>
      </c>
    </row>
    <row r="605" spans="2:2">
      <c r="B605" s="3" t="str">
        <f ca="1">IFERROR(__xludf.DUMMYFUNCTION("IF(ISBLANK(A605),"""",GOOGLETRANSLATE(A605,""en"",""fr""))"),"")</f>
        <v/>
      </c>
    </row>
    <row r="606" spans="2:2">
      <c r="B606" s="3" t="str">
        <f ca="1">IFERROR(__xludf.DUMMYFUNCTION("IF(ISBLANK(A606),"""",GOOGLETRANSLATE(A606,""en"",""fr""))"),"")</f>
        <v/>
      </c>
    </row>
    <row r="607" spans="2:2">
      <c r="B607" s="3" t="str">
        <f ca="1">IFERROR(__xludf.DUMMYFUNCTION("IF(ISBLANK(A607),"""",GOOGLETRANSLATE(A607,""en"",""fr""))"),"")</f>
        <v/>
      </c>
    </row>
    <row r="608" spans="2:2">
      <c r="B608" s="3" t="str">
        <f ca="1">IFERROR(__xludf.DUMMYFUNCTION("IF(ISBLANK(A608),"""",GOOGLETRANSLATE(A608,""en"",""fr""))"),"")</f>
        <v/>
      </c>
    </row>
    <row r="609" spans="2:2">
      <c r="B609" s="3" t="str">
        <f ca="1">IFERROR(__xludf.DUMMYFUNCTION("IF(ISBLANK(A609),"""",GOOGLETRANSLATE(A609,""en"",""fr""))"),"")</f>
        <v/>
      </c>
    </row>
    <row r="610" spans="2:2">
      <c r="B610" s="3" t="str">
        <f ca="1">IFERROR(__xludf.DUMMYFUNCTION("IF(ISBLANK(A610),"""",GOOGLETRANSLATE(A610,""en"",""fr""))"),"")</f>
        <v/>
      </c>
    </row>
    <row r="611" spans="2:2">
      <c r="B611" s="3" t="str">
        <f ca="1">IFERROR(__xludf.DUMMYFUNCTION("IF(ISBLANK(A611),"""",GOOGLETRANSLATE(A611,""en"",""fr""))"),"")</f>
        <v/>
      </c>
    </row>
    <row r="612" spans="2:2">
      <c r="B612" s="3" t="str">
        <f ca="1">IFERROR(__xludf.DUMMYFUNCTION("IF(ISBLANK(A612),"""",GOOGLETRANSLATE(A612,""en"",""fr""))"),"")</f>
        <v/>
      </c>
    </row>
    <row r="613" spans="2:2">
      <c r="B613" s="3" t="str">
        <f ca="1">IFERROR(__xludf.DUMMYFUNCTION("IF(ISBLANK(A613),"""",GOOGLETRANSLATE(A613,""en"",""fr""))"),"")</f>
        <v/>
      </c>
    </row>
    <row r="614" spans="2:2">
      <c r="B614" s="3" t="str">
        <f ca="1">IFERROR(__xludf.DUMMYFUNCTION("IF(ISBLANK(A614),"""",GOOGLETRANSLATE(A614,""en"",""fr""))"),"")</f>
        <v/>
      </c>
    </row>
    <row r="615" spans="2:2">
      <c r="B615" s="3" t="str">
        <f ca="1">IFERROR(__xludf.DUMMYFUNCTION("IF(ISBLANK(A615),"""",GOOGLETRANSLATE(A615,""en"",""fr""))"),"")</f>
        <v/>
      </c>
    </row>
    <row r="616" spans="2:2">
      <c r="B616" s="3" t="str">
        <f ca="1">IFERROR(__xludf.DUMMYFUNCTION("IF(ISBLANK(A616),"""",GOOGLETRANSLATE(A616,""en"",""fr""))"),"")</f>
        <v/>
      </c>
    </row>
    <row r="617" spans="2:2">
      <c r="B617" s="3" t="str">
        <f ca="1">IFERROR(__xludf.DUMMYFUNCTION("IF(ISBLANK(A617),"""",GOOGLETRANSLATE(A617,""en"",""fr""))"),"")</f>
        <v/>
      </c>
    </row>
    <row r="618" spans="2:2">
      <c r="B618" s="3" t="str">
        <f ca="1">IFERROR(__xludf.DUMMYFUNCTION("IF(ISBLANK(A618),"""",GOOGLETRANSLATE(A618,""en"",""fr""))"),"")</f>
        <v/>
      </c>
    </row>
    <row r="619" spans="2:2">
      <c r="B619" s="3" t="str">
        <f ca="1">IFERROR(__xludf.DUMMYFUNCTION("IF(ISBLANK(A619),"""",GOOGLETRANSLATE(A619,""en"",""fr""))"),"")</f>
        <v/>
      </c>
    </row>
    <row r="620" spans="2:2">
      <c r="B620" s="3" t="str">
        <f ca="1">IFERROR(__xludf.DUMMYFUNCTION("IF(ISBLANK(A620),"""",GOOGLETRANSLATE(A620,""en"",""fr""))"),"")</f>
        <v/>
      </c>
    </row>
    <row r="621" spans="2:2">
      <c r="B621" s="3" t="str">
        <f ca="1">IFERROR(__xludf.DUMMYFUNCTION("IF(ISBLANK(A621),"""",GOOGLETRANSLATE(A621,""en"",""fr""))"),"")</f>
        <v/>
      </c>
    </row>
    <row r="622" spans="2:2">
      <c r="B622" s="3" t="str">
        <f ca="1">IFERROR(__xludf.DUMMYFUNCTION("IF(ISBLANK(A622),"""",GOOGLETRANSLATE(A622,""en"",""fr""))"),"")</f>
        <v/>
      </c>
    </row>
    <row r="623" spans="2:2">
      <c r="B623" s="3" t="str">
        <f ca="1">IFERROR(__xludf.DUMMYFUNCTION("IF(ISBLANK(A623),"""",GOOGLETRANSLATE(A623,""en"",""fr""))"),"")</f>
        <v/>
      </c>
    </row>
    <row r="624" spans="2:2">
      <c r="B624" s="3" t="str">
        <f ca="1">IFERROR(__xludf.DUMMYFUNCTION("IF(ISBLANK(A624),"""",GOOGLETRANSLATE(A624,""en"",""fr""))"),"")</f>
        <v/>
      </c>
    </row>
    <row r="625" spans="2:2">
      <c r="B625" s="3" t="str">
        <f ca="1">IFERROR(__xludf.DUMMYFUNCTION("IF(ISBLANK(A625),"""",GOOGLETRANSLATE(A625,""en"",""fr""))"),"")</f>
        <v/>
      </c>
    </row>
    <row r="626" spans="2:2">
      <c r="B626" s="3" t="str">
        <f ca="1">IFERROR(__xludf.DUMMYFUNCTION("IF(ISBLANK(A626),"""",GOOGLETRANSLATE(A626,""en"",""fr""))"),"")</f>
        <v/>
      </c>
    </row>
    <row r="627" spans="2:2">
      <c r="B627" s="3" t="str">
        <f ca="1">IFERROR(__xludf.DUMMYFUNCTION("IF(ISBLANK(A627),"""",GOOGLETRANSLATE(A627,""en"",""fr""))"),"")</f>
        <v/>
      </c>
    </row>
    <row r="628" spans="2:2">
      <c r="B628" s="3" t="str">
        <f ca="1">IFERROR(__xludf.DUMMYFUNCTION("IF(ISBLANK(A628),"""",GOOGLETRANSLATE(A628,""en"",""fr""))"),"")</f>
        <v/>
      </c>
    </row>
    <row r="629" spans="2:2">
      <c r="B629" s="3" t="str">
        <f ca="1">IFERROR(__xludf.DUMMYFUNCTION("IF(ISBLANK(A629),"""",GOOGLETRANSLATE(A629,""en"",""fr""))"),"")</f>
        <v/>
      </c>
    </row>
    <row r="630" spans="2:2">
      <c r="B630" s="3" t="str">
        <f ca="1">IFERROR(__xludf.DUMMYFUNCTION("IF(ISBLANK(A630),"""",GOOGLETRANSLATE(A630,""en"",""fr""))"),"")</f>
        <v/>
      </c>
    </row>
    <row r="631" spans="2:2">
      <c r="B631" s="3" t="str">
        <f ca="1">IFERROR(__xludf.DUMMYFUNCTION("IF(ISBLANK(A631),"""",GOOGLETRANSLATE(A631,""en"",""fr""))"),"")</f>
        <v/>
      </c>
    </row>
    <row r="632" spans="2:2">
      <c r="B632" s="3" t="str">
        <f ca="1">IFERROR(__xludf.DUMMYFUNCTION("IF(ISBLANK(A632),"""",GOOGLETRANSLATE(A632,""en"",""fr""))"),"")</f>
        <v/>
      </c>
    </row>
    <row r="633" spans="2:2">
      <c r="B633" s="3" t="str">
        <f ca="1">IFERROR(__xludf.DUMMYFUNCTION("IF(ISBLANK(A633),"""",GOOGLETRANSLATE(A633,""en"",""fr""))"),"")</f>
        <v/>
      </c>
    </row>
    <row r="634" spans="2:2">
      <c r="B634" s="3" t="str">
        <f ca="1">IFERROR(__xludf.DUMMYFUNCTION("IF(ISBLANK(A634),"""",GOOGLETRANSLATE(A634,""en"",""fr""))"),"")</f>
        <v/>
      </c>
    </row>
    <row r="635" spans="2:2">
      <c r="B635" s="3" t="str">
        <f ca="1">IFERROR(__xludf.DUMMYFUNCTION("IF(ISBLANK(A635),"""",GOOGLETRANSLATE(A635,""en"",""fr""))"),"")</f>
        <v/>
      </c>
    </row>
    <row r="636" spans="2:2">
      <c r="B636" s="3" t="str">
        <f ca="1">IFERROR(__xludf.DUMMYFUNCTION("IF(ISBLANK(A636),"""",GOOGLETRANSLATE(A636,""en"",""fr""))"),"")</f>
        <v/>
      </c>
    </row>
    <row r="637" spans="2:2">
      <c r="B637" s="3" t="str">
        <f ca="1">IFERROR(__xludf.DUMMYFUNCTION("IF(ISBLANK(A637),"""",GOOGLETRANSLATE(A637,""en"",""fr""))"),"")</f>
        <v/>
      </c>
    </row>
    <row r="638" spans="2:2">
      <c r="B638" s="3" t="str">
        <f ca="1">IFERROR(__xludf.DUMMYFUNCTION("IF(ISBLANK(A638),"""",GOOGLETRANSLATE(A638,""en"",""fr""))"),"")</f>
        <v/>
      </c>
    </row>
    <row r="639" spans="2:2">
      <c r="B639" s="3" t="str">
        <f ca="1">IFERROR(__xludf.DUMMYFUNCTION("IF(ISBLANK(A639),"""",GOOGLETRANSLATE(A639,""en"",""fr""))"),"")</f>
        <v/>
      </c>
    </row>
    <row r="640" spans="2:2">
      <c r="B640" s="3" t="str">
        <f ca="1">IFERROR(__xludf.DUMMYFUNCTION("IF(ISBLANK(A640),"""",GOOGLETRANSLATE(A640,""en"",""fr""))"),"")</f>
        <v/>
      </c>
    </row>
    <row r="641" spans="2:2">
      <c r="B641" s="3" t="str">
        <f ca="1">IFERROR(__xludf.DUMMYFUNCTION("IF(ISBLANK(A641),"""",GOOGLETRANSLATE(A641,""en"",""fr""))"),"")</f>
        <v/>
      </c>
    </row>
    <row r="642" spans="2:2">
      <c r="B642" s="3" t="str">
        <f ca="1">IFERROR(__xludf.DUMMYFUNCTION("IF(ISBLANK(A642),"""",GOOGLETRANSLATE(A642,""en"",""fr""))"),"")</f>
        <v/>
      </c>
    </row>
    <row r="643" spans="2:2">
      <c r="B643" s="3" t="str">
        <f ca="1">IFERROR(__xludf.DUMMYFUNCTION("IF(ISBLANK(A643),"""",GOOGLETRANSLATE(A643,""en"",""fr""))"),"")</f>
        <v/>
      </c>
    </row>
    <row r="644" spans="2:2">
      <c r="B644" s="3" t="str">
        <f ca="1">IFERROR(__xludf.DUMMYFUNCTION("IF(ISBLANK(A644),"""",GOOGLETRANSLATE(A644,""en"",""fr""))"),"")</f>
        <v/>
      </c>
    </row>
    <row r="645" spans="2:2">
      <c r="B645" s="3" t="str">
        <f ca="1">IFERROR(__xludf.DUMMYFUNCTION("IF(ISBLANK(A645),"""",GOOGLETRANSLATE(A645,""en"",""fr""))"),"")</f>
        <v/>
      </c>
    </row>
    <row r="646" spans="2:2">
      <c r="B646" s="3" t="str">
        <f ca="1">IFERROR(__xludf.DUMMYFUNCTION("IF(ISBLANK(A646),"""",GOOGLETRANSLATE(A646,""en"",""fr""))"),"")</f>
        <v/>
      </c>
    </row>
    <row r="647" spans="2:2">
      <c r="B647" s="3" t="str">
        <f ca="1">IFERROR(__xludf.DUMMYFUNCTION("IF(ISBLANK(A647),"""",GOOGLETRANSLATE(A647,""en"",""fr""))"),"")</f>
        <v/>
      </c>
    </row>
    <row r="648" spans="2:2">
      <c r="B648" s="3" t="str">
        <f ca="1">IFERROR(__xludf.DUMMYFUNCTION("IF(ISBLANK(A648),"""",GOOGLETRANSLATE(A648,""en"",""fr""))"),"")</f>
        <v/>
      </c>
    </row>
    <row r="649" spans="2:2">
      <c r="B649" s="3" t="str">
        <f ca="1">IFERROR(__xludf.DUMMYFUNCTION("IF(ISBLANK(A649),"""",GOOGLETRANSLATE(A649,""en"",""fr""))"),"")</f>
        <v/>
      </c>
    </row>
    <row r="650" spans="2:2">
      <c r="B650" s="3" t="str">
        <f ca="1">IFERROR(__xludf.DUMMYFUNCTION("IF(ISBLANK(A650),"""",GOOGLETRANSLATE(A650,""en"",""fr""))"),"")</f>
        <v/>
      </c>
    </row>
    <row r="651" spans="2:2">
      <c r="B651" s="3" t="str">
        <f ca="1">IFERROR(__xludf.DUMMYFUNCTION("IF(ISBLANK(A651),"""",GOOGLETRANSLATE(A651,""en"",""fr""))"),"")</f>
        <v/>
      </c>
    </row>
    <row r="652" spans="2:2">
      <c r="B652" s="3" t="str">
        <f ca="1">IFERROR(__xludf.DUMMYFUNCTION("IF(ISBLANK(A652),"""",GOOGLETRANSLATE(A652,""en"",""fr""))"),"")</f>
        <v/>
      </c>
    </row>
    <row r="653" spans="2:2">
      <c r="B653" s="3" t="str">
        <f ca="1">IFERROR(__xludf.DUMMYFUNCTION("IF(ISBLANK(A653),"""",GOOGLETRANSLATE(A653,""en"",""fr""))"),"")</f>
        <v/>
      </c>
    </row>
    <row r="654" spans="2:2">
      <c r="B654" s="3" t="str">
        <f ca="1">IFERROR(__xludf.DUMMYFUNCTION("IF(ISBLANK(A654),"""",GOOGLETRANSLATE(A654,""en"",""fr""))"),"")</f>
        <v/>
      </c>
    </row>
    <row r="655" spans="2:2">
      <c r="B655" s="3" t="str">
        <f ca="1">IFERROR(__xludf.DUMMYFUNCTION("IF(ISBLANK(A655),"""",GOOGLETRANSLATE(A655,""en"",""fr""))"),"")</f>
        <v/>
      </c>
    </row>
    <row r="656" spans="2:2">
      <c r="B656" s="3" t="str">
        <f ca="1">IFERROR(__xludf.DUMMYFUNCTION("IF(ISBLANK(A656),"""",GOOGLETRANSLATE(A656,""en"",""fr""))"),"")</f>
        <v/>
      </c>
    </row>
    <row r="657" spans="2:2">
      <c r="B657" s="3" t="str">
        <f ca="1">IFERROR(__xludf.DUMMYFUNCTION("IF(ISBLANK(A657),"""",GOOGLETRANSLATE(A657,""en"",""fr""))"),"")</f>
        <v/>
      </c>
    </row>
    <row r="658" spans="2:2">
      <c r="B658" s="3" t="str">
        <f ca="1">IFERROR(__xludf.DUMMYFUNCTION("IF(ISBLANK(A658),"""",GOOGLETRANSLATE(A658,""en"",""fr""))"),"")</f>
        <v/>
      </c>
    </row>
    <row r="659" spans="2:2">
      <c r="B659" s="3" t="str">
        <f ca="1">IFERROR(__xludf.DUMMYFUNCTION("IF(ISBLANK(A659),"""",GOOGLETRANSLATE(A659,""en"",""fr""))"),"")</f>
        <v/>
      </c>
    </row>
    <row r="660" spans="2:2">
      <c r="B660" s="3" t="str">
        <f ca="1">IFERROR(__xludf.DUMMYFUNCTION("IF(ISBLANK(A660),"""",GOOGLETRANSLATE(A660,""en"",""fr""))"),"")</f>
        <v/>
      </c>
    </row>
    <row r="661" spans="2:2">
      <c r="B661" s="3" t="str">
        <f ca="1">IFERROR(__xludf.DUMMYFUNCTION("IF(ISBLANK(A661),"""",GOOGLETRANSLATE(A661,""en"",""fr""))"),"")</f>
        <v/>
      </c>
    </row>
    <row r="662" spans="2:2">
      <c r="B662" s="3" t="str">
        <f ca="1">IFERROR(__xludf.DUMMYFUNCTION("IF(ISBLANK(A662),"""",GOOGLETRANSLATE(A662,""en"",""fr""))"),"")</f>
        <v/>
      </c>
    </row>
    <row r="663" spans="2:2">
      <c r="B663" s="3" t="str">
        <f ca="1">IFERROR(__xludf.DUMMYFUNCTION("IF(ISBLANK(A663),"""",GOOGLETRANSLATE(A663,""en"",""fr""))"),"")</f>
        <v/>
      </c>
    </row>
    <row r="664" spans="2:2">
      <c r="B664" s="3" t="str">
        <f ca="1">IFERROR(__xludf.DUMMYFUNCTION("IF(ISBLANK(A664),"""",GOOGLETRANSLATE(A664,""en"",""fr""))"),"")</f>
        <v/>
      </c>
    </row>
    <row r="665" spans="2:2">
      <c r="B665" s="3" t="str">
        <f ca="1">IFERROR(__xludf.DUMMYFUNCTION("IF(ISBLANK(A665),"""",GOOGLETRANSLATE(A665,""en"",""fr""))"),"")</f>
        <v/>
      </c>
    </row>
    <row r="666" spans="2:2">
      <c r="B666" s="3" t="str">
        <f ca="1">IFERROR(__xludf.DUMMYFUNCTION("IF(ISBLANK(A666),"""",GOOGLETRANSLATE(A666,""en"",""fr""))"),"")</f>
        <v/>
      </c>
    </row>
    <row r="667" spans="2:2">
      <c r="B667" s="3" t="str">
        <f ca="1">IFERROR(__xludf.DUMMYFUNCTION("IF(ISBLANK(A667),"""",GOOGLETRANSLATE(A667,""en"",""fr""))"),"")</f>
        <v/>
      </c>
    </row>
    <row r="668" spans="2:2">
      <c r="B668" s="3" t="str">
        <f ca="1">IFERROR(__xludf.DUMMYFUNCTION("IF(ISBLANK(A668),"""",GOOGLETRANSLATE(A668,""en"",""fr""))"),"")</f>
        <v/>
      </c>
    </row>
    <row r="669" spans="2:2">
      <c r="B669" s="3" t="str">
        <f ca="1">IFERROR(__xludf.DUMMYFUNCTION("IF(ISBLANK(A669),"""",GOOGLETRANSLATE(A669,""en"",""fr""))"),"")</f>
        <v/>
      </c>
    </row>
    <row r="670" spans="2:2">
      <c r="B670" s="3" t="str">
        <f ca="1">IFERROR(__xludf.DUMMYFUNCTION("IF(ISBLANK(A670),"""",GOOGLETRANSLATE(A670,""en"",""fr""))"),"")</f>
        <v/>
      </c>
    </row>
    <row r="671" spans="2:2">
      <c r="B671" s="3" t="str">
        <f ca="1">IFERROR(__xludf.DUMMYFUNCTION("IF(ISBLANK(A671),"""",GOOGLETRANSLATE(A671,""en"",""fr""))"),"")</f>
        <v/>
      </c>
    </row>
    <row r="672" spans="2:2">
      <c r="B672" s="3" t="str">
        <f ca="1">IFERROR(__xludf.DUMMYFUNCTION("IF(ISBLANK(A672),"""",GOOGLETRANSLATE(A672,""en"",""fr""))"),"")</f>
        <v/>
      </c>
    </row>
    <row r="673" spans="2:2">
      <c r="B673" s="3" t="str">
        <f ca="1">IFERROR(__xludf.DUMMYFUNCTION("IF(ISBLANK(A673),"""",GOOGLETRANSLATE(A673,""en"",""fr""))"),"")</f>
        <v/>
      </c>
    </row>
    <row r="674" spans="2:2">
      <c r="B674" s="3" t="str">
        <f ca="1">IFERROR(__xludf.DUMMYFUNCTION("IF(ISBLANK(A674),"""",GOOGLETRANSLATE(A674,""en"",""fr""))"),"")</f>
        <v/>
      </c>
    </row>
    <row r="675" spans="2:2">
      <c r="B675" s="3" t="str">
        <f ca="1">IFERROR(__xludf.DUMMYFUNCTION("IF(ISBLANK(A675),"""",GOOGLETRANSLATE(A675,""en"",""fr""))"),"")</f>
        <v/>
      </c>
    </row>
    <row r="676" spans="2:2">
      <c r="B676" s="3" t="str">
        <f ca="1">IFERROR(__xludf.DUMMYFUNCTION("IF(ISBLANK(A676),"""",GOOGLETRANSLATE(A676,""en"",""fr""))"),"")</f>
        <v/>
      </c>
    </row>
    <row r="677" spans="2:2">
      <c r="B677" s="3" t="str">
        <f ca="1">IFERROR(__xludf.DUMMYFUNCTION("IF(ISBLANK(A677),"""",GOOGLETRANSLATE(A677,""en"",""fr""))"),"")</f>
        <v/>
      </c>
    </row>
    <row r="678" spans="2:2">
      <c r="B678" s="3" t="str">
        <f ca="1">IFERROR(__xludf.DUMMYFUNCTION("IF(ISBLANK(A678),"""",GOOGLETRANSLATE(A678,""en"",""fr""))"),"")</f>
        <v/>
      </c>
    </row>
    <row r="679" spans="2:2">
      <c r="B679" s="3" t="str">
        <f ca="1">IFERROR(__xludf.DUMMYFUNCTION("IF(ISBLANK(A679),"""",GOOGLETRANSLATE(A679,""en"",""fr""))"),"")</f>
        <v/>
      </c>
    </row>
    <row r="680" spans="2:2">
      <c r="B680" s="3" t="str">
        <f ca="1">IFERROR(__xludf.DUMMYFUNCTION("IF(ISBLANK(A680),"""",GOOGLETRANSLATE(A680,""en"",""fr""))"),"")</f>
        <v/>
      </c>
    </row>
    <row r="681" spans="2:2">
      <c r="B681" s="3" t="str">
        <f ca="1">IFERROR(__xludf.DUMMYFUNCTION("IF(ISBLANK(A681),"""",GOOGLETRANSLATE(A681,""en"",""fr""))"),"")</f>
        <v/>
      </c>
    </row>
    <row r="682" spans="2:2">
      <c r="B682" s="3" t="str">
        <f ca="1">IFERROR(__xludf.DUMMYFUNCTION("IF(ISBLANK(A682),"""",GOOGLETRANSLATE(A682,""en"",""fr""))"),"")</f>
        <v/>
      </c>
    </row>
    <row r="683" spans="2:2">
      <c r="B683" s="3" t="str">
        <f ca="1">IFERROR(__xludf.DUMMYFUNCTION("IF(ISBLANK(A683),"""",GOOGLETRANSLATE(A683,""en"",""fr""))"),"")</f>
        <v/>
      </c>
    </row>
    <row r="684" spans="2:2">
      <c r="B684" s="3" t="str">
        <f ca="1">IFERROR(__xludf.DUMMYFUNCTION("IF(ISBLANK(A684),"""",GOOGLETRANSLATE(A684,""en"",""fr""))"),"")</f>
        <v/>
      </c>
    </row>
    <row r="685" spans="2:2">
      <c r="B685" s="3" t="str">
        <f ca="1">IFERROR(__xludf.DUMMYFUNCTION("IF(ISBLANK(A685),"""",GOOGLETRANSLATE(A685,""en"",""fr""))"),"")</f>
        <v/>
      </c>
    </row>
    <row r="686" spans="2:2">
      <c r="B686" s="3" t="str">
        <f ca="1">IFERROR(__xludf.DUMMYFUNCTION("IF(ISBLANK(A686),"""",GOOGLETRANSLATE(A686,""en"",""fr""))"),"")</f>
        <v/>
      </c>
    </row>
    <row r="687" spans="2:2">
      <c r="B687" s="3" t="str">
        <f ca="1">IFERROR(__xludf.DUMMYFUNCTION("IF(ISBLANK(A687),"""",GOOGLETRANSLATE(A687,""en"",""fr""))"),"")</f>
        <v/>
      </c>
    </row>
    <row r="688" spans="2:2">
      <c r="B688" s="3" t="str">
        <f ca="1">IFERROR(__xludf.DUMMYFUNCTION("IF(ISBLANK(A688),"""",GOOGLETRANSLATE(A688,""en"",""fr""))"),"")</f>
        <v/>
      </c>
    </row>
    <row r="689" spans="2:2">
      <c r="B689" s="3" t="str">
        <f ca="1">IFERROR(__xludf.DUMMYFUNCTION("IF(ISBLANK(A689),"""",GOOGLETRANSLATE(A689,""en"",""fr""))"),"")</f>
        <v/>
      </c>
    </row>
    <row r="690" spans="2:2">
      <c r="B690" s="3" t="str">
        <f ca="1">IFERROR(__xludf.DUMMYFUNCTION("IF(ISBLANK(A690),"""",GOOGLETRANSLATE(A690,""en"",""fr""))"),"")</f>
        <v/>
      </c>
    </row>
    <row r="691" spans="2:2">
      <c r="B691" s="3" t="str">
        <f ca="1">IFERROR(__xludf.DUMMYFUNCTION("IF(ISBLANK(A691),"""",GOOGLETRANSLATE(A691,""en"",""fr""))"),"")</f>
        <v/>
      </c>
    </row>
    <row r="692" spans="2:2">
      <c r="B692" s="3" t="str">
        <f ca="1">IFERROR(__xludf.DUMMYFUNCTION("IF(ISBLANK(A692),"""",GOOGLETRANSLATE(A692,""en"",""fr""))"),"")</f>
        <v/>
      </c>
    </row>
    <row r="693" spans="2:2">
      <c r="B693" s="3" t="str">
        <f ca="1">IFERROR(__xludf.DUMMYFUNCTION("IF(ISBLANK(A693),"""",GOOGLETRANSLATE(A693,""en"",""fr""))"),"")</f>
        <v/>
      </c>
    </row>
    <row r="694" spans="2:2">
      <c r="B694" s="3" t="str">
        <f ca="1">IFERROR(__xludf.DUMMYFUNCTION("IF(ISBLANK(A694),"""",GOOGLETRANSLATE(A694,""en"",""fr""))"),"")</f>
        <v/>
      </c>
    </row>
    <row r="695" spans="2:2">
      <c r="B695" s="3" t="str">
        <f ca="1">IFERROR(__xludf.DUMMYFUNCTION("IF(ISBLANK(A695),"""",GOOGLETRANSLATE(A695,""en"",""fr""))"),"")</f>
        <v/>
      </c>
    </row>
    <row r="696" spans="2:2">
      <c r="B696" s="3" t="str">
        <f ca="1">IFERROR(__xludf.DUMMYFUNCTION("IF(ISBLANK(A696),"""",GOOGLETRANSLATE(A696,""en"",""fr""))"),"")</f>
        <v/>
      </c>
    </row>
    <row r="697" spans="2:2">
      <c r="B697" s="3" t="str">
        <f ca="1">IFERROR(__xludf.DUMMYFUNCTION("IF(ISBLANK(A697),"""",GOOGLETRANSLATE(A697,""en"",""fr""))"),"")</f>
        <v/>
      </c>
    </row>
    <row r="698" spans="2:2">
      <c r="B698" s="3" t="str">
        <f ca="1">IFERROR(__xludf.DUMMYFUNCTION("IF(ISBLANK(A698),"""",GOOGLETRANSLATE(A698,""en"",""fr""))"),"")</f>
        <v/>
      </c>
    </row>
    <row r="699" spans="2:2">
      <c r="B699" s="3" t="str">
        <f ca="1">IFERROR(__xludf.DUMMYFUNCTION("IF(ISBLANK(A699),"""",GOOGLETRANSLATE(A699,""en"",""fr""))"),"")</f>
        <v/>
      </c>
    </row>
    <row r="700" spans="2:2">
      <c r="B700" s="3" t="str">
        <f ca="1">IFERROR(__xludf.DUMMYFUNCTION("IF(ISBLANK(A700),"""",GOOGLETRANSLATE(A700,""en"",""fr""))"),"")</f>
        <v/>
      </c>
    </row>
    <row r="701" spans="2:2">
      <c r="B701" s="3" t="str">
        <f ca="1">IFERROR(__xludf.DUMMYFUNCTION("IF(ISBLANK(A701),"""",GOOGLETRANSLATE(A701,""en"",""fr""))"),"")</f>
        <v/>
      </c>
    </row>
    <row r="702" spans="2:2">
      <c r="B702" s="3" t="str">
        <f ca="1">IFERROR(__xludf.DUMMYFUNCTION("IF(ISBLANK(A702),"""",GOOGLETRANSLATE(A702,""en"",""fr""))"),"")</f>
        <v/>
      </c>
    </row>
    <row r="703" spans="2:2">
      <c r="B703" s="3" t="str">
        <f ca="1">IFERROR(__xludf.DUMMYFUNCTION("IF(ISBLANK(A703),"""",GOOGLETRANSLATE(A703,""en"",""fr""))"),"")</f>
        <v/>
      </c>
    </row>
    <row r="704" spans="2:2">
      <c r="B704" s="3" t="str">
        <f ca="1">IFERROR(__xludf.DUMMYFUNCTION("IF(ISBLANK(A704),"""",GOOGLETRANSLATE(A704,""en"",""fr""))"),"")</f>
        <v/>
      </c>
    </row>
    <row r="705" spans="2:2">
      <c r="B705" s="3" t="str">
        <f ca="1">IFERROR(__xludf.DUMMYFUNCTION("IF(ISBLANK(A705),"""",GOOGLETRANSLATE(A705,""en"",""fr""))"),"")</f>
        <v/>
      </c>
    </row>
    <row r="706" spans="2:2">
      <c r="B706" s="3" t="str">
        <f ca="1">IFERROR(__xludf.DUMMYFUNCTION("IF(ISBLANK(A706),"""",GOOGLETRANSLATE(A706,""en"",""fr""))"),"")</f>
        <v/>
      </c>
    </row>
    <row r="707" spans="2:2">
      <c r="B707" s="3" t="str">
        <f ca="1">IFERROR(__xludf.DUMMYFUNCTION("IF(ISBLANK(A707),"""",GOOGLETRANSLATE(A707,""en"",""fr""))"),"")</f>
        <v/>
      </c>
    </row>
    <row r="708" spans="2:2">
      <c r="B708" s="3" t="str">
        <f ca="1">IFERROR(__xludf.DUMMYFUNCTION("IF(ISBLANK(A708),"""",GOOGLETRANSLATE(A708,""en"",""fr""))"),"")</f>
        <v/>
      </c>
    </row>
    <row r="709" spans="2:2">
      <c r="B709" s="3" t="str">
        <f ca="1">IFERROR(__xludf.DUMMYFUNCTION("IF(ISBLANK(A709),"""",GOOGLETRANSLATE(A709,""en"",""fr""))"),"")</f>
        <v/>
      </c>
    </row>
    <row r="710" spans="2:2">
      <c r="B710" s="3" t="str">
        <f ca="1">IFERROR(__xludf.DUMMYFUNCTION("IF(ISBLANK(A710),"""",GOOGLETRANSLATE(A710,""en"",""fr""))"),"")</f>
        <v/>
      </c>
    </row>
    <row r="711" spans="2:2">
      <c r="B711" s="3" t="str">
        <f ca="1">IFERROR(__xludf.DUMMYFUNCTION("IF(ISBLANK(A711),"""",GOOGLETRANSLATE(A711,""en"",""fr""))"),"")</f>
        <v/>
      </c>
    </row>
    <row r="712" spans="2:2">
      <c r="B712" s="3" t="str">
        <f ca="1">IFERROR(__xludf.DUMMYFUNCTION("IF(ISBLANK(A712),"""",GOOGLETRANSLATE(A712,""en"",""fr""))"),"")</f>
        <v/>
      </c>
    </row>
    <row r="713" spans="2:2">
      <c r="B713" s="3" t="str">
        <f ca="1">IFERROR(__xludf.DUMMYFUNCTION("IF(ISBLANK(A713),"""",GOOGLETRANSLATE(A713,""en"",""fr""))"),"")</f>
        <v/>
      </c>
    </row>
    <row r="714" spans="2:2">
      <c r="B714" s="3" t="str">
        <f ca="1">IFERROR(__xludf.DUMMYFUNCTION("IF(ISBLANK(A714),"""",GOOGLETRANSLATE(A714,""en"",""fr""))"),"")</f>
        <v/>
      </c>
    </row>
    <row r="715" spans="2:2">
      <c r="B715" s="3" t="str">
        <f ca="1">IFERROR(__xludf.DUMMYFUNCTION("IF(ISBLANK(A715),"""",GOOGLETRANSLATE(A715,""en"",""fr""))"),"")</f>
        <v/>
      </c>
    </row>
    <row r="716" spans="2:2">
      <c r="B716" s="3" t="str">
        <f ca="1">IFERROR(__xludf.DUMMYFUNCTION("IF(ISBLANK(A716),"""",GOOGLETRANSLATE(A716,""en"",""fr""))"),"")</f>
        <v/>
      </c>
    </row>
    <row r="717" spans="2:2">
      <c r="B717" s="3" t="str">
        <f ca="1">IFERROR(__xludf.DUMMYFUNCTION("IF(ISBLANK(A717),"""",GOOGLETRANSLATE(A717,""en"",""fr""))"),"")</f>
        <v/>
      </c>
    </row>
    <row r="718" spans="2:2">
      <c r="B718" s="3" t="str">
        <f ca="1">IFERROR(__xludf.DUMMYFUNCTION("IF(ISBLANK(A718),"""",GOOGLETRANSLATE(A718,""en"",""fr""))"),"")</f>
        <v/>
      </c>
    </row>
    <row r="719" spans="2:2">
      <c r="B719" s="3" t="str">
        <f ca="1">IFERROR(__xludf.DUMMYFUNCTION("IF(ISBLANK(A719),"""",GOOGLETRANSLATE(A719,""en"",""fr""))"),"")</f>
        <v/>
      </c>
    </row>
    <row r="720" spans="2:2">
      <c r="B720" s="3" t="str">
        <f ca="1">IFERROR(__xludf.DUMMYFUNCTION("IF(ISBLANK(A720),"""",GOOGLETRANSLATE(A720,""en"",""fr""))"),"")</f>
        <v/>
      </c>
    </row>
    <row r="721" spans="2:2">
      <c r="B721" s="3" t="str">
        <f ca="1">IFERROR(__xludf.DUMMYFUNCTION("IF(ISBLANK(A721),"""",GOOGLETRANSLATE(A721,""en"",""fr""))"),"")</f>
        <v/>
      </c>
    </row>
    <row r="722" spans="2:2">
      <c r="B722" s="3" t="str">
        <f ca="1">IFERROR(__xludf.DUMMYFUNCTION("IF(ISBLANK(A722),"""",GOOGLETRANSLATE(A722,""en"",""fr""))"),"")</f>
        <v/>
      </c>
    </row>
    <row r="723" spans="2:2">
      <c r="B723" s="3" t="str">
        <f ca="1">IFERROR(__xludf.DUMMYFUNCTION("IF(ISBLANK(A723),"""",GOOGLETRANSLATE(A723,""en"",""fr""))"),"")</f>
        <v/>
      </c>
    </row>
    <row r="724" spans="2:2">
      <c r="B724" s="3" t="str">
        <f ca="1">IFERROR(__xludf.DUMMYFUNCTION("IF(ISBLANK(A724),"""",GOOGLETRANSLATE(A724,""en"",""fr""))"),"")</f>
        <v/>
      </c>
    </row>
    <row r="725" spans="2:2">
      <c r="B725" s="3" t="str">
        <f ca="1">IFERROR(__xludf.DUMMYFUNCTION("IF(ISBLANK(A725),"""",GOOGLETRANSLATE(A725,""en"",""fr""))"),"")</f>
        <v/>
      </c>
    </row>
    <row r="726" spans="2:2">
      <c r="B726" s="3" t="str">
        <f ca="1">IFERROR(__xludf.DUMMYFUNCTION("IF(ISBLANK(A726),"""",GOOGLETRANSLATE(A726,""en"",""fr""))"),"")</f>
        <v/>
      </c>
    </row>
    <row r="727" spans="2:2">
      <c r="B727" s="3" t="str">
        <f ca="1">IFERROR(__xludf.DUMMYFUNCTION("IF(ISBLANK(A727),"""",GOOGLETRANSLATE(A727,""en"",""fr""))"),"")</f>
        <v/>
      </c>
    </row>
    <row r="728" spans="2:2">
      <c r="B728" s="3" t="str">
        <f ca="1">IFERROR(__xludf.DUMMYFUNCTION("IF(ISBLANK(A728),"""",GOOGLETRANSLATE(A728,""en"",""fr""))"),"")</f>
        <v/>
      </c>
    </row>
    <row r="729" spans="2:2">
      <c r="B729" s="3" t="str">
        <f ca="1">IFERROR(__xludf.DUMMYFUNCTION("IF(ISBLANK(A729),"""",GOOGLETRANSLATE(A729,""en"",""fr""))"),"")</f>
        <v/>
      </c>
    </row>
    <row r="730" spans="2:2">
      <c r="B730" s="3" t="str">
        <f ca="1">IFERROR(__xludf.DUMMYFUNCTION("IF(ISBLANK(A730),"""",GOOGLETRANSLATE(A730,""en"",""fr""))"),"")</f>
        <v/>
      </c>
    </row>
    <row r="731" spans="2:2">
      <c r="B731" s="3" t="str">
        <f ca="1">IFERROR(__xludf.DUMMYFUNCTION("IF(ISBLANK(A731),"""",GOOGLETRANSLATE(A731,""en"",""fr""))"),"")</f>
        <v/>
      </c>
    </row>
    <row r="732" spans="2:2">
      <c r="B732" s="3" t="str">
        <f ca="1">IFERROR(__xludf.DUMMYFUNCTION("IF(ISBLANK(A732),"""",GOOGLETRANSLATE(A732,""en"",""fr""))"),"")</f>
        <v/>
      </c>
    </row>
    <row r="733" spans="2:2">
      <c r="B733" s="3" t="str">
        <f ca="1">IFERROR(__xludf.DUMMYFUNCTION("IF(ISBLANK(A733),"""",GOOGLETRANSLATE(A733,""en"",""fr""))"),"")</f>
        <v/>
      </c>
    </row>
    <row r="734" spans="2:2">
      <c r="B734" s="3" t="str">
        <f ca="1">IFERROR(__xludf.DUMMYFUNCTION("IF(ISBLANK(A734),"""",GOOGLETRANSLATE(A734,""en"",""fr""))"),"")</f>
        <v/>
      </c>
    </row>
    <row r="735" spans="2:2">
      <c r="B735" s="3" t="str">
        <f ca="1">IFERROR(__xludf.DUMMYFUNCTION("IF(ISBLANK(A735),"""",GOOGLETRANSLATE(A735,""en"",""fr""))"),"")</f>
        <v/>
      </c>
    </row>
    <row r="736" spans="2:2">
      <c r="B736" s="3" t="str">
        <f ca="1">IFERROR(__xludf.DUMMYFUNCTION("IF(ISBLANK(A736),"""",GOOGLETRANSLATE(A736,""en"",""fr""))"),"")</f>
        <v/>
      </c>
    </row>
    <row r="737" spans="2:2">
      <c r="B737" s="3" t="str">
        <f ca="1">IFERROR(__xludf.DUMMYFUNCTION("IF(ISBLANK(A737),"""",GOOGLETRANSLATE(A737,""en"",""fr""))"),"")</f>
        <v/>
      </c>
    </row>
    <row r="738" spans="2:2">
      <c r="B738" s="3" t="str">
        <f ca="1">IFERROR(__xludf.DUMMYFUNCTION("IF(ISBLANK(A738),"""",GOOGLETRANSLATE(A738,""en"",""fr""))"),"")</f>
        <v/>
      </c>
    </row>
    <row r="739" spans="2:2">
      <c r="B739" s="3" t="str">
        <f ca="1">IFERROR(__xludf.DUMMYFUNCTION("IF(ISBLANK(A739),"""",GOOGLETRANSLATE(A739,""en"",""fr""))"),"")</f>
        <v/>
      </c>
    </row>
    <row r="740" spans="2:2">
      <c r="B740" s="3" t="str">
        <f ca="1">IFERROR(__xludf.DUMMYFUNCTION("IF(ISBLANK(A740),"""",GOOGLETRANSLATE(A740,""en"",""fr""))"),"")</f>
        <v/>
      </c>
    </row>
    <row r="741" spans="2:2">
      <c r="B741" s="3" t="str">
        <f ca="1">IFERROR(__xludf.DUMMYFUNCTION("IF(ISBLANK(A741),"""",GOOGLETRANSLATE(A741,""en"",""fr""))"),"")</f>
        <v/>
      </c>
    </row>
    <row r="742" spans="2:2">
      <c r="B742" s="3" t="str">
        <f ca="1">IFERROR(__xludf.DUMMYFUNCTION("IF(ISBLANK(A742),"""",GOOGLETRANSLATE(A742,""en"",""fr""))"),"")</f>
        <v/>
      </c>
    </row>
    <row r="743" spans="2:2">
      <c r="B743" s="3" t="str">
        <f ca="1">IFERROR(__xludf.DUMMYFUNCTION("IF(ISBLANK(A743),"""",GOOGLETRANSLATE(A743,""en"",""fr""))"),"")</f>
        <v/>
      </c>
    </row>
    <row r="744" spans="2:2">
      <c r="B744" s="3" t="str">
        <f ca="1">IFERROR(__xludf.DUMMYFUNCTION("IF(ISBLANK(A744),"""",GOOGLETRANSLATE(A744,""en"",""fr""))"),"")</f>
        <v/>
      </c>
    </row>
    <row r="745" spans="2:2">
      <c r="B745" s="3" t="str">
        <f ca="1">IFERROR(__xludf.DUMMYFUNCTION("IF(ISBLANK(A745),"""",GOOGLETRANSLATE(A745,""en"",""fr""))"),"")</f>
        <v/>
      </c>
    </row>
    <row r="746" spans="2:2">
      <c r="B746" s="3" t="str">
        <f ca="1">IFERROR(__xludf.DUMMYFUNCTION("IF(ISBLANK(A746),"""",GOOGLETRANSLATE(A746,""en"",""fr""))"),"")</f>
        <v/>
      </c>
    </row>
    <row r="747" spans="2:2">
      <c r="B747" s="3" t="str">
        <f ca="1">IFERROR(__xludf.DUMMYFUNCTION("IF(ISBLANK(A747),"""",GOOGLETRANSLATE(A747,""en"",""fr""))"),"")</f>
        <v/>
      </c>
    </row>
    <row r="748" spans="2:2">
      <c r="B748" s="3" t="str">
        <f ca="1">IFERROR(__xludf.DUMMYFUNCTION("IF(ISBLANK(A748),"""",GOOGLETRANSLATE(A748,""en"",""fr""))"),"")</f>
        <v/>
      </c>
    </row>
    <row r="749" spans="2:2">
      <c r="B749" s="3" t="str">
        <f ca="1">IFERROR(__xludf.DUMMYFUNCTION("IF(ISBLANK(A749),"""",GOOGLETRANSLATE(A749,""en"",""fr""))"),"")</f>
        <v/>
      </c>
    </row>
    <row r="750" spans="2:2">
      <c r="B750" s="3" t="str">
        <f ca="1">IFERROR(__xludf.DUMMYFUNCTION("IF(ISBLANK(A750),"""",GOOGLETRANSLATE(A750,""en"",""fr""))"),"")</f>
        <v/>
      </c>
    </row>
    <row r="751" spans="2:2">
      <c r="B751" s="3" t="str">
        <f ca="1">IFERROR(__xludf.DUMMYFUNCTION("IF(ISBLANK(A751),"""",GOOGLETRANSLATE(A751,""en"",""fr""))"),"")</f>
        <v/>
      </c>
    </row>
    <row r="752" spans="2:2">
      <c r="B752" s="3" t="str">
        <f ca="1">IFERROR(__xludf.DUMMYFUNCTION("IF(ISBLANK(A752),"""",GOOGLETRANSLATE(A752,""en"",""fr""))"),"")</f>
        <v/>
      </c>
    </row>
    <row r="753" spans="2:2">
      <c r="B753" s="3" t="str">
        <f ca="1">IFERROR(__xludf.DUMMYFUNCTION("IF(ISBLANK(A753),"""",GOOGLETRANSLATE(A753,""en"",""fr""))"),"")</f>
        <v/>
      </c>
    </row>
    <row r="754" spans="2:2">
      <c r="B754" s="3" t="str">
        <f ca="1">IFERROR(__xludf.DUMMYFUNCTION("IF(ISBLANK(A754),"""",GOOGLETRANSLATE(A754,""en"",""fr""))"),"")</f>
        <v/>
      </c>
    </row>
    <row r="755" spans="2:2">
      <c r="B755" s="3" t="str">
        <f ca="1">IFERROR(__xludf.DUMMYFUNCTION("IF(ISBLANK(A755),"""",GOOGLETRANSLATE(A755,""en"",""fr""))"),"")</f>
        <v/>
      </c>
    </row>
    <row r="756" spans="2:2">
      <c r="B756" s="3" t="str">
        <f ca="1">IFERROR(__xludf.DUMMYFUNCTION("IF(ISBLANK(A756),"""",GOOGLETRANSLATE(A756,""en"",""fr""))"),"")</f>
        <v/>
      </c>
    </row>
    <row r="757" spans="2:2">
      <c r="B757" s="3" t="str">
        <f ca="1">IFERROR(__xludf.DUMMYFUNCTION("IF(ISBLANK(A757),"""",GOOGLETRANSLATE(A757,""en"",""fr""))"),"")</f>
        <v/>
      </c>
    </row>
    <row r="758" spans="2:2">
      <c r="B758" s="3" t="str">
        <f ca="1">IFERROR(__xludf.DUMMYFUNCTION("IF(ISBLANK(A758),"""",GOOGLETRANSLATE(A758,""en"",""fr""))"),"")</f>
        <v/>
      </c>
    </row>
    <row r="759" spans="2:2">
      <c r="B759" s="3" t="str">
        <f ca="1">IFERROR(__xludf.DUMMYFUNCTION("IF(ISBLANK(A759),"""",GOOGLETRANSLATE(A759,""en"",""fr""))"),"")</f>
        <v/>
      </c>
    </row>
    <row r="760" spans="2:2">
      <c r="B760" s="3" t="str">
        <f ca="1">IFERROR(__xludf.DUMMYFUNCTION("IF(ISBLANK(A760),"""",GOOGLETRANSLATE(A760,""en"",""fr""))"),"")</f>
        <v/>
      </c>
    </row>
    <row r="761" spans="2:2">
      <c r="B761" s="3" t="str">
        <f ca="1">IFERROR(__xludf.DUMMYFUNCTION("IF(ISBLANK(A761),"""",GOOGLETRANSLATE(A761,""en"",""fr""))"),"")</f>
        <v/>
      </c>
    </row>
    <row r="762" spans="2:2">
      <c r="B762" s="3" t="str">
        <f ca="1">IFERROR(__xludf.DUMMYFUNCTION("IF(ISBLANK(A762),"""",GOOGLETRANSLATE(A762,""en"",""fr""))"),"")</f>
        <v/>
      </c>
    </row>
    <row r="763" spans="2:2">
      <c r="B763" s="3" t="str">
        <f ca="1">IFERROR(__xludf.DUMMYFUNCTION("IF(ISBLANK(A763),"""",GOOGLETRANSLATE(A763,""en"",""fr""))"),"")</f>
        <v/>
      </c>
    </row>
    <row r="764" spans="2:2">
      <c r="B764" s="3" t="str">
        <f ca="1">IFERROR(__xludf.DUMMYFUNCTION("IF(ISBLANK(A764),"""",GOOGLETRANSLATE(A764,""en"",""fr""))"),"")</f>
        <v/>
      </c>
    </row>
    <row r="765" spans="2:2">
      <c r="B765" s="3" t="str">
        <f ca="1">IFERROR(__xludf.DUMMYFUNCTION("IF(ISBLANK(A765),"""",GOOGLETRANSLATE(A765,""en"",""fr""))"),"")</f>
        <v/>
      </c>
    </row>
    <row r="766" spans="2:2">
      <c r="B766" s="3" t="str">
        <f ca="1">IFERROR(__xludf.DUMMYFUNCTION("IF(ISBLANK(A766),"""",GOOGLETRANSLATE(A766,""en"",""fr""))"),"")</f>
        <v/>
      </c>
    </row>
    <row r="767" spans="2:2">
      <c r="B767" s="3" t="str">
        <f ca="1">IFERROR(__xludf.DUMMYFUNCTION("IF(ISBLANK(A767),"""",GOOGLETRANSLATE(A767,""en"",""fr""))"),"")</f>
        <v/>
      </c>
    </row>
    <row r="768" spans="2:2">
      <c r="B768" s="3" t="str">
        <f ca="1">IFERROR(__xludf.DUMMYFUNCTION("IF(ISBLANK(A768),"""",GOOGLETRANSLATE(A768,""en"",""fr""))"),"")</f>
        <v/>
      </c>
    </row>
    <row r="769" spans="2:2">
      <c r="B769" s="3" t="str">
        <f ca="1">IFERROR(__xludf.DUMMYFUNCTION("IF(ISBLANK(A769),"""",GOOGLETRANSLATE(A769,""en"",""fr""))"),"")</f>
        <v/>
      </c>
    </row>
    <row r="770" spans="2:2">
      <c r="B770" s="3" t="str">
        <f ca="1">IFERROR(__xludf.DUMMYFUNCTION("IF(ISBLANK(A770),"""",GOOGLETRANSLATE(A770,""en"",""fr""))"),"")</f>
        <v/>
      </c>
    </row>
    <row r="771" spans="2:2">
      <c r="B771" s="3" t="str">
        <f ca="1">IFERROR(__xludf.DUMMYFUNCTION("IF(ISBLANK(A771),"""",GOOGLETRANSLATE(A771,""en"",""fr""))"),"")</f>
        <v/>
      </c>
    </row>
    <row r="772" spans="2:2">
      <c r="B772" s="3" t="str">
        <f ca="1">IFERROR(__xludf.DUMMYFUNCTION("IF(ISBLANK(A772),"""",GOOGLETRANSLATE(A772,""en"",""fr""))"),"")</f>
        <v/>
      </c>
    </row>
    <row r="773" spans="2:2">
      <c r="B773" s="3" t="str">
        <f ca="1">IFERROR(__xludf.DUMMYFUNCTION("IF(ISBLANK(A773),"""",GOOGLETRANSLATE(A773,""en"",""fr""))"),"")</f>
        <v/>
      </c>
    </row>
    <row r="774" spans="2:2">
      <c r="B774" s="3" t="str">
        <f ca="1">IFERROR(__xludf.DUMMYFUNCTION("IF(ISBLANK(A774),"""",GOOGLETRANSLATE(A774,""en"",""fr""))"),"")</f>
        <v/>
      </c>
    </row>
    <row r="775" spans="2:2">
      <c r="B775" s="3" t="str">
        <f ca="1">IFERROR(__xludf.DUMMYFUNCTION("IF(ISBLANK(A775),"""",GOOGLETRANSLATE(A775,""en"",""fr""))"),"")</f>
        <v/>
      </c>
    </row>
    <row r="776" spans="2:2">
      <c r="B776" s="3" t="str">
        <f ca="1">IFERROR(__xludf.DUMMYFUNCTION("IF(ISBLANK(A776),"""",GOOGLETRANSLATE(A776,""en"",""fr""))"),"")</f>
        <v/>
      </c>
    </row>
    <row r="777" spans="2:2">
      <c r="B777" s="3" t="str">
        <f ca="1">IFERROR(__xludf.DUMMYFUNCTION("IF(ISBLANK(A777),"""",GOOGLETRANSLATE(A777,""en"",""fr""))"),"")</f>
        <v/>
      </c>
    </row>
    <row r="778" spans="2:2">
      <c r="B778" s="3" t="str">
        <f ca="1">IFERROR(__xludf.DUMMYFUNCTION("IF(ISBLANK(A778),"""",GOOGLETRANSLATE(A778,""en"",""fr""))"),"")</f>
        <v/>
      </c>
    </row>
    <row r="779" spans="2:2">
      <c r="B779" s="3" t="str">
        <f ca="1">IFERROR(__xludf.DUMMYFUNCTION("IF(ISBLANK(A779),"""",GOOGLETRANSLATE(A779,""en"",""fr""))"),"")</f>
        <v/>
      </c>
    </row>
    <row r="780" spans="2:2">
      <c r="B780" s="3" t="str">
        <f ca="1">IFERROR(__xludf.DUMMYFUNCTION("IF(ISBLANK(A780),"""",GOOGLETRANSLATE(A780,""en"",""fr""))"),"")</f>
        <v/>
      </c>
    </row>
    <row r="781" spans="2:2">
      <c r="B781" s="3" t="str">
        <f ca="1">IFERROR(__xludf.DUMMYFUNCTION("IF(ISBLANK(A781),"""",GOOGLETRANSLATE(A781,""en"",""fr""))"),"")</f>
        <v/>
      </c>
    </row>
    <row r="782" spans="2:2">
      <c r="B782" s="3" t="str">
        <f ca="1">IFERROR(__xludf.DUMMYFUNCTION("IF(ISBLANK(A782),"""",GOOGLETRANSLATE(A782,""en"",""fr""))"),"")</f>
        <v/>
      </c>
    </row>
    <row r="783" spans="2:2">
      <c r="B783" s="3" t="str">
        <f ca="1">IFERROR(__xludf.DUMMYFUNCTION("IF(ISBLANK(A783),"""",GOOGLETRANSLATE(A783,""en"",""fr""))"),"")</f>
        <v/>
      </c>
    </row>
    <row r="784" spans="2:2">
      <c r="B784" s="3" t="str">
        <f ca="1">IFERROR(__xludf.DUMMYFUNCTION("IF(ISBLANK(A784),"""",GOOGLETRANSLATE(A784,""en"",""fr""))"),"")</f>
        <v/>
      </c>
    </row>
    <row r="785" spans="2:2">
      <c r="B785" s="3" t="str">
        <f ca="1">IFERROR(__xludf.DUMMYFUNCTION("IF(ISBLANK(A785),"""",GOOGLETRANSLATE(A785,""en"",""fr""))"),"")</f>
        <v/>
      </c>
    </row>
    <row r="786" spans="2:2">
      <c r="B786" s="3" t="str">
        <f ca="1">IFERROR(__xludf.DUMMYFUNCTION("IF(ISBLANK(A786),"""",GOOGLETRANSLATE(A786,""en"",""fr""))"),"")</f>
        <v/>
      </c>
    </row>
    <row r="787" spans="2:2">
      <c r="B787" s="3" t="str">
        <f ca="1">IFERROR(__xludf.DUMMYFUNCTION("IF(ISBLANK(A787),"""",GOOGLETRANSLATE(A787,""en"",""fr""))"),"")</f>
        <v/>
      </c>
    </row>
    <row r="788" spans="2:2">
      <c r="B788" s="3" t="str">
        <f ca="1">IFERROR(__xludf.DUMMYFUNCTION("IF(ISBLANK(A788),"""",GOOGLETRANSLATE(A788,""en"",""fr""))"),"")</f>
        <v/>
      </c>
    </row>
    <row r="789" spans="2:2">
      <c r="B789" s="3" t="str">
        <f ca="1">IFERROR(__xludf.DUMMYFUNCTION("IF(ISBLANK(A789),"""",GOOGLETRANSLATE(A789,""en"",""fr""))"),"")</f>
        <v/>
      </c>
    </row>
    <row r="790" spans="2:2">
      <c r="B790" s="3" t="str">
        <f ca="1">IFERROR(__xludf.DUMMYFUNCTION("IF(ISBLANK(A790),"""",GOOGLETRANSLATE(A790,""en"",""fr""))"),"")</f>
        <v/>
      </c>
    </row>
    <row r="791" spans="2:2">
      <c r="B791" s="3" t="str">
        <f ca="1">IFERROR(__xludf.DUMMYFUNCTION("IF(ISBLANK(A791),"""",GOOGLETRANSLATE(A791,""en"",""fr""))"),"")</f>
        <v/>
      </c>
    </row>
    <row r="792" spans="2:2">
      <c r="B792" s="3" t="str">
        <f ca="1">IFERROR(__xludf.DUMMYFUNCTION("IF(ISBLANK(A792),"""",GOOGLETRANSLATE(A792,""en"",""fr""))"),"")</f>
        <v/>
      </c>
    </row>
    <row r="793" spans="2:2">
      <c r="B793" s="3" t="str">
        <f ca="1">IFERROR(__xludf.DUMMYFUNCTION("IF(ISBLANK(A793),"""",GOOGLETRANSLATE(A793,""en"",""fr""))"),"")</f>
        <v/>
      </c>
    </row>
    <row r="794" spans="2:2">
      <c r="B794" s="3" t="str">
        <f ca="1">IFERROR(__xludf.DUMMYFUNCTION("IF(ISBLANK(A794),"""",GOOGLETRANSLATE(A794,""en"",""fr""))"),"")</f>
        <v/>
      </c>
    </row>
    <row r="795" spans="2:2">
      <c r="B795" s="3" t="str">
        <f ca="1">IFERROR(__xludf.DUMMYFUNCTION("IF(ISBLANK(A795),"""",GOOGLETRANSLATE(A795,""en"",""fr""))"),"")</f>
        <v/>
      </c>
    </row>
    <row r="796" spans="2:2">
      <c r="B796" s="3" t="str">
        <f ca="1">IFERROR(__xludf.DUMMYFUNCTION("IF(ISBLANK(A796),"""",GOOGLETRANSLATE(A796,""en"",""fr""))"),"")</f>
        <v/>
      </c>
    </row>
    <row r="797" spans="2:2">
      <c r="B797" s="3" t="str">
        <f ca="1">IFERROR(__xludf.DUMMYFUNCTION("IF(ISBLANK(A797),"""",GOOGLETRANSLATE(A797,""en"",""fr""))"),"")</f>
        <v/>
      </c>
    </row>
    <row r="798" spans="2:2">
      <c r="B798" s="3" t="str">
        <f ca="1">IFERROR(__xludf.DUMMYFUNCTION("IF(ISBLANK(A798),"""",GOOGLETRANSLATE(A798,""en"",""fr""))"),"")</f>
        <v/>
      </c>
    </row>
    <row r="799" spans="2:2">
      <c r="B799" s="3" t="str">
        <f ca="1">IFERROR(__xludf.DUMMYFUNCTION("IF(ISBLANK(A799),"""",GOOGLETRANSLATE(A799,""en"",""fr""))"),"")</f>
        <v/>
      </c>
    </row>
    <row r="800" spans="2:2">
      <c r="B800" s="3" t="str">
        <f ca="1">IFERROR(__xludf.DUMMYFUNCTION("IF(ISBLANK(A800),"""",GOOGLETRANSLATE(A800,""en"",""fr""))"),"")</f>
        <v/>
      </c>
    </row>
    <row r="801" spans="2:2">
      <c r="B801" s="3" t="str">
        <f ca="1">IFERROR(__xludf.DUMMYFUNCTION("IF(ISBLANK(A801),"""",GOOGLETRANSLATE(A801,""en"",""fr""))"),"")</f>
        <v/>
      </c>
    </row>
    <row r="802" spans="2:2">
      <c r="B802" s="3" t="str">
        <f ca="1">IFERROR(__xludf.DUMMYFUNCTION("IF(ISBLANK(A802),"""",GOOGLETRANSLATE(A802,""en"",""fr""))"),"")</f>
        <v/>
      </c>
    </row>
    <row r="803" spans="2:2">
      <c r="B803" s="3" t="str">
        <f ca="1">IFERROR(__xludf.DUMMYFUNCTION("IF(ISBLANK(A803),"""",GOOGLETRANSLATE(A803,""en"",""fr""))"),"")</f>
        <v/>
      </c>
    </row>
    <row r="804" spans="2:2">
      <c r="B804" s="3" t="str">
        <f ca="1">IFERROR(__xludf.DUMMYFUNCTION("IF(ISBLANK(A804),"""",GOOGLETRANSLATE(A804,""en"",""fr""))"),"")</f>
        <v/>
      </c>
    </row>
    <row r="805" spans="2:2">
      <c r="B805" s="3" t="str">
        <f ca="1">IFERROR(__xludf.DUMMYFUNCTION("IF(ISBLANK(A805),"""",GOOGLETRANSLATE(A805,""en"",""fr""))"),"")</f>
        <v/>
      </c>
    </row>
    <row r="806" spans="2:2">
      <c r="B806" s="3" t="str">
        <f ca="1">IFERROR(__xludf.DUMMYFUNCTION("IF(ISBLANK(A806),"""",GOOGLETRANSLATE(A806,""en"",""fr""))"),"")</f>
        <v/>
      </c>
    </row>
    <row r="807" spans="2:2">
      <c r="B807" s="3" t="str">
        <f ca="1">IFERROR(__xludf.DUMMYFUNCTION("IF(ISBLANK(A807),"""",GOOGLETRANSLATE(A807,""en"",""fr""))"),"")</f>
        <v/>
      </c>
    </row>
    <row r="808" spans="2:2">
      <c r="B808" s="3" t="str">
        <f ca="1">IFERROR(__xludf.DUMMYFUNCTION("IF(ISBLANK(A808),"""",GOOGLETRANSLATE(A808,""en"",""fr""))"),"")</f>
        <v/>
      </c>
    </row>
    <row r="809" spans="2:2">
      <c r="B809" s="3" t="str">
        <f ca="1">IFERROR(__xludf.DUMMYFUNCTION("IF(ISBLANK(A809),"""",GOOGLETRANSLATE(A809,""en"",""fr""))"),"")</f>
        <v/>
      </c>
    </row>
    <row r="810" spans="2:2">
      <c r="B810" s="3" t="str">
        <f ca="1">IFERROR(__xludf.DUMMYFUNCTION("IF(ISBLANK(A810),"""",GOOGLETRANSLATE(A810,""en"",""fr""))"),"")</f>
        <v/>
      </c>
    </row>
    <row r="811" spans="2:2">
      <c r="B811" s="3" t="str">
        <f ca="1">IFERROR(__xludf.DUMMYFUNCTION("IF(ISBLANK(A811),"""",GOOGLETRANSLATE(A811,""en"",""fr""))"),"")</f>
        <v/>
      </c>
    </row>
    <row r="812" spans="2:2">
      <c r="B812" s="3" t="str">
        <f ca="1">IFERROR(__xludf.DUMMYFUNCTION("IF(ISBLANK(A812),"""",GOOGLETRANSLATE(A812,""en"",""fr""))"),"")</f>
        <v/>
      </c>
    </row>
    <row r="813" spans="2:2">
      <c r="B813" s="3" t="str">
        <f ca="1">IFERROR(__xludf.DUMMYFUNCTION("IF(ISBLANK(A813),"""",GOOGLETRANSLATE(A813,""en"",""fr""))"),"")</f>
        <v/>
      </c>
    </row>
    <row r="814" spans="2:2">
      <c r="B814" s="3" t="str">
        <f ca="1">IFERROR(__xludf.DUMMYFUNCTION("IF(ISBLANK(A814),"""",GOOGLETRANSLATE(A814,""en"",""fr""))"),"")</f>
        <v/>
      </c>
    </row>
    <row r="815" spans="2:2">
      <c r="B815" s="3" t="str">
        <f ca="1">IFERROR(__xludf.DUMMYFUNCTION("IF(ISBLANK(A815),"""",GOOGLETRANSLATE(A815,""en"",""fr""))"),"")</f>
        <v/>
      </c>
    </row>
    <row r="816" spans="2:2">
      <c r="B816" s="3" t="str">
        <f ca="1">IFERROR(__xludf.DUMMYFUNCTION("IF(ISBLANK(A816),"""",GOOGLETRANSLATE(A816,""en"",""fr""))"),"")</f>
        <v/>
      </c>
    </row>
    <row r="817" spans="2:2">
      <c r="B817" s="3" t="str">
        <f ca="1">IFERROR(__xludf.DUMMYFUNCTION("IF(ISBLANK(A817),"""",GOOGLETRANSLATE(A817,""en"",""fr""))"),"")</f>
        <v/>
      </c>
    </row>
    <row r="818" spans="2:2">
      <c r="B818" s="3" t="str">
        <f ca="1">IFERROR(__xludf.DUMMYFUNCTION("IF(ISBLANK(A818),"""",GOOGLETRANSLATE(A818,""en"",""fr""))"),"")</f>
        <v/>
      </c>
    </row>
    <row r="819" spans="2:2">
      <c r="B819" s="3" t="str">
        <f ca="1">IFERROR(__xludf.DUMMYFUNCTION("IF(ISBLANK(A819),"""",GOOGLETRANSLATE(A819,""en"",""fr""))"),"")</f>
        <v/>
      </c>
    </row>
    <row r="820" spans="2:2">
      <c r="B820" s="3" t="str">
        <f ca="1">IFERROR(__xludf.DUMMYFUNCTION("IF(ISBLANK(A820),"""",GOOGLETRANSLATE(A820,""en"",""fr""))"),"")</f>
        <v/>
      </c>
    </row>
    <row r="821" spans="2:2">
      <c r="B821" s="3" t="str">
        <f ca="1">IFERROR(__xludf.DUMMYFUNCTION("IF(ISBLANK(A821),"""",GOOGLETRANSLATE(A821,""en"",""fr""))"),"")</f>
        <v/>
      </c>
    </row>
    <row r="822" spans="2:2">
      <c r="B822" s="3" t="str">
        <f ca="1">IFERROR(__xludf.DUMMYFUNCTION("IF(ISBLANK(A822),"""",GOOGLETRANSLATE(A822,""en"",""fr""))"),"")</f>
        <v/>
      </c>
    </row>
    <row r="823" spans="2:2">
      <c r="B823" s="3" t="str">
        <f ca="1">IFERROR(__xludf.DUMMYFUNCTION("IF(ISBLANK(A823),"""",GOOGLETRANSLATE(A823,""en"",""fr""))"),"")</f>
        <v/>
      </c>
    </row>
    <row r="824" spans="2:2">
      <c r="B824" s="3" t="str">
        <f ca="1">IFERROR(__xludf.DUMMYFUNCTION("IF(ISBLANK(A824),"""",GOOGLETRANSLATE(A824,""en"",""fr""))"),"")</f>
        <v/>
      </c>
    </row>
    <row r="825" spans="2:2">
      <c r="B825" s="3" t="str">
        <f ca="1">IFERROR(__xludf.DUMMYFUNCTION("IF(ISBLANK(A825),"""",GOOGLETRANSLATE(A825,""en"",""fr""))"),"")</f>
        <v/>
      </c>
    </row>
    <row r="826" spans="2:2">
      <c r="B826" s="3" t="str">
        <f ca="1">IFERROR(__xludf.DUMMYFUNCTION("IF(ISBLANK(A826),"""",GOOGLETRANSLATE(A826,""en"",""fr""))"),"")</f>
        <v/>
      </c>
    </row>
    <row r="827" spans="2:2">
      <c r="B827" s="3" t="str">
        <f ca="1">IFERROR(__xludf.DUMMYFUNCTION("IF(ISBLANK(A827),"""",GOOGLETRANSLATE(A827,""en"",""fr""))"),"")</f>
        <v/>
      </c>
    </row>
    <row r="828" spans="2:2">
      <c r="B828" s="3" t="str">
        <f ca="1">IFERROR(__xludf.DUMMYFUNCTION("IF(ISBLANK(A828),"""",GOOGLETRANSLATE(A828,""en"",""fr""))"),"")</f>
        <v/>
      </c>
    </row>
    <row r="829" spans="2:2">
      <c r="B829" s="3" t="str">
        <f ca="1">IFERROR(__xludf.DUMMYFUNCTION("IF(ISBLANK(A829),"""",GOOGLETRANSLATE(A829,""en"",""fr""))"),"")</f>
        <v/>
      </c>
    </row>
    <row r="830" spans="2:2">
      <c r="B830" s="3" t="str">
        <f ca="1">IFERROR(__xludf.DUMMYFUNCTION("IF(ISBLANK(A830),"""",GOOGLETRANSLATE(A830,""en"",""fr""))"),"")</f>
        <v/>
      </c>
    </row>
    <row r="831" spans="2:2">
      <c r="B831" s="3" t="str">
        <f ca="1">IFERROR(__xludf.DUMMYFUNCTION("IF(ISBLANK(A831),"""",GOOGLETRANSLATE(A831,""en"",""fr""))"),"")</f>
        <v/>
      </c>
    </row>
    <row r="832" spans="2:2">
      <c r="B832" s="3" t="str">
        <f ca="1">IFERROR(__xludf.DUMMYFUNCTION("IF(ISBLANK(A832),"""",GOOGLETRANSLATE(A832,""en"",""fr""))"),"")</f>
        <v/>
      </c>
    </row>
    <row r="833" spans="2:2">
      <c r="B833" s="3" t="str">
        <f ca="1">IFERROR(__xludf.DUMMYFUNCTION("IF(ISBLANK(A833),"""",GOOGLETRANSLATE(A833,""en"",""fr""))"),"")</f>
        <v/>
      </c>
    </row>
    <row r="834" spans="2:2">
      <c r="B834" s="3" t="str">
        <f ca="1">IFERROR(__xludf.DUMMYFUNCTION("IF(ISBLANK(A834),"""",GOOGLETRANSLATE(A834,""en"",""fr""))"),"")</f>
        <v/>
      </c>
    </row>
    <row r="835" spans="2:2">
      <c r="B835" s="3" t="str">
        <f ca="1">IFERROR(__xludf.DUMMYFUNCTION("IF(ISBLANK(A835),"""",GOOGLETRANSLATE(A835,""en"",""fr""))"),"")</f>
        <v/>
      </c>
    </row>
    <row r="836" spans="2:2">
      <c r="B836" s="3" t="str">
        <f ca="1">IFERROR(__xludf.DUMMYFUNCTION("IF(ISBLANK(A836),"""",GOOGLETRANSLATE(A836,""en"",""fr""))"),"")</f>
        <v/>
      </c>
    </row>
    <row r="837" spans="2:2">
      <c r="B837" s="3" t="str">
        <f ca="1">IFERROR(__xludf.DUMMYFUNCTION("IF(ISBLANK(A837),"""",GOOGLETRANSLATE(A837,""en"",""fr""))"),"")</f>
        <v/>
      </c>
    </row>
    <row r="838" spans="2:2">
      <c r="B838" s="3" t="str">
        <f ca="1">IFERROR(__xludf.DUMMYFUNCTION("IF(ISBLANK(A838),"""",GOOGLETRANSLATE(A838,""en"",""fr""))"),"")</f>
        <v/>
      </c>
    </row>
    <row r="839" spans="2:2">
      <c r="B839" s="3" t="str">
        <f ca="1">IFERROR(__xludf.DUMMYFUNCTION("IF(ISBLANK(A839),"""",GOOGLETRANSLATE(A839,""en"",""fr""))"),"")</f>
        <v/>
      </c>
    </row>
    <row r="840" spans="2:2">
      <c r="B840" s="3" t="str">
        <f ca="1">IFERROR(__xludf.DUMMYFUNCTION("IF(ISBLANK(A840),"""",GOOGLETRANSLATE(A840,""en"",""fr""))"),"")</f>
        <v/>
      </c>
    </row>
    <row r="841" spans="2:2">
      <c r="B841" s="3" t="str">
        <f ca="1">IFERROR(__xludf.DUMMYFUNCTION("IF(ISBLANK(A841),"""",GOOGLETRANSLATE(A841,""en"",""fr""))"),"")</f>
        <v/>
      </c>
    </row>
    <row r="842" spans="2:2">
      <c r="B842" s="3" t="str">
        <f ca="1">IFERROR(__xludf.DUMMYFUNCTION("IF(ISBLANK(A842),"""",GOOGLETRANSLATE(A842,""en"",""fr""))"),"")</f>
        <v/>
      </c>
    </row>
    <row r="843" spans="2:2">
      <c r="B843" s="3" t="str">
        <f ca="1">IFERROR(__xludf.DUMMYFUNCTION("IF(ISBLANK(A843),"""",GOOGLETRANSLATE(A843,""en"",""fr""))"),"")</f>
        <v/>
      </c>
    </row>
    <row r="844" spans="2:2">
      <c r="B844" s="3" t="str">
        <f ca="1">IFERROR(__xludf.DUMMYFUNCTION("IF(ISBLANK(A844),"""",GOOGLETRANSLATE(A844,""en"",""fr""))"),"")</f>
        <v/>
      </c>
    </row>
    <row r="845" spans="2:2">
      <c r="B845" s="3" t="str">
        <f ca="1">IFERROR(__xludf.DUMMYFUNCTION("IF(ISBLANK(A845),"""",GOOGLETRANSLATE(A845,""en"",""fr""))"),"")</f>
        <v/>
      </c>
    </row>
    <row r="846" spans="2:2">
      <c r="B846" s="3" t="str">
        <f ca="1">IFERROR(__xludf.DUMMYFUNCTION("IF(ISBLANK(A846),"""",GOOGLETRANSLATE(A846,""en"",""fr""))"),"")</f>
        <v/>
      </c>
    </row>
    <row r="847" spans="2:2">
      <c r="B847" s="3" t="str">
        <f ca="1">IFERROR(__xludf.DUMMYFUNCTION("IF(ISBLANK(A847),"""",GOOGLETRANSLATE(A847,""en"",""fr""))"),"")</f>
        <v/>
      </c>
    </row>
    <row r="848" spans="2:2">
      <c r="B848" s="3" t="str">
        <f ca="1">IFERROR(__xludf.DUMMYFUNCTION("IF(ISBLANK(A848),"""",GOOGLETRANSLATE(A848,""en"",""fr""))"),"")</f>
        <v/>
      </c>
    </row>
    <row r="849" spans="2:2">
      <c r="B849" s="3" t="str">
        <f ca="1">IFERROR(__xludf.DUMMYFUNCTION("IF(ISBLANK(A849),"""",GOOGLETRANSLATE(A849,""en"",""fr""))"),"")</f>
        <v/>
      </c>
    </row>
    <row r="850" spans="2:2">
      <c r="B850" s="3" t="str">
        <f ca="1">IFERROR(__xludf.DUMMYFUNCTION("IF(ISBLANK(A850),"""",GOOGLETRANSLATE(A850,""en"",""fr""))"),"")</f>
        <v/>
      </c>
    </row>
    <row r="851" spans="2:2">
      <c r="B851" s="3" t="str">
        <f ca="1">IFERROR(__xludf.DUMMYFUNCTION("IF(ISBLANK(A851),"""",GOOGLETRANSLATE(A851,""en"",""fr""))"),"")</f>
        <v/>
      </c>
    </row>
    <row r="852" spans="2:2">
      <c r="B852" s="3" t="str">
        <f ca="1">IFERROR(__xludf.DUMMYFUNCTION("IF(ISBLANK(A852),"""",GOOGLETRANSLATE(A852,""en"",""fr""))"),"")</f>
        <v/>
      </c>
    </row>
    <row r="853" spans="2:2">
      <c r="B853" s="3" t="str">
        <f ca="1">IFERROR(__xludf.DUMMYFUNCTION("IF(ISBLANK(A853),"""",GOOGLETRANSLATE(A853,""en"",""fr""))"),"")</f>
        <v/>
      </c>
    </row>
    <row r="854" spans="2:2">
      <c r="B854" s="3" t="str">
        <f ca="1">IFERROR(__xludf.DUMMYFUNCTION("IF(ISBLANK(A854),"""",GOOGLETRANSLATE(A854,""en"",""fr""))"),"")</f>
        <v/>
      </c>
    </row>
    <row r="855" spans="2:2">
      <c r="B855" s="3" t="str">
        <f ca="1">IFERROR(__xludf.DUMMYFUNCTION("IF(ISBLANK(A855),"""",GOOGLETRANSLATE(A855,""en"",""fr""))"),"")</f>
        <v/>
      </c>
    </row>
    <row r="856" spans="2:2">
      <c r="B856" s="3" t="str">
        <f ca="1">IFERROR(__xludf.DUMMYFUNCTION("IF(ISBLANK(A856),"""",GOOGLETRANSLATE(A856,""en"",""fr""))"),"")</f>
        <v/>
      </c>
    </row>
    <row r="857" spans="2:2">
      <c r="B857" s="3" t="str">
        <f ca="1">IFERROR(__xludf.DUMMYFUNCTION("IF(ISBLANK(A857),"""",GOOGLETRANSLATE(A857,""en"",""fr""))"),"")</f>
        <v/>
      </c>
    </row>
    <row r="858" spans="2:2">
      <c r="B858" s="3" t="str">
        <f ca="1">IFERROR(__xludf.DUMMYFUNCTION("IF(ISBLANK(A858),"""",GOOGLETRANSLATE(A858,""en"",""fr""))"),"")</f>
        <v/>
      </c>
    </row>
    <row r="859" spans="2:2">
      <c r="B859" s="3" t="str">
        <f ca="1">IFERROR(__xludf.DUMMYFUNCTION("IF(ISBLANK(A859),"""",GOOGLETRANSLATE(A859,""en"",""fr""))"),"")</f>
        <v/>
      </c>
    </row>
    <row r="860" spans="2:2">
      <c r="B860" s="3" t="str">
        <f ca="1">IFERROR(__xludf.DUMMYFUNCTION("IF(ISBLANK(A860),"""",GOOGLETRANSLATE(A860,""en"",""fr""))"),"")</f>
        <v/>
      </c>
    </row>
    <row r="861" spans="2:2">
      <c r="B861" s="3" t="str">
        <f ca="1">IFERROR(__xludf.DUMMYFUNCTION("IF(ISBLANK(A861),"""",GOOGLETRANSLATE(A861,""en"",""fr""))"),"")</f>
        <v/>
      </c>
    </row>
    <row r="862" spans="2:2">
      <c r="B862" s="3" t="str">
        <f ca="1">IFERROR(__xludf.DUMMYFUNCTION("IF(ISBLANK(A862),"""",GOOGLETRANSLATE(A862,""en"",""fr""))"),"")</f>
        <v/>
      </c>
    </row>
    <row r="863" spans="2:2">
      <c r="B863" s="3" t="str">
        <f ca="1">IFERROR(__xludf.DUMMYFUNCTION("IF(ISBLANK(A863),"""",GOOGLETRANSLATE(A863,""en"",""fr""))"),"")</f>
        <v/>
      </c>
    </row>
    <row r="864" spans="2:2">
      <c r="B864" s="3" t="str">
        <f ca="1">IFERROR(__xludf.DUMMYFUNCTION("IF(ISBLANK(A864),"""",GOOGLETRANSLATE(A864,""en"",""fr""))"),"")</f>
        <v/>
      </c>
    </row>
    <row r="865" spans="2:2">
      <c r="B865" s="3" t="str">
        <f ca="1">IFERROR(__xludf.DUMMYFUNCTION("IF(ISBLANK(A865),"""",GOOGLETRANSLATE(A865,""en"",""fr""))"),"")</f>
        <v/>
      </c>
    </row>
    <row r="866" spans="2:2">
      <c r="B866" s="3" t="str">
        <f ca="1">IFERROR(__xludf.DUMMYFUNCTION("IF(ISBLANK(A866),"""",GOOGLETRANSLATE(A866,""en"",""fr""))"),"")</f>
        <v/>
      </c>
    </row>
    <row r="867" spans="2:2">
      <c r="B867" s="3" t="str">
        <f ca="1">IFERROR(__xludf.DUMMYFUNCTION("IF(ISBLANK(A867),"""",GOOGLETRANSLATE(A867,""en"",""fr""))"),"")</f>
        <v/>
      </c>
    </row>
    <row r="868" spans="2:2">
      <c r="B868" s="3" t="str">
        <f ca="1">IFERROR(__xludf.DUMMYFUNCTION("IF(ISBLANK(A868),"""",GOOGLETRANSLATE(A868,""en"",""fr""))"),"")</f>
        <v/>
      </c>
    </row>
    <row r="869" spans="2:2">
      <c r="B869" s="3" t="str">
        <f ca="1">IFERROR(__xludf.DUMMYFUNCTION("IF(ISBLANK(A869),"""",GOOGLETRANSLATE(A869,""en"",""fr""))"),"")</f>
        <v/>
      </c>
    </row>
    <row r="870" spans="2:2">
      <c r="B870" s="3" t="str">
        <f ca="1">IFERROR(__xludf.DUMMYFUNCTION("IF(ISBLANK(A870),"""",GOOGLETRANSLATE(A870,""en"",""fr""))"),"")</f>
        <v/>
      </c>
    </row>
    <row r="871" spans="2:2">
      <c r="B871" s="3" t="str">
        <f ca="1">IFERROR(__xludf.DUMMYFUNCTION("IF(ISBLANK(A871),"""",GOOGLETRANSLATE(A871,""en"",""fr""))"),"")</f>
        <v/>
      </c>
    </row>
    <row r="872" spans="2:2">
      <c r="B872" s="3" t="str">
        <f ca="1">IFERROR(__xludf.DUMMYFUNCTION("IF(ISBLANK(A872),"""",GOOGLETRANSLATE(A872,""en"",""fr""))"),"")</f>
        <v/>
      </c>
    </row>
    <row r="873" spans="2:2">
      <c r="B873" s="3" t="str">
        <f ca="1">IFERROR(__xludf.DUMMYFUNCTION("IF(ISBLANK(A873),"""",GOOGLETRANSLATE(A873,""en"",""fr""))"),"")</f>
        <v/>
      </c>
    </row>
    <row r="874" spans="2:2">
      <c r="B874" s="3" t="str">
        <f ca="1">IFERROR(__xludf.DUMMYFUNCTION("IF(ISBLANK(A874),"""",GOOGLETRANSLATE(A874,""en"",""fr""))"),"")</f>
        <v/>
      </c>
    </row>
    <row r="875" spans="2:2">
      <c r="B875" s="3" t="str">
        <f ca="1">IFERROR(__xludf.DUMMYFUNCTION("IF(ISBLANK(A875),"""",GOOGLETRANSLATE(A875,""en"",""fr""))"),"")</f>
        <v/>
      </c>
    </row>
    <row r="876" spans="2:2">
      <c r="B876" s="3" t="str">
        <f ca="1">IFERROR(__xludf.DUMMYFUNCTION("IF(ISBLANK(A876),"""",GOOGLETRANSLATE(A876,""en"",""fr""))"),"")</f>
        <v/>
      </c>
    </row>
    <row r="877" spans="2:2">
      <c r="B877" s="3" t="str">
        <f ca="1">IFERROR(__xludf.DUMMYFUNCTION("IF(ISBLANK(A877),"""",GOOGLETRANSLATE(A877,""en"",""fr""))"),"")</f>
        <v/>
      </c>
    </row>
    <row r="878" spans="2:2">
      <c r="B878" s="3" t="str">
        <f ca="1">IFERROR(__xludf.DUMMYFUNCTION("IF(ISBLANK(A878),"""",GOOGLETRANSLATE(A878,""en"",""fr""))"),"")</f>
        <v/>
      </c>
    </row>
    <row r="879" spans="2:2">
      <c r="B879" s="3" t="str">
        <f ca="1">IFERROR(__xludf.DUMMYFUNCTION("IF(ISBLANK(A879),"""",GOOGLETRANSLATE(A879,""en"",""fr""))"),"")</f>
        <v/>
      </c>
    </row>
    <row r="880" spans="2:2">
      <c r="B880" s="3" t="str">
        <f ca="1">IFERROR(__xludf.DUMMYFUNCTION("IF(ISBLANK(A880),"""",GOOGLETRANSLATE(A880,""en"",""fr""))"),"")</f>
        <v/>
      </c>
    </row>
    <row r="881" spans="2:2">
      <c r="B881" s="3" t="str">
        <f ca="1">IFERROR(__xludf.DUMMYFUNCTION("IF(ISBLANK(A881),"""",GOOGLETRANSLATE(A881,""en"",""fr""))"),"")</f>
        <v/>
      </c>
    </row>
    <row r="882" spans="2:2">
      <c r="B882" s="3" t="str">
        <f ca="1">IFERROR(__xludf.DUMMYFUNCTION("IF(ISBLANK(A882),"""",GOOGLETRANSLATE(A882,""en"",""fr""))"),"")</f>
        <v/>
      </c>
    </row>
    <row r="883" spans="2:2">
      <c r="B883" s="3" t="str">
        <f ca="1">IFERROR(__xludf.DUMMYFUNCTION("IF(ISBLANK(A883),"""",GOOGLETRANSLATE(A883,""en"",""fr""))"),"")</f>
        <v/>
      </c>
    </row>
    <row r="884" spans="2:2">
      <c r="B884" s="3" t="str">
        <f ca="1">IFERROR(__xludf.DUMMYFUNCTION("IF(ISBLANK(A884),"""",GOOGLETRANSLATE(A884,""en"",""fr""))"),"")</f>
        <v/>
      </c>
    </row>
    <row r="885" spans="2:2">
      <c r="B885" s="3" t="str">
        <f ca="1">IFERROR(__xludf.DUMMYFUNCTION("IF(ISBLANK(A885),"""",GOOGLETRANSLATE(A885,""en"",""fr""))"),"")</f>
        <v/>
      </c>
    </row>
    <row r="886" spans="2:2">
      <c r="B886" s="3" t="str">
        <f ca="1">IFERROR(__xludf.DUMMYFUNCTION("IF(ISBLANK(A886),"""",GOOGLETRANSLATE(A886,""en"",""fr""))"),"")</f>
        <v/>
      </c>
    </row>
    <row r="887" spans="2:2">
      <c r="B887" s="3" t="str">
        <f ca="1">IFERROR(__xludf.DUMMYFUNCTION("IF(ISBLANK(A887),"""",GOOGLETRANSLATE(A887,""en"",""fr""))"),"")</f>
        <v/>
      </c>
    </row>
    <row r="888" spans="2:2">
      <c r="B888" s="3" t="str">
        <f ca="1">IFERROR(__xludf.DUMMYFUNCTION("IF(ISBLANK(A888),"""",GOOGLETRANSLATE(A888,""en"",""fr""))"),"")</f>
        <v/>
      </c>
    </row>
    <row r="889" spans="2:2">
      <c r="B889" s="3" t="str">
        <f ca="1">IFERROR(__xludf.DUMMYFUNCTION("IF(ISBLANK(A889),"""",GOOGLETRANSLATE(A889,""en"",""fr""))"),"")</f>
        <v/>
      </c>
    </row>
    <row r="890" spans="2:2">
      <c r="B890" s="3" t="str">
        <f ca="1">IFERROR(__xludf.DUMMYFUNCTION("IF(ISBLANK(A890),"""",GOOGLETRANSLATE(A890,""en"",""fr""))"),"")</f>
        <v/>
      </c>
    </row>
    <row r="891" spans="2:2">
      <c r="B891" s="3" t="str">
        <f ca="1">IFERROR(__xludf.DUMMYFUNCTION("IF(ISBLANK(A891),"""",GOOGLETRANSLATE(A891,""en"",""fr""))"),"")</f>
        <v/>
      </c>
    </row>
    <row r="892" spans="2:2">
      <c r="B892" s="3" t="str">
        <f ca="1">IFERROR(__xludf.DUMMYFUNCTION("IF(ISBLANK(A892),"""",GOOGLETRANSLATE(A892,""en"",""fr""))"),"")</f>
        <v/>
      </c>
    </row>
    <row r="893" spans="2:2">
      <c r="B893" s="3" t="str">
        <f ca="1">IFERROR(__xludf.DUMMYFUNCTION("IF(ISBLANK(A893),"""",GOOGLETRANSLATE(A893,""en"",""fr""))"),"")</f>
        <v/>
      </c>
    </row>
    <row r="894" spans="2:2">
      <c r="B894" s="3" t="str">
        <f ca="1">IFERROR(__xludf.DUMMYFUNCTION("IF(ISBLANK(A894),"""",GOOGLETRANSLATE(A894,""en"",""fr""))"),"")</f>
        <v/>
      </c>
    </row>
    <row r="895" spans="2:2">
      <c r="B895" s="3" t="str">
        <f ca="1">IFERROR(__xludf.DUMMYFUNCTION("IF(ISBLANK(A895),"""",GOOGLETRANSLATE(A895,""en"",""fr""))"),"")</f>
        <v/>
      </c>
    </row>
    <row r="896" spans="2:2">
      <c r="B896" s="3" t="str">
        <f ca="1">IFERROR(__xludf.DUMMYFUNCTION("IF(ISBLANK(A896),"""",GOOGLETRANSLATE(A896,""en"",""fr""))"),"")</f>
        <v/>
      </c>
    </row>
    <row r="897" spans="2:2">
      <c r="B897" s="3" t="str">
        <f ca="1">IFERROR(__xludf.DUMMYFUNCTION("IF(ISBLANK(A897),"""",GOOGLETRANSLATE(A897,""en"",""fr""))"),"")</f>
        <v/>
      </c>
    </row>
    <row r="898" spans="2:2">
      <c r="B898" s="3" t="str">
        <f ca="1">IFERROR(__xludf.DUMMYFUNCTION("IF(ISBLANK(A898),"""",GOOGLETRANSLATE(A898,""en"",""fr""))"),"")</f>
        <v/>
      </c>
    </row>
    <row r="899" spans="2:2">
      <c r="B899" s="3" t="str">
        <f ca="1">IFERROR(__xludf.DUMMYFUNCTION("IF(ISBLANK(A899),"""",GOOGLETRANSLATE(A899,""en"",""fr""))"),"")</f>
        <v/>
      </c>
    </row>
    <row r="900" spans="2:2">
      <c r="B900" s="3" t="str">
        <f ca="1">IFERROR(__xludf.DUMMYFUNCTION("IF(ISBLANK(A900),"""",GOOGLETRANSLATE(A900,""en"",""fr""))"),"")</f>
        <v/>
      </c>
    </row>
    <row r="901" spans="2:2">
      <c r="B901" s="3" t="str">
        <f ca="1">IFERROR(__xludf.DUMMYFUNCTION("IF(ISBLANK(A901),"""",GOOGLETRANSLATE(A901,""en"",""fr""))"),"")</f>
        <v/>
      </c>
    </row>
    <row r="902" spans="2:2">
      <c r="B902" s="3" t="str">
        <f ca="1">IFERROR(__xludf.DUMMYFUNCTION("IF(ISBLANK(A902),"""",GOOGLETRANSLATE(A902,""en"",""fr""))"),"")</f>
        <v/>
      </c>
    </row>
    <row r="903" spans="2:2">
      <c r="B903" s="3" t="str">
        <f ca="1">IFERROR(__xludf.DUMMYFUNCTION("IF(ISBLANK(A903),"""",GOOGLETRANSLATE(A903,""en"",""fr""))"),"")</f>
        <v/>
      </c>
    </row>
    <row r="904" spans="2:2">
      <c r="B904" s="3" t="str">
        <f ca="1">IFERROR(__xludf.DUMMYFUNCTION("IF(ISBLANK(A904),"""",GOOGLETRANSLATE(A904,""en"",""fr""))"),"")</f>
        <v/>
      </c>
    </row>
    <row r="905" spans="2:2">
      <c r="B905" s="3" t="str">
        <f ca="1">IFERROR(__xludf.DUMMYFUNCTION("IF(ISBLANK(A905),"""",GOOGLETRANSLATE(A905,""en"",""fr""))"),"")</f>
        <v/>
      </c>
    </row>
    <row r="906" spans="2:2">
      <c r="B906" s="3" t="str">
        <f ca="1">IFERROR(__xludf.DUMMYFUNCTION("IF(ISBLANK(A906),"""",GOOGLETRANSLATE(A906,""en"",""fr""))"),"")</f>
        <v/>
      </c>
    </row>
    <row r="907" spans="2:2">
      <c r="B907" s="3" t="str">
        <f ca="1">IFERROR(__xludf.DUMMYFUNCTION("IF(ISBLANK(A907),"""",GOOGLETRANSLATE(A907,""en"",""fr""))"),"")</f>
        <v/>
      </c>
    </row>
    <row r="908" spans="2:2">
      <c r="B908" s="3" t="str">
        <f ca="1">IFERROR(__xludf.DUMMYFUNCTION("IF(ISBLANK(A908),"""",GOOGLETRANSLATE(A908,""en"",""fr""))"),"")</f>
        <v/>
      </c>
    </row>
    <row r="909" spans="2:2">
      <c r="B909" s="3" t="str">
        <f ca="1">IFERROR(__xludf.DUMMYFUNCTION("IF(ISBLANK(A909),"""",GOOGLETRANSLATE(A909,""en"",""fr""))"),"")</f>
        <v/>
      </c>
    </row>
    <row r="910" spans="2:2">
      <c r="B910" s="3" t="str">
        <f ca="1">IFERROR(__xludf.DUMMYFUNCTION("IF(ISBLANK(A910),"""",GOOGLETRANSLATE(A910,""en"",""fr""))"),"")</f>
        <v/>
      </c>
    </row>
    <row r="911" spans="2:2">
      <c r="B911" s="3" t="str">
        <f ca="1">IFERROR(__xludf.DUMMYFUNCTION("IF(ISBLANK(A911),"""",GOOGLETRANSLATE(A911,""en"",""fr""))"),"")</f>
        <v/>
      </c>
    </row>
    <row r="912" spans="2:2">
      <c r="B912" s="3" t="str">
        <f ca="1">IFERROR(__xludf.DUMMYFUNCTION("IF(ISBLANK(A912),"""",GOOGLETRANSLATE(A912,""en"",""fr""))"),"")</f>
        <v/>
      </c>
    </row>
    <row r="913" spans="2:2">
      <c r="B913" s="3" t="str">
        <f ca="1">IFERROR(__xludf.DUMMYFUNCTION("IF(ISBLANK(A913),"""",GOOGLETRANSLATE(A913,""en"",""fr""))"),"")</f>
        <v/>
      </c>
    </row>
    <row r="914" spans="2:2">
      <c r="B914" s="3" t="str">
        <f ca="1">IFERROR(__xludf.DUMMYFUNCTION("IF(ISBLANK(A914),"""",GOOGLETRANSLATE(A914,""en"",""fr""))"),"")</f>
        <v/>
      </c>
    </row>
    <row r="915" spans="2:2">
      <c r="B915" s="3" t="str">
        <f ca="1">IFERROR(__xludf.DUMMYFUNCTION("IF(ISBLANK(A915),"""",GOOGLETRANSLATE(A915,""en"",""fr""))"),"")</f>
        <v/>
      </c>
    </row>
    <row r="916" spans="2:2">
      <c r="B916" s="3" t="str">
        <f ca="1">IFERROR(__xludf.DUMMYFUNCTION("IF(ISBLANK(A916),"""",GOOGLETRANSLATE(A916,""en"",""fr""))"),"")</f>
        <v/>
      </c>
    </row>
    <row r="917" spans="2:2">
      <c r="B917" s="3" t="str">
        <f ca="1">IFERROR(__xludf.DUMMYFUNCTION("IF(ISBLANK(A917),"""",GOOGLETRANSLATE(A917,""en"",""fr""))"),"")</f>
        <v/>
      </c>
    </row>
    <row r="918" spans="2:2">
      <c r="B918" s="3" t="str">
        <f ca="1">IFERROR(__xludf.DUMMYFUNCTION("IF(ISBLANK(A918),"""",GOOGLETRANSLATE(A918,""en"",""fr""))"),"")</f>
        <v/>
      </c>
    </row>
    <row r="919" spans="2:2">
      <c r="B919" s="3" t="str">
        <f ca="1">IFERROR(__xludf.DUMMYFUNCTION("IF(ISBLANK(A919),"""",GOOGLETRANSLATE(A919,""en"",""fr""))"),"")</f>
        <v/>
      </c>
    </row>
    <row r="920" spans="2:2">
      <c r="B920" s="3" t="str">
        <f ca="1">IFERROR(__xludf.DUMMYFUNCTION("IF(ISBLANK(A920),"""",GOOGLETRANSLATE(A920,""en"",""fr""))"),"")</f>
        <v/>
      </c>
    </row>
    <row r="921" spans="2:2">
      <c r="B921" s="3" t="str">
        <f ca="1">IFERROR(__xludf.DUMMYFUNCTION("IF(ISBLANK(A921),"""",GOOGLETRANSLATE(A921,""en"",""fr""))"),"")</f>
        <v/>
      </c>
    </row>
    <row r="922" spans="2:2">
      <c r="B922" s="3" t="str">
        <f ca="1">IFERROR(__xludf.DUMMYFUNCTION("IF(ISBLANK(A922),"""",GOOGLETRANSLATE(A922,""en"",""fr""))"),"")</f>
        <v/>
      </c>
    </row>
    <row r="923" spans="2:2">
      <c r="B923" s="3" t="str">
        <f ca="1">IFERROR(__xludf.DUMMYFUNCTION("IF(ISBLANK(A923),"""",GOOGLETRANSLATE(A923,""en"",""fr""))"),"")</f>
        <v/>
      </c>
    </row>
    <row r="924" spans="2:2">
      <c r="B924" s="3" t="str">
        <f ca="1">IFERROR(__xludf.DUMMYFUNCTION("IF(ISBLANK(A924),"""",GOOGLETRANSLATE(A924,""en"",""fr""))"),"")</f>
        <v/>
      </c>
    </row>
    <row r="925" spans="2:2">
      <c r="B925" s="3" t="str">
        <f ca="1">IFERROR(__xludf.DUMMYFUNCTION("IF(ISBLANK(A925),"""",GOOGLETRANSLATE(A925,""en"",""fr""))"),"")</f>
        <v/>
      </c>
    </row>
    <row r="926" spans="2:2">
      <c r="B926" s="3" t="str">
        <f ca="1">IFERROR(__xludf.DUMMYFUNCTION("IF(ISBLANK(A926),"""",GOOGLETRANSLATE(A926,""en"",""fr""))"),"")</f>
        <v/>
      </c>
    </row>
    <row r="927" spans="2:2">
      <c r="B927" s="3" t="str">
        <f ca="1">IFERROR(__xludf.DUMMYFUNCTION("IF(ISBLANK(A927),"""",GOOGLETRANSLATE(A927,""en"",""fr""))"),"")</f>
        <v/>
      </c>
    </row>
    <row r="928" spans="2:2">
      <c r="B928" s="3" t="str">
        <f ca="1">IFERROR(__xludf.DUMMYFUNCTION("IF(ISBLANK(A928),"""",GOOGLETRANSLATE(A928,""en"",""fr""))"),"")</f>
        <v/>
      </c>
    </row>
    <row r="929" spans="2:2">
      <c r="B929" s="3" t="str">
        <f ca="1">IFERROR(__xludf.DUMMYFUNCTION("IF(ISBLANK(A929),"""",GOOGLETRANSLATE(A929,""en"",""fr""))"),"")</f>
        <v/>
      </c>
    </row>
    <row r="930" spans="2:2">
      <c r="B930" s="3" t="str">
        <f ca="1">IFERROR(__xludf.DUMMYFUNCTION("IF(ISBLANK(A930),"""",GOOGLETRANSLATE(A930,""en"",""fr""))"),"")</f>
        <v/>
      </c>
    </row>
    <row r="931" spans="2:2">
      <c r="B931" s="3" t="str">
        <f ca="1">IFERROR(__xludf.DUMMYFUNCTION("IF(ISBLANK(A931),"""",GOOGLETRANSLATE(A931,""en"",""fr""))"),"")</f>
        <v/>
      </c>
    </row>
    <row r="932" spans="2:2">
      <c r="B932" s="3" t="str">
        <f ca="1">IFERROR(__xludf.DUMMYFUNCTION("IF(ISBLANK(A932),"""",GOOGLETRANSLATE(A932,""en"",""fr""))"),"")</f>
        <v/>
      </c>
    </row>
    <row r="933" spans="2:2">
      <c r="B933" s="3" t="str">
        <f ca="1">IFERROR(__xludf.DUMMYFUNCTION("IF(ISBLANK(A933),"""",GOOGLETRANSLATE(A933,""en"",""fr""))"),"")</f>
        <v/>
      </c>
    </row>
    <row r="934" spans="2:2">
      <c r="B934" s="3" t="str">
        <f ca="1">IFERROR(__xludf.DUMMYFUNCTION("IF(ISBLANK(A934),"""",GOOGLETRANSLATE(A934,""en"",""fr""))"),"")</f>
        <v/>
      </c>
    </row>
    <row r="935" spans="2:2">
      <c r="B935" s="3" t="str">
        <f ca="1">IFERROR(__xludf.DUMMYFUNCTION("IF(ISBLANK(A935),"""",GOOGLETRANSLATE(A935,""en"",""fr""))"),"")</f>
        <v/>
      </c>
    </row>
    <row r="936" spans="2:2">
      <c r="B936" s="3" t="str">
        <f ca="1">IFERROR(__xludf.DUMMYFUNCTION("IF(ISBLANK(A936),"""",GOOGLETRANSLATE(A936,""en"",""fr""))"),"")</f>
        <v/>
      </c>
    </row>
    <row r="937" spans="2:2">
      <c r="B937" s="3" t="str">
        <f ca="1">IFERROR(__xludf.DUMMYFUNCTION("IF(ISBLANK(A937),"""",GOOGLETRANSLATE(A937,""en"",""fr""))"),"")</f>
        <v/>
      </c>
    </row>
    <row r="938" spans="2:2">
      <c r="B938" s="3" t="str">
        <f ca="1">IFERROR(__xludf.DUMMYFUNCTION("IF(ISBLANK(A938),"""",GOOGLETRANSLATE(A938,""en"",""fr""))"),"")</f>
        <v/>
      </c>
    </row>
    <row r="939" spans="2:2">
      <c r="B939" s="3" t="str">
        <f ca="1">IFERROR(__xludf.DUMMYFUNCTION("IF(ISBLANK(A939),"""",GOOGLETRANSLATE(A939,""en"",""fr""))"),"")</f>
        <v/>
      </c>
    </row>
    <row r="940" spans="2:2">
      <c r="B940" s="3" t="str">
        <f ca="1">IFERROR(__xludf.DUMMYFUNCTION("IF(ISBLANK(A940),"""",GOOGLETRANSLATE(A940,""en"",""fr""))"),"")</f>
        <v/>
      </c>
    </row>
    <row r="941" spans="2:2">
      <c r="B941" s="3" t="str">
        <f ca="1">IFERROR(__xludf.DUMMYFUNCTION("IF(ISBLANK(A941),"""",GOOGLETRANSLATE(A941,""en"",""fr""))"),"")</f>
        <v/>
      </c>
    </row>
    <row r="942" spans="2:2">
      <c r="B942" s="3" t="str">
        <f ca="1">IFERROR(__xludf.DUMMYFUNCTION("IF(ISBLANK(A942),"""",GOOGLETRANSLATE(A942,""en"",""fr""))"),"")</f>
        <v/>
      </c>
    </row>
    <row r="943" spans="2:2">
      <c r="B943" s="3" t="str">
        <f ca="1">IFERROR(__xludf.DUMMYFUNCTION("IF(ISBLANK(A943),"""",GOOGLETRANSLATE(A943,""en"",""fr""))"),"")</f>
        <v/>
      </c>
    </row>
    <row r="944" spans="2:2">
      <c r="B944" s="3" t="str">
        <f ca="1">IFERROR(__xludf.DUMMYFUNCTION("IF(ISBLANK(A944),"""",GOOGLETRANSLATE(A944,""en"",""fr""))"),"")</f>
        <v/>
      </c>
    </row>
    <row r="945" spans="2:2">
      <c r="B945" s="3" t="str">
        <f ca="1">IFERROR(__xludf.DUMMYFUNCTION("IF(ISBLANK(A945),"""",GOOGLETRANSLATE(A945,""en"",""fr""))"),"")</f>
        <v/>
      </c>
    </row>
    <row r="946" spans="2:2">
      <c r="B946" s="3" t="str">
        <f ca="1">IFERROR(__xludf.DUMMYFUNCTION("IF(ISBLANK(A946),"""",GOOGLETRANSLATE(A946,""en"",""fr""))"),"")</f>
        <v/>
      </c>
    </row>
    <row r="947" spans="2:2">
      <c r="B947" s="3" t="str">
        <f ca="1">IFERROR(__xludf.DUMMYFUNCTION("IF(ISBLANK(A947),"""",GOOGLETRANSLATE(A947,""en"",""fr""))"),"")</f>
        <v/>
      </c>
    </row>
    <row r="948" spans="2:2">
      <c r="B948" s="3" t="str">
        <f ca="1">IFERROR(__xludf.DUMMYFUNCTION("IF(ISBLANK(A948),"""",GOOGLETRANSLATE(A948,""en"",""fr""))"),"")</f>
        <v/>
      </c>
    </row>
    <row r="949" spans="2:2">
      <c r="B949" s="3" t="str">
        <f ca="1">IFERROR(__xludf.DUMMYFUNCTION("IF(ISBLANK(A949),"""",GOOGLETRANSLATE(A949,""en"",""fr""))"),"")</f>
        <v/>
      </c>
    </row>
    <row r="950" spans="2:2">
      <c r="B950" s="3" t="str">
        <f ca="1">IFERROR(__xludf.DUMMYFUNCTION("IF(ISBLANK(A950),"""",GOOGLETRANSLATE(A950,""en"",""fr""))"),"")</f>
        <v/>
      </c>
    </row>
    <row r="951" spans="2:2">
      <c r="B951" s="3" t="str">
        <f ca="1">IFERROR(__xludf.DUMMYFUNCTION("IF(ISBLANK(A951),"""",GOOGLETRANSLATE(A951,""en"",""fr""))"),"")</f>
        <v/>
      </c>
    </row>
    <row r="952" spans="2:2">
      <c r="B952" s="3" t="str">
        <f ca="1">IFERROR(__xludf.DUMMYFUNCTION("IF(ISBLANK(A952),"""",GOOGLETRANSLATE(A952,""en"",""fr""))"),"")</f>
        <v/>
      </c>
    </row>
    <row r="953" spans="2:2">
      <c r="B953" s="3" t="str">
        <f ca="1">IFERROR(__xludf.DUMMYFUNCTION("IF(ISBLANK(A953),"""",GOOGLETRANSLATE(A953,""en"",""fr""))"),"")</f>
        <v/>
      </c>
    </row>
    <row r="954" spans="2:2">
      <c r="B954" s="3" t="str">
        <f ca="1">IFERROR(__xludf.DUMMYFUNCTION("IF(ISBLANK(A954),"""",GOOGLETRANSLATE(A954,""en"",""fr""))"),"")</f>
        <v/>
      </c>
    </row>
    <row r="955" spans="2:2">
      <c r="B955" s="3" t="str">
        <f ca="1">IFERROR(__xludf.DUMMYFUNCTION("IF(ISBLANK(A955),"""",GOOGLETRANSLATE(A955,""en"",""fr""))"),"")</f>
        <v/>
      </c>
    </row>
    <row r="956" spans="2:2">
      <c r="B956" s="3" t="str">
        <f ca="1">IFERROR(__xludf.DUMMYFUNCTION("IF(ISBLANK(A956),"""",GOOGLETRANSLATE(A956,""en"",""fr""))"),"")</f>
        <v/>
      </c>
    </row>
    <row r="957" spans="2:2">
      <c r="B957" s="3" t="str">
        <f ca="1">IFERROR(__xludf.DUMMYFUNCTION("IF(ISBLANK(A957),"""",GOOGLETRANSLATE(A957,""en"",""fr""))"),"")</f>
        <v/>
      </c>
    </row>
    <row r="958" spans="2:2">
      <c r="B958" s="3" t="str">
        <f ca="1">IFERROR(__xludf.DUMMYFUNCTION("IF(ISBLANK(A958),"""",GOOGLETRANSLATE(A958,""en"",""fr""))"),"")</f>
        <v/>
      </c>
    </row>
    <row r="959" spans="2:2">
      <c r="B959" s="3" t="str">
        <f ca="1">IFERROR(__xludf.DUMMYFUNCTION("IF(ISBLANK(A959),"""",GOOGLETRANSLATE(A959,""en"",""fr""))"),"")</f>
        <v/>
      </c>
    </row>
    <row r="960" spans="2:2">
      <c r="B960" s="3" t="str">
        <f ca="1">IFERROR(__xludf.DUMMYFUNCTION("IF(ISBLANK(A960),"""",GOOGLETRANSLATE(A960,""en"",""fr""))"),"")</f>
        <v/>
      </c>
    </row>
    <row r="961" spans="2:2">
      <c r="B961" s="3" t="str">
        <f ca="1">IFERROR(__xludf.DUMMYFUNCTION("IF(ISBLANK(A961),"""",GOOGLETRANSLATE(A961,""en"",""fr""))"),"")</f>
        <v/>
      </c>
    </row>
    <row r="962" spans="2:2">
      <c r="B962" s="3" t="str">
        <f ca="1">IFERROR(__xludf.DUMMYFUNCTION("IF(ISBLANK(A962),"""",GOOGLETRANSLATE(A962,""en"",""fr""))"),"")</f>
        <v/>
      </c>
    </row>
    <row r="963" spans="2:2">
      <c r="B963" s="3" t="str">
        <f ca="1">IFERROR(__xludf.DUMMYFUNCTION("IF(ISBLANK(A963),"""",GOOGLETRANSLATE(A963,""en"",""fr""))"),"")</f>
        <v/>
      </c>
    </row>
    <row r="964" spans="2:2">
      <c r="B964" s="3" t="str">
        <f ca="1">IFERROR(__xludf.DUMMYFUNCTION("IF(ISBLANK(A964),"""",GOOGLETRANSLATE(A964,""en"",""fr""))"),"")</f>
        <v/>
      </c>
    </row>
    <row r="965" spans="2:2">
      <c r="B965" s="3" t="str">
        <f ca="1">IFERROR(__xludf.DUMMYFUNCTION("IF(ISBLANK(A965),"""",GOOGLETRANSLATE(A965,""en"",""fr""))"),"")</f>
        <v/>
      </c>
    </row>
    <row r="966" spans="2:2">
      <c r="B966" s="3" t="str">
        <f ca="1">IFERROR(__xludf.DUMMYFUNCTION("IF(ISBLANK(A966),"""",GOOGLETRANSLATE(A966,""en"",""fr""))"),"")</f>
        <v/>
      </c>
    </row>
    <row r="967" spans="2:2">
      <c r="B967" s="3" t="str">
        <f ca="1">IFERROR(__xludf.DUMMYFUNCTION("IF(ISBLANK(A967),"""",GOOGLETRANSLATE(A967,""en"",""fr""))"),"")</f>
        <v/>
      </c>
    </row>
    <row r="968" spans="2:2">
      <c r="B968" s="3" t="str">
        <f ca="1">IFERROR(__xludf.DUMMYFUNCTION("IF(ISBLANK(A968),"""",GOOGLETRANSLATE(A968,""en"",""fr""))"),"")</f>
        <v/>
      </c>
    </row>
    <row r="969" spans="2:2">
      <c r="B969" s="3" t="str">
        <f ca="1">IFERROR(__xludf.DUMMYFUNCTION("IF(ISBLANK(A969),"""",GOOGLETRANSLATE(A969,""en"",""fr""))"),"")</f>
        <v/>
      </c>
    </row>
    <row r="970" spans="2:2">
      <c r="B970" s="3" t="str">
        <f ca="1">IFERROR(__xludf.DUMMYFUNCTION("IF(ISBLANK(A970),"""",GOOGLETRANSLATE(A970,""en"",""fr""))"),"")</f>
        <v/>
      </c>
    </row>
    <row r="971" spans="2:2">
      <c r="B971" s="3" t="str">
        <f ca="1">IFERROR(__xludf.DUMMYFUNCTION("IF(ISBLANK(A971),"""",GOOGLETRANSLATE(A971,""en"",""fr""))"),"")</f>
        <v/>
      </c>
    </row>
    <row r="972" spans="2:2">
      <c r="B972" s="3" t="str">
        <f ca="1">IFERROR(__xludf.DUMMYFUNCTION("IF(ISBLANK(A972),"""",GOOGLETRANSLATE(A972,""en"",""fr""))"),"")</f>
        <v/>
      </c>
    </row>
    <row r="973" spans="2:2">
      <c r="B973" s="3" t="str">
        <f ca="1">IFERROR(__xludf.DUMMYFUNCTION("IF(ISBLANK(A973),"""",GOOGLETRANSLATE(A973,""en"",""fr""))"),"")</f>
        <v/>
      </c>
    </row>
    <row r="974" spans="2:2">
      <c r="B974" s="3" t="str">
        <f ca="1">IFERROR(__xludf.DUMMYFUNCTION("IF(ISBLANK(A974),"""",GOOGLETRANSLATE(A974,""en"",""fr""))"),"")</f>
        <v/>
      </c>
    </row>
    <row r="975" spans="2:2">
      <c r="B975" s="3" t="str">
        <f ca="1">IFERROR(__xludf.DUMMYFUNCTION("IF(ISBLANK(A975),"""",GOOGLETRANSLATE(A975,""en"",""fr""))"),"")</f>
        <v/>
      </c>
    </row>
    <row r="976" spans="2:2">
      <c r="B976" s="3" t="str">
        <f ca="1">IFERROR(__xludf.DUMMYFUNCTION("IF(ISBLANK(A976),"""",GOOGLETRANSLATE(A976,""en"",""fr""))"),"")</f>
        <v/>
      </c>
    </row>
    <row r="977" spans="2:2">
      <c r="B977" s="3" t="str">
        <f ca="1">IFERROR(__xludf.DUMMYFUNCTION("IF(ISBLANK(A977),"""",GOOGLETRANSLATE(A977,""en"",""fr""))"),"")</f>
        <v/>
      </c>
    </row>
    <row r="978" spans="2:2">
      <c r="B978" s="3" t="str">
        <f ca="1">IFERROR(__xludf.DUMMYFUNCTION("IF(ISBLANK(A978),"""",GOOGLETRANSLATE(A978,""en"",""fr""))"),"")</f>
        <v/>
      </c>
    </row>
    <row r="979" spans="2:2">
      <c r="B979" s="3" t="str">
        <f ca="1">IFERROR(__xludf.DUMMYFUNCTION("IF(ISBLANK(A979),"""",GOOGLETRANSLATE(A979,""en"",""fr""))"),"")</f>
        <v/>
      </c>
    </row>
    <row r="980" spans="2:2">
      <c r="B980" s="3" t="str">
        <f ca="1">IFERROR(__xludf.DUMMYFUNCTION("IF(ISBLANK(A980),"""",GOOGLETRANSLATE(A980,""en"",""fr""))"),"")</f>
        <v/>
      </c>
    </row>
    <row r="981" spans="2:2">
      <c r="B981" s="3" t="str">
        <f ca="1">IFERROR(__xludf.DUMMYFUNCTION("IF(ISBLANK(A981),"""",GOOGLETRANSLATE(A981,""en"",""fr""))"),"")</f>
        <v/>
      </c>
    </row>
    <row r="982" spans="2:2">
      <c r="B982" s="3" t="str">
        <f ca="1">IFERROR(__xludf.DUMMYFUNCTION("IF(ISBLANK(A982),"""",GOOGLETRANSLATE(A982,""en"",""fr""))"),"")</f>
        <v/>
      </c>
    </row>
    <row r="983" spans="2:2">
      <c r="B983" s="3" t="str">
        <f ca="1">IFERROR(__xludf.DUMMYFUNCTION("IF(ISBLANK(A983),"""",GOOGLETRANSLATE(A983,""en"",""fr""))"),"")</f>
        <v/>
      </c>
    </row>
    <row r="984" spans="2:2">
      <c r="B984" s="3" t="str">
        <f ca="1">IFERROR(__xludf.DUMMYFUNCTION("IF(ISBLANK(A984),"""",GOOGLETRANSLATE(A984,""en"",""fr""))"),"")</f>
        <v/>
      </c>
    </row>
    <row r="985" spans="2:2">
      <c r="B985" s="3" t="str">
        <f ca="1">IFERROR(__xludf.DUMMYFUNCTION("IF(ISBLANK(A985),"""",GOOGLETRANSLATE(A985,""en"",""fr""))"),"")</f>
        <v/>
      </c>
    </row>
    <row r="986" spans="2:2">
      <c r="B986" s="3" t="str">
        <f ca="1">IFERROR(__xludf.DUMMYFUNCTION("IF(ISBLANK(A986),"""",GOOGLETRANSLATE(A986,""en"",""fr""))"),"")</f>
        <v/>
      </c>
    </row>
    <row r="987" spans="2:2">
      <c r="B987" s="3" t="str">
        <f ca="1">IFERROR(__xludf.DUMMYFUNCTION("IF(ISBLANK(A987),"""",GOOGLETRANSLATE(A987,""en"",""fr""))"),"")</f>
        <v/>
      </c>
    </row>
    <row r="988" spans="2:2">
      <c r="B988" s="3" t="str">
        <f ca="1">IFERROR(__xludf.DUMMYFUNCTION("IF(ISBLANK(A988),"""",GOOGLETRANSLATE(A988,""en"",""fr""))"),"")</f>
        <v/>
      </c>
    </row>
    <row r="989" spans="2:2">
      <c r="B989" s="3" t="str">
        <f ca="1">IFERROR(__xludf.DUMMYFUNCTION("IF(ISBLANK(A989),"""",GOOGLETRANSLATE(A989,""en"",""fr""))"),"")</f>
        <v/>
      </c>
    </row>
    <row r="990" spans="2:2">
      <c r="B990" s="3" t="str">
        <f ca="1">IFERROR(__xludf.DUMMYFUNCTION("IF(ISBLANK(A990),"""",GOOGLETRANSLATE(A990,""en"",""fr""))"),"")</f>
        <v/>
      </c>
    </row>
    <row r="991" spans="2:2">
      <c r="B991" s="3" t="str">
        <f ca="1">IFERROR(__xludf.DUMMYFUNCTION("IF(ISBLANK(A991),"""",GOOGLETRANSLATE(A991,""en"",""fr""))"),"")</f>
        <v/>
      </c>
    </row>
    <row r="992" spans="2:2">
      <c r="B992" s="3" t="str">
        <f ca="1">IFERROR(__xludf.DUMMYFUNCTION("IF(ISBLANK(A992),"""",GOOGLETRANSLATE(A992,""en"",""fr""))"),"")</f>
        <v/>
      </c>
    </row>
    <row r="993" spans="2:2">
      <c r="B993" s="3" t="str">
        <f ca="1">IFERROR(__xludf.DUMMYFUNCTION("IF(ISBLANK(A993),"""",GOOGLETRANSLATE(A993,""en"",""fr""))"),"")</f>
        <v/>
      </c>
    </row>
    <row r="994" spans="2:2">
      <c r="B994" s="3" t="str">
        <f ca="1">IFERROR(__xludf.DUMMYFUNCTION("IF(ISBLANK(A994),"""",GOOGLETRANSLATE(A994,""en"",""fr""))"),"")</f>
        <v/>
      </c>
    </row>
    <row r="995" spans="2:2">
      <c r="B995" s="3" t="str">
        <f ca="1">IFERROR(__xludf.DUMMYFUNCTION("IF(ISBLANK(A995),"""",GOOGLETRANSLATE(A995,""en"",""fr""))"),"")</f>
        <v/>
      </c>
    </row>
    <row r="996" spans="2:2">
      <c r="B996" s="3" t="str">
        <f ca="1">IFERROR(__xludf.DUMMYFUNCTION("IF(ISBLANK(A996),"""",GOOGLETRANSLATE(A996,""en"",""fr""))"),"")</f>
        <v/>
      </c>
    </row>
    <row r="997" spans="2:2">
      <c r="B997" s="3" t="str">
        <f ca="1">IFERROR(__xludf.DUMMYFUNCTION("IF(ISBLANK(A997),"""",GOOGLETRANSLATE(A997,""en"",""fr""))"),"")</f>
        <v/>
      </c>
    </row>
    <row r="998" spans="2:2">
      <c r="B998" s="3" t="str">
        <f ca="1">IFERROR(__xludf.DUMMYFUNCTION("IF(ISBLANK(A998),"""",GOOGLETRANSLATE(A998,""en"",""fr""))"),"")</f>
        <v/>
      </c>
    </row>
    <row r="999" spans="2:2">
      <c r="B999" s="3" t="str">
        <f ca="1">IFERROR(__xludf.DUMMYFUNCTION("IF(ISBLANK(A999),"""",GOOGLETRANSLATE(A999,""en"",""fr""))"),"")</f>
        <v/>
      </c>
    </row>
    <row r="1000" spans="2:2">
      <c r="B1000" s="3" t="str">
        <f ca="1">IFERROR(__xludf.DUMMYFUNCTION("IF(ISBLANK(A1000),"""",GOOGLETRANSLATE(A1000,""en"",""fr""))"),"")</f>
        <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B1000"/>
  <sheetViews>
    <sheetView workbookViewId="0"/>
  </sheetViews>
  <sheetFormatPr defaultColWidth="12.6640625" defaultRowHeight="15.75" customHeight="1"/>
  <cols>
    <col min="1" max="1" width="88.33203125" customWidth="1"/>
  </cols>
  <sheetData>
    <row r="1" spans="1:2">
      <c r="A1" s="1" t="s">
        <v>0</v>
      </c>
      <c r="B1" s="1"/>
    </row>
    <row r="2" spans="1:2">
      <c r="A2" s="3" t="s">
        <v>15</v>
      </c>
      <c r="B2" s="3" t="str">
        <f ca="1">IFERROR(__xludf.DUMMYFUNCTION("IF(ISBLANK(A2),"""",GOOGLETRANSLATE(A2,""en"",""fr""))"),"Plateforme Transcend")</f>
        <v>Plateforme Transcend</v>
      </c>
    </row>
    <row r="3" spans="1:2">
      <c r="A3" s="3" t="s">
        <v>858</v>
      </c>
      <c r="B3" s="3" t="str">
        <f ca="1">IFERROR(__xludf.DUMMYFUNCTION("IF(ISBLANK(A3),"""",GOOGLETRANSLATE(A3,""en"",""fr""))"),"Transcender les limites de la technologie")</f>
        <v>Transcender les limites de la technologie</v>
      </c>
    </row>
    <row r="4" spans="1:2">
      <c r="A4" s="3" t="s">
        <v>859</v>
      </c>
      <c r="B4" s="3" t="str">
        <f ca="1">IFERROR(__xludf.DUMMYFUNCTION("IF(ISBLANK(A4),"""",GOOGLETRANSLATE(A4,""en"",""fr""))"),"Des solutions financières basées sur l’IA au commerce de détail numérique transparent.")</f>
        <v>Des solutions financières basées sur l’IA au commerce de détail numérique transparent.</v>
      </c>
    </row>
    <row r="5" spans="1:2">
      <c r="A5" s="3" t="s">
        <v>738</v>
      </c>
      <c r="B5" s="3" t="str">
        <f ca="1">IFERROR(__xludf.DUMMYFUNCTION("IF(ISBLANK(A5),"""",GOOGLETRANSLATE(A5,""en"",""fr""))"),"Connectez-vous avec nous")</f>
        <v>Connectez-vous avec nous</v>
      </c>
    </row>
    <row r="6" spans="1:2">
      <c r="A6" s="3" t="s">
        <v>14</v>
      </c>
      <c r="B6" s="3" t="str">
        <f ca="1">IFERROR(__xludf.DUMMYFUNCTION("IF(ISBLANK(A6),"""",GOOGLETRANSLATE(A6,""en"",""fr""))"),"Les plus grandes marques mondiales sont propulsées par NETSOL")</f>
        <v>Les plus grandes marques mondiales sont propulsées par NETSOL</v>
      </c>
    </row>
    <row r="7" spans="1:2">
      <c r="A7" s="3" t="s">
        <v>15</v>
      </c>
      <c r="B7" s="3" t="str">
        <f ca="1">IFERROR(__xludf.DUMMYFUNCTION("IF(ISBLANK(A7),"""",GOOGLETRANSLATE(A7,""en"",""fr""))"),"Plateforme Transcend")</f>
        <v>Plateforme Transcend</v>
      </c>
    </row>
    <row r="8" spans="1:2">
      <c r="A8" s="3" t="s">
        <v>860</v>
      </c>
      <c r="B8" s="3" t="str">
        <f ca="1">IFERROR(__xludf.DUMMYFUNCTION("IF(ISBLANK(A8),"""",GOOGLETRANSLATE(A8,""en"",""fr""))"),"Alimenter l'avenir de la finance, de la vente au détail et au-delà")</f>
        <v>Alimenter l'avenir de la finance, de la vente au détail et au-delà</v>
      </c>
    </row>
    <row r="9" spans="1:2">
      <c r="A9" s="3" t="s">
        <v>861</v>
      </c>
      <c r="B9" s="3" t="str">
        <f ca="1">IFERROR(__xludf.DUMMYFUNCTION("IF(ISBLANK(A9),"""",GOOGLETRANSLATE(A9,""en"",""fr""))"),"La plateforme Transcend de NETSOL est un écosystème unifié, piloté par l'IA, conçu pour simplifier et optimiser chaque étape du cycle de vie des actifs, de la vente au détail et du commerce. De la création de contrats à l'entretien, en passant par le reco"&amp;"uvrement et l'engagement client, Transcend permet aux prêteurs, aux équipementiers, aux concessionnaires et aux flottes de véhicules d'évoluer en toute confiance, de s'intégrer harmonieusement aux systèmes partenaires et de proposer des expériences connec"&amp;"tées sur tous les marchés, produits et points de contact. Fondée sur une IA responsable et une conception composable, elle transforme la complexité en clarté, aidant les entreprises à obtenir des résultats mesurables tout en garantissant confiance, transp"&amp;"arence et collaboration à chaque étape.")</f>
        <v>La plateforme Transcend de NETSOL est un écosystème unifié, piloté par l'IA, conçu pour simplifier et optimiser chaque étape du cycle de vie des actifs, de la vente au détail et du commerce. De la création de contrats à l'entretien, en passant par le recouvrement et l'engagement client, Transcend permet aux prêteurs, aux équipementiers, aux concessionnaires et aux flottes de véhicules d'évoluer en toute confiance, de s'intégrer harmonieusement aux systèmes partenaires et de proposer des expériences connectées sur tous les marchés, produits et points de contact. Fondée sur une IA responsable et une conception composable, elle transforme la complexité en clarté, aidant les entreprises à obtenir des résultats mesurables tout en garantissant confiance, transparence et collaboration à chaque étape.</v>
      </c>
    </row>
    <row r="10" spans="1:2">
      <c r="A10" s="3" t="s">
        <v>862</v>
      </c>
      <c r="B10" s="3" t="str">
        <f ca="1">IFERROR(__xludf.DUMMYFUNCTION("IF(ISBLANK(A10),"""",GOOGLETRANSLATE(A10,""en"",""fr""))"),"L'IA au cœur")</f>
        <v>L'IA au cœur</v>
      </c>
    </row>
    <row r="11" spans="1:2">
      <c r="A11" s="3" t="s">
        <v>863</v>
      </c>
      <c r="B11" s="3" t="str">
        <f ca="1">IFERROR(__xludf.DUMMYFUNCTION("IF(ISBLANK(A11),"""",GOOGLETRANSLATE(A11,""en"",""fr""))"),"Exploiter l'intelligence artificielle et l'apprentissage automatique pour alimenter les analyses prédictives, les flux de travail automatisés et la gestion des risques dans l'ensemble de l'écosystème financier")</f>
        <v>Exploiter l'intelligence artificielle et l'apprentissage automatique pour alimenter les analyses prédictives, les flux de travail automatisés et la gestion des risques dans l'ensemble de l'écosystème financier</v>
      </c>
    </row>
    <row r="12" spans="1:2">
      <c r="A12" s="3" t="s">
        <v>864</v>
      </c>
      <c r="B12" s="3" t="str">
        <f ca="1">IFERROR(__xludf.DUMMYFUNCTION("IF(ISBLANK(A12),"""",GOOGLETRANSLATE(A12,""en"",""fr""))"),"Une plateforme adaptative")</f>
        <v>Une plateforme adaptative</v>
      </c>
    </row>
    <row r="13" spans="1:2">
      <c r="A13" s="3" t="s">
        <v>865</v>
      </c>
      <c r="B13" s="3" t="str">
        <f ca="1">IFERROR(__xludf.DUMMYFUNCTION("IF(ISBLANK(A13),"""",GOOGLETRANSLATE(A13,""en"",""fr""))"),"Grâce à des cadres intégrés et à une gestion des données puissante, Transcend fournit une base sécurisée pour que vous soyez toujours prêt pour la suite.")</f>
        <v>Grâce à des cadres intégrés et à une gestion des données puissante, Transcend fournit une base sécurisée pour que vous soyez toujours prêt pour la suite.</v>
      </c>
    </row>
    <row r="14" spans="1:2">
      <c r="A14" s="3" t="s">
        <v>866</v>
      </c>
      <c r="B14" s="3" t="str">
        <f ca="1">IFERROR(__xludf.DUMMYFUNCTION("IF(ISBLANK(A14),"""",GOOGLETRANSLATE(A14,""en"",""fr""))"),"Une infrastructure prête pour l'avenir")</f>
        <v>Une infrastructure prête pour l'avenir</v>
      </c>
    </row>
    <row r="15" spans="1:2">
      <c r="A15" s="3" t="s">
        <v>867</v>
      </c>
      <c r="B15" s="3" t="str">
        <f ca="1">IFERROR(__xludf.DUMMYFUNCTION("IF(ISBLANK(A15),"""",GOOGLETRANSLATE(A15,""en"",""fr""))"),"Créez votre plateforme avec des composants modulaires API-first, offrant des capacités multiplateformes et des solutions personnalisables qui évoluent à mesure que votre entreprise se développe.")</f>
        <v>Créez votre plateforme avec des composants modulaires API-first, offrant des capacités multiplateformes et des solutions personnalisables qui évoluent à mesure que votre entreprise se développe.</v>
      </c>
    </row>
    <row r="16" spans="1:2">
      <c r="A16" s="3" t="s">
        <v>868</v>
      </c>
      <c r="B16" s="3" t="str">
        <f ca="1">IFERROR(__xludf.DUMMYFUNCTION("IF(ISBLANK(A16),"""",GOOGLETRANSLATE(A16,""en"",""fr""))"),"Sécurité au niveau de l'entreprise")</f>
        <v>Sécurité au niveau de l'entreprise</v>
      </c>
    </row>
    <row r="17" spans="1:2">
      <c r="A17" s="3" t="s">
        <v>869</v>
      </c>
      <c r="B17" s="3" t="str">
        <f ca="1">IFERROR(__xludf.DUMMYFUNCTION("IF(ISBLANK(A17),"""",GOOGLETRANSLATE(A17,""en"",""fr""))"),"Grâce à la sécurité cloud de niveau entreprise de Transcend, vos transactions financières et vos données sensibles sont protégées avec les protections les plus récentes afin que vous ayez l'esprit tranquille.")</f>
        <v>Grâce à la sécurité cloud de niveau entreprise de Transcend, vos transactions financières et vos données sensibles sont protégées avec les protections les plus récentes afin que vous ayez l'esprit tranquille.</v>
      </c>
    </row>
    <row r="18" spans="1:2">
      <c r="A18" s="3" t="s">
        <v>870</v>
      </c>
      <c r="B18" s="3" t="str">
        <f ca="1">IFERROR(__xludf.DUMMYFUNCTION("IF(ISBLANK(A18),"""",GOOGLETRANSLATE(A18,""en"",""fr""))"),"Des solutions sur mesure pour chaque étape de votre entreprise")</f>
        <v>Des solutions sur mesure pour chaque étape de votre entreprise</v>
      </c>
    </row>
    <row r="19" spans="1:2">
      <c r="A19" s="3" t="s">
        <v>18</v>
      </c>
      <c r="B19" s="3" t="str">
        <f ca="1">IFERROR(__xludf.DUMMYFUNCTION("IF(ISBLANK(A19),"""",GOOGLETRANSLATE(A19,""en"",""fr""))"),"Vente au détail")</f>
        <v>Vente au détail</v>
      </c>
    </row>
    <row r="20" spans="1:2">
      <c r="A20" s="3" t="s">
        <v>19</v>
      </c>
      <c r="B20" s="3" t="str">
        <f ca="1">IFERROR(__xludf.DUMMYFUNCTION("IF(ISBLANK(A20),"""",GOOGLETRANSLATE(A20,""en"",""fr""))"),"Orchestration de bout en bout pour les équipementiers et")</f>
        <v>Orchestration de bout en bout pour les équipementiers et</v>
      </c>
    </row>
    <row r="21" spans="1:2">
      <c r="A21" s="3" t="s">
        <v>20</v>
      </c>
      <c r="B21" s="3" t="str">
        <f ca="1">IFERROR(__xludf.DUMMYFUNCTION("IF(ISBLANK(A21),"""",GOOGLETRANSLATE(A21,""en"",""fr""))"),"concessionnaires. Modulaire et évolutif pour unifier")</f>
        <v>concessionnaires. Modulaire et évolutif pour unifier</v>
      </c>
    </row>
    <row r="22" spans="1:2">
      <c r="A22" s="3" t="s">
        <v>21</v>
      </c>
      <c r="B22" s="3" t="str">
        <f ca="1">IFERROR(__xludf.DUMMYFUNCTION("IF(ISBLANK(A22),"""",GOOGLETRANSLATE(A22,""en"",""fr""))"),"salle d'exposition et parcours en ligne réunis en un seul")</f>
        <v>salle d'exposition et parcours en ligne réunis en un seul</v>
      </c>
    </row>
    <row r="23" spans="1:2">
      <c r="A23" s="3" t="s">
        <v>22</v>
      </c>
      <c r="B23" s="3" t="str">
        <f ca="1">IFERROR(__xludf.DUMMYFUNCTION("IF(ISBLANK(A23),"""",GOOGLETRANSLATE(A23,""en"",""fr""))"),"une expérience de vente au détail fluide.")</f>
        <v>une expérience de vente au détail fluide.</v>
      </c>
    </row>
    <row r="24" spans="1:2">
      <c r="A24" s="3" t="s">
        <v>23</v>
      </c>
      <c r="B24" s="3" t="str">
        <f ca="1">IFERROR(__xludf.DUMMYFUNCTION("IF(ISBLANK(A24),"""",GOOGLETRANSLATE(A24,""en"",""fr""))"),"Apprendre encore plus")</f>
        <v>Apprendre encore plus</v>
      </c>
    </row>
    <row r="25" spans="1:2">
      <c r="A25" s="3" t="s">
        <v>24</v>
      </c>
      <c r="B25" s="3" t="str">
        <f ca="1">IFERROR(__xludf.DUMMYFUNCTION("IF(ISBLANK(A25),"""",GOOGLETRANSLATE(A25,""en"",""fr""))"),"La vente au détail automobile redéfinie. Des parcours personnalisés,")</f>
        <v>La vente au détail automobile redéfinie. Des parcours personnalisés,</v>
      </c>
    </row>
    <row r="26" spans="1:2">
      <c r="A26" s="3" t="s">
        <v>25</v>
      </c>
      <c r="B26" s="3" t="str">
        <f ca="1">IFERROR(__xludf.DUMMYFUNCTION("IF(ISBLANK(A26),"""",GOOGLETRANSLATE(A26,""en"",""fr""))"),"points de contact connectés et précision pilotée par l'IA.")</f>
        <v>points de contact connectés et précision pilotée par l'IA.</v>
      </c>
    </row>
    <row r="27" spans="1:2">
      <c r="A27" s="3" t="s">
        <v>10</v>
      </c>
      <c r="B27" s="3" t="str">
        <f ca="1">IFERROR(__xludf.DUMMYFUNCTION("IF(ISBLANK(A27),"""",GOOGLETRANSLATE(A27,""en"",""fr""))"),"OEM")</f>
        <v>OEM</v>
      </c>
    </row>
    <row r="28" spans="1:2">
      <c r="A28" s="3" t="s">
        <v>26</v>
      </c>
      <c r="B28" s="3" t="str">
        <f ca="1">IFERROR(__xludf.DUMMYFUNCTION("IF(ISBLANK(A28),"""",GOOGLETRANSLATE(A28,""en"",""fr""))"),"Concessionnaires indépendants")</f>
        <v>Concessionnaires indépendants</v>
      </c>
    </row>
    <row r="29" spans="1:2">
      <c r="A29" s="3" t="s">
        <v>27</v>
      </c>
      <c r="B29" s="3" t="str">
        <f ca="1">IFERROR(__xludf.DUMMYFUNCTION("IF(ISBLANK(A29),"""",GOOGLETRANSLATE(A29,""en"",""fr""))"),"Groupes de concessionnaires")</f>
        <v>Groupes de concessionnaires</v>
      </c>
    </row>
    <row r="30" spans="1:2">
      <c r="A30" s="3" t="s">
        <v>28</v>
      </c>
      <c r="B30" s="3" t="str">
        <f ca="1">IFERROR(__xludf.DUMMYFUNCTION("IF(ISBLANK(A30),"""",GOOGLETRANSLATE(A30,""en"",""fr""))"),"Finance")</f>
        <v>Finance</v>
      </c>
    </row>
    <row r="31" spans="1:2">
      <c r="A31" s="3" t="s">
        <v>17</v>
      </c>
      <c r="B31" s="3" t="str">
        <f ca="1">IFERROR(__xludf.DUMMYFUNCTION("IF(ISBLANK(A31),"""",GOOGLETRANSLATE(A31,""en"",""fr""))"),"Transcender")</f>
        <v>Transcender</v>
      </c>
    </row>
    <row r="32" spans="1:2">
      <c r="A32" s="3" t="s">
        <v>28</v>
      </c>
      <c r="B32" s="3" t="str">
        <f ca="1">IFERROR(__xludf.DUMMYFUNCTION("IF(ISBLANK(A32),"""",GOOGLETRANSLATE(A32,""en"",""fr""))"),"Finance")</f>
        <v>Finance</v>
      </c>
    </row>
    <row r="33" spans="1:2">
      <c r="A33" s="3" t="s">
        <v>29</v>
      </c>
      <c r="B33" s="3" t="str">
        <f ca="1">IFERROR(__xludf.DUMMYFUNCTION("IF(ISBLANK(A33),"""",GOOGLETRANSLATE(A33,""en"",""fr""))"),"Intelligence pilotée par l'IA pour l'ensemble du contrat")</f>
        <v>Intelligence pilotée par l'IA pour l'ensemble du contrat</v>
      </c>
    </row>
    <row r="34" spans="1:2">
      <c r="A34" s="3" t="s">
        <v>30</v>
      </c>
      <c r="B34" s="3" t="str">
        <f ca="1">IFERROR(__xludf.DUMMYFUNCTION("IF(ISBLANK(A34),"""",GOOGLETRANSLATE(A34,""en"",""fr""))"),"cycle de vie — optimisation des décisions, de l’intégration et")</f>
        <v>cycle de vie — optimisation des décisions, de l’intégration et</v>
      </c>
    </row>
    <row r="35" spans="1:2">
      <c r="A35" s="3" t="s">
        <v>31</v>
      </c>
      <c r="B35" s="3" t="str">
        <f ca="1">IFERROR(__xludf.DUMMYFUNCTION("IF(ISBLANK(A35),"""",GOOGLETRANSLATE(A35,""en"",""fr""))"),"opérations dans les domaines de l'automobile, de l'équipement et du financement commercial.")</f>
        <v>opérations dans les domaines de l'automobile, de l'équipement et du financement commercial.</v>
      </c>
    </row>
    <row r="36" spans="1:2">
      <c r="A36" s="3" t="s">
        <v>8</v>
      </c>
      <c r="B36" s="3" t="str">
        <f ca="1">IFERROR(__xludf.DUMMYFUNCTION("IF(ISBLANK(A36),"""",GOOGLETRANSLATE(A36,""en"",""fr""))"),"Entrer en contact")</f>
        <v>Entrer en contact</v>
      </c>
    </row>
    <row r="37" spans="1:2">
      <c r="A37" s="3" t="s">
        <v>32</v>
      </c>
      <c r="B37" s="3" t="str">
        <f ca="1">IFERROR(__xludf.DUMMYFUNCTION("IF(ISBLANK(A37),"""",GOOGLETRANSLATE(A37,""en"",""fr""))"),"Des prêts plus intelligents commencent ici. Vitesse alimentée par l'IA,")</f>
        <v>Des prêts plus intelligents commencent ici. Vitesse alimentée par l'IA,</v>
      </c>
    </row>
    <row r="38" spans="1:2">
      <c r="A38" s="3" t="s">
        <v>33</v>
      </c>
      <c r="B38" s="3" t="str">
        <f ca="1">IFERROR(__xludf.DUMMYFUNCTION("IF(ISBLANK(A38),"""",GOOGLETRANSLATE(A38,""en"",""fr""))"),"flexibilité et précision.")</f>
        <v>flexibilité et précision.</v>
      </c>
    </row>
    <row r="39" spans="1:2">
      <c r="A39" s="3" t="s">
        <v>34</v>
      </c>
      <c r="B39" s="3" t="str">
        <f ca="1">IFERROR(__xludf.DUMMYFUNCTION("IF(ISBLANK(A39),"""",GOOGLETRANSLATE(A39,""en"",""fr""))"),"Financement automobile")</f>
        <v>Financement automobile</v>
      </c>
    </row>
    <row r="40" spans="1:2">
      <c r="A40" s="3" t="s">
        <v>35</v>
      </c>
      <c r="B40" s="3" t="str">
        <f ca="1">IFERROR(__xludf.DUMMYFUNCTION("IF(ISBLANK(A40),"""",GOOGLETRANSLATE(A40,""en"",""fr""))"),"Financement d'équipement")</f>
        <v>Financement d'équipement</v>
      </c>
    </row>
    <row r="41" spans="1:2">
      <c r="A41" s="3" t="s">
        <v>36</v>
      </c>
      <c r="B41" s="3" t="str">
        <f ca="1">IFERROR(__xludf.DUMMYFUNCTION("IF(ISBLANK(A41),"""",GOOGLETRANSLATE(A41,""en"",""fr""))"),"Financement de flottes")</f>
        <v>Financement de flottes</v>
      </c>
    </row>
    <row r="42" spans="1:2">
      <c r="A42" s="3" t="s">
        <v>13</v>
      </c>
      <c r="B42" s="3" t="str">
        <f ca="1">IFERROR(__xludf.DUMMYFUNCTION("IF(ISBLANK(A42),"""",GOOGLETRANSLATE(A42,""en"",""fr""))"),"Prêteurs commerciaux")</f>
        <v>Prêteurs commerciaux</v>
      </c>
    </row>
    <row r="43" spans="1:2">
      <c r="A43" s="3" t="s">
        <v>37</v>
      </c>
      <c r="B43" s="3" t="str">
        <f ca="1">IFERROR(__xludf.DUMMYFUNCTION("IF(ISBLANK(A43),"""",GOOGLETRANSLATE(A43,""en"",""fr""))"),"Prêteurs spécialisés")</f>
        <v>Prêteurs spécialisés</v>
      </c>
    </row>
    <row r="44" spans="1:2">
      <c r="A44" s="3" t="s">
        <v>38</v>
      </c>
      <c r="B44" s="3" t="str">
        <f ca="1">IFERROR(__xludf.DUMMYFUNCTION("IF(ISBLANK(A44),"""",GOOGLETRANSLATE(A44,""en"",""fr""))"),"Laboratoires d'IA")</f>
        <v>Laboratoires d'IA</v>
      </c>
    </row>
    <row r="45" spans="1:2">
      <c r="A45" s="3" t="s">
        <v>39</v>
      </c>
      <c r="B45" s="3" t="str">
        <f ca="1">IFERROR(__xludf.DUMMYFUNCTION("IF(ISBLANK(A45),"""",GOOGLETRANSLATE(A45,""en"",""fr""))"),"Transcendez l'IA")</f>
        <v>Transcendez l'IA</v>
      </c>
    </row>
    <row r="46" spans="1:2">
      <c r="A46" s="3" t="s">
        <v>40</v>
      </c>
      <c r="B46" s="3" t="str">
        <f ca="1">IFERROR(__xludf.DUMMYFUNCTION("IF(ISBLANK(A46),"""",GOOGLETRANSLATE(A46,""en"",""fr""))"),"Laboratoires")</f>
        <v>Laboratoires</v>
      </c>
    </row>
    <row r="47" spans="1:2">
      <c r="A47" s="4" t="s">
        <v>41</v>
      </c>
      <c r="B47" s="3" t="str">
        <f ca="1">IFERROR(__xludf.DUMMYFUNCTION("IF(ISBLANK(A47),"""",GOOGLETRANSLATE(A47,""en"",""fr""))"),"Innovation en IA pour le crédit, le leasing et la vente au détail. Des outils spécialement conçus pour")</f>
        <v>Innovation en IA pour le crédit, le leasing et la vente au détail. Des outils spécialement conçus pour</v>
      </c>
    </row>
    <row r="48" spans="1:2">
      <c r="A48" s="3" t="s">
        <v>42</v>
      </c>
      <c r="B48" s="3" t="str">
        <f ca="1">IFERROR(__xludf.DUMMYFUNCTION("IF(ISBLANK(A48),"""",GOOGLETRANSLATE(A48,""en"",""fr""))"),"Accélérer la transformation et obtenir un impact concret sur l'ensemble des flux de travail.")</f>
        <v>Accélérer la transformation et obtenir un impact concret sur l'ensemble des flux de travail.</v>
      </c>
    </row>
    <row r="49" spans="1:2">
      <c r="A49" s="3" t="s">
        <v>23</v>
      </c>
      <c r="B49" s="3" t="str">
        <f ca="1">IFERROR(__xludf.DUMMYFUNCTION("IF(ISBLANK(A49),"""",GOOGLETRANSLATE(A49,""en"",""fr""))"),"Apprendre encore plus")</f>
        <v>Apprendre encore plus</v>
      </c>
    </row>
    <row r="50" spans="1:2">
      <c r="A50" s="3" t="s">
        <v>43</v>
      </c>
      <c r="B50" s="3" t="str">
        <f ca="1">IFERROR(__xludf.DUMMYFUNCTION("IF(ISBLANK(A50),"""",GOOGLETRANSLATE(A50,""en"",""fr""))"),"Transformer le BFSI, la finance et le leasing")</f>
        <v>Transformer le BFSI, la finance et le leasing</v>
      </c>
    </row>
    <row r="51" spans="1:2">
      <c r="A51" s="3" t="s">
        <v>44</v>
      </c>
      <c r="B51" s="3" t="str">
        <f ca="1">IFERROR(__xludf.DUMMYFUNCTION("IF(ISBLANK(A51),"""",GOOGLETRANSLATE(A51,""en"",""fr""))"),"avec une IA intelligente et spécifique à l'industrie.")</f>
        <v>avec une IA intelligente et spécifique à l'industrie.</v>
      </c>
    </row>
    <row r="52" spans="1:2">
      <c r="A52" s="3" t="s">
        <v>45</v>
      </c>
      <c r="B52" s="3" t="str">
        <f ca="1">IFERROR(__xludf.DUMMYFUNCTION("IF(ISBLANK(A52),"""",GOOGLETRANSLATE(A52,""en"",""fr""))"),"Applications d'IA")</f>
        <v>Applications d'IA</v>
      </c>
    </row>
    <row r="53" spans="1:2">
      <c r="A53" s="3" t="s">
        <v>46</v>
      </c>
      <c r="B53" s="3" t="str">
        <f ca="1">IFERROR(__xludf.DUMMYFUNCTION("IF(ISBLANK(A53),"""",GOOGLETRANSLATE(A53,""en"",""fr""))"),"Services d'IA")</f>
        <v>Services d'IA</v>
      </c>
    </row>
    <row r="54" spans="1:2">
      <c r="A54" s="3" t="s">
        <v>47</v>
      </c>
      <c r="B54" s="3" t="str">
        <f ca="1">IFERROR(__xludf.DUMMYFUNCTION("IF(ISBLANK(A54),"""",GOOGLETRANSLATE(A54,""en"",""fr""))"),"Innovation en laboratoire")</f>
        <v>Innovation en laboratoire</v>
      </c>
    </row>
    <row r="55" spans="1:2">
      <c r="A55" s="3" t="s">
        <v>48</v>
      </c>
      <c r="B55" s="3" t="str">
        <f ca="1">IFERROR(__xludf.DUMMYFUNCTION("IF(ISBLANK(A55),"""",GOOGLETRANSLATE(A55,""en"",""fr""))"),"Marché")</f>
        <v>Marché</v>
      </c>
    </row>
    <row r="56" spans="1:2">
      <c r="A56" s="3" t="s">
        <v>17</v>
      </c>
      <c r="B56" s="3" t="str">
        <f ca="1">IFERROR(__xludf.DUMMYFUNCTION("IF(ISBLANK(A56),"""",GOOGLETRANSLATE(A56,""en"",""fr""))"),"Transcender")</f>
        <v>Transcender</v>
      </c>
    </row>
    <row r="57" spans="1:2">
      <c r="A57" s="3" t="s">
        <v>48</v>
      </c>
      <c r="B57" s="3" t="str">
        <f ca="1">IFERROR(__xludf.DUMMYFUNCTION("IF(ISBLANK(A57),"""",GOOGLETRANSLATE(A57,""en"",""fr""))"),"Marché")</f>
        <v>Marché</v>
      </c>
    </row>
    <row r="58" spans="1:2">
      <c r="A58" s="3" t="s">
        <v>49</v>
      </c>
      <c r="B58" s="3" t="str">
        <f ca="1">IFERROR(__xludf.DUMMYFUNCTION("IF(ISBLANK(A58),"""",GOOGLETRANSLATE(A58,""en"",""fr""))"),"Une plateforme unifiée de solutions modulaires, basées sur les API, pour le crédit-bail, le leasing et le commerce de détail. Conçue pour simplifier et accélérer chaque flux de travail.")</f>
        <v>Une plateforme unifiée de solutions modulaires, basées sur les API, pour le crédit-bail, le leasing et le commerce de détail. Conçue pour simplifier et accélérer chaque flux de travail.</v>
      </c>
    </row>
    <row r="59" spans="1:2">
      <c r="A59" s="3" t="s">
        <v>23</v>
      </c>
      <c r="B59" s="3" t="str">
        <f ca="1">IFERROR(__xludf.DUMMYFUNCTION("IF(ISBLANK(A59),"""",GOOGLETRANSLATE(A59,""en"",""fr""))"),"Apprendre encore plus")</f>
        <v>Apprendre encore plus</v>
      </c>
    </row>
    <row r="60" spans="1:2">
      <c r="A60" s="3" t="s">
        <v>50</v>
      </c>
      <c r="B60" s="3" t="str">
        <f ca="1">IFERROR(__xludf.DUMMYFUNCTION("IF(ISBLANK(A60),"""",GOOGLETRANSLATE(A60,""en"",""fr""))"),"Plus intelligent. Plus rapide. Connecté.")</f>
        <v>Plus intelligent. Plus rapide. Connecté.</v>
      </c>
    </row>
    <row r="61" spans="1:2">
      <c r="A61" s="3" t="s">
        <v>51</v>
      </c>
      <c r="B61" s="3" t="str">
        <f ca="1">IFERROR(__xludf.DUMMYFUNCTION("IF(ISBLANK(A61),"""",GOOGLETRANSLATE(A61,""en"",""fr""))"),"Votre place de marché modulaire pour le financement et le leasing.")</f>
        <v>Votre place de marché modulaire pour le financement et le leasing.</v>
      </c>
    </row>
    <row r="62" spans="1:2">
      <c r="A62" s="3" t="s">
        <v>52</v>
      </c>
      <c r="B62" s="3" t="str">
        <f ca="1">IFERROR(__xludf.DUMMYFUNCTION("IF(ISBLANK(A62),"""",GOOGLETRANSLATE(A62,""en"",""fr""))"),"Par abonnement")</f>
        <v>Par abonnement</v>
      </c>
    </row>
    <row r="63" spans="1:2">
      <c r="A63" s="3" t="s">
        <v>53</v>
      </c>
      <c r="B63" s="3" t="str">
        <f ca="1">IFERROR(__xludf.DUMMYFUNCTION("IF(ISBLANK(A63),"""",GOOGLETRANSLATE(A63,""en"",""fr""))"),"API d'abord")</f>
        <v>API d'abord</v>
      </c>
    </row>
    <row r="64" spans="1:2">
      <c r="A64" s="3" t="s">
        <v>54</v>
      </c>
      <c r="B64" s="3" t="str">
        <f ca="1">IFERROR(__xludf.DUMMYFUNCTION("IF(ISBLANK(A64),"""",GOOGLETRANSLATE(A64,""en"",""fr""))"),"Basé sur les composants")</f>
        <v>Basé sur les composants</v>
      </c>
    </row>
    <row r="65" spans="1:2">
      <c r="A65" s="3" t="s">
        <v>55</v>
      </c>
      <c r="B65" s="3" t="str">
        <f ca="1">IFERROR(__xludf.DUMMYFUNCTION("IF(ISBLANK(A65),"""",GOOGLETRANSLATE(A65,""en"",""fr""))"),"Conseil")</f>
        <v>Conseil</v>
      </c>
    </row>
    <row r="66" spans="1:2">
      <c r="A66" s="3" t="s">
        <v>17</v>
      </c>
      <c r="B66" s="3" t="str">
        <f ca="1">IFERROR(__xludf.DUMMYFUNCTION("IF(ISBLANK(A66),"""",GOOGLETRANSLATE(A66,""en"",""fr""))"),"Transcender")</f>
        <v>Transcender</v>
      </c>
    </row>
    <row r="67" spans="1:2">
      <c r="A67" s="3" t="s">
        <v>55</v>
      </c>
      <c r="B67" s="3" t="str">
        <f ca="1">IFERROR(__xludf.DUMMYFUNCTION("IF(ISBLANK(A67),"""",GOOGLETRANSLATE(A67,""en"",""fr""))"),"Conseil")</f>
        <v>Conseil</v>
      </c>
    </row>
    <row r="68" spans="1:2">
      <c r="A68" s="5" t="s">
        <v>56</v>
      </c>
      <c r="B68" s="3" t="str">
        <f ca="1">IFERROR(__xludf.DUMMYFUNCTION("IF(ISBLANK(A68),"""",GOOGLETRANSLATE(A68,""en"",""fr""))"),"Expertise en IA, données, cloud et sécurité : aider les BFSI et les prêteurs à moderniser, à évoluer en toute confiance et à créer des opérations résilientes et prêtes pour l'avenir.")</f>
        <v>Expertise en IA, données, cloud et sécurité : aider les BFSI et les prêteurs à moderniser, à évoluer en toute confiance et à créer des opérations résilientes et prêtes pour l'avenir.</v>
      </c>
    </row>
    <row r="69" spans="1:2">
      <c r="A69" s="3" t="s">
        <v>23</v>
      </c>
      <c r="B69" s="3" t="str">
        <f ca="1">IFERROR(__xludf.DUMMYFUNCTION("IF(ISBLANK(A69),"""",GOOGLETRANSLATE(A69,""en"",""fr""))"),"Apprendre encore plus")</f>
        <v>Apprendre encore plus</v>
      </c>
    </row>
    <row r="70" spans="1:2">
      <c r="A70" s="3" t="s">
        <v>57</v>
      </c>
      <c r="B70" s="3" t="str">
        <f ca="1">IFERROR(__xludf.DUMMYFUNCTION("IF(ISBLANK(A70),"""",GOOGLETRANSLATE(A70,""en"",""fr""))"),"Transformer des défis complexes en opportunités transformatrices.")</f>
        <v>Transformer des défis complexes en opportunités transformatrices.</v>
      </c>
    </row>
    <row r="71" spans="1:2">
      <c r="A71" s="3" t="s">
        <v>58</v>
      </c>
      <c r="B71" s="3" t="str">
        <f ca="1">IFERROR(__xludf.DUMMYFUNCTION("IF(ISBLANK(A71),"""",GOOGLETRANSLATE(A71,""en"",""fr""))"),"Sécurité de l'information")</f>
        <v>Sécurité de l'information</v>
      </c>
    </row>
    <row r="72" spans="1:2">
      <c r="A72" s="3" t="s">
        <v>59</v>
      </c>
      <c r="B72" s="3" t="str">
        <f ca="1">IFERROR(__xludf.DUMMYFUNCTION("IF(ISBLANK(A72),"""",GOOGLETRANSLATE(A72,""en"",""fr""))"),"Services de données et d'IA")</f>
        <v>Services de données et d'IA</v>
      </c>
    </row>
    <row r="73" spans="1:2">
      <c r="A73" s="3" t="s">
        <v>60</v>
      </c>
      <c r="B73" s="3" t="str">
        <f ca="1">IFERROR(__xludf.DUMMYFUNCTION("IF(ISBLANK(A73),"""",GOOGLETRANSLATE(A73,""en"",""fr""))"),"Services cloud")</f>
        <v>Services cloud</v>
      </c>
    </row>
    <row r="74" spans="1:2">
      <c r="A74" s="3" t="s">
        <v>61</v>
      </c>
      <c r="B74" s="3" t="str">
        <f ca="1">IFERROR(__xludf.DUMMYFUNCTION("IF(ISBLANK(A74),"""",GOOGLETRANSLATE(A74,""en"",""fr""))"),"Développement sur mesure")</f>
        <v>Développement sur mesure</v>
      </c>
    </row>
    <row r="75" spans="1:2">
      <c r="A75" s="3" t="s">
        <v>78</v>
      </c>
      <c r="B75" s="3" t="str">
        <f ca="1">IFERROR(__xludf.DUMMYFUNCTION("IF(ISBLANK(A75),"""",GOOGLETRANSLATE(A75,""en"",""fr""))"),"Plus de 500 milliards de dollars")</f>
        <v>Plus de 500 milliards de dollars</v>
      </c>
    </row>
    <row r="76" spans="1:2">
      <c r="A76" s="3" t="s">
        <v>79</v>
      </c>
      <c r="B76" s="3" t="str">
        <f ca="1">IFERROR(__xludf.DUMMYFUNCTION("IF(ISBLANK(A76),"""",GOOGLETRANSLATE(A76,""en"",""fr""))"),"Actifs gérés à l'échelle mondiale")</f>
        <v>Actifs gérés à l'échelle mondiale</v>
      </c>
    </row>
    <row r="77" spans="1:2">
      <c r="A77" s="3" t="s">
        <v>271</v>
      </c>
      <c r="B77" s="3" t="str">
        <f ca="1">IFERROR(__xludf.DUMMYFUNCTION("IF(ISBLANK(A77),"""",GOOGLETRANSLATE(A77,""en"",""fr""))"),"350+")</f>
        <v>350+</v>
      </c>
    </row>
    <row r="78" spans="1:2">
      <c r="A78" s="3" t="s">
        <v>77</v>
      </c>
      <c r="B78" s="3" t="str">
        <f ca="1">IFERROR(__xludf.DUMMYFUNCTION("IF(ISBLANK(A78),"""",GOOGLETRANSLATE(A78,""en"",""fr""))"),"Mises en œuvre réussies")</f>
        <v>Mises en œuvre réussies</v>
      </c>
    </row>
    <row r="79" spans="1:2">
      <c r="A79" s="3" t="s">
        <v>74</v>
      </c>
      <c r="B79" s="3" t="str">
        <f ca="1">IFERROR(__xludf.DUMMYFUNCTION("IF(ISBLANK(A79),"""",GOOGLETRANSLATE(A79,""en"",""fr""))"),"Plus de 200")</f>
        <v>Plus de 200</v>
      </c>
    </row>
    <row r="80" spans="1:2">
      <c r="A80" s="3" t="s">
        <v>75</v>
      </c>
      <c r="B80" s="3" t="str">
        <f ca="1">IFERROR(__xludf.DUMMYFUNCTION("IF(ISBLANK(A80),"""",GOOGLETRANSLATE(A80,""en"",""fr""))"),"Clients du monde entier")</f>
        <v>Clients du monde entier</v>
      </c>
    </row>
    <row r="81" spans="1:2">
      <c r="A81" s="3" t="s">
        <v>272</v>
      </c>
      <c r="B81" s="3" t="str">
        <f ca="1">IFERROR(__xludf.DUMMYFUNCTION("IF(ISBLANK(A81),"""",GOOGLETRANSLATE(A81,""en"",""fr""))"),"30+")</f>
        <v>30+</v>
      </c>
    </row>
    <row r="82" spans="1:2">
      <c r="A82" s="3" t="s">
        <v>273</v>
      </c>
      <c r="B82" s="3" t="str">
        <f ca="1">IFERROR(__xludf.DUMMYFUNCTION("IF(ISBLANK(A82),"""",GOOGLETRANSLATE(A82,""en"",""fr""))"),"Pays desservis")</f>
        <v>Pays desservis</v>
      </c>
    </row>
    <row r="83" spans="1:2">
      <c r="A83" s="3" t="s">
        <v>274</v>
      </c>
      <c r="B83" s="3" t="str">
        <f ca="1">IFERROR(__xludf.DUMMYFUNCTION("IF(ISBLANK(A83),"""",GOOGLETRANSLATE(A83,""en"",""fr""))"),"Contrôle de bout en bout et intelligence intégrée")</f>
        <v>Contrôle de bout en bout et intelligence intégrée</v>
      </c>
    </row>
    <row r="84" spans="1:2">
      <c r="A84" s="3" t="s">
        <v>871</v>
      </c>
      <c r="B84" s="3" t="str">
        <f ca="1">IFERROR(__xludf.DUMMYFUNCTION("IF(ISBLANK(A84),"""",GOOGLETRANSLATE(A84,""en"",""fr""))"),"Une plateforme pour tous les acteurs.")</f>
        <v>Une plateforme pour tous les acteurs.</v>
      </c>
    </row>
    <row r="85" spans="1:2">
      <c r="A85" s="3" t="s">
        <v>872</v>
      </c>
      <c r="B85" s="3" t="str">
        <f ca="1">IFERROR(__xludf.DUMMYFUNCTION("IF(ISBLANK(A85),"""",GOOGLETRANSLATE(A85,""en"",""fr""))"),"Connectez les prêteurs, les courtiers, les agents de terrain et les clients dans un écosystème unique qui favorise la collaboration et la transparence tout au long du cycle de vie du financement et de la location.")</f>
        <v>Connectez les prêteurs, les courtiers, les agents de terrain et les clients dans un écosystème unique qui favorise la collaboration et la transparence tout au long du cycle de vie du financement et de la location.</v>
      </c>
    </row>
    <row r="86" spans="1:2">
      <c r="A86" s="3" t="s">
        <v>873</v>
      </c>
      <c r="B86" s="3" t="str">
        <f ca="1">IFERROR(__xludf.DUMMYFUNCTION("IF(ISBLANK(A86),"""",GOOGLETRANSLATE(A86,""en"",""fr""))"),"Parcours omnicanaux")</f>
        <v>Parcours omnicanaux</v>
      </c>
    </row>
    <row r="87" spans="1:2">
      <c r="A87" s="3" t="s">
        <v>874</v>
      </c>
      <c r="B87" s="3" t="str">
        <f ca="1">IFERROR(__xludf.DUMMYFUNCTION("IF(ISBLANK(A87),"""",GOOGLETRANSLATE(A87,""en"",""fr""))"),"Outils mobiles pour les équipes de terrain")</f>
        <v>Outils mobiles pour les équipes de terrain</v>
      </c>
    </row>
    <row r="88" spans="1:2">
      <c r="A88" s="3" t="s">
        <v>875</v>
      </c>
      <c r="B88" s="3" t="str">
        <f ca="1">IFERROR(__xludf.DUMMYFUNCTION("IF(ISBLANK(A88),"""",GOOGLETRANSLATE(A88,""en"",""fr""))"),"Synchronisation du flux de travail en temps réel")</f>
        <v>Synchronisation du flux de travail en temps réel</v>
      </c>
    </row>
    <row r="89" spans="1:2">
      <c r="A89" s="3" t="s">
        <v>876</v>
      </c>
      <c r="B89" s="3" t="str">
        <f ca="1">IFERROR(__xludf.DUMMYFUNCTION("IF(ISBLANK(A89),"""",GOOGLETRANSLATE(A89,""en"",""fr""))"),"Portails en libre-service")</f>
        <v>Portails en libre-service</v>
      </c>
    </row>
    <row r="90" spans="1:2">
      <c r="A90" s="3" t="s">
        <v>877</v>
      </c>
      <c r="B90" s="3" t="str">
        <f ca="1">IFERROR(__xludf.DUMMYFUNCTION("IF(ISBLANK(A90),"""",GOOGLETRANSLATE(A90,""en"",""fr""))"),"Alimenté par l'IA. Connecté aux API. Cloud natif.")</f>
        <v>Alimenté par l'IA. Connecté aux API. Cloud natif.</v>
      </c>
    </row>
    <row r="91" spans="1:2">
      <c r="A91" s="3" t="s">
        <v>878</v>
      </c>
      <c r="B91" s="3" t="str">
        <f ca="1">IFERROR(__xludf.DUMMYFUNCTION("IF(ISBLANK(A91),"""",GOOGLETRANSLATE(A91,""en"",""fr""))"),"Transcend est conçu pour l'évolutivité et la vitesse avec une architecture qui s'adapte à votre entreprise et s'intègre à vos systèmes.")</f>
        <v>Transcend est conçu pour l'évolutivité et la vitesse avec une architecture qui s'adapte à votre entreprise et s'intègre à vos systèmes.</v>
      </c>
    </row>
    <row r="92" spans="1:2">
      <c r="A92" s="3" t="s">
        <v>879</v>
      </c>
      <c r="B92" s="3" t="str">
        <f ca="1">IFERROR(__xludf.DUMMYFUNCTION("IF(ISBLANK(A92),"""",GOOGLETRANSLATE(A92,""en"",""fr""))"),"Prise de décision axée sur l'IA")</f>
        <v>Prise de décision axée sur l'IA</v>
      </c>
    </row>
    <row r="93" spans="1:2">
      <c r="A93" s="3" t="s">
        <v>880</v>
      </c>
      <c r="B93" s="3" t="str">
        <f ca="1">IFERROR(__xludf.DUMMYFUNCTION("IF(ISBLANK(A93),"""",GOOGLETRANSLATE(A93,""en"",""fr""))"),"Architecture basée sur les microservices")</f>
        <v>Architecture basée sur les microservices</v>
      </c>
    </row>
    <row r="94" spans="1:2">
      <c r="A94" s="3" t="s">
        <v>880</v>
      </c>
      <c r="B94" s="3" t="str">
        <f ca="1">IFERROR(__xludf.DUMMYFUNCTION("IF(ISBLANK(A94),"""",GOOGLETRANSLATE(A94,""en"",""fr""))"),"Architecture basée sur les microservices")</f>
        <v>Architecture basée sur les microservices</v>
      </c>
    </row>
    <row r="95" spans="1:2">
      <c r="A95" s="3" t="s">
        <v>881</v>
      </c>
      <c r="B95" s="3" t="str">
        <f ca="1">IFERROR(__xludf.DUMMYFUNCTION("IF(ISBLANK(A95),"""",GOOGLETRANSLATE(A95,""en"",""fr""))"),"Un accompagnement à chaque étape.")</f>
        <v>Un accompagnement à chaque étape.</v>
      </c>
    </row>
    <row r="96" spans="1:2">
      <c r="A96" s="3" t="s">
        <v>882</v>
      </c>
      <c r="B96" s="3" t="str">
        <f ca="1">IFERROR(__xludf.DUMMYFUNCTION("IF(ISBLANK(A96),"""",GOOGLETRANSLATE(A96,""en"",""fr""))"),"Du déploiement à l'optimisation, nos spécialistes vous aident à tirer le meilleur parti de Transcend grâce à des déploiements plus rapides et un retour sur investissement plus élevé.")</f>
        <v>Du déploiement à l'optimisation, nos spécialistes vous aident à tirer le meilleur parti de Transcend grâce à des déploiements plus rapides et un retour sur investissement plus élevé.</v>
      </c>
    </row>
    <row r="97" spans="1:2">
      <c r="A97" s="3" t="s">
        <v>883</v>
      </c>
      <c r="B97" s="3" t="str">
        <f ca="1">IFERROR(__xludf.DUMMYFUNCTION("IF(ISBLANK(A97),"""",GOOGLETRANSLATE(A97,""en"",""fr""))"),"Déploiement guidé")</f>
        <v>Déploiement guidé</v>
      </c>
    </row>
    <row r="98" spans="1:2">
      <c r="A98" s="3" t="s">
        <v>884</v>
      </c>
      <c r="B98" s="3" t="str">
        <f ca="1">IFERROR(__xludf.DUMMYFUNCTION("IF(ISBLANK(A98),"""",GOOGLETRANSLATE(A98,""en"",""fr""))"),"Formation et habilitation")</f>
        <v>Formation et habilitation</v>
      </c>
    </row>
    <row r="99" spans="1:2">
      <c r="A99" s="3" t="s">
        <v>885</v>
      </c>
      <c r="B99" s="3" t="str">
        <f ca="1">IFERROR(__xludf.DUMMYFUNCTION("IF(ISBLANK(A99),"""",GOOGLETRANSLATE(A99,""en"",""fr""))"),"Soutien continu")</f>
        <v>Soutien continu</v>
      </c>
    </row>
    <row r="100" spans="1:2">
      <c r="A100" s="3" t="s">
        <v>886</v>
      </c>
      <c r="B100" s="3" t="str">
        <f ca="1">IFERROR(__xludf.DUMMYFUNCTION("IF(ISBLANK(A100),"""",GOOGLETRANSLATE(A100,""en"",""fr""))"),"Sécurisé par conception")</f>
        <v>Sécurisé par conception</v>
      </c>
    </row>
    <row r="101" spans="1:2">
      <c r="A101" s="3" t="s">
        <v>887</v>
      </c>
      <c r="B101" s="3" t="str">
        <f ca="1">IFERROR(__xludf.DUMMYFUNCTION("IF(ISBLANK(A101),"""",GOOGLETRANSLATE(A101,""en"",""fr""))"),"Transcend offre des capacités de sécurité et de conformité de niveau entreprise, garantissant la protection des données sensibles et la conformité de votre entreprise aux audits.")</f>
        <v>Transcend offre des capacités de sécurité et de conformité de niveau entreprise, garantissant la protection des données sensibles et la conformité de votre entreprise aux audits.</v>
      </c>
    </row>
    <row r="102" spans="1:2">
      <c r="A102" s="3" t="s">
        <v>888</v>
      </c>
      <c r="B102" s="3" t="str">
        <f ca="1">IFERROR(__xludf.DUMMYFUNCTION("IF(ISBLANK(A102),"""",GOOGLETRANSLATE(A102,""en"",""fr""))"),"Certifié ISO 27001")</f>
        <v>Certifié ISO 27001</v>
      </c>
    </row>
    <row r="103" spans="1:2">
      <c r="A103" s="3" t="s">
        <v>889</v>
      </c>
      <c r="B103" s="3" t="str">
        <f ca="1">IFERROR(__xludf.DUMMYFUNCTION("IF(ISBLANK(A103),"""",GOOGLETRANSLATE(A103,""en"",""fr""))"),"Chiffrement et gouvernance des données")</f>
        <v>Chiffrement et gouvernance des données</v>
      </c>
    </row>
    <row r="104" spans="1:2">
      <c r="A104" s="3" t="s">
        <v>890</v>
      </c>
      <c r="B104" s="3" t="str">
        <f ca="1">IFERROR(__xludf.DUMMYFUNCTION("IF(ISBLANK(A104),"""",GOOGLETRANSLATE(A104,""en"",""fr""))"),"SOC géré")</f>
        <v>SOC géré</v>
      </c>
    </row>
    <row r="105" spans="1:2">
      <c r="A105" s="3" t="s">
        <v>891</v>
      </c>
      <c r="B105" s="3" t="str">
        <f ca="1">IFERROR(__xludf.DUMMYFUNCTION("IF(ISBLANK(A105),"""",GOOGLETRANSLATE(A105,""en"",""fr""))"),"Configurer. Lancer. Mettre à l'échelle.")</f>
        <v>Configurer. Lancer. Mettre à l'échelle.</v>
      </c>
    </row>
    <row r="106" spans="1:2">
      <c r="A106" s="3" t="s">
        <v>892</v>
      </c>
      <c r="B106" s="3" t="str">
        <f ca="1">IFERROR(__xludf.DUMMYFUNCTION("IF(ISBLANK(A106),"""",GOOGLETRANSLATE(A106,""en"",""fr""))"),"Éliminez les goulots d'étranglement informatiques. Donnez aux équipes métier les moyens de concevoir des flux de travail, de créer des interfaces et d'implémenter rapidement les changements.")</f>
        <v>Éliminez les goulots d'étranglement informatiques. Donnez aux équipes métier les moyens de concevoir des flux de travail, de créer des interfaces et d'implémenter rapidement les changements.</v>
      </c>
    </row>
    <row r="107" spans="1:2">
      <c r="A107" s="3" t="s">
        <v>893</v>
      </c>
      <c r="B107" s="3" t="str">
        <f ca="1">IFERROR(__xludf.DUMMYFUNCTION("IF(ISBLANK(A107),"""",GOOGLETRANSLATE(A107,""en"",""fr""))"),"Outils low-code/no-code")</f>
        <v>Outils low-code/no-code</v>
      </c>
    </row>
    <row r="108" spans="1:2">
      <c r="A108" s="3" t="s">
        <v>894</v>
      </c>
      <c r="B108" s="3" t="str">
        <f ca="1">IFERROR(__xludf.DUMMYFUNCTION("IF(ISBLANK(A108),"""",GOOGLETRANSLATE(A108,""en"",""fr""))"),"Plus de 1 000 API prédéfinies")</f>
        <v>Plus de 1 000 API prédéfinies</v>
      </c>
    </row>
    <row r="109" spans="1:2">
      <c r="A109" s="3" t="s">
        <v>895</v>
      </c>
      <c r="B109" s="3" t="str">
        <f ca="1">IFERROR(__xludf.DUMMYFUNCTION("IF(ISBLANK(A109),"""",GOOGLETRANSLATE(A109,""en"",""fr""))"),"Mise sur le marché plus rapide")</f>
        <v>Mise sur le marché plus rapide</v>
      </c>
    </row>
    <row r="110" spans="1:2">
      <c r="A110" s="3" t="s">
        <v>896</v>
      </c>
      <c r="B110" s="3" t="str">
        <f ca="1">IFERROR(__xludf.DUMMYFUNCTION("IF(ISBLANK(A110),"""",GOOGLETRANSLATE(A110,""en"",""fr""))"),"Mises à jour périodiques des produits")</f>
        <v>Mises à jour périodiques des produits</v>
      </c>
    </row>
    <row r="111" spans="1:2">
      <c r="A111" s="3" t="s">
        <v>897</v>
      </c>
      <c r="B111" s="3" t="str">
        <f ca="1">IFERROR(__xludf.DUMMYFUNCTION("IF(ISBLANK(A111),"""",GOOGLETRANSLATE(A111,""en"",""fr""))"),"99,99 % de disponibilité")</f>
        <v>99,99 % de disponibilité</v>
      </c>
    </row>
    <row r="112" spans="1:2">
      <c r="A112" s="3" t="s">
        <v>898</v>
      </c>
      <c r="B112" s="3" t="str">
        <f ca="1">IFERROR(__xludf.DUMMYFUNCTION("IF(ISBLANK(A112),"""",GOOGLETRANSLATE(A112,""en"",""fr""))"),"Flexibilité des produits et du marché")</f>
        <v>Flexibilité des produits et du marché</v>
      </c>
    </row>
    <row r="113" spans="1:2">
      <c r="A113" s="3" t="s">
        <v>899</v>
      </c>
      <c r="B113" s="3" t="str">
        <f ca="1">IFERROR(__xludf.DUMMYFUNCTION("IF(ISBLANK(A113),"""",GOOGLETRANSLATE(A113,""en"",""fr""))"),"Transcend prend en charge des produits financiers complexes et s'adapte aux besoins réglementaires de tous les secteurs et de toutes les zones géographiques.")</f>
        <v>Transcend prend en charge des produits financiers complexes et s'adapte aux besoins réglementaires de tous les secteurs et de toutes les zones géographiques.</v>
      </c>
    </row>
    <row r="114" spans="1:2">
      <c r="A114" s="3" t="s">
        <v>900</v>
      </c>
      <c r="B114" s="3" t="str">
        <f ca="1">IFERROR(__xludf.DUMMYFUNCTION("IF(ISBLANK(A114),"""",GOOGLETRANSLATE(A114,""en"",""fr""))"),"Automobile, équipement, flotte et plus")</f>
        <v>Automobile, équipement, flotte et plus</v>
      </c>
    </row>
    <row r="115" spans="1:2">
      <c r="A115" s="3" t="s">
        <v>901</v>
      </c>
      <c r="B115" s="3" t="str">
        <f ca="1">IFERROR(__xludf.DUMMYFUNCTION("IF(ISBLANK(A115),"""",GOOGLETRANSLATE(A115,""en"",""fr""))"),"Multi-pays, devise, langue")</f>
        <v>Multi-pays, devise, langue</v>
      </c>
    </row>
    <row r="116" spans="1:2">
      <c r="A116" s="3" t="s">
        <v>902</v>
      </c>
      <c r="B116" s="3" t="str">
        <f ca="1">IFERROR(__xludf.DUMMYFUNCTION("IF(ISBLANK(A116),"""",GOOGLETRANSLATE(A116,""en"",""fr""))"),"Conformité locale dans plus de 30 marchés")</f>
        <v>Conformité locale dans plus de 30 marchés</v>
      </c>
    </row>
    <row r="117" spans="1:2">
      <c r="A117" s="3" t="s">
        <v>903</v>
      </c>
      <c r="B117" s="3" t="str">
        <f ca="1">IFERROR(__xludf.DUMMYFUNCTION("IF(ISBLANK(A117),"""",GOOGLETRANSLATE(A117,""en"",""fr""))"),"MINI s'associe à NETSOL pour propulser sa nouvelle ère d'expérience de vente au détail automobile")</f>
        <v>MINI s'associe à NETSOL pour propulser sa nouvelle ère d'expérience de vente au détail automobile</v>
      </c>
    </row>
    <row r="118" spans="1:2">
      <c r="A118" s="3" t="s">
        <v>904</v>
      </c>
      <c r="B118" s="3" t="str">
        <f ca="1">IFERROR(__xludf.DUMMYFUNCTION("IF(ISBLANK(A118),"""",GOOGLETRANSLATE(A118,""en"",""fr""))"),"Chez MINI, nous avons décidé qu'il était temps de créer un parcours d'achat et de financement complet pour le consommateur. Il était important de créer quelque chose de plus qu'un simple générateur de leads pour faciliter la transaction complète de chaque"&amp;" client MINI, où qu'il soit et à tout moment. Notre partenariat avec NETSOL nous a permis non seulement de rattraper les leaders du secteur, mais aussi d'établir de nouvelles références dans la vente automobile numérique, ce que les acteurs habituels du s"&amp;"ecteur ne pouvaient pas offrir.")</f>
        <v>Chez MINI, nous avons décidé qu'il était temps de créer un parcours d'achat et de financement complet pour le consommateur. Il était important de créer quelque chose de plus qu'un simple générateur de leads pour faciliter la transaction complète de chaque client MINI, où qu'il soit et à tout moment. Notre partenariat avec NETSOL nous a permis non seulement de rattraper les leaders du secteur, mais aussi d'établir de nouvelles références dans la vente automobile numérique, ce que les acteurs habituels du secteur ne pouvaient pas offrir.</v>
      </c>
    </row>
    <row r="119" spans="1:2">
      <c r="A119" s="3" t="s">
        <v>378</v>
      </c>
      <c r="B119" s="3" t="str">
        <f ca="1">IFERROR(__xludf.DUMMYFUNCTION("IF(ISBLANK(A119),"""",GOOGLETRANSLATE(A119,""en"",""fr""))"),"Prêt à transcender ?")</f>
        <v>Prêt à transcender ?</v>
      </c>
    </row>
    <row r="120" spans="1:2">
      <c r="A120" s="3" t="s">
        <v>330</v>
      </c>
      <c r="B120" s="3" t="str">
        <f ca="1">IFERROR(__xludf.DUMMYFUNCTION("IF(ISBLANK(A120),"""",GOOGLETRANSLATE(A120,""en"",""fr""))"),"Explorez notre plateforme complète ou ses solutions individuelles pour pérenniser votre entreprise et obtenir un avantage concurrentiel distinct dans le paysage actuel en constante évolution.")</f>
        <v>Explorez notre plateforme complète ou ses solutions individuelles pour pérenniser votre entreprise et obtenir un avantage concurrentiel distinct dans le paysage actuel en constante évolution.</v>
      </c>
    </row>
    <row r="121" spans="1:2">
      <c r="A121" s="3" t="s">
        <v>738</v>
      </c>
      <c r="B121" s="3" t="str">
        <f ca="1">IFERROR(__xludf.DUMMYFUNCTION("IF(ISBLANK(A121),"""",GOOGLETRANSLATE(A121,""en"",""fr""))"),"Connectez-vous avec nous")</f>
        <v>Connectez-vous avec nous</v>
      </c>
    </row>
    <row r="122" spans="1:2">
      <c r="A122" s="3" t="s">
        <v>94</v>
      </c>
      <c r="B122" s="3" t="str">
        <f ca="1">IFERROR(__xludf.DUMMYFUNCTION("IF(ISBLANK(A122),"""",GOOGLETRANSLATE(A122,""en"",""fr""))"),"Lectures et idées en vedette")</f>
        <v>Lectures et idées en vedette</v>
      </c>
    </row>
    <row r="123" spans="1:2">
      <c r="A123" s="10" t="s">
        <v>95</v>
      </c>
      <c r="B123" s="3" t="str">
        <f ca="1">IFERROR(__xludf.DUMMYFUNCTION("IF(ISBLANK(A123),"""",GOOGLETRANSLATE(A123,""en"",""fr""))"),"Restez informé des dernières actualités de NETSOL. Réflexions stratégiques, mises à jour produits, perspectives sectorielles et actualités de l'entreprise, tout est réuni au même endroit.")</f>
        <v>Restez informé des dernières actualités de NETSOL. Réflexions stratégiques, mises à jour produits, perspectives sectorielles et actualités de l'entreprise, tout est réuni au même endroit.</v>
      </c>
    </row>
    <row r="124" spans="1:2">
      <c r="A124" s="3" t="s">
        <v>96</v>
      </c>
      <c r="B124" s="3" t="str">
        <f ca="1">IFERROR(__xludf.DUMMYFUNCTION("IF(ISBLANK(A124),"""",GOOGLETRANSLATE(A124,""en"",""fr""))"),"Blog")</f>
        <v>Blog</v>
      </c>
    </row>
    <row r="125" spans="1:2">
      <c r="A125" s="3" t="s">
        <v>97</v>
      </c>
      <c r="B125" s="3" t="str">
        <f ca="1">IFERROR(__xludf.DUMMYFUNCTION("IF(ISBLANK(A125),"""",GOOGLETRANSLATE(A125,""en"",""fr""))"),"Au-delà du DMS : pourquoi l’avenir du commerce automobile repose sur les API")</f>
        <v>Au-delà du DMS : pourquoi l’avenir du commerce automobile repose sur les API</v>
      </c>
    </row>
    <row r="126" spans="1:2">
      <c r="A126" s="3" t="s">
        <v>23</v>
      </c>
      <c r="B126" s="3" t="str">
        <f ca="1">IFERROR(__xludf.DUMMYFUNCTION("IF(ISBLANK(A126),"""",GOOGLETRANSLATE(A126,""en"",""fr""))"),"Apprendre encore plus")</f>
        <v>Apprendre encore plus</v>
      </c>
    </row>
    <row r="127" spans="1:2">
      <c r="A127" s="3" t="s">
        <v>96</v>
      </c>
      <c r="B127" s="3" t="str">
        <f ca="1">IFERROR(__xludf.DUMMYFUNCTION("IF(ISBLANK(A127),"""",GOOGLETRANSLATE(A127,""en"",""fr""))"),"Blog")</f>
        <v>Blog</v>
      </c>
    </row>
    <row r="128" spans="1:2">
      <c r="A128" s="3" t="s">
        <v>98</v>
      </c>
      <c r="B128" s="3" t="str">
        <f ca="1">IFERROR(__xludf.DUMMYFUNCTION("IF(ISBLANK(A128),"""",GOOGLETRANSLATE(A128,""en"",""fr""))"),"NETSOL est présent à la conférence et aux prix GlobalData Automotive Europe 2025.")</f>
        <v>NETSOL est présent à la conférence et aux prix GlobalData Automotive Europe 2025.</v>
      </c>
    </row>
    <row r="129" spans="1:2">
      <c r="A129" s="3" t="s">
        <v>23</v>
      </c>
      <c r="B129" s="3" t="str">
        <f ca="1">IFERROR(__xludf.DUMMYFUNCTION("IF(ISBLANK(A129),"""",GOOGLETRANSLATE(A129,""en"",""fr""))"),"Apprendre encore plus")</f>
        <v>Apprendre encore plus</v>
      </c>
    </row>
    <row r="130" spans="1:2">
      <c r="A130" s="3" t="s">
        <v>96</v>
      </c>
      <c r="B130" s="3" t="str">
        <f ca="1">IFERROR(__xludf.DUMMYFUNCTION("IF(ISBLANK(A130),"""",GOOGLETRANSLATE(A130,""en"",""fr""))"),"Blog")</f>
        <v>Blog</v>
      </c>
    </row>
    <row r="131" spans="1:2">
      <c r="A131" s="3" t="s">
        <v>99</v>
      </c>
      <c r="B131" s="3" t="str">
        <f ca="1">IFERROR(__xludf.DUMMYFUNCTION("IF(ISBLANK(A131),"""",GOOGLETRANSLATE(A131,""en"",""fr""))"),"NETSOL participe au 25e Sommet annuel du financement automobile : Piloter l'avenir du financement automobile")</f>
        <v>NETSOL participe au 25e Sommet annuel du financement automobile : Piloter l'avenir du financement automobile</v>
      </c>
    </row>
    <row r="132" spans="1:2">
      <c r="A132" s="3" t="s">
        <v>23</v>
      </c>
      <c r="B132" s="3" t="str">
        <f ca="1">IFERROR(__xludf.DUMMYFUNCTION("IF(ISBLANK(A132),"""",GOOGLETRANSLATE(A132,""en"",""fr""))"),"Apprendre encore plus")</f>
        <v>Apprendre encore plus</v>
      </c>
    </row>
    <row r="133" spans="1:2">
      <c r="A133" s="3" t="s">
        <v>96</v>
      </c>
      <c r="B133" s="3" t="str">
        <f ca="1">IFERROR(__xludf.DUMMYFUNCTION("IF(ISBLANK(A133),"""",GOOGLETRANSLATE(A133,""en"",""fr""))"),"Blog")</f>
        <v>Blog</v>
      </c>
    </row>
    <row r="134" spans="1:2">
      <c r="A134" s="3" t="s">
        <v>100</v>
      </c>
      <c r="B134" s="3" t="str">
        <f ca="1">IFERROR(__xludf.DUMMYFUNCTION("IF(ISBLANK(A134),"""",GOOGLETRANSLATE(A134,""en"",""fr""))"),"NETSOL est présent à Digital Dealer 2025 : façonner l’avenir de la vente automobile")</f>
        <v>NETSOL est présent à Digital Dealer 2025 : façonner l’avenir de la vente automobile</v>
      </c>
    </row>
    <row r="135" spans="1:2">
      <c r="A135" s="3" t="s">
        <v>23</v>
      </c>
      <c r="B135" s="3" t="str">
        <f ca="1">IFERROR(__xludf.DUMMYFUNCTION("IF(ISBLANK(A135),"""",GOOGLETRANSLATE(A135,""en"",""fr""))"),"Apprendre encore plus")</f>
        <v>Apprendre encore plus</v>
      </c>
    </row>
    <row r="136" spans="1:2">
      <c r="A136" s="3" t="s">
        <v>96</v>
      </c>
      <c r="B136" s="3" t="str">
        <f ca="1">IFERROR(__xludf.DUMMYFUNCTION("IF(ISBLANK(A136),"""",GOOGLETRANSLATE(A136,""en"",""fr""))"),"Blog")</f>
        <v>Blog</v>
      </c>
    </row>
    <row r="137" spans="1:2">
      <c r="A137" s="6" t="s">
        <v>101</v>
      </c>
      <c r="B137" s="3" t="str">
        <f ca="1">IFERROR(__xludf.DUMMYFUNCTION("IF(ISBLANK(A137),"""",GOOGLETRANSLATE(A137,""en"",""fr""))"),"L'IA dans le secteur des services financiers et de l'investissement : révolutionner la gestion des risques")</f>
        <v>L'IA dans le secteur des services financiers et de l'investissement : révolutionner la gestion des risques</v>
      </c>
    </row>
    <row r="138" spans="1:2">
      <c r="A138" s="3" t="s">
        <v>23</v>
      </c>
      <c r="B138" s="3" t="str">
        <f ca="1">IFERROR(__xludf.DUMMYFUNCTION("IF(ISBLANK(A138),"""",GOOGLETRANSLATE(A138,""en"",""fr""))"),"Apprendre encore plus")</f>
        <v>Apprendre encore plus</v>
      </c>
    </row>
    <row r="139" spans="1:2">
      <c r="A139" s="3" t="s">
        <v>96</v>
      </c>
      <c r="B139" s="3" t="str">
        <f ca="1">IFERROR(__xludf.DUMMYFUNCTION("IF(ISBLANK(A139),"""",GOOGLETRANSLATE(A139,""en"",""fr""))"),"Blog")</f>
        <v>Blog</v>
      </c>
    </row>
    <row r="140" spans="1:2">
      <c r="A140" s="3" t="s">
        <v>102</v>
      </c>
      <c r="B140" s="3" t="str">
        <f ca="1">IFERROR(__xludf.DUMMYFUNCTION("IF(ISBLANK(A140),"""",GOOGLETRANSLATE(A140,""en"",""fr""))"),"L'importance de la personnalisation du service client : adapter la gestion des paiements et des litiges aux besoins des clients")</f>
        <v>L'importance de la personnalisation du service client : adapter la gestion des paiements et des litiges aux besoins des clients</v>
      </c>
    </row>
    <row r="141" spans="1:2">
      <c r="A141" s="3" t="s">
        <v>23</v>
      </c>
      <c r="B141" s="3" t="str">
        <f ca="1">IFERROR(__xludf.DUMMYFUNCTION("IF(ISBLANK(A141),"""",GOOGLETRANSLATE(A141,""en"",""fr""))"),"Apprendre encore plus")</f>
        <v>Apprendre encore plus</v>
      </c>
    </row>
    <row r="142" spans="1:2">
      <c r="A142" s="3" t="s">
        <v>96</v>
      </c>
      <c r="B142" s="3" t="str">
        <f ca="1">IFERROR(__xludf.DUMMYFUNCTION("IF(ISBLANK(A142),"""",GOOGLETRANSLATE(A142,""en"",""fr""))"),"Blog")</f>
        <v>Blog</v>
      </c>
    </row>
    <row r="143" spans="1:2">
      <c r="A143" s="3" t="s">
        <v>103</v>
      </c>
      <c r="B143" s="3" t="str">
        <f ca="1">IFERROR(__xludf.DUMMYFUNCTION("IF(ISBLANK(A143),"""",GOOGLETRANSLATE(A143,""en"",""fr""))"),"Le véritable coût des systèmes déconnectés dans le commerce de détail automobile")</f>
        <v>Le véritable coût des systèmes déconnectés dans le commerce de détail automobile</v>
      </c>
    </row>
    <row r="144" spans="1:2">
      <c r="A144" s="3" t="s">
        <v>23</v>
      </c>
      <c r="B144" s="3" t="str">
        <f ca="1">IFERROR(__xludf.DUMMYFUNCTION("IF(ISBLANK(A144),"""",GOOGLETRANSLATE(A144,""en"",""fr""))"),"Apprendre encore plus")</f>
        <v>Apprendre encore plus</v>
      </c>
    </row>
    <row r="145" spans="1:2">
      <c r="A145" s="3" t="s">
        <v>96</v>
      </c>
      <c r="B145" s="3" t="str">
        <f ca="1">IFERROR(__xludf.DUMMYFUNCTION("IF(ISBLANK(A145),"""",GOOGLETRANSLATE(A145,""en"",""fr""))"),"Blog")</f>
        <v>Blog</v>
      </c>
    </row>
    <row r="146" spans="1:2">
      <c r="A146" s="3" t="s">
        <v>104</v>
      </c>
      <c r="B146" s="3" t="str">
        <f ca="1">IFERROR(__xludf.DUMMYFUNCTION("IF(ISBLANK(A146),"""",GOOGLETRANSLATE(A146,""en"",""fr""))"),"Captive du futur : Comment la technologie redéfinit les opérations financières des captives - Points clés du webinaire de l'AFSA")</f>
        <v>Captive du futur : Comment la technologie redéfinit les opérations financières des captives - Points clés du webinaire de l'AFSA</v>
      </c>
    </row>
    <row r="147" spans="1:2">
      <c r="A147" s="3" t="s">
        <v>23</v>
      </c>
      <c r="B147" s="3" t="str">
        <f ca="1">IFERROR(__xludf.DUMMYFUNCTION("IF(ISBLANK(A147),"""",GOOGLETRANSLATE(A147,""en"",""fr""))"),"Apprendre encore plus")</f>
        <v>Apprendre encore plus</v>
      </c>
    </row>
    <row r="148" spans="1:2">
      <c r="A148" s="3" t="s">
        <v>96</v>
      </c>
      <c r="B148" s="3" t="str">
        <f ca="1">IFERROR(__xludf.DUMMYFUNCTION("IF(ISBLANK(A148),"""",GOOGLETRANSLATE(A148,""en"",""fr""))"),"Blog")</f>
        <v>Blog</v>
      </c>
    </row>
    <row r="149" spans="1:2">
      <c r="A149" s="3" t="s">
        <v>105</v>
      </c>
      <c r="B149" s="3" t="str">
        <f ca="1">IFERROR(__xludf.DUMMYFUNCTION("IF(ISBLANK(A149),"""",GOOGLETRANSLATE(A149,""en"",""fr""))"),"Lutte contre la fraude dans le secteur financier de gros : exploiter la technologie pour une détection précoce et une atténuation des risques")</f>
        <v>Lutte contre la fraude dans le secteur financier de gros : exploiter la technologie pour une détection précoce et une atténuation des risques</v>
      </c>
    </row>
    <row r="150" spans="1:2">
      <c r="A150" s="3" t="s">
        <v>23</v>
      </c>
      <c r="B150" s="3" t="str">
        <f ca="1">IFERROR(__xludf.DUMMYFUNCTION("IF(ISBLANK(A150),"""",GOOGLETRANSLATE(A150,""en"",""fr""))"),"Apprendre encore plus")</f>
        <v>Apprendre encore plus</v>
      </c>
    </row>
    <row r="151" spans="1:2">
      <c r="A151" s="3" t="s">
        <v>108</v>
      </c>
      <c r="B151" s="3" t="str">
        <f ca="1">IFERROR(__xludf.DUMMYFUNCTION("IF(ISBLANK(A151),"""",GOOGLETRANSLATE(A151,""en"",""fr""))"),"Abonnez-vous à notre newsletter pour recevoir les dernières nouvelles dans votre boîte mail.")</f>
        <v>Abonnez-vous à notre newsletter pour recevoir les dernières nouvelles dans votre boîte mail.</v>
      </c>
    </row>
    <row r="152" spans="1:2">
      <c r="A152" s="3" t="s">
        <v>109</v>
      </c>
      <c r="B152" s="3" t="str">
        <f ca="1">IFERROR(__xludf.DUMMYFUNCTION("IF(ISBLANK(A152),"""",GOOGLETRANSLATE(A152,""en"",""fr""))"),"abc@exemple.com")</f>
        <v>abc@exemple.com</v>
      </c>
    </row>
    <row r="153" spans="1:2">
      <c r="A153" s="3" t="s">
        <v>110</v>
      </c>
      <c r="B153" s="3" t="str">
        <f ca="1">IFERROR(__xludf.DUMMYFUNCTION("IF(ISBLANK(A153),"""",GOOGLETRANSLATE(A153,""en"",""fr""))"),"S'abonner ")</f>
        <v xml:space="preserve">S'abonner </v>
      </c>
    </row>
    <row r="154" spans="1:2">
      <c r="B154" s="3" t="str">
        <f ca="1">IFERROR(__xludf.DUMMYFUNCTION("IF(ISBLANK(A154),"""",GOOGLETRANSLATE(A154,""en"",""fr""))"),"")</f>
        <v/>
      </c>
    </row>
    <row r="155" spans="1:2">
      <c r="B155" s="3" t="str">
        <f ca="1">IFERROR(__xludf.DUMMYFUNCTION("IF(ISBLANK(A155),"""",GOOGLETRANSLATE(A155,""en"",""fr""))"),"")</f>
        <v/>
      </c>
    </row>
    <row r="156" spans="1:2">
      <c r="B156" s="3" t="str">
        <f ca="1">IFERROR(__xludf.DUMMYFUNCTION("IF(ISBLANK(A156),"""",GOOGLETRANSLATE(A156,""en"",""fr""))"),"")</f>
        <v/>
      </c>
    </row>
    <row r="157" spans="1:2">
      <c r="B157" s="3" t="str">
        <f ca="1">IFERROR(__xludf.DUMMYFUNCTION("IF(ISBLANK(A157),"""",GOOGLETRANSLATE(A157,""en"",""fr""))"),"")</f>
        <v/>
      </c>
    </row>
    <row r="158" spans="1:2">
      <c r="B158" s="3" t="str">
        <f ca="1">IFERROR(__xludf.DUMMYFUNCTION("IF(ISBLANK(A158),"""",GOOGLETRANSLATE(A158,""en"",""fr""))"),"")</f>
        <v/>
      </c>
    </row>
    <row r="159" spans="1:2">
      <c r="B159" s="3" t="str">
        <f ca="1">IFERROR(__xludf.DUMMYFUNCTION("IF(ISBLANK(A159),"""",GOOGLETRANSLATE(A159,""en"",""fr""))"),"")</f>
        <v/>
      </c>
    </row>
    <row r="160" spans="1:2">
      <c r="B160" s="3" t="str">
        <f ca="1">IFERROR(__xludf.DUMMYFUNCTION("IF(ISBLANK(A160),"""",GOOGLETRANSLATE(A160,""en"",""fr""))"),"")</f>
        <v/>
      </c>
    </row>
    <row r="161" spans="2:2">
      <c r="B161" s="3" t="str">
        <f ca="1">IFERROR(__xludf.DUMMYFUNCTION("IF(ISBLANK(A161),"""",GOOGLETRANSLATE(A161,""en"",""fr""))"),"")</f>
        <v/>
      </c>
    </row>
    <row r="162" spans="2:2">
      <c r="B162" s="3" t="str">
        <f ca="1">IFERROR(__xludf.DUMMYFUNCTION("IF(ISBLANK(A162),"""",GOOGLETRANSLATE(A162,""en"",""fr""))"),"")</f>
        <v/>
      </c>
    </row>
    <row r="163" spans="2:2">
      <c r="B163" s="3" t="str">
        <f ca="1">IFERROR(__xludf.DUMMYFUNCTION("IF(ISBLANK(A163),"""",GOOGLETRANSLATE(A163,""en"",""fr""))"),"")</f>
        <v/>
      </c>
    </row>
    <row r="164" spans="2:2">
      <c r="B164" s="3" t="str">
        <f ca="1">IFERROR(__xludf.DUMMYFUNCTION("IF(ISBLANK(A164),"""",GOOGLETRANSLATE(A164,""en"",""fr""))"),"")</f>
        <v/>
      </c>
    </row>
    <row r="165" spans="2:2">
      <c r="B165" s="3" t="str">
        <f ca="1">IFERROR(__xludf.DUMMYFUNCTION("IF(ISBLANK(A165),"""",GOOGLETRANSLATE(A165,""en"",""fr""))"),"")</f>
        <v/>
      </c>
    </row>
    <row r="166" spans="2:2">
      <c r="B166" s="3" t="str">
        <f ca="1">IFERROR(__xludf.DUMMYFUNCTION("IF(ISBLANK(A166),"""",GOOGLETRANSLATE(A166,""en"",""fr""))"),"")</f>
        <v/>
      </c>
    </row>
    <row r="167" spans="2:2">
      <c r="B167" s="3" t="str">
        <f ca="1">IFERROR(__xludf.DUMMYFUNCTION("IF(ISBLANK(A167),"""",GOOGLETRANSLATE(A167,""en"",""fr""))"),"")</f>
        <v/>
      </c>
    </row>
    <row r="168" spans="2:2">
      <c r="B168" s="3" t="str">
        <f ca="1">IFERROR(__xludf.DUMMYFUNCTION("IF(ISBLANK(A168),"""",GOOGLETRANSLATE(A168,""en"",""fr""))"),"")</f>
        <v/>
      </c>
    </row>
    <row r="169" spans="2:2">
      <c r="B169" s="3" t="str">
        <f ca="1">IFERROR(__xludf.DUMMYFUNCTION("IF(ISBLANK(A169),"""",GOOGLETRANSLATE(A169,""en"",""fr""))"),"")</f>
        <v/>
      </c>
    </row>
    <row r="170" spans="2:2">
      <c r="B170" s="3" t="str">
        <f ca="1">IFERROR(__xludf.DUMMYFUNCTION("IF(ISBLANK(A170),"""",GOOGLETRANSLATE(A170,""en"",""fr""))"),"")</f>
        <v/>
      </c>
    </row>
    <row r="171" spans="2:2">
      <c r="B171" s="3" t="str">
        <f ca="1">IFERROR(__xludf.DUMMYFUNCTION("IF(ISBLANK(A171),"""",GOOGLETRANSLATE(A171,""en"",""fr""))"),"")</f>
        <v/>
      </c>
    </row>
    <row r="172" spans="2:2">
      <c r="B172" s="3" t="str">
        <f ca="1">IFERROR(__xludf.DUMMYFUNCTION("IF(ISBLANK(A172),"""",GOOGLETRANSLATE(A172,""en"",""fr""))"),"")</f>
        <v/>
      </c>
    </row>
    <row r="173" spans="2:2">
      <c r="B173" s="3" t="str">
        <f ca="1">IFERROR(__xludf.DUMMYFUNCTION("IF(ISBLANK(A173),"""",GOOGLETRANSLATE(A173,""en"",""fr""))"),"")</f>
        <v/>
      </c>
    </row>
    <row r="174" spans="2:2">
      <c r="B174" s="3" t="str">
        <f ca="1">IFERROR(__xludf.DUMMYFUNCTION("IF(ISBLANK(A174),"""",GOOGLETRANSLATE(A174,""en"",""fr""))"),"")</f>
        <v/>
      </c>
    </row>
    <row r="175" spans="2:2">
      <c r="B175" s="3" t="str">
        <f ca="1">IFERROR(__xludf.DUMMYFUNCTION("IF(ISBLANK(A175),"""",GOOGLETRANSLATE(A175,""en"",""fr""))"),"")</f>
        <v/>
      </c>
    </row>
    <row r="176" spans="2:2">
      <c r="B176" s="3" t="str">
        <f ca="1">IFERROR(__xludf.DUMMYFUNCTION("IF(ISBLANK(A176),"""",GOOGLETRANSLATE(A176,""en"",""fr""))"),"")</f>
        <v/>
      </c>
    </row>
    <row r="177" spans="2:2">
      <c r="B177" s="3" t="str">
        <f ca="1">IFERROR(__xludf.DUMMYFUNCTION("IF(ISBLANK(A177),"""",GOOGLETRANSLATE(A177,""en"",""fr""))"),"")</f>
        <v/>
      </c>
    </row>
    <row r="178" spans="2:2">
      <c r="B178" s="3" t="str">
        <f ca="1">IFERROR(__xludf.DUMMYFUNCTION("IF(ISBLANK(A178),"""",GOOGLETRANSLATE(A178,""en"",""fr""))"),"")</f>
        <v/>
      </c>
    </row>
    <row r="179" spans="2:2">
      <c r="B179" s="3" t="str">
        <f ca="1">IFERROR(__xludf.DUMMYFUNCTION("IF(ISBLANK(A179),"""",GOOGLETRANSLATE(A179,""en"",""fr""))"),"")</f>
        <v/>
      </c>
    </row>
    <row r="180" spans="2:2">
      <c r="B180" s="3" t="str">
        <f ca="1">IFERROR(__xludf.DUMMYFUNCTION("IF(ISBLANK(A180),"""",GOOGLETRANSLATE(A180,""en"",""fr""))"),"")</f>
        <v/>
      </c>
    </row>
    <row r="181" spans="2:2">
      <c r="B181" s="3" t="str">
        <f ca="1">IFERROR(__xludf.DUMMYFUNCTION("IF(ISBLANK(A181),"""",GOOGLETRANSLATE(A181,""en"",""fr""))"),"")</f>
        <v/>
      </c>
    </row>
    <row r="182" spans="2:2">
      <c r="B182" s="3" t="str">
        <f ca="1">IFERROR(__xludf.DUMMYFUNCTION("IF(ISBLANK(A182),"""",GOOGLETRANSLATE(A182,""en"",""fr""))"),"")</f>
        <v/>
      </c>
    </row>
    <row r="183" spans="2:2">
      <c r="B183" s="3" t="str">
        <f ca="1">IFERROR(__xludf.DUMMYFUNCTION("IF(ISBLANK(A183),"""",GOOGLETRANSLATE(A183,""en"",""fr""))"),"")</f>
        <v/>
      </c>
    </row>
    <row r="184" spans="2:2">
      <c r="B184" s="3" t="str">
        <f ca="1">IFERROR(__xludf.DUMMYFUNCTION("IF(ISBLANK(A184),"""",GOOGLETRANSLATE(A184,""en"",""fr""))"),"")</f>
        <v/>
      </c>
    </row>
    <row r="185" spans="2:2">
      <c r="B185" s="3" t="str">
        <f ca="1">IFERROR(__xludf.DUMMYFUNCTION("IF(ISBLANK(A185),"""",GOOGLETRANSLATE(A185,""en"",""fr""))"),"")</f>
        <v/>
      </c>
    </row>
    <row r="186" spans="2:2">
      <c r="B186" s="3" t="str">
        <f ca="1">IFERROR(__xludf.DUMMYFUNCTION("IF(ISBLANK(A186),"""",GOOGLETRANSLATE(A186,""en"",""fr""))"),"")</f>
        <v/>
      </c>
    </row>
    <row r="187" spans="2:2">
      <c r="B187" s="3" t="str">
        <f ca="1">IFERROR(__xludf.DUMMYFUNCTION("IF(ISBLANK(A187),"""",GOOGLETRANSLATE(A187,""en"",""fr""))"),"")</f>
        <v/>
      </c>
    </row>
    <row r="188" spans="2:2">
      <c r="B188" s="3" t="str">
        <f ca="1">IFERROR(__xludf.DUMMYFUNCTION("IF(ISBLANK(A188),"""",GOOGLETRANSLATE(A188,""en"",""fr""))"),"")</f>
        <v/>
      </c>
    </row>
    <row r="189" spans="2:2">
      <c r="B189" s="3" t="str">
        <f ca="1">IFERROR(__xludf.DUMMYFUNCTION("IF(ISBLANK(A189),"""",GOOGLETRANSLATE(A189,""en"",""fr""))"),"")</f>
        <v/>
      </c>
    </row>
    <row r="190" spans="2:2">
      <c r="B190" s="3" t="str">
        <f ca="1">IFERROR(__xludf.DUMMYFUNCTION("IF(ISBLANK(A190),"""",GOOGLETRANSLATE(A190,""en"",""fr""))"),"")</f>
        <v/>
      </c>
    </row>
    <row r="191" spans="2:2">
      <c r="B191" s="3" t="str">
        <f ca="1">IFERROR(__xludf.DUMMYFUNCTION("IF(ISBLANK(A191),"""",GOOGLETRANSLATE(A191,""en"",""fr""))"),"")</f>
        <v/>
      </c>
    </row>
    <row r="192" spans="2:2">
      <c r="B192" s="3" t="str">
        <f ca="1">IFERROR(__xludf.DUMMYFUNCTION("IF(ISBLANK(A192),"""",GOOGLETRANSLATE(A192,""en"",""fr""))"),"")</f>
        <v/>
      </c>
    </row>
    <row r="193" spans="2:2">
      <c r="B193" s="3" t="str">
        <f ca="1">IFERROR(__xludf.DUMMYFUNCTION("IF(ISBLANK(A193),"""",GOOGLETRANSLATE(A193,""en"",""fr""))"),"")</f>
        <v/>
      </c>
    </row>
    <row r="194" spans="2:2">
      <c r="B194" s="3" t="str">
        <f ca="1">IFERROR(__xludf.DUMMYFUNCTION("IF(ISBLANK(A194),"""",GOOGLETRANSLATE(A194,""en"",""fr""))"),"")</f>
        <v/>
      </c>
    </row>
    <row r="195" spans="2:2">
      <c r="B195" s="3" t="str">
        <f ca="1">IFERROR(__xludf.DUMMYFUNCTION("IF(ISBLANK(A195),"""",GOOGLETRANSLATE(A195,""en"",""fr""))"),"")</f>
        <v/>
      </c>
    </row>
    <row r="196" spans="2:2">
      <c r="B196" s="3" t="str">
        <f ca="1">IFERROR(__xludf.DUMMYFUNCTION("IF(ISBLANK(A196),"""",GOOGLETRANSLATE(A196,""en"",""fr""))"),"")</f>
        <v/>
      </c>
    </row>
    <row r="197" spans="2:2">
      <c r="B197" s="3" t="str">
        <f ca="1">IFERROR(__xludf.DUMMYFUNCTION("IF(ISBLANK(A197),"""",GOOGLETRANSLATE(A197,""en"",""fr""))"),"")</f>
        <v/>
      </c>
    </row>
    <row r="198" spans="2:2">
      <c r="B198" s="3" t="str">
        <f ca="1">IFERROR(__xludf.DUMMYFUNCTION("IF(ISBLANK(A198),"""",GOOGLETRANSLATE(A198,""en"",""fr""))"),"")</f>
        <v/>
      </c>
    </row>
    <row r="199" spans="2:2">
      <c r="B199" s="3" t="str">
        <f ca="1">IFERROR(__xludf.DUMMYFUNCTION("IF(ISBLANK(A199),"""",GOOGLETRANSLATE(A199,""en"",""fr""))"),"")</f>
        <v/>
      </c>
    </row>
    <row r="200" spans="2:2">
      <c r="B200" s="3" t="str">
        <f ca="1">IFERROR(__xludf.DUMMYFUNCTION("IF(ISBLANK(A200),"""",GOOGLETRANSLATE(A200,""en"",""fr""))"),"")</f>
        <v/>
      </c>
    </row>
    <row r="201" spans="2:2">
      <c r="B201" s="3" t="str">
        <f ca="1">IFERROR(__xludf.DUMMYFUNCTION("IF(ISBLANK(A201),"""",GOOGLETRANSLATE(A201,""en"",""fr""))"),"")</f>
        <v/>
      </c>
    </row>
    <row r="202" spans="2:2">
      <c r="B202" s="3" t="str">
        <f ca="1">IFERROR(__xludf.DUMMYFUNCTION("IF(ISBLANK(A202),"""",GOOGLETRANSLATE(A202,""en"",""fr""))"),"")</f>
        <v/>
      </c>
    </row>
    <row r="203" spans="2:2">
      <c r="B203" s="3" t="str">
        <f ca="1">IFERROR(__xludf.DUMMYFUNCTION("IF(ISBLANK(A203),"""",GOOGLETRANSLATE(A203,""en"",""fr""))"),"")</f>
        <v/>
      </c>
    </row>
    <row r="204" spans="2:2">
      <c r="B204" s="3" t="str">
        <f ca="1">IFERROR(__xludf.DUMMYFUNCTION("IF(ISBLANK(A204),"""",GOOGLETRANSLATE(A204,""en"",""fr""))"),"")</f>
        <v/>
      </c>
    </row>
    <row r="205" spans="2:2">
      <c r="B205" s="3" t="str">
        <f ca="1">IFERROR(__xludf.DUMMYFUNCTION("IF(ISBLANK(A205),"""",GOOGLETRANSLATE(A205,""en"",""fr""))"),"")</f>
        <v/>
      </c>
    </row>
    <row r="206" spans="2:2">
      <c r="B206" s="3" t="str">
        <f ca="1">IFERROR(__xludf.DUMMYFUNCTION("IF(ISBLANK(A206),"""",GOOGLETRANSLATE(A206,""en"",""fr""))"),"")</f>
        <v/>
      </c>
    </row>
    <row r="207" spans="2:2">
      <c r="B207" s="3" t="str">
        <f ca="1">IFERROR(__xludf.DUMMYFUNCTION("IF(ISBLANK(A207),"""",GOOGLETRANSLATE(A207,""en"",""fr""))"),"")</f>
        <v/>
      </c>
    </row>
    <row r="208" spans="2:2">
      <c r="B208" s="3" t="str">
        <f ca="1">IFERROR(__xludf.DUMMYFUNCTION("IF(ISBLANK(A208),"""",GOOGLETRANSLATE(A208,""en"",""fr""))"),"")</f>
        <v/>
      </c>
    </row>
    <row r="209" spans="2:2">
      <c r="B209" s="3" t="str">
        <f ca="1">IFERROR(__xludf.DUMMYFUNCTION("IF(ISBLANK(A209),"""",GOOGLETRANSLATE(A209,""en"",""fr""))"),"")</f>
        <v/>
      </c>
    </row>
    <row r="210" spans="2:2">
      <c r="B210" s="3" t="str">
        <f ca="1">IFERROR(__xludf.DUMMYFUNCTION("IF(ISBLANK(A210),"""",GOOGLETRANSLATE(A210,""en"",""fr""))"),"")</f>
        <v/>
      </c>
    </row>
    <row r="211" spans="2:2">
      <c r="B211" s="3" t="str">
        <f ca="1">IFERROR(__xludf.DUMMYFUNCTION("IF(ISBLANK(A211),"""",GOOGLETRANSLATE(A211,""en"",""fr""))"),"")</f>
        <v/>
      </c>
    </row>
    <row r="212" spans="2:2">
      <c r="B212" s="3" t="str">
        <f ca="1">IFERROR(__xludf.DUMMYFUNCTION("IF(ISBLANK(A212),"""",GOOGLETRANSLATE(A212,""en"",""fr""))"),"")</f>
        <v/>
      </c>
    </row>
    <row r="213" spans="2:2">
      <c r="B213" s="3" t="str">
        <f ca="1">IFERROR(__xludf.DUMMYFUNCTION("IF(ISBLANK(A213),"""",GOOGLETRANSLATE(A213,""en"",""fr""))"),"")</f>
        <v/>
      </c>
    </row>
    <row r="214" spans="2:2">
      <c r="B214" s="3" t="str">
        <f ca="1">IFERROR(__xludf.DUMMYFUNCTION("IF(ISBLANK(A214),"""",GOOGLETRANSLATE(A214,""en"",""fr""))"),"")</f>
        <v/>
      </c>
    </row>
    <row r="215" spans="2:2">
      <c r="B215" s="3" t="str">
        <f ca="1">IFERROR(__xludf.DUMMYFUNCTION("IF(ISBLANK(A215),"""",GOOGLETRANSLATE(A215,""en"",""fr""))"),"")</f>
        <v/>
      </c>
    </row>
    <row r="216" spans="2:2">
      <c r="B216" s="3" t="str">
        <f ca="1">IFERROR(__xludf.DUMMYFUNCTION("IF(ISBLANK(A216),"""",GOOGLETRANSLATE(A216,""en"",""fr""))"),"")</f>
        <v/>
      </c>
    </row>
    <row r="217" spans="2:2">
      <c r="B217" s="3" t="str">
        <f ca="1">IFERROR(__xludf.DUMMYFUNCTION("IF(ISBLANK(A217),"""",GOOGLETRANSLATE(A217,""en"",""fr""))"),"")</f>
        <v/>
      </c>
    </row>
    <row r="218" spans="2:2">
      <c r="B218" s="3" t="str">
        <f ca="1">IFERROR(__xludf.DUMMYFUNCTION("IF(ISBLANK(A218),"""",GOOGLETRANSLATE(A218,""en"",""fr""))"),"")</f>
        <v/>
      </c>
    </row>
    <row r="219" spans="2:2">
      <c r="B219" s="3" t="str">
        <f ca="1">IFERROR(__xludf.DUMMYFUNCTION("IF(ISBLANK(A219),"""",GOOGLETRANSLATE(A219,""en"",""fr""))"),"")</f>
        <v/>
      </c>
    </row>
    <row r="220" spans="2:2">
      <c r="B220" s="3" t="str">
        <f ca="1">IFERROR(__xludf.DUMMYFUNCTION("IF(ISBLANK(A220),"""",GOOGLETRANSLATE(A220,""en"",""fr""))"),"")</f>
        <v/>
      </c>
    </row>
    <row r="221" spans="2:2">
      <c r="B221" s="3" t="str">
        <f ca="1">IFERROR(__xludf.DUMMYFUNCTION("IF(ISBLANK(A221),"""",GOOGLETRANSLATE(A221,""en"",""fr""))"),"")</f>
        <v/>
      </c>
    </row>
    <row r="222" spans="2:2">
      <c r="B222" s="3" t="str">
        <f ca="1">IFERROR(__xludf.DUMMYFUNCTION("IF(ISBLANK(A222),"""",GOOGLETRANSLATE(A222,""en"",""fr""))"),"")</f>
        <v/>
      </c>
    </row>
    <row r="223" spans="2:2">
      <c r="B223" s="3" t="str">
        <f ca="1">IFERROR(__xludf.DUMMYFUNCTION("IF(ISBLANK(A223),"""",GOOGLETRANSLATE(A223,""en"",""fr""))"),"")</f>
        <v/>
      </c>
    </row>
    <row r="224" spans="2:2">
      <c r="B224" s="3" t="str">
        <f ca="1">IFERROR(__xludf.DUMMYFUNCTION("IF(ISBLANK(A224),"""",GOOGLETRANSLATE(A224,""en"",""fr""))"),"")</f>
        <v/>
      </c>
    </row>
    <row r="225" spans="2:2">
      <c r="B225" s="3" t="str">
        <f ca="1">IFERROR(__xludf.DUMMYFUNCTION("IF(ISBLANK(A225),"""",GOOGLETRANSLATE(A225,""en"",""fr""))"),"")</f>
        <v/>
      </c>
    </row>
    <row r="226" spans="2:2">
      <c r="B226" s="3" t="str">
        <f ca="1">IFERROR(__xludf.DUMMYFUNCTION("IF(ISBLANK(A226),"""",GOOGLETRANSLATE(A226,""en"",""fr""))"),"")</f>
        <v/>
      </c>
    </row>
    <row r="227" spans="2:2">
      <c r="B227" s="3" t="str">
        <f ca="1">IFERROR(__xludf.DUMMYFUNCTION("IF(ISBLANK(A227),"""",GOOGLETRANSLATE(A227,""en"",""fr""))"),"")</f>
        <v/>
      </c>
    </row>
    <row r="228" spans="2:2">
      <c r="B228" s="3" t="str">
        <f ca="1">IFERROR(__xludf.DUMMYFUNCTION("IF(ISBLANK(A228),"""",GOOGLETRANSLATE(A228,""en"",""fr""))"),"")</f>
        <v/>
      </c>
    </row>
    <row r="229" spans="2:2">
      <c r="B229" s="3" t="str">
        <f ca="1">IFERROR(__xludf.DUMMYFUNCTION("IF(ISBLANK(A229),"""",GOOGLETRANSLATE(A229,""en"",""fr""))"),"")</f>
        <v/>
      </c>
    </row>
    <row r="230" spans="2:2">
      <c r="B230" s="3" t="str">
        <f ca="1">IFERROR(__xludf.DUMMYFUNCTION("IF(ISBLANK(A230),"""",GOOGLETRANSLATE(A230,""en"",""fr""))"),"")</f>
        <v/>
      </c>
    </row>
    <row r="231" spans="2:2">
      <c r="B231" s="3" t="str">
        <f ca="1">IFERROR(__xludf.DUMMYFUNCTION("IF(ISBLANK(A231),"""",GOOGLETRANSLATE(A231,""en"",""fr""))"),"")</f>
        <v/>
      </c>
    </row>
    <row r="232" spans="2:2">
      <c r="B232" s="3" t="str">
        <f ca="1">IFERROR(__xludf.DUMMYFUNCTION("IF(ISBLANK(A232),"""",GOOGLETRANSLATE(A232,""en"",""fr""))"),"")</f>
        <v/>
      </c>
    </row>
    <row r="233" spans="2:2">
      <c r="B233" s="3" t="str">
        <f ca="1">IFERROR(__xludf.DUMMYFUNCTION("IF(ISBLANK(A233),"""",GOOGLETRANSLATE(A233,""en"",""fr""))"),"")</f>
        <v/>
      </c>
    </row>
    <row r="234" spans="2:2">
      <c r="B234" s="3" t="str">
        <f ca="1">IFERROR(__xludf.DUMMYFUNCTION("IF(ISBLANK(A234),"""",GOOGLETRANSLATE(A234,""en"",""fr""))"),"")</f>
        <v/>
      </c>
    </row>
    <row r="235" spans="2:2">
      <c r="B235" s="3" t="str">
        <f ca="1">IFERROR(__xludf.DUMMYFUNCTION("IF(ISBLANK(A235),"""",GOOGLETRANSLATE(A235,""en"",""fr""))"),"")</f>
        <v/>
      </c>
    </row>
    <row r="236" spans="2:2">
      <c r="B236" s="3" t="str">
        <f ca="1">IFERROR(__xludf.DUMMYFUNCTION("IF(ISBLANK(A236),"""",GOOGLETRANSLATE(A236,""en"",""fr""))"),"")</f>
        <v/>
      </c>
    </row>
    <row r="237" spans="2:2">
      <c r="B237" s="3" t="str">
        <f ca="1">IFERROR(__xludf.DUMMYFUNCTION("IF(ISBLANK(A237),"""",GOOGLETRANSLATE(A237,""en"",""fr""))"),"")</f>
        <v/>
      </c>
    </row>
    <row r="238" spans="2:2">
      <c r="B238" s="3" t="str">
        <f ca="1">IFERROR(__xludf.DUMMYFUNCTION("IF(ISBLANK(A238),"""",GOOGLETRANSLATE(A238,""en"",""fr""))"),"")</f>
        <v/>
      </c>
    </row>
    <row r="239" spans="2:2">
      <c r="B239" s="3" t="str">
        <f ca="1">IFERROR(__xludf.DUMMYFUNCTION("IF(ISBLANK(A239),"""",GOOGLETRANSLATE(A239,""en"",""fr""))"),"")</f>
        <v/>
      </c>
    </row>
    <row r="240" spans="2:2">
      <c r="B240" s="3" t="str">
        <f ca="1">IFERROR(__xludf.DUMMYFUNCTION("IF(ISBLANK(A240),"""",GOOGLETRANSLATE(A240,""en"",""fr""))"),"")</f>
        <v/>
      </c>
    </row>
    <row r="241" spans="2:2">
      <c r="B241" s="3" t="str">
        <f ca="1">IFERROR(__xludf.DUMMYFUNCTION("IF(ISBLANK(A241),"""",GOOGLETRANSLATE(A241,""en"",""fr""))"),"")</f>
        <v/>
      </c>
    </row>
    <row r="242" spans="2:2">
      <c r="B242" s="3" t="str">
        <f ca="1">IFERROR(__xludf.DUMMYFUNCTION("IF(ISBLANK(A242),"""",GOOGLETRANSLATE(A242,""en"",""fr""))"),"")</f>
        <v/>
      </c>
    </row>
    <row r="243" spans="2:2">
      <c r="B243" s="3" t="str">
        <f ca="1">IFERROR(__xludf.DUMMYFUNCTION("IF(ISBLANK(A243),"""",GOOGLETRANSLATE(A243,""en"",""fr""))"),"")</f>
        <v/>
      </c>
    </row>
    <row r="244" spans="2:2">
      <c r="B244" s="3" t="str">
        <f ca="1">IFERROR(__xludf.DUMMYFUNCTION("IF(ISBLANK(A244),"""",GOOGLETRANSLATE(A244,""en"",""fr""))"),"")</f>
        <v/>
      </c>
    </row>
    <row r="245" spans="2:2">
      <c r="B245" s="3" t="str">
        <f ca="1">IFERROR(__xludf.DUMMYFUNCTION("IF(ISBLANK(A245),"""",GOOGLETRANSLATE(A245,""en"",""fr""))"),"")</f>
        <v/>
      </c>
    </row>
    <row r="246" spans="2:2">
      <c r="B246" s="3" t="str">
        <f ca="1">IFERROR(__xludf.DUMMYFUNCTION("IF(ISBLANK(A246),"""",GOOGLETRANSLATE(A246,""en"",""fr""))"),"")</f>
        <v/>
      </c>
    </row>
    <row r="247" spans="2:2">
      <c r="B247" s="3" t="str">
        <f ca="1">IFERROR(__xludf.DUMMYFUNCTION("IF(ISBLANK(A247),"""",GOOGLETRANSLATE(A247,""en"",""fr""))"),"")</f>
        <v/>
      </c>
    </row>
    <row r="248" spans="2:2">
      <c r="B248" s="3" t="str">
        <f ca="1">IFERROR(__xludf.DUMMYFUNCTION("IF(ISBLANK(A248),"""",GOOGLETRANSLATE(A248,""en"",""fr""))"),"")</f>
        <v/>
      </c>
    </row>
    <row r="249" spans="2:2">
      <c r="B249" s="3" t="str">
        <f ca="1">IFERROR(__xludf.DUMMYFUNCTION("IF(ISBLANK(A249),"""",GOOGLETRANSLATE(A249,""en"",""fr""))"),"")</f>
        <v/>
      </c>
    </row>
    <row r="250" spans="2:2">
      <c r="B250" s="3" t="str">
        <f ca="1">IFERROR(__xludf.DUMMYFUNCTION("IF(ISBLANK(A250),"""",GOOGLETRANSLATE(A250,""en"",""fr""))"),"")</f>
        <v/>
      </c>
    </row>
    <row r="251" spans="2:2">
      <c r="B251" s="3" t="str">
        <f ca="1">IFERROR(__xludf.DUMMYFUNCTION("IF(ISBLANK(A251),"""",GOOGLETRANSLATE(A251,""en"",""fr""))"),"")</f>
        <v/>
      </c>
    </row>
    <row r="252" spans="2:2">
      <c r="B252" s="3" t="str">
        <f ca="1">IFERROR(__xludf.DUMMYFUNCTION("IF(ISBLANK(A252),"""",GOOGLETRANSLATE(A252,""en"",""fr""))"),"")</f>
        <v/>
      </c>
    </row>
    <row r="253" spans="2:2">
      <c r="B253" s="3" t="str">
        <f ca="1">IFERROR(__xludf.DUMMYFUNCTION("IF(ISBLANK(A253),"""",GOOGLETRANSLATE(A253,""en"",""fr""))"),"")</f>
        <v/>
      </c>
    </row>
    <row r="254" spans="2:2">
      <c r="B254" s="3" t="str">
        <f ca="1">IFERROR(__xludf.DUMMYFUNCTION("IF(ISBLANK(A254),"""",GOOGLETRANSLATE(A254,""en"",""fr""))"),"")</f>
        <v/>
      </c>
    </row>
    <row r="255" spans="2:2">
      <c r="B255" s="3" t="str">
        <f ca="1">IFERROR(__xludf.DUMMYFUNCTION("IF(ISBLANK(A255),"""",GOOGLETRANSLATE(A255,""en"",""fr""))"),"")</f>
        <v/>
      </c>
    </row>
    <row r="256" spans="2:2">
      <c r="B256" s="3" t="str">
        <f ca="1">IFERROR(__xludf.DUMMYFUNCTION("IF(ISBLANK(A256),"""",GOOGLETRANSLATE(A256,""en"",""fr""))"),"")</f>
        <v/>
      </c>
    </row>
    <row r="257" spans="2:2">
      <c r="B257" s="3" t="str">
        <f ca="1">IFERROR(__xludf.DUMMYFUNCTION("IF(ISBLANK(A257),"""",GOOGLETRANSLATE(A257,""en"",""fr""))"),"")</f>
        <v/>
      </c>
    </row>
    <row r="258" spans="2:2">
      <c r="B258" s="3" t="str">
        <f ca="1">IFERROR(__xludf.DUMMYFUNCTION("IF(ISBLANK(A258),"""",GOOGLETRANSLATE(A258,""en"",""fr""))"),"")</f>
        <v/>
      </c>
    </row>
    <row r="259" spans="2:2">
      <c r="B259" s="3" t="str">
        <f ca="1">IFERROR(__xludf.DUMMYFUNCTION("IF(ISBLANK(A259),"""",GOOGLETRANSLATE(A259,""en"",""fr""))"),"")</f>
        <v/>
      </c>
    </row>
    <row r="260" spans="2:2">
      <c r="B260" s="3" t="str">
        <f ca="1">IFERROR(__xludf.DUMMYFUNCTION("IF(ISBLANK(A260),"""",GOOGLETRANSLATE(A260,""en"",""fr""))"),"")</f>
        <v/>
      </c>
    </row>
    <row r="261" spans="2:2">
      <c r="B261" s="3" t="str">
        <f ca="1">IFERROR(__xludf.DUMMYFUNCTION("IF(ISBLANK(A261),"""",GOOGLETRANSLATE(A261,""en"",""fr""))"),"")</f>
        <v/>
      </c>
    </row>
    <row r="262" spans="2:2">
      <c r="B262" s="3" t="str">
        <f ca="1">IFERROR(__xludf.DUMMYFUNCTION("IF(ISBLANK(A262),"""",GOOGLETRANSLATE(A262,""en"",""fr""))"),"")</f>
        <v/>
      </c>
    </row>
    <row r="263" spans="2:2">
      <c r="B263" s="3" t="str">
        <f ca="1">IFERROR(__xludf.DUMMYFUNCTION("IF(ISBLANK(A263),"""",GOOGLETRANSLATE(A263,""en"",""fr""))"),"")</f>
        <v/>
      </c>
    </row>
    <row r="264" spans="2:2">
      <c r="B264" s="3" t="str">
        <f ca="1">IFERROR(__xludf.DUMMYFUNCTION("IF(ISBLANK(A264),"""",GOOGLETRANSLATE(A264,""en"",""fr""))"),"")</f>
        <v/>
      </c>
    </row>
    <row r="265" spans="2:2">
      <c r="B265" s="3" t="str">
        <f ca="1">IFERROR(__xludf.DUMMYFUNCTION("IF(ISBLANK(A265),"""",GOOGLETRANSLATE(A265,""en"",""fr""))"),"")</f>
        <v/>
      </c>
    </row>
    <row r="266" spans="2:2">
      <c r="B266" s="3" t="str">
        <f ca="1">IFERROR(__xludf.DUMMYFUNCTION("IF(ISBLANK(A266),"""",GOOGLETRANSLATE(A266,""en"",""fr""))"),"")</f>
        <v/>
      </c>
    </row>
    <row r="267" spans="2:2">
      <c r="B267" s="3" t="str">
        <f ca="1">IFERROR(__xludf.DUMMYFUNCTION("IF(ISBLANK(A267),"""",GOOGLETRANSLATE(A267,""en"",""fr""))"),"")</f>
        <v/>
      </c>
    </row>
    <row r="268" spans="2:2">
      <c r="B268" s="3" t="str">
        <f ca="1">IFERROR(__xludf.DUMMYFUNCTION("IF(ISBLANK(A268),"""",GOOGLETRANSLATE(A268,""en"",""fr""))"),"")</f>
        <v/>
      </c>
    </row>
    <row r="269" spans="2:2">
      <c r="B269" s="3" t="str">
        <f ca="1">IFERROR(__xludf.DUMMYFUNCTION("IF(ISBLANK(A269),"""",GOOGLETRANSLATE(A269,""en"",""fr""))"),"")</f>
        <v/>
      </c>
    </row>
    <row r="270" spans="2:2">
      <c r="B270" s="3" t="str">
        <f ca="1">IFERROR(__xludf.DUMMYFUNCTION("IF(ISBLANK(A270),"""",GOOGLETRANSLATE(A270,""en"",""fr""))"),"")</f>
        <v/>
      </c>
    </row>
    <row r="271" spans="2:2">
      <c r="B271" s="3" t="str">
        <f ca="1">IFERROR(__xludf.DUMMYFUNCTION("IF(ISBLANK(A271),"""",GOOGLETRANSLATE(A271,""en"",""fr""))"),"")</f>
        <v/>
      </c>
    </row>
    <row r="272" spans="2:2">
      <c r="B272" s="3" t="str">
        <f ca="1">IFERROR(__xludf.DUMMYFUNCTION("IF(ISBLANK(A272),"""",GOOGLETRANSLATE(A272,""en"",""fr""))"),"")</f>
        <v/>
      </c>
    </row>
    <row r="273" spans="2:2">
      <c r="B273" s="3" t="str">
        <f ca="1">IFERROR(__xludf.DUMMYFUNCTION("IF(ISBLANK(A273),"""",GOOGLETRANSLATE(A273,""en"",""fr""))"),"")</f>
        <v/>
      </c>
    </row>
    <row r="274" spans="2:2">
      <c r="B274" s="3" t="str">
        <f ca="1">IFERROR(__xludf.DUMMYFUNCTION("IF(ISBLANK(A274),"""",GOOGLETRANSLATE(A274,""en"",""fr""))"),"")</f>
        <v/>
      </c>
    </row>
    <row r="275" spans="2:2">
      <c r="B275" s="3" t="str">
        <f ca="1">IFERROR(__xludf.DUMMYFUNCTION("IF(ISBLANK(A275),"""",GOOGLETRANSLATE(A275,""en"",""fr""))"),"")</f>
        <v/>
      </c>
    </row>
    <row r="276" spans="2:2">
      <c r="B276" s="3" t="str">
        <f ca="1">IFERROR(__xludf.DUMMYFUNCTION("IF(ISBLANK(A276),"""",GOOGLETRANSLATE(A276,""en"",""fr""))"),"")</f>
        <v/>
      </c>
    </row>
    <row r="277" spans="2:2">
      <c r="B277" s="3" t="str">
        <f ca="1">IFERROR(__xludf.DUMMYFUNCTION("IF(ISBLANK(A277),"""",GOOGLETRANSLATE(A277,""en"",""fr""))"),"")</f>
        <v/>
      </c>
    </row>
    <row r="278" spans="2:2">
      <c r="B278" s="3" t="str">
        <f ca="1">IFERROR(__xludf.DUMMYFUNCTION("IF(ISBLANK(A278),"""",GOOGLETRANSLATE(A278,""en"",""fr""))"),"")</f>
        <v/>
      </c>
    </row>
    <row r="279" spans="2:2">
      <c r="B279" s="3" t="str">
        <f ca="1">IFERROR(__xludf.DUMMYFUNCTION("IF(ISBLANK(A279),"""",GOOGLETRANSLATE(A279,""en"",""fr""))"),"")</f>
        <v/>
      </c>
    </row>
    <row r="280" spans="2:2">
      <c r="B280" s="3" t="str">
        <f ca="1">IFERROR(__xludf.DUMMYFUNCTION("IF(ISBLANK(A280),"""",GOOGLETRANSLATE(A280,""en"",""fr""))"),"")</f>
        <v/>
      </c>
    </row>
    <row r="281" spans="2:2">
      <c r="B281" s="3" t="str">
        <f ca="1">IFERROR(__xludf.DUMMYFUNCTION("IF(ISBLANK(A281),"""",GOOGLETRANSLATE(A281,""en"",""fr""))"),"")</f>
        <v/>
      </c>
    </row>
    <row r="282" spans="2:2">
      <c r="B282" s="3" t="str">
        <f ca="1">IFERROR(__xludf.DUMMYFUNCTION("IF(ISBLANK(A282),"""",GOOGLETRANSLATE(A282,""en"",""fr""))"),"")</f>
        <v/>
      </c>
    </row>
    <row r="283" spans="2:2">
      <c r="B283" s="3" t="str">
        <f ca="1">IFERROR(__xludf.DUMMYFUNCTION("IF(ISBLANK(A283),"""",GOOGLETRANSLATE(A283,""en"",""fr""))"),"")</f>
        <v/>
      </c>
    </row>
    <row r="284" spans="2:2">
      <c r="B284" s="3" t="str">
        <f ca="1">IFERROR(__xludf.DUMMYFUNCTION("IF(ISBLANK(A284),"""",GOOGLETRANSLATE(A284,""en"",""fr""))"),"")</f>
        <v/>
      </c>
    </row>
    <row r="285" spans="2:2">
      <c r="B285" s="3" t="str">
        <f ca="1">IFERROR(__xludf.DUMMYFUNCTION("IF(ISBLANK(A285),"""",GOOGLETRANSLATE(A285,""en"",""fr""))"),"")</f>
        <v/>
      </c>
    </row>
    <row r="286" spans="2:2">
      <c r="B286" s="3" t="str">
        <f ca="1">IFERROR(__xludf.DUMMYFUNCTION("IF(ISBLANK(A286),"""",GOOGLETRANSLATE(A286,""en"",""fr""))"),"")</f>
        <v/>
      </c>
    </row>
    <row r="287" spans="2:2">
      <c r="B287" s="3" t="str">
        <f ca="1">IFERROR(__xludf.DUMMYFUNCTION("IF(ISBLANK(A287),"""",GOOGLETRANSLATE(A287,""en"",""fr""))"),"")</f>
        <v/>
      </c>
    </row>
    <row r="288" spans="2:2">
      <c r="B288" s="3" t="str">
        <f ca="1">IFERROR(__xludf.DUMMYFUNCTION("IF(ISBLANK(A288),"""",GOOGLETRANSLATE(A288,""en"",""fr""))"),"")</f>
        <v/>
      </c>
    </row>
    <row r="289" spans="2:2">
      <c r="B289" s="3" t="str">
        <f ca="1">IFERROR(__xludf.DUMMYFUNCTION("IF(ISBLANK(A289),"""",GOOGLETRANSLATE(A289,""en"",""fr""))"),"")</f>
        <v/>
      </c>
    </row>
    <row r="290" spans="2:2">
      <c r="B290" s="3" t="str">
        <f ca="1">IFERROR(__xludf.DUMMYFUNCTION("IF(ISBLANK(A290),"""",GOOGLETRANSLATE(A290,""en"",""fr""))"),"")</f>
        <v/>
      </c>
    </row>
    <row r="291" spans="2:2">
      <c r="B291" s="3" t="str">
        <f ca="1">IFERROR(__xludf.DUMMYFUNCTION("IF(ISBLANK(A291),"""",GOOGLETRANSLATE(A291,""en"",""fr""))"),"")</f>
        <v/>
      </c>
    </row>
    <row r="292" spans="2:2">
      <c r="B292" s="3" t="str">
        <f ca="1">IFERROR(__xludf.DUMMYFUNCTION("IF(ISBLANK(A292),"""",GOOGLETRANSLATE(A292,""en"",""fr""))"),"")</f>
        <v/>
      </c>
    </row>
    <row r="293" spans="2:2">
      <c r="B293" s="3" t="str">
        <f ca="1">IFERROR(__xludf.DUMMYFUNCTION("IF(ISBLANK(A293),"""",GOOGLETRANSLATE(A293,""en"",""fr""))"),"")</f>
        <v/>
      </c>
    </row>
    <row r="294" spans="2:2">
      <c r="B294" s="3" t="str">
        <f ca="1">IFERROR(__xludf.DUMMYFUNCTION("IF(ISBLANK(A294),"""",GOOGLETRANSLATE(A294,""en"",""fr""))"),"")</f>
        <v/>
      </c>
    </row>
    <row r="295" spans="2:2">
      <c r="B295" s="3" t="str">
        <f ca="1">IFERROR(__xludf.DUMMYFUNCTION("IF(ISBLANK(A295),"""",GOOGLETRANSLATE(A295,""en"",""fr""))"),"")</f>
        <v/>
      </c>
    </row>
    <row r="296" spans="2:2">
      <c r="B296" s="3" t="str">
        <f ca="1">IFERROR(__xludf.DUMMYFUNCTION("IF(ISBLANK(A296),"""",GOOGLETRANSLATE(A296,""en"",""fr""))"),"")</f>
        <v/>
      </c>
    </row>
    <row r="297" spans="2:2">
      <c r="B297" s="3" t="str">
        <f ca="1">IFERROR(__xludf.DUMMYFUNCTION("IF(ISBLANK(A297),"""",GOOGLETRANSLATE(A297,""en"",""fr""))"),"")</f>
        <v/>
      </c>
    </row>
    <row r="298" spans="2:2">
      <c r="B298" s="3" t="str">
        <f ca="1">IFERROR(__xludf.DUMMYFUNCTION("IF(ISBLANK(A298),"""",GOOGLETRANSLATE(A298,""en"",""fr""))"),"")</f>
        <v/>
      </c>
    </row>
    <row r="299" spans="2:2">
      <c r="B299" s="3" t="str">
        <f ca="1">IFERROR(__xludf.DUMMYFUNCTION("IF(ISBLANK(A299),"""",GOOGLETRANSLATE(A299,""en"",""fr""))"),"")</f>
        <v/>
      </c>
    </row>
    <row r="300" spans="2:2">
      <c r="B300" s="3" t="str">
        <f ca="1">IFERROR(__xludf.DUMMYFUNCTION("IF(ISBLANK(A300),"""",GOOGLETRANSLATE(A300,""en"",""fr""))"),"")</f>
        <v/>
      </c>
    </row>
    <row r="301" spans="2:2">
      <c r="B301" s="3" t="str">
        <f ca="1">IFERROR(__xludf.DUMMYFUNCTION("IF(ISBLANK(A301),"""",GOOGLETRANSLATE(A301,""en"",""fr""))"),"")</f>
        <v/>
      </c>
    </row>
    <row r="302" spans="2:2">
      <c r="B302" s="3" t="str">
        <f ca="1">IFERROR(__xludf.DUMMYFUNCTION("IF(ISBLANK(A302),"""",GOOGLETRANSLATE(A302,""en"",""fr""))"),"")</f>
        <v/>
      </c>
    </row>
    <row r="303" spans="2:2">
      <c r="B303" s="3" t="str">
        <f ca="1">IFERROR(__xludf.DUMMYFUNCTION("IF(ISBLANK(A303),"""",GOOGLETRANSLATE(A303,""en"",""fr""))"),"")</f>
        <v/>
      </c>
    </row>
    <row r="304" spans="2:2">
      <c r="B304" s="3" t="str">
        <f ca="1">IFERROR(__xludf.DUMMYFUNCTION("IF(ISBLANK(A304),"""",GOOGLETRANSLATE(A304,""en"",""fr""))"),"")</f>
        <v/>
      </c>
    </row>
    <row r="305" spans="2:2">
      <c r="B305" s="3" t="str">
        <f ca="1">IFERROR(__xludf.DUMMYFUNCTION("IF(ISBLANK(A305),"""",GOOGLETRANSLATE(A305,""en"",""fr""))"),"")</f>
        <v/>
      </c>
    </row>
    <row r="306" spans="2:2">
      <c r="B306" s="3" t="str">
        <f ca="1">IFERROR(__xludf.DUMMYFUNCTION("IF(ISBLANK(A306),"""",GOOGLETRANSLATE(A306,""en"",""fr""))"),"")</f>
        <v/>
      </c>
    </row>
    <row r="307" spans="2:2">
      <c r="B307" s="3" t="str">
        <f ca="1">IFERROR(__xludf.DUMMYFUNCTION("IF(ISBLANK(A307),"""",GOOGLETRANSLATE(A307,""en"",""fr""))"),"")</f>
        <v/>
      </c>
    </row>
    <row r="308" spans="2:2">
      <c r="B308" s="3" t="str">
        <f ca="1">IFERROR(__xludf.DUMMYFUNCTION("IF(ISBLANK(A308),"""",GOOGLETRANSLATE(A308,""en"",""fr""))"),"")</f>
        <v/>
      </c>
    </row>
    <row r="309" spans="2:2">
      <c r="B309" s="3" t="str">
        <f ca="1">IFERROR(__xludf.DUMMYFUNCTION("IF(ISBLANK(A309),"""",GOOGLETRANSLATE(A309,""en"",""fr""))"),"")</f>
        <v/>
      </c>
    </row>
    <row r="310" spans="2:2">
      <c r="B310" s="3" t="str">
        <f ca="1">IFERROR(__xludf.DUMMYFUNCTION("IF(ISBLANK(A310),"""",GOOGLETRANSLATE(A310,""en"",""fr""))"),"")</f>
        <v/>
      </c>
    </row>
    <row r="311" spans="2:2">
      <c r="B311" s="3" t="str">
        <f ca="1">IFERROR(__xludf.DUMMYFUNCTION("IF(ISBLANK(A311),"""",GOOGLETRANSLATE(A311,""en"",""fr""))"),"")</f>
        <v/>
      </c>
    </row>
    <row r="312" spans="2:2">
      <c r="B312" s="3" t="str">
        <f ca="1">IFERROR(__xludf.DUMMYFUNCTION("IF(ISBLANK(A312),"""",GOOGLETRANSLATE(A312,""en"",""fr""))"),"")</f>
        <v/>
      </c>
    </row>
    <row r="313" spans="2:2">
      <c r="B313" s="3" t="str">
        <f ca="1">IFERROR(__xludf.DUMMYFUNCTION("IF(ISBLANK(A313),"""",GOOGLETRANSLATE(A313,""en"",""fr""))"),"")</f>
        <v/>
      </c>
    </row>
    <row r="314" spans="2:2">
      <c r="B314" s="3" t="str">
        <f ca="1">IFERROR(__xludf.DUMMYFUNCTION("IF(ISBLANK(A314),"""",GOOGLETRANSLATE(A314,""en"",""fr""))"),"")</f>
        <v/>
      </c>
    </row>
    <row r="315" spans="2:2">
      <c r="B315" s="3" t="str">
        <f ca="1">IFERROR(__xludf.DUMMYFUNCTION("IF(ISBLANK(A315),"""",GOOGLETRANSLATE(A315,""en"",""fr""))"),"")</f>
        <v/>
      </c>
    </row>
    <row r="316" spans="2:2">
      <c r="B316" s="3" t="str">
        <f ca="1">IFERROR(__xludf.DUMMYFUNCTION("IF(ISBLANK(A316),"""",GOOGLETRANSLATE(A316,""en"",""fr""))"),"")</f>
        <v/>
      </c>
    </row>
    <row r="317" spans="2:2">
      <c r="B317" s="3" t="str">
        <f ca="1">IFERROR(__xludf.DUMMYFUNCTION("IF(ISBLANK(A317),"""",GOOGLETRANSLATE(A317,""en"",""fr""))"),"")</f>
        <v/>
      </c>
    </row>
    <row r="318" spans="2:2">
      <c r="B318" s="3" t="str">
        <f ca="1">IFERROR(__xludf.DUMMYFUNCTION("IF(ISBLANK(A318),"""",GOOGLETRANSLATE(A318,""en"",""fr""))"),"")</f>
        <v/>
      </c>
    </row>
    <row r="319" spans="2:2">
      <c r="B319" s="3" t="str">
        <f ca="1">IFERROR(__xludf.DUMMYFUNCTION("IF(ISBLANK(A319),"""",GOOGLETRANSLATE(A319,""en"",""fr""))"),"")</f>
        <v/>
      </c>
    </row>
    <row r="320" spans="2:2">
      <c r="B320" s="3" t="str">
        <f ca="1">IFERROR(__xludf.DUMMYFUNCTION("IF(ISBLANK(A320),"""",GOOGLETRANSLATE(A320,""en"",""fr""))"),"")</f>
        <v/>
      </c>
    </row>
    <row r="321" spans="2:2">
      <c r="B321" s="3" t="str">
        <f ca="1">IFERROR(__xludf.DUMMYFUNCTION("IF(ISBLANK(A321),"""",GOOGLETRANSLATE(A321,""en"",""fr""))"),"")</f>
        <v/>
      </c>
    </row>
    <row r="322" spans="2:2">
      <c r="B322" s="3" t="str">
        <f ca="1">IFERROR(__xludf.DUMMYFUNCTION("IF(ISBLANK(A322),"""",GOOGLETRANSLATE(A322,""en"",""fr""))"),"")</f>
        <v/>
      </c>
    </row>
    <row r="323" spans="2:2">
      <c r="B323" s="3" t="str">
        <f ca="1">IFERROR(__xludf.DUMMYFUNCTION("IF(ISBLANK(A323),"""",GOOGLETRANSLATE(A323,""en"",""fr""))"),"")</f>
        <v/>
      </c>
    </row>
    <row r="324" spans="2:2">
      <c r="B324" s="3" t="str">
        <f ca="1">IFERROR(__xludf.DUMMYFUNCTION("IF(ISBLANK(A324),"""",GOOGLETRANSLATE(A324,""en"",""fr""))"),"")</f>
        <v/>
      </c>
    </row>
    <row r="325" spans="2:2">
      <c r="B325" s="3" t="str">
        <f ca="1">IFERROR(__xludf.DUMMYFUNCTION("IF(ISBLANK(A325),"""",GOOGLETRANSLATE(A325,""en"",""fr""))"),"")</f>
        <v/>
      </c>
    </row>
    <row r="326" spans="2:2">
      <c r="B326" s="3" t="str">
        <f ca="1">IFERROR(__xludf.DUMMYFUNCTION("IF(ISBLANK(A326),"""",GOOGLETRANSLATE(A326,""en"",""fr""))"),"")</f>
        <v/>
      </c>
    </row>
    <row r="327" spans="2:2">
      <c r="B327" s="3" t="str">
        <f ca="1">IFERROR(__xludf.DUMMYFUNCTION("IF(ISBLANK(A327),"""",GOOGLETRANSLATE(A327,""en"",""fr""))"),"")</f>
        <v/>
      </c>
    </row>
    <row r="328" spans="2:2">
      <c r="B328" s="3" t="str">
        <f ca="1">IFERROR(__xludf.DUMMYFUNCTION("IF(ISBLANK(A328),"""",GOOGLETRANSLATE(A328,""en"",""fr""))"),"")</f>
        <v/>
      </c>
    </row>
    <row r="329" spans="2:2">
      <c r="B329" s="3" t="str">
        <f ca="1">IFERROR(__xludf.DUMMYFUNCTION("IF(ISBLANK(A329),"""",GOOGLETRANSLATE(A329,""en"",""fr""))"),"")</f>
        <v/>
      </c>
    </row>
    <row r="330" spans="2:2">
      <c r="B330" s="3" t="str">
        <f ca="1">IFERROR(__xludf.DUMMYFUNCTION("IF(ISBLANK(A330),"""",GOOGLETRANSLATE(A330,""en"",""fr""))"),"")</f>
        <v/>
      </c>
    </row>
    <row r="331" spans="2:2">
      <c r="B331" s="3" t="str">
        <f ca="1">IFERROR(__xludf.DUMMYFUNCTION("IF(ISBLANK(A331),"""",GOOGLETRANSLATE(A331,""en"",""fr""))"),"")</f>
        <v/>
      </c>
    </row>
    <row r="332" spans="2:2">
      <c r="B332" s="3" t="str">
        <f ca="1">IFERROR(__xludf.DUMMYFUNCTION("IF(ISBLANK(A332),"""",GOOGLETRANSLATE(A332,""en"",""fr""))"),"")</f>
        <v/>
      </c>
    </row>
    <row r="333" spans="2:2">
      <c r="B333" s="3" t="str">
        <f ca="1">IFERROR(__xludf.DUMMYFUNCTION("IF(ISBLANK(A333),"""",GOOGLETRANSLATE(A333,""en"",""fr""))"),"")</f>
        <v/>
      </c>
    </row>
    <row r="334" spans="2:2">
      <c r="B334" s="3" t="str">
        <f ca="1">IFERROR(__xludf.DUMMYFUNCTION("IF(ISBLANK(A334),"""",GOOGLETRANSLATE(A334,""en"",""fr""))"),"")</f>
        <v/>
      </c>
    </row>
    <row r="335" spans="2:2">
      <c r="B335" s="3" t="str">
        <f ca="1">IFERROR(__xludf.DUMMYFUNCTION("IF(ISBLANK(A335),"""",GOOGLETRANSLATE(A335,""en"",""fr""))"),"")</f>
        <v/>
      </c>
    </row>
    <row r="336" spans="2:2">
      <c r="B336" s="3" t="str">
        <f ca="1">IFERROR(__xludf.DUMMYFUNCTION("IF(ISBLANK(A336),"""",GOOGLETRANSLATE(A336,""en"",""fr""))"),"")</f>
        <v/>
      </c>
    </row>
    <row r="337" spans="2:2">
      <c r="B337" s="3" t="str">
        <f ca="1">IFERROR(__xludf.DUMMYFUNCTION("IF(ISBLANK(A337),"""",GOOGLETRANSLATE(A337,""en"",""fr""))"),"")</f>
        <v/>
      </c>
    </row>
    <row r="338" spans="2:2">
      <c r="B338" s="3" t="str">
        <f ca="1">IFERROR(__xludf.DUMMYFUNCTION("IF(ISBLANK(A338),"""",GOOGLETRANSLATE(A338,""en"",""fr""))"),"")</f>
        <v/>
      </c>
    </row>
    <row r="339" spans="2:2">
      <c r="B339" s="3" t="str">
        <f ca="1">IFERROR(__xludf.DUMMYFUNCTION("IF(ISBLANK(A339),"""",GOOGLETRANSLATE(A339,""en"",""fr""))"),"")</f>
        <v/>
      </c>
    </row>
    <row r="340" spans="2:2">
      <c r="B340" s="3" t="str">
        <f ca="1">IFERROR(__xludf.DUMMYFUNCTION("IF(ISBLANK(A340),"""",GOOGLETRANSLATE(A340,""en"",""fr""))"),"")</f>
        <v/>
      </c>
    </row>
    <row r="341" spans="2:2">
      <c r="B341" s="3" t="str">
        <f ca="1">IFERROR(__xludf.DUMMYFUNCTION("IF(ISBLANK(A341),"""",GOOGLETRANSLATE(A341,""en"",""fr""))"),"")</f>
        <v/>
      </c>
    </row>
    <row r="342" spans="2:2">
      <c r="B342" s="3" t="str">
        <f ca="1">IFERROR(__xludf.DUMMYFUNCTION("IF(ISBLANK(A342),"""",GOOGLETRANSLATE(A342,""en"",""fr""))"),"")</f>
        <v/>
      </c>
    </row>
    <row r="343" spans="2:2">
      <c r="B343" s="3" t="str">
        <f ca="1">IFERROR(__xludf.DUMMYFUNCTION("IF(ISBLANK(A343),"""",GOOGLETRANSLATE(A343,""en"",""fr""))"),"")</f>
        <v/>
      </c>
    </row>
    <row r="344" spans="2:2">
      <c r="B344" s="3" t="str">
        <f ca="1">IFERROR(__xludf.DUMMYFUNCTION("IF(ISBLANK(A344),"""",GOOGLETRANSLATE(A344,""en"",""fr""))"),"")</f>
        <v/>
      </c>
    </row>
    <row r="345" spans="2:2">
      <c r="B345" s="3" t="str">
        <f ca="1">IFERROR(__xludf.DUMMYFUNCTION("IF(ISBLANK(A345),"""",GOOGLETRANSLATE(A345,""en"",""fr""))"),"")</f>
        <v/>
      </c>
    </row>
    <row r="346" spans="2:2">
      <c r="B346" s="3" t="str">
        <f ca="1">IFERROR(__xludf.DUMMYFUNCTION("IF(ISBLANK(A346),"""",GOOGLETRANSLATE(A346,""en"",""fr""))"),"")</f>
        <v/>
      </c>
    </row>
    <row r="347" spans="2:2">
      <c r="B347" s="3" t="str">
        <f ca="1">IFERROR(__xludf.DUMMYFUNCTION("IF(ISBLANK(A347),"""",GOOGLETRANSLATE(A347,""en"",""fr""))"),"")</f>
        <v/>
      </c>
    </row>
    <row r="348" spans="2:2">
      <c r="B348" s="3" t="str">
        <f ca="1">IFERROR(__xludf.DUMMYFUNCTION("IF(ISBLANK(A348),"""",GOOGLETRANSLATE(A348,""en"",""fr""))"),"")</f>
        <v/>
      </c>
    </row>
    <row r="349" spans="2:2">
      <c r="B349" s="3" t="str">
        <f ca="1">IFERROR(__xludf.DUMMYFUNCTION("IF(ISBLANK(A349),"""",GOOGLETRANSLATE(A349,""en"",""fr""))"),"")</f>
        <v/>
      </c>
    </row>
    <row r="350" spans="2:2">
      <c r="B350" s="3" t="str">
        <f ca="1">IFERROR(__xludf.DUMMYFUNCTION("IF(ISBLANK(A350),"""",GOOGLETRANSLATE(A350,""en"",""fr""))"),"")</f>
        <v/>
      </c>
    </row>
    <row r="351" spans="2:2">
      <c r="B351" s="3" t="str">
        <f ca="1">IFERROR(__xludf.DUMMYFUNCTION("IF(ISBLANK(A351),"""",GOOGLETRANSLATE(A351,""en"",""fr""))"),"")</f>
        <v/>
      </c>
    </row>
    <row r="352" spans="2:2">
      <c r="B352" s="3" t="str">
        <f ca="1">IFERROR(__xludf.DUMMYFUNCTION("IF(ISBLANK(A352),"""",GOOGLETRANSLATE(A352,""en"",""fr""))"),"")</f>
        <v/>
      </c>
    </row>
    <row r="353" spans="2:2">
      <c r="B353" s="3" t="str">
        <f ca="1">IFERROR(__xludf.DUMMYFUNCTION("IF(ISBLANK(A353),"""",GOOGLETRANSLATE(A353,""en"",""fr""))"),"")</f>
        <v/>
      </c>
    </row>
    <row r="354" spans="2:2">
      <c r="B354" s="3" t="str">
        <f ca="1">IFERROR(__xludf.DUMMYFUNCTION("IF(ISBLANK(A354),"""",GOOGLETRANSLATE(A354,""en"",""fr""))"),"")</f>
        <v/>
      </c>
    </row>
    <row r="355" spans="2:2">
      <c r="B355" s="3" t="str">
        <f ca="1">IFERROR(__xludf.DUMMYFUNCTION("IF(ISBLANK(A355),"""",GOOGLETRANSLATE(A355,""en"",""fr""))"),"")</f>
        <v/>
      </c>
    </row>
    <row r="356" spans="2:2">
      <c r="B356" s="3" t="str">
        <f ca="1">IFERROR(__xludf.DUMMYFUNCTION("IF(ISBLANK(A356),"""",GOOGLETRANSLATE(A356,""en"",""fr""))"),"")</f>
        <v/>
      </c>
    </row>
    <row r="357" spans="2:2">
      <c r="B357" s="3" t="str">
        <f ca="1">IFERROR(__xludf.DUMMYFUNCTION("IF(ISBLANK(A357),"""",GOOGLETRANSLATE(A357,""en"",""fr""))"),"")</f>
        <v/>
      </c>
    </row>
    <row r="358" spans="2:2">
      <c r="B358" s="3" t="str">
        <f ca="1">IFERROR(__xludf.DUMMYFUNCTION("IF(ISBLANK(A358),"""",GOOGLETRANSLATE(A358,""en"",""fr""))"),"")</f>
        <v/>
      </c>
    </row>
    <row r="359" spans="2:2">
      <c r="B359" s="3" t="str">
        <f ca="1">IFERROR(__xludf.DUMMYFUNCTION("IF(ISBLANK(A359),"""",GOOGLETRANSLATE(A359,""en"",""fr""))"),"")</f>
        <v/>
      </c>
    </row>
    <row r="360" spans="2:2">
      <c r="B360" s="3" t="str">
        <f ca="1">IFERROR(__xludf.DUMMYFUNCTION("IF(ISBLANK(A360),"""",GOOGLETRANSLATE(A360,""en"",""fr""))"),"")</f>
        <v/>
      </c>
    </row>
    <row r="361" spans="2:2">
      <c r="B361" s="3" t="str">
        <f ca="1">IFERROR(__xludf.DUMMYFUNCTION("IF(ISBLANK(A361),"""",GOOGLETRANSLATE(A361,""en"",""fr""))"),"")</f>
        <v/>
      </c>
    </row>
    <row r="362" spans="2:2">
      <c r="B362" s="3" t="str">
        <f ca="1">IFERROR(__xludf.DUMMYFUNCTION("IF(ISBLANK(A362),"""",GOOGLETRANSLATE(A362,""en"",""fr""))"),"")</f>
        <v/>
      </c>
    </row>
    <row r="363" spans="2:2">
      <c r="B363" s="3" t="str">
        <f ca="1">IFERROR(__xludf.DUMMYFUNCTION("IF(ISBLANK(A363),"""",GOOGLETRANSLATE(A363,""en"",""fr""))"),"")</f>
        <v/>
      </c>
    </row>
    <row r="364" spans="2:2">
      <c r="B364" s="3" t="str">
        <f ca="1">IFERROR(__xludf.DUMMYFUNCTION("IF(ISBLANK(A364),"""",GOOGLETRANSLATE(A364,""en"",""fr""))"),"")</f>
        <v/>
      </c>
    </row>
    <row r="365" spans="2:2">
      <c r="B365" s="3" t="str">
        <f ca="1">IFERROR(__xludf.DUMMYFUNCTION("IF(ISBLANK(A365),"""",GOOGLETRANSLATE(A365,""en"",""fr""))"),"")</f>
        <v/>
      </c>
    </row>
    <row r="366" spans="2:2">
      <c r="B366" s="3" t="str">
        <f ca="1">IFERROR(__xludf.DUMMYFUNCTION("IF(ISBLANK(A366),"""",GOOGLETRANSLATE(A366,""en"",""fr""))"),"")</f>
        <v/>
      </c>
    </row>
    <row r="367" spans="2:2">
      <c r="B367" s="3" t="str">
        <f ca="1">IFERROR(__xludf.DUMMYFUNCTION("IF(ISBLANK(A367),"""",GOOGLETRANSLATE(A367,""en"",""fr""))"),"")</f>
        <v/>
      </c>
    </row>
    <row r="368" spans="2:2">
      <c r="B368" s="3" t="str">
        <f ca="1">IFERROR(__xludf.DUMMYFUNCTION("IF(ISBLANK(A368),"""",GOOGLETRANSLATE(A368,""en"",""fr""))"),"")</f>
        <v/>
      </c>
    </row>
    <row r="369" spans="2:2">
      <c r="B369" s="3" t="str">
        <f ca="1">IFERROR(__xludf.DUMMYFUNCTION("IF(ISBLANK(A369),"""",GOOGLETRANSLATE(A369,""en"",""fr""))"),"")</f>
        <v/>
      </c>
    </row>
    <row r="370" spans="2:2">
      <c r="B370" s="3" t="str">
        <f ca="1">IFERROR(__xludf.DUMMYFUNCTION("IF(ISBLANK(A370),"""",GOOGLETRANSLATE(A370,""en"",""fr""))"),"")</f>
        <v/>
      </c>
    </row>
    <row r="371" spans="2:2">
      <c r="B371" s="3" t="str">
        <f ca="1">IFERROR(__xludf.DUMMYFUNCTION("IF(ISBLANK(A371),"""",GOOGLETRANSLATE(A371,""en"",""fr""))"),"")</f>
        <v/>
      </c>
    </row>
    <row r="372" spans="2:2">
      <c r="B372" s="3" t="str">
        <f ca="1">IFERROR(__xludf.DUMMYFUNCTION("IF(ISBLANK(A372),"""",GOOGLETRANSLATE(A372,""en"",""fr""))"),"")</f>
        <v/>
      </c>
    </row>
    <row r="373" spans="2:2">
      <c r="B373" s="3" t="str">
        <f ca="1">IFERROR(__xludf.DUMMYFUNCTION("IF(ISBLANK(A373),"""",GOOGLETRANSLATE(A373,""en"",""fr""))"),"")</f>
        <v/>
      </c>
    </row>
    <row r="374" spans="2:2">
      <c r="B374" s="3" t="str">
        <f ca="1">IFERROR(__xludf.DUMMYFUNCTION("IF(ISBLANK(A374),"""",GOOGLETRANSLATE(A374,""en"",""fr""))"),"")</f>
        <v/>
      </c>
    </row>
    <row r="375" spans="2:2">
      <c r="B375" s="3" t="str">
        <f ca="1">IFERROR(__xludf.DUMMYFUNCTION("IF(ISBLANK(A375),"""",GOOGLETRANSLATE(A375,""en"",""fr""))"),"")</f>
        <v/>
      </c>
    </row>
    <row r="376" spans="2:2">
      <c r="B376" s="3" t="str">
        <f ca="1">IFERROR(__xludf.DUMMYFUNCTION("IF(ISBLANK(A376),"""",GOOGLETRANSLATE(A376,""en"",""fr""))"),"")</f>
        <v/>
      </c>
    </row>
    <row r="377" spans="2:2">
      <c r="B377" s="3" t="str">
        <f ca="1">IFERROR(__xludf.DUMMYFUNCTION("IF(ISBLANK(A377),"""",GOOGLETRANSLATE(A377,""en"",""fr""))"),"")</f>
        <v/>
      </c>
    </row>
    <row r="378" spans="2:2">
      <c r="B378" s="3" t="str">
        <f ca="1">IFERROR(__xludf.DUMMYFUNCTION("IF(ISBLANK(A378),"""",GOOGLETRANSLATE(A378,""en"",""fr""))"),"")</f>
        <v/>
      </c>
    </row>
    <row r="379" spans="2:2">
      <c r="B379" s="3" t="str">
        <f ca="1">IFERROR(__xludf.DUMMYFUNCTION("IF(ISBLANK(A379),"""",GOOGLETRANSLATE(A379,""en"",""fr""))"),"")</f>
        <v/>
      </c>
    </row>
    <row r="380" spans="2:2">
      <c r="B380" s="3" t="str">
        <f ca="1">IFERROR(__xludf.DUMMYFUNCTION("IF(ISBLANK(A380),"""",GOOGLETRANSLATE(A380,""en"",""fr""))"),"")</f>
        <v/>
      </c>
    </row>
    <row r="381" spans="2:2">
      <c r="B381" s="3" t="str">
        <f ca="1">IFERROR(__xludf.DUMMYFUNCTION("IF(ISBLANK(A381),"""",GOOGLETRANSLATE(A381,""en"",""fr""))"),"")</f>
        <v/>
      </c>
    </row>
    <row r="382" spans="2:2">
      <c r="B382" s="3" t="str">
        <f ca="1">IFERROR(__xludf.DUMMYFUNCTION("IF(ISBLANK(A382),"""",GOOGLETRANSLATE(A382,""en"",""fr""))"),"")</f>
        <v/>
      </c>
    </row>
    <row r="383" spans="2:2">
      <c r="B383" s="3" t="str">
        <f ca="1">IFERROR(__xludf.DUMMYFUNCTION("IF(ISBLANK(A383),"""",GOOGLETRANSLATE(A383,""en"",""fr""))"),"")</f>
        <v/>
      </c>
    </row>
    <row r="384" spans="2:2">
      <c r="B384" s="3" t="str">
        <f ca="1">IFERROR(__xludf.DUMMYFUNCTION("IF(ISBLANK(A384),"""",GOOGLETRANSLATE(A384,""en"",""fr""))"),"")</f>
        <v/>
      </c>
    </row>
    <row r="385" spans="2:2">
      <c r="B385" s="3" t="str">
        <f ca="1">IFERROR(__xludf.DUMMYFUNCTION("IF(ISBLANK(A385),"""",GOOGLETRANSLATE(A385,""en"",""fr""))"),"")</f>
        <v/>
      </c>
    </row>
    <row r="386" spans="2:2">
      <c r="B386" s="3" t="str">
        <f ca="1">IFERROR(__xludf.DUMMYFUNCTION("IF(ISBLANK(A386),"""",GOOGLETRANSLATE(A386,""en"",""fr""))"),"")</f>
        <v/>
      </c>
    </row>
    <row r="387" spans="2:2">
      <c r="B387" s="3" t="str">
        <f ca="1">IFERROR(__xludf.DUMMYFUNCTION("IF(ISBLANK(A387),"""",GOOGLETRANSLATE(A387,""en"",""fr""))"),"")</f>
        <v/>
      </c>
    </row>
    <row r="388" spans="2:2">
      <c r="B388" s="3" t="str">
        <f ca="1">IFERROR(__xludf.DUMMYFUNCTION("IF(ISBLANK(A388),"""",GOOGLETRANSLATE(A388,""en"",""fr""))"),"")</f>
        <v/>
      </c>
    </row>
    <row r="389" spans="2:2">
      <c r="B389" s="3" t="str">
        <f ca="1">IFERROR(__xludf.DUMMYFUNCTION("IF(ISBLANK(A389),"""",GOOGLETRANSLATE(A389,""en"",""fr""))"),"")</f>
        <v/>
      </c>
    </row>
    <row r="390" spans="2:2">
      <c r="B390" s="3" t="str">
        <f ca="1">IFERROR(__xludf.DUMMYFUNCTION("IF(ISBLANK(A390),"""",GOOGLETRANSLATE(A390,""en"",""fr""))"),"")</f>
        <v/>
      </c>
    </row>
    <row r="391" spans="2:2">
      <c r="B391" s="3" t="str">
        <f ca="1">IFERROR(__xludf.DUMMYFUNCTION("IF(ISBLANK(A391),"""",GOOGLETRANSLATE(A391,""en"",""fr""))"),"")</f>
        <v/>
      </c>
    </row>
    <row r="392" spans="2:2">
      <c r="B392" s="3" t="str">
        <f ca="1">IFERROR(__xludf.DUMMYFUNCTION("IF(ISBLANK(A392),"""",GOOGLETRANSLATE(A392,""en"",""fr""))"),"")</f>
        <v/>
      </c>
    </row>
    <row r="393" spans="2:2">
      <c r="B393" s="3" t="str">
        <f ca="1">IFERROR(__xludf.DUMMYFUNCTION("IF(ISBLANK(A393),"""",GOOGLETRANSLATE(A393,""en"",""fr""))"),"")</f>
        <v/>
      </c>
    </row>
    <row r="394" spans="2:2">
      <c r="B394" s="3" t="str">
        <f ca="1">IFERROR(__xludf.DUMMYFUNCTION("IF(ISBLANK(A394),"""",GOOGLETRANSLATE(A394,""en"",""fr""))"),"")</f>
        <v/>
      </c>
    </row>
    <row r="395" spans="2:2">
      <c r="B395" s="3" t="str">
        <f ca="1">IFERROR(__xludf.DUMMYFUNCTION("IF(ISBLANK(A395),"""",GOOGLETRANSLATE(A395,""en"",""fr""))"),"")</f>
        <v/>
      </c>
    </row>
    <row r="396" spans="2:2">
      <c r="B396" s="3" t="str">
        <f ca="1">IFERROR(__xludf.DUMMYFUNCTION("IF(ISBLANK(A396),"""",GOOGLETRANSLATE(A396,""en"",""fr""))"),"")</f>
        <v/>
      </c>
    </row>
    <row r="397" spans="2:2">
      <c r="B397" s="3" t="str">
        <f ca="1">IFERROR(__xludf.DUMMYFUNCTION("IF(ISBLANK(A397),"""",GOOGLETRANSLATE(A397,""en"",""fr""))"),"")</f>
        <v/>
      </c>
    </row>
    <row r="398" spans="2:2">
      <c r="B398" s="3" t="str">
        <f ca="1">IFERROR(__xludf.DUMMYFUNCTION("IF(ISBLANK(A398),"""",GOOGLETRANSLATE(A398,""en"",""fr""))"),"")</f>
        <v/>
      </c>
    </row>
    <row r="399" spans="2:2">
      <c r="B399" s="3" t="str">
        <f ca="1">IFERROR(__xludf.DUMMYFUNCTION("IF(ISBLANK(A399),"""",GOOGLETRANSLATE(A399,""en"",""fr""))"),"")</f>
        <v/>
      </c>
    </row>
    <row r="400" spans="2:2">
      <c r="B400" s="3" t="str">
        <f ca="1">IFERROR(__xludf.DUMMYFUNCTION("IF(ISBLANK(A400),"""",GOOGLETRANSLATE(A400,""en"",""fr""))"),"")</f>
        <v/>
      </c>
    </row>
    <row r="401" spans="2:2">
      <c r="B401" s="3" t="str">
        <f ca="1">IFERROR(__xludf.DUMMYFUNCTION("IF(ISBLANK(A401),"""",GOOGLETRANSLATE(A401,""en"",""fr""))"),"")</f>
        <v/>
      </c>
    </row>
    <row r="402" spans="2:2">
      <c r="B402" s="3" t="str">
        <f ca="1">IFERROR(__xludf.DUMMYFUNCTION("IF(ISBLANK(A402),"""",GOOGLETRANSLATE(A402,""en"",""fr""))"),"")</f>
        <v/>
      </c>
    </row>
    <row r="403" spans="2:2">
      <c r="B403" s="3" t="str">
        <f ca="1">IFERROR(__xludf.DUMMYFUNCTION("IF(ISBLANK(A403),"""",GOOGLETRANSLATE(A403,""en"",""fr""))"),"")</f>
        <v/>
      </c>
    </row>
    <row r="404" spans="2:2">
      <c r="B404" s="3" t="str">
        <f ca="1">IFERROR(__xludf.DUMMYFUNCTION("IF(ISBLANK(A404),"""",GOOGLETRANSLATE(A404,""en"",""fr""))"),"")</f>
        <v/>
      </c>
    </row>
    <row r="405" spans="2:2">
      <c r="B405" s="3" t="str">
        <f ca="1">IFERROR(__xludf.DUMMYFUNCTION("IF(ISBLANK(A405),"""",GOOGLETRANSLATE(A405,""en"",""fr""))"),"")</f>
        <v/>
      </c>
    </row>
    <row r="406" spans="2:2">
      <c r="B406" s="3" t="str">
        <f ca="1">IFERROR(__xludf.DUMMYFUNCTION("IF(ISBLANK(A406),"""",GOOGLETRANSLATE(A406,""en"",""fr""))"),"")</f>
        <v/>
      </c>
    </row>
    <row r="407" spans="2:2">
      <c r="B407" s="3" t="str">
        <f ca="1">IFERROR(__xludf.DUMMYFUNCTION("IF(ISBLANK(A407),"""",GOOGLETRANSLATE(A407,""en"",""fr""))"),"")</f>
        <v/>
      </c>
    </row>
    <row r="408" spans="2:2">
      <c r="B408" s="3" t="str">
        <f ca="1">IFERROR(__xludf.DUMMYFUNCTION("IF(ISBLANK(A408),"""",GOOGLETRANSLATE(A408,""en"",""fr""))"),"")</f>
        <v/>
      </c>
    </row>
    <row r="409" spans="2:2">
      <c r="B409" s="3" t="str">
        <f ca="1">IFERROR(__xludf.DUMMYFUNCTION("IF(ISBLANK(A409),"""",GOOGLETRANSLATE(A409,""en"",""fr""))"),"")</f>
        <v/>
      </c>
    </row>
    <row r="410" spans="2:2">
      <c r="B410" s="3" t="str">
        <f ca="1">IFERROR(__xludf.DUMMYFUNCTION("IF(ISBLANK(A410),"""",GOOGLETRANSLATE(A410,""en"",""fr""))"),"")</f>
        <v/>
      </c>
    </row>
    <row r="411" spans="2:2">
      <c r="B411" s="3" t="str">
        <f ca="1">IFERROR(__xludf.DUMMYFUNCTION("IF(ISBLANK(A411),"""",GOOGLETRANSLATE(A411,""en"",""fr""))"),"")</f>
        <v/>
      </c>
    </row>
    <row r="412" spans="2:2">
      <c r="B412" s="3" t="str">
        <f ca="1">IFERROR(__xludf.DUMMYFUNCTION("IF(ISBLANK(A412),"""",GOOGLETRANSLATE(A412,""en"",""fr""))"),"")</f>
        <v/>
      </c>
    </row>
    <row r="413" spans="2:2">
      <c r="B413" s="3" t="str">
        <f ca="1">IFERROR(__xludf.DUMMYFUNCTION("IF(ISBLANK(A413),"""",GOOGLETRANSLATE(A413,""en"",""fr""))"),"")</f>
        <v/>
      </c>
    </row>
    <row r="414" spans="2:2">
      <c r="B414" s="3" t="str">
        <f ca="1">IFERROR(__xludf.DUMMYFUNCTION("IF(ISBLANK(A414),"""",GOOGLETRANSLATE(A414,""en"",""fr""))"),"")</f>
        <v/>
      </c>
    </row>
    <row r="415" spans="2:2">
      <c r="B415" s="3" t="str">
        <f ca="1">IFERROR(__xludf.DUMMYFUNCTION("IF(ISBLANK(A415),"""",GOOGLETRANSLATE(A415,""en"",""fr""))"),"")</f>
        <v/>
      </c>
    </row>
    <row r="416" spans="2:2">
      <c r="B416" s="3" t="str">
        <f ca="1">IFERROR(__xludf.DUMMYFUNCTION("IF(ISBLANK(A416),"""",GOOGLETRANSLATE(A416,""en"",""fr""))"),"")</f>
        <v/>
      </c>
    </row>
    <row r="417" spans="2:2">
      <c r="B417" s="3" t="str">
        <f ca="1">IFERROR(__xludf.DUMMYFUNCTION("IF(ISBLANK(A417),"""",GOOGLETRANSLATE(A417,""en"",""fr""))"),"")</f>
        <v/>
      </c>
    </row>
    <row r="418" spans="2:2">
      <c r="B418" s="3" t="str">
        <f ca="1">IFERROR(__xludf.DUMMYFUNCTION("IF(ISBLANK(A418),"""",GOOGLETRANSLATE(A418,""en"",""fr""))"),"")</f>
        <v/>
      </c>
    </row>
    <row r="419" spans="2:2">
      <c r="B419" s="3" t="str">
        <f ca="1">IFERROR(__xludf.DUMMYFUNCTION("IF(ISBLANK(A419),"""",GOOGLETRANSLATE(A419,""en"",""fr""))"),"")</f>
        <v/>
      </c>
    </row>
    <row r="420" spans="2:2">
      <c r="B420" s="3" t="str">
        <f ca="1">IFERROR(__xludf.DUMMYFUNCTION("IF(ISBLANK(A420),"""",GOOGLETRANSLATE(A420,""en"",""fr""))"),"")</f>
        <v/>
      </c>
    </row>
    <row r="421" spans="2:2">
      <c r="B421" s="3" t="str">
        <f ca="1">IFERROR(__xludf.DUMMYFUNCTION("IF(ISBLANK(A421),"""",GOOGLETRANSLATE(A421,""en"",""fr""))"),"")</f>
        <v/>
      </c>
    </row>
    <row r="422" spans="2:2">
      <c r="B422" s="3" t="str">
        <f ca="1">IFERROR(__xludf.DUMMYFUNCTION("IF(ISBLANK(A422),"""",GOOGLETRANSLATE(A422,""en"",""fr""))"),"")</f>
        <v/>
      </c>
    </row>
    <row r="423" spans="2:2">
      <c r="B423" s="3" t="str">
        <f ca="1">IFERROR(__xludf.DUMMYFUNCTION("IF(ISBLANK(A423),"""",GOOGLETRANSLATE(A423,""en"",""fr""))"),"")</f>
        <v/>
      </c>
    </row>
    <row r="424" spans="2:2">
      <c r="B424" s="3" t="str">
        <f ca="1">IFERROR(__xludf.DUMMYFUNCTION("IF(ISBLANK(A424),"""",GOOGLETRANSLATE(A424,""en"",""fr""))"),"")</f>
        <v/>
      </c>
    </row>
    <row r="425" spans="2:2">
      <c r="B425" s="3" t="str">
        <f ca="1">IFERROR(__xludf.DUMMYFUNCTION("IF(ISBLANK(A425),"""",GOOGLETRANSLATE(A425,""en"",""fr""))"),"")</f>
        <v/>
      </c>
    </row>
    <row r="426" spans="2:2">
      <c r="B426" s="3" t="str">
        <f ca="1">IFERROR(__xludf.DUMMYFUNCTION("IF(ISBLANK(A426),"""",GOOGLETRANSLATE(A426,""en"",""fr""))"),"")</f>
        <v/>
      </c>
    </row>
    <row r="427" spans="2:2">
      <c r="B427" s="3" t="str">
        <f ca="1">IFERROR(__xludf.DUMMYFUNCTION("IF(ISBLANK(A427),"""",GOOGLETRANSLATE(A427,""en"",""fr""))"),"")</f>
        <v/>
      </c>
    </row>
    <row r="428" spans="2:2">
      <c r="B428" s="3" t="str">
        <f ca="1">IFERROR(__xludf.DUMMYFUNCTION("IF(ISBLANK(A428),"""",GOOGLETRANSLATE(A428,""en"",""fr""))"),"")</f>
        <v/>
      </c>
    </row>
    <row r="429" spans="2:2">
      <c r="B429" s="3" t="str">
        <f ca="1">IFERROR(__xludf.DUMMYFUNCTION("IF(ISBLANK(A429),"""",GOOGLETRANSLATE(A429,""en"",""fr""))"),"")</f>
        <v/>
      </c>
    </row>
    <row r="430" spans="2:2">
      <c r="B430" s="3" t="str">
        <f ca="1">IFERROR(__xludf.DUMMYFUNCTION("IF(ISBLANK(A430),"""",GOOGLETRANSLATE(A430,""en"",""fr""))"),"")</f>
        <v/>
      </c>
    </row>
    <row r="431" spans="2:2">
      <c r="B431" s="3" t="str">
        <f ca="1">IFERROR(__xludf.DUMMYFUNCTION("IF(ISBLANK(A431),"""",GOOGLETRANSLATE(A431,""en"",""fr""))"),"")</f>
        <v/>
      </c>
    </row>
    <row r="432" spans="2:2">
      <c r="B432" s="3" t="str">
        <f ca="1">IFERROR(__xludf.DUMMYFUNCTION("IF(ISBLANK(A432),"""",GOOGLETRANSLATE(A432,""en"",""fr""))"),"")</f>
        <v/>
      </c>
    </row>
    <row r="433" spans="2:2">
      <c r="B433" s="3" t="str">
        <f ca="1">IFERROR(__xludf.DUMMYFUNCTION("IF(ISBLANK(A433),"""",GOOGLETRANSLATE(A433,""en"",""fr""))"),"")</f>
        <v/>
      </c>
    </row>
    <row r="434" spans="2:2">
      <c r="B434" s="3" t="str">
        <f ca="1">IFERROR(__xludf.DUMMYFUNCTION("IF(ISBLANK(A434),"""",GOOGLETRANSLATE(A434,""en"",""fr""))"),"")</f>
        <v/>
      </c>
    </row>
    <row r="435" spans="2:2">
      <c r="B435" s="3" t="str">
        <f ca="1">IFERROR(__xludf.DUMMYFUNCTION("IF(ISBLANK(A435),"""",GOOGLETRANSLATE(A435,""en"",""fr""))"),"")</f>
        <v/>
      </c>
    </row>
    <row r="436" spans="2:2">
      <c r="B436" s="3" t="str">
        <f ca="1">IFERROR(__xludf.DUMMYFUNCTION("IF(ISBLANK(A436),"""",GOOGLETRANSLATE(A436,""en"",""fr""))"),"")</f>
        <v/>
      </c>
    </row>
    <row r="437" spans="2:2">
      <c r="B437" s="3" t="str">
        <f ca="1">IFERROR(__xludf.DUMMYFUNCTION("IF(ISBLANK(A437),"""",GOOGLETRANSLATE(A437,""en"",""fr""))"),"")</f>
        <v/>
      </c>
    </row>
    <row r="438" spans="2:2">
      <c r="B438" s="3" t="str">
        <f ca="1">IFERROR(__xludf.DUMMYFUNCTION("IF(ISBLANK(A438),"""",GOOGLETRANSLATE(A438,""en"",""fr""))"),"")</f>
        <v/>
      </c>
    </row>
    <row r="439" spans="2:2">
      <c r="B439" s="3" t="str">
        <f ca="1">IFERROR(__xludf.DUMMYFUNCTION("IF(ISBLANK(A439),"""",GOOGLETRANSLATE(A439,""en"",""fr""))"),"")</f>
        <v/>
      </c>
    </row>
    <row r="440" spans="2:2">
      <c r="B440" s="3" t="str">
        <f ca="1">IFERROR(__xludf.DUMMYFUNCTION("IF(ISBLANK(A440),"""",GOOGLETRANSLATE(A440,""en"",""fr""))"),"")</f>
        <v/>
      </c>
    </row>
    <row r="441" spans="2:2">
      <c r="B441" s="3" t="str">
        <f ca="1">IFERROR(__xludf.DUMMYFUNCTION("IF(ISBLANK(A441),"""",GOOGLETRANSLATE(A441,""en"",""fr""))"),"")</f>
        <v/>
      </c>
    </row>
    <row r="442" spans="2:2">
      <c r="B442" s="3" t="str">
        <f ca="1">IFERROR(__xludf.DUMMYFUNCTION("IF(ISBLANK(A442),"""",GOOGLETRANSLATE(A442,""en"",""fr""))"),"")</f>
        <v/>
      </c>
    </row>
    <row r="443" spans="2:2">
      <c r="B443" s="3" t="str">
        <f ca="1">IFERROR(__xludf.DUMMYFUNCTION("IF(ISBLANK(A443),"""",GOOGLETRANSLATE(A443,""en"",""fr""))"),"")</f>
        <v/>
      </c>
    </row>
    <row r="444" spans="2:2">
      <c r="B444" s="3" t="str">
        <f ca="1">IFERROR(__xludf.DUMMYFUNCTION("IF(ISBLANK(A444),"""",GOOGLETRANSLATE(A444,""en"",""fr""))"),"")</f>
        <v/>
      </c>
    </row>
    <row r="445" spans="2:2">
      <c r="B445" s="3" t="str">
        <f ca="1">IFERROR(__xludf.DUMMYFUNCTION("IF(ISBLANK(A445),"""",GOOGLETRANSLATE(A445,""en"",""fr""))"),"")</f>
        <v/>
      </c>
    </row>
    <row r="446" spans="2:2">
      <c r="B446" s="3" t="str">
        <f ca="1">IFERROR(__xludf.DUMMYFUNCTION("IF(ISBLANK(A446),"""",GOOGLETRANSLATE(A446,""en"",""fr""))"),"")</f>
        <v/>
      </c>
    </row>
    <row r="447" spans="2:2">
      <c r="B447" s="3" t="str">
        <f ca="1">IFERROR(__xludf.DUMMYFUNCTION("IF(ISBLANK(A447),"""",GOOGLETRANSLATE(A447,""en"",""fr""))"),"")</f>
        <v/>
      </c>
    </row>
    <row r="448" spans="2:2">
      <c r="B448" s="3" t="str">
        <f ca="1">IFERROR(__xludf.DUMMYFUNCTION("IF(ISBLANK(A448),"""",GOOGLETRANSLATE(A448,""en"",""fr""))"),"")</f>
        <v/>
      </c>
    </row>
    <row r="449" spans="2:2">
      <c r="B449" s="3" t="str">
        <f ca="1">IFERROR(__xludf.DUMMYFUNCTION("IF(ISBLANK(A449),"""",GOOGLETRANSLATE(A449,""en"",""fr""))"),"")</f>
        <v/>
      </c>
    </row>
    <row r="450" spans="2:2">
      <c r="B450" s="3" t="str">
        <f ca="1">IFERROR(__xludf.DUMMYFUNCTION("IF(ISBLANK(A450),"""",GOOGLETRANSLATE(A450,""en"",""fr""))"),"")</f>
        <v/>
      </c>
    </row>
    <row r="451" spans="2:2">
      <c r="B451" s="3" t="str">
        <f ca="1">IFERROR(__xludf.DUMMYFUNCTION("IF(ISBLANK(A451),"""",GOOGLETRANSLATE(A451,""en"",""fr""))"),"")</f>
        <v/>
      </c>
    </row>
    <row r="452" spans="2:2">
      <c r="B452" s="3" t="str">
        <f ca="1">IFERROR(__xludf.DUMMYFUNCTION("IF(ISBLANK(A452),"""",GOOGLETRANSLATE(A452,""en"",""fr""))"),"")</f>
        <v/>
      </c>
    </row>
    <row r="453" spans="2:2">
      <c r="B453" s="3" t="str">
        <f ca="1">IFERROR(__xludf.DUMMYFUNCTION("IF(ISBLANK(A453),"""",GOOGLETRANSLATE(A453,""en"",""fr""))"),"")</f>
        <v/>
      </c>
    </row>
    <row r="454" spans="2:2">
      <c r="B454" s="3" t="str">
        <f ca="1">IFERROR(__xludf.DUMMYFUNCTION("IF(ISBLANK(A454),"""",GOOGLETRANSLATE(A454,""en"",""fr""))"),"")</f>
        <v/>
      </c>
    </row>
    <row r="455" spans="2:2">
      <c r="B455" s="3" t="str">
        <f ca="1">IFERROR(__xludf.DUMMYFUNCTION("IF(ISBLANK(A455),"""",GOOGLETRANSLATE(A455,""en"",""fr""))"),"")</f>
        <v/>
      </c>
    </row>
    <row r="456" spans="2:2">
      <c r="B456" s="3" t="str">
        <f ca="1">IFERROR(__xludf.DUMMYFUNCTION("IF(ISBLANK(A456),"""",GOOGLETRANSLATE(A456,""en"",""fr""))"),"")</f>
        <v/>
      </c>
    </row>
    <row r="457" spans="2:2">
      <c r="B457" s="3" t="str">
        <f ca="1">IFERROR(__xludf.DUMMYFUNCTION("IF(ISBLANK(A457),"""",GOOGLETRANSLATE(A457,""en"",""fr""))"),"")</f>
        <v/>
      </c>
    </row>
    <row r="458" spans="2:2">
      <c r="B458" s="3" t="str">
        <f ca="1">IFERROR(__xludf.DUMMYFUNCTION("IF(ISBLANK(A458),"""",GOOGLETRANSLATE(A458,""en"",""fr""))"),"")</f>
        <v/>
      </c>
    </row>
    <row r="459" spans="2:2">
      <c r="B459" s="3" t="str">
        <f ca="1">IFERROR(__xludf.DUMMYFUNCTION("IF(ISBLANK(A459),"""",GOOGLETRANSLATE(A459,""en"",""fr""))"),"")</f>
        <v/>
      </c>
    </row>
    <row r="460" spans="2:2">
      <c r="B460" s="3" t="str">
        <f ca="1">IFERROR(__xludf.DUMMYFUNCTION("IF(ISBLANK(A460),"""",GOOGLETRANSLATE(A460,""en"",""fr""))"),"")</f>
        <v/>
      </c>
    </row>
    <row r="461" spans="2:2">
      <c r="B461" s="3" t="str">
        <f ca="1">IFERROR(__xludf.DUMMYFUNCTION("IF(ISBLANK(A461),"""",GOOGLETRANSLATE(A461,""en"",""fr""))"),"")</f>
        <v/>
      </c>
    </row>
    <row r="462" spans="2:2">
      <c r="B462" s="3" t="str">
        <f ca="1">IFERROR(__xludf.DUMMYFUNCTION("IF(ISBLANK(A462),"""",GOOGLETRANSLATE(A462,""en"",""fr""))"),"")</f>
        <v/>
      </c>
    </row>
    <row r="463" spans="2:2">
      <c r="B463" s="3" t="str">
        <f ca="1">IFERROR(__xludf.DUMMYFUNCTION("IF(ISBLANK(A463),"""",GOOGLETRANSLATE(A463,""en"",""fr""))"),"")</f>
        <v/>
      </c>
    </row>
    <row r="464" spans="2:2">
      <c r="B464" s="3" t="str">
        <f ca="1">IFERROR(__xludf.DUMMYFUNCTION("IF(ISBLANK(A464),"""",GOOGLETRANSLATE(A464,""en"",""fr""))"),"")</f>
        <v/>
      </c>
    </row>
    <row r="465" spans="2:2">
      <c r="B465" s="3" t="str">
        <f ca="1">IFERROR(__xludf.DUMMYFUNCTION("IF(ISBLANK(A465),"""",GOOGLETRANSLATE(A465,""en"",""fr""))"),"")</f>
        <v/>
      </c>
    </row>
    <row r="466" spans="2:2">
      <c r="B466" s="3" t="str">
        <f ca="1">IFERROR(__xludf.DUMMYFUNCTION("IF(ISBLANK(A466),"""",GOOGLETRANSLATE(A466,""en"",""fr""))"),"")</f>
        <v/>
      </c>
    </row>
    <row r="467" spans="2:2">
      <c r="B467" s="3" t="str">
        <f ca="1">IFERROR(__xludf.DUMMYFUNCTION("IF(ISBLANK(A467),"""",GOOGLETRANSLATE(A467,""en"",""fr""))"),"")</f>
        <v/>
      </c>
    </row>
    <row r="468" spans="2:2">
      <c r="B468" s="3" t="str">
        <f ca="1">IFERROR(__xludf.DUMMYFUNCTION("IF(ISBLANK(A468),"""",GOOGLETRANSLATE(A468,""en"",""fr""))"),"")</f>
        <v/>
      </c>
    </row>
    <row r="469" spans="2:2">
      <c r="B469" s="3" t="str">
        <f ca="1">IFERROR(__xludf.DUMMYFUNCTION("IF(ISBLANK(A469),"""",GOOGLETRANSLATE(A469,""en"",""fr""))"),"")</f>
        <v/>
      </c>
    </row>
    <row r="470" spans="2:2">
      <c r="B470" s="3" t="str">
        <f ca="1">IFERROR(__xludf.DUMMYFUNCTION("IF(ISBLANK(A470),"""",GOOGLETRANSLATE(A470,""en"",""fr""))"),"")</f>
        <v/>
      </c>
    </row>
    <row r="471" spans="2:2">
      <c r="B471" s="3" t="str">
        <f ca="1">IFERROR(__xludf.DUMMYFUNCTION("IF(ISBLANK(A471),"""",GOOGLETRANSLATE(A471,""en"",""fr""))"),"")</f>
        <v/>
      </c>
    </row>
    <row r="472" spans="2:2">
      <c r="B472" s="3" t="str">
        <f ca="1">IFERROR(__xludf.DUMMYFUNCTION("IF(ISBLANK(A472),"""",GOOGLETRANSLATE(A472,""en"",""fr""))"),"")</f>
        <v/>
      </c>
    </row>
    <row r="473" spans="2:2">
      <c r="B473" s="3" t="str">
        <f ca="1">IFERROR(__xludf.DUMMYFUNCTION("IF(ISBLANK(A473),"""",GOOGLETRANSLATE(A473,""en"",""fr""))"),"")</f>
        <v/>
      </c>
    </row>
    <row r="474" spans="2:2">
      <c r="B474" s="3" t="str">
        <f ca="1">IFERROR(__xludf.DUMMYFUNCTION("IF(ISBLANK(A474),"""",GOOGLETRANSLATE(A474,""en"",""fr""))"),"")</f>
        <v/>
      </c>
    </row>
    <row r="475" spans="2:2">
      <c r="B475" s="3" t="str">
        <f ca="1">IFERROR(__xludf.DUMMYFUNCTION("IF(ISBLANK(A475),"""",GOOGLETRANSLATE(A475,""en"",""fr""))"),"")</f>
        <v/>
      </c>
    </row>
    <row r="476" spans="2:2">
      <c r="B476" s="3" t="str">
        <f ca="1">IFERROR(__xludf.DUMMYFUNCTION("IF(ISBLANK(A476),"""",GOOGLETRANSLATE(A476,""en"",""fr""))"),"")</f>
        <v/>
      </c>
    </row>
    <row r="477" spans="2:2">
      <c r="B477" s="3" t="str">
        <f ca="1">IFERROR(__xludf.DUMMYFUNCTION("IF(ISBLANK(A477),"""",GOOGLETRANSLATE(A477,""en"",""fr""))"),"")</f>
        <v/>
      </c>
    </row>
    <row r="478" spans="2:2">
      <c r="B478" s="3" t="str">
        <f ca="1">IFERROR(__xludf.DUMMYFUNCTION("IF(ISBLANK(A478),"""",GOOGLETRANSLATE(A478,""en"",""fr""))"),"")</f>
        <v/>
      </c>
    </row>
    <row r="479" spans="2:2">
      <c r="B479" s="3" t="str">
        <f ca="1">IFERROR(__xludf.DUMMYFUNCTION("IF(ISBLANK(A479),"""",GOOGLETRANSLATE(A479,""en"",""fr""))"),"")</f>
        <v/>
      </c>
    </row>
    <row r="480" spans="2:2">
      <c r="B480" s="3" t="str">
        <f ca="1">IFERROR(__xludf.DUMMYFUNCTION("IF(ISBLANK(A480),"""",GOOGLETRANSLATE(A480,""en"",""fr""))"),"")</f>
        <v/>
      </c>
    </row>
    <row r="481" spans="2:2">
      <c r="B481" s="3" t="str">
        <f ca="1">IFERROR(__xludf.DUMMYFUNCTION("IF(ISBLANK(A481),"""",GOOGLETRANSLATE(A481,""en"",""fr""))"),"")</f>
        <v/>
      </c>
    </row>
    <row r="482" spans="2:2">
      <c r="B482" s="3" t="str">
        <f ca="1">IFERROR(__xludf.DUMMYFUNCTION("IF(ISBLANK(A482),"""",GOOGLETRANSLATE(A482,""en"",""fr""))"),"")</f>
        <v/>
      </c>
    </row>
    <row r="483" spans="2:2">
      <c r="B483" s="3" t="str">
        <f ca="1">IFERROR(__xludf.DUMMYFUNCTION("IF(ISBLANK(A483),"""",GOOGLETRANSLATE(A483,""en"",""fr""))"),"")</f>
        <v/>
      </c>
    </row>
    <row r="484" spans="2:2">
      <c r="B484" s="3" t="str">
        <f ca="1">IFERROR(__xludf.DUMMYFUNCTION("IF(ISBLANK(A484),"""",GOOGLETRANSLATE(A484,""en"",""fr""))"),"")</f>
        <v/>
      </c>
    </row>
    <row r="485" spans="2:2">
      <c r="B485" s="3" t="str">
        <f ca="1">IFERROR(__xludf.DUMMYFUNCTION("IF(ISBLANK(A485),"""",GOOGLETRANSLATE(A485,""en"",""fr""))"),"")</f>
        <v/>
      </c>
    </row>
    <row r="486" spans="2:2">
      <c r="B486" s="3" t="str">
        <f ca="1">IFERROR(__xludf.DUMMYFUNCTION("IF(ISBLANK(A486),"""",GOOGLETRANSLATE(A486,""en"",""fr""))"),"")</f>
        <v/>
      </c>
    </row>
    <row r="487" spans="2:2">
      <c r="B487" s="3" t="str">
        <f ca="1">IFERROR(__xludf.DUMMYFUNCTION("IF(ISBLANK(A487),"""",GOOGLETRANSLATE(A487,""en"",""fr""))"),"")</f>
        <v/>
      </c>
    </row>
    <row r="488" spans="2:2">
      <c r="B488" s="3" t="str">
        <f ca="1">IFERROR(__xludf.DUMMYFUNCTION("IF(ISBLANK(A488),"""",GOOGLETRANSLATE(A488,""en"",""fr""))"),"")</f>
        <v/>
      </c>
    </row>
    <row r="489" spans="2:2">
      <c r="B489" s="3" t="str">
        <f ca="1">IFERROR(__xludf.DUMMYFUNCTION("IF(ISBLANK(A489),"""",GOOGLETRANSLATE(A489,""en"",""fr""))"),"")</f>
        <v/>
      </c>
    </row>
    <row r="490" spans="2:2">
      <c r="B490" s="3" t="str">
        <f ca="1">IFERROR(__xludf.DUMMYFUNCTION("IF(ISBLANK(A490),"""",GOOGLETRANSLATE(A490,""en"",""fr""))"),"")</f>
        <v/>
      </c>
    </row>
    <row r="491" spans="2:2">
      <c r="B491" s="3" t="str">
        <f ca="1">IFERROR(__xludf.DUMMYFUNCTION("IF(ISBLANK(A491),"""",GOOGLETRANSLATE(A491,""en"",""fr""))"),"")</f>
        <v/>
      </c>
    </row>
    <row r="492" spans="2:2">
      <c r="B492" s="3" t="str">
        <f ca="1">IFERROR(__xludf.DUMMYFUNCTION("IF(ISBLANK(A492),"""",GOOGLETRANSLATE(A492,""en"",""fr""))"),"")</f>
        <v/>
      </c>
    </row>
    <row r="493" spans="2:2">
      <c r="B493" s="3" t="str">
        <f ca="1">IFERROR(__xludf.DUMMYFUNCTION("IF(ISBLANK(A493),"""",GOOGLETRANSLATE(A493,""en"",""fr""))"),"")</f>
        <v/>
      </c>
    </row>
    <row r="494" spans="2:2">
      <c r="B494" s="3" t="str">
        <f ca="1">IFERROR(__xludf.DUMMYFUNCTION("IF(ISBLANK(A494),"""",GOOGLETRANSLATE(A494,""en"",""fr""))"),"")</f>
        <v/>
      </c>
    </row>
    <row r="495" spans="2:2">
      <c r="B495" s="3" t="str">
        <f ca="1">IFERROR(__xludf.DUMMYFUNCTION("IF(ISBLANK(A495),"""",GOOGLETRANSLATE(A495,""en"",""fr""))"),"")</f>
        <v/>
      </c>
    </row>
    <row r="496" spans="2:2">
      <c r="B496" s="3" t="str">
        <f ca="1">IFERROR(__xludf.DUMMYFUNCTION("IF(ISBLANK(A496),"""",GOOGLETRANSLATE(A496,""en"",""fr""))"),"")</f>
        <v/>
      </c>
    </row>
    <row r="497" spans="2:2">
      <c r="B497" s="3" t="str">
        <f ca="1">IFERROR(__xludf.DUMMYFUNCTION("IF(ISBLANK(A497),"""",GOOGLETRANSLATE(A497,""en"",""fr""))"),"")</f>
        <v/>
      </c>
    </row>
    <row r="498" spans="2:2">
      <c r="B498" s="3" t="str">
        <f ca="1">IFERROR(__xludf.DUMMYFUNCTION("IF(ISBLANK(A498),"""",GOOGLETRANSLATE(A498,""en"",""fr""))"),"")</f>
        <v/>
      </c>
    </row>
    <row r="499" spans="2:2">
      <c r="B499" s="3" t="str">
        <f ca="1">IFERROR(__xludf.DUMMYFUNCTION("IF(ISBLANK(A499),"""",GOOGLETRANSLATE(A499,""en"",""fr""))"),"")</f>
        <v/>
      </c>
    </row>
    <row r="500" spans="2:2">
      <c r="B500" s="3" t="str">
        <f ca="1">IFERROR(__xludf.DUMMYFUNCTION("IF(ISBLANK(A500),"""",GOOGLETRANSLATE(A500,""en"",""fr""))"),"")</f>
        <v/>
      </c>
    </row>
    <row r="501" spans="2:2">
      <c r="B501" s="3" t="str">
        <f ca="1">IFERROR(__xludf.DUMMYFUNCTION("IF(ISBLANK(A501),"""",GOOGLETRANSLATE(A501,""en"",""fr""))"),"")</f>
        <v/>
      </c>
    </row>
    <row r="502" spans="2:2">
      <c r="B502" s="3" t="str">
        <f ca="1">IFERROR(__xludf.DUMMYFUNCTION("IF(ISBLANK(A502),"""",GOOGLETRANSLATE(A502,""en"",""fr""))"),"")</f>
        <v/>
      </c>
    </row>
    <row r="503" spans="2:2">
      <c r="B503" s="3" t="str">
        <f ca="1">IFERROR(__xludf.DUMMYFUNCTION("IF(ISBLANK(A503),"""",GOOGLETRANSLATE(A503,""en"",""fr""))"),"")</f>
        <v/>
      </c>
    </row>
    <row r="504" spans="2:2">
      <c r="B504" s="3" t="str">
        <f ca="1">IFERROR(__xludf.DUMMYFUNCTION("IF(ISBLANK(A504),"""",GOOGLETRANSLATE(A504,""en"",""fr""))"),"")</f>
        <v/>
      </c>
    </row>
    <row r="505" spans="2:2">
      <c r="B505" s="3" t="str">
        <f ca="1">IFERROR(__xludf.DUMMYFUNCTION("IF(ISBLANK(A505),"""",GOOGLETRANSLATE(A505,""en"",""fr""))"),"")</f>
        <v/>
      </c>
    </row>
    <row r="506" spans="2:2">
      <c r="B506" s="3" t="str">
        <f ca="1">IFERROR(__xludf.DUMMYFUNCTION("IF(ISBLANK(A506),"""",GOOGLETRANSLATE(A506,""en"",""fr""))"),"")</f>
        <v/>
      </c>
    </row>
    <row r="507" spans="2:2">
      <c r="B507" s="3" t="str">
        <f ca="1">IFERROR(__xludf.DUMMYFUNCTION("IF(ISBLANK(A507),"""",GOOGLETRANSLATE(A507,""en"",""fr""))"),"")</f>
        <v/>
      </c>
    </row>
    <row r="508" spans="2:2">
      <c r="B508" s="3" t="str">
        <f ca="1">IFERROR(__xludf.DUMMYFUNCTION("IF(ISBLANK(A508),"""",GOOGLETRANSLATE(A508,""en"",""fr""))"),"")</f>
        <v/>
      </c>
    </row>
    <row r="509" spans="2:2">
      <c r="B509" s="3" t="str">
        <f ca="1">IFERROR(__xludf.DUMMYFUNCTION("IF(ISBLANK(A509),"""",GOOGLETRANSLATE(A509,""en"",""fr""))"),"")</f>
        <v/>
      </c>
    </row>
    <row r="510" spans="2:2">
      <c r="B510" s="3" t="str">
        <f ca="1">IFERROR(__xludf.DUMMYFUNCTION("IF(ISBLANK(A510),"""",GOOGLETRANSLATE(A510,""en"",""fr""))"),"")</f>
        <v/>
      </c>
    </row>
    <row r="511" spans="2:2">
      <c r="B511" s="3" t="str">
        <f ca="1">IFERROR(__xludf.DUMMYFUNCTION("IF(ISBLANK(A511),"""",GOOGLETRANSLATE(A511,""en"",""fr""))"),"")</f>
        <v/>
      </c>
    </row>
    <row r="512" spans="2:2">
      <c r="B512" s="3" t="str">
        <f ca="1">IFERROR(__xludf.DUMMYFUNCTION("IF(ISBLANK(A512),"""",GOOGLETRANSLATE(A512,""en"",""fr""))"),"")</f>
        <v/>
      </c>
    </row>
    <row r="513" spans="2:2">
      <c r="B513" s="3" t="str">
        <f ca="1">IFERROR(__xludf.DUMMYFUNCTION("IF(ISBLANK(A513),"""",GOOGLETRANSLATE(A513,""en"",""fr""))"),"")</f>
        <v/>
      </c>
    </row>
    <row r="514" spans="2:2">
      <c r="B514" s="3" t="str">
        <f ca="1">IFERROR(__xludf.DUMMYFUNCTION("IF(ISBLANK(A514),"""",GOOGLETRANSLATE(A514,""en"",""fr""))"),"")</f>
        <v/>
      </c>
    </row>
    <row r="515" spans="2:2">
      <c r="B515" s="3" t="str">
        <f ca="1">IFERROR(__xludf.DUMMYFUNCTION("IF(ISBLANK(A515),"""",GOOGLETRANSLATE(A515,""en"",""fr""))"),"")</f>
        <v/>
      </c>
    </row>
    <row r="516" spans="2:2">
      <c r="B516" s="3" t="str">
        <f ca="1">IFERROR(__xludf.DUMMYFUNCTION("IF(ISBLANK(A516),"""",GOOGLETRANSLATE(A516,""en"",""fr""))"),"")</f>
        <v/>
      </c>
    </row>
    <row r="517" spans="2:2">
      <c r="B517" s="3" t="str">
        <f ca="1">IFERROR(__xludf.DUMMYFUNCTION("IF(ISBLANK(A517),"""",GOOGLETRANSLATE(A517,""en"",""fr""))"),"")</f>
        <v/>
      </c>
    </row>
    <row r="518" spans="2:2">
      <c r="B518" s="3" t="str">
        <f ca="1">IFERROR(__xludf.DUMMYFUNCTION("IF(ISBLANK(A518),"""",GOOGLETRANSLATE(A518,""en"",""fr""))"),"")</f>
        <v/>
      </c>
    </row>
    <row r="519" spans="2:2">
      <c r="B519" s="3" t="str">
        <f ca="1">IFERROR(__xludf.DUMMYFUNCTION("IF(ISBLANK(A519),"""",GOOGLETRANSLATE(A519,""en"",""fr""))"),"")</f>
        <v/>
      </c>
    </row>
    <row r="520" spans="2:2">
      <c r="B520" s="3" t="str">
        <f ca="1">IFERROR(__xludf.DUMMYFUNCTION("IF(ISBLANK(A520),"""",GOOGLETRANSLATE(A520,""en"",""fr""))"),"")</f>
        <v/>
      </c>
    </row>
    <row r="521" spans="2:2">
      <c r="B521" s="3" t="str">
        <f ca="1">IFERROR(__xludf.DUMMYFUNCTION("IF(ISBLANK(A521),"""",GOOGLETRANSLATE(A521,""en"",""fr""))"),"")</f>
        <v/>
      </c>
    </row>
    <row r="522" spans="2:2">
      <c r="B522" s="3" t="str">
        <f ca="1">IFERROR(__xludf.DUMMYFUNCTION("IF(ISBLANK(A522),"""",GOOGLETRANSLATE(A522,""en"",""fr""))"),"")</f>
        <v/>
      </c>
    </row>
    <row r="523" spans="2:2">
      <c r="B523" s="3" t="str">
        <f ca="1">IFERROR(__xludf.DUMMYFUNCTION("IF(ISBLANK(A523),"""",GOOGLETRANSLATE(A523,""en"",""fr""))"),"")</f>
        <v/>
      </c>
    </row>
    <row r="524" spans="2:2">
      <c r="B524" s="3" t="str">
        <f ca="1">IFERROR(__xludf.DUMMYFUNCTION("IF(ISBLANK(A524),"""",GOOGLETRANSLATE(A524,""en"",""fr""))"),"")</f>
        <v/>
      </c>
    </row>
    <row r="525" spans="2:2">
      <c r="B525" s="3" t="str">
        <f ca="1">IFERROR(__xludf.DUMMYFUNCTION("IF(ISBLANK(A525),"""",GOOGLETRANSLATE(A525,""en"",""fr""))"),"")</f>
        <v/>
      </c>
    </row>
    <row r="526" spans="2:2">
      <c r="B526" s="3" t="str">
        <f ca="1">IFERROR(__xludf.DUMMYFUNCTION("IF(ISBLANK(A526),"""",GOOGLETRANSLATE(A526,""en"",""fr""))"),"")</f>
        <v/>
      </c>
    </row>
    <row r="527" spans="2:2">
      <c r="B527" s="3" t="str">
        <f ca="1">IFERROR(__xludf.DUMMYFUNCTION("IF(ISBLANK(A527),"""",GOOGLETRANSLATE(A527,""en"",""fr""))"),"")</f>
        <v/>
      </c>
    </row>
    <row r="528" spans="2:2">
      <c r="B528" s="3" t="str">
        <f ca="1">IFERROR(__xludf.DUMMYFUNCTION("IF(ISBLANK(A528),"""",GOOGLETRANSLATE(A528,""en"",""fr""))"),"")</f>
        <v/>
      </c>
    </row>
    <row r="529" spans="2:2">
      <c r="B529" s="3" t="str">
        <f ca="1">IFERROR(__xludf.DUMMYFUNCTION("IF(ISBLANK(A529),"""",GOOGLETRANSLATE(A529,""en"",""fr""))"),"")</f>
        <v/>
      </c>
    </row>
    <row r="530" spans="2:2">
      <c r="B530" s="3" t="str">
        <f ca="1">IFERROR(__xludf.DUMMYFUNCTION("IF(ISBLANK(A530),"""",GOOGLETRANSLATE(A530,""en"",""fr""))"),"")</f>
        <v/>
      </c>
    </row>
    <row r="531" spans="2:2">
      <c r="B531" s="3" t="str">
        <f ca="1">IFERROR(__xludf.DUMMYFUNCTION("IF(ISBLANK(A531),"""",GOOGLETRANSLATE(A531,""en"",""fr""))"),"")</f>
        <v/>
      </c>
    </row>
    <row r="532" spans="2:2">
      <c r="B532" s="3" t="str">
        <f ca="1">IFERROR(__xludf.DUMMYFUNCTION("IF(ISBLANK(A532),"""",GOOGLETRANSLATE(A532,""en"",""fr""))"),"")</f>
        <v/>
      </c>
    </row>
    <row r="533" spans="2:2">
      <c r="B533" s="3" t="str">
        <f ca="1">IFERROR(__xludf.DUMMYFUNCTION("IF(ISBLANK(A533),"""",GOOGLETRANSLATE(A533,""en"",""fr""))"),"")</f>
        <v/>
      </c>
    </row>
    <row r="534" spans="2:2">
      <c r="B534" s="3" t="str">
        <f ca="1">IFERROR(__xludf.DUMMYFUNCTION("IF(ISBLANK(A534),"""",GOOGLETRANSLATE(A534,""en"",""fr""))"),"")</f>
        <v/>
      </c>
    </row>
    <row r="535" spans="2:2">
      <c r="B535" s="3" t="str">
        <f ca="1">IFERROR(__xludf.DUMMYFUNCTION("IF(ISBLANK(A535),"""",GOOGLETRANSLATE(A535,""en"",""fr""))"),"")</f>
        <v/>
      </c>
    </row>
    <row r="536" spans="2:2">
      <c r="B536" s="3" t="str">
        <f ca="1">IFERROR(__xludf.DUMMYFUNCTION("IF(ISBLANK(A536),"""",GOOGLETRANSLATE(A536,""en"",""fr""))"),"")</f>
        <v/>
      </c>
    </row>
    <row r="537" spans="2:2">
      <c r="B537" s="3" t="str">
        <f ca="1">IFERROR(__xludf.DUMMYFUNCTION("IF(ISBLANK(A537),"""",GOOGLETRANSLATE(A537,""en"",""fr""))"),"")</f>
        <v/>
      </c>
    </row>
    <row r="538" spans="2:2">
      <c r="B538" s="3" t="str">
        <f ca="1">IFERROR(__xludf.DUMMYFUNCTION("IF(ISBLANK(A538),"""",GOOGLETRANSLATE(A538,""en"",""fr""))"),"")</f>
        <v/>
      </c>
    </row>
    <row r="539" spans="2:2">
      <c r="B539" s="3" t="str">
        <f ca="1">IFERROR(__xludf.DUMMYFUNCTION("IF(ISBLANK(A539),"""",GOOGLETRANSLATE(A539,""en"",""fr""))"),"")</f>
        <v/>
      </c>
    </row>
    <row r="540" spans="2:2">
      <c r="B540" s="3" t="str">
        <f ca="1">IFERROR(__xludf.DUMMYFUNCTION("IF(ISBLANK(A540),"""",GOOGLETRANSLATE(A540,""en"",""fr""))"),"")</f>
        <v/>
      </c>
    </row>
    <row r="541" spans="2:2">
      <c r="B541" s="3" t="str">
        <f ca="1">IFERROR(__xludf.DUMMYFUNCTION("IF(ISBLANK(A541),"""",GOOGLETRANSLATE(A541,""en"",""fr""))"),"")</f>
        <v/>
      </c>
    </row>
    <row r="542" spans="2:2">
      <c r="B542" s="3" t="str">
        <f ca="1">IFERROR(__xludf.DUMMYFUNCTION("IF(ISBLANK(A542),"""",GOOGLETRANSLATE(A542,""en"",""fr""))"),"")</f>
        <v/>
      </c>
    </row>
    <row r="543" spans="2:2">
      <c r="B543" s="3" t="str">
        <f ca="1">IFERROR(__xludf.DUMMYFUNCTION("IF(ISBLANK(A543),"""",GOOGLETRANSLATE(A543,""en"",""fr""))"),"")</f>
        <v/>
      </c>
    </row>
    <row r="544" spans="2:2">
      <c r="B544" s="3" t="str">
        <f ca="1">IFERROR(__xludf.DUMMYFUNCTION("IF(ISBLANK(A544),"""",GOOGLETRANSLATE(A544,""en"",""fr""))"),"")</f>
        <v/>
      </c>
    </row>
    <row r="545" spans="2:2">
      <c r="B545" s="3" t="str">
        <f ca="1">IFERROR(__xludf.DUMMYFUNCTION("IF(ISBLANK(A545),"""",GOOGLETRANSLATE(A545,""en"",""fr""))"),"")</f>
        <v/>
      </c>
    </row>
    <row r="546" spans="2:2">
      <c r="B546" s="3" t="str">
        <f ca="1">IFERROR(__xludf.DUMMYFUNCTION("IF(ISBLANK(A546),"""",GOOGLETRANSLATE(A546,""en"",""fr""))"),"")</f>
        <v/>
      </c>
    </row>
    <row r="547" spans="2:2">
      <c r="B547" s="3" t="str">
        <f ca="1">IFERROR(__xludf.DUMMYFUNCTION("IF(ISBLANK(A547),"""",GOOGLETRANSLATE(A547,""en"",""fr""))"),"")</f>
        <v/>
      </c>
    </row>
    <row r="548" spans="2:2">
      <c r="B548" s="3" t="str">
        <f ca="1">IFERROR(__xludf.DUMMYFUNCTION("IF(ISBLANK(A548),"""",GOOGLETRANSLATE(A548,""en"",""fr""))"),"")</f>
        <v/>
      </c>
    </row>
    <row r="549" spans="2:2">
      <c r="B549" s="3" t="str">
        <f ca="1">IFERROR(__xludf.DUMMYFUNCTION("IF(ISBLANK(A549),"""",GOOGLETRANSLATE(A549,""en"",""fr""))"),"")</f>
        <v/>
      </c>
    </row>
    <row r="550" spans="2:2">
      <c r="B550" s="3" t="str">
        <f ca="1">IFERROR(__xludf.DUMMYFUNCTION("IF(ISBLANK(A550),"""",GOOGLETRANSLATE(A550,""en"",""fr""))"),"")</f>
        <v/>
      </c>
    </row>
    <row r="551" spans="2:2">
      <c r="B551" s="3" t="str">
        <f ca="1">IFERROR(__xludf.DUMMYFUNCTION("IF(ISBLANK(A551),"""",GOOGLETRANSLATE(A551,""en"",""fr""))"),"")</f>
        <v/>
      </c>
    </row>
    <row r="552" spans="2:2">
      <c r="B552" s="3" t="str">
        <f ca="1">IFERROR(__xludf.DUMMYFUNCTION("IF(ISBLANK(A552),"""",GOOGLETRANSLATE(A552,""en"",""fr""))"),"")</f>
        <v/>
      </c>
    </row>
    <row r="553" spans="2:2">
      <c r="B553" s="3" t="str">
        <f ca="1">IFERROR(__xludf.DUMMYFUNCTION("IF(ISBLANK(A553),"""",GOOGLETRANSLATE(A553,""en"",""fr""))"),"")</f>
        <v/>
      </c>
    </row>
    <row r="554" spans="2:2">
      <c r="B554" s="3" t="str">
        <f ca="1">IFERROR(__xludf.DUMMYFUNCTION("IF(ISBLANK(A554),"""",GOOGLETRANSLATE(A554,""en"",""fr""))"),"")</f>
        <v/>
      </c>
    </row>
    <row r="555" spans="2:2">
      <c r="B555" s="3" t="str">
        <f ca="1">IFERROR(__xludf.DUMMYFUNCTION("IF(ISBLANK(A555),"""",GOOGLETRANSLATE(A555,""en"",""fr""))"),"")</f>
        <v/>
      </c>
    </row>
    <row r="556" spans="2:2">
      <c r="B556" s="3" t="str">
        <f ca="1">IFERROR(__xludf.DUMMYFUNCTION("IF(ISBLANK(A556),"""",GOOGLETRANSLATE(A556,""en"",""fr""))"),"")</f>
        <v/>
      </c>
    </row>
    <row r="557" spans="2:2">
      <c r="B557" s="3" t="str">
        <f ca="1">IFERROR(__xludf.DUMMYFUNCTION("IF(ISBLANK(A557),"""",GOOGLETRANSLATE(A557,""en"",""fr""))"),"")</f>
        <v/>
      </c>
    </row>
    <row r="558" spans="2:2">
      <c r="B558" s="3" t="str">
        <f ca="1">IFERROR(__xludf.DUMMYFUNCTION("IF(ISBLANK(A558),"""",GOOGLETRANSLATE(A558,""en"",""fr""))"),"")</f>
        <v/>
      </c>
    </row>
    <row r="559" spans="2:2">
      <c r="B559" s="3" t="str">
        <f ca="1">IFERROR(__xludf.DUMMYFUNCTION("IF(ISBLANK(A559),"""",GOOGLETRANSLATE(A559,""en"",""fr""))"),"")</f>
        <v/>
      </c>
    </row>
    <row r="560" spans="2:2">
      <c r="B560" s="3" t="str">
        <f ca="1">IFERROR(__xludf.DUMMYFUNCTION("IF(ISBLANK(A560),"""",GOOGLETRANSLATE(A560,""en"",""fr""))"),"")</f>
        <v/>
      </c>
    </row>
    <row r="561" spans="2:2">
      <c r="B561" s="3" t="str">
        <f ca="1">IFERROR(__xludf.DUMMYFUNCTION("IF(ISBLANK(A561),"""",GOOGLETRANSLATE(A561,""en"",""fr""))"),"")</f>
        <v/>
      </c>
    </row>
    <row r="562" spans="2:2">
      <c r="B562" s="3" t="str">
        <f ca="1">IFERROR(__xludf.DUMMYFUNCTION("IF(ISBLANK(A562),"""",GOOGLETRANSLATE(A562,""en"",""fr""))"),"")</f>
        <v/>
      </c>
    </row>
    <row r="563" spans="2:2">
      <c r="B563" s="3" t="str">
        <f ca="1">IFERROR(__xludf.DUMMYFUNCTION("IF(ISBLANK(A563),"""",GOOGLETRANSLATE(A563,""en"",""fr""))"),"")</f>
        <v/>
      </c>
    </row>
    <row r="564" spans="2:2">
      <c r="B564" s="3" t="str">
        <f ca="1">IFERROR(__xludf.DUMMYFUNCTION("IF(ISBLANK(A564),"""",GOOGLETRANSLATE(A564,""en"",""fr""))"),"")</f>
        <v/>
      </c>
    </row>
    <row r="565" spans="2:2">
      <c r="B565" s="3" t="str">
        <f ca="1">IFERROR(__xludf.DUMMYFUNCTION("IF(ISBLANK(A565),"""",GOOGLETRANSLATE(A565,""en"",""fr""))"),"")</f>
        <v/>
      </c>
    </row>
    <row r="566" spans="2:2">
      <c r="B566" s="3" t="str">
        <f ca="1">IFERROR(__xludf.DUMMYFUNCTION("IF(ISBLANK(A566),"""",GOOGLETRANSLATE(A566,""en"",""fr""))"),"")</f>
        <v/>
      </c>
    </row>
    <row r="567" spans="2:2">
      <c r="B567" s="3" t="str">
        <f ca="1">IFERROR(__xludf.DUMMYFUNCTION("IF(ISBLANK(A567),"""",GOOGLETRANSLATE(A567,""en"",""fr""))"),"")</f>
        <v/>
      </c>
    </row>
    <row r="568" spans="2:2">
      <c r="B568" s="3" t="str">
        <f ca="1">IFERROR(__xludf.DUMMYFUNCTION("IF(ISBLANK(A568),"""",GOOGLETRANSLATE(A568,""en"",""fr""))"),"")</f>
        <v/>
      </c>
    </row>
    <row r="569" spans="2:2">
      <c r="B569" s="3" t="str">
        <f ca="1">IFERROR(__xludf.DUMMYFUNCTION("IF(ISBLANK(A569),"""",GOOGLETRANSLATE(A569,""en"",""fr""))"),"")</f>
        <v/>
      </c>
    </row>
    <row r="570" spans="2:2">
      <c r="B570" s="3" t="str">
        <f ca="1">IFERROR(__xludf.DUMMYFUNCTION("IF(ISBLANK(A570),"""",GOOGLETRANSLATE(A570,""en"",""fr""))"),"")</f>
        <v/>
      </c>
    </row>
    <row r="571" spans="2:2">
      <c r="B571" s="3" t="str">
        <f ca="1">IFERROR(__xludf.DUMMYFUNCTION("IF(ISBLANK(A571),"""",GOOGLETRANSLATE(A571,""en"",""fr""))"),"")</f>
        <v/>
      </c>
    </row>
    <row r="572" spans="2:2">
      <c r="B572" s="3" t="str">
        <f ca="1">IFERROR(__xludf.DUMMYFUNCTION("IF(ISBLANK(A572),"""",GOOGLETRANSLATE(A572,""en"",""fr""))"),"")</f>
        <v/>
      </c>
    </row>
    <row r="573" spans="2:2">
      <c r="B573" s="3" t="str">
        <f ca="1">IFERROR(__xludf.DUMMYFUNCTION("IF(ISBLANK(A573),"""",GOOGLETRANSLATE(A573,""en"",""fr""))"),"")</f>
        <v/>
      </c>
    </row>
    <row r="574" spans="2:2">
      <c r="B574" s="3" t="str">
        <f ca="1">IFERROR(__xludf.DUMMYFUNCTION("IF(ISBLANK(A574),"""",GOOGLETRANSLATE(A574,""en"",""fr""))"),"")</f>
        <v/>
      </c>
    </row>
    <row r="575" spans="2:2">
      <c r="B575" s="3" t="str">
        <f ca="1">IFERROR(__xludf.DUMMYFUNCTION("IF(ISBLANK(A575),"""",GOOGLETRANSLATE(A575,""en"",""fr""))"),"")</f>
        <v/>
      </c>
    </row>
    <row r="576" spans="2:2">
      <c r="B576" s="3" t="str">
        <f ca="1">IFERROR(__xludf.DUMMYFUNCTION("IF(ISBLANK(A576),"""",GOOGLETRANSLATE(A576,""en"",""fr""))"),"")</f>
        <v/>
      </c>
    </row>
    <row r="577" spans="2:2">
      <c r="B577" s="3" t="str">
        <f ca="1">IFERROR(__xludf.DUMMYFUNCTION("IF(ISBLANK(A577),"""",GOOGLETRANSLATE(A577,""en"",""fr""))"),"")</f>
        <v/>
      </c>
    </row>
    <row r="578" spans="2:2">
      <c r="B578" s="3" t="str">
        <f ca="1">IFERROR(__xludf.DUMMYFUNCTION("IF(ISBLANK(A578),"""",GOOGLETRANSLATE(A578,""en"",""fr""))"),"")</f>
        <v/>
      </c>
    </row>
    <row r="579" spans="2:2">
      <c r="B579" s="3" t="str">
        <f ca="1">IFERROR(__xludf.DUMMYFUNCTION("IF(ISBLANK(A579),"""",GOOGLETRANSLATE(A579,""en"",""fr""))"),"")</f>
        <v/>
      </c>
    </row>
    <row r="580" spans="2:2">
      <c r="B580" s="3" t="str">
        <f ca="1">IFERROR(__xludf.DUMMYFUNCTION("IF(ISBLANK(A580),"""",GOOGLETRANSLATE(A580,""en"",""fr""))"),"")</f>
        <v/>
      </c>
    </row>
    <row r="581" spans="2:2">
      <c r="B581" s="3" t="str">
        <f ca="1">IFERROR(__xludf.DUMMYFUNCTION("IF(ISBLANK(A581),"""",GOOGLETRANSLATE(A581,""en"",""fr""))"),"")</f>
        <v/>
      </c>
    </row>
    <row r="582" spans="2:2">
      <c r="B582" s="3" t="str">
        <f ca="1">IFERROR(__xludf.DUMMYFUNCTION("IF(ISBLANK(A582),"""",GOOGLETRANSLATE(A582,""en"",""fr""))"),"")</f>
        <v/>
      </c>
    </row>
    <row r="583" spans="2:2">
      <c r="B583" s="3" t="str">
        <f ca="1">IFERROR(__xludf.DUMMYFUNCTION("IF(ISBLANK(A583),"""",GOOGLETRANSLATE(A583,""en"",""fr""))"),"")</f>
        <v/>
      </c>
    </row>
    <row r="584" spans="2:2">
      <c r="B584" s="3" t="str">
        <f ca="1">IFERROR(__xludf.DUMMYFUNCTION("IF(ISBLANK(A584),"""",GOOGLETRANSLATE(A584,""en"",""fr""))"),"")</f>
        <v/>
      </c>
    </row>
    <row r="585" spans="2:2">
      <c r="B585" s="3" t="str">
        <f ca="1">IFERROR(__xludf.DUMMYFUNCTION("IF(ISBLANK(A585),"""",GOOGLETRANSLATE(A585,""en"",""fr""))"),"")</f>
        <v/>
      </c>
    </row>
    <row r="586" spans="2:2">
      <c r="B586" s="3" t="str">
        <f ca="1">IFERROR(__xludf.DUMMYFUNCTION("IF(ISBLANK(A586),"""",GOOGLETRANSLATE(A586,""en"",""fr""))"),"")</f>
        <v/>
      </c>
    </row>
    <row r="587" spans="2:2">
      <c r="B587" s="3" t="str">
        <f ca="1">IFERROR(__xludf.DUMMYFUNCTION("IF(ISBLANK(A587),"""",GOOGLETRANSLATE(A587,""en"",""fr""))"),"")</f>
        <v/>
      </c>
    </row>
    <row r="588" spans="2:2">
      <c r="B588" s="3" t="str">
        <f ca="1">IFERROR(__xludf.DUMMYFUNCTION("IF(ISBLANK(A588),"""",GOOGLETRANSLATE(A588,""en"",""fr""))"),"")</f>
        <v/>
      </c>
    </row>
    <row r="589" spans="2:2">
      <c r="B589" s="3" t="str">
        <f ca="1">IFERROR(__xludf.DUMMYFUNCTION("IF(ISBLANK(A589),"""",GOOGLETRANSLATE(A589,""en"",""fr""))"),"")</f>
        <v/>
      </c>
    </row>
    <row r="590" spans="2:2">
      <c r="B590" s="3" t="str">
        <f ca="1">IFERROR(__xludf.DUMMYFUNCTION("IF(ISBLANK(A590),"""",GOOGLETRANSLATE(A590,""en"",""fr""))"),"")</f>
        <v/>
      </c>
    </row>
    <row r="591" spans="2:2">
      <c r="B591" s="3" t="str">
        <f ca="1">IFERROR(__xludf.DUMMYFUNCTION("IF(ISBLANK(A591),"""",GOOGLETRANSLATE(A591,""en"",""fr""))"),"")</f>
        <v/>
      </c>
    </row>
    <row r="592" spans="2:2">
      <c r="B592" s="3" t="str">
        <f ca="1">IFERROR(__xludf.DUMMYFUNCTION("IF(ISBLANK(A592),"""",GOOGLETRANSLATE(A592,""en"",""fr""))"),"")</f>
        <v/>
      </c>
    </row>
    <row r="593" spans="2:2">
      <c r="B593" s="3" t="str">
        <f ca="1">IFERROR(__xludf.DUMMYFUNCTION("IF(ISBLANK(A593),"""",GOOGLETRANSLATE(A593,""en"",""fr""))"),"")</f>
        <v/>
      </c>
    </row>
    <row r="594" spans="2:2">
      <c r="B594" s="3" t="str">
        <f ca="1">IFERROR(__xludf.DUMMYFUNCTION("IF(ISBLANK(A594),"""",GOOGLETRANSLATE(A594,""en"",""fr""))"),"")</f>
        <v/>
      </c>
    </row>
    <row r="595" spans="2:2">
      <c r="B595" s="3" t="str">
        <f ca="1">IFERROR(__xludf.DUMMYFUNCTION("IF(ISBLANK(A595),"""",GOOGLETRANSLATE(A595,""en"",""fr""))"),"")</f>
        <v/>
      </c>
    </row>
    <row r="596" spans="2:2">
      <c r="B596" s="3" t="str">
        <f ca="1">IFERROR(__xludf.DUMMYFUNCTION("IF(ISBLANK(A596),"""",GOOGLETRANSLATE(A596,""en"",""fr""))"),"")</f>
        <v/>
      </c>
    </row>
    <row r="597" spans="2:2">
      <c r="B597" s="3" t="str">
        <f ca="1">IFERROR(__xludf.DUMMYFUNCTION("IF(ISBLANK(A597),"""",GOOGLETRANSLATE(A597,""en"",""fr""))"),"")</f>
        <v/>
      </c>
    </row>
    <row r="598" spans="2:2">
      <c r="B598" s="3" t="str">
        <f ca="1">IFERROR(__xludf.DUMMYFUNCTION("IF(ISBLANK(A598),"""",GOOGLETRANSLATE(A598,""en"",""fr""))"),"")</f>
        <v/>
      </c>
    </row>
    <row r="599" spans="2:2">
      <c r="B599" s="3" t="str">
        <f ca="1">IFERROR(__xludf.DUMMYFUNCTION("IF(ISBLANK(A599),"""",GOOGLETRANSLATE(A599,""en"",""fr""))"),"")</f>
        <v/>
      </c>
    </row>
    <row r="600" spans="2:2">
      <c r="B600" s="3" t="str">
        <f ca="1">IFERROR(__xludf.DUMMYFUNCTION("IF(ISBLANK(A600),"""",GOOGLETRANSLATE(A600,""en"",""fr""))"),"")</f>
        <v/>
      </c>
    </row>
    <row r="601" spans="2:2">
      <c r="B601" s="3" t="str">
        <f ca="1">IFERROR(__xludf.DUMMYFUNCTION("IF(ISBLANK(A601),"""",GOOGLETRANSLATE(A601,""en"",""fr""))"),"")</f>
        <v/>
      </c>
    </row>
    <row r="602" spans="2:2">
      <c r="B602" s="3" t="str">
        <f ca="1">IFERROR(__xludf.DUMMYFUNCTION("IF(ISBLANK(A602),"""",GOOGLETRANSLATE(A602,""en"",""fr""))"),"")</f>
        <v/>
      </c>
    </row>
    <row r="603" spans="2:2">
      <c r="B603" s="3" t="str">
        <f ca="1">IFERROR(__xludf.DUMMYFUNCTION("IF(ISBLANK(A603),"""",GOOGLETRANSLATE(A603,""en"",""fr""))"),"")</f>
        <v/>
      </c>
    </row>
    <row r="604" spans="2:2">
      <c r="B604" s="3" t="str">
        <f ca="1">IFERROR(__xludf.DUMMYFUNCTION("IF(ISBLANK(A604),"""",GOOGLETRANSLATE(A604,""en"",""fr""))"),"")</f>
        <v/>
      </c>
    </row>
    <row r="605" spans="2:2">
      <c r="B605" s="3" t="str">
        <f ca="1">IFERROR(__xludf.DUMMYFUNCTION("IF(ISBLANK(A605),"""",GOOGLETRANSLATE(A605,""en"",""fr""))"),"")</f>
        <v/>
      </c>
    </row>
    <row r="606" spans="2:2">
      <c r="B606" s="3" t="str">
        <f ca="1">IFERROR(__xludf.DUMMYFUNCTION("IF(ISBLANK(A606),"""",GOOGLETRANSLATE(A606,""en"",""fr""))"),"")</f>
        <v/>
      </c>
    </row>
    <row r="607" spans="2:2">
      <c r="B607" s="3" t="str">
        <f ca="1">IFERROR(__xludf.DUMMYFUNCTION("IF(ISBLANK(A607),"""",GOOGLETRANSLATE(A607,""en"",""fr""))"),"")</f>
        <v/>
      </c>
    </row>
    <row r="608" spans="2:2">
      <c r="B608" s="3" t="str">
        <f ca="1">IFERROR(__xludf.DUMMYFUNCTION("IF(ISBLANK(A608),"""",GOOGLETRANSLATE(A608,""en"",""fr""))"),"")</f>
        <v/>
      </c>
    </row>
    <row r="609" spans="2:2">
      <c r="B609" s="3" t="str">
        <f ca="1">IFERROR(__xludf.DUMMYFUNCTION("IF(ISBLANK(A609),"""",GOOGLETRANSLATE(A609,""en"",""fr""))"),"")</f>
        <v/>
      </c>
    </row>
    <row r="610" spans="2:2">
      <c r="B610" s="3" t="str">
        <f ca="1">IFERROR(__xludf.DUMMYFUNCTION("IF(ISBLANK(A610),"""",GOOGLETRANSLATE(A610,""en"",""fr""))"),"")</f>
        <v/>
      </c>
    </row>
    <row r="611" spans="2:2">
      <c r="B611" s="3" t="str">
        <f ca="1">IFERROR(__xludf.DUMMYFUNCTION("IF(ISBLANK(A611),"""",GOOGLETRANSLATE(A611,""en"",""fr""))"),"")</f>
        <v/>
      </c>
    </row>
    <row r="612" spans="2:2">
      <c r="B612" s="3" t="str">
        <f ca="1">IFERROR(__xludf.DUMMYFUNCTION("IF(ISBLANK(A612),"""",GOOGLETRANSLATE(A612,""en"",""fr""))"),"")</f>
        <v/>
      </c>
    </row>
    <row r="613" spans="2:2">
      <c r="B613" s="3" t="str">
        <f ca="1">IFERROR(__xludf.DUMMYFUNCTION("IF(ISBLANK(A613),"""",GOOGLETRANSLATE(A613,""en"",""fr""))"),"")</f>
        <v/>
      </c>
    </row>
    <row r="614" spans="2:2">
      <c r="B614" s="3" t="str">
        <f ca="1">IFERROR(__xludf.DUMMYFUNCTION("IF(ISBLANK(A614),"""",GOOGLETRANSLATE(A614,""en"",""fr""))"),"")</f>
        <v/>
      </c>
    </row>
    <row r="615" spans="2:2">
      <c r="B615" s="3" t="str">
        <f ca="1">IFERROR(__xludf.DUMMYFUNCTION("IF(ISBLANK(A615),"""",GOOGLETRANSLATE(A615,""en"",""fr""))"),"")</f>
        <v/>
      </c>
    </row>
    <row r="616" spans="2:2">
      <c r="B616" s="3" t="str">
        <f ca="1">IFERROR(__xludf.DUMMYFUNCTION("IF(ISBLANK(A616),"""",GOOGLETRANSLATE(A616,""en"",""fr""))"),"")</f>
        <v/>
      </c>
    </row>
    <row r="617" spans="2:2">
      <c r="B617" s="3" t="str">
        <f ca="1">IFERROR(__xludf.DUMMYFUNCTION("IF(ISBLANK(A617),"""",GOOGLETRANSLATE(A617,""en"",""fr""))"),"")</f>
        <v/>
      </c>
    </row>
    <row r="618" spans="2:2">
      <c r="B618" s="3" t="str">
        <f ca="1">IFERROR(__xludf.DUMMYFUNCTION("IF(ISBLANK(A618),"""",GOOGLETRANSLATE(A618,""en"",""fr""))"),"")</f>
        <v/>
      </c>
    </row>
    <row r="619" spans="2:2">
      <c r="B619" s="3" t="str">
        <f ca="1">IFERROR(__xludf.DUMMYFUNCTION("IF(ISBLANK(A619),"""",GOOGLETRANSLATE(A619,""en"",""fr""))"),"")</f>
        <v/>
      </c>
    </row>
    <row r="620" spans="2:2">
      <c r="B620" s="3" t="str">
        <f ca="1">IFERROR(__xludf.DUMMYFUNCTION("IF(ISBLANK(A620),"""",GOOGLETRANSLATE(A620,""en"",""fr""))"),"")</f>
        <v/>
      </c>
    </row>
    <row r="621" spans="2:2">
      <c r="B621" s="3" t="str">
        <f ca="1">IFERROR(__xludf.DUMMYFUNCTION("IF(ISBLANK(A621),"""",GOOGLETRANSLATE(A621,""en"",""fr""))"),"")</f>
        <v/>
      </c>
    </row>
    <row r="622" spans="2:2">
      <c r="B622" s="3" t="str">
        <f ca="1">IFERROR(__xludf.DUMMYFUNCTION("IF(ISBLANK(A622),"""",GOOGLETRANSLATE(A622,""en"",""fr""))"),"")</f>
        <v/>
      </c>
    </row>
    <row r="623" spans="2:2">
      <c r="B623" s="3" t="str">
        <f ca="1">IFERROR(__xludf.DUMMYFUNCTION("IF(ISBLANK(A623),"""",GOOGLETRANSLATE(A623,""en"",""fr""))"),"")</f>
        <v/>
      </c>
    </row>
    <row r="624" spans="2:2">
      <c r="B624" s="3" t="str">
        <f ca="1">IFERROR(__xludf.DUMMYFUNCTION("IF(ISBLANK(A624),"""",GOOGLETRANSLATE(A624,""en"",""fr""))"),"")</f>
        <v/>
      </c>
    </row>
    <row r="625" spans="2:2">
      <c r="B625" s="3" t="str">
        <f ca="1">IFERROR(__xludf.DUMMYFUNCTION("IF(ISBLANK(A625),"""",GOOGLETRANSLATE(A625,""en"",""fr""))"),"")</f>
        <v/>
      </c>
    </row>
    <row r="626" spans="2:2">
      <c r="B626" s="3" t="str">
        <f ca="1">IFERROR(__xludf.DUMMYFUNCTION("IF(ISBLANK(A626),"""",GOOGLETRANSLATE(A626,""en"",""fr""))"),"")</f>
        <v/>
      </c>
    </row>
    <row r="627" spans="2:2">
      <c r="B627" s="3" t="str">
        <f ca="1">IFERROR(__xludf.DUMMYFUNCTION("IF(ISBLANK(A627),"""",GOOGLETRANSLATE(A627,""en"",""fr""))"),"")</f>
        <v/>
      </c>
    </row>
    <row r="628" spans="2:2">
      <c r="B628" s="3" t="str">
        <f ca="1">IFERROR(__xludf.DUMMYFUNCTION("IF(ISBLANK(A628),"""",GOOGLETRANSLATE(A628,""en"",""fr""))"),"")</f>
        <v/>
      </c>
    </row>
    <row r="629" spans="2:2">
      <c r="B629" s="3" t="str">
        <f ca="1">IFERROR(__xludf.DUMMYFUNCTION("IF(ISBLANK(A629),"""",GOOGLETRANSLATE(A629,""en"",""fr""))"),"")</f>
        <v/>
      </c>
    </row>
    <row r="630" spans="2:2">
      <c r="B630" s="3" t="str">
        <f ca="1">IFERROR(__xludf.DUMMYFUNCTION("IF(ISBLANK(A630),"""",GOOGLETRANSLATE(A630,""en"",""fr""))"),"")</f>
        <v/>
      </c>
    </row>
    <row r="631" spans="2:2">
      <c r="B631" s="3" t="str">
        <f ca="1">IFERROR(__xludf.DUMMYFUNCTION("IF(ISBLANK(A631),"""",GOOGLETRANSLATE(A631,""en"",""fr""))"),"")</f>
        <v/>
      </c>
    </row>
    <row r="632" spans="2:2">
      <c r="B632" s="3" t="str">
        <f ca="1">IFERROR(__xludf.DUMMYFUNCTION("IF(ISBLANK(A632),"""",GOOGLETRANSLATE(A632,""en"",""fr""))"),"")</f>
        <v/>
      </c>
    </row>
    <row r="633" spans="2:2">
      <c r="B633" s="3" t="str">
        <f ca="1">IFERROR(__xludf.DUMMYFUNCTION("IF(ISBLANK(A633),"""",GOOGLETRANSLATE(A633,""en"",""fr""))"),"")</f>
        <v/>
      </c>
    </row>
    <row r="634" spans="2:2">
      <c r="B634" s="3" t="str">
        <f ca="1">IFERROR(__xludf.DUMMYFUNCTION("IF(ISBLANK(A634),"""",GOOGLETRANSLATE(A634,""en"",""fr""))"),"")</f>
        <v/>
      </c>
    </row>
    <row r="635" spans="2:2">
      <c r="B635" s="3" t="str">
        <f ca="1">IFERROR(__xludf.DUMMYFUNCTION("IF(ISBLANK(A635),"""",GOOGLETRANSLATE(A635,""en"",""fr""))"),"")</f>
        <v/>
      </c>
    </row>
    <row r="636" spans="2:2">
      <c r="B636" s="3" t="str">
        <f ca="1">IFERROR(__xludf.DUMMYFUNCTION("IF(ISBLANK(A636),"""",GOOGLETRANSLATE(A636,""en"",""fr""))"),"")</f>
        <v/>
      </c>
    </row>
    <row r="637" spans="2:2">
      <c r="B637" s="3" t="str">
        <f ca="1">IFERROR(__xludf.DUMMYFUNCTION("IF(ISBLANK(A637),"""",GOOGLETRANSLATE(A637,""en"",""fr""))"),"")</f>
        <v/>
      </c>
    </row>
    <row r="638" spans="2:2">
      <c r="B638" s="3" t="str">
        <f ca="1">IFERROR(__xludf.DUMMYFUNCTION("IF(ISBLANK(A638),"""",GOOGLETRANSLATE(A638,""en"",""fr""))"),"")</f>
        <v/>
      </c>
    </row>
    <row r="639" spans="2:2">
      <c r="B639" s="3" t="str">
        <f ca="1">IFERROR(__xludf.DUMMYFUNCTION("IF(ISBLANK(A639),"""",GOOGLETRANSLATE(A639,""en"",""fr""))"),"")</f>
        <v/>
      </c>
    </row>
    <row r="640" spans="2:2">
      <c r="B640" s="3" t="str">
        <f ca="1">IFERROR(__xludf.DUMMYFUNCTION("IF(ISBLANK(A640),"""",GOOGLETRANSLATE(A640,""en"",""fr""))"),"")</f>
        <v/>
      </c>
    </row>
    <row r="641" spans="2:2">
      <c r="B641" s="3" t="str">
        <f ca="1">IFERROR(__xludf.DUMMYFUNCTION("IF(ISBLANK(A641),"""",GOOGLETRANSLATE(A641,""en"",""fr""))"),"")</f>
        <v/>
      </c>
    </row>
    <row r="642" spans="2:2">
      <c r="B642" s="3" t="str">
        <f ca="1">IFERROR(__xludf.DUMMYFUNCTION("IF(ISBLANK(A642),"""",GOOGLETRANSLATE(A642,""en"",""fr""))"),"")</f>
        <v/>
      </c>
    </row>
    <row r="643" spans="2:2">
      <c r="B643" s="3" t="str">
        <f ca="1">IFERROR(__xludf.DUMMYFUNCTION("IF(ISBLANK(A643),"""",GOOGLETRANSLATE(A643,""en"",""fr""))"),"")</f>
        <v/>
      </c>
    </row>
    <row r="644" spans="2:2">
      <c r="B644" s="3" t="str">
        <f ca="1">IFERROR(__xludf.DUMMYFUNCTION("IF(ISBLANK(A644),"""",GOOGLETRANSLATE(A644,""en"",""fr""))"),"")</f>
        <v/>
      </c>
    </row>
    <row r="645" spans="2:2">
      <c r="B645" s="3" t="str">
        <f ca="1">IFERROR(__xludf.DUMMYFUNCTION("IF(ISBLANK(A645),"""",GOOGLETRANSLATE(A645,""en"",""fr""))"),"")</f>
        <v/>
      </c>
    </row>
    <row r="646" spans="2:2">
      <c r="B646" s="3" t="str">
        <f ca="1">IFERROR(__xludf.DUMMYFUNCTION("IF(ISBLANK(A646),"""",GOOGLETRANSLATE(A646,""en"",""fr""))"),"")</f>
        <v/>
      </c>
    </row>
    <row r="647" spans="2:2">
      <c r="B647" s="3" t="str">
        <f ca="1">IFERROR(__xludf.DUMMYFUNCTION("IF(ISBLANK(A647),"""",GOOGLETRANSLATE(A647,""en"",""fr""))"),"")</f>
        <v/>
      </c>
    </row>
    <row r="648" spans="2:2">
      <c r="B648" s="3" t="str">
        <f ca="1">IFERROR(__xludf.DUMMYFUNCTION("IF(ISBLANK(A648),"""",GOOGLETRANSLATE(A648,""en"",""fr""))"),"")</f>
        <v/>
      </c>
    </row>
    <row r="649" spans="2:2">
      <c r="B649" s="3" t="str">
        <f ca="1">IFERROR(__xludf.DUMMYFUNCTION("IF(ISBLANK(A649),"""",GOOGLETRANSLATE(A649,""en"",""fr""))"),"")</f>
        <v/>
      </c>
    </row>
    <row r="650" spans="2:2">
      <c r="B650" s="3" t="str">
        <f ca="1">IFERROR(__xludf.DUMMYFUNCTION("IF(ISBLANK(A650),"""",GOOGLETRANSLATE(A650,""en"",""fr""))"),"")</f>
        <v/>
      </c>
    </row>
    <row r="651" spans="2:2">
      <c r="B651" s="3" t="str">
        <f ca="1">IFERROR(__xludf.DUMMYFUNCTION("IF(ISBLANK(A651),"""",GOOGLETRANSLATE(A651,""en"",""fr""))"),"")</f>
        <v/>
      </c>
    </row>
    <row r="652" spans="2:2">
      <c r="B652" s="3" t="str">
        <f ca="1">IFERROR(__xludf.DUMMYFUNCTION("IF(ISBLANK(A652),"""",GOOGLETRANSLATE(A652,""en"",""fr""))"),"")</f>
        <v/>
      </c>
    </row>
    <row r="653" spans="2:2">
      <c r="B653" s="3" t="str">
        <f ca="1">IFERROR(__xludf.DUMMYFUNCTION("IF(ISBLANK(A653),"""",GOOGLETRANSLATE(A653,""en"",""fr""))"),"")</f>
        <v/>
      </c>
    </row>
    <row r="654" spans="2:2">
      <c r="B654" s="3" t="str">
        <f ca="1">IFERROR(__xludf.DUMMYFUNCTION("IF(ISBLANK(A654),"""",GOOGLETRANSLATE(A654,""en"",""fr""))"),"")</f>
        <v/>
      </c>
    </row>
    <row r="655" spans="2:2">
      <c r="B655" s="3" t="str">
        <f ca="1">IFERROR(__xludf.DUMMYFUNCTION("IF(ISBLANK(A655),"""",GOOGLETRANSLATE(A655,""en"",""fr""))"),"")</f>
        <v/>
      </c>
    </row>
    <row r="656" spans="2:2">
      <c r="B656" s="3" t="str">
        <f ca="1">IFERROR(__xludf.DUMMYFUNCTION("IF(ISBLANK(A656),"""",GOOGLETRANSLATE(A656,""en"",""fr""))"),"")</f>
        <v/>
      </c>
    </row>
    <row r="657" spans="2:2">
      <c r="B657" s="3" t="str">
        <f ca="1">IFERROR(__xludf.DUMMYFUNCTION("IF(ISBLANK(A657),"""",GOOGLETRANSLATE(A657,""en"",""fr""))"),"")</f>
        <v/>
      </c>
    </row>
    <row r="658" spans="2:2">
      <c r="B658" s="3" t="str">
        <f ca="1">IFERROR(__xludf.DUMMYFUNCTION("IF(ISBLANK(A658),"""",GOOGLETRANSLATE(A658,""en"",""fr""))"),"")</f>
        <v/>
      </c>
    </row>
    <row r="659" spans="2:2">
      <c r="B659" s="3" t="str">
        <f ca="1">IFERROR(__xludf.DUMMYFUNCTION("IF(ISBLANK(A659),"""",GOOGLETRANSLATE(A659,""en"",""fr""))"),"")</f>
        <v/>
      </c>
    </row>
    <row r="660" spans="2:2">
      <c r="B660" s="3" t="str">
        <f ca="1">IFERROR(__xludf.DUMMYFUNCTION("IF(ISBLANK(A660),"""",GOOGLETRANSLATE(A660,""en"",""fr""))"),"")</f>
        <v/>
      </c>
    </row>
    <row r="661" spans="2:2">
      <c r="B661" s="3" t="str">
        <f ca="1">IFERROR(__xludf.DUMMYFUNCTION("IF(ISBLANK(A661),"""",GOOGLETRANSLATE(A661,""en"",""fr""))"),"")</f>
        <v/>
      </c>
    </row>
    <row r="662" spans="2:2">
      <c r="B662" s="3" t="str">
        <f ca="1">IFERROR(__xludf.DUMMYFUNCTION("IF(ISBLANK(A662),"""",GOOGLETRANSLATE(A662,""en"",""fr""))"),"")</f>
        <v/>
      </c>
    </row>
    <row r="663" spans="2:2">
      <c r="B663" s="3" t="str">
        <f ca="1">IFERROR(__xludf.DUMMYFUNCTION("IF(ISBLANK(A663),"""",GOOGLETRANSLATE(A663,""en"",""fr""))"),"")</f>
        <v/>
      </c>
    </row>
    <row r="664" spans="2:2">
      <c r="B664" s="3" t="str">
        <f ca="1">IFERROR(__xludf.DUMMYFUNCTION("IF(ISBLANK(A664),"""",GOOGLETRANSLATE(A664,""en"",""fr""))"),"")</f>
        <v/>
      </c>
    </row>
    <row r="665" spans="2:2">
      <c r="B665" s="3" t="str">
        <f ca="1">IFERROR(__xludf.DUMMYFUNCTION("IF(ISBLANK(A665),"""",GOOGLETRANSLATE(A665,""en"",""fr""))"),"")</f>
        <v/>
      </c>
    </row>
    <row r="666" spans="2:2">
      <c r="B666" s="3" t="str">
        <f ca="1">IFERROR(__xludf.DUMMYFUNCTION("IF(ISBLANK(A666),"""",GOOGLETRANSLATE(A666,""en"",""fr""))"),"")</f>
        <v/>
      </c>
    </row>
    <row r="667" spans="2:2">
      <c r="B667" s="3" t="str">
        <f ca="1">IFERROR(__xludf.DUMMYFUNCTION("IF(ISBLANK(A667),"""",GOOGLETRANSLATE(A667,""en"",""fr""))"),"")</f>
        <v/>
      </c>
    </row>
    <row r="668" spans="2:2">
      <c r="B668" s="3" t="str">
        <f ca="1">IFERROR(__xludf.DUMMYFUNCTION("IF(ISBLANK(A668),"""",GOOGLETRANSLATE(A668,""en"",""fr""))"),"")</f>
        <v/>
      </c>
    </row>
    <row r="669" spans="2:2">
      <c r="B669" s="3" t="str">
        <f ca="1">IFERROR(__xludf.DUMMYFUNCTION("IF(ISBLANK(A669),"""",GOOGLETRANSLATE(A669,""en"",""fr""))"),"")</f>
        <v/>
      </c>
    </row>
    <row r="670" spans="2:2">
      <c r="B670" s="3" t="str">
        <f ca="1">IFERROR(__xludf.DUMMYFUNCTION("IF(ISBLANK(A670),"""",GOOGLETRANSLATE(A670,""en"",""fr""))"),"")</f>
        <v/>
      </c>
    </row>
    <row r="671" spans="2:2">
      <c r="B671" s="3" t="str">
        <f ca="1">IFERROR(__xludf.DUMMYFUNCTION("IF(ISBLANK(A671),"""",GOOGLETRANSLATE(A671,""en"",""fr""))"),"")</f>
        <v/>
      </c>
    </row>
    <row r="672" spans="2:2">
      <c r="B672" s="3" t="str">
        <f ca="1">IFERROR(__xludf.DUMMYFUNCTION("IF(ISBLANK(A672),"""",GOOGLETRANSLATE(A672,""en"",""fr""))"),"")</f>
        <v/>
      </c>
    </row>
    <row r="673" spans="2:2">
      <c r="B673" s="3" t="str">
        <f ca="1">IFERROR(__xludf.DUMMYFUNCTION("IF(ISBLANK(A673),"""",GOOGLETRANSLATE(A673,""en"",""fr""))"),"")</f>
        <v/>
      </c>
    </row>
    <row r="674" spans="2:2">
      <c r="B674" s="3" t="str">
        <f ca="1">IFERROR(__xludf.DUMMYFUNCTION("IF(ISBLANK(A674),"""",GOOGLETRANSLATE(A674,""en"",""fr""))"),"")</f>
        <v/>
      </c>
    </row>
    <row r="675" spans="2:2">
      <c r="B675" s="3" t="str">
        <f ca="1">IFERROR(__xludf.DUMMYFUNCTION("IF(ISBLANK(A675),"""",GOOGLETRANSLATE(A675,""en"",""fr""))"),"")</f>
        <v/>
      </c>
    </row>
    <row r="676" spans="2:2">
      <c r="B676" s="3" t="str">
        <f ca="1">IFERROR(__xludf.DUMMYFUNCTION("IF(ISBLANK(A676),"""",GOOGLETRANSLATE(A676,""en"",""fr""))"),"")</f>
        <v/>
      </c>
    </row>
    <row r="677" spans="2:2">
      <c r="B677" s="3" t="str">
        <f ca="1">IFERROR(__xludf.DUMMYFUNCTION("IF(ISBLANK(A677),"""",GOOGLETRANSLATE(A677,""en"",""fr""))"),"")</f>
        <v/>
      </c>
    </row>
    <row r="678" spans="2:2">
      <c r="B678" s="3" t="str">
        <f ca="1">IFERROR(__xludf.DUMMYFUNCTION("IF(ISBLANK(A678),"""",GOOGLETRANSLATE(A678,""en"",""fr""))"),"")</f>
        <v/>
      </c>
    </row>
    <row r="679" spans="2:2">
      <c r="B679" s="3" t="str">
        <f ca="1">IFERROR(__xludf.DUMMYFUNCTION("IF(ISBLANK(A679),"""",GOOGLETRANSLATE(A679,""en"",""fr""))"),"")</f>
        <v/>
      </c>
    </row>
    <row r="680" spans="2:2">
      <c r="B680" s="3" t="str">
        <f ca="1">IFERROR(__xludf.DUMMYFUNCTION("IF(ISBLANK(A680),"""",GOOGLETRANSLATE(A680,""en"",""fr""))"),"")</f>
        <v/>
      </c>
    </row>
    <row r="681" spans="2:2">
      <c r="B681" s="3" t="str">
        <f ca="1">IFERROR(__xludf.DUMMYFUNCTION("IF(ISBLANK(A681),"""",GOOGLETRANSLATE(A681,""en"",""fr""))"),"")</f>
        <v/>
      </c>
    </row>
    <row r="682" spans="2:2">
      <c r="B682" s="3" t="str">
        <f ca="1">IFERROR(__xludf.DUMMYFUNCTION("IF(ISBLANK(A682),"""",GOOGLETRANSLATE(A682,""en"",""fr""))"),"")</f>
        <v/>
      </c>
    </row>
    <row r="683" spans="2:2">
      <c r="B683" s="3" t="str">
        <f ca="1">IFERROR(__xludf.DUMMYFUNCTION("IF(ISBLANK(A683),"""",GOOGLETRANSLATE(A683,""en"",""fr""))"),"")</f>
        <v/>
      </c>
    </row>
    <row r="684" spans="2:2">
      <c r="B684" s="3" t="str">
        <f ca="1">IFERROR(__xludf.DUMMYFUNCTION("IF(ISBLANK(A684),"""",GOOGLETRANSLATE(A684,""en"",""fr""))"),"")</f>
        <v/>
      </c>
    </row>
    <row r="685" spans="2:2">
      <c r="B685" s="3" t="str">
        <f ca="1">IFERROR(__xludf.DUMMYFUNCTION("IF(ISBLANK(A685),"""",GOOGLETRANSLATE(A685,""en"",""fr""))"),"")</f>
        <v/>
      </c>
    </row>
    <row r="686" spans="2:2">
      <c r="B686" s="3" t="str">
        <f ca="1">IFERROR(__xludf.DUMMYFUNCTION("IF(ISBLANK(A686),"""",GOOGLETRANSLATE(A686,""en"",""fr""))"),"")</f>
        <v/>
      </c>
    </row>
    <row r="687" spans="2:2">
      <c r="B687" s="3" t="str">
        <f ca="1">IFERROR(__xludf.DUMMYFUNCTION("IF(ISBLANK(A687),"""",GOOGLETRANSLATE(A687,""en"",""fr""))"),"")</f>
        <v/>
      </c>
    </row>
    <row r="688" spans="2:2">
      <c r="B688" s="3" t="str">
        <f ca="1">IFERROR(__xludf.DUMMYFUNCTION("IF(ISBLANK(A688),"""",GOOGLETRANSLATE(A688,""en"",""fr""))"),"")</f>
        <v/>
      </c>
    </row>
    <row r="689" spans="2:2">
      <c r="B689" s="3" t="str">
        <f ca="1">IFERROR(__xludf.DUMMYFUNCTION("IF(ISBLANK(A689),"""",GOOGLETRANSLATE(A689,""en"",""fr""))"),"")</f>
        <v/>
      </c>
    </row>
    <row r="690" spans="2:2">
      <c r="B690" s="3" t="str">
        <f ca="1">IFERROR(__xludf.DUMMYFUNCTION("IF(ISBLANK(A690),"""",GOOGLETRANSLATE(A690,""en"",""fr""))"),"")</f>
        <v/>
      </c>
    </row>
    <row r="691" spans="2:2">
      <c r="B691" s="3" t="str">
        <f ca="1">IFERROR(__xludf.DUMMYFUNCTION("IF(ISBLANK(A691),"""",GOOGLETRANSLATE(A691,""en"",""fr""))"),"")</f>
        <v/>
      </c>
    </row>
    <row r="692" spans="2:2">
      <c r="B692" s="3" t="str">
        <f ca="1">IFERROR(__xludf.DUMMYFUNCTION("IF(ISBLANK(A692),"""",GOOGLETRANSLATE(A692,""en"",""fr""))"),"")</f>
        <v/>
      </c>
    </row>
    <row r="693" spans="2:2">
      <c r="B693" s="3" t="str">
        <f ca="1">IFERROR(__xludf.DUMMYFUNCTION("IF(ISBLANK(A693),"""",GOOGLETRANSLATE(A693,""en"",""fr""))"),"")</f>
        <v/>
      </c>
    </row>
    <row r="694" spans="2:2">
      <c r="B694" s="3" t="str">
        <f ca="1">IFERROR(__xludf.DUMMYFUNCTION("IF(ISBLANK(A694),"""",GOOGLETRANSLATE(A694,""en"",""fr""))"),"")</f>
        <v/>
      </c>
    </row>
    <row r="695" spans="2:2">
      <c r="B695" s="3" t="str">
        <f ca="1">IFERROR(__xludf.DUMMYFUNCTION("IF(ISBLANK(A695),"""",GOOGLETRANSLATE(A695,""en"",""fr""))"),"")</f>
        <v/>
      </c>
    </row>
    <row r="696" spans="2:2">
      <c r="B696" s="3" t="str">
        <f ca="1">IFERROR(__xludf.DUMMYFUNCTION("IF(ISBLANK(A696),"""",GOOGLETRANSLATE(A696,""en"",""fr""))"),"")</f>
        <v/>
      </c>
    </row>
    <row r="697" spans="2:2">
      <c r="B697" s="3" t="str">
        <f ca="1">IFERROR(__xludf.DUMMYFUNCTION("IF(ISBLANK(A697),"""",GOOGLETRANSLATE(A697,""en"",""fr""))"),"")</f>
        <v/>
      </c>
    </row>
    <row r="698" spans="2:2">
      <c r="B698" s="3" t="str">
        <f ca="1">IFERROR(__xludf.DUMMYFUNCTION("IF(ISBLANK(A698),"""",GOOGLETRANSLATE(A698,""en"",""fr""))"),"")</f>
        <v/>
      </c>
    </row>
    <row r="699" spans="2:2">
      <c r="B699" s="3" t="str">
        <f ca="1">IFERROR(__xludf.DUMMYFUNCTION("IF(ISBLANK(A699),"""",GOOGLETRANSLATE(A699,""en"",""fr""))"),"")</f>
        <v/>
      </c>
    </row>
    <row r="700" spans="2:2">
      <c r="B700" s="3" t="str">
        <f ca="1">IFERROR(__xludf.DUMMYFUNCTION("IF(ISBLANK(A700),"""",GOOGLETRANSLATE(A700,""en"",""fr""))"),"")</f>
        <v/>
      </c>
    </row>
    <row r="701" spans="2:2">
      <c r="B701" s="3" t="str">
        <f ca="1">IFERROR(__xludf.DUMMYFUNCTION("IF(ISBLANK(A701),"""",GOOGLETRANSLATE(A701,""en"",""fr""))"),"")</f>
        <v/>
      </c>
    </row>
    <row r="702" spans="2:2">
      <c r="B702" s="3" t="str">
        <f ca="1">IFERROR(__xludf.DUMMYFUNCTION("IF(ISBLANK(A702),"""",GOOGLETRANSLATE(A702,""en"",""fr""))"),"")</f>
        <v/>
      </c>
    </row>
    <row r="703" spans="2:2">
      <c r="B703" s="3" t="str">
        <f ca="1">IFERROR(__xludf.DUMMYFUNCTION("IF(ISBLANK(A703),"""",GOOGLETRANSLATE(A703,""en"",""fr""))"),"")</f>
        <v/>
      </c>
    </row>
    <row r="704" spans="2:2">
      <c r="B704" s="3" t="str">
        <f ca="1">IFERROR(__xludf.DUMMYFUNCTION("IF(ISBLANK(A704),"""",GOOGLETRANSLATE(A704,""en"",""fr""))"),"")</f>
        <v/>
      </c>
    </row>
    <row r="705" spans="2:2">
      <c r="B705" s="3" t="str">
        <f ca="1">IFERROR(__xludf.DUMMYFUNCTION("IF(ISBLANK(A705),"""",GOOGLETRANSLATE(A705,""en"",""fr""))"),"")</f>
        <v/>
      </c>
    </row>
    <row r="706" spans="2:2">
      <c r="B706" s="3" t="str">
        <f ca="1">IFERROR(__xludf.DUMMYFUNCTION("IF(ISBLANK(A706),"""",GOOGLETRANSLATE(A706,""en"",""fr""))"),"")</f>
        <v/>
      </c>
    </row>
    <row r="707" spans="2:2">
      <c r="B707" s="3" t="str">
        <f ca="1">IFERROR(__xludf.DUMMYFUNCTION("IF(ISBLANK(A707),"""",GOOGLETRANSLATE(A707,""en"",""fr""))"),"")</f>
        <v/>
      </c>
    </row>
    <row r="708" spans="2:2">
      <c r="B708" s="3" t="str">
        <f ca="1">IFERROR(__xludf.DUMMYFUNCTION("IF(ISBLANK(A708),"""",GOOGLETRANSLATE(A708,""en"",""fr""))"),"")</f>
        <v/>
      </c>
    </row>
    <row r="709" spans="2:2">
      <c r="B709" s="3" t="str">
        <f ca="1">IFERROR(__xludf.DUMMYFUNCTION("IF(ISBLANK(A709),"""",GOOGLETRANSLATE(A709,""en"",""fr""))"),"")</f>
        <v/>
      </c>
    </row>
    <row r="710" spans="2:2">
      <c r="B710" s="3" t="str">
        <f ca="1">IFERROR(__xludf.DUMMYFUNCTION("IF(ISBLANK(A710),"""",GOOGLETRANSLATE(A710,""en"",""fr""))"),"")</f>
        <v/>
      </c>
    </row>
    <row r="711" spans="2:2">
      <c r="B711" s="3" t="str">
        <f ca="1">IFERROR(__xludf.DUMMYFUNCTION("IF(ISBLANK(A711),"""",GOOGLETRANSLATE(A711,""en"",""fr""))"),"")</f>
        <v/>
      </c>
    </row>
    <row r="712" spans="2:2">
      <c r="B712" s="3" t="str">
        <f ca="1">IFERROR(__xludf.DUMMYFUNCTION("IF(ISBLANK(A712),"""",GOOGLETRANSLATE(A712,""en"",""fr""))"),"")</f>
        <v/>
      </c>
    </row>
    <row r="713" spans="2:2">
      <c r="B713" s="3" t="str">
        <f ca="1">IFERROR(__xludf.DUMMYFUNCTION("IF(ISBLANK(A713),"""",GOOGLETRANSLATE(A713,""en"",""fr""))"),"")</f>
        <v/>
      </c>
    </row>
    <row r="714" spans="2:2">
      <c r="B714" s="3" t="str">
        <f ca="1">IFERROR(__xludf.DUMMYFUNCTION("IF(ISBLANK(A714),"""",GOOGLETRANSLATE(A714,""en"",""fr""))"),"")</f>
        <v/>
      </c>
    </row>
    <row r="715" spans="2:2">
      <c r="B715" s="3" t="str">
        <f ca="1">IFERROR(__xludf.DUMMYFUNCTION("IF(ISBLANK(A715),"""",GOOGLETRANSLATE(A715,""en"",""fr""))"),"")</f>
        <v/>
      </c>
    </row>
    <row r="716" spans="2:2">
      <c r="B716" s="3" t="str">
        <f ca="1">IFERROR(__xludf.DUMMYFUNCTION("IF(ISBLANK(A716),"""",GOOGLETRANSLATE(A716,""en"",""fr""))"),"")</f>
        <v/>
      </c>
    </row>
    <row r="717" spans="2:2">
      <c r="B717" s="3" t="str">
        <f ca="1">IFERROR(__xludf.DUMMYFUNCTION("IF(ISBLANK(A717),"""",GOOGLETRANSLATE(A717,""en"",""fr""))"),"")</f>
        <v/>
      </c>
    </row>
    <row r="718" spans="2:2">
      <c r="B718" s="3" t="str">
        <f ca="1">IFERROR(__xludf.DUMMYFUNCTION("IF(ISBLANK(A718),"""",GOOGLETRANSLATE(A718,""en"",""fr""))"),"")</f>
        <v/>
      </c>
    </row>
    <row r="719" spans="2:2">
      <c r="B719" s="3" t="str">
        <f ca="1">IFERROR(__xludf.DUMMYFUNCTION("IF(ISBLANK(A719),"""",GOOGLETRANSLATE(A719,""en"",""fr""))"),"")</f>
        <v/>
      </c>
    </row>
    <row r="720" spans="2:2">
      <c r="B720" s="3" t="str">
        <f ca="1">IFERROR(__xludf.DUMMYFUNCTION("IF(ISBLANK(A720),"""",GOOGLETRANSLATE(A720,""en"",""fr""))"),"")</f>
        <v/>
      </c>
    </row>
    <row r="721" spans="2:2">
      <c r="B721" s="3" t="str">
        <f ca="1">IFERROR(__xludf.DUMMYFUNCTION("IF(ISBLANK(A721),"""",GOOGLETRANSLATE(A721,""en"",""fr""))"),"")</f>
        <v/>
      </c>
    </row>
    <row r="722" spans="2:2">
      <c r="B722" s="3" t="str">
        <f ca="1">IFERROR(__xludf.DUMMYFUNCTION("IF(ISBLANK(A722),"""",GOOGLETRANSLATE(A722,""en"",""fr""))"),"")</f>
        <v/>
      </c>
    </row>
    <row r="723" spans="2:2">
      <c r="B723" s="3" t="str">
        <f ca="1">IFERROR(__xludf.DUMMYFUNCTION("IF(ISBLANK(A723),"""",GOOGLETRANSLATE(A723,""en"",""fr""))"),"")</f>
        <v/>
      </c>
    </row>
    <row r="724" spans="2:2">
      <c r="B724" s="3" t="str">
        <f ca="1">IFERROR(__xludf.DUMMYFUNCTION("IF(ISBLANK(A724),"""",GOOGLETRANSLATE(A724,""en"",""fr""))"),"")</f>
        <v/>
      </c>
    </row>
    <row r="725" spans="2:2">
      <c r="B725" s="3" t="str">
        <f ca="1">IFERROR(__xludf.DUMMYFUNCTION("IF(ISBLANK(A725),"""",GOOGLETRANSLATE(A725,""en"",""fr""))"),"")</f>
        <v/>
      </c>
    </row>
    <row r="726" spans="2:2">
      <c r="B726" s="3" t="str">
        <f ca="1">IFERROR(__xludf.DUMMYFUNCTION("IF(ISBLANK(A726),"""",GOOGLETRANSLATE(A726,""en"",""fr""))"),"")</f>
        <v/>
      </c>
    </row>
    <row r="727" spans="2:2">
      <c r="B727" s="3" t="str">
        <f ca="1">IFERROR(__xludf.DUMMYFUNCTION("IF(ISBLANK(A727),"""",GOOGLETRANSLATE(A727,""en"",""fr""))"),"")</f>
        <v/>
      </c>
    </row>
    <row r="728" spans="2:2">
      <c r="B728" s="3" t="str">
        <f ca="1">IFERROR(__xludf.DUMMYFUNCTION("IF(ISBLANK(A728),"""",GOOGLETRANSLATE(A728,""en"",""fr""))"),"")</f>
        <v/>
      </c>
    </row>
    <row r="729" spans="2:2">
      <c r="B729" s="3" t="str">
        <f ca="1">IFERROR(__xludf.DUMMYFUNCTION("IF(ISBLANK(A729),"""",GOOGLETRANSLATE(A729,""en"",""fr""))"),"")</f>
        <v/>
      </c>
    </row>
    <row r="730" spans="2:2">
      <c r="B730" s="3" t="str">
        <f ca="1">IFERROR(__xludf.DUMMYFUNCTION("IF(ISBLANK(A730),"""",GOOGLETRANSLATE(A730,""en"",""fr""))"),"")</f>
        <v/>
      </c>
    </row>
    <row r="731" spans="2:2">
      <c r="B731" s="3" t="str">
        <f ca="1">IFERROR(__xludf.DUMMYFUNCTION("IF(ISBLANK(A731),"""",GOOGLETRANSLATE(A731,""en"",""fr""))"),"")</f>
        <v/>
      </c>
    </row>
    <row r="732" spans="2:2">
      <c r="B732" s="3" t="str">
        <f ca="1">IFERROR(__xludf.DUMMYFUNCTION("IF(ISBLANK(A732),"""",GOOGLETRANSLATE(A732,""en"",""fr""))"),"")</f>
        <v/>
      </c>
    </row>
    <row r="733" spans="2:2">
      <c r="B733" s="3" t="str">
        <f ca="1">IFERROR(__xludf.DUMMYFUNCTION("IF(ISBLANK(A733),"""",GOOGLETRANSLATE(A733,""en"",""fr""))"),"")</f>
        <v/>
      </c>
    </row>
    <row r="734" spans="2:2">
      <c r="B734" s="3" t="str">
        <f ca="1">IFERROR(__xludf.DUMMYFUNCTION("IF(ISBLANK(A734),"""",GOOGLETRANSLATE(A734,""en"",""fr""))"),"")</f>
        <v/>
      </c>
    </row>
    <row r="735" spans="2:2">
      <c r="B735" s="3" t="str">
        <f ca="1">IFERROR(__xludf.DUMMYFUNCTION("IF(ISBLANK(A735),"""",GOOGLETRANSLATE(A735,""en"",""fr""))"),"")</f>
        <v/>
      </c>
    </row>
    <row r="736" spans="2:2">
      <c r="B736" s="3" t="str">
        <f ca="1">IFERROR(__xludf.DUMMYFUNCTION("IF(ISBLANK(A736),"""",GOOGLETRANSLATE(A736,""en"",""fr""))"),"")</f>
        <v/>
      </c>
    </row>
    <row r="737" spans="2:2">
      <c r="B737" s="3" t="str">
        <f ca="1">IFERROR(__xludf.DUMMYFUNCTION("IF(ISBLANK(A737),"""",GOOGLETRANSLATE(A737,""en"",""fr""))"),"")</f>
        <v/>
      </c>
    </row>
    <row r="738" spans="2:2">
      <c r="B738" s="3" t="str">
        <f ca="1">IFERROR(__xludf.DUMMYFUNCTION("IF(ISBLANK(A738),"""",GOOGLETRANSLATE(A738,""en"",""fr""))"),"")</f>
        <v/>
      </c>
    </row>
    <row r="739" spans="2:2">
      <c r="B739" s="3" t="str">
        <f ca="1">IFERROR(__xludf.DUMMYFUNCTION("IF(ISBLANK(A739),"""",GOOGLETRANSLATE(A739,""en"",""fr""))"),"")</f>
        <v/>
      </c>
    </row>
    <row r="740" spans="2:2">
      <c r="B740" s="3" t="str">
        <f ca="1">IFERROR(__xludf.DUMMYFUNCTION("IF(ISBLANK(A740),"""",GOOGLETRANSLATE(A740,""en"",""fr""))"),"")</f>
        <v/>
      </c>
    </row>
    <row r="741" spans="2:2">
      <c r="B741" s="3" t="str">
        <f ca="1">IFERROR(__xludf.DUMMYFUNCTION("IF(ISBLANK(A741),"""",GOOGLETRANSLATE(A741,""en"",""fr""))"),"")</f>
        <v/>
      </c>
    </row>
    <row r="742" spans="2:2">
      <c r="B742" s="3" t="str">
        <f ca="1">IFERROR(__xludf.DUMMYFUNCTION("IF(ISBLANK(A742),"""",GOOGLETRANSLATE(A742,""en"",""fr""))"),"")</f>
        <v/>
      </c>
    </row>
    <row r="743" spans="2:2">
      <c r="B743" s="3" t="str">
        <f ca="1">IFERROR(__xludf.DUMMYFUNCTION("IF(ISBLANK(A743),"""",GOOGLETRANSLATE(A743,""en"",""fr""))"),"")</f>
        <v/>
      </c>
    </row>
    <row r="744" spans="2:2">
      <c r="B744" s="3" t="str">
        <f ca="1">IFERROR(__xludf.DUMMYFUNCTION("IF(ISBLANK(A744),"""",GOOGLETRANSLATE(A744,""en"",""fr""))"),"")</f>
        <v/>
      </c>
    </row>
    <row r="745" spans="2:2">
      <c r="B745" s="3" t="str">
        <f ca="1">IFERROR(__xludf.DUMMYFUNCTION("IF(ISBLANK(A745),"""",GOOGLETRANSLATE(A745,""en"",""fr""))"),"")</f>
        <v/>
      </c>
    </row>
    <row r="746" spans="2:2">
      <c r="B746" s="3" t="str">
        <f ca="1">IFERROR(__xludf.DUMMYFUNCTION("IF(ISBLANK(A746),"""",GOOGLETRANSLATE(A746,""en"",""fr""))"),"")</f>
        <v/>
      </c>
    </row>
    <row r="747" spans="2:2">
      <c r="B747" s="3" t="str">
        <f ca="1">IFERROR(__xludf.DUMMYFUNCTION("IF(ISBLANK(A747),"""",GOOGLETRANSLATE(A747,""en"",""fr""))"),"")</f>
        <v/>
      </c>
    </row>
    <row r="748" spans="2:2">
      <c r="B748" s="3" t="str">
        <f ca="1">IFERROR(__xludf.DUMMYFUNCTION("IF(ISBLANK(A748),"""",GOOGLETRANSLATE(A748,""en"",""fr""))"),"")</f>
        <v/>
      </c>
    </row>
    <row r="749" spans="2:2">
      <c r="B749" s="3" t="str">
        <f ca="1">IFERROR(__xludf.DUMMYFUNCTION("IF(ISBLANK(A749),"""",GOOGLETRANSLATE(A749,""en"",""fr""))"),"")</f>
        <v/>
      </c>
    </row>
    <row r="750" spans="2:2">
      <c r="B750" s="3" t="str">
        <f ca="1">IFERROR(__xludf.DUMMYFUNCTION("IF(ISBLANK(A750),"""",GOOGLETRANSLATE(A750,""en"",""fr""))"),"")</f>
        <v/>
      </c>
    </row>
    <row r="751" spans="2:2">
      <c r="B751" s="3" t="str">
        <f ca="1">IFERROR(__xludf.DUMMYFUNCTION("IF(ISBLANK(A751),"""",GOOGLETRANSLATE(A751,""en"",""fr""))"),"")</f>
        <v/>
      </c>
    </row>
    <row r="752" spans="2:2">
      <c r="B752" s="3" t="str">
        <f ca="1">IFERROR(__xludf.DUMMYFUNCTION("IF(ISBLANK(A752),"""",GOOGLETRANSLATE(A752,""en"",""fr""))"),"")</f>
        <v/>
      </c>
    </row>
    <row r="753" spans="2:2">
      <c r="B753" s="3" t="str">
        <f ca="1">IFERROR(__xludf.DUMMYFUNCTION("IF(ISBLANK(A753),"""",GOOGLETRANSLATE(A753,""en"",""fr""))"),"")</f>
        <v/>
      </c>
    </row>
    <row r="754" spans="2:2">
      <c r="B754" s="3" t="str">
        <f ca="1">IFERROR(__xludf.DUMMYFUNCTION("IF(ISBLANK(A754),"""",GOOGLETRANSLATE(A754,""en"",""fr""))"),"")</f>
        <v/>
      </c>
    </row>
    <row r="755" spans="2:2">
      <c r="B755" s="3" t="str">
        <f ca="1">IFERROR(__xludf.DUMMYFUNCTION("IF(ISBLANK(A755),"""",GOOGLETRANSLATE(A755,""en"",""fr""))"),"")</f>
        <v/>
      </c>
    </row>
    <row r="756" spans="2:2">
      <c r="B756" s="3" t="str">
        <f ca="1">IFERROR(__xludf.DUMMYFUNCTION("IF(ISBLANK(A756),"""",GOOGLETRANSLATE(A756,""en"",""fr""))"),"")</f>
        <v/>
      </c>
    </row>
    <row r="757" spans="2:2">
      <c r="B757" s="3" t="str">
        <f ca="1">IFERROR(__xludf.DUMMYFUNCTION("IF(ISBLANK(A757),"""",GOOGLETRANSLATE(A757,""en"",""fr""))"),"")</f>
        <v/>
      </c>
    </row>
    <row r="758" spans="2:2">
      <c r="B758" s="3" t="str">
        <f ca="1">IFERROR(__xludf.DUMMYFUNCTION("IF(ISBLANK(A758),"""",GOOGLETRANSLATE(A758,""en"",""fr""))"),"")</f>
        <v/>
      </c>
    </row>
    <row r="759" spans="2:2">
      <c r="B759" s="3" t="str">
        <f ca="1">IFERROR(__xludf.DUMMYFUNCTION("IF(ISBLANK(A759),"""",GOOGLETRANSLATE(A759,""en"",""fr""))"),"")</f>
        <v/>
      </c>
    </row>
    <row r="760" spans="2:2">
      <c r="B760" s="3" t="str">
        <f ca="1">IFERROR(__xludf.DUMMYFUNCTION("IF(ISBLANK(A760),"""",GOOGLETRANSLATE(A760,""en"",""fr""))"),"")</f>
        <v/>
      </c>
    </row>
    <row r="761" spans="2:2">
      <c r="B761" s="3" t="str">
        <f ca="1">IFERROR(__xludf.DUMMYFUNCTION("IF(ISBLANK(A761),"""",GOOGLETRANSLATE(A761,""en"",""fr""))"),"")</f>
        <v/>
      </c>
    </row>
    <row r="762" spans="2:2">
      <c r="B762" s="3" t="str">
        <f ca="1">IFERROR(__xludf.DUMMYFUNCTION("IF(ISBLANK(A762),"""",GOOGLETRANSLATE(A762,""en"",""fr""))"),"")</f>
        <v/>
      </c>
    </row>
    <row r="763" spans="2:2">
      <c r="B763" s="3" t="str">
        <f ca="1">IFERROR(__xludf.DUMMYFUNCTION("IF(ISBLANK(A763),"""",GOOGLETRANSLATE(A763,""en"",""fr""))"),"")</f>
        <v/>
      </c>
    </row>
    <row r="764" spans="2:2">
      <c r="B764" s="3" t="str">
        <f ca="1">IFERROR(__xludf.DUMMYFUNCTION("IF(ISBLANK(A764),"""",GOOGLETRANSLATE(A764,""en"",""fr""))"),"")</f>
        <v/>
      </c>
    </row>
    <row r="765" spans="2:2">
      <c r="B765" s="3" t="str">
        <f ca="1">IFERROR(__xludf.DUMMYFUNCTION("IF(ISBLANK(A765),"""",GOOGLETRANSLATE(A765,""en"",""fr""))"),"")</f>
        <v/>
      </c>
    </row>
    <row r="766" spans="2:2">
      <c r="B766" s="3" t="str">
        <f ca="1">IFERROR(__xludf.DUMMYFUNCTION("IF(ISBLANK(A766),"""",GOOGLETRANSLATE(A766,""en"",""fr""))"),"")</f>
        <v/>
      </c>
    </row>
    <row r="767" spans="2:2">
      <c r="B767" s="3" t="str">
        <f ca="1">IFERROR(__xludf.DUMMYFUNCTION("IF(ISBLANK(A767),"""",GOOGLETRANSLATE(A767,""en"",""fr""))"),"")</f>
        <v/>
      </c>
    </row>
    <row r="768" spans="2:2">
      <c r="B768" s="3" t="str">
        <f ca="1">IFERROR(__xludf.DUMMYFUNCTION("IF(ISBLANK(A768),"""",GOOGLETRANSLATE(A768,""en"",""fr""))"),"")</f>
        <v/>
      </c>
    </row>
    <row r="769" spans="2:2">
      <c r="B769" s="3" t="str">
        <f ca="1">IFERROR(__xludf.DUMMYFUNCTION("IF(ISBLANK(A769),"""",GOOGLETRANSLATE(A769,""en"",""fr""))"),"")</f>
        <v/>
      </c>
    </row>
    <row r="770" spans="2:2">
      <c r="B770" s="3" t="str">
        <f ca="1">IFERROR(__xludf.DUMMYFUNCTION("IF(ISBLANK(A770),"""",GOOGLETRANSLATE(A770,""en"",""fr""))"),"")</f>
        <v/>
      </c>
    </row>
    <row r="771" spans="2:2">
      <c r="B771" s="3" t="str">
        <f ca="1">IFERROR(__xludf.DUMMYFUNCTION("IF(ISBLANK(A771),"""",GOOGLETRANSLATE(A771,""en"",""fr""))"),"")</f>
        <v/>
      </c>
    </row>
    <row r="772" spans="2:2">
      <c r="B772" s="3" t="str">
        <f ca="1">IFERROR(__xludf.DUMMYFUNCTION("IF(ISBLANK(A772),"""",GOOGLETRANSLATE(A772,""en"",""fr""))"),"")</f>
        <v/>
      </c>
    </row>
    <row r="773" spans="2:2">
      <c r="B773" s="3" t="str">
        <f ca="1">IFERROR(__xludf.DUMMYFUNCTION("IF(ISBLANK(A773),"""",GOOGLETRANSLATE(A773,""en"",""fr""))"),"")</f>
        <v/>
      </c>
    </row>
    <row r="774" spans="2:2">
      <c r="B774" s="3" t="str">
        <f ca="1">IFERROR(__xludf.DUMMYFUNCTION("IF(ISBLANK(A774),"""",GOOGLETRANSLATE(A774,""en"",""fr""))"),"")</f>
        <v/>
      </c>
    </row>
    <row r="775" spans="2:2">
      <c r="B775" s="3" t="str">
        <f ca="1">IFERROR(__xludf.DUMMYFUNCTION("IF(ISBLANK(A775),"""",GOOGLETRANSLATE(A775,""en"",""fr""))"),"")</f>
        <v/>
      </c>
    </row>
    <row r="776" spans="2:2">
      <c r="B776" s="3" t="str">
        <f ca="1">IFERROR(__xludf.DUMMYFUNCTION("IF(ISBLANK(A776),"""",GOOGLETRANSLATE(A776,""en"",""fr""))"),"")</f>
        <v/>
      </c>
    </row>
    <row r="777" spans="2:2">
      <c r="B777" s="3" t="str">
        <f ca="1">IFERROR(__xludf.DUMMYFUNCTION("IF(ISBLANK(A777),"""",GOOGLETRANSLATE(A777,""en"",""fr""))"),"")</f>
        <v/>
      </c>
    </row>
    <row r="778" spans="2:2">
      <c r="B778" s="3" t="str">
        <f ca="1">IFERROR(__xludf.DUMMYFUNCTION("IF(ISBLANK(A778),"""",GOOGLETRANSLATE(A778,""en"",""fr""))"),"")</f>
        <v/>
      </c>
    </row>
    <row r="779" spans="2:2">
      <c r="B779" s="3" t="str">
        <f ca="1">IFERROR(__xludf.DUMMYFUNCTION("IF(ISBLANK(A779),"""",GOOGLETRANSLATE(A779,""en"",""fr""))"),"")</f>
        <v/>
      </c>
    </row>
    <row r="780" spans="2:2">
      <c r="B780" s="3" t="str">
        <f ca="1">IFERROR(__xludf.DUMMYFUNCTION("IF(ISBLANK(A780),"""",GOOGLETRANSLATE(A780,""en"",""fr""))"),"")</f>
        <v/>
      </c>
    </row>
    <row r="781" spans="2:2">
      <c r="B781" s="3" t="str">
        <f ca="1">IFERROR(__xludf.DUMMYFUNCTION("IF(ISBLANK(A781),"""",GOOGLETRANSLATE(A781,""en"",""fr""))"),"")</f>
        <v/>
      </c>
    </row>
    <row r="782" spans="2:2">
      <c r="B782" s="3" t="str">
        <f ca="1">IFERROR(__xludf.DUMMYFUNCTION("IF(ISBLANK(A782),"""",GOOGLETRANSLATE(A782,""en"",""fr""))"),"")</f>
        <v/>
      </c>
    </row>
    <row r="783" spans="2:2">
      <c r="B783" s="3" t="str">
        <f ca="1">IFERROR(__xludf.DUMMYFUNCTION("IF(ISBLANK(A783),"""",GOOGLETRANSLATE(A783,""en"",""fr""))"),"")</f>
        <v/>
      </c>
    </row>
    <row r="784" spans="2:2">
      <c r="B784" s="3" t="str">
        <f ca="1">IFERROR(__xludf.DUMMYFUNCTION("IF(ISBLANK(A784),"""",GOOGLETRANSLATE(A784,""en"",""fr""))"),"")</f>
        <v/>
      </c>
    </row>
    <row r="785" spans="2:2">
      <c r="B785" s="3" t="str">
        <f ca="1">IFERROR(__xludf.DUMMYFUNCTION("IF(ISBLANK(A785),"""",GOOGLETRANSLATE(A785,""en"",""fr""))"),"")</f>
        <v/>
      </c>
    </row>
    <row r="786" spans="2:2">
      <c r="B786" s="3" t="str">
        <f ca="1">IFERROR(__xludf.DUMMYFUNCTION("IF(ISBLANK(A786),"""",GOOGLETRANSLATE(A786,""en"",""fr""))"),"")</f>
        <v/>
      </c>
    </row>
    <row r="787" spans="2:2">
      <c r="B787" s="3" t="str">
        <f ca="1">IFERROR(__xludf.DUMMYFUNCTION("IF(ISBLANK(A787),"""",GOOGLETRANSLATE(A787,""en"",""fr""))"),"")</f>
        <v/>
      </c>
    </row>
    <row r="788" spans="2:2">
      <c r="B788" s="3" t="str">
        <f ca="1">IFERROR(__xludf.DUMMYFUNCTION("IF(ISBLANK(A788),"""",GOOGLETRANSLATE(A788,""en"",""fr""))"),"")</f>
        <v/>
      </c>
    </row>
    <row r="789" spans="2:2">
      <c r="B789" s="3" t="str">
        <f ca="1">IFERROR(__xludf.DUMMYFUNCTION("IF(ISBLANK(A789),"""",GOOGLETRANSLATE(A789,""en"",""fr""))"),"")</f>
        <v/>
      </c>
    </row>
    <row r="790" spans="2:2">
      <c r="B790" s="3" t="str">
        <f ca="1">IFERROR(__xludf.DUMMYFUNCTION("IF(ISBLANK(A790),"""",GOOGLETRANSLATE(A790,""en"",""fr""))"),"")</f>
        <v/>
      </c>
    </row>
    <row r="791" spans="2:2">
      <c r="B791" s="3" t="str">
        <f ca="1">IFERROR(__xludf.DUMMYFUNCTION("IF(ISBLANK(A791),"""",GOOGLETRANSLATE(A791,""en"",""fr""))"),"")</f>
        <v/>
      </c>
    </row>
    <row r="792" spans="2:2">
      <c r="B792" s="3" t="str">
        <f ca="1">IFERROR(__xludf.DUMMYFUNCTION("IF(ISBLANK(A792),"""",GOOGLETRANSLATE(A792,""en"",""fr""))"),"")</f>
        <v/>
      </c>
    </row>
    <row r="793" spans="2:2">
      <c r="B793" s="3" t="str">
        <f ca="1">IFERROR(__xludf.DUMMYFUNCTION("IF(ISBLANK(A793),"""",GOOGLETRANSLATE(A793,""en"",""fr""))"),"")</f>
        <v/>
      </c>
    </row>
    <row r="794" spans="2:2">
      <c r="B794" s="3" t="str">
        <f ca="1">IFERROR(__xludf.DUMMYFUNCTION("IF(ISBLANK(A794),"""",GOOGLETRANSLATE(A794,""en"",""fr""))"),"")</f>
        <v/>
      </c>
    </row>
    <row r="795" spans="2:2">
      <c r="B795" s="3" t="str">
        <f ca="1">IFERROR(__xludf.DUMMYFUNCTION("IF(ISBLANK(A795),"""",GOOGLETRANSLATE(A795,""en"",""fr""))"),"")</f>
        <v/>
      </c>
    </row>
    <row r="796" spans="2:2">
      <c r="B796" s="3" t="str">
        <f ca="1">IFERROR(__xludf.DUMMYFUNCTION("IF(ISBLANK(A796),"""",GOOGLETRANSLATE(A796,""en"",""fr""))"),"")</f>
        <v/>
      </c>
    </row>
    <row r="797" spans="2:2">
      <c r="B797" s="3" t="str">
        <f ca="1">IFERROR(__xludf.DUMMYFUNCTION("IF(ISBLANK(A797),"""",GOOGLETRANSLATE(A797,""en"",""fr""))"),"")</f>
        <v/>
      </c>
    </row>
    <row r="798" spans="2:2">
      <c r="B798" s="3" t="str">
        <f ca="1">IFERROR(__xludf.DUMMYFUNCTION("IF(ISBLANK(A798),"""",GOOGLETRANSLATE(A798,""en"",""fr""))"),"")</f>
        <v/>
      </c>
    </row>
    <row r="799" spans="2:2">
      <c r="B799" s="3" t="str">
        <f ca="1">IFERROR(__xludf.DUMMYFUNCTION("IF(ISBLANK(A799),"""",GOOGLETRANSLATE(A799,""en"",""fr""))"),"")</f>
        <v/>
      </c>
    </row>
    <row r="800" spans="2:2">
      <c r="B800" s="3" t="str">
        <f ca="1">IFERROR(__xludf.DUMMYFUNCTION("IF(ISBLANK(A800),"""",GOOGLETRANSLATE(A800,""en"",""fr""))"),"")</f>
        <v/>
      </c>
    </row>
    <row r="801" spans="2:2">
      <c r="B801" s="3" t="str">
        <f ca="1">IFERROR(__xludf.DUMMYFUNCTION("IF(ISBLANK(A801),"""",GOOGLETRANSLATE(A801,""en"",""fr""))"),"")</f>
        <v/>
      </c>
    </row>
    <row r="802" spans="2:2">
      <c r="B802" s="3" t="str">
        <f ca="1">IFERROR(__xludf.DUMMYFUNCTION("IF(ISBLANK(A802),"""",GOOGLETRANSLATE(A802,""en"",""fr""))"),"")</f>
        <v/>
      </c>
    </row>
    <row r="803" spans="2:2">
      <c r="B803" s="3" t="str">
        <f ca="1">IFERROR(__xludf.DUMMYFUNCTION("IF(ISBLANK(A803),"""",GOOGLETRANSLATE(A803,""en"",""fr""))"),"")</f>
        <v/>
      </c>
    </row>
    <row r="804" spans="2:2">
      <c r="B804" s="3" t="str">
        <f ca="1">IFERROR(__xludf.DUMMYFUNCTION("IF(ISBLANK(A804),"""",GOOGLETRANSLATE(A804,""en"",""fr""))"),"")</f>
        <v/>
      </c>
    </row>
    <row r="805" spans="2:2">
      <c r="B805" s="3" t="str">
        <f ca="1">IFERROR(__xludf.DUMMYFUNCTION("IF(ISBLANK(A805),"""",GOOGLETRANSLATE(A805,""en"",""fr""))"),"")</f>
        <v/>
      </c>
    </row>
    <row r="806" spans="2:2">
      <c r="B806" s="3" t="str">
        <f ca="1">IFERROR(__xludf.DUMMYFUNCTION("IF(ISBLANK(A806),"""",GOOGLETRANSLATE(A806,""en"",""fr""))"),"")</f>
        <v/>
      </c>
    </row>
    <row r="807" spans="2:2">
      <c r="B807" s="3" t="str">
        <f ca="1">IFERROR(__xludf.DUMMYFUNCTION("IF(ISBLANK(A807),"""",GOOGLETRANSLATE(A807,""en"",""fr""))"),"")</f>
        <v/>
      </c>
    </row>
    <row r="808" spans="2:2">
      <c r="B808" s="3" t="str">
        <f ca="1">IFERROR(__xludf.DUMMYFUNCTION("IF(ISBLANK(A808),"""",GOOGLETRANSLATE(A808,""en"",""fr""))"),"")</f>
        <v/>
      </c>
    </row>
    <row r="809" spans="2:2">
      <c r="B809" s="3" t="str">
        <f ca="1">IFERROR(__xludf.DUMMYFUNCTION("IF(ISBLANK(A809),"""",GOOGLETRANSLATE(A809,""en"",""fr""))"),"")</f>
        <v/>
      </c>
    </row>
    <row r="810" spans="2:2">
      <c r="B810" s="3" t="str">
        <f ca="1">IFERROR(__xludf.DUMMYFUNCTION("IF(ISBLANK(A810),"""",GOOGLETRANSLATE(A810,""en"",""fr""))"),"")</f>
        <v/>
      </c>
    </row>
    <row r="811" spans="2:2">
      <c r="B811" s="3" t="str">
        <f ca="1">IFERROR(__xludf.DUMMYFUNCTION("IF(ISBLANK(A811),"""",GOOGLETRANSLATE(A811,""en"",""fr""))"),"")</f>
        <v/>
      </c>
    </row>
    <row r="812" spans="2:2">
      <c r="B812" s="3" t="str">
        <f ca="1">IFERROR(__xludf.DUMMYFUNCTION("IF(ISBLANK(A812),"""",GOOGLETRANSLATE(A812,""en"",""fr""))"),"")</f>
        <v/>
      </c>
    </row>
    <row r="813" spans="2:2">
      <c r="B813" s="3" t="str">
        <f ca="1">IFERROR(__xludf.DUMMYFUNCTION("IF(ISBLANK(A813),"""",GOOGLETRANSLATE(A813,""en"",""fr""))"),"")</f>
        <v/>
      </c>
    </row>
    <row r="814" spans="2:2">
      <c r="B814" s="3" t="str">
        <f ca="1">IFERROR(__xludf.DUMMYFUNCTION("IF(ISBLANK(A814),"""",GOOGLETRANSLATE(A814,""en"",""fr""))"),"")</f>
        <v/>
      </c>
    </row>
    <row r="815" spans="2:2">
      <c r="B815" s="3" t="str">
        <f ca="1">IFERROR(__xludf.DUMMYFUNCTION("IF(ISBLANK(A815),"""",GOOGLETRANSLATE(A815,""en"",""fr""))"),"")</f>
        <v/>
      </c>
    </row>
    <row r="816" spans="2:2">
      <c r="B816" s="3" t="str">
        <f ca="1">IFERROR(__xludf.DUMMYFUNCTION("IF(ISBLANK(A816),"""",GOOGLETRANSLATE(A816,""en"",""fr""))"),"")</f>
        <v/>
      </c>
    </row>
    <row r="817" spans="2:2">
      <c r="B817" s="3" t="str">
        <f ca="1">IFERROR(__xludf.DUMMYFUNCTION("IF(ISBLANK(A817),"""",GOOGLETRANSLATE(A817,""en"",""fr""))"),"")</f>
        <v/>
      </c>
    </row>
    <row r="818" spans="2:2">
      <c r="B818" s="3" t="str">
        <f ca="1">IFERROR(__xludf.DUMMYFUNCTION("IF(ISBLANK(A818),"""",GOOGLETRANSLATE(A818,""en"",""fr""))"),"")</f>
        <v/>
      </c>
    </row>
    <row r="819" spans="2:2">
      <c r="B819" s="3" t="str">
        <f ca="1">IFERROR(__xludf.DUMMYFUNCTION("IF(ISBLANK(A819),"""",GOOGLETRANSLATE(A819,""en"",""fr""))"),"")</f>
        <v/>
      </c>
    </row>
    <row r="820" spans="2:2">
      <c r="B820" s="3" t="str">
        <f ca="1">IFERROR(__xludf.DUMMYFUNCTION("IF(ISBLANK(A820),"""",GOOGLETRANSLATE(A820,""en"",""fr""))"),"")</f>
        <v/>
      </c>
    </row>
    <row r="821" spans="2:2">
      <c r="B821" s="3" t="str">
        <f ca="1">IFERROR(__xludf.DUMMYFUNCTION("IF(ISBLANK(A821),"""",GOOGLETRANSLATE(A821,""en"",""fr""))"),"")</f>
        <v/>
      </c>
    </row>
    <row r="822" spans="2:2">
      <c r="B822" s="3" t="str">
        <f ca="1">IFERROR(__xludf.DUMMYFUNCTION("IF(ISBLANK(A822),"""",GOOGLETRANSLATE(A822,""en"",""fr""))"),"")</f>
        <v/>
      </c>
    </row>
    <row r="823" spans="2:2">
      <c r="B823" s="3" t="str">
        <f ca="1">IFERROR(__xludf.DUMMYFUNCTION("IF(ISBLANK(A823),"""",GOOGLETRANSLATE(A823,""en"",""fr""))"),"")</f>
        <v/>
      </c>
    </row>
    <row r="824" spans="2:2">
      <c r="B824" s="3" t="str">
        <f ca="1">IFERROR(__xludf.DUMMYFUNCTION("IF(ISBLANK(A824),"""",GOOGLETRANSLATE(A824,""en"",""fr""))"),"")</f>
        <v/>
      </c>
    </row>
    <row r="825" spans="2:2">
      <c r="B825" s="3" t="str">
        <f ca="1">IFERROR(__xludf.DUMMYFUNCTION("IF(ISBLANK(A825),"""",GOOGLETRANSLATE(A825,""en"",""fr""))"),"")</f>
        <v/>
      </c>
    </row>
    <row r="826" spans="2:2">
      <c r="B826" s="3" t="str">
        <f ca="1">IFERROR(__xludf.DUMMYFUNCTION("IF(ISBLANK(A826),"""",GOOGLETRANSLATE(A826,""en"",""fr""))"),"")</f>
        <v/>
      </c>
    </row>
    <row r="827" spans="2:2">
      <c r="B827" s="3" t="str">
        <f ca="1">IFERROR(__xludf.DUMMYFUNCTION("IF(ISBLANK(A827),"""",GOOGLETRANSLATE(A827,""en"",""fr""))"),"")</f>
        <v/>
      </c>
    </row>
    <row r="828" spans="2:2">
      <c r="B828" s="3" t="str">
        <f ca="1">IFERROR(__xludf.DUMMYFUNCTION("IF(ISBLANK(A828),"""",GOOGLETRANSLATE(A828,""en"",""fr""))"),"")</f>
        <v/>
      </c>
    </row>
    <row r="829" spans="2:2">
      <c r="B829" s="3" t="str">
        <f ca="1">IFERROR(__xludf.DUMMYFUNCTION("IF(ISBLANK(A829),"""",GOOGLETRANSLATE(A829,""en"",""fr""))"),"")</f>
        <v/>
      </c>
    </row>
    <row r="830" spans="2:2">
      <c r="B830" s="3" t="str">
        <f ca="1">IFERROR(__xludf.DUMMYFUNCTION("IF(ISBLANK(A830),"""",GOOGLETRANSLATE(A830,""en"",""fr""))"),"")</f>
        <v/>
      </c>
    </row>
    <row r="831" spans="2:2">
      <c r="B831" s="3" t="str">
        <f ca="1">IFERROR(__xludf.DUMMYFUNCTION("IF(ISBLANK(A831),"""",GOOGLETRANSLATE(A831,""en"",""fr""))"),"")</f>
        <v/>
      </c>
    </row>
    <row r="832" spans="2:2">
      <c r="B832" s="3" t="str">
        <f ca="1">IFERROR(__xludf.DUMMYFUNCTION("IF(ISBLANK(A832),"""",GOOGLETRANSLATE(A832,""en"",""fr""))"),"")</f>
        <v/>
      </c>
    </row>
    <row r="833" spans="2:2">
      <c r="B833" s="3" t="str">
        <f ca="1">IFERROR(__xludf.DUMMYFUNCTION("IF(ISBLANK(A833),"""",GOOGLETRANSLATE(A833,""en"",""fr""))"),"")</f>
        <v/>
      </c>
    </row>
    <row r="834" spans="2:2">
      <c r="B834" s="3" t="str">
        <f ca="1">IFERROR(__xludf.DUMMYFUNCTION("IF(ISBLANK(A834),"""",GOOGLETRANSLATE(A834,""en"",""fr""))"),"")</f>
        <v/>
      </c>
    </row>
    <row r="835" spans="2:2">
      <c r="B835" s="3" t="str">
        <f ca="1">IFERROR(__xludf.DUMMYFUNCTION("IF(ISBLANK(A835),"""",GOOGLETRANSLATE(A835,""en"",""fr""))"),"")</f>
        <v/>
      </c>
    </row>
    <row r="836" spans="2:2">
      <c r="B836" s="3" t="str">
        <f ca="1">IFERROR(__xludf.DUMMYFUNCTION("IF(ISBLANK(A836),"""",GOOGLETRANSLATE(A836,""en"",""fr""))"),"")</f>
        <v/>
      </c>
    </row>
    <row r="837" spans="2:2">
      <c r="B837" s="3" t="str">
        <f ca="1">IFERROR(__xludf.DUMMYFUNCTION("IF(ISBLANK(A837),"""",GOOGLETRANSLATE(A837,""en"",""fr""))"),"")</f>
        <v/>
      </c>
    </row>
    <row r="838" spans="2:2">
      <c r="B838" s="3" t="str">
        <f ca="1">IFERROR(__xludf.DUMMYFUNCTION("IF(ISBLANK(A838),"""",GOOGLETRANSLATE(A838,""en"",""fr""))"),"")</f>
        <v/>
      </c>
    </row>
    <row r="839" spans="2:2">
      <c r="B839" s="3" t="str">
        <f ca="1">IFERROR(__xludf.DUMMYFUNCTION("IF(ISBLANK(A839),"""",GOOGLETRANSLATE(A839,""en"",""fr""))"),"")</f>
        <v/>
      </c>
    </row>
    <row r="840" spans="2:2">
      <c r="B840" s="3" t="str">
        <f ca="1">IFERROR(__xludf.DUMMYFUNCTION("IF(ISBLANK(A840),"""",GOOGLETRANSLATE(A840,""en"",""fr""))"),"")</f>
        <v/>
      </c>
    </row>
    <row r="841" spans="2:2">
      <c r="B841" s="3" t="str">
        <f ca="1">IFERROR(__xludf.DUMMYFUNCTION("IF(ISBLANK(A841),"""",GOOGLETRANSLATE(A841,""en"",""fr""))"),"")</f>
        <v/>
      </c>
    </row>
    <row r="842" spans="2:2">
      <c r="B842" s="3" t="str">
        <f ca="1">IFERROR(__xludf.DUMMYFUNCTION("IF(ISBLANK(A842),"""",GOOGLETRANSLATE(A842,""en"",""fr""))"),"")</f>
        <v/>
      </c>
    </row>
    <row r="843" spans="2:2">
      <c r="B843" s="3" t="str">
        <f ca="1">IFERROR(__xludf.DUMMYFUNCTION("IF(ISBLANK(A843),"""",GOOGLETRANSLATE(A843,""en"",""fr""))"),"")</f>
        <v/>
      </c>
    </row>
    <row r="844" spans="2:2">
      <c r="B844" s="3" t="str">
        <f ca="1">IFERROR(__xludf.DUMMYFUNCTION("IF(ISBLANK(A844),"""",GOOGLETRANSLATE(A844,""en"",""fr""))"),"")</f>
        <v/>
      </c>
    </row>
    <row r="845" spans="2:2">
      <c r="B845" s="3" t="str">
        <f ca="1">IFERROR(__xludf.DUMMYFUNCTION("IF(ISBLANK(A845),"""",GOOGLETRANSLATE(A845,""en"",""fr""))"),"")</f>
        <v/>
      </c>
    </row>
    <row r="846" spans="2:2">
      <c r="B846" s="3" t="str">
        <f ca="1">IFERROR(__xludf.DUMMYFUNCTION("IF(ISBLANK(A846),"""",GOOGLETRANSLATE(A846,""en"",""fr""))"),"")</f>
        <v/>
      </c>
    </row>
    <row r="847" spans="2:2">
      <c r="B847" s="3" t="str">
        <f ca="1">IFERROR(__xludf.DUMMYFUNCTION("IF(ISBLANK(A847),"""",GOOGLETRANSLATE(A847,""en"",""fr""))"),"")</f>
        <v/>
      </c>
    </row>
    <row r="848" spans="2:2">
      <c r="B848" s="3" t="str">
        <f ca="1">IFERROR(__xludf.DUMMYFUNCTION("IF(ISBLANK(A848),"""",GOOGLETRANSLATE(A848,""en"",""fr""))"),"")</f>
        <v/>
      </c>
    </row>
    <row r="849" spans="2:2">
      <c r="B849" s="3" t="str">
        <f ca="1">IFERROR(__xludf.DUMMYFUNCTION("IF(ISBLANK(A849),"""",GOOGLETRANSLATE(A849,""en"",""fr""))"),"")</f>
        <v/>
      </c>
    </row>
    <row r="850" spans="2:2">
      <c r="B850" s="3" t="str">
        <f ca="1">IFERROR(__xludf.DUMMYFUNCTION("IF(ISBLANK(A850),"""",GOOGLETRANSLATE(A850,""en"",""fr""))"),"")</f>
        <v/>
      </c>
    </row>
    <row r="851" spans="2:2">
      <c r="B851" s="3" t="str">
        <f ca="1">IFERROR(__xludf.DUMMYFUNCTION("IF(ISBLANK(A851),"""",GOOGLETRANSLATE(A851,""en"",""fr""))"),"")</f>
        <v/>
      </c>
    </row>
    <row r="852" spans="2:2">
      <c r="B852" s="3" t="str">
        <f ca="1">IFERROR(__xludf.DUMMYFUNCTION("IF(ISBLANK(A852),"""",GOOGLETRANSLATE(A852,""en"",""fr""))"),"")</f>
        <v/>
      </c>
    </row>
    <row r="853" spans="2:2">
      <c r="B853" s="3" t="str">
        <f ca="1">IFERROR(__xludf.DUMMYFUNCTION("IF(ISBLANK(A853),"""",GOOGLETRANSLATE(A853,""en"",""fr""))"),"")</f>
        <v/>
      </c>
    </row>
    <row r="854" spans="2:2">
      <c r="B854" s="3" t="str">
        <f ca="1">IFERROR(__xludf.DUMMYFUNCTION("IF(ISBLANK(A854),"""",GOOGLETRANSLATE(A854,""en"",""fr""))"),"")</f>
        <v/>
      </c>
    </row>
    <row r="855" spans="2:2">
      <c r="B855" s="3" t="str">
        <f ca="1">IFERROR(__xludf.DUMMYFUNCTION("IF(ISBLANK(A855),"""",GOOGLETRANSLATE(A855,""en"",""fr""))"),"")</f>
        <v/>
      </c>
    </row>
    <row r="856" spans="2:2">
      <c r="B856" s="3" t="str">
        <f ca="1">IFERROR(__xludf.DUMMYFUNCTION("IF(ISBLANK(A856),"""",GOOGLETRANSLATE(A856,""en"",""fr""))"),"")</f>
        <v/>
      </c>
    </row>
    <row r="857" spans="2:2">
      <c r="B857" s="3" t="str">
        <f ca="1">IFERROR(__xludf.DUMMYFUNCTION("IF(ISBLANK(A857),"""",GOOGLETRANSLATE(A857,""en"",""fr""))"),"")</f>
        <v/>
      </c>
    </row>
    <row r="858" spans="2:2">
      <c r="B858" s="3" t="str">
        <f ca="1">IFERROR(__xludf.DUMMYFUNCTION("IF(ISBLANK(A858),"""",GOOGLETRANSLATE(A858,""en"",""fr""))"),"")</f>
        <v/>
      </c>
    </row>
    <row r="859" spans="2:2">
      <c r="B859" s="3" t="str">
        <f ca="1">IFERROR(__xludf.DUMMYFUNCTION("IF(ISBLANK(A859),"""",GOOGLETRANSLATE(A859,""en"",""fr""))"),"")</f>
        <v/>
      </c>
    </row>
    <row r="860" spans="2:2">
      <c r="B860" s="3" t="str">
        <f ca="1">IFERROR(__xludf.DUMMYFUNCTION("IF(ISBLANK(A860),"""",GOOGLETRANSLATE(A860,""en"",""fr""))"),"")</f>
        <v/>
      </c>
    </row>
    <row r="861" spans="2:2">
      <c r="B861" s="3" t="str">
        <f ca="1">IFERROR(__xludf.DUMMYFUNCTION("IF(ISBLANK(A861),"""",GOOGLETRANSLATE(A861,""en"",""fr""))"),"")</f>
        <v/>
      </c>
    </row>
    <row r="862" spans="2:2">
      <c r="B862" s="3" t="str">
        <f ca="1">IFERROR(__xludf.DUMMYFUNCTION("IF(ISBLANK(A862),"""",GOOGLETRANSLATE(A862,""en"",""fr""))"),"")</f>
        <v/>
      </c>
    </row>
    <row r="863" spans="2:2">
      <c r="B863" s="3" t="str">
        <f ca="1">IFERROR(__xludf.DUMMYFUNCTION("IF(ISBLANK(A863),"""",GOOGLETRANSLATE(A863,""en"",""fr""))"),"")</f>
        <v/>
      </c>
    </row>
    <row r="864" spans="2:2">
      <c r="B864" s="3" t="str">
        <f ca="1">IFERROR(__xludf.DUMMYFUNCTION("IF(ISBLANK(A864),"""",GOOGLETRANSLATE(A864,""en"",""fr""))"),"")</f>
        <v/>
      </c>
    </row>
    <row r="865" spans="2:2">
      <c r="B865" s="3" t="str">
        <f ca="1">IFERROR(__xludf.DUMMYFUNCTION("IF(ISBLANK(A865),"""",GOOGLETRANSLATE(A865,""en"",""fr""))"),"")</f>
        <v/>
      </c>
    </row>
    <row r="866" spans="2:2">
      <c r="B866" s="3" t="str">
        <f ca="1">IFERROR(__xludf.DUMMYFUNCTION("IF(ISBLANK(A866),"""",GOOGLETRANSLATE(A866,""en"",""fr""))"),"")</f>
        <v/>
      </c>
    </row>
    <row r="867" spans="2:2">
      <c r="B867" s="3" t="str">
        <f ca="1">IFERROR(__xludf.DUMMYFUNCTION("IF(ISBLANK(A867),"""",GOOGLETRANSLATE(A867,""en"",""fr""))"),"")</f>
        <v/>
      </c>
    </row>
    <row r="868" spans="2:2">
      <c r="B868" s="3" t="str">
        <f ca="1">IFERROR(__xludf.DUMMYFUNCTION("IF(ISBLANK(A868),"""",GOOGLETRANSLATE(A868,""en"",""fr""))"),"")</f>
        <v/>
      </c>
    </row>
    <row r="869" spans="2:2">
      <c r="B869" s="3" t="str">
        <f ca="1">IFERROR(__xludf.DUMMYFUNCTION("IF(ISBLANK(A869),"""",GOOGLETRANSLATE(A869,""en"",""fr""))"),"")</f>
        <v/>
      </c>
    </row>
    <row r="870" spans="2:2">
      <c r="B870" s="3" t="str">
        <f ca="1">IFERROR(__xludf.DUMMYFUNCTION("IF(ISBLANK(A870),"""",GOOGLETRANSLATE(A870,""en"",""fr""))"),"")</f>
        <v/>
      </c>
    </row>
    <row r="871" spans="2:2">
      <c r="B871" s="3" t="str">
        <f ca="1">IFERROR(__xludf.DUMMYFUNCTION("IF(ISBLANK(A871),"""",GOOGLETRANSLATE(A871,""en"",""fr""))"),"")</f>
        <v/>
      </c>
    </row>
    <row r="872" spans="2:2">
      <c r="B872" s="3" t="str">
        <f ca="1">IFERROR(__xludf.DUMMYFUNCTION("IF(ISBLANK(A872),"""",GOOGLETRANSLATE(A872,""en"",""fr""))"),"")</f>
        <v/>
      </c>
    </row>
    <row r="873" spans="2:2">
      <c r="B873" s="3" t="str">
        <f ca="1">IFERROR(__xludf.DUMMYFUNCTION("IF(ISBLANK(A873),"""",GOOGLETRANSLATE(A873,""en"",""fr""))"),"")</f>
        <v/>
      </c>
    </row>
    <row r="874" spans="2:2">
      <c r="B874" s="3" t="str">
        <f ca="1">IFERROR(__xludf.DUMMYFUNCTION("IF(ISBLANK(A874),"""",GOOGLETRANSLATE(A874,""en"",""fr""))"),"")</f>
        <v/>
      </c>
    </row>
    <row r="875" spans="2:2">
      <c r="B875" s="3" t="str">
        <f ca="1">IFERROR(__xludf.DUMMYFUNCTION("IF(ISBLANK(A875),"""",GOOGLETRANSLATE(A875,""en"",""fr""))"),"")</f>
        <v/>
      </c>
    </row>
    <row r="876" spans="2:2">
      <c r="B876" s="3" t="str">
        <f ca="1">IFERROR(__xludf.DUMMYFUNCTION("IF(ISBLANK(A876),"""",GOOGLETRANSLATE(A876,""en"",""fr""))"),"")</f>
        <v/>
      </c>
    </row>
    <row r="877" spans="2:2">
      <c r="B877" s="3" t="str">
        <f ca="1">IFERROR(__xludf.DUMMYFUNCTION("IF(ISBLANK(A877),"""",GOOGLETRANSLATE(A877,""en"",""fr""))"),"")</f>
        <v/>
      </c>
    </row>
    <row r="878" spans="2:2">
      <c r="B878" s="3" t="str">
        <f ca="1">IFERROR(__xludf.DUMMYFUNCTION("IF(ISBLANK(A878),"""",GOOGLETRANSLATE(A878,""en"",""fr""))"),"")</f>
        <v/>
      </c>
    </row>
    <row r="879" spans="2:2">
      <c r="B879" s="3" t="str">
        <f ca="1">IFERROR(__xludf.DUMMYFUNCTION("IF(ISBLANK(A879),"""",GOOGLETRANSLATE(A879,""en"",""fr""))"),"")</f>
        <v/>
      </c>
    </row>
    <row r="880" spans="2:2">
      <c r="B880" s="3" t="str">
        <f ca="1">IFERROR(__xludf.DUMMYFUNCTION("IF(ISBLANK(A880),"""",GOOGLETRANSLATE(A880,""en"",""fr""))"),"")</f>
        <v/>
      </c>
    </row>
    <row r="881" spans="2:2">
      <c r="B881" s="3" t="str">
        <f ca="1">IFERROR(__xludf.DUMMYFUNCTION("IF(ISBLANK(A881),"""",GOOGLETRANSLATE(A881,""en"",""fr""))"),"")</f>
        <v/>
      </c>
    </row>
    <row r="882" spans="2:2">
      <c r="B882" s="3" t="str">
        <f ca="1">IFERROR(__xludf.DUMMYFUNCTION("IF(ISBLANK(A882),"""",GOOGLETRANSLATE(A882,""en"",""fr""))"),"")</f>
        <v/>
      </c>
    </row>
    <row r="883" spans="2:2">
      <c r="B883" s="3" t="str">
        <f ca="1">IFERROR(__xludf.DUMMYFUNCTION("IF(ISBLANK(A883),"""",GOOGLETRANSLATE(A883,""en"",""fr""))"),"")</f>
        <v/>
      </c>
    </row>
    <row r="884" spans="2:2">
      <c r="B884" s="3" t="str">
        <f ca="1">IFERROR(__xludf.DUMMYFUNCTION("IF(ISBLANK(A884),"""",GOOGLETRANSLATE(A884,""en"",""fr""))"),"")</f>
        <v/>
      </c>
    </row>
    <row r="885" spans="2:2">
      <c r="B885" s="3" t="str">
        <f ca="1">IFERROR(__xludf.DUMMYFUNCTION("IF(ISBLANK(A885),"""",GOOGLETRANSLATE(A885,""en"",""fr""))"),"")</f>
        <v/>
      </c>
    </row>
    <row r="886" spans="2:2">
      <c r="B886" s="3" t="str">
        <f ca="1">IFERROR(__xludf.DUMMYFUNCTION("IF(ISBLANK(A886),"""",GOOGLETRANSLATE(A886,""en"",""fr""))"),"")</f>
        <v/>
      </c>
    </row>
    <row r="887" spans="2:2">
      <c r="B887" s="3" t="str">
        <f ca="1">IFERROR(__xludf.DUMMYFUNCTION("IF(ISBLANK(A887),"""",GOOGLETRANSLATE(A887,""en"",""fr""))"),"")</f>
        <v/>
      </c>
    </row>
    <row r="888" spans="2:2">
      <c r="B888" s="3" t="str">
        <f ca="1">IFERROR(__xludf.DUMMYFUNCTION("IF(ISBLANK(A888),"""",GOOGLETRANSLATE(A888,""en"",""fr""))"),"")</f>
        <v/>
      </c>
    </row>
    <row r="889" spans="2:2">
      <c r="B889" s="3" t="str">
        <f ca="1">IFERROR(__xludf.DUMMYFUNCTION("IF(ISBLANK(A889),"""",GOOGLETRANSLATE(A889,""en"",""fr""))"),"")</f>
        <v/>
      </c>
    </row>
    <row r="890" spans="2:2">
      <c r="B890" s="3" t="str">
        <f ca="1">IFERROR(__xludf.DUMMYFUNCTION("IF(ISBLANK(A890),"""",GOOGLETRANSLATE(A890,""en"",""fr""))"),"")</f>
        <v/>
      </c>
    </row>
    <row r="891" spans="2:2">
      <c r="B891" s="3" t="str">
        <f ca="1">IFERROR(__xludf.DUMMYFUNCTION("IF(ISBLANK(A891),"""",GOOGLETRANSLATE(A891,""en"",""fr""))"),"")</f>
        <v/>
      </c>
    </row>
    <row r="892" spans="2:2">
      <c r="B892" s="3" t="str">
        <f ca="1">IFERROR(__xludf.DUMMYFUNCTION("IF(ISBLANK(A892),"""",GOOGLETRANSLATE(A892,""en"",""fr""))"),"")</f>
        <v/>
      </c>
    </row>
    <row r="893" spans="2:2">
      <c r="B893" s="3" t="str">
        <f ca="1">IFERROR(__xludf.DUMMYFUNCTION("IF(ISBLANK(A893),"""",GOOGLETRANSLATE(A893,""en"",""fr""))"),"")</f>
        <v/>
      </c>
    </row>
    <row r="894" spans="2:2">
      <c r="B894" s="3" t="str">
        <f ca="1">IFERROR(__xludf.DUMMYFUNCTION("IF(ISBLANK(A894),"""",GOOGLETRANSLATE(A894,""en"",""fr""))"),"")</f>
        <v/>
      </c>
    </row>
    <row r="895" spans="2:2">
      <c r="B895" s="3" t="str">
        <f ca="1">IFERROR(__xludf.DUMMYFUNCTION("IF(ISBLANK(A895),"""",GOOGLETRANSLATE(A895,""en"",""fr""))"),"")</f>
        <v/>
      </c>
    </row>
    <row r="896" spans="2:2">
      <c r="B896" s="3" t="str">
        <f ca="1">IFERROR(__xludf.DUMMYFUNCTION("IF(ISBLANK(A896),"""",GOOGLETRANSLATE(A896,""en"",""fr""))"),"")</f>
        <v/>
      </c>
    </row>
    <row r="897" spans="2:2">
      <c r="B897" s="3" t="str">
        <f ca="1">IFERROR(__xludf.DUMMYFUNCTION("IF(ISBLANK(A897),"""",GOOGLETRANSLATE(A897,""en"",""fr""))"),"")</f>
        <v/>
      </c>
    </row>
    <row r="898" spans="2:2">
      <c r="B898" s="3" t="str">
        <f ca="1">IFERROR(__xludf.DUMMYFUNCTION("IF(ISBLANK(A898),"""",GOOGLETRANSLATE(A898,""en"",""fr""))"),"")</f>
        <v/>
      </c>
    </row>
    <row r="899" spans="2:2">
      <c r="B899" s="3" t="str">
        <f ca="1">IFERROR(__xludf.DUMMYFUNCTION("IF(ISBLANK(A899),"""",GOOGLETRANSLATE(A899,""en"",""fr""))"),"")</f>
        <v/>
      </c>
    </row>
    <row r="900" spans="2:2">
      <c r="B900" s="3" t="str">
        <f ca="1">IFERROR(__xludf.DUMMYFUNCTION("IF(ISBLANK(A900),"""",GOOGLETRANSLATE(A900,""en"",""fr""))"),"")</f>
        <v/>
      </c>
    </row>
    <row r="901" spans="2:2">
      <c r="B901" s="3" t="str">
        <f ca="1">IFERROR(__xludf.DUMMYFUNCTION("IF(ISBLANK(A901),"""",GOOGLETRANSLATE(A901,""en"",""fr""))"),"")</f>
        <v/>
      </c>
    </row>
    <row r="902" spans="2:2">
      <c r="B902" s="3" t="str">
        <f ca="1">IFERROR(__xludf.DUMMYFUNCTION("IF(ISBLANK(A902),"""",GOOGLETRANSLATE(A902,""en"",""fr""))"),"")</f>
        <v/>
      </c>
    </row>
    <row r="903" spans="2:2">
      <c r="B903" s="3" t="str">
        <f ca="1">IFERROR(__xludf.DUMMYFUNCTION("IF(ISBLANK(A903),"""",GOOGLETRANSLATE(A903,""en"",""fr""))"),"")</f>
        <v/>
      </c>
    </row>
    <row r="904" spans="2:2">
      <c r="B904" s="3" t="str">
        <f ca="1">IFERROR(__xludf.DUMMYFUNCTION("IF(ISBLANK(A904),"""",GOOGLETRANSLATE(A904,""en"",""fr""))"),"")</f>
        <v/>
      </c>
    </row>
    <row r="905" spans="2:2">
      <c r="B905" s="3" t="str">
        <f ca="1">IFERROR(__xludf.DUMMYFUNCTION("IF(ISBLANK(A905),"""",GOOGLETRANSLATE(A905,""en"",""fr""))"),"")</f>
        <v/>
      </c>
    </row>
    <row r="906" spans="2:2">
      <c r="B906" s="3" t="str">
        <f ca="1">IFERROR(__xludf.DUMMYFUNCTION("IF(ISBLANK(A906),"""",GOOGLETRANSLATE(A906,""en"",""fr""))"),"")</f>
        <v/>
      </c>
    </row>
    <row r="907" spans="2:2">
      <c r="B907" s="3" t="str">
        <f ca="1">IFERROR(__xludf.DUMMYFUNCTION("IF(ISBLANK(A907),"""",GOOGLETRANSLATE(A907,""en"",""fr""))"),"")</f>
        <v/>
      </c>
    </row>
    <row r="908" spans="2:2">
      <c r="B908" s="3" t="str">
        <f ca="1">IFERROR(__xludf.DUMMYFUNCTION("IF(ISBLANK(A908),"""",GOOGLETRANSLATE(A908,""en"",""fr""))"),"")</f>
        <v/>
      </c>
    </row>
    <row r="909" spans="2:2">
      <c r="B909" s="3" t="str">
        <f ca="1">IFERROR(__xludf.DUMMYFUNCTION("IF(ISBLANK(A909),"""",GOOGLETRANSLATE(A909,""en"",""fr""))"),"")</f>
        <v/>
      </c>
    </row>
    <row r="910" spans="2:2">
      <c r="B910" s="3" t="str">
        <f ca="1">IFERROR(__xludf.DUMMYFUNCTION("IF(ISBLANK(A910),"""",GOOGLETRANSLATE(A910,""en"",""fr""))"),"")</f>
        <v/>
      </c>
    </row>
    <row r="911" spans="2:2">
      <c r="B911" s="3" t="str">
        <f ca="1">IFERROR(__xludf.DUMMYFUNCTION("IF(ISBLANK(A911),"""",GOOGLETRANSLATE(A911,""en"",""fr""))"),"")</f>
        <v/>
      </c>
    </row>
    <row r="912" spans="2:2">
      <c r="B912" s="3" t="str">
        <f ca="1">IFERROR(__xludf.DUMMYFUNCTION("IF(ISBLANK(A912),"""",GOOGLETRANSLATE(A912,""en"",""fr""))"),"")</f>
        <v/>
      </c>
    </row>
    <row r="913" spans="2:2">
      <c r="B913" s="3" t="str">
        <f ca="1">IFERROR(__xludf.DUMMYFUNCTION("IF(ISBLANK(A913),"""",GOOGLETRANSLATE(A913,""en"",""fr""))"),"")</f>
        <v/>
      </c>
    </row>
    <row r="914" spans="2:2">
      <c r="B914" s="3" t="str">
        <f ca="1">IFERROR(__xludf.DUMMYFUNCTION("IF(ISBLANK(A914),"""",GOOGLETRANSLATE(A914,""en"",""fr""))"),"")</f>
        <v/>
      </c>
    </row>
    <row r="915" spans="2:2">
      <c r="B915" s="3" t="str">
        <f ca="1">IFERROR(__xludf.DUMMYFUNCTION("IF(ISBLANK(A915),"""",GOOGLETRANSLATE(A915,""en"",""fr""))"),"")</f>
        <v/>
      </c>
    </row>
    <row r="916" spans="2:2">
      <c r="B916" s="3" t="str">
        <f ca="1">IFERROR(__xludf.DUMMYFUNCTION("IF(ISBLANK(A916),"""",GOOGLETRANSLATE(A916,""en"",""fr""))"),"")</f>
        <v/>
      </c>
    </row>
    <row r="917" spans="2:2">
      <c r="B917" s="3" t="str">
        <f ca="1">IFERROR(__xludf.DUMMYFUNCTION("IF(ISBLANK(A917),"""",GOOGLETRANSLATE(A917,""en"",""fr""))"),"")</f>
        <v/>
      </c>
    </row>
    <row r="918" spans="2:2">
      <c r="B918" s="3" t="str">
        <f ca="1">IFERROR(__xludf.DUMMYFUNCTION("IF(ISBLANK(A918),"""",GOOGLETRANSLATE(A918,""en"",""fr""))"),"")</f>
        <v/>
      </c>
    </row>
    <row r="919" spans="2:2">
      <c r="B919" s="3" t="str">
        <f ca="1">IFERROR(__xludf.DUMMYFUNCTION("IF(ISBLANK(A919),"""",GOOGLETRANSLATE(A919,""en"",""fr""))"),"")</f>
        <v/>
      </c>
    </row>
    <row r="920" spans="2:2">
      <c r="B920" s="3" t="str">
        <f ca="1">IFERROR(__xludf.DUMMYFUNCTION("IF(ISBLANK(A920),"""",GOOGLETRANSLATE(A920,""en"",""fr""))"),"")</f>
        <v/>
      </c>
    </row>
    <row r="921" spans="2:2">
      <c r="B921" s="3" t="str">
        <f ca="1">IFERROR(__xludf.DUMMYFUNCTION("IF(ISBLANK(A921),"""",GOOGLETRANSLATE(A921,""en"",""fr""))"),"")</f>
        <v/>
      </c>
    </row>
    <row r="922" spans="2:2">
      <c r="B922" s="3" t="str">
        <f ca="1">IFERROR(__xludf.DUMMYFUNCTION("IF(ISBLANK(A922),"""",GOOGLETRANSLATE(A922,""en"",""fr""))"),"")</f>
        <v/>
      </c>
    </row>
    <row r="923" spans="2:2">
      <c r="B923" s="3" t="str">
        <f ca="1">IFERROR(__xludf.DUMMYFUNCTION("IF(ISBLANK(A923),"""",GOOGLETRANSLATE(A923,""en"",""fr""))"),"")</f>
        <v/>
      </c>
    </row>
    <row r="924" spans="2:2">
      <c r="B924" s="3" t="str">
        <f ca="1">IFERROR(__xludf.DUMMYFUNCTION("IF(ISBLANK(A924),"""",GOOGLETRANSLATE(A924,""en"",""fr""))"),"")</f>
        <v/>
      </c>
    </row>
    <row r="925" spans="2:2">
      <c r="B925" s="3" t="str">
        <f ca="1">IFERROR(__xludf.DUMMYFUNCTION("IF(ISBLANK(A925),"""",GOOGLETRANSLATE(A925,""en"",""fr""))"),"")</f>
        <v/>
      </c>
    </row>
    <row r="926" spans="2:2">
      <c r="B926" s="3" t="str">
        <f ca="1">IFERROR(__xludf.DUMMYFUNCTION("IF(ISBLANK(A926),"""",GOOGLETRANSLATE(A926,""en"",""fr""))"),"")</f>
        <v/>
      </c>
    </row>
    <row r="927" spans="2:2">
      <c r="B927" s="3" t="str">
        <f ca="1">IFERROR(__xludf.DUMMYFUNCTION("IF(ISBLANK(A927),"""",GOOGLETRANSLATE(A927,""en"",""fr""))"),"")</f>
        <v/>
      </c>
    </row>
    <row r="928" spans="2:2">
      <c r="B928" s="3" t="str">
        <f ca="1">IFERROR(__xludf.DUMMYFUNCTION("IF(ISBLANK(A928),"""",GOOGLETRANSLATE(A928,""en"",""fr""))"),"")</f>
        <v/>
      </c>
    </row>
    <row r="929" spans="2:2">
      <c r="B929" s="3" t="str">
        <f ca="1">IFERROR(__xludf.DUMMYFUNCTION("IF(ISBLANK(A929),"""",GOOGLETRANSLATE(A929,""en"",""fr""))"),"")</f>
        <v/>
      </c>
    </row>
    <row r="930" spans="2:2">
      <c r="B930" s="3" t="str">
        <f ca="1">IFERROR(__xludf.DUMMYFUNCTION("IF(ISBLANK(A930),"""",GOOGLETRANSLATE(A930,""en"",""fr""))"),"")</f>
        <v/>
      </c>
    </row>
    <row r="931" spans="2:2">
      <c r="B931" s="3" t="str">
        <f ca="1">IFERROR(__xludf.DUMMYFUNCTION("IF(ISBLANK(A931),"""",GOOGLETRANSLATE(A931,""en"",""fr""))"),"")</f>
        <v/>
      </c>
    </row>
    <row r="932" spans="2:2">
      <c r="B932" s="3" t="str">
        <f ca="1">IFERROR(__xludf.DUMMYFUNCTION("IF(ISBLANK(A932),"""",GOOGLETRANSLATE(A932,""en"",""fr""))"),"")</f>
        <v/>
      </c>
    </row>
    <row r="933" spans="2:2">
      <c r="B933" s="3" t="str">
        <f ca="1">IFERROR(__xludf.DUMMYFUNCTION("IF(ISBLANK(A933),"""",GOOGLETRANSLATE(A933,""en"",""fr""))"),"")</f>
        <v/>
      </c>
    </row>
    <row r="934" spans="2:2">
      <c r="B934" s="3" t="str">
        <f ca="1">IFERROR(__xludf.DUMMYFUNCTION("IF(ISBLANK(A934),"""",GOOGLETRANSLATE(A934,""en"",""fr""))"),"")</f>
        <v/>
      </c>
    </row>
    <row r="935" spans="2:2">
      <c r="B935" s="3" t="str">
        <f ca="1">IFERROR(__xludf.DUMMYFUNCTION("IF(ISBLANK(A935),"""",GOOGLETRANSLATE(A935,""en"",""fr""))"),"")</f>
        <v/>
      </c>
    </row>
    <row r="936" spans="2:2">
      <c r="B936" s="3" t="str">
        <f ca="1">IFERROR(__xludf.DUMMYFUNCTION("IF(ISBLANK(A936),"""",GOOGLETRANSLATE(A936,""en"",""fr""))"),"")</f>
        <v/>
      </c>
    </row>
    <row r="937" spans="2:2">
      <c r="B937" s="3" t="str">
        <f ca="1">IFERROR(__xludf.DUMMYFUNCTION("IF(ISBLANK(A937),"""",GOOGLETRANSLATE(A937,""en"",""fr""))"),"")</f>
        <v/>
      </c>
    </row>
    <row r="938" spans="2:2">
      <c r="B938" s="3" t="str">
        <f ca="1">IFERROR(__xludf.DUMMYFUNCTION("IF(ISBLANK(A938),"""",GOOGLETRANSLATE(A938,""en"",""fr""))"),"")</f>
        <v/>
      </c>
    </row>
    <row r="939" spans="2:2">
      <c r="B939" s="3" t="str">
        <f ca="1">IFERROR(__xludf.DUMMYFUNCTION("IF(ISBLANK(A939),"""",GOOGLETRANSLATE(A939,""en"",""fr""))"),"")</f>
        <v/>
      </c>
    </row>
    <row r="940" spans="2:2">
      <c r="B940" s="3" t="str">
        <f ca="1">IFERROR(__xludf.DUMMYFUNCTION("IF(ISBLANK(A940),"""",GOOGLETRANSLATE(A940,""en"",""fr""))"),"")</f>
        <v/>
      </c>
    </row>
    <row r="941" spans="2:2">
      <c r="B941" s="3" t="str">
        <f ca="1">IFERROR(__xludf.DUMMYFUNCTION("IF(ISBLANK(A941),"""",GOOGLETRANSLATE(A941,""en"",""fr""))"),"")</f>
        <v/>
      </c>
    </row>
    <row r="942" spans="2:2">
      <c r="B942" s="3" t="str">
        <f ca="1">IFERROR(__xludf.DUMMYFUNCTION("IF(ISBLANK(A942),"""",GOOGLETRANSLATE(A942,""en"",""fr""))"),"")</f>
        <v/>
      </c>
    </row>
    <row r="943" spans="2:2">
      <c r="B943" s="3" t="str">
        <f ca="1">IFERROR(__xludf.DUMMYFUNCTION("IF(ISBLANK(A943),"""",GOOGLETRANSLATE(A943,""en"",""fr""))"),"")</f>
        <v/>
      </c>
    </row>
    <row r="944" spans="2:2">
      <c r="B944" s="3" t="str">
        <f ca="1">IFERROR(__xludf.DUMMYFUNCTION("IF(ISBLANK(A944),"""",GOOGLETRANSLATE(A944,""en"",""fr""))"),"")</f>
        <v/>
      </c>
    </row>
    <row r="945" spans="2:2">
      <c r="B945" s="3" t="str">
        <f ca="1">IFERROR(__xludf.DUMMYFUNCTION("IF(ISBLANK(A945),"""",GOOGLETRANSLATE(A945,""en"",""fr""))"),"")</f>
        <v/>
      </c>
    </row>
    <row r="946" spans="2:2">
      <c r="B946" s="3" t="str">
        <f ca="1">IFERROR(__xludf.DUMMYFUNCTION("IF(ISBLANK(A946),"""",GOOGLETRANSLATE(A946,""en"",""fr""))"),"")</f>
        <v/>
      </c>
    </row>
    <row r="947" spans="2:2">
      <c r="B947" s="3" t="str">
        <f ca="1">IFERROR(__xludf.DUMMYFUNCTION("IF(ISBLANK(A947),"""",GOOGLETRANSLATE(A947,""en"",""fr""))"),"")</f>
        <v/>
      </c>
    </row>
    <row r="948" spans="2:2">
      <c r="B948" s="3" t="str">
        <f ca="1">IFERROR(__xludf.DUMMYFUNCTION("IF(ISBLANK(A948),"""",GOOGLETRANSLATE(A948,""en"",""fr""))"),"")</f>
        <v/>
      </c>
    </row>
    <row r="949" spans="2:2">
      <c r="B949" s="3" t="str">
        <f ca="1">IFERROR(__xludf.DUMMYFUNCTION("IF(ISBLANK(A949),"""",GOOGLETRANSLATE(A949,""en"",""fr""))"),"")</f>
        <v/>
      </c>
    </row>
    <row r="950" spans="2:2">
      <c r="B950" s="3" t="str">
        <f ca="1">IFERROR(__xludf.DUMMYFUNCTION("IF(ISBLANK(A950),"""",GOOGLETRANSLATE(A950,""en"",""fr""))"),"")</f>
        <v/>
      </c>
    </row>
    <row r="951" spans="2:2">
      <c r="B951" s="3" t="str">
        <f ca="1">IFERROR(__xludf.DUMMYFUNCTION("IF(ISBLANK(A951),"""",GOOGLETRANSLATE(A951,""en"",""fr""))"),"")</f>
        <v/>
      </c>
    </row>
    <row r="952" spans="2:2">
      <c r="B952" s="3" t="str">
        <f ca="1">IFERROR(__xludf.DUMMYFUNCTION("IF(ISBLANK(A952),"""",GOOGLETRANSLATE(A952,""en"",""fr""))"),"")</f>
        <v/>
      </c>
    </row>
    <row r="953" spans="2:2">
      <c r="B953" s="3" t="str">
        <f ca="1">IFERROR(__xludf.DUMMYFUNCTION("IF(ISBLANK(A953),"""",GOOGLETRANSLATE(A953,""en"",""fr""))"),"")</f>
        <v/>
      </c>
    </row>
    <row r="954" spans="2:2">
      <c r="B954" s="3" t="str">
        <f ca="1">IFERROR(__xludf.DUMMYFUNCTION("IF(ISBLANK(A954),"""",GOOGLETRANSLATE(A954,""en"",""fr""))"),"")</f>
        <v/>
      </c>
    </row>
    <row r="955" spans="2:2">
      <c r="B955" s="3" t="str">
        <f ca="1">IFERROR(__xludf.DUMMYFUNCTION("IF(ISBLANK(A955),"""",GOOGLETRANSLATE(A955,""en"",""fr""))"),"")</f>
        <v/>
      </c>
    </row>
    <row r="956" spans="2:2">
      <c r="B956" s="3" t="str">
        <f ca="1">IFERROR(__xludf.DUMMYFUNCTION("IF(ISBLANK(A956),"""",GOOGLETRANSLATE(A956,""en"",""fr""))"),"")</f>
        <v/>
      </c>
    </row>
    <row r="957" spans="2:2">
      <c r="B957" s="3" t="str">
        <f ca="1">IFERROR(__xludf.DUMMYFUNCTION("IF(ISBLANK(A957),"""",GOOGLETRANSLATE(A957,""en"",""fr""))"),"")</f>
        <v/>
      </c>
    </row>
    <row r="958" spans="2:2">
      <c r="B958" s="3" t="str">
        <f ca="1">IFERROR(__xludf.DUMMYFUNCTION("IF(ISBLANK(A958),"""",GOOGLETRANSLATE(A958,""en"",""fr""))"),"")</f>
        <v/>
      </c>
    </row>
    <row r="959" spans="2:2">
      <c r="B959" s="3" t="str">
        <f ca="1">IFERROR(__xludf.DUMMYFUNCTION("IF(ISBLANK(A959),"""",GOOGLETRANSLATE(A959,""en"",""fr""))"),"")</f>
        <v/>
      </c>
    </row>
    <row r="960" spans="2:2">
      <c r="B960" s="3" t="str">
        <f ca="1">IFERROR(__xludf.DUMMYFUNCTION("IF(ISBLANK(A960),"""",GOOGLETRANSLATE(A960,""en"",""fr""))"),"")</f>
        <v/>
      </c>
    </row>
    <row r="961" spans="2:2">
      <c r="B961" s="3" t="str">
        <f ca="1">IFERROR(__xludf.DUMMYFUNCTION("IF(ISBLANK(A961),"""",GOOGLETRANSLATE(A961,""en"",""fr""))"),"")</f>
        <v/>
      </c>
    </row>
    <row r="962" spans="2:2">
      <c r="B962" s="3" t="str">
        <f ca="1">IFERROR(__xludf.DUMMYFUNCTION("IF(ISBLANK(A962),"""",GOOGLETRANSLATE(A962,""en"",""fr""))"),"")</f>
        <v/>
      </c>
    </row>
    <row r="963" spans="2:2">
      <c r="B963" s="3" t="str">
        <f ca="1">IFERROR(__xludf.DUMMYFUNCTION("IF(ISBLANK(A963),"""",GOOGLETRANSLATE(A963,""en"",""fr""))"),"")</f>
        <v/>
      </c>
    </row>
    <row r="964" spans="2:2">
      <c r="B964" s="3" t="str">
        <f ca="1">IFERROR(__xludf.DUMMYFUNCTION("IF(ISBLANK(A964),"""",GOOGLETRANSLATE(A964,""en"",""fr""))"),"")</f>
        <v/>
      </c>
    </row>
    <row r="965" spans="2:2">
      <c r="B965" s="3" t="str">
        <f ca="1">IFERROR(__xludf.DUMMYFUNCTION("IF(ISBLANK(A965),"""",GOOGLETRANSLATE(A965,""en"",""fr""))"),"")</f>
        <v/>
      </c>
    </row>
    <row r="966" spans="2:2">
      <c r="B966" s="3" t="str">
        <f ca="1">IFERROR(__xludf.DUMMYFUNCTION("IF(ISBLANK(A966),"""",GOOGLETRANSLATE(A966,""en"",""fr""))"),"")</f>
        <v/>
      </c>
    </row>
    <row r="967" spans="2:2">
      <c r="B967" s="3" t="str">
        <f ca="1">IFERROR(__xludf.DUMMYFUNCTION("IF(ISBLANK(A967),"""",GOOGLETRANSLATE(A967,""en"",""fr""))"),"")</f>
        <v/>
      </c>
    </row>
    <row r="968" spans="2:2">
      <c r="B968" s="3" t="str">
        <f ca="1">IFERROR(__xludf.DUMMYFUNCTION("IF(ISBLANK(A968),"""",GOOGLETRANSLATE(A968,""en"",""fr""))"),"")</f>
        <v/>
      </c>
    </row>
    <row r="969" spans="2:2">
      <c r="B969" s="3" t="str">
        <f ca="1">IFERROR(__xludf.DUMMYFUNCTION("IF(ISBLANK(A969),"""",GOOGLETRANSLATE(A969,""en"",""fr""))"),"")</f>
        <v/>
      </c>
    </row>
    <row r="970" spans="2:2">
      <c r="B970" s="3" t="str">
        <f ca="1">IFERROR(__xludf.DUMMYFUNCTION("IF(ISBLANK(A970),"""",GOOGLETRANSLATE(A970,""en"",""fr""))"),"")</f>
        <v/>
      </c>
    </row>
    <row r="971" spans="2:2">
      <c r="B971" s="3" t="str">
        <f ca="1">IFERROR(__xludf.DUMMYFUNCTION("IF(ISBLANK(A971),"""",GOOGLETRANSLATE(A971,""en"",""fr""))"),"")</f>
        <v/>
      </c>
    </row>
    <row r="972" spans="2:2">
      <c r="B972" s="3" t="str">
        <f ca="1">IFERROR(__xludf.DUMMYFUNCTION("IF(ISBLANK(A972),"""",GOOGLETRANSLATE(A972,""en"",""fr""))"),"")</f>
        <v/>
      </c>
    </row>
    <row r="973" spans="2:2">
      <c r="B973" s="3" t="str">
        <f ca="1">IFERROR(__xludf.DUMMYFUNCTION("IF(ISBLANK(A973),"""",GOOGLETRANSLATE(A973,""en"",""fr""))"),"")</f>
        <v/>
      </c>
    </row>
    <row r="974" spans="2:2">
      <c r="B974" s="3" t="str">
        <f ca="1">IFERROR(__xludf.DUMMYFUNCTION("IF(ISBLANK(A974),"""",GOOGLETRANSLATE(A974,""en"",""fr""))"),"")</f>
        <v/>
      </c>
    </row>
    <row r="975" spans="2:2">
      <c r="B975" s="3" t="str">
        <f ca="1">IFERROR(__xludf.DUMMYFUNCTION("IF(ISBLANK(A975),"""",GOOGLETRANSLATE(A975,""en"",""fr""))"),"")</f>
        <v/>
      </c>
    </row>
    <row r="976" spans="2:2">
      <c r="B976" s="3" t="str">
        <f ca="1">IFERROR(__xludf.DUMMYFUNCTION("IF(ISBLANK(A976),"""",GOOGLETRANSLATE(A976,""en"",""fr""))"),"")</f>
        <v/>
      </c>
    </row>
    <row r="977" spans="2:2">
      <c r="B977" s="3" t="str">
        <f ca="1">IFERROR(__xludf.DUMMYFUNCTION("IF(ISBLANK(A977),"""",GOOGLETRANSLATE(A977,""en"",""fr""))"),"")</f>
        <v/>
      </c>
    </row>
    <row r="978" spans="2:2">
      <c r="B978" s="3" t="str">
        <f ca="1">IFERROR(__xludf.DUMMYFUNCTION("IF(ISBLANK(A978),"""",GOOGLETRANSLATE(A978,""en"",""fr""))"),"")</f>
        <v/>
      </c>
    </row>
    <row r="979" spans="2:2">
      <c r="B979" s="3" t="str">
        <f ca="1">IFERROR(__xludf.DUMMYFUNCTION("IF(ISBLANK(A979),"""",GOOGLETRANSLATE(A979,""en"",""fr""))"),"")</f>
        <v/>
      </c>
    </row>
    <row r="980" spans="2:2">
      <c r="B980" s="3" t="str">
        <f ca="1">IFERROR(__xludf.DUMMYFUNCTION("IF(ISBLANK(A980),"""",GOOGLETRANSLATE(A980,""en"",""fr""))"),"")</f>
        <v/>
      </c>
    </row>
    <row r="981" spans="2:2">
      <c r="B981" s="3" t="str">
        <f ca="1">IFERROR(__xludf.DUMMYFUNCTION("IF(ISBLANK(A981),"""",GOOGLETRANSLATE(A981,""en"",""fr""))"),"")</f>
        <v/>
      </c>
    </row>
    <row r="982" spans="2:2">
      <c r="B982" s="3" t="str">
        <f ca="1">IFERROR(__xludf.DUMMYFUNCTION("IF(ISBLANK(A982),"""",GOOGLETRANSLATE(A982,""en"",""fr""))"),"")</f>
        <v/>
      </c>
    </row>
    <row r="983" spans="2:2">
      <c r="B983" s="3" t="str">
        <f ca="1">IFERROR(__xludf.DUMMYFUNCTION("IF(ISBLANK(A983),"""",GOOGLETRANSLATE(A983,""en"",""fr""))"),"")</f>
        <v/>
      </c>
    </row>
    <row r="984" spans="2:2">
      <c r="B984" s="3" t="str">
        <f ca="1">IFERROR(__xludf.DUMMYFUNCTION("IF(ISBLANK(A984),"""",GOOGLETRANSLATE(A984,""en"",""fr""))"),"")</f>
        <v/>
      </c>
    </row>
    <row r="985" spans="2:2">
      <c r="B985" s="3" t="str">
        <f ca="1">IFERROR(__xludf.DUMMYFUNCTION("IF(ISBLANK(A985),"""",GOOGLETRANSLATE(A985,""en"",""fr""))"),"")</f>
        <v/>
      </c>
    </row>
    <row r="986" spans="2:2">
      <c r="B986" s="3" t="str">
        <f ca="1">IFERROR(__xludf.DUMMYFUNCTION("IF(ISBLANK(A986),"""",GOOGLETRANSLATE(A986,""en"",""fr""))"),"")</f>
        <v/>
      </c>
    </row>
    <row r="987" spans="2:2">
      <c r="B987" s="3" t="str">
        <f ca="1">IFERROR(__xludf.DUMMYFUNCTION("IF(ISBLANK(A987),"""",GOOGLETRANSLATE(A987,""en"",""fr""))"),"")</f>
        <v/>
      </c>
    </row>
    <row r="988" spans="2:2">
      <c r="B988" s="3" t="str">
        <f ca="1">IFERROR(__xludf.DUMMYFUNCTION("IF(ISBLANK(A988),"""",GOOGLETRANSLATE(A988,""en"",""fr""))"),"")</f>
        <v/>
      </c>
    </row>
    <row r="989" spans="2:2">
      <c r="B989" s="3" t="str">
        <f ca="1">IFERROR(__xludf.DUMMYFUNCTION("IF(ISBLANK(A989),"""",GOOGLETRANSLATE(A989,""en"",""fr""))"),"")</f>
        <v/>
      </c>
    </row>
    <row r="990" spans="2:2">
      <c r="B990" s="3" t="str">
        <f ca="1">IFERROR(__xludf.DUMMYFUNCTION("IF(ISBLANK(A990),"""",GOOGLETRANSLATE(A990,""en"",""fr""))"),"")</f>
        <v/>
      </c>
    </row>
    <row r="991" spans="2:2">
      <c r="B991" s="3" t="str">
        <f ca="1">IFERROR(__xludf.DUMMYFUNCTION("IF(ISBLANK(A991),"""",GOOGLETRANSLATE(A991,""en"",""fr""))"),"")</f>
        <v/>
      </c>
    </row>
    <row r="992" spans="2:2">
      <c r="B992" s="3" t="str">
        <f ca="1">IFERROR(__xludf.DUMMYFUNCTION("IF(ISBLANK(A992),"""",GOOGLETRANSLATE(A992,""en"",""fr""))"),"")</f>
        <v/>
      </c>
    </row>
    <row r="993" spans="2:2">
      <c r="B993" s="3" t="str">
        <f ca="1">IFERROR(__xludf.DUMMYFUNCTION("IF(ISBLANK(A993),"""",GOOGLETRANSLATE(A993,""en"",""fr""))"),"")</f>
        <v/>
      </c>
    </row>
    <row r="994" spans="2:2">
      <c r="B994" s="3" t="str">
        <f ca="1">IFERROR(__xludf.DUMMYFUNCTION("IF(ISBLANK(A994),"""",GOOGLETRANSLATE(A994,""en"",""fr""))"),"")</f>
        <v/>
      </c>
    </row>
    <row r="995" spans="2:2">
      <c r="B995" s="3" t="str">
        <f ca="1">IFERROR(__xludf.DUMMYFUNCTION("IF(ISBLANK(A995),"""",GOOGLETRANSLATE(A995,""en"",""fr""))"),"")</f>
        <v/>
      </c>
    </row>
    <row r="996" spans="2:2">
      <c r="B996" s="3" t="str">
        <f ca="1">IFERROR(__xludf.DUMMYFUNCTION("IF(ISBLANK(A996),"""",GOOGLETRANSLATE(A996,""en"",""fr""))"),"")</f>
        <v/>
      </c>
    </row>
    <row r="997" spans="2:2">
      <c r="B997" s="3" t="str">
        <f ca="1">IFERROR(__xludf.DUMMYFUNCTION("IF(ISBLANK(A997),"""",GOOGLETRANSLATE(A997,""en"",""fr""))"),"")</f>
        <v/>
      </c>
    </row>
    <row r="998" spans="2:2">
      <c r="B998" s="3" t="str">
        <f ca="1">IFERROR(__xludf.DUMMYFUNCTION("IF(ISBLANK(A998),"""",GOOGLETRANSLATE(A998,""en"",""fr""))"),"")</f>
        <v/>
      </c>
    </row>
    <row r="999" spans="2:2">
      <c r="B999" s="3" t="str">
        <f ca="1">IFERROR(__xludf.DUMMYFUNCTION("IF(ISBLANK(A999),"""",GOOGLETRANSLATE(A999,""en"",""fr""))"),"")</f>
        <v/>
      </c>
    </row>
    <row r="1000" spans="2:2">
      <c r="B1000" s="3" t="str">
        <f ca="1">IFERROR(__xludf.DUMMYFUNCTION("IF(ISBLANK(A1000),"""",GOOGLETRANSLATE(A1000,""en"",""fr""))"),"")</f>
        <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B1000"/>
  <sheetViews>
    <sheetView workbookViewId="0"/>
  </sheetViews>
  <sheetFormatPr defaultColWidth="12.6640625" defaultRowHeight="15.75" customHeight="1"/>
  <cols>
    <col min="1" max="1" width="100.88671875" customWidth="1"/>
  </cols>
  <sheetData>
    <row r="1" spans="1:2">
      <c r="A1" s="1" t="s">
        <v>0</v>
      </c>
      <c r="B1" s="1"/>
    </row>
    <row r="2" spans="1:2">
      <c r="A2" s="3" t="s">
        <v>905</v>
      </c>
      <c r="B2" s="3" t="str">
        <f ca="1">IFERROR(__xludf.DUMMYFUNCTION("IF(ISBLANK(A2),"""",GOOGLETRANSLATE(A2,""en"",""fr""))"),"Conditions d'utilisation du site Web")</f>
        <v>Conditions d'utilisation du site Web</v>
      </c>
    </row>
    <row r="3" spans="1:2">
      <c r="A3" s="3" t="s">
        <v>906</v>
      </c>
      <c r="B3" s="3" t="str">
        <f ca="1">IFERROR(__xludf.DUMMYFUNCTION("IF(ISBLANK(A3),"""",GOOGLETRANSLATE(A3,""en"",""fr""))"),"Bienvenue sur le site web de NetSol Technologies, Inc. (« Netsol ») (« Site web »). NetSol fournit et met à disposition ce Site web sous réserve des conditions d'utilisation suivantes (« Conditions »). Ces Conditions décrivent un accord contractuel entre "&amp;"vous (« utilisateur », « vous », « votre ») et NetSol concernant votre utilisation de ce Site web. Nous vous recommandons d'imprimer un exemplaire de ces Conditions pour vos archives. Veuillez noter, cependant, que NetSol peut mettre à jour et modifier ce"&amp;"s Conditions ponctuellement, à sa seule discrétion, si NetSol le juge nécessaire.")</f>
        <v>Bienvenue sur le site web de NetSol Technologies, Inc. (« Netsol ») (« Site web »). NetSol fournit et met à disposition ce Site web sous réserve des conditions d'utilisation suivantes (« Conditions »). Ces Conditions décrivent un accord contractuel entre vous (« utilisateur », « vous », « votre ») et NetSol concernant votre utilisation de ce Site web. Nous vous recommandons d'imprimer un exemplaire de ces Conditions pour vos archives. Veuillez noter, cependant, que NetSol peut mettre à jour et modifier ces Conditions ponctuellement, à sa seule discrétion, si NetSol le juge nécessaire.</v>
      </c>
    </row>
    <row r="4" spans="1:2">
      <c r="A4" s="3" t="s">
        <v>907</v>
      </c>
      <c r="B4" s="3" t="str">
        <f ca="1">IFERROR(__xludf.DUMMYFUNCTION("IF(ISBLANK(A4),"""",GOOGLETRANSLATE(A4,""en"",""fr""))"),"1. CE QUE VOUS DEVEZ SAVOIR et COMMENT LES CHANGEMENTS PEUVENT ÊTRE APPORTÉS")</f>
        <v>1. CE QUE VOUS DEVEZ SAVOIR et COMMENT LES CHANGEMENTS PEUVENT ÊTRE APPORTÉS</v>
      </c>
    </row>
    <row r="5" spans="1:2">
      <c r="A5" s="3" t="s">
        <v>908</v>
      </c>
      <c r="B5" s="3" t="str">
        <f ca="1">IFERROR(__xludf.DUMMYFUNCTION("IF(ISBLANK(A5),"""",GOOGLETRANSLATE(A5,""en"",""fr""))"),"L'objectif principal de ce site web est de vous donner accès à des informations sur les activités, installations, services et produits de NetSol, ainsi qu'à des liens connexes, afin de répondre à vos besoins concernant ces activités, installations, servic"&amp;"es et produits (le « Contenu »). Les présentes Conditions visent à protéger tous les visiteurs et utilisateurs de ce site web, et votre accès et votre utilisation de ce site web impliquent votre acceptation de ces Conditions. N'UTILISEZ PAS CE SITE WEB SI"&amp;" VOUS N'ACCEPTEZ PAS CES CONDITIONS. NetSol se réserve le droit, à sa seule discrétion, de modifier, d'altérer ou de mettre à jour les présentes Conditions, ou de modifier ou de supprimer toute fonctionnalité de ce site web, à tout moment. Ces modificatio"&amp;"ns, altérations et mises à jour des Conditions entreront en vigueur immédiatement après leur publication. Vous acceptez d'être lié par ces Conditions modifiées si vous accédez ou utilisez ce site web après la publication par NetSol d'un avis de ces modifi"&amp;"cations, altérations ou mises à jour. SI VOUS N'ÊTES PAS D'ACCORD AVEC L'UNE DES CONDITIONS MODIFIÉES, ALTÉRÉES OU MISES À JOUR, VOUS NE DEVEZ PAS UTILISER CE SITE WEB APRÈS LA PUBLICATION DE CES MODIFICATIONS, ALTÉRATIONS OU MISES À JOUR.")</f>
        <v>L'objectif principal de ce site web est de vous donner accès à des informations sur les activités, installations, services et produits de NetSol, ainsi qu'à des liens connexes, afin de répondre à vos besoins concernant ces activités, installations, services et produits (le « Contenu »). Les présentes Conditions visent à protéger tous les visiteurs et utilisateurs de ce site web, et votre accès et votre utilisation de ce site web impliquent votre acceptation de ces Conditions. N'UTILISEZ PAS CE SITE WEB SI VOUS N'ACCEPTEZ PAS CES CONDITIONS. NetSol se réserve le droit, à sa seule discrétion, de modifier, d'altérer ou de mettre à jour les présentes Conditions, ou de modifier ou de supprimer toute fonctionnalité de ce site web, à tout moment. Ces modifications, altérations et mises à jour des Conditions entreront en vigueur immédiatement après leur publication. Vous acceptez d'être lié par ces Conditions modifiées si vous accédez ou utilisez ce site web après la publication par NetSol d'un avis de ces modifications, altérations ou mises à jour. SI VOUS N'ÊTES PAS D'ACCORD AVEC L'UNE DES CONDITIONS MODIFIÉES, ALTÉRÉES OU MISES À JOUR, VOUS NE DEVEZ PAS UTILISER CE SITE WEB APRÈS LA PUBLICATION DE CES MODIFICATIONS, ALTÉRATIONS OU MISES À JOUR.</v>
      </c>
    </row>
    <row r="6" spans="1:2">
      <c r="A6" s="3" t="s">
        <v>909</v>
      </c>
      <c r="B6" s="3" t="str">
        <f ca="1">IFERROR(__xludf.DUMMYFUNCTION("IF(ISBLANK(A6),"""",GOOGLETRANSLATE(A6,""en"",""fr""))"),"Ce site web vous permettra de créer des liens vers de nombreux autres sites web, affiliés ou non à ce site et/ou à NetSol. Ces autres sites web liés, y compris ceux des sociétés affiliées à NetSol, ainsi que ceux des fournisseurs de contenu, marchands, pa"&amp;"rtenaires commerciaux, sponsors et concédants de NetSol (collectivement les « Fournisseurs »), peuvent avoir des conditions d'utilisation différentes des présentes Conditions. Votre accès et votre utilisation de ces sites web liés via les liens fournis su"&amp;"r ce site web ne sont pas régis par les présentes Conditions, mais par les conditions d'utilisation et les politiques de ces sites web. NetSol décline toute responsabilité quant à votre accès et à votre utilisation de ces sites web liés.")</f>
        <v>Ce site web vous permettra de créer des liens vers de nombreux autres sites web, affiliés ou non à ce site et/ou à NetSol. Ces autres sites web liés, y compris ceux des sociétés affiliées à NetSol, ainsi que ceux des fournisseurs de contenu, marchands, partenaires commerciaux, sponsors et concédants de NetSol (collectivement les « Fournisseurs »), peuvent avoir des conditions d'utilisation différentes des présentes Conditions. Votre accès et votre utilisation de ces sites web liés via les liens fournis sur ce site web ne sont pas régis par les présentes Conditions, mais par les conditions d'utilisation et les politiques de ces sites web. NetSol décline toute responsabilité quant à votre accès et à votre utilisation de ces sites web liés.</v>
      </c>
    </row>
    <row r="7" spans="1:2">
      <c r="A7" s="3" t="s">
        <v>910</v>
      </c>
      <c r="B7" s="3" t="str">
        <f ca="1">IFERROR(__xludf.DUMMYFUNCTION("IF(ISBLANK(A7),"""",GOOGLETRANSLATE(A7,""en"",""fr""))"),"Veuillez noter que les présentes Conditions contiennent des clauses de non-responsabilité et des limitations de responsabilité supplémentaires concernant NetSol, figurant aux sections 9 et 10 ci-dessous. Veuillez les lire attentivement et vous assurer de "&amp;"les comprendre avant de poursuivre votre navigation sur ce site web.")</f>
        <v>Veuillez noter que les présentes Conditions contiennent des clauses de non-responsabilité et des limitations de responsabilité supplémentaires concernant NetSol, figurant aux sections 9 et 10 ci-dessous. Veuillez les lire attentivement et vous assurer de les comprendre avant de poursuivre votre navigation sur ce site web.</v>
      </c>
    </row>
    <row r="8" spans="1:2">
      <c r="A8" s="3" t="s">
        <v>911</v>
      </c>
      <c r="B8" s="3" t="str">
        <f ca="1">IFERROR(__xludf.DUMMYFUNCTION("IF(ISBLANK(A8),"""",GOOGLETRANSLATE(A8,""en"",""fr""))"),"2. CONFIDENTIALITÉ")</f>
        <v>2. CONFIDENTIALITÉ</v>
      </c>
    </row>
    <row r="9" spans="1:2">
      <c r="A9" s="3" t="s">
        <v>912</v>
      </c>
      <c r="B9" s="3" t="str">
        <f ca="1">IFERROR(__xludf.DUMMYFUNCTION("IF(ISBLANK(A9),"""",GOOGLETRANSLATE(A9,""en"",""fr""))"),"Les données d’inscription et certaines autres informations vous concernant que vous pourriez soumettre ou fournir à NetSol par le biais de ce site Web sont soumises à la politique de confidentialité de NetSol. Pour plus d’informations sur l’utilisation et"&amp;" la protection de vos données par NetSol, veuillez consulter sa politique de confidentialité Internet.")</f>
        <v>Les données d’inscription et certaines autres informations vous concernant que vous pourriez soumettre ou fournir à NetSol par le biais de ce site Web sont soumises à la politique de confidentialité de NetSol. Pour plus d’informations sur l’utilisation et la protection de vos données par NetSol, veuillez consulter sa politique de confidentialité Internet.</v>
      </c>
    </row>
    <row r="10" spans="1:2">
      <c r="A10" s="3" t="s">
        <v>913</v>
      </c>
      <c r="B10" s="3" t="str">
        <f ca="1">IFERROR(__xludf.DUMMYFUNCTION("IF(ISBLANK(A10),"""",GOOGLETRANSLATE(A10,""en"",""fr""))"),"3. UTILISATION DE CE SITE WEB et DROITS DE PROPRIÉTÉ INTELLECTUELLE")</f>
        <v>3. UTILISATION DE CE SITE WEB et DROITS DE PROPRIÉTÉ INTELLECTUELLE</v>
      </c>
    </row>
    <row r="11" spans="1:2">
      <c r="A11" s="3" t="s">
        <v>914</v>
      </c>
      <c r="B11" s="3" t="str">
        <f ca="1">IFERROR(__xludf.DUMMYFUNCTION("IF(ISBLANK(A11),"""",GOOGLETRANSLATE(A11,""en"",""fr""))"),"NetSol contrôle et exploite ce site web (elle-même et/ou par l'intermédiaire de ses hébergeurs tiers). L'ensemble du contenu de ce site web, y compris, mais sans s'y limiter, les textes, images, illustrations, graphiques, logos, téléchargements numériques"&amp;", données, logiciels, en-têtes, icônes, scripts, clips audio et vidéo, est la propriété de NetSol ou de ses fournisseurs et est protégé par des droits d'auteur, des marques commerciales, des marques de service et/ou d'autres droits de propriété intellectu"&amp;"elle (qui sont régis et soumis aux lois et traités américains et internationaux sur le droit d'auteur, aux lois sur la confidentialité et la publicité, ainsi qu'aux réglementations et lois sur la communication). Le contenu est détenu et contrôlé par NetSo"&amp;"l, ses entités affiliées ou apparentées, ou les fournisseurs qui ont concédé sous licence ou autrement mis à disposition leur contenu ou le droit de commercialiser leurs produits et/ou services à NetSol. Le contenu de ce site web ou de tout autre site web"&amp;" détenu, exploité, concédé sous licence ou contrôlé par les Fournisseurs est exclusivement destiné à votre usage personnel et non commercial, et ne peut être utilisé d'une manière susceptible de prêter à confusion auprès des clients de NetSol, des autres "&amp;"utilisateurs de ce site web ou du grand public. Vous acceptez de respecter tous les avis de droit d'auteur, informations ou restrictions supplémentaires contenus dans ou avec tout Contenu.")</f>
        <v>NetSol contrôle et exploite ce site web (elle-même et/ou par l'intermédiaire de ses hébergeurs tiers). L'ensemble du contenu de ce site web, y compris, mais sans s'y limiter, les textes, images, illustrations, graphiques, logos, téléchargements numériques, données, logiciels, en-têtes, icônes, scripts, clips audio et vidéo, est la propriété de NetSol ou de ses fournisseurs et est protégé par des droits d'auteur, des marques commerciales, des marques de service et/ou d'autres droits de propriété intellectuelle (qui sont régis et soumis aux lois et traités américains et internationaux sur le droit d'auteur, aux lois sur la confidentialité et la publicité, ainsi qu'aux réglementations et lois sur la communication). Le contenu est détenu et contrôlé par NetSol, ses entités affiliées ou apparentées, ou les fournisseurs qui ont concédé sous licence ou autrement mis à disposition leur contenu ou le droit de commercialiser leurs produits et/ou services à NetSol. Le contenu de ce site web ou de tout autre site web détenu, exploité, concédé sous licence ou contrôlé par les Fournisseurs est exclusivement destiné à votre usage personnel et non commercial, et ne peut être utilisé d'une manière susceptible de prêter à confusion auprès des clients de NetSol, des autres utilisateurs de ce site web ou du grand public. Vous acceptez de respecter tous les avis de droit d'auteur, informations ou restrictions supplémentaires contenus dans ou avec tout Contenu.</v>
      </c>
    </row>
    <row r="12" spans="1:2">
      <c r="A12" s="3" t="s">
        <v>915</v>
      </c>
      <c r="B12" s="3" t="str">
        <f ca="1">IFERROR(__xludf.DUMMYFUNCTION("IF(ISBLANK(A12),"""",GOOGLETRANSLATE(A12,""en"",""fr""))"),"Vous êtes autorisé à télécharger ou à effectuer une copie unique de tout Contenu de ce Site Web uniquement pour votre usage personnel et non commercial, conformément aux présentes Conditions, à condition de conserver tous les droits d'auteur et autres men"&amp;"tions figurant dans ou avec ce Contenu. Sauf indication contraire ci-dessus, vous ne pouvez copier, reproduire, dupliquer, republier, télécharger, publier, transmettre, distribuer, vendre et/ou exploiter le Contenu de quelque manière que ce soit (y compri"&amp;"s par courriel ou autre moyen électronique) à des fins commerciales sans l'autorisation écrite préalable de NetSol ou des Fournisseurs. Vous pouvez demander cette autorisation en adressant une demande par fax au service juridique de NetSol au 818.222.9197"&amp;". Toute modification du Contenu, utilisation du Contenu sur tout autre site Web ou environnement informatique en réseau lié, ou utilisation du Contenu à des fins autres que personnelles et non commerciales, sans l'autorisation écrite préalable de NetSol o"&amp;"u des Fournisseurs, constitue une violation des droits de propriété intellectuelle et des droits de propriété des propriétaires du Contenu et est strictement interdite.")</f>
        <v>Vous êtes autorisé à télécharger ou à effectuer une copie unique de tout Contenu de ce Site Web uniquement pour votre usage personnel et non commercial, conformément aux présentes Conditions, à condition de conserver tous les droits d'auteur et autres mentions figurant dans ou avec ce Contenu. Sauf indication contraire ci-dessus, vous ne pouvez copier, reproduire, dupliquer, republier, télécharger, publier, transmettre, distribuer, vendre et/ou exploiter le Contenu de quelque manière que ce soit (y compris par courriel ou autre moyen électronique) à des fins commerciales sans l'autorisation écrite préalable de NetSol ou des Fournisseurs. Vous pouvez demander cette autorisation en adressant une demande par fax au service juridique de NetSol au 818.222.9197. Toute modification du Contenu, utilisation du Contenu sur tout autre site Web ou environnement informatique en réseau lié, ou utilisation du Contenu à des fins autres que personnelles et non commerciales, sans l'autorisation écrite préalable de NetSol ou des Fournisseurs, constitue une violation des droits de propriété intellectuelle et des droits de propriété des propriétaires du Contenu et est strictement interdite.</v>
      </c>
    </row>
    <row r="13" spans="1:2">
      <c r="A13" s="3" t="s">
        <v>916</v>
      </c>
      <c r="B13" s="3" t="str">
        <f ca="1">IFERROR(__xludf.DUMMYFUNCTION("IF(ISBLANK(A13),"""",GOOGLETRANSLATE(A13,""en"",""fr""))"),"Vous n'êtes pas autorisé à utiliser les marques déposées ou non, les marques de service, les éléments protégés par le droit d'auteur ou toute autre information exclusive ou propriété intellectuelle figurant sur ce site web, y compris, mais sans s'y limite"&amp;"r, les logos, images ou caractères, ainsi que les balises méta, codes similaires, textes cachés ou éléments contenant de telles informations ou propriétés, sans le consentement écrit exprès du titulaire de la marque ou du droit d'auteur. Vous n'êtes pas a"&amp;"utorisé à encadrer les marques déposées, les marques de service, les droits d'auteur, les logos, les images, les textes ou toute autre information exclusive ou propriété intellectuelle de NetSol, ni à incorporer de quelque manière que ce soit le contenu o"&amp;"u d'autres éléments de ce site web sur un autre site web, sans le consentement écrit préalable de NetSol. Vous n'êtes pas autorisé à créer de liens profonds vers une page ou une partie de ce site web sans le consentement écrit préalable de NetSol. Vous po"&amp;"uvez toutefois créer ou fournir un lien hypertexte vers la page d'accueil de ce site web, à condition de ne pas faire ni d'attribuer à NetSol, ses entités affiliées ou apparentées ou ses fournisseurs des déclarations fausses, trompeuses, diffamatoires, ca"&amp;"lomnieuses, désobligeantes ou offensantes. Aucun de ces liens ne peut inclure de logos, de graphiques ou de marques commerciales de NetSol, de ses entités affiliées ou liées ou de ses fournisseurs sans le consentement écrit préalable exprès de NetSol.")</f>
        <v>Vous n'êtes pas autorisé à utiliser les marques déposées ou non, les marques de service, les éléments protégés par le droit d'auteur ou toute autre information exclusive ou propriété intellectuelle figurant sur ce site web, y compris, mais sans s'y limiter, les logos, images ou caractères, ainsi que les balises méta, codes similaires, textes cachés ou éléments contenant de telles informations ou propriétés, sans le consentement écrit exprès du titulaire de la marque ou du droit d'auteur. Vous n'êtes pas autorisé à encadrer les marques déposées, les marques de service, les droits d'auteur, les logos, les images, les textes ou toute autre information exclusive ou propriété intellectuelle de NetSol, ni à incorporer de quelque manière que ce soit le contenu ou d'autres éléments de ce site web sur un autre site web, sans le consentement écrit préalable de NetSol. Vous n'êtes pas autorisé à créer de liens profonds vers une page ou une partie de ce site web sans le consentement écrit préalable de NetSol. Vous pouvez toutefois créer ou fournir un lien hypertexte vers la page d'accueil de ce site web, à condition de ne pas faire ni d'attribuer à NetSol, ses entités affiliées ou apparentées ou ses fournisseurs des déclarations fausses, trompeuses, diffamatoires, calomnieuses, désobligeantes ou offensantes. Aucun de ces liens ne peut inclure de logos, de graphiques ou de marques commerciales de NetSol, de ses entités affiliées ou liées ou de ses fournisseurs sans le consentement écrit préalable exprès de NetSol.</v>
      </c>
    </row>
    <row r="14" spans="1:2">
      <c r="A14" s="3" t="s">
        <v>917</v>
      </c>
      <c r="B14" s="3" t="str">
        <f ca="1">IFERROR(__xludf.DUMMYFUNCTION("IF(ISBLANK(A14),"""",GOOGLETRANSLATE(A14,""en"",""fr""))"),"La violation des lois sur les marques et le droit d'auteur (« contrefaçon ») peut entraîner d'importantes poursuites civiles ou des sanctions pénales en vertu des lois américaines et/ou internationales sur le droit d'auteur et les marques. Vous reconnaiss"&amp;"ez que toute reproduction ou utilisation du contenu, des droits d'auteur, des marques commerciales, des marques de service ou de toute autre propriété intellectuelle figurant sur ce site web, sauf autorisation contraire des présentes Conditions, est consi"&amp;"dérée comme une contrefaçon intentionnelle.")</f>
        <v>La violation des lois sur les marques et le droit d'auteur (« contrefaçon ») peut entraîner d'importantes poursuites civiles ou des sanctions pénales en vertu des lois américaines et/ou internationales sur le droit d'auteur et les marques. Vous reconnaissez que toute reproduction ou utilisation du contenu, des droits d'auteur, des marques commerciales, des marques de service ou de toute autre propriété intellectuelle figurant sur ce site web, sauf autorisation contraire des présentes Conditions, est considérée comme une contrefaçon intentionnelle.</v>
      </c>
    </row>
    <row r="15" spans="1:2">
      <c r="A15" s="3" t="s">
        <v>918</v>
      </c>
      <c r="B15" s="3" t="str">
        <f ca="1">IFERROR(__xludf.DUMMYFUNCTION("IF(ISBLANK(A15),"""",GOOGLETRANSLATE(A15,""en"",""fr""))"),"4. RESPONSABILITÉS DE L'UTILISATEUR")</f>
        <v>4. RESPONSABILITÉS DE L'UTILISATEUR</v>
      </c>
    </row>
    <row r="16" spans="1:2">
      <c r="A16" s="3" t="s">
        <v>919</v>
      </c>
      <c r="B16" s="3" t="str">
        <f ca="1">IFERROR(__xludf.DUMMYFUNCTION("IF(ISBLANK(A16),"""",GOOGLETRANSLATE(A16,""en"",""fr""))"),"Vous garantissez et déclarez à NetSol que vous n'utiliserez pas ce site web à des fins illicites ou interdites par les présentes Conditions, y compris, sans s'y limiter, l'envoi, la publication, la transmission, l'affichage, la distribution, la réception "&amp;"ou la recherche intentionnelle de tout contenu ou image menaçant, harcelant, diffamatoire, obscène, scandaleux, provocateur, à caractère sexuel, pornographique ou blasphématoire, ou d'autres images, contenus ou messages pouvant être considérés comme obscè"&amp;"nes, lascifs, excessivement violents ou autrement offensants. En cas de violation de l'une quelconque des présentes Conditions, votre autorisation d'utiliser ce site web sera immédiatement résiliée sans préavis. NetSol se réserve le droit, à sa seule disc"&amp;"rétion, de refuser l'accès à ce site web à toute personne, pour quelque raison que ce soit, y compris pour violation des présentes Conditions. Certains de ces types de violations sont décrits plus en détail à la section 5 ci-dessous.")</f>
        <v>Vous garantissez et déclarez à NetSol que vous n'utiliserez pas ce site web à des fins illicites ou interdites par les présentes Conditions, y compris, sans s'y limiter, l'envoi, la publication, la transmission, l'affichage, la distribution, la réception ou la recherche intentionnelle de tout contenu ou image menaçant, harcelant, diffamatoire, obscène, scandaleux, provocateur, à caractère sexuel, pornographique ou blasphématoire, ou d'autres images, contenus ou messages pouvant être considérés comme obscènes, lascifs, excessivement violents ou autrement offensants. En cas de violation de l'une quelconque des présentes Conditions, votre autorisation d'utiliser ce site web sera immédiatement résiliée sans préavis. NetSol se réserve le droit, à sa seule discrétion, de refuser l'accès à ce site web à toute personne, pour quelque raison que ce soit, y compris pour violation des présentes Conditions. Certains de ces types de violations sont décrits plus en détail à la section 5 ci-dessous.</v>
      </c>
    </row>
    <row r="17" spans="1:2">
      <c r="A17" s="3" t="s">
        <v>920</v>
      </c>
      <c r="B17" s="3" t="str">
        <f ca="1">IFERROR(__xludf.DUMMYFUNCTION("IF(ISBLANK(A17),"""",GOOGLETRANSLATE(A17,""en"",""fr""))"),"Vous êtes seul responsable du contenu, de l'exactitude et de l'utilisation que vous faites de vos Informations. NetSol agit simplement comme intermédiaire passif pour la distribution et la publication en ligne de vos Informations. Dans les présentes Condi"&amp;"tions, le terme « Informations » désigne toute information ou donnée que vous soumettez à ou via ce Site Web, ainsi que toute information ou donnée générée par ce Site Web suite à votre utilisation ou à votre accès à ce Site Web. Certaines règles et restr"&amp;"ictions particulières peuvent s'appliquer à vos Informations Personnelles Identifiables. Pour plus d'informations sur ces règles et restrictions particulières, veuillez consulter la Politique de confidentialité Internet de NetSol.")</f>
        <v>Vous êtes seul responsable du contenu, de l'exactitude et de l'utilisation que vous faites de vos Informations. NetSol agit simplement comme intermédiaire passif pour la distribution et la publication en ligne de vos Informations. Dans les présentes Conditions, le terme « Informations » désigne toute information ou donnée que vous soumettez à ou via ce Site Web, ainsi que toute information ou donnée générée par ce Site Web suite à votre utilisation ou à votre accès à ce Site Web. Certaines règles et restrictions particulières peuvent s'appliquer à vos Informations Personnelles Identifiables. Pour plus d'informations sur ces règles et restrictions particulières, veuillez consulter la Politique de confidentialité Internet de NetSol.</v>
      </c>
    </row>
    <row r="18" spans="1:2">
      <c r="A18" s="3" t="s">
        <v>921</v>
      </c>
      <c r="B18" s="3" t="str">
        <f ca="1">IFERROR(__xludf.DUMMYFUNCTION("IF(ISBLANK(A18),"""",GOOGLETRANSLATE(A18,""en"",""fr""))"),"Vous vous engagez à ce que toutes les informations que vous fournissez soient vraies, exactes, à jour et complètes. Si vous fournissez des informations fausses, inexactes, obsolètes ou incomplètes (ou si NetSol a des motifs raisonnables de soupçonner que "&amp;"ces informations sont fausses, inexactes, obsolètes ou incomplètes), NetSol se réserve le droit de suspendre ou de résilier votre accès et votre activité relatifs à ce site web, et de vous refuser toute utilisation actuelle ou future de celui-ci.")</f>
        <v>Vous vous engagez à ce que toutes les informations que vous fournissez soient vraies, exactes, à jour et complètes. Si vous fournissez des informations fausses, inexactes, obsolètes ou incomplètes (ou si NetSol a des motifs raisonnables de soupçonner que ces informations sont fausses, inexactes, obsolètes ou incomplètes), NetSol se réserve le droit de suspendre ou de résilier votre accès et votre activité relatifs à ce site web, et de vous refuser toute utilisation actuelle ou future de celui-ci.</v>
      </c>
    </row>
    <row r="19" spans="1:2">
      <c r="A19" s="3" t="s">
        <v>922</v>
      </c>
      <c r="B19" s="3" t="str">
        <f ca="1">IFERROR(__xludf.DUMMYFUNCTION("IF(ISBLANK(A19),"""",GOOGLETRANSLATE(A19,""en"",""fr""))"),"5. ACTIVITÉS INTERDITES")</f>
        <v>5. ACTIVITÉS INTERDITES</v>
      </c>
    </row>
    <row r="20" spans="1:2">
      <c r="A20" s="3" t="s">
        <v>923</v>
      </c>
      <c r="B20" s="3" t="str">
        <f ca="1">IFERROR(__xludf.DUMMYFUNCTION("IF(ISBLANK(A20),"""",GOOGLETRANSLATE(A20,""en"",""fr""))"),"Il vous est spécifiquement interdit d'utiliser ce site Web, et vous acceptez de ne pas utiliser ou de permettre à d'autres d'utiliser ce site Web, pour l'une des raisons suivantes :")</f>
        <v>Il vous est spécifiquement interdit d'utiliser ce site Web, et vous acceptez de ne pas utiliser ou de permettre à d'autres d'utiliser ce site Web, pour l'une des raisons suivantes :</v>
      </c>
    </row>
    <row r="21" spans="1:2">
      <c r="A21" s="3" t="s">
        <v>924</v>
      </c>
      <c r="B21" s="3" t="str">
        <f ca="1">IFERROR(__xludf.DUMMYFUNCTION("IF(ISBLANK(A21),"""",GOOGLETRANSLATE(A21,""en"",""fr""))"),"(a) entreprendre toute action qui impose une charge déraisonnable ou disproportionnée sur l’infrastructure ou les ressources du site Web, ou qui entraîne un gaspillage de temps précieux pour celles-ci, y compris, mais sans s’y limiter, l’envoi ou la promo"&amp;"tion de la distribution de « pourriels », de « courriers indésirables », de chaînes de lettres ou d’autres techniques d’envoi massif de courriels non sollicitées ou illégales ;")</f>
        <v>(a) entreprendre toute action qui impose une charge déraisonnable ou disproportionnée sur l’infrastructure ou les ressources du site Web, ou qui entraîne un gaspillage de temps précieux pour celles-ci, y compris, mais sans s’y limiter, l’envoi ou la promotion de la distribution de « pourriels », de « courriers indésirables », de chaînes de lettres ou d’autres techniques d’envoi massif de courriels non sollicitées ou illégales ;</v>
      </c>
    </row>
    <row r="22" spans="1:2">
      <c r="A22" s="3" t="s">
        <v>925</v>
      </c>
      <c r="B22" s="3" t="str">
        <f ca="1">IFERROR(__xludf.DUMMYFUNCTION("IF(ISBLANK(A22),"""",GOOGLETRANSLATE(A22,""en"",""fr""))"),"(b) divulguer ou partager avec des tiers non autorisés les identifiants, les numéros de confirmation et/ou les mots de passe attribués, ou utiliser les identifiants, les numéros de confirmation et/ou les mots de passe attribués à des fins non autorisées, "&amp;"ou permettre ou faciliter l'accès d'autres personnes aux systèmes informatiques, environnements, réseaux, fichiers, données ou comptes de NetSol par l'utilisation des identifiants, des numéros de confirmation et/ou des mots de passe attribués ;")</f>
        <v>(b) divulguer ou partager avec des tiers non autorisés les identifiants, les numéros de confirmation et/ou les mots de passe attribués, ou utiliser les identifiants, les numéros de confirmation et/ou les mots de passe attribués à des fins non autorisées, ou permettre ou faciliter l'accès d'autres personnes aux systèmes informatiques, environnements, réseaux, fichiers, données ou comptes de NetSol par l'utilisation des identifiants, des numéros de confirmation et/ou des mots de passe attribués ;</v>
      </c>
    </row>
    <row r="23" spans="1:2">
      <c r="A23" s="3" t="s">
        <v>926</v>
      </c>
      <c r="B23" s="3" t="str">
        <f ca="1">IFERROR(__xludf.DUMMYFUNCTION("IF(ISBLANK(A23),"""",GOOGLETRANSLATE(A23,""en"",""fr""))"),"(c) accéder ou tenter d’accéder aux systèmes informatiques, environnements, réseaux, fichiers, données ou comptes de NetSol pour lesquels aucune autorisation expresse n’a été obtenue (y compris l’accès à des données qui ne vous sont pas destinées), ou vou"&amp;"s connecter à un serveur ou à un compte auquel vous n’êtes pas autorisé à accéder ;")</f>
        <v>(c) accéder ou tenter d’accéder aux systèmes informatiques, environnements, réseaux, fichiers, données ou comptes de NetSol pour lesquels aucune autorisation expresse n’a été obtenue (y compris l’accès à des données qui ne vous sont pas destinées), ou vous connecter à un serveur ou à un compte auquel vous n’êtes pas autorisé à accéder ;</v>
      </c>
    </row>
    <row r="24" spans="1:2">
      <c r="A24" s="3" t="s">
        <v>927</v>
      </c>
      <c r="B24" s="3" t="str">
        <f ca="1">IFERROR(__xludf.DUMMYFUNCTION("IF(ISBLANK(A24),"""",GOOGLETRANSLATE(A24,""en"",""fr""))"),"(d) tenter de déchiffrer, décompiler, désassembler, modifier, supprimer ou procéder à une ingénierie inverse de tout logiciel ou code HTML composant ou constituant de quelque manière que ce soit une partie de ce site Web ;")</f>
        <v>(d) tenter de déchiffrer, décompiler, désassembler, modifier, supprimer ou procéder à une ingénierie inverse de tout logiciel ou code HTML composant ou constituant de quelque manière que ce soit une partie de ce site Web ;</v>
      </c>
    </row>
    <row r="25" spans="1:2">
      <c r="A25" s="3" t="s">
        <v>928</v>
      </c>
      <c r="B25" s="3" t="str">
        <f ca="1">IFERROR(__xludf.DUMMYFUNCTION("IF(ISBLANK(A25),"""",GOOGLETRANSLATE(A25,""en"",""fr""))"),"(e) perturber, désactiver ou endommager (ou tenter de perturber, désactiver, désactiver ou endommager), de manière non autorisée, l'utilisation ou le fonctionnement de ce site Web ou des systèmes, équipements ou applications de NetSol, de ses entités affi"&amp;"liées ou apparentées ou des Fournisseurs, ou encore des services fournis à tout utilisateur, hôte ou réseau, y compris par l'utilisation de programmes, scripts, commandes, virus, vers, bugs web, codes malveillants, chevaux de Troie, autres contaminants ou"&amp;" autres. Cela inclut les attaques par déni de service, l'inondation des réseaux, les tentatives délibérées de surcharger un service ou de surcharger ses ressources, les tentatives de planter un hôte et/ou la modification ou le réacheminement de tout conte"&amp;"nu ou service fourni sur ce site Web ;")</f>
        <v>(e) perturber, désactiver ou endommager (ou tenter de perturber, désactiver, désactiver ou endommager), de manière non autorisée, l'utilisation ou le fonctionnement de ce site Web ou des systèmes, équipements ou applications de NetSol, de ses entités affiliées ou apparentées ou des Fournisseurs, ou encore des services fournis à tout utilisateur, hôte ou réseau, y compris par l'utilisation de programmes, scripts, commandes, virus, vers, bugs web, codes malveillants, chevaux de Troie, autres contaminants ou autres. Cela inclut les attaques par déni de service, l'inondation des réseaux, les tentatives délibérées de surcharger un service ou de surcharger ses ressources, les tentatives de planter un hôte et/ou la modification ou le réacheminement de tout contenu ou service fourni sur ce site Web ;</v>
      </c>
    </row>
    <row r="26" spans="1:2">
      <c r="A26" s="3" t="s">
        <v>929</v>
      </c>
      <c r="B26" s="3" t="str">
        <f ca="1">IFERROR(__xludf.DUMMYFUNCTION("IF(ISBLANK(A26),"""",GOOGLETRANSLATE(A26,""en"",""fr""))"),"(f) tenter de contourner ou de subvertir les mécanismes de sécurité (c.-à-d. d’authentification) du système ou du réseau, ou de sonder la sécurité de tout système, réseau ou compte associé ou utilisé en conjonction avec ce site Web ;")</f>
        <v>(f) tenter de contourner ou de subvertir les mécanismes de sécurité (c.-à-d. d’authentification) du système ou du réseau, ou de sonder la sécurité de tout système, réseau ou compte associé ou utilisé en conjonction avec ce site Web ;</v>
      </c>
    </row>
    <row r="27" spans="1:2">
      <c r="A27" s="3" t="s">
        <v>930</v>
      </c>
      <c r="B27" s="3" t="str">
        <f ca="1">IFERROR(__xludf.DUMMYFUNCTION("IF(ISBLANK(A27),"""",GOOGLETRANSLATE(A27,""en"",""fr""))"),"(g) télécharger, publier, envoyer par courrier électronique ou transmettre de toute autre manière toute information, tout contenu ou tout droit de propriété que vous n'avez pas le droit de transmettre en vertu des Conditions, de toute loi ou d'autres rela"&amp;"tions contractuelles ou fiduciaires ; et/ou")</f>
        <v>(g) télécharger, publier, envoyer par courrier électronique ou transmettre de toute autre manière toute information, tout contenu ou tout droit de propriété que vous n'avez pas le droit de transmettre en vertu des Conditions, de toute loi ou d'autres relations contractuelles ou fiduciaires ; et/ou</v>
      </c>
    </row>
    <row r="28" spans="1:2">
      <c r="A28" s="3" t="s">
        <v>931</v>
      </c>
      <c r="B28" s="3" t="str">
        <f ca="1">IFERROR(__xludf.DUMMYFUNCTION("IF(ISBLANK(A28),"""",GOOGLETRANSLATE(A28,""en"",""fr""))"),"(h) utiliser un robot, un spider, un agent intelligent, un métamoteur de recherche, un autre dispositif automatique ou un processus manuel pour rechercher, surveiller ou copier les pages du site Web de NetSol ou le contenu en violation des conditions ou s"&amp;"ans l'autorisation écrite préalable de NetSol, étant entendu que les navigateurs Web tiers généralement disponibles tels que Netscape Navigator® et Microsoft Internet Explorer® peuvent être utilisés sans une telle autorisation.")</f>
        <v>(h) utiliser un robot, un spider, un agent intelligent, un métamoteur de recherche, un autre dispositif automatique ou un processus manuel pour rechercher, surveiller ou copier les pages du site Web de NetSol ou le contenu en violation des conditions ou sans l'autorisation écrite préalable de NetSol, étant entendu que les navigateurs Web tiers généralement disponibles tels que Netscape Navigator® et Microsoft Internet Explorer® peuvent être utilisés sans une telle autorisation.</v>
      </c>
    </row>
    <row r="29" spans="1:2">
      <c r="A29" s="3" t="s">
        <v>932</v>
      </c>
      <c r="B29" s="3" t="str">
        <f ca="1">IFERROR(__xludf.DUMMYFUNCTION("IF(ISBLANK(A29),"""",GOOGLETRANSLATE(A29,""en"",""fr""))"),"6. INFORMATIONS PUBLIÉES SUR LE SITE WEB")</f>
        <v>6. INFORMATIONS PUBLIÉES SUR LE SITE WEB</v>
      </c>
    </row>
    <row r="30" spans="1:2">
      <c r="A30" s="3" t="s">
        <v>933</v>
      </c>
      <c r="B30" s="3" t="str">
        <f ca="1">IFERROR(__xludf.DUMMYFUNCTION("IF(ISBLANK(A30),"""",GOOGLETRANSLATE(A30,""en"",""fr""))"),"En ce qui concerne toutes les informations que vous choisissez de publier dans les zones accessibles au public du site Web, vous acceptez que NetSol ait le droit d'utiliser, de reproduire, de copier, de modifier, de publier, de distribuer, d'exécuter et d"&amp;"'afficher ces informations (en tout ou en partie) dans le monde entier ; à condition qu'une telle utilisation soit conforme aux termes de la politique de confidentialité Internet de NetSol.")</f>
        <v>En ce qui concerne toutes les informations que vous choisissez de publier dans les zones accessibles au public du site Web, vous acceptez que NetSol ait le droit d'utiliser, de reproduire, de copier, de modifier, de publier, de distribuer, d'exécuter et d'afficher ces informations (en tout ou en partie) dans le monde entier ; à condition qu'une telle utilisation soit conforme aux termes de la politique de confidentialité Internet de NetSol.</v>
      </c>
    </row>
    <row r="31" spans="1:2">
      <c r="A31" s="3" t="s">
        <v>934</v>
      </c>
      <c r="B31" s="3" t="str">
        <f ca="1">IFERROR(__xludf.DUMMYFUNCTION("IF(ISBLANK(A31),"""",GOOGLETRANSLATE(A31,""en"",""fr""))"),"Vous reconnaissez et acceptez que NetSol puisse conserver les Informations et les divulguer si la loi l'exige ou si NetSol estime de bonne foi qu'une telle conservation ou divulgation est raisonnablement nécessaire pour : (a) se conformer à une procédure "&amp;"judiciaire ; (b) faire appliquer les Conditions d'utilisation ; (c) répondre aux réclamations selon lesquelles les Informations enfreignent les droits de tiers ; ou (d) protéger les droits, la propriété ou la sécurité des personnes de NetSol, de ses emplo"&amp;"yés, de ses fournisseurs, de ses entités affiliées ou apparentées, de ses utilisateurs et/ou du public. 7. LIENS VERS DES SITES WEB TIERS")</f>
        <v>Vous reconnaissez et acceptez que NetSol puisse conserver les Informations et les divulguer si la loi l'exige ou si NetSol estime de bonne foi qu'une telle conservation ou divulgation est raisonnablement nécessaire pour : (a) se conformer à une procédure judiciaire ; (b) faire appliquer les Conditions d'utilisation ; (c) répondre aux réclamations selon lesquelles les Informations enfreignent les droits de tiers ; ou (d) protéger les droits, la propriété ou la sécurité des personnes de NetSol, de ses employés, de ses fournisseurs, de ses entités affiliées ou apparentées, de ses utilisateurs et/ou du public. 7. LIENS VERS DES SITES WEB TIERS</v>
      </c>
    </row>
    <row r="32" spans="1:2">
      <c r="A32" s="3" t="s">
        <v>935</v>
      </c>
      <c r="B32" s="3" t="str">
        <f ca="1">IFERROR(__xludf.DUMMYFUNCTION("IF(ISBLANK(A32),"""",GOOGLETRANSLATE(A32,""en"",""fr""))"),"Ce site web peut contenir des liens vers des sites web de tiers ou de fournisseurs non contrôlés ou exploités par NetSol (les « Sites Liés »). Ces liens vous permettront de quitter ce site web et d'accéder aux Sites Liés, à vos propres risques. Vous recon"&amp;"naissez que NetSol met à votre disposition les Sites Liés uniquement pour votre commodité et votre information. NetSol n'approuve ni n'est responsable du contenu, des informations ou autres documents, produits ou services connexes présents sur ces Sites L"&amp;"iés, ni des liens qu'ils contiennent, que NetSol soit ou non affiliée aux propriétaires de ces Sites Liés. Sauf indication contraire dans les présentes Conditions ou avec l'autorisation écrite expresse de NetSol, vous ne pouvez pas créer d'hyperlien vers "&amp;"ce site web depuis votre site web ou les Sites Liés, ni fournir de liens indiquant ou impliquant un parrainage ou une approbation de votre site web ou des Sites Liés par NetSol ou les Fournisseurs.")</f>
        <v>Ce site web peut contenir des liens vers des sites web de tiers ou de fournisseurs non contrôlés ou exploités par NetSol (les « Sites Liés »). Ces liens vous permettront de quitter ce site web et d'accéder aux Sites Liés, à vos propres risques. Vous reconnaissez que NetSol met à votre disposition les Sites Liés uniquement pour votre commodité et votre information. NetSol n'approuve ni n'est responsable du contenu, des informations ou autres documents, produits ou services connexes présents sur ces Sites Liés, ni des liens qu'ils contiennent, que NetSol soit ou non affiliée aux propriétaires de ces Sites Liés. Sauf indication contraire dans les présentes Conditions ou avec l'autorisation écrite expresse de NetSol, vous ne pouvez pas créer d'hyperlien vers ce site web depuis votre site web ou les Sites Liés, ni fournir de liens indiquant ou impliquant un parrainage ou une approbation de votre site web ou des Sites Liés par NetSol ou les Fournisseurs.</v>
      </c>
    </row>
    <row r="33" spans="1:2">
      <c r="A33" s="3" t="s">
        <v>936</v>
      </c>
      <c r="B33" s="3" t="str">
        <f ca="1">IFERROR(__xludf.DUMMYFUNCTION("IF(ISBLANK(A33),"""",GOOGLETRANSLATE(A33,""en"",""fr""))"),"8. RELATIONS AVEC LES ANNONCEURS")</f>
        <v>8. RELATIONS AVEC LES ANNONCEURS</v>
      </c>
    </row>
    <row r="34" spans="1:2">
      <c r="A34" s="3" t="s">
        <v>937</v>
      </c>
      <c r="B34" s="3" t="str">
        <f ca="1">IFERROR(__xludf.DUMMYFUNCTION("IF(ISBLANK(A34),"""",GOOGLETRANSLATE(A34,""en"",""fr""))"),"Vos échanges, relations commerciales ou participations aux promotions des annonceurs présents sur ce site Web ou via les sites liés, y compris le paiement et la livraison des biens ou services concernés, ainsi que toutes les autres conditions, garanties o"&amp;"u déclarations relatives à ces échanges, relèvent exclusivement de votre responsabilité et de celle de ces annonceurs. Vous convenez que NetSol (et ses entités affiliées ou liées, ainsi que les fournisseurs) ne sauraient être tenus responsables des pertes"&amp;" ou dommages que vous pourriez subir du fait de ces échanges ou de la présence de ces annonceurs sur ce site Web ou via les sites liés.")</f>
        <v>Vos échanges, relations commerciales ou participations aux promotions des annonceurs présents sur ce site Web ou via les sites liés, y compris le paiement et la livraison des biens ou services concernés, ainsi que toutes les autres conditions, garanties ou déclarations relatives à ces échanges, relèvent exclusivement de votre responsabilité et de celle de ces annonceurs. Vous convenez que NetSol (et ses entités affiliées ou liées, ainsi que les fournisseurs) ne sauraient être tenus responsables des pertes ou dommages que vous pourriez subir du fait de ces échanges ou de la présence de ces annonceurs sur ce site Web ou via les sites liés.</v>
      </c>
    </row>
    <row r="35" spans="1:2">
      <c r="A35" s="3" t="s">
        <v>938</v>
      </c>
      <c r="B35" s="3" t="str">
        <f ca="1">IFERROR(__xludf.DUMMYFUNCTION("IF(ISBLANK(A35),"""",GOOGLETRANSLATE(A35,""en"",""fr""))"),"9. AUCUNE GARANTIE")</f>
        <v>9. AUCUNE GARANTIE</v>
      </c>
    </row>
    <row r="36" spans="1:2">
      <c r="A36" s="3" t="s">
        <v>939</v>
      </c>
      <c r="B36" s="3" t="str">
        <f ca="1">IFERROR(__xludf.DUMMYFUNCTION("IF(ISBLANK(A36),"""",GOOGLETRANSLATE(A36,""en"",""fr""))"),"L'ensemble du contenu, des produits et des services proposés sur ce site Web sont fournis « en l'état » et sans aucune garantie, expresse ou implicite. À l'exception des garanties qui, en vertu du droit américain applicable aux présentes conditions, sont "&amp;"implicites et ne peuvent être exclues, limitées ou modifiées, Netsol décline toute garantie, expresse ou implicite, y compris, mais sans s'y limiter, les garanties implicites de qualité marchande et d'adéquation à un usage particulier.")</f>
        <v>L'ensemble du contenu, des produits et des services proposés sur ce site Web sont fournis « en l'état » et sans aucune garantie, expresse ou implicite. À l'exception des garanties qui, en vertu du droit américain applicable aux présentes conditions, sont implicites et ne peuvent être exclues, limitées ou modifiées, Netsol décline toute garantie, expresse ou implicite, y compris, mais sans s'y limiter, les garanties implicites de qualité marchande et d'adéquation à un usage particulier.</v>
      </c>
    </row>
    <row r="37" spans="1:2">
      <c r="A37" s="3" t="s">
        <v>940</v>
      </c>
      <c r="B37" s="3" t="str">
        <f ca="1">IFERROR(__xludf.DUMMYFUNCTION("IF(ISBLANK(A37),"""",GOOGLETRANSLATE(A37,""en"",""fr""))"),"Ni Netsol, ses entités affiliées ou liées, ni les fournisseurs, ni aucune personne impliquée dans la création, la production, l'hébergement et/ou la distribution de ce site Web, ne garantissent que les fonctions, caractéristiques ou services contenus dans"&amp;" ce site Web seront ininterrompus ou sans erreur, que les défauts seront corrigés, ou que le serveur qui rend le contenu disponible sera exempt de virus ou d'autres composants nuisibles. Le contenu auquel vous accédez sur ce site Web est fourni uniquement"&amp;" pour votre commodité et votre information uniquement. Netsol ne garantit ni ne fait aucune déclaration concernant les résultats qui peuvent être obtenus de l'utilisation de ce site Web, ou quant à la fiabilité, l'exactitude ou l'actualité de tout contenu"&amp;", service et/ou marchandise fourni ou acquis suite à votre utilisation de ce site Web.")</f>
        <v>Ni Netsol, ses entités affiliées ou liées, ni les fournisseurs, ni aucune personne impliquée dans la création, la production, l'hébergement et/ou la distribution de ce site Web, ne garantissent que les fonctions, caractéristiques ou services contenus dans ce site Web seront ininterrompus ou sans erreur, que les défauts seront corrigés, ou que le serveur qui rend le contenu disponible sera exempt de virus ou d'autres composants nuisibles. Le contenu auquel vous accédez sur ce site Web est fourni uniquement pour votre commodité et votre information uniquement. Netsol ne garantit ni ne fait aucune déclaration concernant les résultats qui peuvent être obtenus de l'utilisation de ce site Web, ou quant à la fiabilité, l'exactitude ou l'actualité de tout contenu, service et/ou marchandise fourni ou acquis suite à votre utilisation de ce site Web.</v>
      </c>
    </row>
    <row r="38" spans="1:2">
      <c r="A38" s="3" t="s">
        <v>941</v>
      </c>
      <c r="B38" s="3" t="str">
        <f ca="1">IFERROR(__xludf.DUMMYFUNCTION("IF(ISBLANK(A38),"""",GOOGLETRANSLATE(A38,""en"",""fr""))"),"Netsol est un distributeur, et non un éditeur, des informations et du contenu de ce site Web. Netsol n'a pas plus de contrôle éditorial sur ces informations et ce contenu qu'une bibliothèque publique ou un kiosque à journaux. Toutes les opinions, conseils"&amp;", déclarations, services, offres ou autres informations exprimées ou mises à disposition par des tiers ou des fournisseurs (y compris dans les sites liés) sont ceux des auteurs ou distributeurs respectifs de ces informations et de ce contenu.")</f>
        <v>Netsol est un distributeur, et non un éditeur, des informations et du contenu de ce site Web. Netsol n'a pas plus de contrôle éditorial sur ces informations et ce contenu qu'une bibliothèque publique ou un kiosque à journaux. Toutes les opinions, conseils, déclarations, services, offres ou autres informations exprimées ou mises à disposition par des tiers ou des fournisseurs (y compris dans les sites liés) sont ceux des auteurs ou distributeurs respectifs de ces informations et de ce contenu.</v>
      </c>
    </row>
    <row r="39" spans="1:2">
      <c r="A39" s="3" t="s">
        <v>942</v>
      </c>
      <c r="B39" s="3" t="str">
        <f ca="1">IFERROR(__xludf.DUMMYFUNCTION("IF(ISBLANK(A39),"""",GOOGLETRANSLATE(A39,""en"",""fr""))"),"Votre utilisation de ce site Web est à vos propres risques. Vous (et non netsol) assumez l'intégralité du coût de tous les services nécessaires (y compris, sans limitation, votre connexion Internet) et de la réparation ou correction de votre ordinateur, r"&amp;"éseau et/ou système.")</f>
        <v>Votre utilisation de ce site Web est à vos propres risques. Vous (et non netsol) assumez l'intégralité du coût de tous les services nécessaires (y compris, sans limitation, votre connexion Internet) et de la réparation ou correction de votre ordinateur, réseau et/ou système.</v>
      </c>
    </row>
    <row r="40" spans="1:2">
      <c r="A40" s="3" t="s">
        <v>943</v>
      </c>
      <c r="B40" s="3" t="str">
        <f ca="1">IFERROR(__xludf.DUMMYFUNCTION("IF(ISBLANK(A40),"""",GOOGLETRANSLATE(A40,""en"",""fr""))"),"10. LIMITATION DE RESPONSABILITÉ")</f>
        <v>10. LIMITATION DE RESPONSABILITÉ</v>
      </c>
    </row>
    <row r="41" spans="1:2">
      <c r="A41" s="3" t="s">
        <v>944</v>
      </c>
      <c r="B41" s="3" t="str">
        <f ca="1">IFERROR(__xludf.DUMMYFUNCTION("IF(ISBLANK(A41),"""",GOOGLETRANSLATE(A41,""en"",""fr""))"),"En aucun cas, netsol, ses entités ou fournisseurs affiliés ou liés, ni aucun de ses dirigeants, administrateurs, employés ou agents respectifs, ou toute personne ou entité impliquée dans la création, la production, la distribution et l'hébergement de ce s"&amp;"ite Web, ne peuvent être tenus responsables de tout dommage indirect, consécutif, accessoire, spécial, punitif ou exemplaire, qu'il résulte d'un contrat, d'une garantie ou d'un délit (y compris la négligence) ou de toute autre théorie de responsabilité, q"&amp;"ue netsol (ou ses entités ou fournisseurs affiliés ou liés) aient connu ou auraient dû connaître la possibilité de tels dommages, y compris, sans limitation, de l'utilisation ou de la tentative d'utilisation de ce site Web ou de tout autre site lié.")</f>
        <v>En aucun cas, netsol, ses entités ou fournisseurs affiliés ou liés, ni aucun de ses dirigeants, administrateurs, employés ou agents respectifs, ou toute personne ou entité impliquée dans la création, la production, la distribution et l'hébergement de ce site Web, ne peuvent être tenus responsables de tout dommage indirect, consécutif, accessoire, spécial, punitif ou exemplaire, qu'il résulte d'un contrat, d'une garantie ou d'un délit (y compris la négligence) ou de toute autre théorie de responsabilité, que netsol (ou ses entités ou fournisseurs affiliés ou liés) aient connu ou auraient dû connaître la possibilité de tels dommages, y compris, sans limitation, de l'utilisation ou de la tentative d'utilisation de ce site Web ou de tout autre site lié.</v>
      </c>
    </row>
    <row r="42" spans="1:2">
      <c r="A42" s="3" t="s">
        <v>945</v>
      </c>
      <c r="B42" s="3" t="str">
        <f ca="1">IFERROR(__xludf.DUMMYFUNCTION("IF(ISBLANK(A42),"""",GOOGLETRANSLATE(A42,""en"",""fr""))"),"La responsabilité de NETSOL, et la responsabilité des entités et/ou fournisseurs affiliés ou liés à NETSOL, envers vous ou tout tiers en toute circonstance, est limitée au moindre des montants suivants : (a) le montant des frais, le cas échéant, que vous "&amp;"payez à NETSOL au cours des 12 mois précédant l'action donnant lieu à la responsabilité, ou (b) 500 $. Certains États peuvent ne pas autoriser la limitation de responsabilité décrite ci-dessus, de sorte que la limitation ci-dessus peut ne pas s'appliquer "&amp;"à vous.")</f>
        <v>La responsabilité de NETSOL, et la responsabilité des entités et/ou fournisseurs affiliés ou liés à NETSOL, envers vous ou tout tiers en toute circonstance, est limitée au moindre des montants suivants : (a) le montant des frais, le cas échéant, que vous payez à NETSOL au cours des 12 mois précédant l'action donnant lieu à la responsabilité, ou (b) 500 $. Certains États peuvent ne pas autoriser la limitation de responsabilité décrite ci-dessus, de sorte que la limitation ci-dessus peut ne pas s'appliquer à vous.</v>
      </c>
    </row>
    <row r="43" spans="1:2">
      <c r="A43" s="3" t="s">
        <v>946</v>
      </c>
      <c r="B43" s="3" t="str">
        <f ca="1">IFERROR(__xludf.DUMMYFUNCTION("IF(ISBLANK(A43),"""",GOOGLETRANSLATE(A43,""en"",""fr""))"),"À titre d'exemple uniquement, Netsol et les personnes et entités qui lui sont liées ne sauraient être tenues responsables de toute réclamation ou de tout dommage résultant d'un dysfonctionnement, d'une erreur, d'une omission, d'une interruption, d'une sup"&amp;"pression, d'un défaut, d'un retard de fonctionnement, d'un virus informatique, d'un vol, d'une destruction, d'un accès non autorisé à des données personnelles ou de leur altération, ni de l'utilisation ou de la confiance accordée au contenu, aux informati"&amp;"ons, aux opinions ou à tout autre élément figurant sur ce site web. De plus, vous reconnaissez et acceptez expressément que Netsol n'est pas responsable des propos diffamatoires, injurieux ou illégaux tenus par d'autres utilisateurs ou des tiers.")</f>
        <v>À titre d'exemple uniquement, Netsol et les personnes et entités qui lui sont liées ne sauraient être tenues responsables de toute réclamation ou de tout dommage résultant d'un dysfonctionnement, d'une erreur, d'une omission, d'une interruption, d'une suppression, d'un défaut, d'un retard de fonctionnement, d'un virus informatique, d'un vol, d'une destruction, d'un accès non autorisé à des données personnelles ou de leur altération, ni de l'utilisation ou de la confiance accordée au contenu, aux informations, aux opinions ou à tout autre élément figurant sur ce site web. De plus, vous reconnaissez et acceptez expressément que Netsol n'est pas responsable des propos diffamatoires, injurieux ou illégaux tenus par d'autres utilisateurs ou des tiers.</v>
      </c>
    </row>
    <row r="44" spans="1:2">
      <c r="A44" s="3" t="s">
        <v>947</v>
      </c>
      <c r="B44" s="3" t="str">
        <f ca="1">IFERROR(__xludf.DUMMYFUNCTION("IF(ISBLANK(A44),"""",GOOGLETRANSLATE(A44,""en"",""fr""))"),"La limitation de responsabilité reflète la répartition des risques entre les parties. Les limitations spécifiées dans cette section 10 survivront et s'appliqueront même si un recours limité spécifié dans ces conditions s'avère avoir échoué dans son object"&amp;"if essentiel. Les limitations de responsabilité prévues dans ces conditions s'appliquent au bénéfice de Netsol et des fournisseurs, ainsi qu'à tous les dirigeants, administrateurs, employés, représentants, avocats et agents respectifs.")</f>
        <v>La limitation de responsabilité reflète la répartition des risques entre les parties. Les limitations spécifiées dans cette section 10 survivront et s'appliqueront même si un recours limité spécifié dans ces conditions s'avère avoir échoué dans son objectif essentiel. Les limitations de responsabilité prévues dans ces conditions s'appliquent au bénéfice de Netsol et des fournisseurs, ainsi qu'à tous les dirigeants, administrateurs, employés, représentants, avocats et agents respectifs.</v>
      </c>
    </row>
    <row r="45" spans="1:2">
      <c r="A45" s="3" t="s">
        <v>948</v>
      </c>
      <c r="B45" s="3" t="str">
        <f ca="1">IFERROR(__xludf.DUMMYFUNCTION("IF(ISBLANK(A45),"""",GOOGLETRANSLATE(A45,""en"",""fr""))"),"11. LOI APPLICABLE ET JURIDICTION COMPÉTENTE")</f>
        <v>11. LOI APPLICABLE ET JURIDICTION COMPÉTENTE</v>
      </c>
    </row>
    <row r="46" spans="1:2">
      <c r="A46" s="3" t="s">
        <v>949</v>
      </c>
      <c r="B46" s="3" t="str">
        <f ca="1">IFERROR(__xludf.DUMMYFUNCTION("IF(ISBLANK(A46),"""",GOOGLETRANSLATE(A46,""en"",""fr""))"),"NetSol exploite ce site Web (à l'exclusion des sites liés, sur lesquels elle n'exerce aucune autorité ni aucun contrôle) depuis ses bureaux situés en Californie (ces bureaux pouvant être sujets à modification à la seule discrétion de NetSol). Le site Web "&amp;"est accessible depuis les 50 États américains, ainsi que depuis d'autres pays du monde. Chaque État ayant des lois pouvant différer de celles de la Californie, en accédant à ce site Web, vous acceptez que les présentes Conditions et votre utilisation du s"&amp;"ite Web soient régies par le droit matériel interne de l'État de Californie, sans égard aux dispositions relatives aux conflits de lois, et non par la Convention des Nations Unies sur les contrats de vente internationale de marchandises. Vous acceptez éga"&amp;"lement de vous soumettre à la compétence exclusive des tribunaux d'État et fédéraux situés dans l'État du New Jersey pour tout litige, affaire ou controverse concernant ce site Web, votre utilisation de ce site Web et votre relation avec NetSol. NetSol ne"&amp;" garantit pas que les éléments de ce site web sont appropriés ou disponibles pour une utilisation dans d'autres lieux, et l'accès à ces éléments depuis des territoires où leur contenu est illégal est interdit. Les personnes qui accèdent à ce site web depu"&amp;"is d'autres lieux le font à leurs propres risques et sont responsables du respect des lois locales, notamment celles relatives à la transmission de données techniques exportées depuis les États-Unis ou leur pays de résidence.")</f>
        <v>NetSol exploite ce site Web (à l'exclusion des sites liés, sur lesquels elle n'exerce aucune autorité ni aucun contrôle) depuis ses bureaux situés en Californie (ces bureaux pouvant être sujets à modification à la seule discrétion de NetSol). Le site Web est accessible depuis les 50 États américains, ainsi que depuis d'autres pays du monde. Chaque État ayant des lois pouvant différer de celles de la Californie, en accédant à ce site Web, vous acceptez que les présentes Conditions et votre utilisation du site Web soient régies par le droit matériel interne de l'État de Californie, sans égard aux dispositions relatives aux conflits de lois, et non par la Convention des Nations Unies sur les contrats de vente internationale de marchandises. Vous acceptez également de vous soumettre à la compétence exclusive des tribunaux d'État et fédéraux situés dans l'État du New Jersey pour tout litige, affaire ou controverse concernant ce site Web, votre utilisation de ce site Web et votre relation avec NetSol. NetSol ne garantit pas que les éléments de ce site web sont appropriés ou disponibles pour une utilisation dans d'autres lieux, et l'accès à ces éléments depuis des territoires où leur contenu est illégal est interdit. Les personnes qui accèdent à ce site web depuis d'autres lieux le font à leurs propres risques et sont responsables du respect des lois locales, notamment celles relatives à la transmission de données techniques exportées depuis les États-Unis ou leur pays de résidence.</v>
      </c>
    </row>
    <row r="47" spans="1:2">
      <c r="A47" s="3" t="s">
        <v>950</v>
      </c>
      <c r="B47" s="3" t="str">
        <f ca="1">IFERROR(__xludf.DUMMYFUNCTION("IF(ISBLANK(A47),"""",GOOGLETRANSLATE(A47,""en"",""fr""))"),"12. INDEMNISATION")</f>
        <v>12. INDEMNISATION</v>
      </c>
    </row>
    <row r="48" spans="1:2">
      <c r="A48" s="3" t="s">
        <v>951</v>
      </c>
      <c r="B48" s="3" t="str">
        <f ca="1">IFERROR(__xludf.DUMMYFUNCTION("IF(ISBLANK(A48),"""",GOOGLETRANSLATE(A48,""en"",""fr""))"),"NetSol se réserve le droit de signaler tout acte répréhensible, dès qu'elle en a connaissance, aux autorités gouvernementales ou policières compétentes. Vous acceptez d'indemniser, de défendre et de dégager de toute responsabilité NetSol et les Fournisseu"&amp;"rs, leurs dirigeants, administrateurs, employés, entités affiliées ou liées, agents, concédants et fournisseurs, contre toute réclamation, demande, action, coût, responsabilité, perte et dommage de toute nature (y compris les honoraires d'avocat) résultan"&amp;"t de votre utilisation de ce Site Web, de votre violation de toute disposition des présentes Conditions et/ou de tout acte de négligence, omission ou faute intentionnelle de votre part. Une telle indemnisation est conditionnée à ce que NetSol : (a) vous i"&amp;"nforme par écrit de toute réclamation, demande, action, coût, responsabilité, perte ou menace de tels actes ; (b) coopère avec vous à la défense ou au règlement de ces derniers ; et (c) vous permette de contrôler cette défense ou ce règlement. NetSol est "&amp;"en droit de participer à cette défense à ses propres frais.")</f>
        <v>NetSol se réserve le droit de signaler tout acte répréhensible, dès qu'elle en a connaissance, aux autorités gouvernementales ou policières compétentes. Vous acceptez d'indemniser, de défendre et de dégager de toute responsabilité NetSol et les Fournisseurs, leurs dirigeants, administrateurs, employés, entités affiliées ou liées, agents, concédants et fournisseurs, contre toute réclamation, demande, action, coût, responsabilité, perte et dommage de toute nature (y compris les honoraires d'avocat) résultant de votre utilisation de ce Site Web, de votre violation de toute disposition des présentes Conditions et/ou de tout acte de négligence, omission ou faute intentionnelle de votre part. Une telle indemnisation est conditionnée à ce que NetSol : (a) vous informe par écrit de toute réclamation, demande, action, coût, responsabilité, perte ou menace de tels actes ; (b) coopère avec vous à la défense ou au règlement de ces derniers ; et (c) vous permette de contrôler cette défense ou ce règlement. NetSol est en droit de participer à cette défense à ses propres frais.</v>
      </c>
    </row>
    <row r="49" spans="1:2">
      <c r="A49" s="3" t="s">
        <v>952</v>
      </c>
      <c r="B49" s="3" t="str">
        <f ca="1">IFERROR(__xludf.DUMMYFUNCTION("IF(ISBLANK(A49),"""",GOOGLETRANSLATE(A49,""en"",""fr""))"),"13. PANNEAUX DE MESSAGES")</f>
        <v>13. PANNEAUX DE MESSAGES</v>
      </c>
    </row>
    <row r="50" spans="1:2">
      <c r="A50" s="3" t="s">
        <v>953</v>
      </c>
      <c r="B50" s="3" t="str">
        <f ca="1">IFERROR(__xludf.DUMMYFUNCTION("IF(ISBLANK(A50),"""",GOOGLETRANSLATE(A50,""en"",""fr""))"),"Dans le cas où NetSol mettrait à disposition des forums de discussion, des blogs ou des espaces de discussion sur ce site Web (les « Forums »), vous vous engagez à les utiliser exclusivement à des fins personnelles et non commerciales. Vous vous interdise"&amp;"z, sans l’autorisation expresse de NetSol, de diffuser ou de publier tout contenu contenant une sollicitation de fonds, de la publicité ou une sollicitation écrite de biens ou de services. Vous acceptez que tout contenu téléchargé puisse être republié san"&amp;"s compensation pour vous ou toute autre personne ou entité. De plus, vous garantissez avoir renoncé à tous vos droits moraux sur tout contenu téléchargé. Bien que NetSol ne puisse pas examiner tous les messages publiés par vous ou tout autre utilisateur s"&amp;"ur les Forums, et bien que NetSol ne soit pas responsable de ces messages, NetSol se réserve le droit (sans obligation) de supprimer, déplacer ou modifier les messages qu’elle juge, à sa seule discrétion, abusifs, diffamatoires, obscènes, portant atteinte"&amp;" aux droits d’auteur ou aux marques de commerce, en violation des présentes conditions ou autrement inacceptables. NetSol ne cautionne aucune information publiée sur ce site Web par le biais des Forums.")</f>
        <v>Dans le cas où NetSol mettrait à disposition des forums de discussion, des blogs ou des espaces de discussion sur ce site Web (les « Forums »), vous vous engagez à les utiliser exclusivement à des fins personnelles et non commerciales. Vous vous interdisez, sans l’autorisation expresse de NetSol, de diffuser ou de publier tout contenu contenant une sollicitation de fonds, de la publicité ou une sollicitation écrite de biens ou de services. Vous acceptez que tout contenu téléchargé puisse être republié sans compensation pour vous ou toute autre personne ou entité. De plus, vous garantissez avoir renoncé à tous vos droits moraux sur tout contenu téléchargé. Bien que NetSol ne puisse pas examiner tous les messages publiés par vous ou tout autre utilisateur sur les Forums, et bien que NetSol ne soit pas responsable de ces messages, NetSol se réserve le droit (sans obligation) de supprimer, déplacer ou modifier les messages qu’elle juge, à sa seule discrétion, abusifs, diffamatoires, obscènes, portant atteinte aux droits d’auteur ou aux marques de commerce, en violation des présentes conditions ou autrement inacceptables. NetSol ne cautionne aucune information publiée sur ce site Web par le biais des Forums.</v>
      </c>
    </row>
    <row r="51" spans="1:2">
      <c r="A51" s="3" t="s">
        <v>954</v>
      </c>
      <c r="B51" s="3" t="str">
        <f ca="1">IFERROR(__xludf.DUMMYFUNCTION("IF(ISBLANK(A51),"""",GOOGLETRANSLATE(A51,""en"",""fr""))"),"14. AUTRES DISPOSITIONS GÉNÉRALES. Les présentes Conditions s'appliquent à NetSol et aux Fournisseurs, ainsi qu'à leurs dirigeants, administrateurs, employés, entités affiliées ou liées, agents, concédants et fournisseurs. Chacune de ces personnes physiqu"&amp;"es ou morales a le droit de faire valoir et de faire appliquer les présentes Conditions directement contre vous, en son nom (ou en leur propre nom). L'inaction de NetSol face à un manquement de votre part ou de la part d'autrui ne saurait constituer une r"&amp;"enonciation à son droit d'agir face à des manquements ultérieurs ou similaires.")</f>
        <v>14. AUTRES DISPOSITIONS GÉNÉRALES. Les présentes Conditions s'appliquent à NetSol et aux Fournisseurs, ainsi qu'à leurs dirigeants, administrateurs, employés, entités affiliées ou liées, agents, concédants et fournisseurs. Chacune de ces personnes physiques ou morales a le droit de faire valoir et de faire appliquer les présentes Conditions directement contre vous, en son nom (ou en leur propre nom). L'inaction de NetSol face à un manquement de votre part ou de la part d'autrui ne saurait constituer une renonciation à son droit d'agir face à des manquements ultérieurs ou similaires.</v>
      </c>
    </row>
    <row r="52" spans="1:2">
      <c r="A52" s="3" t="s">
        <v>955</v>
      </c>
      <c r="B52" s="3" t="str">
        <f ca="1">IFERROR(__xludf.DUMMYFUNCTION("IF(ISBLANK(A52),"""",GOOGLETRANSLATE(A52,""en"",""fr""))"),"Si une disposition des présentes Conditions est jugée invalide ou inapplicable, elle sera annulée et les autres dispositions resteront en vigueur. Les titres sont donnés à titre indicatif uniquement.")</f>
        <v>Si une disposition des présentes Conditions est jugée invalide ou inapplicable, elle sera annulée et les autres dispositions resteront en vigueur. Les titres sont donnés à titre indicatif uniquement.</v>
      </c>
    </row>
    <row r="53" spans="1:2">
      <c r="A53" s="3" t="s">
        <v>956</v>
      </c>
      <c r="B53" s="3" t="str">
        <f ca="1">IFERROR(__xludf.DUMMYFUNCTION("IF(ISBLANK(A53),"""",GOOGLETRANSLATE(A53,""en"",""fr""))"),"Vous et NetSol traitez sans lien de dépendance, créant ainsi une relation commerciale. NetSol n'est ni votre mandataire ni votre fiduciaire. De nombreuses entreprises et installations de NetSol peuvent être détenues et exploitées indépendamment par des fr"&amp;"anchisés et des licenciés indépendants. Dans ce cas, ces franchisés et licenciés gèrent et exploitent les installations et sont les employeurs de tous les employés et sous-traitants qui y travaillent. Ces franchisés sont des entrepreneurs indépendants, et"&amp;" aucune relation de mandataire, de partenariat, de coentreprise, d'employé-employeur ou de franchiseur-franchisé n'est prévue ou créée par les présentes Conditions.")</f>
        <v>Vous et NetSol traitez sans lien de dépendance, créant ainsi une relation commerciale. NetSol n'est ni votre mandataire ni votre fiduciaire. De nombreuses entreprises et installations de NetSol peuvent être détenues et exploitées indépendamment par des franchisés et des licenciés indépendants. Dans ce cas, ces franchisés et licenciés gèrent et exploitent les installations et sont les employeurs de tous les employés et sous-traitants qui y travaillent. Ces franchisés sont des entrepreneurs indépendants, et aucune relation de mandataire, de partenariat, de coentreprise, d'employé-employeur ou de franchiseur-franchisé n'est prévue ou créée par les présentes Conditions.</v>
      </c>
    </row>
    <row r="54" spans="1:2">
      <c r="A54" s="3" t="s">
        <v>957</v>
      </c>
      <c r="B54" s="3" t="str">
        <f ca="1">IFERROR(__xludf.DUMMYFUNCTION("IF(ISBLANK(A54),"""",GOOGLETRANSLATE(A54,""en"",""fr""))"),"Les dispositions et conditions des présentes Conditions générales, ainsi que chaque obligation qui y est mentionnée, constituent l'intégralité de l'accord conclu entre NetSol (y compris les Fournisseurs), ses entités affiliées ou liées, et vous, et rempla"&amp;"cent tout accord ou entente antérieur non intégré aux présentes. En cas d'incohérence entre les présentes Conditions générales et toute condition d'utilisation ou entente publiée ultérieurement, les dernières Conditions générales publiées prévaudront.")</f>
        <v>Les dispositions et conditions des présentes Conditions générales, ainsi que chaque obligation qui y est mentionnée, constituent l'intégralité de l'accord conclu entre NetSol (y compris les Fournisseurs), ses entités affiliées ou liées, et vous, et remplacent tout accord ou entente antérieur non intégré aux présentes. En cas d'incohérence entre les présentes Conditions générales et toute condition d'utilisation ou entente publiée ultérieurement, les dernières Conditions générales publiées prévaudront.</v>
      </c>
    </row>
    <row r="55" spans="1:2">
      <c r="A55" s="3" t="s">
        <v>958</v>
      </c>
      <c r="B55" s="3" t="str">
        <f ca="1">IFERROR(__xludf.DUMMYFUNCTION("IF(ISBLANK(A55),"""",GOOGLETRANSLATE(A55,""en"",""fr""))"),"NETSOL SE RÉSERVE TOUS LES DROITS NON EXPRESSÉMENT ACCORDÉS OU ÉNONCÉS DANS LES PRÉSENTES CONDITIONS.")</f>
        <v>NETSOL SE RÉSERVE TOUS LES DROITS NON EXPRESSÉMENT ACCORDÉS OU ÉNONCÉS DANS LES PRÉSENTES CONDITIONS.</v>
      </c>
    </row>
    <row r="56" spans="1:2">
      <c r="A56" s="3" t="s">
        <v>959</v>
      </c>
      <c r="B56" s="3" t="str">
        <f ca="1">IFERROR(__xludf.DUMMYFUNCTION("IF(ISBLANK(A56),"""",GOOGLETRANSLATE(A56,""en"",""fr""))"),"Informations sur l'entreprise enregistrée")</f>
        <v>Informations sur l'entreprise enregistrée</v>
      </c>
    </row>
    <row r="57" spans="1:2">
      <c r="A57" s="3" t="s">
        <v>960</v>
      </c>
      <c r="B57" s="3" t="str">
        <f ca="1">IFERROR(__xludf.DUMMYFUNCTION("IF(ISBLANK(A57),"""",GOOGLETRANSLATE(A57,""en"",""fr""))"),"NetSol Technologies Europe Ltd (opérant sous le nom de NetSol Technologies). Adresse du siège social : Planet House, North Heath Lane, Horsham RH12 5QE, West Sussex, Angleterre. Enregistrée en Angleterre sous le numéro 1998080. TVA : 826611533.")</f>
        <v>NetSol Technologies Europe Ltd (opérant sous le nom de NetSol Technologies). Adresse du siège social : Planet House, North Heath Lane, Horsham RH12 5QE, West Sussex, Angleterre. Enregistrée en Angleterre sous le numéro 1998080. TVA : 826611533.</v>
      </c>
    </row>
    <row r="58" spans="1:2">
      <c r="B58" s="3" t="str">
        <f ca="1">IFERROR(__xludf.DUMMYFUNCTION("IF(ISBLANK(A58),"""",GOOGLETRANSLATE(A58,""en"",""fr""))"),"")</f>
        <v/>
      </c>
    </row>
    <row r="59" spans="1:2">
      <c r="B59" s="3" t="str">
        <f ca="1">IFERROR(__xludf.DUMMYFUNCTION("IF(ISBLANK(A59),"""",GOOGLETRANSLATE(A59,""en"",""fr""))"),"")</f>
        <v/>
      </c>
    </row>
    <row r="60" spans="1:2">
      <c r="B60" s="3" t="str">
        <f ca="1">IFERROR(__xludf.DUMMYFUNCTION("IF(ISBLANK(A60),"""",GOOGLETRANSLATE(A60,""en"",""fr""))"),"")</f>
        <v/>
      </c>
    </row>
    <row r="61" spans="1:2">
      <c r="B61" s="3" t="str">
        <f ca="1">IFERROR(__xludf.DUMMYFUNCTION("IF(ISBLANK(A61),"""",GOOGLETRANSLATE(A61,""en"",""fr""))"),"")</f>
        <v/>
      </c>
    </row>
    <row r="62" spans="1:2">
      <c r="B62" s="3" t="str">
        <f ca="1">IFERROR(__xludf.DUMMYFUNCTION("IF(ISBLANK(A62),"""",GOOGLETRANSLATE(A62,""en"",""fr""))"),"")</f>
        <v/>
      </c>
    </row>
    <row r="63" spans="1:2">
      <c r="B63" s="3" t="str">
        <f ca="1">IFERROR(__xludf.DUMMYFUNCTION("IF(ISBLANK(A63),"""",GOOGLETRANSLATE(A63,""en"",""fr""))"),"")</f>
        <v/>
      </c>
    </row>
    <row r="64" spans="1:2">
      <c r="B64" s="3" t="str">
        <f ca="1">IFERROR(__xludf.DUMMYFUNCTION("IF(ISBLANK(A64),"""",GOOGLETRANSLATE(A64,""en"",""fr""))"),"")</f>
        <v/>
      </c>
    </row>
    <row r="65" spans="2:2">
      <c r="B65" s="3" t="str">
        <f ca="1">IFERROR(__xludf.DUMMYFUNCTION("IF(ISBLANK(A65),"""",GOOGLETRANSLATE(A65,""en"",""fr""))"),"")</f>
        <v/>
      </c>
    </row>
    <row r="66" spans="2:2">
      <c r="B66" s="3" t="str">
        <f ca="1">IFERROR(__xludf.DUMMYFUNCTION("IF(ISBLANK(A66),"""",GOOGLETRANSLATE(A66,""en"",""fr""))"),"")</f>
        <v/>
      </c>
    </row>
    <row r="67" spans="2:2">
      <c r="B67" s="3" t="str">
        <f ca="1">IFERROR(__xludf.DUMMYFUNCTION("IF(ISBLANK(A67),"""",GOOGLETRANSLATE(A67,""en"",""fr""))"),"")</f>
        <v/>
      </c>
    </row>
    <row r="68" spans="2:2">
      <c r="B68" s="3" t="str">
        <f ca="1">IFERROR(__xludf.DUMMYFUNCTION("IF(ISBLANK(A68),"""",GOOGLETRANSLATE(A68,""en"",""fr""))"),"")</f>
        <v/>
      </c>
    </row>
    <row r="69" spans="2:2">
      <c r="B69" s="3" t="str">
        <f ca="1">IFERROR(__xludf.DUMMYFUNCTION("IF(ISBLANK(A69),"""",GOOGLETRANSLATE(A69,""en"",""fr""))"),"")</f>
        <v/>
      </c>
    </row>
    <row r="70" spans="2:2">
      <c r="B70" s="3" t="str">
        <f ca="1">IFERROR(__xludf.DUMMYFUNCTION("IF(ISBLANK(A70),"""",GOOGLETRANSLATE(A70,""en"",""fr""))"),"")</f>
        <v/>
      </c>
    </row>
    <row r="71" spans="2:2">
      <c r="B71" s="3" t="str">
        <f ca="1">IFERROR(__xludf.DUMMYFUNCTION("IF(ISBLANK(A71),"""",GOOGLETRANSLATE(A71,""en"",""fr""))"),"")</f>
        <v/>
      </c>
    </row>
    <row r="72" spans="2:2">
      <c r="B72" s="3" t="str">
        <f ca="1">IFERROR(__xludf.DUMMYFUNCTION("IF(ISBLANK(A72),"""",GOOGLETRANSLATE(A72,""en"",""fr""))"),"")</f>
        <v/>
      </c>
    </row>
    <row r="73" spans="2:2">
      <c r="B73" s="3" t="str">
        <f ca="1">IFERROR(__xludf.DUMMYFUNCTION("IF(ISBLANK(A73),"""",GOOGLETRANSLATE(A73,""en"",""fr""))"),"")</f>
        <v/>
      </c>
    </row>
    <row r="74" spans="2:2">
      <c r="B74" s="3" t="str">
        <f ca="1">IFERROR(__xludf.DUMMYFUNCTION("IF(ISBLANK(A74),"""",GOOGLETRANSLATE(A74,""en"",""fr""))"),"")</f>
        <v/>
      </c>
    </row>
    <row r="75" spans="2:2">
      <c r="B75" s="3" t="str">
        <f ca="1">IFERROR(__xludf.DUMMYFUNCTION("IF(ISBLANK(A75),"""",GOOGLETRANSLATE(A75,""en"",""fr""))"),"")</f>
        <v/>
      </c>
    </row>
    <row r="76" spans="2:2">
      <c r="B76" s="3" t="str">
        <f ca="1">IFERROR(__xludf.DUMMYFUNCTION("IF(ISBLANK(A76),"""",GOOGLETRANSLATE(A76,""en"",""fr""))"),"")</f>
        <v/>
      </c>
    </row>
    <row r="77" spans="2:2">
      <c r="B77" s="3" t="str">
        <f ca="1">IFERROR(__xludf.DUMMYFUNCTION("IF(ISBLANK(A77),"""",GOOGLETRANSLATE(A77,""en"",""fr""))"),"")</f>
        <v/>
      </c>
    </row>
    <row r="78" spans="2:2">
      <c r="B78" s="3" t="str">
        <f ca="1">IFERROR(__xludf.DUMMYFUNCTION("IF(ISBLANK(A78),"""",GOOGLETRANSLATE(A78,""en"",""fr""))"),"")</f>
        <v/>
      </c>
    </row>
    <row r="79" spans="2:2">
      <c r="B79" s="3" t="str">
        <f ca="1">IFERROR(__xludf.DUMMYFUNCTION("IF(ISBLANK(A79),"""",GOOGLETRANSLATE(A79,""en"",""fr""))"),"")</f>
        <v/>
      </c>
    </row>
    <row r="80" spans="2:2">
      <c r="B80" s="3" t="str">
        <f ca="1">IFERROR(__xludf.DUMMYFUNCTION("IF(ISBLANK(A80),"""",GOOGLETRANSLATE(A80,""en"",""fr""))"),"")</f>
        <v/>
      </c>
    </row>
    <row r="81" spans="2:2">
      <c r="B81" s="3" t="str">
        <f ca="1">IFERROR(__xludf.DUMMYFUNCTION("IF(ISBLANK(A81),"""",GOOGLETRANSLATE(A81,""en"",""fr""))"),"")</f>
        <v/>
      </c>
    </row>
    <row r="82" spans="2:2">
      <c r="B82" s="3" t="str">
        <f ca="1">IFERROR(__xludf.DUMMYFUNCTION("IF(ISBLANK(A82),"""",GOOGLETRANSLATE(A82,""en"",""fr""))"),"")</f>
        <v/>
      </c>
    </row>
    <row r="83" spans="2:2">
      <c r="B83" s="3" t="str">
        <f ca="1">IFERROR(__xludf.DUMMYFUNCTION("IF(ISBLANK(A83),"""",GOOGLETRANSLATE(A83,""en"",""fr""))"),"")</f>
        <v/>
      </c>
    </row>
    <row r="84" spans="2:2">
      <c r="B84" s="3" t="str">
        <f ca="1">IFERROR(__xludf.DUMMYFUNCTION("IF(ISBLANK(A84),"""",GOOGLETRANSLATE(A84,""en"",""fr""))"),"")</f>
        <v/>
      </c>
    </row>
    <row r="85" spans="2:2">
      <c r="B85" s="3" t="str">
        <f ca="1">IFERROR(__xludf.DUMMYFUNCTION("IF(ISBLANK(A85),"""",GOOGLETRANSLATE(A85,""en"",""fr""))"),"")</f>
        <v/>
      </c>
    </row>
    <row r="86" spans="2:2">
      <c r="B86" s="3" t="str">
        <f ca="1">IFERROR(__xludf.DUMMYFUNCTION("IF(ISBLANK(A86),"""",GOOGLETRANSLATE(A86,""en"",""fr""))"),"")</f>
        <v/>
      </c>
    </row>
    <row r="87" spans="2:2">
      <c r="B87" s="3" t="str">
        <f ca="1">IFERROR(__xludf.DUMMYFUNCTION("IF(ISBLANK(A87),"""",GOOGLETRANSLATE(A87,""en"",""fr""))"),"")</f>
        <v/>
      </c>
    </row>
    <row r="88" spans="2:2">
      <c r="B88" s="3" t="str">
        <f ca="1">IFERROR(__xludf.DUMMYFUNCTION("IF(ISBLANK(A88),"""",GOOGLETRANSLATE(A88,""en"",""fr""))"),"")</f>
        <v/>
      </c>
    </row>
    <row r="89" spans="2:2">
      <c r="B89" s="3" t="str">
        <f ca="1">IFERROR(__xludf.DUMMYFUNCTION("IF(ISBLANK(A89),"""",GOOGLETRANSLATE(A89,""en"",""fr""))"),"")</f>
        <v/>
      </c>
    </row>
    <row r="90" spans="2:2">
      <c r="B90" s="3" t="str">
        <f ca="1">IFERROR(__xludf.DUMMYFUNCTION("IF(ISBLANK(A90),"""",GOOGLETRANSLATE(A90,""en"",""fr""))"),"")</f>
        <v/>
      </c>
    </row>
    <row r="91" spans="2:2">
      <c r="B91" s="3" t="str">
        <f ca="1">IFERROR(__xludf.DUMMYFUNCTION("IF(ISBLANK(A91),"""",GOOGLETRANSLATE(A91,""en"",""fr""))"),"")</f>
        <v/>
      </c>
    </row>
    <row r="92" spans="2:2">
      <c r="B92" s="3" t="str">
        <f ca="1">IFERROR(__xludf.DUMMYFUNCTION("IF(ISBLANK(A92),"""",GOOGLETRANSLATE(A92,""en"",""fr""))"),"")</f>
        <v/>
      </c>
    </row>
    <row r="93" spans="2:2">
      <c r="B93" s="3" t="str">
        <f ca="1">IFERROR(__xludf.DUMMYFUNCTION("IF(ISBLANK(A93),"""",GOOGLETRANSLATE(A93,""en"",""fr""))"),"")</f>
        <v/>
      </c>
    </row>
    <row r="94" spans="2:2">
      <c r="B94" s="3" t="str">
        <f ca="1">IFERROR(__xludf.DUMMYFUNCTION("IF(ISBLANK(A94),"""",GOOGLETRANSLATE(A94,""en"",""fr""))"),"")</f>
        <v/>
      </c>
    </row>
    <row r="95" spans="2:2">
      <c r="B95" s="3" t="str">
        <f ca="1">IFERROR(__xludf.DUMMYFUNCTION("IF(ISBLANK(A95),"""",GOOGLETRANSLATE(A95,""en"",""fr""))"),"")</f>
        <v/>
      </c>
    </row>
    <row r="96" spans="2:2">
      <c r="B96" s="3" t="str">
        <f ca="1">IFERROR(__xludf.DUMMYFUNCTION("IF(ISBLANK(A96),"""",GOOGLETRANSLATE(A96,""en"",""fr""))"),"")</f>
        <v/>
      </c>
    </row>
    <row r="97" spans="2:2">
      <c r="B97" s="3" t="str">
        <f ca="1">IFERROR(__xludf.DUMMYFUNCTION("IF(ISBLANK(A97),"""",GOOGLETRANSLATE(A97,""en"",""fr""))"),"")</f>
        <v/>
      </c>
    </row>
    <row r="98" spans="2:2">
      <c r="B98" s="3" t="str">
        <f ca="1">IFERROR(__xludf.DUMMYFUNCTION("IF(ISBLANK(A98),"""",GOOGLETRANSLATE(A98,""en"",""fr""))"),"")</f>
        <v/>
      </c>
    </row>
    <row r="99" spans="2:2">
      <c r="B99" s="3" t="str">
        <f ca="1">IFERROR(__xludf.DUMMYFUNCTION("IF(ISBLANK(A99),"""",GOOGLETRANSLATE(A99,""en"",""fr""))"),"")</f>
        <v/>
      </c>
    </row>
    <row r="100" spans="2:2">
      <c r="B100" s="3" t="str">
        <f ca="1">IFERROR(__xludf.DUMMYFUNCTION("IF(ISBLANK(A100),"""",GOOGLETRANSLATE(A100,""en"",""fr""))"),"")</f>
        <v/>
      </c>
    </row>
    <row r="101" spans="2:2">
      <c r="B101" s="3" t="str">
        <f ca="1">IFERROR(__xludf.DUMMYFUNCTION("IF(ISBLANK(A101),"""",GOOGLETRANSLATE(A101,""en"",""fr""))"),"")</f>
        <v/>
      </c>
    </row>
    <row r="102" spans="2:2">
      <c r="B102" s="3" t="str">
        <f ca="1">IFERROR(__xludf.DUMMYFUNCTION("IF(ISBLANK(A102),"""",GOOGLETRANSLATE(A102,""en"",""fr""))"),"")</f>
        <v/>
      </c>
    </row>
    <row r="103" spans="2:2">
      <c r="B103" s="3" t="str">
        <f ca="1">IFERROR(__xludf.DUMMYFUNCTION("IF(ISBLANK(A103),"""",GOOGLETRANSLATE(A103,""en"",""fr""))"),"")</f>
        <v/>
      </c>
    </row>
    <row r="104" spans="2:2">
      <c r="B104" s="3" t="str">
        <f ca="1">IFERROR(__xludf.DUMMYFUNCTION("IF(ISBLANK(A104),"""",GOOGLETRANSLATE(A104,""en"",""fr""))"),"")</f>
        <v/>
      </c>
    </row>
    <row r="105" spans="2:2">
      <c r="B105" s="3" t="str">
        <f ca="1">IFERROR(__xludf.DUMMYFUNCTION("IF(ISBLANK(A105),"""",GOOGLETRANSLATE(A105,""en"",""fr""))"),"")</f>
        <v/>
      </c>
    </row>
    <row r="106" spans="2:2">
      <c r="B106" s="3" t="str">
        <f ca="1">IFERROR(__xludf.DUMMYFUNCTION("IF(ISBLANK(A106),"""",GOOGLETRANSLATE(A106,""en"",""fr""))"),"")</f>
        <v/>
      </c>
    </row>
    <row r="107" spans="2:2">
      <c r="B107" s="3" t="str">
        <f ca="1">IFERROR(__xludf.DUMMYFUNCTION("IF(ISBLANK(A107),"""",GOOGLETRANSLATE(A107,""en"",""fr""))"),"")</f>
        <v/>
      </c>
    </row>
    <row r="108" spans="2:2">
      <c r="B108" s="3" t="str">
        <f ca="1">IFERROR(__xludf.DUMMYFUNCTION("IF(ISBLANK(A108),"""",GOOGLETRANSLATE(A108,""en"",""fr""))"),"")</f>
        <v/>
      </c>
    </row>
    <row r="109" spans="2:2">
      <c r="B109" s="3" t="str">
        <f ca="1">IFERROR(__xludf.DUMMYFUNCTION("IF(ISBLANK(A109),"""",GOOGLETRANSLATE(A109,""en"",""fr""))"),"")</f>
        <v/>
      </c>
    </row>
    <row r="110" spans="2:2">
      <c r="B110" s="3" t="str">
        <f ca="1">IFERROR(__xludf.DUMMYFUNCTION("IF(ISBLANK(A110),"""",GOOGLETRANSLATE(A110,""en"",""fr""))"),"")</f>
        <v/>
      </c>
    </row>
    <row r="111" spans="2:2">
      <c r="B111" s="3" t="str">
        <f ca="1">IFERROR(__xludf.DUMMYFUNCTION("IF(ISBLANK(A111),"""",GOOGLETRANSLATE(A111,""en"",""fr""))"),"")</f>
        <v/>
      </c>
    </row>
    <row r="112" spans="2:2">
      <c r="B112" s="3" t="str">
        <f ca="1">IFERROR(__xludf.DUMMYFUNCTION("IF(ISBLANK(A112),"""",GOOGLETRANSLATE(A112,""en"",""fr""))"),"")</f>
        <v/>
      </c>
    </row>
    <row r="113" spans="2:2">
      <c r="B113" s="3" t="str">
        <f ca="1">IFERROR(__xludf.DUMMYFUNCTION("IF(ISBLANK(A113),"""",GOOGLETRANSLATE(A113,""en"",""fr""))"),"")</f>
        <v/>
      </c>
    </row>
    <row r="114" spans="2:2">
      <c r="B114" s="3" t="str">
        <f ca="1">IFERROR(__xludf.DUMMYFUNCTION("IF(ISBLANK(A114),"""",GOOGLETRANSLATE(A114,""en"",""fr""))"),"")</f>
        <v/>
      </c>
    </row>
    <row r="115" spans="2:2">
      <c r="B115" s="3" t="str">
        <f ca="1">IFERROR(__xludf.DUMMYFUNCTION("IF(ISBLANK(A115),"""",GOOGLETRANSLATE(A115,""en"",""fr""))"),"")</f>
        <v/>
      </c>
    </row>
    <row r="116" spans="2:2">
      <c r="B116" s="3" t="str">
        <f ca="1">IFERROR(__xludf.DUMMYFUNCTION("IF(ISBLANK(A116),"""",GOOGLETRANSLATE(A116,""en"",""fr""))"),"")</f>
        <v/>
      </c>
    </row>
    <row r="117" spans="2:2">
      <c r="B117" s="3" t="str">
        <f ca="1">IFERROR(__xludf.DUMMYFUNCTION("IF(ISBLANK(A117),"""",GOOGLETRANSLATE(A117,""en"",""fr""))"),"")</f>
        <v/>
      </c>
    </row>
    <row r="118" spans="2:2">
      <c r="B118" s="3" t="str">
        <f ca="1">IFERROR(__xludf.DUMMYFUNCTION("IF(ISBLANK(A118),"""",GOOGLETRANSLATE(A118,""en"",""fr""))"),"")</f>
        <v/>
      </c>
    </row>
    <row r="119" spans="2:2">
      <c r="B119" s="3" t="str">
        <f ca="1">IFERROR(__xludf.DUMMYFUNCTION("IF(ISBLANK(A119),"""",GOOGLETRANSLATE(A119,""en"",""fr""))"),"")</f>
        <v/>
      </c>
    </row>
    <row r="120" spans="2:2">
      <c r="B120" s="3" t="str">
        <f ca="1">IFERROR(__xludf.DUMMYFUNCTION("IF(ISBLANK(A120),"""",GOOGLETRANSLATE(A120,""en"",""fr""))"),"")</f>
        <v/>
      </c>
    </row>
    <row r="121" spans="2:2">
      <c r="B121" s="3" t="str">
        <f ca="1">IFERROR(__xludf.DUMMYFUNCTION("IF(ISBLANK(A121),"""",GOOGLETRANSLATE(A121,""en"",""fr""))"),"")</f>
        <v/>
      </c>
    </row>
    <row r="122" spans="2:2">
      <c r="B122" s="3" t="str">
        <f ca="1">IFERROR(__xludf.DUMMYFUNCTION("IF(ISBLANK(A122),"""",GOOGLETRANSLATE(A122,""en"",""fr""))"),"")</f>
        <v/>
      </c>
    </row>
    <row r="123" spans="2:2">
      <c r="B123" s="3" t="str">
        <f ca="1">IFERROR(__xludf.DUMMYFUNCTION("IF(ISBLANK(A123),"""",GOOGLETRANSLATE(A123,""en"",""fr""))"),"")</f>
        <v/>
      </c>
    </row>
    <row r="124" spans="2:2">
      <c r="B124" s="3" t="str">
        <f ca="1">IFERROR(__xludf.DUMMYFUNCTION("IF(ISBLANK(A124),"""",GOOGLETRANSLATE(A124,""en"",""fr""))"),"")</f>
        <v/>
      </c>
    </row>
    <row r="125" spans="2:2">
      <c r="B125" s="3" t="str">
        <f ca="1">IFERROR(__xludf.DUMMYFUNCTION("IF(ISBLANK(A125),"""",GOOGLETRANSLATE(A125,""en"",""fr""))"),"")</f>
        <v/>
      </c>
    </row>
    <row r="126" spans="2:2">
      <c r="B126" s="3" t="str">
        <f ca="1">IFERROR(__xludf.DUMMYFUNCTION("IF(ISBLANK(A126),"""",GOOGLETRANSLATE(A126,""en"",""fr""))"),"")</f>
        <v/>
      </c>
    </row>
    <row r="127" spans="2:2">
      <c r="B127" s="3" t="str">
        <f ca="1">IFERROR(__xludf.DUMMYFUNCTION("IF(ISBLANK(A127),"""",GOOGLETRANSLATE(A127,""en"",""fr""))"),"")</f>
        <v/>
      </c>
    </row>
    <row r="128" spans="2:2">
      <c r="B128" s="3" t="str">
        <f ca="1">IFERROR(__xludf.DUMMYFUNCTION("IF(ISBLANK(A128),"""",GOOGLETRANSLATE(A128,""en"",""fr""))"),"")</f>
        <v/>
      </c>
    </row>
    <row r="129" spans="2:2">
      <c r="B129" s="3" t="str">
        <f ca="1">IFERROR(__xludf.DUMMYFUNCTION("IF(ISBLANK(A129),"""",GOOGLETRANSLATE(A129,""en"",""fr""))"),"")</f>
        <v/>
      </c>
    </row>
    <row r="130" spans="2:2">
      <c r="B130" s="3" t="str">
        <f ca="1">IFERROR(__xludf.DUMMYFUNCTION("IF(ISBLANK(A130),"""",GOOGLETRANSLATE(A130,""en"",""fr""))"),"")</f>
        <v/>
      </c>
    </row>
    <row r="131" spans="2:2">
      <c r="B131" s="3" t="str">
        <f ca="1">IFERROR(__xludf.DUMMYFUNCTION("IF(ISBLANK(A131),"""",GOOGLETRANSLATE(A131,""en"",""fr""))"),"")</f>
        <v/>
      </c>
    </row>
    <row r="132" spans="2:2">
      <c r="B132" s="3" t="str">
        <f ca="1">IFERROR(__xludf.DUMMYFUNCTION("IF(ISBLANK(A132),"""",GOOGLETRANSLATE(A132,""en"",""fr""))"),"")</f>
        <v/>
      </c>
    </row>
    <row r="133" spans="2:2">
      <c r="B133" s="3" t="str">
        <f ca="1">IFERROR(__xludf.DUMMYFUNCTION("IF(ISBLANK(A133),"""",GOOGLETRANSLATE(A133,""en"",""fr""))"),"")</f>
        <v/>
      </c>
    </row>
    <row r="134" spans="2:2">
      <c r="B134" s="3" t="str">
        <f ca="1">IFERROR(__xludf.DUMMYFUNCTION("IF(ISBLANK(A134),"""",GOOGLETRANSLATE(A134,""en"",""fr""))"),"")</f>
        <v/>
      </c>
    </row>
    <row r="135" spans="2:2">
      <c r="B135" s="3" t="str">
        <f ca="1">IFERROR(__xludf.DUMMYFUNCTION("IF(ISBLANK(A135),"""",GOOGLETRANSLATE(A135,""en"",""fr""))"),"")</f>
        <v/>
      </c>
    </row>
    <row r="136" spans="2:2">
      <c r="B136" s="3" t="str">
        <f ca="1">IFERROR(__xludf.DUMMYFUNCTION("IF(ISBLANK(A136),"""",GOOGLETRANSLATE(A136,""en"",""fr""))"),"")</f>
        <v/>
      </c>
    </row>
    <row r="137" spans="2:2">
      <c r="B137" s="3" t="str">
        <f ca="1">IFERROR(__xludf.DUMMYFUNCTION("IF(ISBLANK(A137),"""",GOOGLETRANSLATE(A137,""en"",""fr""))"),"")</f>
        <v/>
      </c>
    </row>
    <row r="138" spans="2:2">
      <c r="B138" s="3" t="str">
        <f ca="1">IFERROR(__xludf.DUMMYFUNCTION("IF(ISBLANK(A138),"""",GOOGLETRANSLATE(A138,""en"",""fr""))"),"")</f>
        <v/>
      </c>
    </row>
    <row r="139" spans="2:2">
      <c r="B139" s="3" t="str">
        <f ca="1">IFERROR(__xludf.DUMMYFUNCTION("IF(ISBLANK(A139),"""",GOOGLETRANSLATE(A139,""en"",""fr""))"),"")</f>
        <v/>
      </c>
    </row>
    <row r="140" spans="2:2">
      <c r="B140" s="3" t="str">
        <f ca="1">IFERROR(__xludf.DUMMYFUNCTION("IF(ISBLANK(A140),"""",GOOGLETRANSLATE(A140,""en"",""fr""))"),"")</f>
        <v/>
      </c>
    </row>
    <row r="141" spans="2:2">
      <c r="B141" s="3" t="str">
        <f ca="1">IFERROR(__xludf.DUMMYFUNCTION("IF(ISBLANK(A141),"""",GOOGLETRANSLATE(A141,""en"",""fr""))"),"")</f>
        <v/>
      </c>
    </row>
    <row r="142" spans="2:2">
      <c r="B142" s="3" t="str">
        <f ca="1">IFERROR(__xludf.DUMMYFUNCTION("IF(ISBLANK(A142),"""",GOOGLETRANSLATE(A142,""en"",""fr""))"),"")</f>
        <v/>
      </c>
    </row>
    <row r="143" spans="2:2">
      <c r="B143" s="3" t="str">
        <f ca="1">IFERROR(__xludf.DUMMYFUNCTION("IF(ISBLANK(A143),"""",GOOGLETRANSLATE(A143,""en"",""fr""))"),"")</f>
        <v/>
      </c>
    </row>
    <row r="144" spans="2:2">
      <c r="B144" s="3" t="str">
        <f ca="1">IFERROR(__xludf.DUMMYFUNCTION("IF(ISBLANK(A144),"""",GOOGLETRANSLATE(A144,""en"",""fr""))"),"")</f>
        <v/>
      </c>
    </row>
    <row r="145" spans="2:2">
      <c r="B145" s="3" t="str">
        <f ca="1">IFERROR(__xludf.DUMMYFUNCTION("IF(ISBLANK(A145),"""",GOOGLETRANSLATE(A145,""en"",""fr""))"),"")</f>
        <v/>
      </c>
    </row>
    <row r="146" spans="2:2">
      <c r="B146" s="3" t="str">
        <f ca="1">IFERROR(__xludf.DUMMYFUNCTION("IF(ISBLANK(A146),"""",GOOGLETRANSLATE(A146,""en"",""fr""))"),"")</f>
        <v/>
      </c>
    </row>
    <row r="147" spans="2:2">
      <c r="B147" s="3" t="str">
        <f ca="1">IFERROR(__xludf.DUMMYFUNCTION("IF(ISBLANK(A147),"""",GOOGLETRANSLATE(A147,""en"",""fr""))"),"")</f>
        <v/>
      </c>
    </row>
    <row r="148" spans="2:2">
      <c r="B148" s="3" t="str">
        <f ca="1">IFERROR(__xludf.DUMMYFUNCTION("IF(ISBLANK(A148),"""",GOOGLETRANSLATE(A148,""en"",""fr""))"),"")</f>
        <v/>
      </c>
    </row>
    <row r="149" spans="2:2">
      <c r="B149" s="3" t="str">
        <f ca="1">IFERROR(__xludf.DUMMYFUNCTION("IF(ISBLANK(A149),"""",GOOGLETRANSLATE(A149,""en"",""fr""))"),"")</f>
        <v/>
      </c>
    </row>
    <row r="150" spans="2:2">
      <c r="B150" s="3" t="str">
        <f ca="1">IFERROR(__xludf.DUMMYFUNCTION("IF(ISBLANK(A150),"""",GOOGLETRANSLATE(A150,""en"",""fr""))"),"")</f>
        <v/>
      </c>
    </row>
    <row r="151" spans="2:2">
      <c r="B151" s="3" t="str">
        <f ca="1">IFERROR(__xludf.DUMMYFUNCTION("IF(ISBLANK(A151),"""",GOOGLETRANSLATE(A151,""en"",""fr""))"),"")</f>
        <v/>
      </c>
    </row>
    <row r="152" spans="2:2">
      <c r="B152" s="3" t="str">
        <f ca="1">IFERROR(__xludf.DUMMYFUNCTION("IF(ISBLANK(A152),"""",GOOGLETRANSLATE(A152,""en"",""fr""))"),"")</f>
        <v/>
      </c>
    </row>
    <row r="153" spans="2:2">
      <c r="B153" s="3" t="str">
        <f ca="1">IFERROR(__xludf.DUMMYFUNCTION("IF(ISBLANK(A153),"""",GOOGLETRANSLATE(A153,""en"",""fr""))"),"")</f>
        <v/>
      </c>
    </row>
    <row r="154" spans="2:2">
      <c r="B154" s="3" t="str">
        <f ca="1">IFERROR(__xludf.DUMMYFUNCTION("IF(ISBLANK(A154),"""",GOOGLETRANSLATE(A154,""en"",""fr""))"),"")</f>
        <v/>
      </c>
    </row>
    <row r="155" spans="2:2">
      <c r="B155" s="3" t="str">
        <f ca="1">IFERROR(__xludf.DUMMYFUNCTION("IF(ISBLANK(A155),"""",GOOGLETRANSLATE(A155,""en"",""fr""))"),"")</f>
        <v/>
      </c>
    </row>
    <row r="156" spans="2:2">
      <c r="B156" s="3" t="str">
        <f ca="1">IFERROR(__xludf.DUMMYFUNCTION("IF(ISBLANK(A156),"""",GOOGLETRANSLATE(A156,""en"",""fr""))"),"")</f>
        <v/>
      </c>
    </row>
    <row r="157" spans="2:2">
      <c r="B157" s="3" t="str">
        <f ca="1">IFERROR(__xludf.DUMMYFUNCTION("IF(ISBLANK(A157),"""",GOOGLETRANSLATE(A157,""en"",""fr""))"),"")</f>
        <v/>
      </c>
    </row>
    <row r="158" spans="2:2">
      <c r="B158" s="3" t="str">
        <f ca="1">IFERROR(__xludf.DUMMYFUNCTION("IF(ISBLANK(A158),"""",GOOGLETRANSLATE(A158,""en"",""fr""))"),"")</f>
        <v/>
      </c>
    </row>
    <row r="159" spans="2:2">
      <c r="B159" s="3" t="str">
        <f ca="1">IFERROR(__xludf.DUMMYFUNCTION("IF(ISBLANK(A159),"""",GOOGLETRANSLATE(A159,""en"",""fr""))"),"")</f>
        <v/>
      </c>
    </row>
    <row r="160" spans="2:2">
      <c r="B160" s="3" t="str">
        <f ca="1">IFERROR(__xludf.DUMMYFUNCTION("IF(ISBLANK(A160),"""",GOOGLETRANSLATE(A160,""en"",""fr""))"),"")</f>
        <v/>
      </c>
    </row>
    <row r="161" spans="2:2">
      <c r="B161" s="3" t="str">
        <f ca="1">IFERROR(__xludf.DUMMYFUNCTION("IF(ISBLANK(A161),"""",GOOGLETRANSLATE(A161,""en"",""fr""))"),"")</f>
        <v/>
      </c>
    </row>
    <row r="162" spans="2:2">
      <c r="B162" s="3" t="str">
        <f ca="1">IFERROR(__xludf.DUMMYFUNCTION("IF(ISBLANK(A162),"""",GOOGLETRANSLATE(A162,""en"",""fr""))"),"")</f>
        <v/>
      </c>
    </row>
    <row r="163" spans="2:2">
      <c r="B163" s="3" t="str">
        <f ca="1">IFERROR(__xludf.DUMMYFUNCTION("IF(ISBLANK(A163),"""",GOOGLETRANSLATE(A163,""en"",""fr""))"),"")</f>
        <v/>
      </c>
    </row>
    <row r="164" spans="2:2">
      <c r="B164" s="3" t="str">
        <f ca="1">IFERROR(__xludf.DUMMYFUNCTION("IF(ISBLANK(A164),"""",GOOGLETRANSLATE(A164,""en"",""fr""))"),"")</f>
        <v/>
      </c>
    </row>
    <row r="165" spans="2:2">
      <c r="B165" s="3" t="str">
        <f ca="1">IFERROR(__xludf.DUMMYFUNCTION("IF(ISBLANK(A165),"""",GOOGLETRANSLATE(A165,""en"",""fr""))"),"")</f>
        <v/>
      </c>
    </row>
    <row r="166" spans="2:2">
      <c r="B166" s="3" t="str">
        <f ca="1">IFERROR(__xludf.DUMMYFUNCTION("IF(ISBLANK(A166),"""",GOOGLETRANSLATE(A166,""en"",""fr""))"),"")</f>
        <v/>
      </c>
    </row>
    <row r="167" spans="2:2">
      <c r="B167" s="3" t="str">
        <f ca="1">IFERROR(__xludf.DUMMYFUNCTION("IF(ISBLANK(A167),"""",GOOGLETRANSLATE(A167,""en"",""fr""))"),"")</f>
        <v/>
      </c>
    </row>
    <row r="168" spans="2:2">
      <c r="B168" s="3" t="str">
        <f ca="1">IFERROR(__xludf.DUMMYFUNCTION("IF(ISBLANK(A168),"""",GOOGLETRANSLATE(A168,""en"",""fr""))"),"")</f>
        <v/>
      </c>
    </row>
    <row r="169" spans="2:2">
      <c r="B169" s="3" t="str">
        <f ca="1">IFERROR(__xludf.DUMMYFUNCTION("IF(ISBLANK(A169),"""",GOOGLETRANSLATE(A169,""en"",""fr""))"),"")</f>
        <v/>
      </c>
    </row>
    <row r="170" spans="2:2">
      <c r="B170" s="3" t="str">
        <f ca="1">IFERROR(__xludf.DUMMYFUNCTION("IF(ISBLANK(A170),"""",GOOGLETRANSLATE(A170,""en"",""fr""))"),"")</f>
        <v/>
      </c>
    </row>
    <row r="171" spans="2:2">
      <c r="B171" s="3" t="str">
        <f ca="1">IFERROR(__xludf.DUMMYFUNCTION("IF(ISBLANK(A171),"""",GOOGLETRANSLATE(A171,""en"",""fr""))"),"")</f>
        <v/>
      </c>
    </row>
    <row r="172" spans="2:2">
      <c r="B172" s="3" t="str">
        <f ca="1">IFERROR(__xludf.DUMMYFUNCTION("IF(ISBLANK(A172),"""",GOOGLETRANSLATE(A172,""en"",""fr""))"),"")</f>
        <v/>
      </c>
    </row>
    <row r="173" spans="2:2">
      <c r="B173" s="3" t="str">
        <f ca="1">IFERROR(__xludf.DUMMYFUNCTION("IF(ISBLANK(A173),"""",GOOGLETRANSLATE(A173,""en"",""fr""))"),"")</f>
        <v/>
      </c>
    </row>
    <row r="174" spans="2:2">
      <c r="B174" s="3" t="str">
        <f ca="1">IFERROR(__xludf.DUMMYFUNCTION("IF(ISBLANK(A174),"""",GOOGLETRANSLATE(A174,""en"",""fr""))"),"")</f>
        <v/>
      </c>
    </row>
    <row r="175" spans="2:2">
      <c r="B175" s="3" t="str">
        <f ca="1">IFERROR(__xludf.DUMMYFUNCTION("IF(ISBLANK(A175),"""",GOOGLETRANSLATE(A175,""en"",""fr""))"),"")</f>
        <v/>
      </c>
    </row>
    <row r="176" spans="2:2">
      <c r="B176" s="3" t="str">
        <f ca="1">IFERROR(__xludf.DUMMYFUNCTION("IF(ISBLANK(A176),"""",GOOGLETRANSLATE(A176,""en"",""fr""))"),"")</f>
        <v/>
      </c>
    </row>
    <row r="177" spans="2:2">
      <c r="B177" s="3" t="str">
        <f ca="1">IFERROR(__xludf.DUMMYFUNCTION("IF(ISBLANK(A177),"""",GOOGLETRANSLATE(A177,""en"",""fr""))"),"")</f>
        <v/>
      </c>
    </row>
    <row r="178" spans="2:2">
      <c r="B178" s="3" t="str">
        <f ca="1">IFERROR(__xludf.DUMMYFUNCTION("IF(ISBLANK(A178),"""",GOOGLETRANSLATE(A178,""en"",""fr""))"),"")</f>
        <v/>
      </c>
    </row>
    <row r="179" spans="2:2">
      <c r="B179" s="3" t="str">
        <f ca="1">IFERROR(__xludf.DUMMYFUNCTION("IF(ISBLANK(A179),"""",GOOGLETRANSLATE(A179,""en"",""fr""))"),"")</f>
        <v/>
      </c>
    </row>
    <row r="180" spans="2:2">
      <c r="B180" s="3" t="str">
        <f ca="1">IFERROR(__xludf.DUMMYFUNCTION("IF(ISBLANK(A180),"""",GOOGLETRANSLATE(A180,""en"",""fr""))"),"")</f>
        <v/>
      </c>
    </row>
    <row r="181" spans="2:2">
      <c r="B181" s="3" t="str">
        <f ca="1">IFERROR(__xludf.DUMMYFUNCTION("IF(ISBLANK(A181),"""",GOOGLETRANSLATE(A181,""en"",""fr""))"),"")</f>
        <v/>
      </c>
    </row>
    <row r="182" spans="2:2">
      <c r="B182" s="3" t="str">
        <f ca="1">IFERROR(__xludf.DUMMYFUNCTION("IF(ISBLANK(A182),"""",GOOGLETRANSLATE(A182,""en"",""fr""))"),"")</f>
        <v/>
      </c>
    </row>
    <row r="183" spans="2:2">
      <c r="B183" s="3" t="str">
        <f ca="1">IFERROR(__xludf.DUMMYFUNCTION("IF(ISBLANK(A183),"""",GOOGLETRANSLATE(A183,""en"",""fr""))"),"")</f>
        <v/>
      </c>
    </row>
    <row r="184" spans="2:2">
      <c r="B184" s="3" t="str">
        <f ca="1">IFERROR(__xludf.DUMMYFUNCTION("IF(ISBLANK(A184),"""",GOOGLETRANSLATE(A184,""en"",""fr""))"),"")</f>
        <v/>
      </c>
    </row>
    <row r="185" spans="2:2">
      <c r="B185" s="3" t="str">
        <f ca="1">IFERROR(__xludf.DUMMYFUNCTION("IF(ISBLANK(A185),"""",GOOGLETRANSLATE(A185,""en"",""fr""))"),"")</f>
        <v/>
      </c>
    </row>
    <row r="186" spans="2:2">
      <c r="B186" s="3" t="str">
        <f ca="1">IFERROR(__xludf.DUMMYFUNCTION("IF(ISBLANK(A186),"""",GOOGLETRANSLATE(A186,""en"",""fr""))"),"")</f>
        <v/>
      </c>
    </row>
    <row r="187" spans="2:2">
      <c r="B187" s="3" t="str">
        <f ca="1">IFERROR(__xludf.DUMMYFUNCTION("IF(ISBLANK(A187),"""",GOOGLETRANSLATE(A187,""en"",""fr""))"),"")</f>
        <v/>
      </c>
    </row>
    <row r="188" spans="2:2">
      <c r="B188" s="3" t="str">
        <f ca="1">IFERROR(__xludf.DUMMYFUNCTION("IF(ISBLANK(A188),"""",GOOGLETRANSLATE(A188,""en"",""fr""))"),"")</f>
        <v/>
      </c>
    </row>
    <row r="189" spans="2:2">
      <c r="B189" s="3" t="str">
        <f ca="1">IFERROR(__xludf.DUMMYFUNCTION("IF(ISBLANK(A189),"""",GOOGLETRANSLATE(A189,""en"",""fr""))"),"")</f>
        <v/>
      </c>
    </row>
    <row r="190" spans="2:2">
      <c r="B190" s="3" t="str">
        <f ca="1">IFERROR(__xludf.DUMMYFUNCTION("IF(ISBLANK(A190),"""",GOOGLETRANSLATE(A190,""en"",""fr""))"),"")</f>
        <v/>
      </c>
    </row>
    <row r="191" spans="2:2">
      <c r="B191" s="3" t="str">
        <f ca="1">IFERROR(__xludf.DUMMYFUNCTION("IF(ISBLANK(A191),"""",GOOGLETRANSLATE(A191,""en"",""fr""))"),"")</f>
        <v/>
      </c>
    </row>
    <row r="192" spans="2:2">
      <c r="B192" s="3" t="str">
        <f ca="1">IFERROR(__xludf.DUMMYFUNCTION("IF(ISBLANK(A192),"""",GOOGLETRANSLATE(A192,""en"",""fr""))"),"")</f>
        <v/>
      </c>
    </row>
    <row r="193" spans="2:2">
      <c r="B193" s="3" t="str">
        <f ca="1">IFERROR(__xludf.DUMMYFUNCTION("IF(ISBLANK(A193),"""",GOOGLETRANSLATE(A193,""en"",""fr""))"),"")</f>
        <v/>
      </c>
    </row>
    <row r="194" spans="2:2">
      <c r="B194" s="3" t="str">
        <f ca="1">IFERROR(__xludf.DUMMYFUNCTION("IF(ISBLANK(A194),"""",GOOGLETRANSLATE(A194,""en"",""fr""))"),"")</f>
        <v/>
      </c>
    </row>
    <row r="195" spans="2:2">
      <c r="B195" s="3" t="str">
        <f ca="1">IFERROR(__xludf.DUMMYFUNCTION("IF(ISBLANK(A195),"""",GOOGLETRANSLATE(A195,""en"",""fr""))"),"")</f>
        <v/>
      </c>
    </row>
    <row r="196" spans="2:2">
      <c r="B196" s="3" t="str">
        <f ca="1">IFERROR(__xludf.DUMMYFUNCTION("IF(ISBLANK(A196),"""",GOOGLETRANSLATE(A196,""en"",""fr""))"),"")</f>
        <v/>
      </c>
    </row>
    <row r="197" spans="2:2">
      <c r="B197" s="3" t="str">
        <f ca="1">IFERROR(__xludf.DUMMYFUNCTION("IF(ISBLANK(A197),"""",GOOGLETRANSLATE(A197,""en"",""fr""))"),"")</f>
        <v/>
      </c>
    </row>
    <row r="198" spans="2:2">
      <c r="B198" s="3" t="str">
        <f ca="1">IFERROR(__xludf.DUMMYFUNCTION("IF(ISBLANK(A198),"""",GOOGLETRANSLATE(A198,""en"",""fr""))"),"")</f>
        <v/>
      </c>
    </row>
    <row r="199" spans="2:2">
      <c r="B199" s="3" t="str">
        <f ca="1">IFERROR(__xludf.DUMMYFUNCTION("IF(ISBLANK(A199),"""",GOOGLETRANSLATE(A199,""en"",""fr""))"),"")</f>
        <v/>
      </c>
    </row>
    <row r="200" spans="2:2">
      <c r="B200" s="3" t="str">
        <f ca="1">IFERROR(__xludf.DUMMYFUNCTION("IF(ISBLANK(A200),"""",GOOGLETRANSLATE(A200,""en"",""fr""))"),"")</f>
        <v/>
      </c>
    </row>
    <row r="201" spans="2:2">
      <c r="B201" s="3" t="str">
        <f ca="1">IFERROR(__xludf.DUMMYFUNCTION("IF(ISBLANK(A201),"""",GOOGLETRANSLATE(A201,""en"",""fr""))"),"")</f>
        <v/>
      </c>
    </row>
    <row r="202" spans="2:2">
      <c r="B202" s="3" t="str">
        <f ca="1">IFERROR(__xludf.DUMMYFUNCTION("IF(ISBLANK(A202),"""",GOOGLETRANSLATE(A202,""en"",""fr""))"),"")</f>
        <v/>
      </c>
    </row>
    <row r="203" spans="2:2">
      <c r="B203" s="3" t="str">
        <f ca="1">IFERROR(__xludf.DUMMYFUNCTION("IF(ISBLANK(A203),"""",GOOGLETRANSLATE(A203,""en"",""fr""))"),"")</f>
        <v/>
      </c>
    </row>
    <row r="204" spans="2:2">
      <c r="B204" s="3" t="str">
        <f ca="1">IFERROR(__xludf.DUMMYFUNCTION("IF(ISBLANK(A204),"""",GOOGLETRANSLATE(A204,""en"",""fr""))"),"")</f>
        <v/>
      </c>
    </row>
    <row r="205" spans="2:2">
      <c r="B205" s="3" t="str">
        <f ca="1">IFERROR(__xludf.DUMMYFUNCTION("IF(ISBLANK(A205),"""",GOOGLETRANSLATE(A205,""en"",""fr""))"),"")</f>
        <v/>
      </c>
    </row>
    <row r="206" spans="2:2">
      <c r="B206" s="3" t="str">
        <f ca="1">IFERROR(__xludf.DUMMYFUNCTION("IF(ISBLANK(A206),"""",GOOGLETRANSLATE(A206,""en"",""fr""))"),"")</f>
        <v/>
      </c>
    </row>
    <row r="207" spans="2:2">
      <c r="B207" s="3" t="str">
        <f ca="1">IFERROR(__xludf.DUMMYFUNCTION("IF(ISBLANK(A207),"""",GOOGLETRANSLATE(A207,""en"",""fr""))"),"")</f>
        <v/>
      </c>
    </row>
    <row r="208" spans="2:2">
      <c r="B208" s="3" t="str">
        <f ca="1">IFERROR(__xludf.DUMMYFUNCTION("IF(ISBLANK(A208),"""",GOOGLETRANSLATE(A208,""en"",""fr""))"),"")</f>
        <v/>
      </c>
    </row>
    <row r="209" spans="2:2">
      <c r="B209" s="3" t="str">
        <f ca="1">IFERROR(__xludf.DUMMYFUNCTION("IF(ISBLANK(A209),"""",GOOGLETRANSLATE(A209,""en"",""fr""))"),"")</f>
        <v/>
      </c>
    </row>
    <row r="210" spans="2:2">
      <c r="B210" s="3" t="str">
        <f ca="1">IFERROR(__xludf.DUMMYFUNCTION("IF(ISBLANK(A210),"""",GOOGLETRANSLATE(A210,""en"",""fr""))"),"")</f>
        <v/>
      </c>
    </row>
    <row r="211" spans="2:2">
      <c r="B211" s="3" t="str">
        <f ca="1">IFERROR(__xludf.DUMMYFUNCTION("IF(ISBLANK(A211),"""",GOOGLETRANSLATE(A211,""en"",""fr""))"),"")</f>
        <v/>
      </c>
    </row>
    <row r="212" spans="2:2">
      <c r="B212" s="3" t="str">
        <f ca="1">IFERROR(__xludf.DUMMYFUNCTION("IF(ISBLANK(A212),"""",GOOGLETRANSLATE(A212,""en"",""fr""))"),"")</f>
        <v/>
      </c>
    </row>
    <row r="213" spans="2:2">
      <c r="B213" s="3" t="str">
        <f ca="1">IFERROR(__xludf.DUMMYFUNCTION("IF(ISBLANK(A213),"""",GOOGLETRANSLATE(A213,""en"",""fr""))"),"")</f>
        <v/>
      </c>
    </row>
    <row r="214" spans="2:2">
      <c r="B214" s="3" t="str">
        <f ca="1">IFERROR(__xludf.DUMMYFUNCTION("IF(ISBLANK(A214),"""",GOOGLETRANSLATE(A214,""en"",""fr""))"),"")</f>
        <v/>
      </c>
    </row>
    <row r="215" spans="2:2">
      <c r="B215" s="3" t="str">
        <f ca="1">IFERROR(__xludf.DUMMYFUNCTION("IF(ISBLANK(A215),"""",GOOGLETRANSLATE(A215,""en"",""fr""))"),"")</f>
        <v/>
      </c>
    </row>
    <row r="216" spans="2:2">
      <c r="B216" s="3" t="str">
        <f ca="1">IFERROR(__xludf.DUMMYFUNCTION("IF(ISBLANK(A216),"""",GOOGLETRANSLATE(A216,""en"",""fr""))"),"")</f>
        <v/>
      </c>
    </row>
    <row r="217" spans="2:2">
      <c r="B217" s="3" t="str">
        <f ca="1">IFERROR(__xludf.DUMMYFUNCTION("IF(ISBLANK(A217),"""",GOOGLETRANSLATE(A217,""en"",""fr""))"),"")</f>
        <v/>
      </c>
    </row>
    <row r="218" spans="2:2">
      <c r="B218" s="3" t="str">
        <f ca="1">IFERROR(__xludf.DUMMYFUNCTION("IF(ISBLANK(A218),"""",GOOGLETRANSLATE(A218,""en"",""fr""))"),"")</f>
        <v/>
      </c>
    </row>
    <row r="219" spans="2:2">
      <c r="B219" s="3" t="str">
        <f ca="1">IFERROR(__xludf.DUMMYFUNCTION("IF(ISBLANK(A219),"""",GOOGLETRANSLATE(A219,""en"",""fr""))"),"")</f>
        <v/>
      </c>
    </row>
    <row r="220" spans="2:2">
      <c r="B220" s="3" t="str">
        <f ca="1">IFERROR(__xludf.DUMMYFUNCTION("IF(ISBLANK(A220),"""",GOOGLETRANSLATE(A220,""en"",""fr""))"),"")</f>
        <v/>
      </c>
    </row>
    <row r="221" spans="2:2">
      <c r="B221" s="3" t="str">
        <f ca="1">IFERROR(__xludf.DUMMYFUNCTION("IF(ISBLANK(A221),"""",GOOGLETRANSLATE(A221,""en"",""fr""))"),"")</f>
        <v/>
      </c>
    </row>
    <row r="222" spans="2:2">
      <c r="B222" s="3" t="str">
        <f ca="1">IFERROR(__xludf.DUMMYFUNCTION("IF(ISBLANK(A222),"""",GOOGLETRANSLATE(A222,""en"",""fr""))"),"")</f>
        <v/>
      </c>
    </row>
    <row r="223" spans="2:2">
      <c r="B223" s="3" t="str">
        <f ca="1">IFERROR(__xludf.DUMMYFUNCTION("IF(ISBLANK(A223),"""",GOOGLETRANSLATE(A223,""en"",""fr""))"),"")</f>
        <v/>
      </c>
    </row>
    <row r="224" spans="2:2">
      <c r="B224" s="3" t="str">
        <f ca="1">IFERROR(__xludf.DUMMYFUNCTION("IF(ISBLANK(A224),"""",GOOGLETRANSLATE(A224,""en"",""fr""))"),"")</f>
        <v/>
      </c>
    </row>
    <row r="225" spans="2:2">
      <c r="B225" s="3" t="str">
        <f ca="1">IFERROR(__xludf.DUMMYFUNCTION("IF(ISBLANK(A225),"""",GOOGLETRANSLATE(A225,""en"",""fr""))"),"")</f>
        <v/>
      </c>
    </row>
    <row r="226" spans="2:2">
      <c r="B226" s="3" t="str">
        <f ca="1">IFERROR(__xludf.DUMMYFUNCTION("IF(ISBLANK(A226),"""",GOOGLETRANSLATE(A226,""en"",""fr""))"),"")</f>
        <v/>
      </c>
    </row>
    <row r="227" spans="2:2">
      <c r="B227" s="3" t="str">
        <f ca="1">IFERROR(__xludf.DUMMYFUNCTION("IF(ISBLANK(A227),"""",GOOGLETRANSLATE(A227,""en"",""fr""))"),"")</f>
        <v/>
      </c>
    </row>
    <row r="228" spans="2:2">
      <c r="B228" s="3" t="str">
        <f ca="1">IFERROR(__xludf.DUMMYFUNCTION("IF(ISBLANK(A228),"""",GOOGLETRANSLATE(A228,""en"",""fr""))"),"")</f>
        <v/>
      </c>
    </row>
    <row r="229" spans="2:2">
      <c r="B229" s="3" t="str">
        <f ca="1">IFERROR(__xludf.DUMMYFUNCTION("IF(ISBLANK(A229),"""",GOOGLETRANSLATE(A229,""en"",""fr""))"),"")</f>
        <v/>
      </c>
    </row>
    <row r="230" spans="2:2">
      <c r="B230" s="3" t="str">
        <f ca="1">IFERROR(__xludf.DUMMYFUNCTION("IF(ISBLANK(A230),"""",GOOGLETRANSLATE(A230,""en"",""fr""))"),"")</f>
        <v/>
      </c>
    </row>
    <row r="231" spans="2:2">
      <c r="B231" s="3" t="str">
        <f ca="1">IFERROR(__xludf.DUMMYFUNCTION("IF(ISBLANK(A231),"""",GOOGLETRANSLATE(A231,""en"",""fr""))"),"")</f>
        <v/>
      </c>
    </row>
    <row r="232" spans="2:2">
      <c r="B232" s="3" t="str">
        <f ca="1">IFERROR(__xludf.DUMMYFUNCTION("IF(ISBLANK(A232),"""",GOOGLETRANSLATE(A232,""en"",""fr""))"),"")</f>
        <v/>
      </c>
    </row>
    <row r="233" spans="2:2">
      <c r="B233" s="3" t="str">
        <f ca="1">IFERROR(__xludf.DUMMYFUNCTION("IF(ISBLANK(A233),"""",GOOGLETRANSLATE(A233,""en"",""fr""))"),"")</f>
        <v/>
      </c>
    </row>
    <row r="234" spans="2:2">
      <c r="B234" s="3" t="str">
        <f ca="1">IFERROR(__xludf.DUMMYFUNCTION("IF(ISBLANK(A234),"""",GOOGLETRANSLATE(A234,""en"",""fr""))"),"")</f>
        <v/>
      </c>
    </row>
    <row r="235" spans="2:2">
      <c r="B235" s="3" t="str">
        <f ca="1">IFERROR(__xludf.DUMMYFUNCTION("IF(ISBLANK(A235),"""",GOOGLETRANSLATE(A235,""en"",""fr""))"),"")</f>
        <v/>
      </c>
    </row>
    <row r="236" spans="2:2">
      <c r="B236" s="3" t="str">
        <f ca="1">IFERROR(__xludf.DUMMYFUNCTION("IF(ISBLANK(A236),"""",GOOGLETRANSLATE(A236,""en"",""fr""))"),"")</f>
        <v/>
      </c>
    </row>
    <row r="237" spans="2:2">
      <c r="B237" s="3" t="str">
        <f ca="1">IFERROR(__xludf.DUMMYFUNCTION("IF(ISBLANK(A237),"""",GOOGLETRANSLATE(A237,""en"",""fr""))"),"")</f>
        <v/>
      </c>
    </row>
    <row r="238" spans="2:2">
      <c r="B238" s="3" t="str">
        <f ca="1">IFERROR(__xludf.DUMMYFUNCTION("IF(ISBLANK(A238),"""",GOOGLETRANSLATE(A238,""en"",""fr""))"),"")</f>
        <v/>
      </c>
    </row>
    <row r="239" spans="2:2">
      <c r="B239" s="3" t="str">
        <f ca="1">IFERROR(__xludf.DUMMYFUNCTION("IF(ISBLANK(A239),"""",GOOGLETRANSLATE(A239,""en"",""fr""))"),"")</f>
        <v/>
      </c>
    </row>
    <row r="240" spans="2:2">
      <c r="B240" s="3" t="str">
        <f ca="1">IFERROR(__xludf.DUMMYFUNCTION("IF(ISBLANK(A240),"""",GOOGLETRANSLATE(A240,""en"",""fr""))"),"")</f>
        <v/>
      </c>
    </row>
    <row r="241" spans="2:2">
      <c r="B241" s="3" t="str">
        <f ca="1">IFERROR(__xludf.DUMMYFUNCTION("IF(ISBLANK(A241),"""",GOOGLETRANSLATE(A241,""en"",""fr""))"),"")</f>
        <v/>
      </c>
    </row>
    <row r="242" spans="2:2">
      <c r="B242" s="3" t="str">
        <f ca="1">IFERROR(__xludf.DUMMYFUNCTION("IF(ISBLANK(A242),"""",GOOGLETRANSLATE(A242,""en"",""fr""))"),"")</f>
        <v/>
      </c>
    </row>
    <row r="243" spans="2:2">
      <c r="B243" s="3" t="str">
        <f ca="1">IFERROR(__xludf.DUMMYFUNCTION("IF(ISBLANK(A243),"""",GOOGLETRANSLATE(A243,""en"",""fr""))"),"")</f>
        <v/>
      </c>
    </row>
    <row r="244" spans="2:2">
      <c r="B244" s="3" t="str">
        <f ca="1">IFERROR(__xludf.DUMMYFUNCTION("IF(ISBLANK(A244),"""",GOOGLETRANSLATE(A244,""en"",""fr""))"),"")</f>
        <v/>
      </c>
    </row>
    <row r="245" spans="2:2">
      <c r="B245" s="3" t="str">
        <f ca="1">IFERROR(__xludf.DUMMYFUNCTION("IF(ISBLANK(A245),"""",GOOGLETRANSLATE(A245,""en"",""fr""))"),"")</f>
        <v/>
      </c>
    </row>
    <row r="246" spans="2:2">
      <c r="B246" s="3" t="str">
        <f ca="1">IFERROR(__xludf.DUMMYFUNCTION("IF(ISBLANK(A246),"""",GOOGLETRANSLATE(A246,""en"",""fr""))"),"")</f>
        <v/>
      </c>
    </row>
    <row r="247" spans="2:2">
      <c r="B247" s="3" t="str">
        <f ca="1">IFERROR(__xludf.DUMMYFUNCTION("IF(ISBLANK(A247),"""",GOOGLETRANSLATE(A247,""en"",""fr""))"),"")</f>
        <v/>
      </c>
    </row>
    <row r="248" spans="2:2">
      <c r="B248" s="3" t="str">
        <f ca="1">IFERROR(__xludf.DUMMYFUNCTION("IF(ISBLANK(A248),"""",GOOGLETRANSLATE(A248,""en"",""fr""))"),"")</f>
        <v/>
      </c>
    </row>
    <row r="249" spans="2:2">
      <c r="B249" s="3" t="str">
        <f ca="1">IFERROR(__xludf.DUMMYFUNCTION("IF(ISBLANK(A249),"""",GOOGLETRANSLATE(A249,""en"",""fr""))"),"")</f>
        <v/>
      </c>
    </row>
    <row r="250" spans="2:2">
      <c r="B250" s="3" t="str">
        <f ca="1">IFERROR(__xludf.DUMMYFUNCTION("IF(ISBLANK(A250),"""",GOOGLETRANSLATE(A250,""en"",""fr""))"),"")</f>
        <v/>
      </c>
    </row>
    <row r="251" spans="2:2">
      <c r="B251" s="3" t="str">
        <f ca="1">IFERROR(__xludf.DUMMYFUNCTION("IF(ISBLANK(A251),"""",GOOGLETRANSLATE(A251,""en"",""fr""))"),"")</f>
        <v/>
      </c>
    </row>
    <row r="252" spans="2:2">
      <c r="B252" s="3" t="str">
        <f ca="1">IFERROR(__xludf.DUMMYFUNCTION("IF(ISBLANK(A252),"""",GOOGLETRANSLATE(A252,""en"",""fr""))"),"")</f>
        <v/>
      </c>
    </row>
    <row r="253" spans="2:2">
      <c r="B253" s="3" t="str">
        <f ca="1">IFERROR(__xludf.DUMMYFUNCTION("IF(ISBLANK(A253),"""",GOOGLETRANSLATE(A253,""en"",""fr""))"),"")</f>
        <v/>
      </c>
    </row>
    <row r="254" spans="2:2">
      <c r="B254" s="3" t="str">
        <f ca="1">IFERROR(__xludf.DUMMYFUNCTION("IF(ISBLANK(A254),"""",GOOGLETRANSLATE(A254,""en"",""fr""))"),"")</f>
        <v/>
      </c>
    </row>
    <row r="255" spans="2:2">
      <c r="B255" s="3" t="str">
        <f ca="1">IFERROR(__xludf.DUMMYFUNCTION("IF(ISBLANK(A255),"""",GOOGLETRANSLATE(A255,""en"",""fr""))"),"")</f>
        <v/>
      </c>
    </row>
    <row r="256" spans="2:2">
      <c r="B256" s="3" t="str">
        <f ca="1">IFERROR(__xludf.DUMMYFUNCTION("IF(ISBLANK(A256),"""",GOOGLETRANSLATE(A256,""en"",""fr""))"),"")</f>
        <v/>
      </c>
    </row>
    <row r="257" spans="2:2">
      <c r="B257" s="3" t="str">
        <f ca="1">IFERROR(__xludf.DUMMYFUNCTION("IF(ISBLANK(A257),"""",GOOGLETRANSLATE(A257,""en"",""fr""))"),"")</f>
        <v/>
      </c>
    </row>
    <row r="258" spans="2:2">
      <c r="B258" s="3" t="str">
        <f ca="1">IFERROR(__xludf.DUMMYFUNCTION("IF(ISBLANK(A258),"""",GOOGLETRANSLATE(A258,""en"",""fr""))"),"")</f>
        <v/>
      </c>
    </row>
    <row r="259" spans="2:2">
      <c r="B259" s="3" t="str">
        <f ca="1">IFERROR(__xludf.DUMMYFUNCTION("IF(ISBLANK(A259),"""",GOOGLETRANSLATE(A259,""en"",""fr""))"),"")</f>
        <v/>
      </c>
    </row>
    <row r="260" spans="2:2">
      <c r="B260" s="3" t="str">
        <f ca="1">IFERROR(__xludf.DUMMYFUNCTION("IF(ISBLANK(A260),"""",GOOGLETRANSLATE(A260,""en"",""fr""))"),"")</f>
        <v/>
      </c>
    </row>
    <row r="261" spans="2:2">
      <c r="B261" s="3" t="str">
        <f ca="1">IFERROR(__xludf.DUMMYFUNCTION("IF(ISBLANK(A261),"""",GOOGLETRANSLATE(A261,""en"",""fr""))"),"")</f>
        <v/>
      </c>
    </row>
    <row r="262" spans="2:2">
      <c r="B262" s="3" t="str">
        <f ca="1">IFERROR(__xludf.DUMMYFUNCTION("IF(ISBLANK(A262),"""",GOOGLETRANSLATE(A262,""en"",""fr""))"),"")</f>
        <v/>
      </c>
    </row>
    <row r="263" spans="2:2">
      <c r="B263" s="3" t="str">
        <f ca="1">IFERROR(__xludf.DUMMYFUNCTION("IF(ISBLANK(A263),"""",GOOGLETRANSLATE(A263,""en"",""fr""))"),"")</f>
        <v/>
      </c>
    </row>
    <row r="264" spans="2:2">
      <c r="B264" s="3" t="str">
        <f ca="1">IFERROR(__xludf.DUMMYFUNCTION("IF(ISBLANK(A264),"""",GOOGLETRANSLATE(A264,""en"",""fr""))"),"")</f>
        <v/>
      </c>
    </row>
    <row r="265" spans="2:2">
      <c r="B265" s="3" t="str">
        <f ca="1">IFERROR(__xludf.DUMMYFUNCTION("IF(ISBLANK(A265),"""",GOOGLETRANSLATE(A265,""en"",""fr""))"),"")</f>
        <v/>
      </c>
    </row>
    <row r="266" spans="2:2">
      <c r="B266" s="3" t="str">
        <f ca="1">IFERROR(__xludf.DUMMYFUNCTION("IF(ISBLANK(A266),"""",GOOGLETRANSLATE(A266,""en"",""fr""))"),"")</f>
        <v/>
      </c>
    </row>
    <row r="267" spans="2:2">
      <c r="B267" s="3" t="str">
        <f ca="1">IFERROR(__xludf.DUMMYFUNCTION("IF(ISBLANK(A267),"""",GOOGLETRANSLATE(A267,""en"",""fr""))"),"")</f>
        <v/>
      </c>
    </row>
    <row r="268" spans="2:2">
      <c r="B268" s="3" t="str">
        <f ca="1">IFERROR(__xludf.DUMMYFUNCTION("IF(ISBLANK(A268),"""",GOOGLETRANSLATE(A268,""en"",""fr""))"),"")</f>
        <v/>
      </c>
    </row>
    <row r="269" spans="2:2">
      <c r="B269" s="3" t="str">
        <f ca="1">IFERROR(__xludf.DUMMYFUNCTION("IF(ISBLANK(A269),"""",GOOGLETRANSLATE(A269,""en"",""fr""))"),"")</f>
        <v/>
      </c>
    </row>
    <row r="270" spans="2:2">
      <c r="B270" s="3" t="str">
        <f ca="1">IFERROR(__xludf.DUMMYFUNCTION("IF(ISBLANK(A270),"""",GOOGLETRANSLATE(A270,""en"",""fr""))"),"")</f>
        <v/>
      </c>
    </row>
    <row r="271" spans="2:2">
      <c r="B271" s="3" t="str">
        <f ca="1">IFERROR(__xludf.DUMMYFUNCTION("IF(ISBLANK(A271),"""",GOOGLETRANSLATE(A271,""en"",""fr""))"),"")</f>
        <v/>
      </c>
    </row>
    <row r="272" spans="2:2">
      <c r="B272" s="3" t="str">
        <f ca="1">IFERROR(__xludf.DUMMYFUNCTION("IF(ISBLANK(A272),"""",GOOGLETRANSLATE(A272,""en"",""fr""))"),"")</f>
        <v/>
      </c>
    </row>
    <row r="273" spans="2:2">
      <c r="B273" s="3" t="str">
        <f ca="1">IFERROR(__xludf.DUMMYFUNCTION("IF(ISBLANK(A273),"""",GOOGLETRANSLATE(A273,""en"",""fr""))"),"")</f>
        <v/>
      </c>
    </row>
    <row r="274" spans="2:2">
      <c r="B274" s="3" t="str">
        <f ca="1">IFERROR(__xludf.DUMMYFUNCTION("IF(ISBLANK(A274),"""",GOOGLETRANSLATE(A274,""en"",""fr""))"),"")</f>
        <v/>
      </c>
    </row>
    <row r="275" spans="2:2">
      <c r="B275" s="3" t="str">
        <f ca="1">IFERROR(__xludf.DUMMYFUNCTION("IF(ISBLANK(A275),"""",GOOGLETRANSLATE(A275,""en"",""fr""))"),"")</f>
        <v/>
      </c>
    </row>
    <row r="276" spans="2:2">
      <c r="B276" s="3" t="str">
        <f ca="1">IFERROR(__xludf.DUMMYFUNCTION("IF(ISBLANK(A276),"""",GOOGLETRANSLATE(A276,""en"",""fr""))"),"")</f>
        <v/>
      </c>
    </row>
    <row r="277" spans="2:2">
      <c r="B277" s="3" t="str">
        <f ca="1">IFERROR(__xludf.DUMMYFUNCTION("IF(ISBLANK(A277),"""",GOOGLETRANSLATE(A277,""en"",""fr""))"),"")</f>
        <v/>
      </c>
    </row>
    <row r="278" spans="2:2">
      <c r="B278" s="3" t="str">
        <f ca="1">IFERROR(__xludf.DUMMYFUNCTION("IF(ISBLANK(A278),"""",GOOGLETRANSLATE(A278,""en"",""fr""))"),"")</f>
        <v/>
      </c>
    </row>
    <row r="279" spans="2:2">
      <c r="B279" s="3" t="str">
        <f ca="1">IFERROR(__xludf.DUMMYFUNCTION("IF(ISBLANK(A279),"""",GOOGLETRANSLATE(A279,""en"",""fr""))"),"")</f>
        <v/>
      </c>
    </row>
    <row r="280" spans="2:2">
      <c r="B280" s="3" t="str">
        <f ca="1">IFERROR(__xludf.DUMMYFUNCTION("IF(ISBLANK(A280),"""",GOOGLETRANSLATE(A280,""en"",""fr""))"),"")</f>
        <v/>
      </c>
    </row>
    <row r="281" spans="2:2">
      <c r="B281" s="3" t="str">
        <f ca="1">IFERROR(__xludf.DUMMYFUNCTION("IF(ISBLANK(A281),"""",GOOGLETRANSLATE(A281,""en"",""fr""))"),"")</f>
        <v/>
      </c>
    </row>
    <row r="282" spans="2:2">
      <c r="B282" s="3" t="str">
        <f ca="1">IFERROR(__xludf.DUMMYFUNCTION("IF(ISBLANK(A282),"""",GOOGLETRANSLATE(A282,""en"",""fr""))"),"")</f>
        <v/>
      </c>
    </row>
    <row r="283" spans="2:2">
      <c r="B283" s="3" t="str">
        <f ca="1">IFERROR(__xludf.DUMMYFUNCTION("IF(ISBLANK(A283),"""",GOOGLETRANSLATE(A283,""en"",""fr""))"),"")</f>
        <v/>
      </c>
    </row>
    <row r="284" spans="2:2">
      <c r="B284" s="3" t="str">
        <f ca="1">IFERROR(__xludf.DUMMYFUNCTION("IF(ISBLANK(A284),"""",GOOGLETRANSLATE(A284,""en"",""fr""))"),"")</f>
        <v/>
      </c>
    </row>
    <row r="285" spans="2:2">
      <c r="B285" s="3" t="str">
        <f ca="1">IFERROR(__xludf.DUMMYFUNCTION("IF(ISBLANK(A285),"""",GOOGLETRANSLATE(A285,""en"",""fr""))"),"")</f>
        <v/>
      </c>
    </row>
    <row r="286" spans="2:2">
      <c r="B286" s="3" t="str">
        <f ca="1">IFERROR(__xludf.DUMMYFUNCTION("IF(ISBLANK(A286),"""",GOOGLETRANSLATE(A286,""en"",""fr""))"),"")</f>
        <v/>
      </c>
    </row>
    <row r="287" spans="2:2">
      <c r="B287" s="3" t="str">
        <f ca="1">IFERROR(__xludf.DUMMYFUNCTION("IF(ISBLANK(A287),"""",GOOGLETRANSLATE(A287,""en"",""fr""))"),"")</f>
        <v/>
      </c>
    </row>
    <row r="288" spans="2:2">
      <c r="B288" s="3" t="str">
        <f ca="1">IFERROR(__xludf.DUMMYFUNCTION("IF(ISBLANK(A288),"""",GOOGLETRANSLATE(A288,""en"",""fr""))"),"")</f>
        <v/>
      </c>
    </row>
    <row r="289" spans="2:2">
      <c r="B289" s="3" t="str">
        <f ca="1">IFERROR(__xludf.DUMMYFUNCTION("IF(ISBLANK(A289),"""",GOOGLETRANSLATE(A289,""en"",""fr""))"),"")</f>
        <v/>
      </c>
    </row>
    <row r="290" spans="2:2">
      <c r="B290" s="3" t="str">
        <f ca="1">IFERROR(__xludf.DUMMYFUNCTION("IF(ISBLANK(A290),"""",GOOGLETRANSLATE(A290,""en"",""fr""))"),"")</f>
        <v/>
      </c>
    </row>
    <row r="291" spans="2:2">
      <c r="B291" s="3" t="str">
        <f ca="1">IFERROR(__xludf.DUMMYFUNCTION("IF(ISBLANK(A291),"""",GOOGLETRANSLATE(A291,""en"",""fr""))"),"")</f>
        <v/>
      </c>
    </row>
    <row r="292" spans="2:2">
      <c r="B292" s="3" t="str">
        <f ca="1">IFERROR(__xludf.DUMMYFUNCTION("IF(ISBLANK(A292),"""",GOOGLETRANSLATE(A292,""en"",""fr""))"),"")</f>
        <v/>
      </c>
    </row>
    <row r="293" spans="2:2">
      <c r="B293" s="3" t="str">
        <f ca="1">IFERROR(__xludf.DUMMYFUNCTION("IF(ISBLANK(A293),"""",GOOGLETRANSLATE(A293,""en"",""fr""))"),"")</f>
        <v/>
      </c>
    </row>
    <row r="294" spans="2:2">
      <c r="B294" s="3" t="str">
        <f ca="1">IFERROR(__xludf.DUMMYFUNCTION("IF(ISBLANK(A294),"""",GOOGLETRANSLATE(A294,""en"",""fr""))"),"")</f>
        <v/>
      </c>
    </row>
    <row r="295" spans="2:2">
      <c r="B295" s="3" t="str">
        <f ca="1">IFERROR(__xludf.DUMMYFUNCTION("IF(ISBLANK(A295),"""",GOOGLETRANSLATE(A295,""en"",""fr""))"),"")</f>
        <v/>
      </c>
    </row>
    <row r="296" spans="2:2">
      <c r="B296" s="3" t="str">
        <f ca="1">IFERROR(__xludf.DUMMYFUNCTION("IF(ISBLANK(A296),"""",GOOGLETRANSLATE(A296,""en"",""fr""))"),"")</f>
        <v/>
      </c>
    </row>
    <row r="297" spans="2:2">
      <c r="B297" s="3" t="str">
        <f ca="1">IFERROR(__xludf.DUMMYFUNCTION("IF(ISBLANK(A297),"""",GOOGLETRANSLATE(A297,""en"",""fr""))"),"")</f>
        <v/>
      </c>
    </row>
    <row r="298" spans="2:2">
      <c r="B298" s="3" t="str">
        <f ca="1">IFERROR(__xludf.DUMMYFUNCTION("IF(ISBLANK(A298),"""",GOOGLETRANSLATE(A298,""en"",""fr""))"),"")</f>
        <v/>
      </c>
    </row>
    <row r="299" spans="2:2">
      <c r="B299" s="3" t="str">
        <f ca="1">IFERROR(__xludf.DUMMYFUNCTION("IF(ISBLANK(A299),"""",GOOGLETRANSLATE(A299,""en"",""fr""))"),"")</f>
        <v/>
      </c>
    </row>
    <row r="300" spans="2:2">
      <c r="B300" s="3" t="str">
        <f ca="1">IFERROR(__xludf.DUMMYFUNCTION("IF(ISBLANK(A300),"""",GOOGLETRANSLATE(A300,""en"",""fr""))"),"")</f>
        <v/>
      </c>
    </row>
    <row r="301" spans="2:2">
      <c r="B301" s="3" t="str">
        <f ca="1">IFERROR(__xludf.DUMMYFUNCTION("IF(ISBLANK(A301),"""",GOOGLETRANSLATE(A301,""en"",""fr""))"),"")</f>
        <v/>
      </c>
    </row>
    <row r="302" spans="2:2">
      <c r="B302" s="3" t="str">
        <f ca="1">IFERROR(__xludf.DUMMYFUNCTION("IF(ISBLANK(A302),"""",GOOGLETRANSLATE(A302,""en"",""fr""))"),"")</f>
        <v/>
      </c>
    </row>
    <row r="303" spans="2:2">
      <c r="B303" s="3" t="str">
        <f ca="1">IFERROR(__xludf.DUMMYFUNCTION("IF(ISBLANK(A303),"""",GOOGLETRANSLATE(A303,""en"",""fr""))"),"")</f>
        <v/>
      </c>
    </row>
    <row r="304" spans="2:2">
      <c r="B304" s="3" t="str">
        <f ca="1">IFERROR(__xludf.DUMMYFUNCTION("IF(ISBLANK(A304),"""",GOOGLETRANSLATE(A304,""en"",""fr""))"),"")</f>
        <v/>
      </c>
    </row>
    <row r="305" spans="2:2">
      <c r="B305" s="3" t="str">
        <f ca="1">IFERROR(__xludf.DUMMYFUNCTION("IF(ISBLANK(A305),"""",GOOGLETRANSLATE(A305,""en"",""fr""))"),"")</f>
        <v/>
      </c>
    </row>
    <row r="306" spans="2:2">
      <c r="B306" s="3" t="str">
        <f ca="1">IFERROR(__xludf.DUMMYFUNCTION("IF(ISBLANK(A306),"""",GOOGLETRANSLATE(A306,""en"",""fr""))"),"")</f>
        <v/>
      </c>
    </row>
    <row r="307" spans="2:2">
      <c r="B307" s="3" t="str">
        <f ca="1">IFERROR(__xludf.DUMMYFUNCTION("IF(ISBLANK(A307),"""",GOOGLETRANSLATE(A307,""en"",""fr""))"),"")</f>
        <v/>
      </c>
    </row>
    <row r="308" spans="2:2">
      <c r="B308" s="3" t="str">
        <f ca="1">IFERROR(__xludf.DUMMYFUNCTION("IF(ISBLANK(A308),"""",GOOGLETRANSLATE(A308,""en"",""fr""))"),"")</f>
        <v/>
      </c>
    </row>
    <row r="309" spans="2:2">
      <c r="B309" s="3" t="str">
        <f ca="1">IFERROR(__xludf.DUMMYFUNCTION("IF(ISBLANK(A309),"""",GOOGLETRANSLATE(A309,""en"",""fr""))"),"")</f>
        <v/>
      </c>
    </row>
    <row r="310" spans="2:2">
      <c r="B310" s="3" t="str">
        <f ca="1">IFERROR(__xludf.DUMMYFUNCTION("IF(ISBLANK(A310),"""",GOOGLETRANSLATE(A310,""en"",""fr""))"),"")</f>
        <v/>
      </c>
    </row>
    <row r="311" spans="2:2">
      <c r="B311" s="3" t="str">
        <f ca="1">IFERROR(__xludf.DUMMYFUNCTION("IF(ISBLANK(A311),"""",GOOGLETRANSLATE(A311,""en"",""fr""))"),"")</f>
        <v/>
      </c>
    </row>
    <row r="312" spans="2:2">
      <c r="B312" s="3" t="str">
        <f ca="1">IFERROR(__xludf.DUMMYFUNCTION("IF(ISBLANK(A312),"""",GOOGLETRANSLATE(A312,""en"",""fr""))"),"")</f>
        <v/>
      </c>
    </row>
    <row r="313" spans="2:2">
      <c r="B313" s="3" t="str">
        <f ca="1">IFERROR(__xludf.DUMMYFUNCTION("IF(ISBLANK(A313),"""",GOOGLETRANSLATE(A313,""en"",""fr""))"),"")</f>
        <v/>
      </c>
    </row>
    <row r="314" spans="2:2">
      <c r="B314" s="3" t="str">
        <f ca="1">IFERROR(__xludf.DUMMYFUNCTION("IF(ISBLANK(A314),"""",GOOGLETRANSLATE(A314,""en"",""fr""))"),"")</f>
        <v/>
      </c>
    </row>
    <row r="315" spans="2:2">
      <c r="B315" s="3" t="str">
        <f ca="1">IFERROR(__xludf.DUMMYFUNCTION("IF(ISBLANK(A315),"""",GOOGLETRANSLATE(A315,""en"",""fr""))"),"")</f>
        <v/>
      </c>
    </row>
    <row r="316" spans="2:2">
      <c r="B316" s="3" t="str">
        <f ca="1">IFERROR(__xludf.DUMMYFUNCTION("IF(ISBLANK(A316),"""",GOOGLETRANSLATE(A316,""en"",""fr""))"),"")</f>
        <v/>
      </c>
    </row>
    <row r="317" spans="2:2">
      <c r="B317" s="3" t="str">
        <f ca="1">IFERROR(__xludf.DUMMYFUNCTION("IF(ISBLANK(A317),"""",GOOGLETRANSLATE(A317,""en"",""fr""))"),"")</f>
        <v/>
      </c>
    </row>
    <row r="318" spans="2:2">
      <c r="B318" s="3" t="str">
        <f ca="1">IFERROR(__xludf.DUMMYFUNCTION("IF(ISBLANK(A318),"""",GOOGLETRANSLATE(A318,""en"",""fr""))"),"")</f>
        <v/>
      </c>
    </row>
    <row r="319" spans="2:2">
      <c r="B319" s="3" t="str">
        <f ca="1">IFERROR(__xludf.DUMMYFUNCTION("IF(ISBLANK(A319),"""",GOOGLETRANSLATE(A319,""en"",""fr""))"),"")</f>
        <v/>
      </c>
    </row>
    <row r="320" spans="2:2">
      <c r="B320" s="3" t="str">
        <f ca="1">IFERROR(__xludf.DUMMYFUNCTION("IF(ISBLANK(A320),"""",GOOGLETRANSLATE(A320,""en"",""fr""))"),"")</f>
        <v/>
      </c>
    </row>
    <row r="321" spans="2:2">
      <c r="B321" s="3" t="str">
        <f ca="1">IFERROR(__xludf.DUMMYFUNCTION("IF(ISBLANK(A321),"""",GOOGLETRANSLATE(A321,""en"",""fr""))"),"")</f>
        <v/>
      </c>
    </row>
    <row r="322" spans="2:2">
      <c r="B322" s="3" t="str">
        <f ca="1">IFERROR(__xludf.DUMMYFUNCTION("IF(ISBLANK(A322),"""",GOOGLETRANSLATE(A322,""en"",""fr""))"),"")</f>
        <v/>
      </c>
    </row>
    <row r="323" spans="2:2">
      <c r="B323" s="3" t="str">
        <f ca="1">IFERROR(__xludf.DUMMYFUNCTION("IF(ISBLANK(A323),"""",GOOGLETRANSLATE(A323,""en"",""fr""))"),"")</f>
        <v/>
      </c>
    </row>
    <row r="324" spans="2:2">
      <c r="B324" s="3" t="str">
        <f ca="1">IFERROR(__xludf.DUMMYFUNCTION("IF(ISBLANK(A324),"""",GOOGLETRANSLATE(A324,""en"",""fr""))"),"")</f>
        <v/>
      </c>
    </row>
    <row r="325" spans="2:2">
      <c r="B325" s="3" t="str">
        <f ca="1">IFERROR(__xludf.DUMMYFUNCTION("IF(ISBLANK(A325),"""",GOOGLETRANSLATE(A325,""en"",""fr""))"),"")</f>
        <v/>
      </c>
    </row>
    <row r="326" spans="2:2">
      <c r="B326" s="3" t="str">
        <f ca="1">IFERROR(__xludf.DUMMYFUNCTION("IF(ISBLANK(A326),"""",GOOGLETRANSLATE(A326,""en"",""fr""))"),"")</f>
        <v/>
      </c>
    </row>
    <row r="327" spans="2:2">
      <c r="B327" s="3" t="str">
        <f ca="1">IFERROR(__xludf.DUMMYFUNCTION("IF(ISBLANK(A327),"""",GOOGLETRANSLATE(A327,""en"",""fr""))"),"")</f>
        <v/>
      </c>
    </row>
    <row r="328" spans="2:2">
      <c r="B328" s="3" t="str">
        <f ca="1">IFERROR(__xludf.DUMMYFUNCTION("IF(ISBLANK(A328),"""",GOOGLETRANSLATE(A328,""en"",""fr""))"),"")</f>
        <v/>
      </c>
    </row>
    <row r="329" spans="2:2">
      <c r="B329" s="3" t="str">
        <f ca="1">IFERROR(__xludf.DUMMYFUNCTION("IF(ISBLANK(A329),"""",GOOGLETRANSLATE(A329,""en"",""fr""))"),"")</f>
        <v/>
      </c>
    </row>
    <row r="330" spans="2:2">
      <c r="B330" s="3" t="str">
        <f ca="1">IFERROR(__xludf.DUMMYFUNCTION("IF(ISBLANK(A330),"""",GOOGLETRANSLATE(A330,""en"",""fr""))"),"")</f>
        <v/>
      </c>
    </row>
    <row r="331" spans="2:2">
      <c r="B331" s="3" t="str">
        <f ca="1">IFERROR(__xludf.DUMMYFUNCTION("IF(ISBLANK(A331),"""",GOOGLETRANSLATE(A331,""en"",""fr""))"),"")</f>
        <v/>
      </c>
    </row>
    <row r="332" spans="2:2">
      <c r="B332" s="3" t="str">
        <f ca="1">IFERROR(__xludf.DUMMYFUNCTION("IF(ISBLANK(A332),"""",GOOGLETRANSLATE(A332,""en"",""fr""))"),"")</f>
        <v/>
      </c>
    </row>
    <row r="333" spans="2:2">
      <c r="B333" s="3" t="str">
        <f ca="1">IFERROR(__xludf.DUMMYFUNCTION("IF(ISBLANK(A333),"""",GOOGLETRANSLATE(A333,""en"",""fr""))"),"")</f>
        <v/>
      </c>
    </row>
    <row r="334" spans="2:2">
      <c r="B334" s="3" t="str">
        <f ca="1">IFERROR(__xludf.DUMMYFUNCTION("IF(ISBLANK(A334),"""",GOOGLETRANSLATE(A334,""en"",""fr""))"),"")</f>
        <v/>
      </c>
    </row>
    <row r="335" spans="2:2">
      <c r="B335" s="3" t="str">
        <f ca="1">IFERROR(__xludf.DUMMYFUNCTION("IF(ISBLANK(A335),"""",GOOGLETRANSLATE(A335,""en"",""fr""))"),"")</f>
        <v/>
      </c>
    </row>
    <row r="336" spans="2:2">
      <c r="B336" s="3" t="str">
        <f ca="1">IFERROR(__xludf.DUMMYFUNCTION("IF(ISBLANK(A336),"""",GOOGLETRANSLATE(A336,""en"",""fr""))"),"")</f>
        <v/>
      </c>
    </row>
    <row r="337" spans="2:2">
      <c r="B337" s="3" t="str">
        <f ca="1">IFERROR(__xludf.DUMMYFUNCTION("IF(ISBLANK(A337),"""",GOOGLETRANSLATE(A337,""en"",""fr""))"),"")</f>
        <v/>
      </c>
    </row>
    <row r="338" spans="2:2">
      <c r="B338" s="3" t="str">
        <f ca="1">IFERROR(__xludf.DUMMYFUNCTION("IF(ISBLANK(A338),"""",GOOGLETRANSLATE(A338,""en"",""fr""))"),"")</f>
        <v/>
      </c>
    </row>
    <row r="339" spans="2:2">
      <c r="B339" s="3" t="str">
        <f ca="1">IFERROR(__xludf.DUMMYFUNCTION("IF(ISBLANK(A339),"""",GOOGLETRANSLATE(A339,""en"",""fr""))"),"")</f>
        <v/>
      </c>
    </row>
    <row r="340" spans="2:2">
      <c r="B340" s="3" t="str">
        <f ca="1">IFERROR(__xludf.DUMMYFUNCTION("IF(ISBLANK(A340),"""",GOOGLETRANSLATE(A340,""en"",""fr""))"),"")</f>
        <v/>
      </c>
    </row>
    <row r="341" spans="2:2">
      <c r="B341" s="3" t="str">
        <f ca="1">IFERROR(__xludf.DUMMYFUNCTION("IF(ISBLANK(A341),"""",GOOGLETRANSLATE(A341,""en"",""fr""))"),"")</f>
        <v/>
      </c>
    </row>
    <row r="342" spans="2:2">
      <c r="B342" s="3" t="str">
        <f ca="1">IFERROR(__xludf.DUMMYFUNCTION("IF(ISBLANK(A342),"""",GOOGLETRANSLATE(A342,""en"",""fr""))"),"")</f>
        <v/>
      </c>
    </row>
    <row r="343" spans="2:2">
      <c r="B343" s="3" t="str">
        <f ca="1">IFERROR(__xludf.DUMMYFUNCTION("IF(ISBLANK(A343),"""",GOOGLETRANSLATE(A343,""en"",""fr""))"),"")</f>
        <v/>
      </c>
    </row>
    <row r="344" spans="2:2">
      <c r="B344" s="3" t="str">
        <f ca="1">IFERROR(__xludf.DUMMYFUNCTION("IF(ISBLANK(A344),"""",GOOGLETRANSLATE(A344,""en"",""fr""))"),"")</f>
        <v/>
      </c>
    </row>
    <row r="345" spans="2:2">
      <c r="B345" s="3" t="str">
        <f ca="1">IFERROR(__xludf.DUMMYFUNCTION("IF(ISBLANK(A345),"""",GOOGLETRANSLATE(A345,""en"",""fr""))"),"")</f>
        <v/>
      </c>
    </row>
    <row r="346" spans="2:2">
      <c r="B346" s="3" t="str">
        <f ca="1">IFERROR(__xludf.DUMMYFUNCTION("IF(ISBLANK(A346),"""",GOOGLETRANSLATE(A346,""en"",""fr""))"),"")</f>
        <v/>
      </c>
    </row>
    <row r="347" spans="2:2">
      <c r="B347" s="3" t="str">
        <f ca="1">IFERROR(__xludf.DUMMYFUNCTION("IF(ISBLANK(A347),"""",GOOGLETRANSLATE(A347,""en"",""fr""))"),"")</f>
        <v/>
      </c>
    </row>
    <row r="348" spans="2:2">
      <c r="B348" s="3" t="str">
        <f ca="1">IFERROR(__xludf.DUMMYFUNCTION("IF(ISBLANK(A348),"""",GOOGLETRANSLATE(A348,""en"",""fr""))"),"")</f>
        <v/>
      </c>
    </row>
    <row r="349" spans="2:2">
      <c r="B349" s="3" t="str">
        <f ca="1">IFERROR(__xludf.DUMMYFUNCTION("IF(ISBLANK(A349),"""",GOOGLETRANSLATE(A349,""en"",""fr""))"),"")</f>
        <v/>
      </c>
    </row>
    <row r="350" spans="2:2">
      <c r="B350" s="3" t="str">
        <f ca="1">IFERROR(__xludf.DUMMYFUNCTION("IF(ISBLANK(A350),"""",GOOGLETRANSLATE(A350,""en"",""fr""))"),"")</f>
        <v/>
      </c>
    </row>
    <row r="351" spans="2:2">
      <c r="B351" s="3" t="str">
        <f ca="1">IFERROR(__xludf.DUMMYFUNCTION("IF(ISBLANK(A351),"""",GOOGLETRANSLATE(A351,""en"",""fr""))"),"")</f>
        <v/>
      </c>
    </row>
    <row r="352" spans="2:2">
      <c r="B352" s="3" t="str">
        <f ca="1">IFERROR(__xludf.DUMMYFUNCTION("IF(ISBLANK(A352),"""",GOOGLETRANSLATE(A352,""en"",""fr""))"),"")</f>
        <v/>
      </c>
    </row>
    <row r="353" spans="2:2">
      <c r="B353" s="3" t="str">
        <f ca="1">IFERROR(__xludf.DUMMYFUNCTION("IF(ISBLANK(A353),"""",GOOGLETRANSLATE(A353,""en"",""fr""))"),"")</f>
        <v/>
      </c>
    </row>
    <row r="354" spans="2:2">
      <c r="B354" s="3" t="str">
        <f ca="1">IFERROR(__xludf.DUMMYFUNCTION("IF(ISBLANK(A354),"""",GOOGLETRANSLATE(A354,""en"",""fr""))"),"")</f>
        <v/>
      </c>
    </row>
    <row r="355" spans="2:2">
      <c r="B355" s="3" t="str">
        <f ca="1">IFERROR(__xludf.DUMMYFUNCTION("IF(ISBLANK(A355),"""",GOOGLETRANSLATE(A355,""en"",""fr""))"),"")</f>
        <v/>
      </c>
    </row>
    <row r="356" spans="2:2">
      <c r="B356" s="3" t="str">
        <f ca="1">IFERROR(__xludf.DUMMYFUNCTION("IF(ISBLANK(A356),"""",GOOGLETRANSLATE(A356,""en"",""fr""))"),"")</f>
        <v/>
      </c>
    </row>
    <row r="357" spans="2:2">
      <c r="B357" s="3" t="str">
        <f ca="1">IFERROR(__xludf.DUMMYFUNCTION("IF(ISBLANK(A357),"""",GOOGLETRANSLATE(A357,""en"",""fr""))"),"")</f>
        <v/>
      </c>
    </row>
    <row r="358" spans="2:2">
      <c r="B358" s="3" t="str">
        <f ca="1">IFERROR(__xludf.DUMMYFUNCTION("IF(ISBLANK(A358),"""",GOOGLETRANSLATE(A358,""en"",""fr""))"),"")</f>
        <v/>
      </c>
    </row>
    <row r="359" spans="2:2">
      <c r="B359" s="3" t="str">
        <f ca="1">IFERROR(__xludf.DUMMYFUNCTION("IF(ISBLANK(A359),"""",GOOGLETRANSLATE(A359,""en"",""fr""))"),"")</f>
        <v/>
      </c>
    </row>
    <row r="360" spans="2:2">
      <c r="B360" s="3" t="str">
        <f ca="1">IFERROR(__xludf.DUMMYFUNCTION("IF(ISBLANK(A360),"""",GOOGLETRANSLATE(A360,""en"",""fr""))"),"")</f>
        <v/>
      </c>
    </row>
    <row r="361" spans="2:2">
      <c r="B361" s="3" t="str">
        <f ca="1">IFERROR(__xludf.DUMMYFUNCTION("IF(ISBLANK(A361),"""",GOOGLETRANSLATE(A361,""en"",""fr""))"),"")</f>
        <v/>
      </c>
    </row>
    <row r="362" spans="2:2">
      <c r="B362" s="3" t="str">
        <f ca="1">IFERROR(__xludf.DUMMYFUNCTION("IF(ISBLANK(A362),"""",GOOGLETRANSLATE(A362,""en"",""fr""))"),"")</f>
        <v/>
      </c>
    </row>
    <row r="363" spans="2:2">
      <c r="B363" s="3" t="str">
        <f ca="1">IFERROR(__xludf.DUMMYFUNCTION("IF(ISBLANK(A363),"""",GOOGLETRANSLATE(A363,""en"",""fr""))"),"")</f>
        <v/>
      </c>
    </row>
    <row r="364" spans="2:2">
      <c r="B364" s="3" t="str">
        <f ca="1">IFERROR(__xludf.DUMMYFUNCTION("IF(ISBLANK(A364),"""",GOOGLETRANSLATE(A364,""en"",""fr""))"),"")</f>
        <v/>
      </c>
    </row>
    <row r="365" spans="2:2">
      <c r="B365" s="3" t="str">
        <f ca="1">IFERROR(__xludf.DUMMYFUNCTION("IF(ISBLANK(A365),"""",GOOGLETRANSLATE(A365,""en"",""fr""))"),"")</f>
        <v/>
      </c>
    </row>
    <row r="366" spans="2:2">
      <c r="B366" s="3" t="str">
        <f ca="1">IFERROR(__xludf.DUMMYFUNCTION("IF(ISBLANK(A366),"""",GOOGLETRANSLATE(A366,""en"",""fr""))"),"")</f>
        <v/>
      </c>
    </row>
    <row r="367" spans="2:2">
      <c r="B367" s="3" t="str">
        <f ca="1">IFERROR(__xludf.DUMMYFUNCTION("IF(ISBLANK(A367),"""",GOOGLETRANSLATE(A367,""en"",""fr""))"),"")</f>
        <v/>
      </c>
    </row>
    <row r="368" spans="2:2">
      <c r="B368" s="3" t="str">
        <f ca="1">IFERROR(__xludf.DUMMYFUNCTION("IF(ISBLANK(A368),"""",GOOGLETRANSLATE(A368,""en"",""fr""))"),"")</f>
        <v/>
      </c>
    </row>
    <row r="369" spans="2:2">
      <c r="B369" s="3" t="str">
        <f ca="1">IFERROR(__xludf.DUMMYFUNCTION("IF(ISBLANK(A369),"""",GOOGLETRANSLATE(A369,""en"",""fr""))"),"")</f>
        <v/>
      </c>
    </row>
    <row r="370" spans="2:2">
      <c r="B370" s="3" t="str">
        <f ca="1">IFERROR(__xludf.DUMMYFUNCTION("IF(ISBLANK(A370),"""",GOOGLETRANSLATE(A370,""en"",""fr""))"),"")</f>
        <v/>
      </c>
    </row>
    <row r="371" spans="2:2">
      <c r="B371" s="3" t="str">
        <f ca="1">IFERROR(__xludf.DUMMYFUNCTION("IF(ISBLANK(A371),"""",GOOGLETRANSLATE(A371,""en"",""fr""))"),"")</f>
        <v/>
      </c>
    </row>
    <row r="372" spans="2:2">
      <c r="B372" s="3" t="str">
        <f ca="1">IFERROR(__xludf.DUMMYFUNCTION("IF(ISBLANK(A372),"""",GOOGLETRANSLATE(A372,""en"",""fr""))"),"")</f>
        <v/>
      </c>
    </row>
    <row r="373" spans="2:2">
      <c r="B373" s="3" t="str">
        <f ca="1">IFERROR(__xludf.DUMMYFUNCTION("IF(ISBLANK(A373),"""",GOOGLETRANSLATE(A373,""en"",""fr""))"),"")</f>
        <v/>
      </c>
    </row>
    <row r="374" spans="2:2">
      <c r="B374" s="3" t="str">
        <f ca="1">IFERROR(__xludf.DUMMYFUNCTION("IF(ISBLANK(A374),"""",GOOGLETRANSLATE(A374,""en"",""fr""))"),"")</f>
        <v/>
      </c>
    </row>
    <row r="375" spans="2:2">
      <c r="B375" s="3" t="str">
        <f ca="1">IFERROR(__xludf.DUMMYFUNCTION("IF(ISBLANK(A375),"""",GOOGLETRANSLATE(A375,""en"",""fr""))"),"")</f>
        <v/>
      </c>
    </row>
    <row r="376" spans="2:2">
      <c r="B376" s="3" t="str">
        <f ca="1">IFERROR(__xludf.DUMMYFUNCTION("IF(ISBLANK(A376),"""",GOOGLETRANSLATE(A376,""en"",""fr""))"),"")</f>
        <v/>
      </c>
    </row>
    <row r="377" spans="2:2">
      <c r="B377" s="3" t="str">
        <f ca="1">IFERROR(__xludf.DUMMYFUNCTION("IF(ISBLANK(A377),"""",GOOGLETRANSLATE(A377,""en"",""fr""))"),"")</f>
        <v/>
      </c>
    </row>
    <row r="378" spans="2:2">
      <c r="B378" s="3" t="str">
        <f ca="1">IFERROR(__xludf.DUMMYFUNCTION("IF(ISBLANK(A378),"""",GOOGLETRANSLATE(A378,""en"",""fr""))"),"")</f>
        <v/>
      </c>
    </row>
    <row r="379" spans="2:2">
      <c r="B379" s="3" t="str">
        <f ca="1">IFERROR(__xludf.DUMMYFUNCTION("IF(ISBLANK(A379),"""",GOOGLETRANSLATE(A379,""en"",""fr""))"),"")</f>
        <v/>
      </c>
    </row>
    <row r="380" spans="2:2">
      <c r="B380" s="3" t="str">
        <f ca="1">IFERROR(__xludf.DUMMYFUNCTION("IF(ISBLANK(A380),"""",GOOGLETRANSLATE(A380,""en"",""fr""))"),"")</f>
        <v/>
      </c>
    </row>
    <row r="381" spans="2:2">
      <c r="B381" s="3" t="str">
        <f ca="1">IFERROR(__xludf.DUMMYFUNCTION("IF(ISBLANK(A381),"""",GOOGLETRANSLATE(A381,""en"",""fr""))"),"")</f>
        <v/>
      </c>
    </row>
    <row r="382" spans="2:2">
      <c r="B382" s="3" t="str">
        <f ca="1">IFERROR(__xludf.DUMMYFUNCTION("IF(ISBLANK(A382),"""",GOOGLETRANSLATE(A382,""en"",""fr""))"),"")</f>
        <v/>
      </c>
    </row>
    <row r="383" spans="2:2">
      <c r="B383" s="3" t="str">
        <f ca="1">IFERROR(__xludf.DUMMYFUNCTION("IF(ISBLANK(A383),"""",GOOGLETRANSLATE(A383,""en"",""fr""))"),"")</f>
        <v/>
      </c>
    </row>
    <row r="384" spans="2:2">
      <c r="B384" s="3" t="str">
        <f ca="1">IFERROR(__xludf.DUMMYFUNCTION("IF(ISBLANK(A384),"""",GOOGLETRANSLATE(A384,""en"",""fr""))"),"")</f>
        <v/>
      </c>
    </row>
    <row r="385" spans="2:2">
      <c r="B385" s="3" t="str">
        <f ca="1">IFERROR(__xludf.DUMMYFUNCTION("IF(ISBLANK(A385),"""",GOOGLETRANSLATE(A385,""en"",""fr""))"),"")</f>
        <v/>
      </c>
    </row>
    <row r="386" spans="2:2">
      <c r="B386" s="3" t="str">
        <f ca="1">IFERROR(__xludf.DUMMYFUNCTION("IF(ISBLANK(A386),"""",GOOGLETRANSLATE(A386,""en"",""fr""))"),"")</f>
        <v/>
      </c>
    </row>
    <row r="387" spans="2:2">
      <c r="B387" s="3" t="str">
        <f ca="1">IFERROR(__xludf.DUMMYFUNCTION("IF(ISBLANK(A387),"""",GOOGLETRANSLATE(A387,""en"",""fr""))"),"")</f>
        <v/>
      </c>
    </row>
    <row r="388" spans="2:2">
      <c r="B388" s="3" t="str">
        <f ca="1">IFERROR(__xludf.DUMMYFUNCTION("IF(ISBLANK(A388),"""",GOOGLETRANSLATE(A388,""en"",""fr""))"),"")</f>
        <v/>
      </c>
    </row>
    <row r="389" spans="2:2">
      <c r="B389" s="3" t="str">
        <f ca="1">IFERROR(__xludf.DUMMYFUNCTION("IF(ISBLANK(A389),"""",GOOGLETRANSLATE(A389,""en"",""fr""))"),"")</f>
        <v/>
      </c>
    </row>
    <row r="390" spans="2:2">
      <c r="B390" s="3" t="str">
        <f ca="1">IFERROR(__xludf.DUMMYFUNCTION("IF(ISBLANK(A390),"""",GOOGLETRANSLATE(A390,""en"",""fr""))"),"")</f>
        <v/>
      </c>
    </row>
    <row r="391" spans="2:2">
      <c r="B391" s="3" t="str">
        <f ca="1">IFERROR(__xludf.DUMMYFUNCTION("IF(ISBLANK(A391),"""",GOOGLETRANSLATE(A391,""en"",""fr""))"),"")</f>
        <v/>
      </c>
    </row>
    <row r="392" spans="2:2">
      <c r="B392" s="3" t="str">
        <f ca="1">IFERROR(__xludf.DUMMYFUNCTION("IF(ISBLANK(A392),"""",GOOGLETRANSLATE(A392,""en"",""fr""))"),"")</f>
        <v/>
      </c>
    </row>
    <row r="393" spans="2:2">
      <c r="B393" s="3" t="str">
        <f ca="1">IFERROR(__xludf.DUMMYFUNCTION("IF(ISBLANK(A393),"""",GOOGLETRANSLATE(A393,""en"",""fr""))"),"")</f>
        <v/>
      </c>
    </row>
    <row r="394" spans="2:2">
      <c r="B394" s="3" t="str">
        <f ca="1">IFERROR(__xludf.DUMMYFUNCTION("IF(ISBLANK(A394),"""",GOOGLETRANSLATE(A394,""en"",""fr""))"),"")</f>
        <v/>
      </c>
    </row>
    <row r="395" spans="2:2">
      <c r="B395" s="3" t="str">
        <f ca="1">IFERROR(__xludf.DUMMYFUNCTION("IF(ISBLANK(A395),"""",GOOGLETRANSLATE(A395,""en"",""fr""))"),"")</f>
        <v/>
      </c>
    </row>
    <row r="396" spans="2:2">
      <c r="B396" s="3" t="str">
        <f ca="1">IFERROR(__xludf.DUMMYFUNCTION("IF(ISBLANK(A396),"""",GOOGLETRANSLATE(A396,""en"",""fr""))"),"")</f>
        <v/>
      </c>
    </row>
    <row r="397" spans="2:2">
      <c r="B397" s="3" t="str">
        <f ca="1">IFERROR(__xludf.DUMMYFUNCTION("IF(ISBLANK(A397),"""",GOOGLETRANSLATE(A397,""en"",""fr""))"),"")</f>
        <v/>
      </c>
    </row>
    <row r="398" spans="2:2">
      <c r="B398" s="3" t="str">
        <f ca="1">IFERROR(__xludf.DUMMYFUNCTION("IF(ISBLANK(A398),"""",GOOGLETRANSLATE(A398,""en"",""fr""))"),"")</f>
        <v/>
      </c>
    </row>
    <row r="399" spans="2:2">
      <c r="B399" s="3" t="str">
        <f ca="1">IFERROR(__xludf.DUMMYFUNCTION("IF(ISBLANK(A399),"""",GOOGLETRANSLATE(A399,""en"",""fr""))"),"")</f>
        <v/>
      </c>
    </row>
    <row r="400" spans="2:2">
      <c r="B400" s="3" t="str">
        <f ca="1">IFERROR(__xludf.DUMMYFUNCTION("IF(ISBLANK(A400),"""",GOOGLETRANSLATE(A400,""en"",""fr""))"),"")</f>
        <v/>
      </c>
    </row>
    <row r="401" spans="2:2">
      <c r="B401" s="3" t="str">
        <f ca="1">IFERROR(__xludf.DUMMYFUNCTION("IF(ISBLANK(A401),"""",GOOGLETRANSLATE(A401,""en"",""fr""))"),"")</f>
        <v/>
      </c>
    </row>
    <row r="402" spans="2:2">
      <c r="B402" s="3" t="str">
        <f ca="1">IFERROR(__xludf.DUMMYFUNCTION("IF(ISBLANK(A402),"""",GOOGLETRANSLATE(A402,""en"",""fr""))"),"")</f>
        <v/>
      </c>
    </row>
    <row r="403" spans="2:2">
      <c r="B403" s="3" t="str">
        <f ca="1">IFERROR(__xludf.DUMMYFUNCTION("IF(ISBLANK(A403),"""",GOOGLETRANSLATE(A403,""en"",""fr""))"),"")</f>
        <v/>
      </c>
    </row>
    <row r="404" spans="2:2">
      <c r="B404" s="3" t="str">
        <f ca="1">IFERROR(__xludf.DUMMYFUNCTION("IF(ISBLANK(A404),"""",GOOGLETRANSLATE(A404,""en"",""fr""))"),"")</f>
        <v/>
      </c>
    </row>
    <row r="405" spans="2:2">
      <c r="B405" s="3" t="str">
        <f ca="1">IFERROR(__xludf.DUMMYFUNCTION("IF(ISBLANK(A405),"""",GOOGLETRANSLATE(A405,""en"",""fr""))"),"")</f>
        <v/>
      </c>
    </row>
    <row r="406" spans="2:2">
      <c r="B406" s="3" t="str">
        <f ca="1">IFERROR(__xludf.DUMMYFUNCTION("IF(ISBLANK(A406),"""",GOOGLETRANSLATE(A406,""en"",""fr""))"),"")</f>
        <v/>
      </c>
    </row>
    <row r="407" spans="2:2">
      <c r="B407" s="3" t="str">
        <f ca="1">IFERROR(__xludf.DUMMYFUNCTION("IF(ISBLANK(A407),"""",GOOGLETRANSLATE(A407,""en"",""fr""))"),"")</f>
        <v/>
      </c>
    </row>
    <row r="408" spans="2:2">
      <c r="B408" s="3" t="str">
        <f ca="1">IFERROR(__xludf.DUMMYFUNCTION("IF(ISBLANK(A408),"""",GOOGLETRANSLATE(A408,""en"",""fr""))"),"")</f>
        <v/>
      </c>
    </row>
    <row r="409" spans="2:2">
      <c r="B409" s="3" t="str">
        <f ca="1">IFERROR(__xludf.DUMMYFUNCTION("IF(ISBLANK(A409),"""",GOOGLETRANSLATE(A409,""en"",""fr""))"),"")</f>
        <v/>
      </c>
    </row>
    <row r="410" spans="2:2">
      <c r="B410" s="3" t="str">
        <f ca="1">IFERROR(__xludf.DUMMYFUNCTION("IF(ISBLANK(A410),"""",GOOGLETRANSLATE(A410,""en"",""fr""))"),"")</f>
        <v/>
      </c>
    </row>
    <row r="411" spans="2:2">
      <c r="B411" s="3" t="str">
        <f ca="1">IFERROR(__xludf.DUMMYFUNCTION("IF(ISBLANK(A411),"""",GOOGLETRANSLATE(A411,""en"",""fr""))"),"")</f>
        <v/>
      </c>
    </row>
    <row r="412" spans="2:2">
      <c r="B412" s="3" t="str">
        <f ca="1">IFERROR(__xludf.DUMMYFUNCTION("IF(ISBLANK(A412),"""",GOOGLETRANSLATE(A412,""en"",""fr""))"),"")</f>
        <v/>
      </c>
    </row>
    <row r="413" spans="2:2">
      <c r="B413" s="3" t="str">
        <f ca="1">IFERROR(__xludf.DUMMYFUNCTION("IF(ISBLANK(A413),"""",GOOGLETRANSLATE(A413,""en"",""fr""))"),"")</f>
        <v/>
      </c>
    </row>
    <row r="414" spans="2:2">
      <c r="B414" s="3" t="str">
        <f ca="1">IFERROR(__xludf.DUMMYFUNCTION("IF(ISBLANK(A414),"""",GOOGLETRANSLATE(A414,""en"",""fr""))"),"")</f>
        <v/>
      </c>
    </row>
    <row r="415" spans="2:2">
      <c r="B415" s="3" t="str">
        <f ca="1">IFERROR(__xludf.DUMMYFUNCTION("IF(ISBLANK(A415),"""",GOOGLETRANSLATE(A415,""en"",""fr""))"),"")</f>
        <v/>
      </c>
    </row>
    <row r="416" spans="2:2">
      <c r="B416" s="3" t="str">
        <f ca="1">IFERROR(__xludf.DUMMYFUNCTION("IF(ISBLANK(A416),"""",GOOGLETRANSLATE(A416,""en"",""fr""))"),"")</f>
        <v/>
      </c>
    </row>
    <row r="417" spans="2:2">
      <c r="B417" s="3" t="str">
        <f ca="1">IFERROR(__xludf.DUMMYFUNCTION("IF(ISBLANK(A417),"""",GOOGLETRANSLATE(A417,""en"",""fr""))"),"")</f>
        <v/>
      </c>
    </row>
    <row r="418" spans="2:2">
      <c r="B418" s="3" t="str">
        <f ca="1">IFERROR(__xludf.DUMMYFUNCTION("IF(ISBLANK(A418),"""",GOOGLETRANSLATE(A418,""en"",""fr""))"),"")</f>
        <v/>
      </c>
    </row>
    <row r="419" spans="2:2">
      <c r="B419" s="3" t="str">
        <f ca="1">IFERROR(__xludf.DUMMYFUNCTION("IF(ISBLANK(A419),"""",GOOGLETRANSLATE(A419,""en"",""fr""))"),"")</f>
        <v/>
      </c>
    </row>
    <row r="420" spans="2:2">
      <c r="B420" s="3" t="str">
        <f ca="1">IFERROR(__xludf.DUMMYFUNCTION("IF(ISBLANK(A420),"""",GOOGLETRANSLATE(A420,""en"",""fr""))"),"")</f>
        <v/>
      </c>
    </row>
    <row r="421" spans="2:2">
      <c r="B421" s="3" t="str">
        <f ca="1">IFERROR(__xludf.DUMMYFUNCTION("IF(ISBLANK(A421),"""",GOOGLETRANSLATE(A421,""en"",""fr""))"),"")</f>
        <v/>
      </c>
    </row>
    <row r="422" spans="2:2">
      <c r="B422" s="3" t="str">
        <f ca="1">IFERROR(__xludf.DUMMYFUNCTION("IF(ISBLANK(A422),"""",GOOGLETRANSLATE(A422,""en"",""fr""))"),"")</f>
        <v/>
      </c>
    </row>
    <row r="423" spans="2:2">
      <c r="B423" s="3" t="str">
        <f ca="1">IFERROR(__xludf.DUMMYFUNCTION("IF(ISBLANK(A423),"""",GOOGLETRANSLATE(A423,""en"",""fr""))"),"")</f>
        <v/>
      </c>
    </row>
    <row r="424" spans="2:2">
      <c r="B424" s="3" t="str">
        <f ca="1">IFERROR(__xludf.DUMMYFUNCTION("IF(ISBLANK(A424),"""",GOOGLETRANSLATE(A424,""en"",""fr""))"),"")</f>
        <v/>
      </c>
    </row>
    <row r="425" spans="2:2">
      <c r="B425" s="3" t="str">
        <f ca="1">IFERROR(__xludf.DUMMYFUNCTION("IF(ISBLANK(A425),"""",GOOGLETRANSLATE(A425,""en"",""fr""))"),"")</f>
        <v/>
      </c>
    </row>
    <row r="426" spans="2:2">
      <c r="B426" s="3" t="str">
        <f ca="1">IFERROR(__xludf.DUMMYFUNCTION("IF(ISBLANK(A426),"""",GOOGLETRANSLATE(A426,""en"",""fr""))"),"")</f>
        <v/>
      </c>
    </row>
    <row r="427" spans="2:2">
      <c r="B427" s="3" t="str">
        <f ca="1">IFERROR(__xludf.DUMMYFUNCTION("IF(ISBLANK(A427),"""",GOOGLETRANSLATE(A427,""en"",""fr""))"),"")</f>
        <v/>
      </c>
    </row>
    <row r="428" spans="2:2">
      <c r="B428" s="3" t="str">
        <f ca="1">IFERROR(__xludf.DUMMYFUNCTION("IF(ISBLANK(A428),"""",GOOGLETRANSLATE(A428,""en"",""fr""))"),"")</f>
        <v/>
      </c>
    </row>
    <row r="429" spans="2:2">
      <c r="B429" s="3" t="str">
        <f ca="1">IFERROR(__xludf.DUMMYFUNCTION("IF(ISBLANK(A429),"""",GOOGLETRANSLATE(A429,""en"",""fr""))"),"")</f>
        <v/>
      </c>
    </row>
    <row r="430" spans="2:2">
      <c r="B430" s="3" t="str">
        <f ca="1">IFERROR(__xludf.DUMMYFUNCTION("IF(ISBLANK(A430),"""",GOOGLETRANSLATE(A430,""en"",""fr""))"),"")</f>
        <v/>
      </c>
    </row>
    <row r="431" spans="2:2">
      <c r="B431" s="3" t="str">
        <f ca="1">IFERROR(__xludf.DUMMYFUNCTION("IF(ISBLANK(A431),"""",GOOGLETRANSLATE(A431,""en"",""fr""))"),"")</f>
        <v/>
      </c>
    </row>
    <row r="432" spans="2:2">
      <c r="B432" s="3" t="str">
        <f ca="1">IFERROR(__xludf.DUMMYFUNCTION("IF(ISBLANK(A432),"""",GOOGLETRANSLATE(A432,""en"",""fr""))"),"")</f>
        <v/>
      </c>
    </row>
    <row r="433" spans="2:2">
      <c r="B433" s="3" t="str">
        <f ca="1">IFERROR(__xludf.DUMMYFUNCTION("IF(ISBLANK(A433),"""",GOOGLETRANSLATE(A433,""en"",""fr""))"),"")</f>
        <v/>
      </c>
    </row>
    <row r="434" spans="2:2">
      <c r="B434" s="3" t="str">
        <f ca="1">IFERROR(__xludf.DUMMYFUNCTION("IF(ISBLANK(A434),"""",GOOGLETRANSLATE(A434,""en"",""fr""))"),"")</f>
        <v/>
      </c>
    </row>
    <row r="435" spans="2:2">
      <c r="B435" s="3" t="str">
        <f ca="1">IFERROR(__xludf.DUMMYFUNCTION("IF(ISBLANK(A435),"""",GOOGLETRANSLATE(A435,""en"",""fr""))"),"")</f>
        <v/>
      </c>
    </row>
    <row r="436" spans="2:2">
      <c r="B436" s="3" t="str">
        <f ca="1">IFERROR(__xludf.DUMMYFUNCTION("IF(ISBLANK(A436),"""",GOOGLETRANSLATE(A436,""en"",""fr""))"),"")</f>
        <v/>
      </c>
    </row>
    <row r="437" spans="2:2">
      <c r="B437" s="3" t="str">
        <f ca="1">IFERROR(__xludf.DUMMYFUNCTION("IF(ISBLANK(A437),"""",GOOGLETRANSLATE(A437,""en"",""fr""))"),"")</f>
        <v/>
      </c>
    </row>
    <row r="438" spans="2:2">
      <c r="B438" s="3" t="str">
        <f ca="1">IFERROR(__xludf.DUMMYFUNCTION("IF(ISBLANK(A438),"""",GOOGLETRANSLATE(A438,""en"",""fr""))"),"")</f>
        <v/>
      </c>
    </row>
    <row r="439" spans="2:2">
      <c r="B439" s="3" t="str">
        <f ca="1">IFERROR(__xludf.DUMMYFUNCTION("IF(ISBLANK(A439),"""",GOOGLETRANSLATE(A439,""en"",""fr""))"),"")</f>
        <v/>
      </c>
    </row>
    <row r="440" spans="2:2">
      <c r="B440" s="3" t="str">
        <f ca="1">IFERROR(__xludf.DUMMYFUNCTION("IF(ISBLANK(A440),"""",GOOGLETRANSLATE(A440,""en"",""fr""))"),"")</f>
        <v/>
      </c>
    </row>
    <row r="441" spans="2:2">
      <c r="B441" s="3" t="str">
        <f ca="1">IFERROR(__xludf.DUMMYFUNCTION("IF(ISBLANK(A441),"""",GOOGLETRANSLATE(A441,""en"",""fr""))"),"")</f>
        <v/>
      </c>
    </row>
    <row r="442" spans="2:2">
      <c r="B442" s="3" t="str">
        <f ca="1">IFERROR(__xludf.DUMMYFUNCTION("IF(ISBLANK(A442),"""",GOOGLETRANSLATE(A442,""en"",""fr""))"),"")</f>
        <v/>
      </c>
    </row>
    <row r="443" spans="2:2">
      <c r="B443" s="3" t="str">
        <f ca="1">IFERROR(__xludf.DUMMYFUNCTION("IF(ISBLANK(A443),"""",GOOGLETRANSLATE(A443,""en"",""fr""))"),"")</f>
        <v/>
      </c>
    </row>
    <row r="444" spans="2:2">
      <c r="B444" s="3" t="str">
        <f ca="1">IFERROR(__xludf.DUMMYFUNCTION("IF(ISBLANK(A444),"""",GOOGLETRANSLATE(A444,""en"",""fr""))"),"")</f>
        <v/>
      </c>
    </row>
    <row r="445" spans="2:2">
      <c r="B445" s="3" t="str">
        <f ca="1">IFERROR(__xludf.DUMMYFUNCTION("IF(ISBLANK(A445),"""",GOOGLETRANSLATE(A445,""en"",""fr""))"),"")</f>
        <v/>
      </c>
    </row>
    <row r="446" spans="2:2">
      <c r="B446" s="3" t="str">
        <f ca="1">IFERROR(__xludf.DUMMYFUNCTION("IF(ISBLANK(A446),"""",GOOGLETRANSLATE(A446,""en"",""fr""))"),"")</f>
        <v/>
      </c>
    </row>
    <row r="447" spans="2:2">
      <c r="B447" s="3" t="str">
        <f ca="1">IFERROR(__xludf.DUMMYFUNCTION("IF(ISBLANK(A447),"""",GOOGLETRANSLATE(A447,""en"",""fr""))"),"")</f>
        <v/>
      </c>
    </row>
    <row r="448" spans="2:2">
      <c r="B448" s="3" t="str">
        <f ca="1">IFERROR(__xludf.DUMMYFUNCTION("IF(ISBLANK(A448),"""",GOOGLETRANSLATE(A448,""en"",""fr""))"),"")</f>
        <v/>
      </c>
    </row>
    <row r="449" spans="2:2">
      <c r="B449" s="3" t="str">
        <f ca="1">IFERROR(__xludf.DUMMYFUNCTION("IF(ISBLANK(A449),"""",GOOGLETRANSLATE(A449,""en"",""fr""))"),"")</f>
        <v/>
      </c>
    </row>
    <row r="450" spans="2:2">
      <c r="B450" s="3" t="str">
        <f ca="1">IFERROR(__xludf.DUMMYFUNCTION("IF(ISBLANK(A450),"""",GOOGLETRANSLATE(A450,""en"",""fr""))"),"")</f>
        <v/>
      </c>
    </row>
    <row r="451" spans="2:2">
      <c r="B451" s="3" t="str">
        <f ca="1">IFERROR(__xludf.DUMMYFUNCTION("IF(ISBLANK(A451),"""",GOOGLETRANSLATE(A451,""en"",""fr""))"),"")</f>
        <v/>
      </c>
    </row>
    <row r="452" spans="2:2">
      <c r="B452" s="3" t="str">
        <f ca="1">IFERROR(__xludf.DUMMYFUNCTION("IF(ISBLANK(A452),"""",GOOGLETRANSLATE(A452,""en"",""fr""))"),"")</f>
        <v/>
      </c>
    </row>
    <row r="453" spans="2:2">
      <c r="B453" s="3" t="str">
        <f ca="1">IFERROR(__xludf.DUMMYFUNCTION("IF(ISBLANK(A453),"""",GOOGLETRANSLATE(A453,""en"",""fr""))"),"")</f>
        <v/>
      </c>
    </row>
    <row r="454" spans="2:2">
      <c r="B454" s="3" t="str">
        <f ca="1">IFERROR(__xludf.DUMMYFUNCTION("IF(ISBLANK(A454),"""",GOOGLETRANSLATE(A454,""en"",""fr""))"),"")</f>
        <v/>
      </c>
    </row>
    <row r="455" spans="2:2">
      <c r="B455" s="3" t="str">
        <f ca="1">IFERROR(__xludf.DUMMYFUNCTION("IF(ISBLANK(A455),"""",GOOGLETRANSLATE(A455,""en"",""fr""))"),"")</f>
        <v/>
      </c>
    </row>
    <row r="456" spans="2:2">
      <c r="B456" s="3" t="str">
        <f ca="1">IFERROR(__xludf.DUMMYFUNCTION("IF(ISBLANK(A456),"""",GOOGLETRANSLATE(A456,""en"",""fr""))"),"")</f>
        <v/>
      </c>
    </row>
    <row r="457" spans="2:2">
      <c r="B457" s="3" t="str">
        <f ca="1">IFERROR(__xludf.DUMMYFUNCTION("IF(ISBLANK(A457),"""",GOOGLETRANSLATE(A457,""en"",""fr""))"),"")</f>
        <v/>
      </c>
    </row>
    <row r="458" spans="2:2">
      <c r="B458" s="3" t="str">
        <f ca="1">IFERROR(__xludf.DUMMYFUNCTION("IF(ISBLANK(A458),"""",GOOGLETRANSLATE(A458,""en"",""fr""))"),"")</f>
        <v/>
      </c>
    </row>
    <row r="459" spans="2:2">
      <c r="B459" s="3" t="str">
        <f ca="1">IFERROR(__xludf.DUMMYFUNCTION("IF(ISBLANK(A459),"""",GOOGLETRANSLATE(A459,""en"",""fr""))"),"")</f>
        <v/>
      </c>
    </row>
    <row r="460" spans="2:2">
      <c r="B460" s="3" t="str">
        <f ca="1">IFERROR(__xludf.DUMMYFUNCTION("IF(ISBLANK(A460),"""",GOOGLETRANSLATE(A460,""en"",""fr""))"),"")</f>
        <v/>
      </c>
    </row>
    <row r="461" spans="2:2">
      <c r="B461" s="3" t="str">
        <f ca="1">IFERROR(__xludf.DUMMYFUNCTION("IF(ISBLANK(A461),"""",GOOGLETRANSLATE(A461,""en"",""fr""))"),"")</f>
        <v/>
      </c>
    </row>
    <row r="462" spans="2:2">
      <c r="B462" s="3" t="str">
        <f ca="1">IFERROR(__xludf.DUMMYFUNCTION("IF(ISBLANK(A462),"""",GOOGLETRANSLATE(A462,""en"",""fr""))"),"")</f>
        <v/>
      </c>
    </row>
    <row r="463" spans="2:2">
      <c r="B463" s="3" t="str">
        <f ca="1">IFERROR(__xludf.DUMMYFUNCTION("IF(ISBLANK(A463),"""",GOOGLETRANSLATE(A463,""en"",""fr""))"),"")</f>
        <v/>
      </c>
    </row>
    <row r="464" spans="2:2">
      <c r="B464" s="3" t="str">
        <f ca="1">IFERROR(__xludf.DUMMYFUNCTION("IF(ISBLANK(A464),"""",GOOGLETRANSLATE(A464,""en"",""fr""))"),"")</f>
        <v/>
      </c>
    </row>
    <row r="465" spans="2:2">
      <c r="B465" s="3" t="str">
        <f ca="1">IFERROR(__xludf.DUMMYFUNCTION("IF(ISBLANK(A465),"""",GOOGLETRANSLATE(A465,""en"",""fr""))"),"")</f>
        <v/>
      </c>
    </row>
    <row r="466" spans="2:2">
      <c r="B466" s="3" t="str">
        <f ca="1">IFERROR(__xludf.DUMMYFUNCTION("IF(ISBLANK(A466),"""",GOOGLETRANSLATE(A466,""en"",""fr""))"),"")</f>
        <v/>
      </c>
    </row>
    <row r="467" spans="2:2">
      <c r="B467" s="3" t="str">
        <f ca="1">IFERROR(__xludf.DUMMYFUNCTION("IF(ISBLANK(A467),"""",GOOGLETRANSLATE(A467,""en"",""fr""))"),"")</f>
        <v/>
      </c>
    </row>
    <row r="468" spans="2:2">
      <c r="B468" s="3" t="str">
        <f ca="1">IFERROR(__xludf.DUMMYFUNCTION("IF(ISBLANK(A468),"""",GOOGLETRANSLATE(A468,""en"",""fr""))"),"")</f>
        <v/>
      </c>
    </row>
    <row r="469" spans="2:2">
      <c r="B469" s="3" t="str">
        <f ca="1">IFERROR(__xludf.DUMMYFUNCTION("IF(ISBLANK(A469),"""",GOOGLETRANSLATE(A469,""en"",""fr""))"),"")</f>
        <v/>
      </c>
    </row>
    <row r="470" spans="2:2">
      <c r="B470" s="3" t="str">
        <f ca="1">IFERROR(__xludf.DUMMYFUNCTION("IF(ISBLANK(A470),"""",GOOGLETRANSLATE(A470,""en"",""fr""))"),"")</f>
        <v/>
      </c>
    </row>
    <row r="471" spans="2:2">
      <c r="B471" s="3" t="str">
        <f ca="1">IFERROR(__xludf.DUMMYFUNCTION("IF(ISBLANK(A471),"""",GOOGLETRANSLATE(A471,""en"",""fr""))"),"")</f>
        <v/>
      </c>
    </row>
    <row r="472" spans="2:2">
      <c r="B472" s="3" t="str">
        <f ca="1">IFERROR(__xludf.DUMMYFUNCTION("IF(ISBLANK(A472),"""",GOOGLETRANSLATE(A472,""en"",""fr""))"),"")</f>
        <v/>
      </c>
    </row>
    <row r="473" spans="2:2">
      <c r="B473" s="3" t="str">
        <f ca="1">IFERROR(__xludf.DUMMYFUNCTION("IF(ISBLANK(A473),"""",GOOGLETRANSLATE(A473,""en"",""fr""))"),"")</f>
        <v/>
      </c>
    </row>
    <row r="474" spans="2:2">
      <c r="B474" s="3" t="str">
        <f ca="1">IFERROR(__xludf.DUMMYFUNCTION("IF(ISBLANK(A474),"""",GOOGLETRANSLATE(A474,""en"",""fr""))"),"")</f>
        <v/>
      </c>
    </row>
    <row r="475" spans="2:2">
      <c r="B475" s="3" t="str">
        <f ca="1">IFERROR(__xludf.DUMMYFUNCTION("IF(ISBLANK(A475),"""",GOOGLETRANSLATE(A475,""en"",""fr""))"),"")</f>
        <v/>
      </c>
    </row>
    <row r="476" spans="2:2">
      <c r="B476" s="3" t="str">
        <f ca="1">IFERROR(__xludf.DUMMYFUNCTION("IF(ISBLANK(A476),"""",GOOGLETRANSLATE(A476,""en"",""fr""))"),"")</f>
        <v/>
      </c>
    </row>
    <row r="477" spans="2:2">
      <c r="B477" s="3" t="str">
        <f ca="1">IFERROR(__xludf.DUMMYFUNCTION("IF(ISBLANK(A477),"""",GOOGLETRANSLATE(A477,""en"",""fr""))"),"")</f>
        <v/>
      </c>
    </row>
    <row r="478" spans="2:2">
      <c r="B478" s="3" t="str">
        <f ca="1">IFERROR(__xludf.DUMMYFUNCTION("IF(ISBLANK(A478),"""",GOOGLETRANSLATE(A478,""en"",""fr""))"),"")</f>
        <v/>
      </c>
    </row>
    <row r="479" spans="2:2">
      <c r="B479" s="3" t="str">
        <f ca="1">IFERROR(__xludf.DUMMYFUNCTION("IF(ISBLANK(A479),"""",GOOGLETRANSLATE(A479,""en"",""fr""))"),"")</f>
        <v/>
      </c>
    </row>
    <row r="480" spans="2:2">
      <c r="B480" s="3" t="str">
        <f ca="1">IFERROR(__xludf.DUMMYFUNCTION("IF(ISBLANK(A480),"""",GOOGLETRANSLATE(A480,""en"",""fr""))"),"")</f>
        <v/>
      </c>
    </row>
    <row r="481" spans="2:2">
      <c r="B481" s="3" t="str">
        <f ca="1">IFERROR(__xludf.DUMMYFUNCTION("IF(ISBLANK(A481),"""",GOOGLETRANSLATE(A481,""en"",""fr""))"),"")</f>
        <v/>
      </c>
    </row>
    <row r="482" spans="2:2">
      <c r="B482" s="3" t="str">
        <f ca="1">IFERROR(__xludf.DUMMYFUNCTION("IF(ISBLANK(A482),"""",GOOGLETRANSLATE(A482,""en"",""fr""))"),"")</f>
        <v/>
      </c>
    </row>
    <row r="483" spans="2:2">
      <c r="B483" s="3" t="str">
        <f ca="1">IFERROR(__xludf.DUMMYFUNCTION("IF(ISBLANK(A483),"""",GOOGLETRANSLATE(A483,""en"",""fr""))"),"")</f>
        <v/>
      </c>
    </row>
    <row r="484" spans="2:2">
      <c r="B484" s="3" t="str">
        <f ca="1">IFERROR(__xludf.DUMMYFUNCTION("IF(ISBLANK(A484),"""",GOOGLETRANSLATE(A484,""en"",""fr""))"),"")</f>
        <v/>
      </c>
    </row>
    <row r="485" spans="2:2">
      <c r="B485" s="3" t="str">
        <f ca="1">IFERROR(__xludf.DUMMYFUNCTION("IF(ISBLANK(A485),"""",GOOGLETRANSLATE(A485,""en"",""fr""))"),"")</f>
        <v/>
      </c>
    </row>
    <row r="486" spans="2:2">
      <c r="B486" s="3" t="str">
        <f ca="1">IFERROR(__xludf.DUMMYFUNCTION("IF(ISBLANK(A486),"""",GOOGLETRANSLATE(A486,""en"",""fr""))"),"")</f>
        <v/>
      </c>
    </row>
    <row r="487" spans="2:2">
      <c r="B487" s="3" t="str">
        <f ca="1">IFERROR(__xludf.DUMMYFUNCTION("IF(ISBLANK(A487),"""",GOOGLETRANSLATE(A487,""en"",""fr""))"),"")</f>
        <v/>
      </c>
    </row>
    <row r="488" spans="2:2">
      <c r="B488" s="3" t="str">
        <f ca="1">IFERROR(__xludf.DUMMYFUNCTION("IF(ISBLANK(A488),"""",GOOGLETRANSLATE(A488,""en"",""fr""))"),"")</f>
        <v/>
      </c>
    </row>
    <row r="489" spans="2:2">
      <c r="B489" s="3" t="str">
        <f ca="1">IFERROR(__xludf.DUMMYFUNCTION("IF(ISBLANK(A489),"""",GOOGLETRANSLATE(A489,""en"",""fr""))"),"")</f>
        <v/>
      </c>
    </row>
    <row r="490" spans="2:2">
      <c r="B490" s="3" t="str">
        <f ca="1">IFERROR(__xludf.DUMMYFUNCTION("IF(ISBLANK(A490),"""",GOOGLETRANSLATE(A490,""en"",""fr""))"),"")</f>
        <v/>
      </c>
    </row>
    <row r="491" spans="2:2">
      <c r="B491" s="3" t="str">
        <f ca="1">IFERROR(__xludf.DUMMYFUNCTION("IF(ISBLANK(A491),"""",GOOGLETRANSLATE(A491,""en"",""fr""))"),"")</f>
        <v/>
      </c>
    </row>
    <row r="492" spans="2:2">
      <c r="B492" s="3" t="str">
        <f ca="1">IFERROR(__xludf.DUMMYFUNCTION("IF(ISBLANK(A492),"""",GOOGLETRANSLATE(A492,""en"",""fr""))"),"")</f>
        <v/>
      </c>
    </row>
    <row r="493" spans="2:2">
      <c r="B493" s="3" t="str">
        <f ca="1">IFERROR(__xludf.DUMMYFUNCTION("IF(ISBLANK(A493),"""",GOOGLETRANSLATE(A493,""en"",""fr""))"),"")</f>
        <v/>
      </c>
    </row>
    <row r="494" spans="2:2">
      <c r="B494" s="3" t="str">
        <f ca="1">IFERROR(__xludf.DUMMYFUNCTION("IF(ISBLANK(A494),"""",GOOGLETRANSLATE(A494,""en"",""fr""))"),"")</f>
        <v/>
      </c>
    </row>
    <row r="495" spans="2:2">
      <c r="B495" s="3" t="str">
        <f ca="1">IFERROR(__xludf.DUMMYFUNCTION("IF(ISBLANK(A495),"""",GOOGLETRANSLATE(A495,""en"",""fr""))"),"")</f>
        <v/>
      </c>
    </row>
    <row r="496" spans="2:2">
      <c r="B496" s="3" t="str">
        <f ca="1">IFERROR(__xludf.DUMMYFUNCTION("IF(ISBLANK(A496),"""",GOOGLETRANSLATE(A496,""en"",""fr""))"),"")</f>
        <v/>
      </c>
    </row>
    <row r="497" spans="2:2">
      <c r="B497" s="3" t="str">
        <f ca="1">IFERROR(__xludf.DUMMYFUNCTION("IF(ISBLANK(A497),"""",GOOGLETRANSLATE(A497,""en"",""fr""))"),"")</f>
        <v/>
      </c>
    </row>
    <row r="498" spans="2:2">
      <c r="B498" s="3" t="str">
        <f ca="1">IFERROR(__xludf.DUMMYFUNCTION("IF(ISBLANK(A498),"""",GOOGLETRANSLATE(A498,""en"",""fr""))"),"")</f>
        <v/>
      </c>
    </row>
    <row r="499" spans="2:2">
      <c r="B499" s="3" t="str">
        <f ca="1">IFERROR(__xludf.DUMMYFUNCTION("IF(ISBLANK(A499),"""",GOOGLETRANSLATE(A499,""en"",""fr""))"),"")</f>
        <v/>
      </c>
    </row>
    <row r="500" spans="2:2">
      <c r="B500" s="3" t="str">
        <f ca="1">IFERROR(__xludf.DUMMYFUNCTION("IF(ISBLANK(A500),"""",GOOGLETRANSLATE(A500,""en"",""fr""))"),"")</f>
        <v/>
      </c>
    </row>
    <row r="501" spans="2:2">
      <c r="B501" s="3" t="str">
        <f ca="1">IFERROR(__xludf.DUMMYFUNCTION("IF(ISBLANK(A501),"""",GOOGLETRANSLATE(A501,""en"",""fr""))"),"")</f>
        <v/>
      </c>
    </row>
    <row r="502" spans="2:2">
      <c r="B502" s="3" t="str">
        <f ca="1">IFERROR(__xludf.DUMMYFUNCTION("IF(ISBLANK(A502),"""",GOOGLETRANSLATE(A502,""en"",""fr""))"),"")</f>
        <v/>
      </c>
    </row>
    <row r="503" spans="2:2">
      <c r="B503" s="3" t="str">
        <f ca="1">IFERROR(__xludf.DUMMYFUNCTION("IF(ISBLANK(A503),"""",GOOGLETRANSLATE(A503,""en"",""fr""))"),"")</f>
        <v/>
      </c>
    </row>
    <row r="504" spans="2:2">
      <c r="B504" s="3" t="str">
        <f ca="1">IFERROR(__xludf.DUMMYFUNCTION("IF(ISBLANK(A504),"""",GOOGLETRANSLATE(A504,""en"",""fr""))"),"")</f>
        <v/>
      </c>
    </row>
    <row r="505" spans="2:2">
      <c r="B505" s="3" t="str">
        <f ca="1">IFERROR(__xludf.DUMMYFUNCTION("IF(ISBLANK(A505),"""",GOOGLETRANSLATE(A505,""en"",""fr""))"),"")</f>
        <v/>
      </c>
    </row>
    <row r="506" spans="2:2">
      <c r="B506" s="3" t="str">
        <f ca="1">IFERROR(__xludf.DUMMYFUNCTION("IF(ISBLANK(A506),"""",GOOGLETRANSLATE(A506,""en"",""fr""))"),"")</f>
        <v/>
      </c>
    </row>
    <row r="507" spans="2:2">
      <c r="B507" s="3" t="str">
        <f ca="1">IFERROR(__xludf.DUMMYFUNCTION("IF(ISBLANK(A507),"""",GOOGLETRANSLATE(A507,""en"",""fr""))"),"")</f>
        <v/>
      </c>
    </row>
    <row r="508" spans="2:2">
      <c r="B508" s="3" t="str">
        <f ca="1">IFERROR(__xludf.DUMMYFUNCTION("IF(ISBLANK(A508),"""",GOOGLETRANSLATE(A508,""en"",""fr""))"),"")</f>
        <v/>
      </c>
    </row>
    <row r="509" spans="2:2">
      <c r="B509" s="3" t="str">
        <f ca="1">IFERROR(__xludf.DUMMYFUNCTION("IF(ISBLANK(A509),"""",GOOGLETRANSLATE(A509,""en"",""fr""))"),"")</f>
        <v/>
      </c>
    </row>
    <row r="510" spans="2:2">
      <c r="B510" s="3" t="str">
        <f ca="1">IFERROR(__xludf.DUMMYFUNCTION("IF(ISBLANK(A510),"""",GOOGLETRANSLATE(A510,""en"",""fr""))"),"")</f>
        <v/>
      </c>
    </row>
    <row r="511" spans="2:2">
      <c r="B511" s="3" t="str">
        <f ca="1">IFERROR(__xludf.DUMMYFUNCTION("IF(ISBLANK(A511),"""",GOOGLETRANSLATE(A511,""en"",""fr""))"),"")</f>
        <v/>
      </c>
    </row>
    <row r="512" spans="2:2">
      <c r="B512" s="3" t="str">
        <f ca="1">IFERROR(__xludf.DUMMYFUNCTION("IF(ISBLANK(A512),"""",GOOGLETRANSLATE(A512,""en"",""fr""))"),"")</f>
        <v/>
      </c>
    </row>
    <row r="513" spans="2:2">
      <c r="B513" s="3" t="str">
        <f ca="1">IFERROR(__xludf.DUMMYFUNCTION("IF(ISBLANK(A513),"""",GOOGLETRANSLATE(A513,""en"",""fr""))"),"")</f>
        <v/>
      </c>
    </row>
    <row r="514" spans="2:2">
      <c r="B514" s="3" t="str">
        <f ca="1">IFERROR(__xludf.DUMMYFUNCTION("IF(ISBLANK(A514),"""",GOOGLETRANSLATE(A514,""en"",""fr""))"),"")</f>
        <v/>
      </c>
    </row>
    <row r="515" spans="2:2">
      <c r="B515" s="3" t="str">
        <f ca="1">IFERROR(__xludf.DUMMYFUNCTION("IF(ISBLANK(A515),"""",GOOGLETRANSLATE(A515,""en"",""fr""))"),"")</f>
        <v/>
      </c>
    </row>
    <row r="516" spans="2:2">
      <c r="B516" s="3" t="str">
        <f ca="1">IFERROR(__xludf.DUMMYFUNCTION("IF(ISBLANK(A516),"""",GOOGLETRANSLATE(A516,""en"",""fr""))"),"")</f>
        <v/>
      </c>
    </row>
    <row r="517" spans="2:2">
      <c r="B517" s="3" t="str">
        <f ca="1">IFERROR(__xludf.DUMMYFUNCTION("IF(ISBLANK(A517),"""",GOOGLETRANSLATE(A517,""en"",""fr""))"),"")</f>
        <v/>
      </c>
    </row>
    <row r="518" spans="2:2">
      <c r="B518" s="3" t="str">
        <f ca="1">IFERROR(__xludf.DUMMYFUNCTION("IF(ISBLANK(A518),"""",GOOGLETRANSLATE(A518,""en"",""fr""))"),"")</f>
        <v/>
      </c>
    </row>
    <row r="519" spans="2:2">
      <c r="B519" s="3" t="str">
        <f ca="1">IFERROR(__xludf.DUMMYFUNCTION("IF(ISBLANK(A519),"""",GOOGLETRANSLATE(A519,""en"",""fr""))"),"")</f>
        <v/>
      </c>
    </row>
    <row r="520" spans="2:2">
      <c r="B520" s="3" t="str">
        <f ca="1">IFERROR(__xludf.DUMMYFUNCTION("IF(ISBLANK(A520),"""",GOOGLETRANSLATE(A520,""en"",""fr""))"),"")</f>
        <v/>
      </c>
    </row>
    <row r="521" spans="2:2">
      <c r="B521" s="3" t="str">
        <f ca="1">IFERROR(__xludf.DUMMYFUNCTION("IF(ISBLANK(A521),"""",GOOGLETRANSLATE(A521,""en"",""fr""))"),"")</f>
        <v/>
      </c>
    </row>
    <row r="522" spans="2:2">
      <c r="B522" s="3" t="str">
        <f ca="1">IFERROR(__xludf.DUMMYFUNCTION("IF(ISBLANK(A522),"""",GOOGLETRANSLATE(A522,""en"",""fr""))"),"")</f>
        <v/>
      </c>
    </row>
    <row r="523" spans="2:2">
      <c r="B523" s="3" t="str">
        <f ca="1">IFERROR(__xludf.DUMMYFUNCTION("IF(ISBLANK(A523),"""",GOOGLETRANSLATE(A523,""en"",""fr""))"),"")</f>
        <v/>
      </c>
    </row>
    <row r="524" spans="2:2">
      <c r="B524" s="3" t="str">
        <f ca="1">IFERROR(__xludf.DUMMYFUNCTION("IF(ISBLANK(A524),"""",GOOGLETRANSLATE(A524,""en"",""fr""))"),"")</f>
        <v/>
      </c>
    </row>
    <row r="525" spans="2:2">
      <c r="B525" s="3" t="str">
        <f ca="1">IFERROR(__xludf.DUMMYFUNCTION("IF(ISBLANK(A525),"""",GOOGLETRANSLATE(A525,""en"",""fr""))"),"")</f>
        <v/>
      </c>
    </row>
    <row r="526" spans="2:2">
      <c r="B526" s="3" t="str">
        <f ca="1">IFERROR(__xludf.DUMMYFUNCTION("IF(ISBLANK(A526),"""",GOOGLETRANSLATE(A526,""en"",""fr""))"),"")</f>
        <v/>
      </c>
    </row>
    <row r="527" spans="2:2">
      <c r="B527" s="3" t="str">
        <f ca="1">IFERROR(__xludf.DUMMYFUNCTION("IF(ISBLANK(A527),"""",GOOGLETRANSLATE(A527,""en"",""fr""))"),"")</f>
        <v/>
      </c>
    </row>
    <row r="528" spans="2:2">
      <c r="B528" s="3" t="str">
        <f ca="1">IFERROR(__xludf.DUMMYFUNCTION("IF(ISBLANK(A528),"""",GOOGLETRANSLATE(A528,""en"",""fr""))"),"")</f>
        <v/>
      </c>
    </row>
    <row r="529" spans="2:2">
      <c r="B529" s="3" t="str">
        <f ca="1">IFERROR(__xludf.DUMMYFUNCTION("IF(ISBLANK(A529),"""",GOOGLETRANSLATE(A529,""en"",""fr""))"),"")</f>
        <v/>
      </c>
    </row>
    <row r="530" spans="2:2">
      <c r="B530" s="3" t="str">
        <f ca="1">IFERROR(__xludf.DUMMYFUNCTION("IF(ISBLANK(A530),"""",GOOGLETRANSLATE(A530,""en"",""fr""))"),"")</f>
        <v/>
      </c>
    </row>
    <row r="531" spans="2:2">
      <c r="B531" s="3" t="str">
        <f ca="1">IFERROR(__xludf.DUMMYFUNCTION("IF(ISBLANK(A531),"""",GOOGLETRANSLATE(A531,""en"",""fr""))"),"")</f>
        <v/>
      </c>
    </row>
    <row r="532" spans="2:2">
      <c r="B532" s="3" t="str">
        <f ca="1">IFERROR(__xludf.DUMMYFUNCTION("IF(ISBLANK(A532),"""",GOOGLETRANSLATE(A532,""en"",""fr""))"),"")</f>
        <v/>
      </c>
    </row>
    <row r="533" spans="2:2">
      <c r="B533" s="3" t="str">
        <f ca="1">IFERROR(__xludf.DUMMYFUNCTION("IF(ISBLANK(A533),"""",GOOGLETRANSLATE(A533,""en"",""fr""))"),"")</f>
        <v/>
      </c>
    </row>
    <row r="534" spans="2:2">
      <c r="B534" s="3" t="str">
        <f ca="1">IFERROR(__xludf.DUMMYFUNCTION("IF(ISBLANK(A534),"""",GOOGLETRANSLATE(A534,""en"",""fr""))"),"")</f>
        <v/>
      </c>
    </row>
    <row r="535" spans="2:2">
      <c r="B535" s="3" t="str">
        <f ca="1">IFERROR(__xludf.DUMMYFUNCTION("IF(ISBLANK(A535),"""",GOOGLETRANSLATE(A535,""en"",""fr""))"),"")</f>
        <v/>
      </c>
    </row>
    <row r="536" spans="2:2">
      <c r="B536" s="3" t="str">
        <f ca="1">IFERROR(__xludf.DUMMYFUNCTION("IF(ISBLANK(A536),"""",GOOGLETRANSLATE(A536,""en"",""fr""))"),"")</f>
        <v/>
      </c>
    </row>
    <row r="537" spans="2:2">
      <c r="B537" s="3" t="str">
        <f ca="1">IFERROR(__xludf.DUMMYFUNCTION("IF(ISBLANK(A537),"""",GOOGLETRANSLATE(A537,""en"",""fr""))"),"")</f>
        <v/>
      </c>
    </row>
    <row r="538" spans="2:2">
      <c r="B538" s="3" t="str">
        <f ca="1">IFERROR(__xludf.DUMMYFUNCTION("IF(ISBLANK(A538),"""",GOOGLETRANSLATE(A538,""en"",""fr""))"),"")</f>
        <v/>
      </c>
    </row>
    <row r="539" spans="2:2">
      <c r="B539" s="3" t="str">
        <f ca="1">IFERROR(__xludf.DUMMYFUNCTION("IF(ISBLANK(A539),"""",GOOGLETRANSLATE(A539,""en"",""fr""))"),"")</f>
        <v/>
      </c>
    </row>
    <row r="540" spans="2:2">
      <c r="B540" s="3" t="str">
        <f ca="1">IFERROR(__xludf.DUMMYFUNCTION("IF(ISBLANK(A540),"""",GOOGLETRANSLATE(A540,""en"",""fr""))"),"")</f>
        <v/>
      </c>
    </row>
    <row r="541" spans="2:2">
      <c r="B541" s="3" t="str">
        <f ca="1">IFERROR(__xludf.DUMMYFUNCTION("IF(ISBLANK(A541),"""",GOOGLETRANSLATE(A541,""en"",""fr""))"),"")</f>
        <v/>
      </c>
    </row>
    <row r="542" spans="2:2">
      <c r="B542" s="3" t="str">
        <f ca="1">IFERROR(__xludf.DUMMYFUNCTION("IF(ISBLANK(A542),"""",GOOGLETRANSLATE(A542,""en"",""fr""))"),"")</f>
        <v/>
      </c>
    </row>
    <row r="543" spans="2:2">
      <c r="B543" s="3" t="str">
        <f ca="1">IFERROR(__xludf.DUMMYFUNCTION("IF(ISBLANK(A543),"""",GOOGLETRANSLATE(A543,""en"",""fr""))"),"")</f>
        <v/>
      </c>
    </row>
    <row r="544" spans="2:2">
      <c r="B544" s="3" t="str">
        <f ca="1">IFERROR(__xludf.DUMMYFUNCTION("IF(ISBLANK(A544),"""",GOOGLETRANSLATE(A544,""en"",""fr""))"),"")</f>
        <v/>
      </c>
    </row>
    <row r="545" spans="2:2">
      <c r="B545" s="3" t="str">
        <f ca="1">IFERROR(__xludf.DUMMYFUNCTION("IF(ISBLANK(A545),"""",GOOGLETRANSLATE(A545,""en"",""fr""))"),"")</f>
        <v/>
      </c>
    </row>
    <row r="546" spans="2:2">
      <c r="B546" s="3" t="str">
        <f ca="1">IFERROR(__xludf.DUMMYFUNCTION("IF(ISBLANK(A546),"""",GOOGLETRANSLATE(A546,""en"",""fr""))"),"")</f>
        <v/>
      </c>
    </row>
    <row r="547" spans="2:2">
      <c r="B547" s="3" t="str">
        <f ca="1">IFERROR(__xludf.DUMMYFUNCTION("IF(ISBLANK(A547),"""",GOOGLETRANSLATE(A547,""en"",""fr""))"),"")</f>
        <v/>
      </c>
    </row>
    <row r="548" spans="2:2">
      <c r="B548" s="3" t="str">
        <f ca="1">IFERROR(__xludf.DUMMYFUNCTION("IF(ISBLANK(A548),"""",GOOGLETRANSLATE(A548,""en"",""fr""))"),"")</f>
        <v/>
      </c>
    </row>
    <row r="549" spans="2:2">
      <c r="B549" s="3" t="str">
        <f ca="1">IFERROR(__xludf.DUMMYFUNCTION("IF(ISBLANK(A549),"""",GOOGLETRANSLATE(A549,""en"",""fr""))"),"")</f>
        <v/>
      </c>
    </row>
    <row r="550" spans="2:2">
      <c r="B550" s="3" t="str">
        <f ca="1">IFERROR(__xludf.DUMMYFUNCTION("IF(ISBLANK(A550),"""",GOOGLETRANSLATE(A550,""en"",""fr""))"),"")</f>
        <v/>
      </c>
    </row>
    <row r="551" spans="2:2">
      <c r="B551" s="3" t="str">
        <f ca="1">IFERROR(__xludf.DUMMYFUNCTION("IF(ISBLANK(A551),"""",GOOGLETRANSLATE(A551,""en"",""fr""))"),"")</f>
        <v/>
      </c>
    </row>
    <row r="552" spans="2:2">
      <c r="B552" s="3" t="str">
        <f ca="1">IFERROR(__xludf.DUMMYFUNCTION("IF(ISBLANK(A552),"""",GOOGLETRANSLATE(A552,""en"",""fr""))"),"")</f>
        <v/>
      </c>
    </row>
    <row r="553" spans="2:2">
      <c r="B553" s="3" t="str">
        <f ca="1">IFERROR(__xludf.DUMMYFUNCTION("IF(ISBLANK(A553),"""",GOOGLETRANSLATE(A553,""en"",""fr""))"),"")</f>
        <v/>
      </c>
    </row>
    <row r="554" spans="2:2">
      <c r="B554" s="3" t="str">
        <f ca="1">IFERROR(__xludf.DUMMYFUNCTION("IF(ISBLANK(A554),"""",GOOGLETRANSLATE(A554,""en"",""fr""))"),"")</f>
        <v/>
      </c>
    </row>
    <row r="555" spans="2:2">
      <c r="B555" s="3" t="str">
        <f ca="1">IFERROR(__xludf.DUMMYFUNCTION("IF(ISBLANK(A555),"""",GOOGLETRANSLATE(A555,""en"",""fr""))"),"")</f>
        <v/>
      </c>
    </row>
    <row r="556" spans="2:2">
      <c r="B556" s="3" t="str">
        <f ca="1">IFERROR(__xludf.DUMMYFUNCTION("IF(ISBLANK(A556),"""",GOOGLETRANSLATE(A556,""en"",""fr""))"),"")</f>
        <v/>
      </c>
    </row>
    <row r="557" spans="2:2">
      <c r="B557" s="3" t="str">
        <f ca="1">IFERROR(__xludf.DUMMYFUNCTION("IF(ISBLANK(A557),"""",GOOGLETRANSLATE(A557,""en"",""fr""))"),"")</f>
        <v/>
      </c>
    </row>
    <row r="558" spans="2:2">
      <c r="B558" s="3" t="str">
        <f ca="1">IFERROR(__xludf.DUMMYFUNCTION("IF(ISBLANK(A558),"""",GOOGLETRANSLATE(A558,""en"",""fr""))"),"")</f>
        <v/>
      </c>
    </row>
    <row r="559" spans="2:2">
      <c r="B559" s="3" t="str">
        <f ca="1">IFERROR(__xludf.DUMMYFUNCTION("IF(ISBLANK(A559),"""",GOOGLETRANSLATE(A559,""en"",""fr""))"),"")</f>
        <v/>
      </c>
    </row>
    <row r="560" spans="2:2">
      <c r="B560" s="3" t="str">
        <f ca="1">IFERROR(__xludf.DUMMYFUNCTION("IF(ISBLANK(A560),"""",GOOGLETRANSLATE(A560,""en"",""fr""))"),"")</f>
        <v/>
      </c>
    </row>
    <row r="561" spans="2:2">
      <c r="B561" s="3" t="str">
        <f ca="1">IFERROR(__xludf.DUMMYFUNCTION("IF(ISBLANK(A561),"""",GOOGLETRANSLATE(A561,""en"",""fr""))"),"")</f>
        <v/>
      </c>
    </row>
    <row r="562" spans="2:2">
      <c r="B562" s="3" t="str">
        <f ca="1">IFERROR(__xludf.DUMMYFUNCTION("IF(ISBLANK(A562),"""",GOOGLETRANSLATE(A562,""en"",""fr""))"),"")</f>
        <v/>
      </c>
    </row>
    <row r="563" spans="2:2">
      <c r="B563" s="3" t="str">
        <f ca="1">IFERROR(__xludf.DUMMYFUNCTION("IF(ISBLANK(A563),"""",GOOGLETRANSLATE(A563,""en"",""fr""))"),"")</f>
        <v/>
      </c>
    </row>
    <row r="564" spans="2:2">
      <c r="B564" s="3" t="str">
        <f ca="1">IFERROR(__xludf.DUMMYFUNCTION("IF(ISBLANK(A564),"""",GOOGLETRANSLATE(A564,""en"",""fr""))"),"")</f>
        <v/>
      </c>
    </row>
    <row r="565" spans="2:2">
      <c r="B565" s="3" t="str">
        <f ca="1">IFERROR(__xludf.DUMMYFUNCTION("IF(ISBLANK(A565),"""",GOOGLETRANSLATE(A565,""en"",""fr""))"),"")</f>
        <v/>
      </c>
    </row>
    <row r="566" spans="2:2">
      <c r="B566" s="3" t="str">
        <f ca="1">IFERROR(__xludf.DUMMYFUNCTION("IF(ISBLANK(A566),"""",GOOGLETRANSLATE(A566,""en"",""fr""))"),"")</f>
        <v/>
      </c>
    </row>
    <row r="567" spans="2:2">
      <c r="B567" s="3" t="str">
        <f ca="1">IFERROR(__xludf.DUMMYFUNCTION("IF(ISBLANK(A567),"""",GOOGLETRANSLATE(A567,""en"",""fr""))"),"")</f>
        <v/>
      </c>
    </row>
    <row r="568" spans="2:2">
      <c r="B568" s="3" t="str">
        <f ca="1">IFERROR(__xludf.DUMMYFUNCTION("IF(ISBLANK(A568),"""",GOOGLETRANSLATE(A568,""en"",""fr""))"),"")</f>
        <v/>
      </c>
    </row>
    <row r="569" spans="2:2">
      <c r="B569" s="3" t="str">
        <f ca="1">IFERROR(__xludf.DUMMYFUNCTION("IF(ISBLANK(A569),"""",GOOGLETRANSLATE(A569,""en"",""fr""))"),"")</f>
        <v/>
      </c>
    </row>
    <row r="570" spans="2:2">
      <c r="B570" s="3" t="str">
        <f ca="1">IFERROR(__xludf.DUMMYFUNCTION("IF(ISBLANK(A570),"""",GOOGLETRANSLATE(A570,""en"",""fr""))"),"")</f>
        <v/>
      </c>
    </row>
    <row r="571" spans="2:2">
      <c r="B571" s="3" t="str">
        <f ca="1">IFERROR(__xludf.DUMMYFUNCTION("IF(ISBLANK(A571),"""",GOOGLETRANSLATE(A571,""en"",""fr""))"),"")</f>
        <v/>
      </c>
    </row>
    <row r="572" spans="2:2">
      <c r="B572" s="3" t="str">
        <f ca="1">IFERROR(__xludf.DUMMYFUNCTION("IF(ISBLANK(A572),"""",GOOGLETRANSLATE(A572,""en"",""fr""))"),"")</f>
        <v/>
      </c>
    </row>
    <row r="573" spans="2:2">
      <c r="B573" s="3" t="str">
        <f ca="1">IFERROR(__xludf.DUMMYFUNCTION("IF(ISBLANK(A573),"""",GOOGLETRANSLATE(A573,""en"",""fr""))"),"")</f>
        <v/>
      </c>
    </row>
    <row r="574" spans="2:2">
      <c r="B574" s="3" t="str">
        <f ca="1">IFERROR(__xludf.DUMMYFUNCTION("IF(ISBLANK(A574),"""",GOOGLETRANSLATE(A574,""en"",""fr""))"),"")</f>
        <v/>
      </c>
    </row>
    <row r="575" spans="2:2">
      <c r="B575" s="3" t="str">
        <f ca="1">IFERROR(__xludf.DUMMYFUNCTION("IF(ISBLANK(A575),"""",GOOGLETRANSLATE(A575,""en"",""fr""))"),"")</f>
        <v/>
      </c>
    </row>
    <row r="576" spans="2:2">
      <c r="B576" s="3" t="str">
        <f ca="1">IFERROR(__xludf.DUMMYFUNCTION("IF(ISBLANK(A576),"""",GOOGLETRANSLATE(A576,""en"",""fr""))"),"")</f>
        <v/>
      </c>
    </row>
    <row r="577" spans="2:2">
      <c r="B577" s="3" t="str">
        <f ca="1">IFERROR(__xludf.DUMMYFUNCTION("IF(ISBLANK(A577),"""",GOOGLETRANSLATE(A577,""en"",""fr""))"),"")</f>
        <v/>
      </c>
    </row>
    <row r="578" spans="2:2">
      <c r="B578" s="3" t="str">
        <f ca="1">IFERROR(__xludf.DUMMYFUNCTION("IF(ISBLANK(A578),"""",GOOGLETRANSLATE(A578,""en"",""fr""))"),"")</f>
        <v/>
      </c>
    </row>
    <row r="579" spans="2:2">
      <c r="B579" s="3" t="str">
        <f ca="1">IFERROR(__xludf.DUMMYFUNCTION("IF(ISBLANK(A579),"""",GOOGLETRANSLATE(A579,""en"",""fr""))"),"")</f>
        <v/>
      </c>
    </row>
    <row r="580" spans="2:2">
      <c r="B580" s="3" t="str">
        <f ca="1">IFERROR(__xludf.DUMMYFUNCTION("IF(ISBLANK(A580),"""",GOOGLETRANSLATE(A580,""en"",""fr""))"),"")</f>
        <v/>
      </c>
    </row>
    <row r="581" spans="2:2">
      <c r="B581" s="3" t="str">
        <f ca="1">IFERROR(__xludf.DUMMYFUNCTION("IF(ISBLANK(A581),"""",GOOGLETRANSLATE(A581,""en"",""fr""))"),"")</f>
        <v/>
      </c>
    </row>
    <row r="582" spans="2:2">
      <c r="B582" s="3" t="str">
        <f ca="1">IFERROR(__xludf.DUMMYFUNCTION("IF(ISBLANK(A582),"""",GOOGLETRANSLATE(A582,""en"",""fr""))"),"")</f>
        <v/>
      </c>
    </row>
    <row r="583" spans="2:2">
      <c r="B583" s="3" t="str">
        <f ca="1">IFERROR(__xludf.DUMMYFUNCTION("IF(ISBLANK(A583),"""",GOOGLETRANSLATE(A583,""en"",""fr""))"),"")</f>
        <v/>
      </c>
    </row>
    <row r="584" spans="2:2">
      <c r="B584" s="3" t="str">
        <f ca="1">IFERROR(__xludf.DUMMYFUNCTION("IF(ISBLANK(A584),"""",GOOGLETRANSLATE(A584,""en"",""fr""))"),"")</f>
        <v/>
      </c>
    </row>
    <row r="585" spans="2:2">
      <c r="B585" s="3" t="str">
        <f ca="1">IFERROR(__xludf.DUMMYFUNCTION("IF(ISBLANK(A585),"""",GOOGLETRANSLATE(A585,""en"",""fr""))"),"")</f>
        <v/>
      </c>
    </row>
    <row r="586" spans="2:2">
      <c r="B586" s="3" t="str">
        <f ca="1">IFERROR(__xludf.DUMMYFUNCTION("IF(ISBLANK(A586),"""",GOOGLETRANSLATE(A586,""en"",""fr""))"),"")</f>
        <v/>
      </c>
    </row>
    <row r="587" spans="2:2">
      <c r="B587" s="3" t="str">
        <f ca="1">IFERROR(__xludf.DUMMYFUNCTION("IF(ISBLANK(A587),"""",GOOGLETRANSLATE(A587,""en"",""fr""))"),"")</f>
        <v/>
      </c>
    </row>
    <row r="588" spans="2:2">
      <c r="B588" s="3" t="str">
        <f ca="1">IFERROR(__xludf.DUMMYFUNCTION("IF(ISBLANK(A588),"""",GOOGLETRANSLATE(A588,""en"",""fr""))"),"")</f>
        <v/>
      </c>
    </row>
    <row r="589" spans="2:2">
      <c r="B589" s="3" t="str">
        <f ca="1">IFERROR(__xludf.DUMMYFUNCTION("IF(ISBLANK(A589),"""",GOOGLETRANSLATE(A589,""en"",""fr""))"),"")</f>
        <v/>
      </c>
    </row>
    <row r="590" spans="2:2">
      <c r="B590" s="3" t="str">
        <f ca="1">IFERROR(__xludf.DUMMYFUNCTION("IF(ISBLANK(A590),"""",GOOGLETRANSLATE(A590,""en"",""fr""))"),"")</f>
        <v/>
      </c>
    </row>
    <row r="591" spans="2:2">
      <c r="B591" s="3" t="str">
        <f ca="1">IFERROR(__xludf.DUMMYFUNCTION("IF(ISBLANK(A591),"""",GOOGLETRANSLATE(A591,""en"",""fr""))"),"")</f>
        <v/>
      </c>
    </row>
    <row r="592" spans="2:2">
      <c r="B592" s="3" t="str">
        <f ca="1">IFERROR(__xludf.DUMMYFUNCTION("IF(ISBLANK(A592),"""",GOOGLETRANSLATE(A592,""en"",""fr""))"),"")</f>
        <v/>
      </c>
    </row>
    <row r="593" spans="2:2">
      <c r="B593" s="3" t="str">
        <f ca="1">IFERROR(__xludf.DUMMYFUNCTION("IF(ISBLANK(A593),"""",GOOGLETRANSLATE(A593,""en"",""fr""))"),"")</f>
        <v/>
      </c>
    </row>
    <row r="594" spans="2:2">
      <c r="B594" s="3" t="str">
        <f ca="1">IFERROR(__xludf.DUMMYFUNCTION("IF(ISBLANK(A594),"""",GOOGLETRANSLATE(A594,""en"",""fr""))"),"")</f>
        <v/>
      </c>
    </row>
    <row r="595" spans="2:2">
      <c r="B595" s="3" t="str">
        <f ca="1">IFERROR(__xludf.DUMMYFUNCTION("IF(ISBLANK(A595),"""",GOOGLETRANSLATE(A595,""en"",""fr""))"),"")</f>
        <v/>
      </c>
    </row>
    <row r="596" spans="2:2">
      <c r="B596" s="3" t="str">
        <f ca="1">IFERROR(__xludf.DUMMYFUNCTION("IF(ISBLANK(A596),"""",GOOGLETRANSLATE(A596,""en"",""fr""))"),"")</f>
        <v/>
      </c>
    </row>
    <row r="597" spans="2:2">
      <c r="B597" s="3" t="str">
        <f ca="1">IFERROR(__xludf.DUMMYFUNCTION("IF(ISBLANK(A597),"""",GOOGLETRANSLATE(A597,""en"",""fr""))"),"")</f>
        <v/>
      </c>
    </row>
    <row r="598" spans="2:2">
      <c r="B598" s="3" t="str">
        <f ca="1">IFERROR(__xludf.DUMMYFUNCTION("IF(ISBLANK(A598),"""",GOOGLETRANSLATE(A598,""en"",""fr""))"),"")</f>
        <v/>
      </c>
    </row>
    <row r="599" spans="2:2">
      <c r="B599" s="3" t="str">
        <f ca="1">IFERROR(__xludf.DUMMYFUNCTION("IF(ISBLANK(A599),"""",GOOGLETRANSLATE(A599,""en"",""fr""))"),"")</f>
        <v/>
      </c>
    </row>
    <row r="600" spans="2:2">
      <c r="B600" s="3" t="str">
        <f ca="1">IFERROR(__xludf.DUMMYFUNCTION("IF(ISBLANK(A600),"""",GOOGLETRANSLATE(A600,""en"",""fr""))"),"")</f>
        <v/>
      </c>
    </row>
    <row r="601" spans="2:2">
      <c r="B601" s="3" t="str">
        <f ca="1">IFERROR(__xludf.DUMMYFUNCTION("IF(ISBLANK(A601),"""",GOOGLETRANSLATE(A601,""en"",""fr""))"),"")</f>
        <v/>
      </c>
    </row>
    <row r="602" spans="2:2">
      <c r="B602" s="3" t="str">
        <f ca="1">IFERROR(__xludf.DUMMYFUNCTION("IF(ISBLANK(A602),"""",GOOGLETRANSLATE(A602,""en"",""fr""))"),"")</f>
        <v/>
      </c>
    </row>
    <row r="603" spans="2:2">
      <c r="B603" s="3" t="str">
        <f ca="1">IFERROR(__xludf.DUMMYFUNCTION("IF(ISBLANK(A603),"""",GOOGLETRANSLATE(A603,""en"",""fr""))"),"")</f>
        <v/>
      </c>
    </row>
    <row r="604" spans="2:2">
      <c r="B604" s="3" t="str">
        <f ca="1">IFERROR(__xludf.DUMMYFUNCTION("IF(ISBLANK(A604),"""",GOOGLETRANSLATE(A604,""en"",""fr""))"),"")</f>
        <v/>
      </c>
    </row>
    <row r="605" spans="2:2">
      <c r="B605" s="3" t="str">
        <f ca="1">IFERROR(__xludf.DUMMYFUNCTION("IF(ISBLANK(A605),"""",GOOGLETRANSLATE(A605,""en"",""fr""))"),"")</f>
        <v/>
      </c>
    </row>
    <row r="606" spans="2:2">
      <c r="B606" s="3" t="str">
        <f ca="1">IFERROR(__xludf.DUMMYFUNCTION("IF(ISBLANK(A606),"""",GOOGLETRANSLATE(A606,""en"",""fr""))"),"")</f>
        <v/>
      </c>
    </row>
    <row r="607" spans="2:2">
      <c r="B607" s="3" t="str">
        <f ca="1">IFERROR(__xludf.DUMMYFUNCTION("IF(ISBLANK(A607),"""",GOOGLETRANSLATE(A607,""en"",""fr""))"),"")</f>
        <v/>
      </c>
    </row>
    <row r="608" spans="2:2">
      <c r="B608" s="3" t="str">
        <f ca="1">IFERROR(__xludf.DUMMYFUNCTION("IF(ISBLANK(A608),"""",GOOGLETRANSLATE(A608,""en"",""fr""))"),"")</f>
        <v/>
      </c>
    </row>
    <row r="609" spans="2:2">
      <c r="B609" s="3" t="str">
        <f ca="1">IFERROR(__xludf.DUMMYFUNCTION("IF(ISBLANK(A609),"""",GOOGLETRANSLATE(A609,""en"",""fr""))"),"")</f>
        <v/>
      </c>
    </row>
    <row r="610" spans="2:2">
      <c r="B610" s="3" t="str">
        <f ca="1">IFERROR(__xludf.DUMMYFUNCTION("IF(ISBLANK(A610),"""",GOOGLETRANSLATE(A610,""en"",""fr""))"),"")</f>
        <v/>
      </c>
    </row>
    <row r="611" spans="2:2">
      <c r="B611" s="3" t="str">
        <f ca="1">IFERROR(__xludf.DUMMYFUNCTION("IF(ISBLANK(A611),"""",GOOGLETRANSLATE(A611,""en"",""fr""))"),"")</f>
        <v/>
      </c>
    </row>
    <row r="612" spans="2:2">
      <c r="B612" s="3" t="str">
        <f ca="1">IFERROR(__xludf.DUMMYFUNCTION("IF(ISBLANK(A612),"""",GOOGLETRANSLATE(A612,""en"",""fr""))"),"")</f>
        <v/>
      </c>
    </row>
    <row r="613" spans="2:2">
      <c r="B613" s="3" t="str">
        <f ca="1">IFERROR(__xludf.DUMMYFUNCTION("IF(ISBLANK(A613),"""",GOOGLETRANSLATE(A613,""en"",""fr""))"),"")</f>
        <v/>
      </c>
    </row>
    <row r="614" spans="2:2">
      <c r="B614" s="3" t="str">
        <f ca="1">IFERROR(__xludf.DUMMYFUNCTION("IF(ISBLANK(A614),"""",GOOGLETRANSLATE(A614,""en"",""fr""))"),"")</f>
        <v/>
      </c>
    </row>
    <row r="615" spans="2:2">
      <c r="B615" s="3" t="str">
        <f ca="1">IFERROR(__xludf.DUMMYFUNCTION("IF(ISBLANK(A615),"""",GOOGLETRANSLATE(A615,""en"",""fr""))"),"")</f>
        <v/>
      </c>
    </row>
    <row r="616" spans="2:2">
      <c r="B616" s="3" t="str">
        <f ca="1">IFERROR(__xludf.DUMMYFUNCTION("IF(ISBLANK(A616),"""",GOOGLETRANSLATE(A616,""en"",""fr""))"),"")</f>
        <v/>
      </c>
    </row>
    <row r="617" spans="2:2">
      <c r="B617" s="3" t="str">
        <f ca="1">IFERROR(__xludf.DUMMYFUNCTION("IF(ISBLANK(A617),"""",GOOGLETRANSLATE(A617,""en"",""fr""))"),"")</f>
        <v/>
      </c>
    </row>
    <row r="618" spans="2:2">
      <c r="B618" s="3" t="str">
        <f ca="1">IFERROR(__xludf.DUMMYFUNCTION("IF(ISBLANK(A618),"""",GOOGLETRANSLATE(A618,""en"",""fr""))"),"")</f>
        <v/>
      </c>
    </row>
    <row r="619" spans="2:2">
      <c r="B619" s="3" t="str">
        <f ca="1">IFERROR(__xludf.DUMMYFUNCTION("IF(ISBLANK(A619),"""",GOOGLETRANSLATE(A619,""en"",""fr""))"),"")</f>
        <v/>
      </c>
    </row>
    <row r="620" spans="2:2">
      <c r="B620" s="3" t="str">
        <f ca="1">IFERROR(__xludf.DUMMYFUNCTION("IF(ISBLANK(A620),"""",GOOGLETRANSLATE(A620,""en"",""fr""))"),"")</f>
        <v/>
      </c>
    </row>
    <row r="621" spans="2:2">
      <c r="B621" s="3" t="str">
        <f ca="1">IFERROR(__xludf.DUMMYFUNCTION("IF(ISBLANK(A621),"""",GOOGLETRANSLATE(A621,""en"",""fr""))"),"")</f>
        <v/>
      </c>
    </row>
    <row r="622" spans="2:2">
      <c r="B622" s="3" t="str">
        <f ca="1">IFERROR(__xludf.DUMMYFUNCTION("IF(ISBLANK(A622),"""",GOOGLETRANSLATE(A622,""en"",""fr""))"),"")</f>
        <v/>
      </c>
    </row>
    <row r="623" spans="2:2">
      <c r="B623" s="3" t="str">
        <f ca="1">IFERROR(__xludf.DUMMYFUNCTION("IF(ISBLANK(A623),"""",GOOGLETRANSLATE(A623,""en"",""fr""))"),"")</f>
        <v/>
      </c>
    </row>
    <row r="624" spans="2:2">
      <c r="B624" s="3" t="str">
        <f ca="1">IFERROR(__xludf.DUMMYFUNCTION("IF(ISBLANK(A624),"""",GOOGLETRANSLATE(A624,""en"",""fr""))"),"")</f>
        <v/>
      </c>
    </row>
    <row r="625" spans="2:2">
      <c r="B625" s="3" t="str">
        <f ca="1">IFERROR(__xludf.DUMMYFUNCTION("IF(ISBLANK(A625),"""",GOOGLETRANSLATE(A625,""en"",""fr""))"),"")</f>
        <v/>
      </c>
    </row>
    <row r="626" spans="2:2">
      <c r="B626" s="3" t="str">
        <f ca="1">IFERROR(__xludf.DUMMYFUNCTION("IF(ISBLANK(A626),"""",GOOGLETRANSLATE(A626,""en"",""fr""))"),"")</f>
        <v/>
      </c>
    </row>
    <row r="627" spans="2:2">
      <c r="B627" s="3" t="str">
        <f ca="1">IFERROR(__xludf.DUMMYFUNCTION("IF(ISBLANK(A627),"""",GOOGLETRANSLATE(A627,""en"",""fr""))"),"")</f>
        <v/>
      </c>
    </row>
    <row r="628" spans="2:2">
      <c r="B628" s="3" t="str">
        <f ca="1">IFERROR(__xludf.DUMMYFUNCTION("IF(ISBLANK(A628),"""",GOOGLETRANSLATE(A628,""en"",""fr""))"),"")</f>
        <v/>
      </c>
    </row>
    <row r="629" spans="2:2">
      <c r="B629" s="3" t="str">
        <f ca="1">IFERROR(__xludf.DUMMYFUNCTION("IF(ISBLANK(A629),"""",GOOGLETRANSLATE(A629,""en"",""fr""))"),"")</f>
        <v/>
      </c>
    </row>
    <row r="630" spans="2:2">
      <c r="B630" s="3" t="str">
        <f ca="1">IFERROR(__xludf.DUMMYFUNCTION("IF(ISBLANK(A630),"""",GOOGLETRANSLATE(A630,""en"",""fr""))"),"")</f>
        <v/>
      </c>
    </row>
    <row r="631" spans="2:2">
      <c r="B631" s="3" t="str">
        <f ca="1">IFERROR(__xludf.DUMMYFUNCTION("IF(ISBLANK(A631),"""",GOOGLETRANSLATE(A631,""en"",""fr""))"),"")</f>
        <v/>
      </c>
    </row>
    <row r="632" spans="2:2">
      <c r="B632" s="3" t="str">
        <f ca="1">IFERROR(__xludf.DUMMYFUNCTION("IF(ISBLANK(A632),"""",GOOGLETRANSLATE(A632,""en"",""fr""))"),"")</f>
        <v/>
      </c>
    </row>
    <row r="633" spans="2:2">
      <c r="B633" s="3" t="str">
        <f ca="1">IFERROR(__xludf.DUMMYFUNCTION("IF(ISBLANK(A633),"""",GOOGLETRANSLATE(A633,""en"",""fr""))"),"")</f>
        <v/>
      </c>
    </row>
    <row r="634" spans="2:2">
      <c r="B634" s="3" t="str">
        <f ca="1">IFERROR(__xludf.DUMMYFUNCTION("IF(ISBLANK(A634),"""",GOOGLETRANSLATE(A634,""en"",""fr""))"),"")</f>
        <v/>
      </c>
    </row>
    <row r="635" spans="2:2">
      <c r="B635" s="3" t="str">
        <f ca="1">IFERROR(__xludf.DUMMYFUNCTION("IF(ISBLANK(A635),"""",GOOGLETRANSLATE(A635,""en"",""fr""))"),"")</f>
        <v/>
      </c>
    </row>
    <row r="636" spans="2:2">
      <c r="B636" s="3" t="str">
        <f ca="1">IFERROR(__xludf.DUMMYFUNCTION("IF(ISBLANK(A636),"""",GOOGLETRANSLATE(A636,""en"",""fr""))"),"")</f>
        <v/>
      </c>
    </row>
    <row r="637" spans="2:2">
      <c r="B637" s="3" t="str">
        <f ca="1">IFERROR(__xludf.DUMMYFUNCTION("IF(ISBLANK(A637),"""",GOOGLETRANSLATE(A637,""en"",""fr""))"),"")</f>
        <v/>
      </c>
    </row>
    <row r="638" spans="2:2">
      <c r="B638" s="3" t="str">
        <f ca="1">IFERROR(__xludf.DUMMYFUNCTION("IF(ISBLANK(A638),"""",GOOGLETRANSLATE(A638,""en"",""fr""))"),"")</f>
        <v/>
      </c>
    </row>
    <row r="639" spans="2:2">
      <c r="B639" s="3" t="str">
        <f ca="1">IFERROR(__xludf.DUMMYFUNCTION("IF(ISBLANK(A639),"""",GOOGLETRANSLATE(A639,""en"",""fr""))"),"")</f>
        <v/>
      </c>
    </row>
    <row r="640" spans="2:2">
      <c r="B640" s="3" t="str">
        <f ca="1">IFERROR(__xludf.DUMMYFUNCTION("IF(ISBLANK(A640),"""",GOOGLETRANSLATE(A640,""en"",""fr""))"),"")</f>
        <v/>
      </c>
    </row>
    <row r="641" spans="2:2">
      <c r="B641" s="3" t="str">
        <f ca="1">IFERROR(__xludf.DUMMYFUNCTION("IF(ISBLANK(A641),"""",GOOGLETRANSLATE(A641,""en"",""fr""))"),"")</f>
        <v/>
      </c>
    </row>
    <row r="642" spans="2:2">
      <c r="B642" s="3" t="str">
        <f ca="1">IFERROR(__xludf.DUMMYFUNCTION("IF(ISBLANK(A642),"""",GOOGLETRANSLATE(A642,""en"",""fr""))"),"")</f>
        <v/>
      </c>
    </row>
    <row r="643" spans="2:2">
      <c r="B643" s="3" t="str">
        <f ca="1">IFERROR(__xludf.DUMMYFUNCTION("IF(ISBLANK(A643),"""",GOOGLETRANSLATE(A643,""en"",""fr""))"),"")</f>
        <v/>
      </c>
    </row>
    <row r="644" spans="2:2">
      <c r="B644" s="3" t="str">
        <f ca="1">IFERROR(__xludf.DUMMYFUNCTION("IF(ISBLANK(A644),"""",GOOGLETRANSLATE(A644,""en"",""fr""))"),"")</f>
        <v/>
      </c>
    </row>
    <row r="645" spans="2:2">
      <c r="B645" s="3" t="str">
        <f ca="1">IFERROR(__xludf.DUMMYFUNCTION("IF(ISBLANK(A645),"""",GOOGLETRANSLATE(A645,""en"",""fr""))"),"")</f>
        <v/>
      </c>
    </row>
    <row r="646" spans="2:2">
      <c r="B646" s="3" t="str">
        <f ca="1">IFERROR(__xludf.DUMMYFUNCTION("IF(ISBLANK(A646),"""",GOOGLETRANSLATE(A646,""en"",""fr""))"),"")</f>
        <v/>
      </c>
    </row>
    <row r="647" spans="2:2">
      <c r="B647" s="3" t="str">
        <f ca="1">IFERROR(__xludf.DUMMYFUNCTION("IF(ISBLANK(A647),"""",GOOGLETRANSLATE(A647,""en"",""fr""))"),"")</f>
        <v/>
      </c>
    </row>
    <row r="648" spans="2:2">
      <c r="B648" s="3" t="str">
        <f ca="1">IFERROR(__xludf.DUMMYFUNCTION("IF(ISBLANK(A648),"""",GOOGLETRANSLATE(A648,""en"",""fr""))"),"")</f>
        <v/>
      </c>
    </row>
    <row r="649" spans="2:2">
      <c r="B649" s="3" t="str">
        <f ca="1">IFERROR(__xludf.DUMMYFUNCTION("IF(ISBLANK(A649),"""",GOOGLETRANSLATE(A649,""en"",""fr""))"),"")</f>
        <v/>
      </c>
    </row>
    <row r="650" spans="2:2">
      <c r="B650" s="3" t="str">
        <f ca="1">IFERROR(__xludf.DUMMYFUNCTION("IF(ISBLANK(A650),"""",GOOGLETRANSLATE(A650,""en"",""fr""))"),"")</f>
        <v/>
      </c>
    </row>
    <row r="651" spans="2:2">
      <c r="B651" s="3" t="str">
        <f ca="1">IFERROR(__xludf.DUMMYFUNCTION("IF(ISBLANK(A651),"""",GOOGLETRANSLATE(A651,""en"",""fr""))"),"")</f>
        <v/>
      </c>
    </row>
    <row r="652" spans="2:2">
      <c r="B652" s="3" t="str">
        <f ca="1">IFERROR(__xludf.DUMMYFUNCTION("IF(ISBLANK(A652),"""",GOOGLETRANSLATE(A652,""en"",""fr""))"),"")</f>
        <v/>
      </c>
    </row>
    <row r="653" spans="2:2">
      <c r="B653" s="3" t="str">
        <f ca="1">IFERROR(__xludf.DUMMYFUNCTION("IF(ISBLANK(A653),"""",GOOGLETRANSLATE(A653,""en"",""fr""))"),"")</f>
        <v/>
      </c>
    </row>
    <row r="654" spans="2:2">
      <c r="B654" s="3" t="str">
        <f ca="1">IFERROR(__xludf.DUMMYFUNCTION("IF(ISBLANK(A654),"""",GOOGLETRANSLATE(A654,""en"",""fr""))"),"")</f>
        <v/>
      </c>
    </row>
    <row r="655" spans="2:2">
      <c r="B655" s="3" t="str">
        <f ca="1">IFERROR(__xludf.DUMMYFUNCTION("IF(ISBLANK(A655),"""",GOOGLETRANSLATE(A655,""en"",""fr""))"),"")</f>
        <v/>
      </c>
    </row>
    <row r="656" spans="2:2">
      <c r="B656" s="3" t="str">
        <f ca="1">IFERROR(__xludf.DUMMYFUNCTION("IF(ISBLANK(A656),"""",GOOGLETRANSLATE(A656,""en"",""fr""))"),"")</f>
        <v/>
      </c>
    </row>
    <row r="657" spans="2:2">
      <c r="B657" s="3" t="str">
        <f ca="1">IFERROR(__xludf.DUMMYFUNCTION("IF(ISBLANK(A657),"""",GOOGLETRANSLATE(A657,""en"",""fr""))"),"")</f>
        <v/>
      </c>
    </row>
    <row r="658" spans="2:2">
      <c r="B658" s="3" t="str">
        <f ca="1">IFERROR(__xludf.DUMMYFUNCTION("IF(ISBLANK(A658),"""",GOOGLETRANSLATE(A658,""en"",""fr""))"),"")</f>
        <v/>
      </c>
    </row>
    <row r="659" spans="2:2">
      <c r="B659" s="3" t="str">
        <f ca="1">IFERROR(__xludf.DUMMYFUNCTION("IF(ISBLANK(A659),"""",GOOGLETRANSLATE(A659,""en"",""fr""))"),"")</f>
        <v/>
      </c>
    </row>
    <row r="660" spans="2:2">
      <c r="B660" s="3" t="str">
        <f ca="1">IFERROR(__xludf.DUMMYFUNCTION("IF(ISBLANK(A660),"""",GOOGLETRANSLATE(A660,""en"",""fr""))"),"")</f>
        <v/>
      </c>
    </row>
    <row r="661" spans="2:2">
      <c r="B661" s="3" t="str">
        <f ca="1">IFERROR(__xludf.DUMMYFUNCTION("IF(ISBLANK(A661),"""",GOOGLETRANSLATE(A661,""en"",""fr""))"),"")</f>
        <v/>
      </c>
    </row>
    <row r="662" spans="2:2">
      <c r="B662" s="3" t="str">
        <f ca="1">IFERROR(__xludf.DUMMYFUNCTION("IF(ISBLANK(A662),"""",GOOGLETRANSLATE(A662,""en"",""fr""))"),"")</f>
        <v/>
      </c>
    </row>
    <row r="663" spans="2:2">
      <c r="B663" s="3" t="str">
        <f ca="1">IFERROR(__xludf.DUMMYFUNCTION("IF(ISBLANK(A663),"""",GOOGLETRANSLATE(A663,""en"",""fr""))"),"")</f>
        <v/>
      </c>
    </row>
    <row r="664" spans="2:2">
      <c r="B664" s="3" t="str">
        <f ca="1">IFERROR(__xludf.DUMMYFUNCTION("IF(ISBLANK(A664),"""",GOOGLETRANSLATE(A664,""en"",""fr""))"),"")</f>
        <v/>
      </c>
    </row>
    <row r="665" spans="2:2">
      <c r="B665" s="3" t="str">
        <f ca="1">IFERROR(__xludf.DUMMYFUNCTION("IF(ISBLANK(A665),"""",GOOGLETRANSLATE(A665,""en"",""fr""))"),"")</f>
        <v/>
      </c>
    </row>
    <row r="666" spans="2:2">
      <c r="B666" s="3" t="str">
        <f ca="1">IFERROR(__xludf.DUMMYFUNCTION("IF(ISBLANK(A666),"""",GOOGLETRANSLATE(A666,""en"",""fr""))"),"")</f>
        <v/>
      </c>
    </row>
    <row r="667" spans="2:2">
      <c r="B667" s="3" t="str">
        <f ca="1">IFERROR(__xludf.DUMMYFUNCTION("IF(ISBLANK(A667),"""",GOOGLETRANSLATE(A667,""en"",""fr""))"),"")</f>
        <v/>
      </c>
    </row>
    <row r="668" spans="2:2">
      <c r="B668" s="3" t="str">
        <f ca="1">IFERROR(__xludf.DUMMYFUNCTION("IF(ISBLANK(A668),"""",GOOGLETRANSLATE(A668,""en"",""fr""))"),"")</f>
        <v/>
      </c>
    </row>
    <row r="669" spans="2:2">
      <c r="B669" s="3" t="str">
        <f ca="1">IFERROR(__xludf.DUMMYFUNCTION("IF(ISBLANK(A669),"""",GOOGLETRANSLATE(A669,""en"",""fr""))"),"")</f>
        <v/>
      </c>
    </row>
    <row r="670" spans="2:2">
      <c r="B670" s="3" t="str">
        <f ca="1">IFERROR(__xludf.DUMMYFUNCTION("IF(ISBLANK(A670),"""",GOOGLETRANSLATE(A670,""en"",""fr""))"),"")</f>
        <v/>
      </c>
    </row>
    <row r="671" spans="2:2">
      <c r="B671" s="3" t="str">
        <f ca="1">IFERROR(__xludf.DUMMYFUNCTION("IF(ISBLANK(A671),"""",GOOGLETRANSLATE(A671,""en"",""fr""))"),"")</f>
        <v/>
      </c>
    </row>
    <row r="672" spans="2:2">
      <c r="B672" s="3" t="str">
        <f ca="1">IFERROR(__xludf.DUMMYFUNCTION("IF(ISBLANK(A672),"""",GOOGLETRANSLATE(A672,""en"",""fr""))"),"")</f>
        <v/>
      </c>
    </row>
    <row r="673" spans="2:2">
      <c r="B673" s="3" t="str">
        <f ca="1">IFERROR(__xludf.DUMMYFUNCTION("IF(ISBLANK(A673),"""",GOOGLETRANSLATE(A673,""en"",""fr""))"),"")</f>
        <v/>
      </c>
    </row>
    <row r="674" spans="2:2">
      <c r="B674" s="3" t="str">
        <f ca="1">IFERROR(__xludf.DUMMYFUNCTION("IF(ISBLANK(A674),"""",GOOGLETRANSLATE(A674,""en"",""fr""))"),"")</f>
        <v/>
      </c>
    </row>
    <row r="675" spans="2:2">
      <c r="B675" s="3" t="str">
        <f ca="1">IFERROR(__xludf.DUMMYFUNCTION("IF(ISBLANK(A675),"""",GOOGLETRANSLATE(A675,""en"",""fr""))"),"")</f>
        <v/>
      </c>
    </row>
    <row r="676" spans="2:2">
      <c r="B676" s="3" t="str">
        <f ca="1">IFERROR(__xludf.DUMMYFUNCTION("IF(ISBLANK(A676),"""",GOOGLETRANSLATE(A676,""en"",""fr""))"),"")</f>
        <v/>
      </c>
    </row>
    <row r="677" spans="2:2">
      <c r="B677" s="3" t="str">
        <f ca="1">IFERROR(__xludf.DUMMYFUNCTION("IF(ISBLANK(A677),"""",GOOGLETRANSLATE(A677,""en"",""fr""))"),"")</f>
        <v/>
      </c>
    </row>
    <row r="678" spans="2:2">
      <c r="B678" s="3" t="str">
        <f ca="1">IFERROR(__xludf.DUMMYFUNCTION("IF(ISBLANK(A678),"""",GOOGLETRANSLATE(A678,""en"",""fr""))"),"")</f>
        <v/>
      </c>
    </row>
    <row r="679" spans="2:2">
      <c r="B679" s="3" t="str">
        <f ca="1">IFERROR(__xludf.DUMMYFUNCTION("IF(ISBLANK(A679),"""",GOOGLETRANSLATE(A679,""en"",""fr""))"),"")</f>
        <v/>
      </c>
    </row>
    <row r="680" spans="2:2">
      <c r="B680" s="3" t="str">
        <f ca="1">IFERROR(__xludf.DUMMYFUNCTION("IF(ISBLANK(A680),"""",GOOGLETRANSLATE(A680,""en"",""fr""))"),"")</f>
        <v/>
      </c>
    </row>
    <row r="681" spans="2:2">
      <c r="B681" s="3" t="str">
        <f ca="1">IFERROR(__xludf.DUMMYFUNCTION("IF(ISBLANK(A681),"""",GOOGLETRANSLATE(A681,""en"",""fr""))"),"")</f>
        <v/>
      </c>
    </row>
    <row r="682" spans="2:2">
      <c r="B682" s="3" t="str">
        <f ca="1">IFERROR(__xludf.DUMMYFUNCTION("IF(ISBLANK(A682),"""",GOOGLETRANSLATE(A682,""en"",""fr""))"),"")</f>
        <v/>
      </c>
    </row>
    <row r="683" spans="2:2">
      <c r="B683" s="3" t="str">
        <f ca="1">IFERROR(__xludf.DUMMYFUNCTION("IF(ISBLANK(A683),"""",GOOGLETRANSLATE(A683,""en"",""fr""))"),"")</f>
        <v/>
      </c>
    </row>
    <row r="684" spans="2:2">
      <c r="B684" s="3" t="str">
        <f ca="1">IFERROR(__xludf.DUMMYFUNCTION("IF(ISBLANK(A684),"""",GOOGLETRANSLATE(A684,""en"",""fr""))"),"")</f>
        <v/>
      </c>
    </row>
    <row r="685" spans="2:2">
      <c r="B685" s="3" t="str">
        <f ca="1">IFERROR(__xludf.DUMMYFUNCTION("IF(ISBLANK(A685),"""",GOOGLETRANSLATE(A685,""en"",""fr""))"),"")</f>
        <v/>
      </c>
    </row>
    <row r="686" spans="2:2">
      <c r="B686" s="3" t="str">
        <f ca="1">IFERROR(__xludf.DUMMYFUNCTION("IF(ISBLANK(A686),"""",GOOGLETRANSLATE(A686,""en"",""fr""))"),"")</f>
        <v/>
      </c>
    </row>
    <row r="687" spans="2:2">
      <c r="B687" s="3" t="str">
        <f ca="1">IFERROR(__xludf.DUMMYFUNCTION("IF(ISBLANK(A687),"""",GOOGLETRANSLATE(A687,""en"",""fr""))"),"")</f>
        <v/>
      </c>
    </row>
    <row r="688" spans="2:2">
      <c r="B688" s="3" t="str">
        <f ca="1">IFERROR(__xludf.DUMMYFUNCTION("IF(ISBLANK(A688),"""",GOOGLETRANSLATE(A688,""en"",""fr""))"),"")</f>
        <v/>
      </c>
    </row>
    <row r="689" spans="2:2">
      <c r="B689" s="3" t="str">
        <f ca="1">IFERROR(__xludf.DUMMYFUNCTION("IF(ISBLANK(A689),"""",GOOGLETRANSLATE(A689,""en"",""fr""))"),"")</f>
        <v/>
      </c>
    </row>
    <row r="690" spans="2:2">
      <c r="B690" s="3" t="str">
        <f ca="1">IFERROR(__xludf.DUMMYFUNCTION("IF(ISBLANK(A690),"""",GOOGLETRANSLATE(A690,""en"",""fr""))"),"")</f>
        <v/>
      </c>
    </row>
    <row r="691" spans="2:2">
      <c r="B691" s="3" t="str">
        <f ca="1">IFERROR(__xludf.DUMMYFUNCTION("IF(ISBLANK(A691),"""",GOOGLETRANSLATE(A691,""en"",""fr""))"),"")</f>
        <v/>
      </c>
    </row>
    <row r="692" spans="2:2">
      <c r="B692" s="3" t="str">
        <f ca="1">IFERROR(__xludf.DUMMYFUNCTION("IF(ISBLANK(A692),"""",GOOGLETRANSLATE(A692,""en"",""fr""))"),"")</f>
        <v/>
      </c>
    </row>
    <row r="693" spans="2:2">
      <c r="B693" s="3" t="str">
        <f ca="1">IFERROR(__xludf.DUMMYFUNCTION("IF(ISBLANK(A693),"""",GOOGLETRANSLATE(A693,""en"",""fr""))"),"")</f>
        <v/>
      </c>
    </row>
    <row r="694" spans="2:2">
      <c r="B694" s="3" t="str">
        <f ca="1">IFERROR(__xludf.DUMMYFUNCTION("IF(ISBLANK(A694),"""",GOOGLETRANSLATE(A694,""en"",""fr""))"),"")</f>
        <v/>
      </c>
    </row>
    <row r="695" spans="2:2">
      <c r="B695" s="3" t="str">
        <f ca="1">IFERROR(__xludf.DUMMYFUNCTION("IF(ISBLANK(A695),"""",GOOGLETRANSLATE(A695,""en"",""fr""))"),"")</f>
        <v/>
      </c>
    </row>
    <row r="696" spans="2:2">
      <c r="B696" s="3" t="str">
        <f ca="1">IFERROR(__xludf.DUMMYFUNCTION("IF(ISBLANK(A696),"""",GOOGLETRANSLATE(A696,""en"",""fr""))"),"")</f>
        <v/>
      </c>
    </row>
    <row r="697" spans="2:2">
      <c r="B697" s="3" t="str">
        <f ca="1">IFERROR(__xludf.DUMMYFUNCTION("IF(ISBLANK(A697),"""",GOOGLETRANSLATE(A697,""en"",""fr""))"),"")</f>
        <v/>
      </c>
    </row>
    <row r="698" spans="2:2">
      <c r="B698" s="3" t="str">
        <f ca="1">IFERROR(__xludf.DUMMYFUNCTION("IF(ISBLANK(A698),"""",GOOGLETRANSLATE(A698,""en"",""fr""))"),"")</f>
        <v/>
      </c>
    </row>
    <row r="699" spans="2:2">
      <c r="B699" s="3" t="str">
        <f ca="1">IFERROR(__xludf.DUMMYFUNCTION("IF(ISBLANK(A699),"""",GOOGLETRANSLATE(A699,""en"",""fr""))"),"")</f>
        <v/>
      </c>
    </row>
    <row r="700" spans="2:2">
      <c r="B700" s="3" t="str">
        <f ca="1">IFERROR(__xludf.DUMMYFUNCTION("IF(ISBLANK(A700),"""",GOOGLETRANSLATE(A700,""en"",""fr""))"),"")</f>
        <v/>
      </c>
    </row>
    <row r="701" spans="2:2">
      <c r="B701" s="3" t="str">
        <f ca="1">IFERROR(__xludf.DUMMYFUNCTION("IF(ISBLANK(A701),"""",GOOGLETRANSLATE(A701,""en"",""fr""))"),"")</f>
        <v/>
      </c>
    </row>
    <row r="702" spans="2:2">
      <c r="B702" s="3" t="str">
        <f ca="1">IFERROR(__xludf.DUMMYFUNCTION("IF(ISBLANK(A702),"""",GOOGLETRANSLATE(A702,""en"",""fr""))"),"")</f>
        <v/>
      </c>
    </row>
    <row r="703" spans="2:2">
      <c r="B703" s="3" t="str">
        <f ca="1">IFERROR(__xludf.DUMMYFUNCTION("IF(ISBLANK(A703),"""",GOOGLETRANSLATE(A703,""en"",""fr""))"),"")</f>
        <v/>
      </c>
    </row>
    <row r="704" spans="2:2">
      <c r="B704" s="3" t="str">
        <f ca="1">IFERROR(__xludf.DUMMYFUNCTION("IF(ISBLANK(A704),"""",GOOGLETRANSLATE(A704,""en"",""fr""))"),"")</f>
        <v/>
      </c>
    </row>
    <row r="705" spans="2:2">
      <c r="B705" s="3" t="str">
        <f ca="1">IFERROR(__xludf.DUMMYFUNCTION("IF(ISBLANK(A705),"""",GOOGLETRANSLATE(A705,""en"",""fr""))"),"")</f>
        <v/>
      </c>
    </row>
    <row r="706" spans="2:2">
      <c r="B706" s="3" t="str">
        <f ca="1">IFERROR(__xludf.DUMMYFUNCTION("IF(ISBLANK(A706),"""",GOOGLETRANSLATE(A706,""en"",""fr""))"),"")</f>
        <v/>
      </c>
    </row>
    <row r="707" spans="2:2">
      <c r="B707" s="3" t="str">
        <f ca="1">IFERROR(__xludf.DUMMYFUNCTION("IF(ISBLANK(A707),"""",GOOGLETRANSLATE(A707,""en"",""fr""))"),"")</f>
        <v/>
      </c>
    </row>
    <row r="708" spans="2:2">
      <c r="B708" s="3" t="str">
        <f ca="1">IFERROR(__xludf.DUMMYFUNCTION("IF(ISBLANK(A708),"""",GOOGLETRANSLATE(A708,""en"",""fr""))"),"")</f>
        <v/>
      </c>
    </row>
    <row r="709" spans="2:2">
      <c r="B709" s="3" t="str">
        <f ca="1">IFERROR(__xludf.DUMMYFUNCTION("IF(ISBLANK(A709),"""",GOOGLETRANSLATE(A709,""en"",""fr""))"),"")</f>
        <v/>
      </c>
    </row>
    <row r="710" spans="2:2">
      <c r="B710" s="3" t="str">
        <f ca="1">IFERROR(__xludf.DUMMYFUNCTION("IF(ISBLANK(A710),"""",GOOGLETRANSLATE(A710,""en"",""fr""))"),"")</f>
        <v/>
      </c>
    </row>
    <row r="711" spans="2:2">
      <c r="B711" s="3" t="str">
        <f ca="1">IFERROR(__xludf.DUMMYFUNCTION("IF(ISBLANK(A711),"""",GOOGLETRANSLATE(A711,""en"",""fr""))"),"")</f>
        <v/>
      </c>
    </row>
    <row r="712" spans="2:2">
      <c r="B712" s="3" t="str">
        <f ca="1">IFERROR(__xludf.DUMMYFUNCTION("IF(ISBLANK(A712),"""",GOOGLETRANSLATE(A712,""en"",""fr""))"),"")</f>
        <v/>
      </c>
    </row>
    <row r="713" spans="2:2">
      <c r="B713" s="3" t="str">
        <f ca="1">IFERROR(__xludf.DUMMYFUNCTION("IF(ISBLANK(A713),"""",GOOGLETRANSLATE(A713,""en"",""fr""))"),"")</f>
        <v/>
      </c>
    </row>
    <row r="714" spans="2:2">
      <c r="B714" s="3" t="str">
        <f ca="1">IFERROR(__xludf.DUMMYFUNCTION("IF(ISBLANK(A714),"""",GOOGLETRANSLATE(A714,""en"",""fr""))"),"")</f>
        <v/>
      </c>
    </row>
    <row r="715" spans="2:2">
      <c r="B715" s="3" t="str">
        <f ca="1">IFERROR(__xludf.DUMMYFUNCTION("IF(ISBLANK(A715),"""",GOOGLETRANSLATE(A715,""en"",""fr""))"),"")</f>
        <v/>
      </c>
    </row>
    <row r="716" spans="2:2">
      <c r="B716" s="3" t="str">
        <f ca="1">IFERROR(__xludf.DUMMYFUNCTION("IF(ISBLANK(A716),"""",GOOGLETRANSLATE(A716,""en"",""fr""))"),"")</f>
        <v/>
      </c>
    </row>
    <row r="717" spans="2:2">
      <c r="B717" s="3" t="str">
        <f ca="1">IFERROR(__xludf.DUMMYFUNCTION("IF(ISBLANK(A717),"""",GOOGLETRANSLATE(A717,""en"",""fr""))"),"")</f>
        <v/>
      </c>
    </row>
    <row r="718" spans="2:2">
      <c r="B718" s="3" t="str">
        <f ca="1">IFERROR(__xludf.DUMMYFUNCTION("IF(ISBLANK(A718),"""",GOOGLETRANSLATE(A718,""en"",""fr""))"),"")</f>
        <v/>
      </c>
    </row>
    <row r="719" spans="2:2">
      <c r="B719" s="3" t="str">
        <f ca="1">IFERROR(__xludf.DUMMYFUNCTION("IF(ISBLANK(A719),"""",GOOGLETRANSLATE(A719,""en"",""fr""))"),"")</f>
        <v/>
      </c>
    </row>
    <row r="720" spans="2:2">
      <c r="B720" s="3" t="str">
        <f ca="1">IFERROR(__xludf.DUMMYFUNCTION("IF(ISBLANK(A720),"""",GOOGLETRANSLATE(A720,""en"",""fr""))"),"")</f>
        <v/>
      </c>
    </row>
    <row r="721" spans="2:2">
      <c r="B721" s="3" t="str">
        <f ca="1">IFERROR(__xludf.DUMMYFUNCTION("IF(ISBLANK(A721),"""",GOOGLETRANSLATE(A721,""en"",""fr""))"),"")</f>
        <v/>
      </c>
    </row>
    <row r="722" spans="2:2">
      <c r="B722" s="3" t="str">
        <f ca="1">IFERROR(__xludf.DUMMYFUNCTION("IF(ISBLANK(A722),"""",GOOGLETRANSLATE(A722,""en"",""fr""))"),"")</f>
        <v/>
      </c>
    </row>
    <row r="723" spans="2:2">
      <c r="B723" s="3" t="str">
        <f ca="1">IFERROR(__xludf.DUMMYFUNCTION("IF(ISBLANK(A723),"""",GOOGLETRANSLATE(A723,""en"",""fr""))"),"")</f>
        <v/>
      </c>
    </row>
    <row r="724" spans="2:2">
      <c r="B724" s="3" t="str">
        <f ca="1">IFERROR(__xludf.DUMMYFUNCTION("IF(ISBLANK(A724),"""",GOOGLETRANSLATE(A724,""en"",""fr""))"),"")</f>
        <v/>
      </c>
    </row>
    <row r="725" spans="2:2">
      <c r="B725" s="3" t="str">
        <f ca="1">IFERROR(__xludf.DUMMYFUNCTION("IF(ISBLANK(A725),"""",GOOGLETRANSLATE(A725,""en"",""fr""))"),"")</f>
        <v/>
      </c>
    </row>
    <row r="726" spans="2:2">
      <c r="B726" s="3" t="str">
        <f ca="1">IFERROR(__xludf.DUMMYFUNCTION("IF(ISBLANK(A726),"""",GOOGLETRANSLATE(A726,""en"",""fr""))"),"")</f>
        <v/>
      </c>
    </row>
    <row r="727" spans="2:2">
      <c r="B727" s="3" t="str">
        <f ca="1">IFERROR(__xludf.DUMMYFUNCTION("IF(ISBLANK(A727),"""",GOOGLETRANSLATE(A727,""en"",""fr""))"),"")</f>
        <v/>
      </c>
    </row>
    <row r="728" spans="2:2">
      <c r="B728" s="3" t="str">
        <f ca="1">IFERROR(__xludf.DUMMYFUNCTION("IF(ISBLANK(A728),"""",GOOGLETRANSLATE(A728,""en"",""fr""))"),"")</f>
        <v/>
      </c>
    </row>
    <row r="729" spans="2:2">
      <c r="B729" s="3" t="str">
        <f ca="1">IFERROR(__xludf.DUMMYFUNCTION("IF(ISBLANK(A729),"""",GOOGLETRANSLATE(A729,""en"",""fr""))"),"")</f>
        <v/>
      </c>
    </row>
    <row r="730" spans="2:2">
      <c r="B730" s="3" t="str">
        <f ca="1">IFERROR(__xludf.DUMMYFUNCTION("IF(ISBLANK(A730),"""",GOOGLETRANSLATE(A730,""en"",""fr""))"),"")</f>
        <v/>
      </c>
    </row>
    <row r="731" spans="2:2">
      <c r="B731" s="3" t="str">
        <f ca="1">IFERROR(__xludf.DUMMYFUNCTION("IF(ISBLANK(A731),"""",GOOGLETRANSLATE(A731,""en"",""fr""))"),"")</f>
        <v/>
      </c>
    </row>
    <row r="732" spans="2:2">
      <c r="B732" s="3" t="str">
        <f ca="1">IFERROR(__xludf.DUMMYFUNCTION("IF(ISBLANK(A732),"""",GOOGLETRANSLATE(A732,""en"",""fr""))"),"")</f>
        <v/>
      </c>
    </row>
    <row r="733" spans="2:2">
      <c r="B733" s="3" t="str">
        <f ca="1">IFERROR(__xludf.DUMMYFUNCTION("IF(ISBLANK(A733),"""",GOOGLETRANSLATE(A733,""en"",""fr""))"),"")</f>
        <v/>
      </c>
    </row>
    <row r="734" spans="2:2">
      <c r="B734" s="3" t="str">
        <f ca="1">IFERROR(__xludf.DUMMYFUNCTION("IF(ISBLANK(A734),"""",GOOGLETRANSLATE(A734,""en"",""fr""))"),"")</f>
        <v/>
      </c>
    </row>
    <row r="735" spans="2:2">
      <c r="B735" s="3" t="str">
        <f ca="1">IFERROR(__xludf.DUMMYFUNCTION("IF(ISBLANK(A735),"""",GOOGLETRANSLATE(A735,""en"",""fr""))"),"")</f>
        <v/>
      </c>
    </row>
    <row r="736" spans="2:2">
      <c r="B736" s="3" t="str">
        <f ca="1">IFERROR(__xludf.DUMMYFUNCTION("IF(ISBLANK(A736),"""",GOOGLETRANSLATE(A736,""en"",""fr""))"),"")</f>
        <v/>
      </c>
    </row>
    <row r="737" spans="2:2">
      <c r="B737" s="3" t="str">
        <f ca="1">IFERROR(__xludf.DUMMYFUNCTION("IF(ISBLANK(A737),"""",GOOGLETRANSLATE(A737,""en"",""fr""))"),"")</f>
        <v/>
      </c>
    </row>
    <row r="738" spans="2:2">
      <c r="B738" s="3" t="str">
        <f ca="1">IFERROR(__xludf.DUMMYFUNCTION("IF(ISBLANK(A738),"""",GOOGLETRANSLATE(A738,""en"",""fr""))"),"")</f>
        <v/>
      </c>
    </row>
    <row r="739" spans="2:2">
      <c r="B739" s="3" t="str">
        <f ca="1">IFERROR(__xludf.DUMMYFUNCTION("IF(ISBLANK(A739),"""",GOOGLETRANSLATE(A739,""en"",""fr""))"),"")</f>
        <v/>
      </c>
    </row>
    <row r="740" spans="2:2">
      <c r="B740" s="3" t="str">
        <f ca="1">IFERROR(__xludf.DUMMYFUNCTION("IF(ISBLANK(A740),"""",GOOGLETRANSLATE(A740,""en"",""fr""))"),"")</f>
        <v/>
      </c>
    </row>
    <row r="741" spans="2:2">
      <c r="B741" s="3" t="str">
        <f ca="1">IFERROR(__xludf.DUMMYFUNCTION("IF(ISBLANK(A741),"""",GOOGLETRANSLATE(A741,""en"",""fr""))"),"")</f>
        <v/>
      </c>
    </row>
    <row r="742" spans="2:2">
      <c r="B742" s="3" t="str">
        <f ca="1">IFERROR(__xludf.DUMMYFUNCTION("IF(ISBLANK(A742),"""",GOOGLETRANSLATE(A742,""en"",""fr""))"),"")</f>
        <v/>
      </c>
    </row>
    <row r="743" spans="2:2">
      <c r="B743" s="3" t="str">
        <f ca="1">IFERROR(__xludf.DUMMYFUNCTION("IF(ISBLANK(A743),"""",GOOGLETRANSLATE(A743,""en"",""fr""))"),"")</f>
        <v/>
      </c>
    </row>
    <row r="744" spans="2:2">
      <c r="B744" s="3" t="str">
        <f ca="1">IFERROR(__xludf.DUMMYFUNCTION("IF(ISBLANK(A744),"""",GOOGLETRANSLATE(A744,""en"",""fr""))"),"")</f>
        <v/>
      </c>
    </row>
    <row r="745" spans="2:2">
      <c r="B745" s="3" t="str">
        <f ca="1">IFERROR(__xludf.DUMMYFUNCTION("IF(ISBLANK(A745),"""",GOOGLETRANSLATE(A745,""en"",""fr""))"),"")</f>
        <v/>
      </c>
    </row>
    <row r="746" spans="2:2">
      <c r="B746" s="3" t="str">
        <f ca="1">IFERROR(__xludf.DUMMYFUNCTION("IF(ISBLANK(A746),"""",GOOGLETRANSLATE(A746,""en"",""fr""))"),"")</f>
        <v/>
      </c>
    </row>
    <row r="747" spans="2:2">
      <c r="B747" s="3" t="str">
        <f ca="1">IFERROR(__xludf.DUMMYFUNCTION("IF(ISBLANK(A747),"""",GOOGLETRANSLATE(A747,""en"",""fr""))"),"")</f>
        <v/>
      </c>
    </row>
    <row r="748" spans="2:2">
      <c r="B748" s="3" t="str">
        <f ca="1">IFERROR(__xludf.DUMMYFUNCTION("IF(ISBLANK(A748),"""",GOOGLETRANSLATE(A748,""en"",""fr""))"),"")</f>
        <v/>
      </c>
    </row>
    <row r="749" spans="2:2">
      <c r="B749" s="3" t="str">
        <f ca="1">IFERROR(__xludf.DUMMYFUNCTION("IF(ISBLANK(A749),"""",GOOGLETRANSLATE(A749,""en"",""fr""))"),"")</f>
        <v/>
      </c>
    </row>
    <row r="750" spans="2:2">
      <c r="B750" s="3" t="str">
        <f ca="1">IFERROR(__xludf.DUMMYFUNCTION("IF(ISBLANK(A750),"""",GOOGLETRANSLATE(A750,""en"",""fr""))"),"")</f>
        <v/>
      </c>
    </row>
    <row r="751" spans="2:2">
      <c r="B751" s="3" t="str">
        <f ca="1">IFERROR(__xludf.DUMMYFUNCTION("IF(ISBLANK(A751),"""",GOOGLETRANSLATE(A751,""en"",""fr""))"),"")</f>
        <v/>
      </c>
    </row>
    <row r="752" spans="2:2">
      <c r="B752" s="3" t="str">
        <f ca="1">IFERROR(__xludf.DUMMYFUNCTION("IF(ISBLANK(A752),"""",GOOGLETRANSLATE(A752,""en"",""fr""))"),"")</f>
        <v/>
      </c>
    </row>
    <row r="753" spans="2:2">
      <c r="B753" s="3" t="str">
        <f ca="1">IFERROR(__xludf.DUMMYFUNCTION("IF(ISBLANK(A753),"""",GOOGLETRANSLATE(A753,""en"",""fr""))"),"")</f>
        <v/>
      </c>
    </row>
    <row r="754" spans="2:2">
      <c r="B754" s="3" t="str">
        <f ca="1">IFERROR(__xludf.DUMMYFUNCTION("IF(ISBLANK(A754),"""",GOOGLETRANSLATE(A754,""en"",""fr""))"),"")</f>
        <v/>
      </c>
    </row>
    <row r="755" spans="2:2">
      <c r="B755" s="3" t="str">
        <f ca="1">IFERROR(__xludf.DUMMYFUNCTION("IF(ISBLANK(A755),"""",GOOGLETRANSLATE(A755,""en"",""fr""))"),"")</f>
        <v/>
      </c>
    </row>
    <row r="756" spans="2:2">
      <c r="B756" s="3" t="str">
        <f ca="1">IFERROR(__xludf.DUMMYFUNCTION("IF(ISBLANK(A756),"""",GOOGLETRANSLATE(A756,""en"",""fr""))"),"")</f>
        <v/>
      </c>
    </row>
    <row r="757" spans="2:2">
      <c r="B757" s="3" t="str">
        <f ca="1">IFERROR(__xludf.DUMMYFUNCTION("IF(ISBLANK(A757),"""",GOOGLETRANSLATE(A757,""en"",""fr""))"),"")</f>
        <v/>
      </c>
    </row>
    <row r="758" spans="2:2">
      <c r="B758" s="3" t="str">
        <f ca="1">IFERROR(__xludf.DUMMYFUNCTION("IF(ISBLANK(A758),"""",GOOGLETRANSLATE(A758,""en"",""fr""))"),"")</f>
        <v/>
      </c>
    </row>
    <row r="759" spans="2:2">
      <c r="B759" s="3" t="str">
        <f ca="1">IFERROR(__xludf.DUMMYFUNCTION("IF(ISBLANK(A759),"""",GOOGLETRANSLATE(A759,""en"",""fr""))"),"")</f>
        <v/>
      </c>
    </row>
    <row r="760" spans="2:2">
      <c r="B760" s="3" t="str">
        <f ca="1">IFERROR(__xludf.DUMMYFUNCTION("IF(ISBLANK(A760),"""",GOOGLETRANSLATE(A760,""en"",""fr""))"),"")</f>
        <v/>
      </c>
    </row>
    <row r="761" spans="2:2">
      <c r="B761" s="3" t="str">
        <f ca="1">IFERROR(__xludf.DUMMYFUNCTION("IF(ISBLANK(A761),"""",GOOGLETRANSLATE(A761,""en"",""fr""))"),"")</f>
        <v/>
      </c>
    </row>
    <row r="762" spans="2:2">
      <c r="B762" s="3" t="str">
        <f ca="1">IFERROR(__xludf.DUMMYFUNCTION("IF(ISBLANK(A762),"""",GOOGLETRANSLATE(A762,""en"",""fr""))"),"")</f>
        <v/>
      </c>
    </row>
    <row r="763" spans="2:2">
      <c r="B763" s="3" t="str">
        <f ca="1">IFERROR(__xludf.DUMMYFUNCTION("IF(ISBLANK(A763),"""",GOOGLETRANSLATE(A763,""en"",""fr""))"),"")</f>
        <v/>
      </c>
    </row>
    <row r="764" spans="2:2">
      <c r="B764" s="3" t="str">
        <f ca="1">IFERROR(__xludf.DUMMYFUNCTION("IF(ISBLANK(A764),"""",GOOGLETRANSLATE(A764,""en"",""fr""))"),"")</f>
        <v/>
      </c>
    </row>
    <row r="765" spans="2:2">
      <c r="B765" s="3" t="str">
        <f ca="1">IFERROR(__xludf.DUMMYFUNCTION("IF(ISBLANK(A765),"""",GOOGLETRANSLATE(A765,""en"",""fr""))"),"")</f>
        <v/>
      </c>
    </row>
    <row r="766" spans="2:2">
      <c r="B766" s="3" t="str">
        <f ca="1">IFERROR(__xludf.DUMMYFUNCTION("IF(ISBLANK(A766),"""",GOOGLETRANSLATE(A766,""en"",""fr""))"),"")</f>
        <v/>
      </c>
    </row>
    <row r="767" spans="2:2">
      <c r="B767" s="3" t="str">
        <f ca="1">IFERROR(__xludf.DUMMYFUNCTION("IF(ISBLANK(A767),"""",GOOGLETRANSLATE(A767,""en"",""fr""))"),"")</f>
        <v/>
      </c>
    </row>
    <row r="768" spans="2:2">
      <c r="B768" s="3" t="str">
        <f ca="1">IFERROR(__xludf.DUMMYFUNCTION("IF(ISBLANK(A768),"""",GOOGLETRANSLATE(A768,""en"",""fr""))"),"")</f>
        <v/>
      </c>
    </row>
    <row r="769" spans="2:2">
      <c r="B769" s="3" t="str">
        <f ca="1">IFERROR(__xludf.DUMMYFUNCTION("IF(ISBLANK(A769),"""",GOOGLETRANSLATE(A769,""en"",""fr""))"),"")</f>
        <v/>
      </c>
    </row>
    <row r="770" spans="2:2">
      <c r="B770" s="3" t="str">
        <f ca="1">IFERROR(__xludf.DUMMYFUNCTION("IF(ISBLANK(A770),"""",GOOGLETRANSLATE(A770,""en"",""fr""))"),"")</f>
        <v/>
      </c>
    </row>
    <row r="771" spans="2:2">
      <c r="B771" s="3" t="str">
        <f ca="1">IFERROR(__xludf.DUMMYFUNCTION("IF(ISBLANK(A771),"""",GOOGLETRANSLATE(A771,""en"",""fr""))"),"")</f>
        <v/>
      </c>
    </row>
    <row r="772" spans="2:2">
      <c r="B772" s="3" t="str">
        <f ca="1">IFERROR(__xludf.DUMMYFUNCTION("IF(ISBLANK(A772),"""",GOOGLETRANSLATE(A772,""en"",""fr""))"),"")</f>
        <v/>
      </c>
    </row>
    <row r="773" spans="2:2">
      <c r="B773" s="3" t="str">
        <f ca="1">IFERROR(__xludf.DUMMYFUNCTION("IF(ISBLANK(A773),"""",GOOGLETRANSLATE(A773,""en"",""fr""))"),"")</f>
        <v/>
      </c>
    </row>
    <row r="774" spans="2:2">
      <c r="B774" s="3" t="str">
        <f ca="1">IFERROR(__xludf.DUMMYFUNCTION("IF(ISBLANK(A774),"""",GOOGLETRANSLATE(A774,""en"",""fr""))"),"")</f>
        <v/>
      </c>
    </row>
    <row r="775" spans="2:2">
      <c r="B775" s="3" t="str">
        <f ca="1">IFERROR(__xludf.DUMMYFUNCTION("IF(ISBLANK(A775),"""",GOOGLETRANSLATE(A775,""en"",""fr""))"),"")</f>
        <v/>
      </c>
    </row>
    <row r="776" spans="2:2">
      <c r="B776" s="3" t="str">
        <f ca="1">IFERROR(__xludf.DUMMYFUNCTION("IF(ISBLANK(A776),"""",GOOGLETRANSLATE(A776,""en"",""fr""))"),"")</f>
        <v/>
      </c>
    </row>
    <row r="777" spans="2:2">
      <c r="B777" s="3" t="str">
        <f ca="1">IFERROR(__xludf.DUMMYFUNCTION("IF(ISBLANK(A777),"""",GOOGLETRANSLATE(A777,""en"",""fr""))"),"")</f>
        <v/>
      </c>
    </row>
    <row r="778" spans="2:2">
      <c r="B778" s="3" t="str">
        <f ca="1">IFERROR(__xludf.DUMMYFUNCTION("IF(ISBLANK(A778),"""",GOOGLETRANSLATE(A778,""en"",""fr""))"),"")</f>
        <v/>
      </c>
    </row>
    <row r="779" spans="2:2">
      <c r="B779" s="3" t="str">
        <f ca="1">IFERROR(__xludf.DUMMYFUNCTION("IF(ISBLANK(A779),"""",GOOGLETRANSLATE(A779,""en"",""fr""))"),"")</f>
        <v/>
      </c>
    </row>
    <row r="780" spans="2:2">
      <c r="B780" s="3" t="str">
        <f ca="1">IFERROR(__xludf.DUMMYFUNCTION("IF(ISBLANK(A780),"""",GOOGLETRANSLATE(A780,""en"",""fr""))"),"")</f>
        <v/>
      </c>
    </row>
    <row r="781" spans="2:2">
      <c r="B781" s="3" t="str">
        <f ca="1">IFERROR(__xludf.DUMMYFUNCTION("IF(ISBLANK(A781),"""",GOOGLETRANSLATE(A781,""en"",""fr""))"),"")</f>
        <v/>
      </c>
    </row>
    <row r="782" spans="2:2">
      <c r="B782" s="3" t="str">
        <f ca="1">IFERROR(__xludf.DUMMYFUNCTION("IF(ISBLANK(A782),"""",GOOGLETRANSLATE(A782,""en"",""fr""))"),"")</f>
        <v/>
      </c>
    </row>
    <row r="783" spans="2:2">
      <c r="B783" s="3" t="str">
        <f ca="1">IFERROR(__xludf.DUMMYFUNCTION("IF(ISBLANK(A783),"""",GOOGLETRANSLATE(A783,""en"",""fr""))"),"")</f>
        <v/>
      </c>
    </row>
    <row r="784" spans="2:2">
      <c r="B784" s="3" t="str">
        <f ca="1">IFERROR(__xludf.DUMMYFUNCTION("IF(ISBLANK(A784),"""",GOOGLETRANSLATE(A784,""en"",""fr""))"),"")</f>
        <v/>
      </c>
    </row>
    <row r="785" spans="2:2">
      <c r="B785" s="3" t="str">
        <f ca="1">IFERROR(__xludf.DUMMYFUNCTION("IF(ISBLANK(A785),"""",GOOGLETRANSLATE(A785,""en"",""fr""))"),"")</f>
        <v/>
      </c>
    </row>
    <row r="786" spans="2:2">
      <c r="B786" s="3" t="str">
        <f ca="1">IFERROR(__xludf.DUMMYFUNCTION("IF(ISBLANK(A786),"""",GOOGLETRANSLATE(A786,""en"",""fr""))"),"")</f>
        <v/>
      </c>
    </row>
    <row r="787" spans="2:2">
      <c r="B787" s="3" t="str">
        <f ca="1">IFERROR(__xludf.DUMMYFUNCTION("IF(ISBLANK(A787),"""",GOOGLETRANSLATE(A787,""en"",""fr""))"),"")</f>
        <v/>
      </c>
    </row>
    <row r="788" spans="2:2">
      <c r="B788" s="3" t="str">
        <f ca="1">IFERROR(__xludf.DUMMYFUNCTION("IF(ISBLANK(A788),"""",GOOGLETRANSLATE(A788,""en"",""fr""))"),"")</f>
        <v/>
      </c>
    </row>
    <row r="789" spans="2:2">
      <c r="B789" s="3" t="str">
        <f ca="1">IFERROR(__xludf.DUMMYFUNCTION("IF(ISBLANK(A789),"""",GOOGLETRANSLATE(A789,""en"",""fr""))"),"")</f>
        <v/>
      </c>
    </row>
    <row r="790" spans="2:2">
      <c r="B790" s="3" t="str">
        <f ca="1">IFERROR(__xludf.DUMMYFUNCTION("IF(ISBLANK(A790),"""",GOOGLETRANSLATE(A790,""en"",""fr""))"),"")</f>
        <v/>
      </c>
    </row>
    <row r="791" spans="2:2">
      <c r="B791" s="3" t="str">
        <f ca="1">IFERROR(__xludf.DUMMYFUNCTION("IF(ISBLANK(A791),"""",GOOGLETRANSLATE(A791,""en"",""fr""))"),"")</f>
        <v/>
      </c>
    </row>
    <row r="792" spans="2:2">
      <c r="B792" s="3" t="str">
        <f ca="1">IFERROR(__xludf.DUMMYFUNCTION("IF(ISBLANK(A792),"""",GOOGLETRANSLATE(A792,""en"",""fr""))"),"")</f>
        <v/>
      </c>
    </row>
    <row r="793" spans="2:2">
      <c r="B793" s="3" t="str">
        <f ca="1">IFERROR(__xludf.DUMMYFUNCTION("IF(ISBLANK(A793),"""",GOOGLETRANSLATE(A793,""en"",""fr""))"),"")</f>
        <v/>
      </c>
    </row>
    <row r="794" spans="2:2">
      <c r="B794" s="3" t="str">
        <f ca="1">IFERROR(__xludf.DUMMYFUNCTION("IF(ISBLANK(A794),"""",GOOGLETRANSLATE(A794,""en"",""fr""))"),"")</f>
        <v/>
      </c>
    </row>
    <row r="795" spans="2:2">
      <c r="B795" s="3" t="str">
        <f ca="1">IFERROR(__xludf.DUMMYFUNCTION("IF(ISBLANK(A795),"""",GOOGLETRANSLATE(A795,""en"",""fr""))"),"")</f>
        <v/>
      </c>
    </row>
    <row r="796" spans="2:2">
      <c r="B796" s="3" t="str">
        <f ca="1">IFERROR(__xludf.DUMMYFUNCTION("IF(ISBLANK(A796),"""",GOOGLETRANSLATE(A796,""en"",""fr""))"),"")</f>
        <v/>
      </c>
    </row>
    <row r="797" spans="2:2">
      <c r="B797" s="3" t="str">
        <f ca="1">IFERROR(__xludf.DUMMYFUNCTION("IF(ISBLANK(A797),"""",GOOGLETRANSLATE(A797,""en"",""fr""))"),"")</f>
        <v/>
      </c>
    </row>
    <row r="798" spans="2:2">
      <c r="B798" s="3" t="str">
        <f ca="1">IFERROR(__xludf.DUMMYFUNCTION("IF(ISBLANK(A798),"""",GOOGLETRANSLATE(A798,""en"",""fr""))"),"")</f>
        <v/>
      </c>
    </row>
    <row r="799" spans="2:2">
      <c r="B799" s="3" t="str">
        <f ca="1">IFERROR(__xludf.DUMMYFUNCTION("IF(ISBLANK(A799),"""",GOOGLETRANSLATE(A799,""en"",""fr""))"),"")</f>
        <v/>
      </c>
    </row>
    <row r="800" spans="2:2">
      <c r="B800" s="3" t="str">
        <f ca="1">IFERROR(__xludf.DUMMYFUNCTION("IF(ISBLANK(A800),"""",GOOGLETRANSLATE(A800,""en"",""fr""))"),"")</f>
        <v/>
      </c>
    </row>
    <row r="801" spans="2:2">
      <c r="B801" s="3" t="str">
        <f ca="1">IFERROR(__xludf.DUMMYFUNCTION("IF(ISBLANK(A801),"""",GOOGLETRANSLATE(A801,""en"",""fr""))"),"")</f>
        <v/>
      </c>
    </row>
    <row r="802" spans="2:2">
      <c r="B802" s="3" t="str">
        <f ca="1">IFERROR(__xludf.DUMMYFUNCTION("IF(ISBLANK(A802),"""",GOOGLETRANSLATE(A802,""en"",""fr""))"),"")</f>
        <v/>
      </c>
    </row>
    <row r="803" spans="2:2">
      <c r="B803" s="3" t="str">
        <f ca="1">IFERROR(__xludf.DUMMYFUNCTION("IF(ISBLANK(A803),"""",GOOGLETRANSLATE(A803,""en"",""fr""))"),"")</f>
        <v/>
      </c>
    </row>
    <row r="804" spans="2:2">
      <c r="B804" s="3" t="str">
        <f ca="1">IFERROR(__xludf.DUMMYFUNCTION("IF(ISBLANK(A804),"""",GOOGLETRANSLATE(A804,""en"",""fr""))"),"")</f>
        <v/>
      </c>
    </row>
    <row r="805" spans="2:2">
      <c r="B805" s="3" t="str">
        <f ca="1">IFERROR(__xludf.DUMMYFUNCTION("IF(ISBLANK(A805),"""",GOOGLETRANSLATE(A805,""en"",""fr""))"),"")</f>
        <v/>
      </c>
    </row>
    <row r="806" spans="2:2">
      <c r="B806" s="3" t="str">
        <f ca="1">IFERROR(__xludf.DUMMYFUNCTION("IF(ISBLANK(A806),"""",GOOGLETRANSLATE(A806,""en"",""fr""))"),"")</f>
        <v/>
      </c>
    </row>
    <row r="807" spans="2:2">
      <c r="B807" s="3" t="str">
        <f ca="1">IFERROR(__xludf.DUMMYFUNCTION("IF(ISBLANK(A807),"""",GOOGLETRANSLATE(A807,""en"",""fr""))"),"")</f>
        <v/>
      </c>
    </row>
    <row r="808" spans="2:2">
      <c r="B808" s="3" t="str">
        <f ca="1">IFERROR(__xludf.DUMMYFUNCTION("IF(ISBLANK(A808),"""",GOOGLETRANSLATE(A808,""en"",""fr""))"),"")</f>
        <v/>
      </c>
    </row>
    <row r="809" spans="2:2">
      <c r="B809" s="3" t="str">
        <f ca="1">IFERROR(__xludf.DUMMYFUNCTION("IF(ISBLANK(A809),"""",GOOGLETRANSLATE(A809,""en"",""fr""))"),"")</f>
        <v/>
      </c>
    </row>
    <row r="810" spans="2:2">
      <c r="B810" s="3" t="str">
        <f ca="1">IFERROR(__xludf.DUMMYFUNCTION("IF(ISBLANK(A810),"""",GOOGLETRANSLATE(A810,""en"",""fr""))"),"")</f>
        <v/>
      </c>
    </row>
    <row r="811" spans="2:2">
      <c r="B811" s="3" t="str">
        <f ca="1">IFERROR(__xludf.DUMMYFUNCTION("IF(ISBLANK(A811),"""",GOOGLETRANSLATE(A811,""en"",""fr""))"),"")</f>
        <v/>
      </c>
    </row>
    <row r="812" spans="2:2">
      <c r="B812" s="3" t="str">
        <f ca="1">IFERROR(__xludf.DUMMYFUNCTION("IF(ISBLANK(A812),"""",GOOGLETRANSLATE(A812,""en"",""fr""))"),"")</f>
        <v/>
      </c>
    </row>
    <row r="813" spans="2:2">
      <c r="B813" s="3" t="str">
        <f ca="1">IFERROR(__xludf.DUMMYFUNCTION("IF(ISBLANK(A813),"""",GOOGLETRANSLATE(A813,""en"",""fr""))"),"")</f>
        <v/>
      </c>
    </row>
    <row r="814" spans="2:2">
      <c r="B814" s="3" t="str">
        <f ca="1">IFERROR(__xludf.DUMMYFUNCTION("IF(ISBLANK(A814),"""",GOOGLETRANSLATE(A814,""en"",""fr""))"),"")</f>
        <v/>
      </c>
    </row>
    <row r="815" spans="2:2">
      <c r="B815" s="3" t="str">
        <f ca="1">IFERROR(__xludf.DUMMYFUNCTION("IF(ISBLANK(A815),"""",GOOGLETRANSLATE(A815,""en"",""fr""))"),"")</f>
        <v/>
      </c>
    </row>
    <row r="816" spans="2:2">
      <c r="B816" s="3" t="str">
        <f ca="1">IFERROR(__xludf.DUMMYFUNCTION("IF(ISBLANK(A816),"""",GOOGLETRANSLATE(A816,""en"",""fr""))"),"")</f>
        <v/>
      </c>
    </row>
    <row r="817" spans="2:2">
      <c r="B817" s="3" t="str">
        <f ca="1">IFERROR(__xludf.DUMMYFUNCTION("IF(ISBLANK(A817),"""",GOOGLETRANSLATE(A817,""en"",""fr""))"),"")</f>
        <v/>
      </c>
    </row>
    <row r="818" spans="2:2">
      <c r="B818" s="3" t="str">
        <f ca="1">IFERROR(__xludf.DUMMYFUNCTION("IF(ISBLANK(A818),"""",GOOGLETRANSLATE(A818,""en"",""fr""))"),"")</f>
        <v/>
      </c>
    </row>
    <row r="819" spans="2:2">
      <c r="B819" s="3" t="str">
        <f ca="1">IFERROR(__xludf.DUMMYFUNCTION("IF(ISBLANK(A819),"""",GOOGLETRANSLATE(A819,""en"",""fr""))"),"")</f>
        <v/>
      </c>
    </row>
    <row r="820" spans="2:2">
      <c r="B820" s="3" t="str">
        <f ca="1">IFERROR(__xludf.DUMMYFUNCTION("IF(ISBLANK(A820),"""",GOOGLETRANSLATE(A820,""en"",""fr""))"),"")</f>
        <v/>
      </c>
    </row>
    <row r="821" spans="2:2">
      <c r="B821" s="3" t="str">
        <f ca="1">IFERROR(__xludf.DUMMYFUNCTION("IF(ISBLANK(A821),"""",GOOGLETRANSLATE(A821,""en"",""fr""))"),"")</f>
        <v/>
      </c>
    </row>
    <row r="822" spans="2:2">
      <c r="B822" s="3" t="str">
        <f ca="1">IFERROR(__xludf.DUMMYFUNCTION("IF(ISBLANK(A822),"""",GOOGLETRANSLATE(A822,""en"",""fr""))"),"")</f>
        <v/>
      </c>
    </row>
    <row r="823" spans="2:2">
      <c r="B823" s="3" t="str">
        <f ca="1">IFERROR(__xludf.DUMMYFUNCTION("IF(ISBLANK(A823),"""",GOOGLETRANSLATE(A823,""en"",""fr""))"),"")</f>
        <v/>
      </c>
    </row>
    <row r="824" spans="2:2">
      <c r="B824" s="3" t="str">
        <f ca="1">IFERROR(__xludf.DUMMYFUNCTION("IF(ISBLANK(A824),"""",GOOGLETRANSLATE(A824,""en"",""fr""))"),"")</f>
        <v/>
      </c>
    </row>
    <row r="825" spans="2:2">
      <c r="B825" s="3" t="str">
        <f ca="1">IFERROR(__xludf.DUMMYFUNCTION("IF(ISBLANK(A825),"""",GOOGLETRANSLATE(A825,""en"",""fr""))"),"")</f>
        <v/>
      </c>
    </row>
    <row r="826" spans="2:2">
      <c r="B826" s="3" t="str">
        <f ca="1">IFERROR(__xludf.DUMMYFUNCTION("IF(ISBLANK(A826),"""",GOOGLETRANSLATE(A826,""en"",""fr""))"),"")</f>
        <v/>
      </c>
    </row>
    <row r="827" spans="2:2">
      <c r="B827" s="3" t="str">
        <f ca="1">IFERROR(__xludf.DUMMYFUNCTION("IF(ISBLANK(A827),"""",GOOGLETRANSLATE(A827,""en"",""fr""))"),"")</f>
        <v/>
      </c>
    </row>
    <row r="828" spans="2:2">
      <c r="B828" s="3" t="str">
        <f ca="1">IFERROR(__xludf.DUMMYFUNCTION("IF(ISBLANK(A828),"""",GOOGLETRANSLATE(A828,""en"",""fr""))"),"")</f>
        <v/>
      </c>
    </row>
    <row r="829" spans="2:2">
      <c r="B829" s="3" t="str">
        <f ca="1">IFERROR(__xludf.DUMMYFUNCTION("IF(ISBLANK(A829),"""",GOOGLETRANSLATE(A829,""en"",""fr""))"),"")</f>
        <v/>
      </c>
    </row>
    <row r="830" spans="2:2">
      <c r="B830" s="3" t="str">
        <f ca="1">IFERROR(__xludf.DUMMYFUNCTION("IF(ISBLANK(A830),"""",GOOGLETRANSLATE(A830,""en"",""fr""))"),"")</f>
        <v/>
      </c>
    </row>
    <row r="831" spans="2:2">
      <c r="B831" s="3" t="str">
        <f ca="1">IFERROR(__xludf.DUMMYFUNCTION("IF(ISBLANK(A831),"""",GOOGLETRANSLATE(A831,""en"",""fr""))"),"")</f>
        <v/>
      </c>
    </row>
    <row r="832" spans="2:2">
      <c r="B832" s="3" t="str">
        <f ca="1">IFERROR(__xludf.DUMMYFUNCTION("IF(ISBLANK(A832),"""",GOOGLETRANSLATE(A832,""en"",""fr""))"),"")</f>
        <v/>
      </c>
    </row>
    <row r="833" spans="2:2">
      <c r="B833" s="3" t="str">
        <f ca="1">IFERROR(__xludf.DUMMYFUNCTION("IF(ISBLANK(A833),"""",GOOGLETRANSLATE(A833,""en"",""fr""))"),"")</f>
        <v/>
      </c>
    </row>
    <row r="834" spans="2:2">
      <c r="B834" s="3" t="str">
        <f ca="1">IFERROR(__xludf.DUMMYFUNCTION("IF(ISBLANK(A834),"""",GOOGLETRANSLATE(A834,""en"",""fr""))"),"")</f>
        <v/>
      </c>
    </row>
    <row r="835" spans="2:2">
      <c r="B835" s="3" t="str">
        <f ca="1">IFERROR(__xludf.DUMMYFUNCTION("IF(ISBLANK(A835),"""",GOOGLETRANSLATE(A835,""en"",""fr""))"),"")</f>
        <v/>
      </c>
    </row>
    <row r="836" spans="2:2">
      <c r="B836" s="3" t="str">
        <f ca="1">IFERROR(__xludf.DUMMYFUNCTION("IF(ISBLANK(A836),"""",GOOGLETRANSLATE(A836,""en"",""fr""))"),"")</f>
        <v/>
      </c>
    </row>
    <row r="837" spans="2:2">
      <c r="B837" s="3" t="str">
        <f ca="1">IFERROR(__xludf.DUMMYFUNCTION("IF(ISBLANK(A837),"""",GOOGLETRANSLATE(A837,""en"",""fr""))"),"")</f>
        <v/>
      </c>
    </row>
    <row r="838" spans="2:2">
      <c r="B838" s="3" t="str">
        <f ca="1">IFERROR(__xludf.DUMMYFUNCTION("IF(ISBLANK(A838),"""",GOOGLETRANSLATE(A838,""en"",""fr""))"),"")</f>
        <v/>
      </c>
    </row>
    <row r="839" spans="2:2">
      <c r="B839" s="3" t="str">
        <f ca="1">IFERROR(__xludf.DUMMYFUNCTION("IF(ISBLANK(A839),"""",GOOGLETRANSLATE(A839,""en"",""fr""))"),"")</f>
        <v/>
      </c>
    </row>
    <row r="840" spans="2:2">
      <c r="B840" s="3" t="str">
        <f ca="1">IFERROR(__xludf.DUMMYFUNCTION("IF(ISBLANK(A840),"""",GOOGLETRANSLATE(A840,""en"",""fr""))"),"")</f>
        <v/>
      </c>
    </row>
    <row r="841" spans="2:2">
      <c r="B841" s="3" t="str">
        <f ca="1">IFERROR(__xludf.DUMMYFUNCTION("IF(ISBLANK(A841),"""",GOOGLETRANSLATE(A841,""en"",""fr""))"),"")</f>
        <v/>
      </c>
    </row>
    <row r="842" spans="2:2">
      <c r="B842" s="3" t="str">
        <f ca="1">IFERROR(__xludf.DUMMYFUNCTION("IF(ISBLANK(A842),"""",GOOGLETRANSLATE(A842,""en"",""fr""))"),"")</f>
        <v/>
      </c>
    </row>
    <row r="843" spans="2:2">
      <c r="B843" s="3" t="str">
        <f ca="1">IFERROR(__xludf.DUMMYFUNCTION("IF(ISBLANK(A843),"""",GOOGLETRANSLATE(A843,""en"",""fr""))"),"")</f>
        <v/>
      </c>
    </row>
    <row r="844" spans="2:2">
      <c r="B844" s="3" t="str">
        <f ca="1">IFERROR(__xludf.DUMMYFUNCTION("IF(ISBLANK(A844),"""",GOOGLETRANSLATE(A844,""en"",""fr""))"),"")</f>
        <v/>
      </c>
    </row>
    <row r="845" spans="2:2">
      <c r="B845" s="3" t="str">
        <f ca="1">IFERROR(__xludf.DUMMYFUNCTION("IF(ISBLANK(A845),"""",GOOGLETRANSLATE(A845,""en"",""fr""))"),"")</f>
        <v/>
      </c>
    </row>
    <row r="846" spans="2:2">
      <c r="B846" s="3" t="str">
        <f ca="1">IFERROR(__xludf.DUMMYFUNCTION("IF(ISBLANK(A846),"""",GOOGLETRANSLATE(A846,""en"",""fr""))"),"")</f>
        <v/>
      </c>
    </row>
    <row r="847" spans="2:2">
      <c r="B847" s="3" t="str">
        <f ca="1">IFERROR(__xludf.DUMMYFUNCTION("IF(ISBLANK(A847),"""",GOOGLETRANSLATE(A847,""en"",""fr""))"),"")</f>
        <v/>
      </c>
    </row>
    <row r="848" spans="2:2">
      <c r="B848" s="3" t="str">
        <f ca="1">IFERROR(__xludf.DUMMYFUNCTION("IF(ISBLANK(A848),"""",GOOGLETRANSLATE(A848,""en"",""fr""))"),"")</f>
        <v/>
      </c>
    </row>
    <row r="849" spans="2:2">
      <c r="B849" s="3" t="str">
        <f ca="1">IFERROR(__xludf.DUMMYFUNCTION("IF(ISBLANK(A849),"""",GOOGLETRANSLATE(A849,""en"",""fr""))"),"")</f>
        <v/>
      </c>
    </row>
    <row r="850" spans="2:2">
      <c r="B850" s="3" t="str">
        <f ca="1">IFERROR(__xludf.DUMMYFUNCTION("IF(ISBLANK(A850),"""",GOOGLETRANSLATE(A850,""en"",""fr""))"),"")</f>
        <v/>
      </c>
    </row>
    <row r="851" spans="2:2">
      <c r="B851" s="3" t="str">
        <f ca="1">IFERROR(__xludf.DUMMYFUNCTION("IF(ISBLANK(A851),"""",GOOGLETRANSLATE(A851,""en"",""fr""))"),"")</f>
        <v/>
      </c>
    </row>
    <row r="852" spans="2:2">
      <c r="B852" s="3" t="str">
        <f ca="1">IFERROR(__xludf.DUMMYFUNCTION("IF(ISBLANK(A852),"""",GOOGLETRANSLATE(A852,""en"",""fr""))"),"")</f>
        <v/>
      </c>
    </row>
    <row r="853" spans="2:2">
      <c r="B853" s="3" t="str">
        <f ca="1">IFERROR(__xludf.DUMMYFUNCTION("IF(ISBLANK(A853),"""",GOOGLETRANSLATE(A853,""en"",""fr""))"),"")</f>
        <v/>
      </c>
    </row>
    <row r="854" spans="2:2">
      <c r="B854" s="3" t="str">
        <f ca="1">IFERROR(__xludf.DUMMYFUNCTION("IF(ISBLANK(A854),"""",GOOGLETRANSLATE(A854,""en"",""fr""))"),"")</f>
        <v/>
      </c>
    </row>
    <row r="855" spans="2:2">
      <c r="B855" s="3" t="str">
        <f ca="1">IFERROR(__xludf.DUMMYFUNCTION("IF(ISBLANK(A855),"""",GOOGLETRANSLATE(A855,""en"",""fr""))"),"")</f>
        <v/>
      </c>
    </row>
    <row r="856" spans="2:2">
      <c r="B856" s="3" t="str">
        <f ca="1">IFERROR(__xludf.DUMMYFUNCTION("IF(ISBLANK(A856),"""",GOOGLETRANSLATE(A856,""en"",""fr""))"),"")</f>
        <v/>
      </c>
    </row>
    <row r="857" spans="2:2">
      <c r="B857" s="3" t="str">
        <f ca="1">IFERROR(__xludf.DUMMYFUNCTION("IF(ISBLANK(A857),"""",GOOGLETRANSLATE(A857,""en"",""fr""))"),"")</f>
        <v/>
      </c>
    </row>
    <row r="858" spans="2:2">
      <c r="B858" s="3" t="str">
        <f ca="1">IFERROR(__xludf.DUMMYFUNCTION("IF(ISBLANK(A858),"""",GOOGLETRANSLATE(A858,""en"",""fr""))"),"")</f>
        <v/>
      </c>
    </row>
    <row r="859" spans="2:2">
      <c r="B859" s="3" t="str">
        <f ca="1">IFERROR(__xludf.DUMMYFUNCTION("IF(ISBLANK(A859),"""",GOOGLETRANSLATE(A859,""en"",""fr""))"),"")</f>
        <v/>
      </c>
    </row>
    <row r="860" spans="2:2">
      <c r="B860" s="3" t="str">
        <f ca="1">IFERROR(__xludf.DUMMYFUNCTION("IF(ISBLANK(A860),"""",GOOGLETRANSLATE(A860,""en"",""fr""))"),"")</f>
        <v/>
      </c>
    </row>
    <row r="861" spans="2:2">
      <c r="B861" s="3" t="str">
        <f ca="1">IFERROR(__xludf.DUMMYFUNCTION("IF(ISBLANK(A861),"""",GOOGLETRANSLATE(A861,""en"",""fr""))"),"")</f>
        <v/>
      </c>
    </row>
    <row r="862" spans="2:2">
      <c r="B862" s="3" t="str">
        <f ca="1">IFERROR(__xludf.DUMMYFUNCTION("IF(ISBLANK(A862),"""",GOOGLETRANSLATE(A862,""en"",""fr""))"),"")</f>
        <v/>
      </c>
    </row>
    <row r="863" spans="2:2">
      <c r="B863" s="3" t="str">
        <f ca="1">IFERROR(__xludf.DUMMYFUNCTION("IF(ISBLANK(A863),"""",GOOGLETRANSLATE(A863,""en"",""fr""))"),"")</f>
        <v/>
      </c>
    </row>
    <row r="864" spans="2:2">
      <c r="B864" s="3" t="str">
        <f ca="1">IFERROR(__xludf.DUMMYFUNCTION("IF(ISBLANK(A864),"""",GOOGLETRANSLATE(A864,""en"",""fr""))"),"")</f>
        <v/>
      </c>
    </row>
    <row r="865" spans="2:2">
      <c r="B865" s="3" t="str">
        <f ca="1">IFERROR(__xludf.DUMMYFUNCTION("IF(ISBLANK(A865),"""",GOOGLETRANSLATE(A865,""en"",""fr""))"),"")</f>
        <v/>
      </c>
    </row>
    <row r="866" spans="2:2">
      <c r="B866" s="3" t="str">
        <f ca="1">IFERROR(__xludf.DUMMYFUNCTION("IF(ISBLANK(A866),"""",GOOGLETRANSLATE(A866,""en"",""fr""))"),"")</f>
        <v/>
      </c>
    </row>
    <row r="867" spans="2:2">
      <c r="B867" s="3" t="str">
        <f ca="1">IFERROR(__xludf.DUMMYFUNCTION("IF(ISBLANK(A867),"""",GOOGLETRANSLATE(A867,""en"",""fr""))"),"")</f>
        <v/>
      </c>
    </row>
    <row r="868" spans="2:2">
      <c r="B868" s="3" t="str">
        <f ca="1">IFERROR(__xludf.DUMMYFUNCTION("IF(ISBLANK(A868),"""",GOOGLETRANSLATE(A868,""en"",""fr""))"),"")</f>
        <v/>
      </c>
    </row>
    <row r="869" spans="2:2">
      <c r="B869" s="3" t="str">
        <f ca="1">IFERROR(__xludf.DUMMYFUNCTION("IF(ISBLANK(A869),"""",GOOGLETRANSLATE(A869,""en"",""fr""))"),"")</f>
        <v/>
      </c>
    </row>
    <row r="870" spans="2:2">
      <c r="B870" s="3" t="str">
        <f ca="1">IFERROR(__xludf.DUMMYFUNCTION("IF(ISBLANK(A870),"""",GOOGLETRANSLATE(A870,""en"",""fr""))"),"")</f>
        <v/>
      </c>
    </row>
    <row r="871" spans="2:2">
      <c r="B871" s="3" t="str">
        <f ca="1">IFERROR(__xludf.DUMMYFUNCTION("IF(ISBLANK(A871),"""",GOOGLETRANSLATE(A871,""en"",""fr""))"),"")</f>
        <v/>
      </c>
    </row>
    <row r="872" spans="2:2">
      <c r="B872" s="3" t="str">
        <f ca="1">IFERROR(__xludf.DUMMYFUNCTION("IF(ISBLANK(A872),"""",GOOGLETRANSLATE(A872,""en"",""fr""))"),"")</f>
        <v/>
      </c>
    </row>
    <row r="873" spans="2:2">
      <c r="B873" s="3" t="str">
        <f ca="1">IFERROR(__xludf.DUMMYFUNCTION("IF(ISBLANK(A873),"""",GOOGLETRANSLATE(A873,""en"",""fr""))"),"")</f>
        <v/>
      </c>
    </row>
    <row r="874" spans="2:2">
      <c r="B874" s="3" t="str">
        <f ca="1">IFERROR(__xludf.DUMMYFUNCTION("IF(ISBLANK(A874),"""",GOOGLETRANSLATE(A874,""en"",""fr""))"),"")</f>
        <v/>
      </c>
    </row>
    <row r="875" spans="2:2">
      <c r="B875" s="3" t="str">
        <f ca="1">IFERROR(__xludf.DUMMYFUNCTION("IF(ISBLANK(A875),"""",GOOGLETRANSLATE(A875,""en"",""fr""))"),"")</f>
        <v/>
      </c>
    </row>
    <row r="876" spans="2:2">
      <c r="B876" s="3" t="str">
        <f ca="1">IFERROR(__xludf.DUMMYFUNCTION("IF(ISBLANK(A876),"""",GOOGLETRANSLATE(A876,""en"",""fr""))"),"")</f>
        <v/>
      </c>
    </row>
    <row r="877" spans="2:2">
      <c r="B877" s="3" t="str">
        <f ca="1">IFERROR(__xludf.DUMMYFUNCTION("IF(ISBLANK(A877),"""",GOOGLETRANSLATE(A877,""en"",""fr""))"),"")</f>
        <v/>
      </c>
    </row>
    <row r="878" spans="2:2">
      <c r="B878" s="3" t="str">
        <f ca="1">IFERROR(__xludf.DUMMYFUNCTION("IF(ISBLANK(A878),"""",GOOGLETRANSLATE(A878,""en"",""fr""))"),"")</f>
        <v/>
      </c>
    </row>
    <row r="879" spans="2:2">
      <c r="B879" s="3" t="str">
        <f ca="1">IFERROR(__xludf.DUMMYFUNCTION("IF(ISBLANK(A879),"""",GOOGLETRANSLATE(A879,""en"",""fr""))"),"")</f>
        <v/>
      </c>
    </row>
    <row r="880" spans="2:2">
      <c r="B880" s="3" t="str">
        <f ca="1">IFERROR(__xludf.DUMMYFUNCTION("IF(ISBLANK(A880),"""",GOOGLETRANSLATE(A880,""en"",""fr""))"),"")</f>
        <v/>
      </c>
    </row>
    <row r="881" spans="2:2">
      <c r="B881" s="3" t="str">
        <f ca="1">IFERROR(__xludf.DUMMYFUNCTION("IF(ISBLANK(A881),"""",GOOGLETRANSLATE(A881,""en"",""fr""))"),"")</f>
        <v/>
      </c>
    </row>
    <row r="882" spans="2:2">
      <c r="B882" s="3" t="str">
        <f ca="1">IFERROR(__xludf.DUMMYFUNCTION("IF(ISBLANK(A882),"""",GOOGLETRANSLATE(A882,""en"",""fr""))"),"")</f>
        <v/>
      </c>
    </row>
    <row r="883" spans="2:2">
      <c r="B883" s="3" t="str">
        <f ca="1">IFERROR(__xludf.DUMMYFUNCTION("IF(ISBLANK(A883),"""",GOOGLETRANSLATE(A883,""en"",""fr""))"),"")</f>
        <v/>
      </c>
    </row>
    <row r="884" spans="2:2">
      <c r="B884" s="3" t="str">
        <f ca="1">IFERROR(__xludf.DUMMYFUNCTION("IF(ISBLANK(A884),"""",GOOGLETRANSLATE(A884,""en"",""fr""))"),"")</f>
        <v/>
      </c>
    </row>
    <row r="885" spans="2:2">
      <c r="B885" s="3" t="str">
        <f ca="1">IFERROR(__xludf.DUMMYFUNCTION("IF(ISBLANK(A885),"""",GOOGLETRANSLATE(A885,""en"",""fr""))"),"")</f>
        <v/>
      </c>
    </row>
    <row r="886" spans="2:2">
      <c r="B886" s="3" t="str">
        <f ca="1">IFERROR(__xludf.DUMMYFUNCTION("IF(ISBLANK(A886),"""",GOOGLETRANSLATE(A886,""en"",""fr""))"),"")</f>
        <v/>
      </c>
    </row>
    <row r="887" spans="2:2">
      <c r="B887" s="3" t="str">
        <f ca="1">IFERROR(__xludf.DUMMYFUNCTION("IF(ISBLANK(A887),"""",GOOGLETRANSLATE(A887,""en"",""fr""))"),"")</f>
        <v/>
      </c>
    </row>
    <row r="888" spans="2:2">
      <c r="B888" s="3" t="str">
        <f ca="1">IFERROR(__xludf.DUMMYFUNCTION("IF(ISBLANK(A888),"""",GOOGLETRANSLATE(A888,""en"",""fr""))"),"")</f>
        <v/>
      </c>
    </row>
    <row r="889" spans="2:2">
      <c r="B889" s="3" t="str">
        <f ca="1">IFERROR(__xludf.DUMMYFUNCTION("IF(ISBLANK(A889),"""",GOOGLETRANSLATE(A889,""en"",""fr""))"),"")</f>
        <v/>
      </c>
    </row>
    <row r="890" spans="2:2">
      <c r="B890" s="3" t="str">
        <f ca="1">IFERROR(__xludf.DUMMYFUNCTION("IF(ISBLANK(A890),"""",GOOGLETRANSLATE(A890,""en"",""fr""))"),"")</f>
        <v/>
      </c>
    </row>
    <row r="891" spans="2:2">
      <c r="B891" s="3" t="str">
        <f ca="1">IFERROR(__xludf.DUMMYFUNCTION("IF(ISBLANK(A891),"""",GOOGLETRANSLATE(A891,""en"",""fr""))"),"")</f>
        <v/>
      </c>
    </row>
    <row r="892" spans="2:2">
      <c r="B892" s="3" t="str">
        <f ca="1">IFERROR(__xludf.DUMMYFUNCTION("IF(ISBLANK(A892),"""",GOOGLETRANSLATE(A892,""en"",""fr""))"),"")</f>
        <v/>
      </c>
    </row>
    <row r="893" spans="2:2">
      <c r="B893" s="3" t="str">
        <f ca="1">IFERROR(__xludf.DUMMYFUNCTION("IF(ISBLANK(A893),"""",GOOGLETRANSLATE(A893,""en"",""fr""))"),"")</f>
        <v/>
      </c>
    </row>
    <row r="894" spans="2:2">
      <c r="B894" s="3" t="str">
        <f ca="1">IFERROR(__xludf.DUMMYFUNCTION("IF(ISBLANK(A894),"""",GOOGLETRANSLATE(A894,""en"",""fr""))"),"")</f>
        <v/>
      </c>
    </row>
    <row r="895" spans="2:2">
      <c r="B895" s="3" t="str">
        <f ca="1">IFERROR(__xludf.DUMMYFUNCTION("IF(ISBLANK(A895),"""",GOOGLETRANSLATE(A895,""en"",""fr""))"),"")</f>
        <v/>
      </c>
    </row>
    <row r="896" spans="2:2">
      <c r="B896" s="3" t="str">
        <f ca="1">IFERROR(__xludf.DUMMYFUNCTION("IF(ISBLANK(A896),"""",GOOGLETRANSLATE(A896,""en"",""fr""))"),"")</f>
        <v/>
      </c>
    </row>
    <row r="897" spans="2:2">
      <c r="B897" s="3" t="str">
        <f ca="1">IFERROR(__xludf.DUMMYFUNCTION("IF(ISBLANK(A897),"""",GOOGLETRANSLATE(A897,""en"",""fr""))"),"")</f>
        <v/>
      </c>
    </row>
    <row r="898" spans="2:2">
      <c r="B898" s="3" t="str">
        <f ca="1">IFERROR(__xludf.DUMMYFUNCTION("IF(ISBLANK(A898),"""",GOOGLETRANSLATE(A898,""en"",""fr""))"),"")</f>
        <v/>
      </c>
    </row>
    <row r="899" spans="2:2">
      <c r="B899" s="3" t="str">
        <f ca="1">IFERROR(__xludf.DUMMYFUNCTION("IF(ISBLANK(A899),"""",GOOGLETRANSLATE(A899,""en"",""fr""))"),"")</f>
        <v/>
      </c>
    </row>
    <row r="900" spans="2:2">
      <c r="B900" s="3" t="str">
        <f ca="1">IFERROR(__xludf.DUMMYFUNCTION("IF(ISBLANK(A900),"""",GOOGLETRANSLATE(A900,""en"",""fr""))"),"")</f>
        <v/>
      </c>
    </row>
    <row r="901" spans="2:2">
      <c r="B901" s="3" t="str">
        <f ca="1">IFERROR(__xludf.DUMMYFUNCTION("IF(ISBLANK(A901),"""",GOOGLETRANSLATE(A901,""en"",""fr""))"),"")</f>
        <v/>
      </c>
    </row>
    <row r="902" spans="2:2">
      <c r="B902" s="3" t="str">
        <f ca="1">IFERROR(__xludf.DUMMYFUNCTION("IF(ISBLANK(A902),"""",GOOGLETRANSLATE(A902,""en"",""fr""))"),"")</f>
        <v/>
      </c>
    </row>
    <row r="903" spans="2:2">
      <c r="B903" s="3" t="str">
        <f ca="1">IFERROR(__xludf.DUMMYFUNCTION("IF(ISBLANK(A903),"""",GOOGLETRANSLATE(A903,""en"",""fr""))"),"")</f>
        <v/>
      </c>
    </row>
    <row r="904" spans="2:2">
      <c r="B904" s="3" t="str">
        <f ca="1">IFERROR(__xludf.DUMMYFUNCTION("IF(ISBLANK(A904),"""",GOOGLETRANSLATE(A904,""en"",""fr""))"),"")</f>
        <v/>
      </c>
    </row>
    <row r="905" spans="2:2">
      <c r="B905" s="3" t="str">
        <f ca="1">IFERROR(__xludf.DUMMYFUNCTION("IF(ISBLANK(A905),"""",GOOGLETRANSLATE(A905,""en"",""fr""))"),"")</f>
        <v/>
      </c>
    </row>
    <row r="906" spans="2:2">
      <c r="B906" s="3" t="str">
        <f ca="1">IFERROR(__xludf.DUMMYFUNCTION("IF(ISBLANK(A906),"""",GOOGLETRANSLATE(A906,""en"",""fr""))"),"")</f>
        <v/>
      </c>
    </row>
    <row r="907" spans="2:2">
      <c r="B907" s="3" t="str">
        <f ca="1">IFERROR(__xludf.DUMMYFUNCTION("IF(ISBLANK(A907),"""",GOOGLETRANSLATE(A907,""en"",""fr""))"),"")</f>
        <v/>
      </c>
    </row>
    <row r="908" spans="2:2">
      <c r="B908" s="3" t="str">
        <f ca="1">IFERROR(__xludf.DUMMYFUNCTION("IF(ISBLANK(A908),"""",GOOGLETRANSLATE(A908,""en"",""fr""))"),"")</f>
        <v/>
      </c>
    </row>
    <row r="909" spans="2:2">
      <c r="B909" s="3" t="str">
        <f ca="1">IFERROR(__xludf.DUMMYFUNCTION("IF(ISBLANK(A909),"""",GOOGLETRANSLATE(A909,""en"",""fr""))"),"")</f>
        <v/>
      </c>
    </row>
    <row r="910" spans="2:2">
      <c r="B910" s="3" t="str">
        <f ca="1">IFERROR(__xludf.DUMMYFUNCTION("IF(ISBLANK(A910),"""",GOOGLETRANSLATE(A910,""en"",""fr""))"),"")</f>
        <v/>
      </c>
    </row>
    <row r="911" spans="2:2">
      <c r="B911" s="3" t="str">
        <f ca="1">IFERROR(__xludf.DUMMYFUNCTION("IF(ISBLANK(A911),"""",GOOGLETRANSLATE(A911,""en"",""fr""))"),"")</f>
        <v/>
      </c>
    </row>
    <row r="912" spans="2:2">
      <c r="B912" s="3" t="str">
        <f ca="1">IFERROR(__xludf.DUMMYFUNCTION("IF(ISBLANK(A912),"""",GOOGLETRANSLATE(A912,""en"",""fr""))"),"")</f>
        <v/>
      </c>
    </row>
    <row r="913" spans="2:2">
      <c r="B913" s="3" t="str">
        <f ca="1">IFERROR(__xludf.DUMMYFUNCTION("IF(ISBLANK(A913),"""",GOOGLETRANSLATE(A913,""en"",""fr""))"),"")</f>
        <v/>
      </c>
    </row>
    <row r="914" spans="2:2">
      <c r="B914" s="3" t="str">
        <f ca="1">IFERROR(__xludf.DUMMYFUNCTION("IF(ISBLANK(A914),"""",GOOGLETRANSLATE(A914,""en"",""fr""))"),"")</f>
        <v/>
      </c>
    </row>
    <row r="915" spans="2:2">
      <c r="B915" s="3" t="str">
        <f ca="1">IFERROR(__xludf.DUMMYFUNCTION("IF(ISBLANK(A915),"""",GOOGLETRANSLATE(A915,""en"",""fr""))"),"")</f>
        <v/>
      </c>
    </row>
    <row r="916" spans="2:2">
      <c r="B916" s="3" t="str">
        <f ca="1">IFERROR(__xludf.DUMMYFUNCTION("IF(ISBLANK(A916),"""",GOOGLETRANSLATE(A916,""en"",""fr""))"),"")</f>
        <v/>
      </c>
    </row>
    <row r="917" spans="2:2">
      <c r="B917" s="3" t="str">
        <f ca="1">IFERROR(__xludf.DUMMYFUNCTION("IF(ISBLANK(A917),"""",GOOGLETRANSLATE(A917,""en"",""fr""))"),"")</f>
        <v/>
      </c>
    </row>
    <row r="918" spans="2:2">
      <c r="B918" s="3" t="str">
        <f ca="1">IFERROR(__xludf.DUMMYFUNCTION("IF(ISBLANK(A918),"""",GOOGLETRANSLATE(A918,""en"",""fr""))"),"")</f>
        <v/>
      </c>
    </row>
    <row r="919" spans="2:2">
      <c r="B919" s="3" t="str">
        <f ca="1">IFERROR(__xludf.DUMMYFUNCTION("IF(ISBLANK(A919),"""",GOOGLETRANSLATE(A919,""en"",""fr""))"),"")</f>
        <v/>
      </c>
    </row>
    <row r="920" spans="2:2">
      <c r="B920" s="3" t="str">
        <f ca="1">IFERROR(__xludf.DUMMYFUNCTION("IF(ISBLANK(A920),"""",GOOGLETRANSLATE(A920,""en"",""fr""))"),"")</f>
        <v/>
      </c>
    </row>
    <row r="921" spans="2:2">
      <c r="B921" s="3" t="str">
        <f ca="1">IFERROR(__xludf.DUMMYFUNCTION("IF(ISBLANK(A921),"""",GOOGLETRANSLATE(A921,""en"",""fr""))"),"")</f>
        <v/>
      </c>
    </row>
    <row r="922" spans="2:2">
      <c r="B922" s="3" t="str">
        <f ca="1">IFERROR(__xludf.DUMMYFUNCTION("IF(ISBLANK(A922),"""",GOOGLETRANSLATE(A922,""en"",""fr""))"),"")</f>
        <v/>
      </c>
    </row>
    <row r="923" spans="2:2">
      <c r="B923" s="3" t="str">
        <f ca="1">IFERROR(__xludf.DUMMYFUNCTION("IF(ISBLANK(A923),"""",GOOGLETRANSLATE(A923,""en"",""fr""))"),"")</f>
        <v/>
      </c>
    </row>
    <row r="924" spans="2:2">
      <c r="B924" s="3" t="str">
        <f ca="1">IFERROR(__xludf.DUMMYFUNCTION("IF(ISBLANK(A924),"""",GOOGLETRANSLATE(A924,""en"",""fr""))"),"")</f>
        <v/>
      </c>
    </row>
    <row r="925" spans="2:2">
      <c r="B925" s="3" t="str">
        <f ca="1">IFERROR(__xludf.DUMMYFUNCTION("IF(ISBLANK(A925),"""",GOOGLETRANSLATE(A925,""en"",""fr""))"),"")</f>
        <v/>
      </c>
    </row>
    <row r="926" spans="2:2">
      <c r="B926" s="3" t="str">
        <f ca="1">IFERROR(__xludf.DUMMYFUNCTION("IF(ISBLANK(A926),"""",GOOGLETRANSLATE(A926,""en"",""fr""))"),"")</f>
        <v/>
      </c>
    </row>
    <row r="927" spans="2:2">
      <c r="B927" s="3" t="str">
        <f ca="1">IFERROR(__xludf.DUMMYFUNCTION("IF(ISBLANK(A927),"""",GOOGLETRANSLATE(A927,""en"",""fr""))"),"")</f>
        <v/>
      </c>
    </row>
    <row r="928" spans="2:2">
      <c r="B928" s="3" t="str">
        <f ca="1">IFERROR(__xludf.DUMMYFUNCTION("IF(ISBLANK(A928),"""",GOOGLETRANSLATE(A928,""en"",""fr""))"),"")</f>
        <v/>
      </c>
    </row>
    <row r="929" spans="2:2">
      <c r="B929" s="3" t="str">
        <f ca="1">IFERROR(__xludf.DUMMYFUNCTION("IF(ISBLANK(A929),"""",GOOGLETRANSLATE(A929,""en"",""fr""))"),"")</f>
        <v/>
      </c>
    </row>
    <row r="930" spans="2:2">
      <c r="B930" s="3" t="str">
        <f ca="1">IFERROR(__xludf.DUMMYFUNCTION("IF(ISBLANK(A930),"""",GOOGLETRANSLATE(A930,""en"",""fr""))"),"")</f>
        <v/>
      </c>
    </row>
    <row r="931" spans="2:2">
      <c r="B931" s="3" t="str">
        <f ca="1">IFERROR(__xludf.DUMMYFUNCTION("IF(ISBLANK(A931),"""",GOOGLETRANSLATE(A931,""en"",""fr""))"),"")</f>
        <v/>
      </c>
    </row>
    <row r="932" spans="2:2">
      <c r="B932" s="3" t="str">
        <f ca="1">IFERROR(__xludf.DUMMYFUNCTION("IF(ISBLANK(A932),"""",GOOGLETRANSLATE(A932,""en"",""fr""))"),"")</f>
        <v/>
      </c>
    </row>
    <row r="933" spans="2:2">
      <c r="B933" s="3" t="str">
        <f ca="1">IFERROR(__xludf.DUMMYFUNCTION("IF(ISBLANK(A933),"""",GOOGLETRANSLATE(A933,""en"",""fr""))"),"")</f>
        <v/>
      </c>
    </row>
    <row r="934" spans="2:2">
      <c r="B934" s="3" t="str">
        <f ca="1">IFERROR(__xludf.DUMMYFUNCTION("IF(ISBLANK(A934),"""",GOOGLETRANSLATE(A934,""en"",""fr""))"),"")</f>
        <v/>
      </c>
    </row>
    <row r="935" spans="2:2">
      <c r="B935" s="3" t="str">
        <f ca="1">IFERROR(__xludf.DUMMYFUNCTION("IF(ISBLANK(A935),"""",GOOGLETRANSLATE(A935,""en"",""fr""))"),"")</f>
        <v/>
      </c>
    </row>
    <row r="936" spans="2:2">
      <c r="B936" s="3" t="str">
        <f ca="1">IFERROR(__xludf.DUMMYFUNCTION("IF(ISBLANK(A936),"""",GOOGLETRANSLATE(A936,""en"",""fr""))"),"")</f>
        <v/>
      </c>
    </row>
    <row r="937" spans="2:2">
      <c r="B937" s="3" t="str">
        <f ca="1">IFERROR(__xludf.DUMMYFUNCTION("IF(ISBLANK(A937),"""",GOOGLETRANSLATE(A937,""en"",""fr""))"),"")</f>
        <v/>
      </c>
    </row>
    <row r="938" spans="2:2">
      <c r="B938" s="3" t="str">
        <f ca="1">IFERROR(__xludf.DUMMYFUNCTION("IF(ISBLANK(A938),"""",GOOGLETRANSLATE(A938,""en"",""fr""))"),"")</f>
        <v/>
      </c>
    </row>
    <row r="939" spans="2:2">
      <c r="B939" s="3" t="str">
        <f ca="1">IFERROR(__xludf.DUMMYFUNCTION("IF(ISBLANK(A939),"""",GOOGLETRANSLATE(A939,""en"",""fr""))"),"")</f>
        <v/>
      </c>
    </row>
    <row r="940" spans="2:2">
      <c r="B940" s="3" t="str">
        <f ca="1">IFERROR(__xludf.DUMMYFUNCTION("IF(ISBLANK(A940),"""",GOOGLETRANSLATE(A940,""en"",""fr""))"),"")</f>
        <v/>
      </c>
    </row>
    <row r="941" spans="2:2">
      <c r="B941" s="3" t="str">
        <f ca="1">IFERROR(__xludf.DUMMYFUNCTION("IF(ISBLANK(A941),"""",GOOGLETRANSLATE(A941,""en"",""fr""))"),"")</f>
        <v/>
      </c>
    </row>
    <row r="942" spans="2:2">
      <c r="B942" s="3" t="str">
        <f ca="1">IFERROR(__xludf.DUMMYFUNCTION("IF(ISBLANK(A942),"""",GOOGLETRANSLATE(A942,""en"",""fr""))"),"")</f>
        <v/>
      </c>
    </row>
    <row r="943" spans="2:2">
      <c r="B943" s="3" t="str">
        <f ca="1">IFERROR(__xludf.DUMMYFUNCTION("IF(ISBLANK(A943),"""",GOOGLETRANSLATE(A943,""en"",""fr""))"),"")</f>
        <v/>
      </c>
    </row>
    <row r="944" spans="2:2">
      <c r="B944" s="3" t="str">
        <f ca="1">IFERROR(__xludf.DUMMYFUNCTION("IF(ISBLANK(A944),"""",GOOGLETRANSLATE(A944,""en"",""fr""))"),"")</f>
        <v/>
      </c>
    </row>
    <row r="945" spans="2:2">
      <c r="B945" s="3" t="str">
        <f ca="1">IFERROR(__xludf.DUMMYFUNCTION("IF(ISBLANK(A945),"""",GOOGLETRANSLATE(A945,""en"",""fr""))"),"")</f>
        <v/>
      </c>
    </row>
    <row r="946" spans="2:2">
      <c r="B946" s="3" t="str">
        <f ca="1">IFERROR(__xludf.DUMMYFUNCTION("IF(ISBLANK(A946),"""",GOOGLETRANSLATE(A946,""en"",""fr""))"),"")</f>
        <v/>
      </c>
    </row>
    <row r="947" spans="2:2">
      <c r="B947" s="3" t="str">
        <f ca="1">IFERROR(__xludf.DUMMYFUNCTION("IF(ISBLANK(A947),"""",GOOGLETRANSLATE(A947,""en"",""fr""))"),"")</f>
        <v/>
      </c>
    </row>
    <row r="948" spans="2:2">
      <c r="B948" s="3" t="str">
        <f ca="1">IFERROR(__xludf.DUMMYFUNCTION("IF(ISBLANK(A948),"""",GOOGLETRANSLATE(A948,""en"",""fr""))"),"")</f>
        <v/>
      </c>
    </row>
    <row r="949" spans="2:2">
      <c r="B949" s="3" t="str">
        <f ca="1">IFERROR(__xludf.DUMMYFUNCTION("IF(ISBLANK(A949),"""",GOOGLETRANSLATE(A949,""en"",""fr""))"),"")</f>
        <v/>
      </c>
    </row>
    <row r="950" spans="2:2">
      <c r="B950" s="3" t="str">
        <f ca="1">IFERROR(__xludf.DUMMYFUNCTION("IF(ISBLANK(A950),"""",GOOGLETRANSLATE(A950,""en"",""fr""))"),"")</f>
        <v/>
      </c>
    </row>
    <row r="951" spans="2:2">
      <c r="B951" s="3" t="str">
        <f ca="1">IFERROR(__xludf.DUMMYFUNCTION("IF(ISBLANK(A951),"""",GOOGLETRANSLATE(A951,""en"",""fr""))"),"")</f>
        <v/>
      </c>
    </row>
    <row r="952" spans="2:2">
      <c r="B952" s="3" t="str">
        <f ca="1">IFERROR(__xludf.DUMMYFUNCTION("IF(ISBLANK(A952),"""",GOOGLETRANSLATE(A952,""en"",""fr""))"),"")</f>
        <v/>
      </c>
    </row>
    <row r="953" spans="2:2">
      <c r="B953" s="3" t="str">
        <f ca="1">IFERROR(__xludf.DUMMYFUNCTION("IF(ISBLANK(A953),"""",GOOGLETRANSLATE(A953,""en"",""fr""))"),"")</f>
        <v/>
      </c>
    </row>
    <row r="954" spans="2:2">
      <c r="B954" s="3" t="str">
        <f ca="1">IFERROR(__xludf.DUMMYFUNCTION("IF(ISBLANK(A954),"""",GOOGLETRANSLATE(A954,""en"",""fr""))"),"")</f>
        <v/>
      </c>
    </row>
    <row r="955" spans="2:2">
      <c r="B955" s="3" t="str">
        <f ca="1">IFERROR(__xludf.DUMMYFUNCTION("IF(ISBLANK(A955),"""",GOOGLETRANSLATE(A955,""en"",""fr""))"),"")</f>
        <v/>
      </c>
    </row>
    <row r="956" spans="2:2">
      <c r="B956" s="3" t="str">
        <f ca="1">IFERROR(__xludf.DUMMYFUNCTION("IF(ISBLANK(A956),"""",GOOGLETRANSLATE(A956,""en"",""fr""))"),"")</f>
        <v/>
      </c>
    </row>
    <row r="957" spans="2:2">
      <c r="B957" s="3" t="str">
        <f ca="1">IFERROR(__xludf.DUMMYFUNCTION("IF(ISBLANK(A957),"""",GOOGLETRANSLATE(A957,""en"",""fr""))"),"")</f>
        <v/>
      </c>
    </row>
    <row r="958" spans="2:2">
      <c r="B958" s="3" t="str">
        <f ca="1">IFERROR(__xludf.DUMMYFUNCTION("IF(ISBLANK(A958),"""",GOOGLETRANSLATE(A958,""en"",""fr""))"),"")</f>
        <v/>
      </c>
    </row>
    <row r="959" spans="2:2">
      <c r="B959" s="3" t="str">
        <f ca="1">IFERROR(__xludf.DUMMYFUNCTION("IF(ISBLANK(A959),"""",GOOGLETRANSLATE(A959,""en"",""fr""))"),"")</f>
        <v/>
      </c>
    </row>
    <row r="960" spans="2:2">
      <c r="B960" s="3" t="str">
        <f ca="1">IFERROR(__xludf.DUMMYFUNCTION("IF(ISBLANK(A960),"""",GOOGLETRANSLATE(A960,""en"",""fr""))"),"")</f>
        <v/>
      </c>
    </row>
    <row r="961" spans="2:2">
      <c r="B961" s="3" t="str">
        <f ca="1">IFERROR(__xludf.DUMMYFUNCTION("IF(ISBLANK(A961),"""",GOOGLETRANSLATE(A961,""en"",""fr""))"),"")</f>
        <v/>
      </c>
    </row>
    <row r="962" spans="2:2">
      <c r="B962" s="3" t="str">
        <f ca="1">IFERROR(__xludf.DUMMYFUNCTION("IF(ISBLANK(A962),"""",GOOGLETRANSLATE(A962,""en"",""fr""))"),"")</f>
        <v/>
      </c>
    </row>
    <row r="963" spans="2:2">
      <c r="B963" s="3" t="str">
        <f ca="1">IFERROR(__xludf.DUMMYFUNCTION("IF(ISBLANK(A963),"""",GOOGLETRANSLATE(A963,""en"",""fr""))"),"")</f>
        <v/>
      </c>
    </row>
    <row r="964" spans="2:2">
      <c r="B964" s="3" t="str">
        <f ca="1">IFERROR(__xludf.DUMMYFUNCTION("IF(ISBLANK(A964),"""",GOOGLETRANSLATE(A964,""en"",""fr""))"),"")</f>
        <v/>
      </c>
    </row>
    <row r="965" spans="2:2">
      <c r="B965" s="3" t="str">
        <f ca="1">IFERROR(__xludf.DUMMYFUNCTION("IF(ISBLANK(A965),"""",GOOGLETRANSLATE(A965,""en"",""fr""))"),"")</f>
        <v/>
      </c>
    </row>
    <row r="966" spans="2:2">
      <c r="B966" s="3" t="str">
        <f ca="1">IFERROR(__xludf.DUMMYFUNCTION("IF(ISBLANK(A966),"""",GOOGLETRANSLATE(A966,""en"",""fr""))"),"")</f>
        <v/>
      </c>
    </row>
    <row r="967" spans="2:2">
      <c r="B967" s="3" t="str">
        <f ca="1">IFERROR(__xludf.DUMMYFUNCTION("IF(ISBLANK(A967),"""",GOOGLETRANSLATE(A967,""en"",""fr""))"),"")</f>
        <v/>
      </c>
    </row>
    <row r="968" spans="2:2">
      <c r="B968" s="3" t="str">
        <f ca="1">IFERROR(__xludf.DUMMYFUNCTION("IF(ISBLANK(A968),"""",GOOGLETRANSLATE(A968,""en"",""fr""))"),"")</f>
        <v/>
      </c>
    </row>
    <row r="969" spans="2:2">
      <c r="B969" s="3" t="str">
        <f ca="1">IFERROR(__xludf.DUMMYFUNCTION("IF(ISBLANK(A969),"""",GOOGLETRANSLATE(A969,""en"",""fr""))"),"")</f>
        <v/>
      </c>
    </row>
    <row r="970" spans="2:2">
      <c r="B970" s="3" t="str">
        <f ca="1">IFERROR(__xludf.DUMMYFUNCTION("IF(ISBLANK(A970),"""",GOOGLETRANSLATE(A970,""en"",""fr""))"),"")</f>
        <v/>
      </c>
    </row>
    <row r="971" spans="2:2">
      <c r="B971" s="3" t="str">
        <f ca="1">IFERROR(__xludf.DUMMYFUNCTION("IF(ISBLANK(A971),"""",GOOGLETRANSLATE(A971,""en"",""fr""))"),"")</f>
        <v/>
      </c>
    </row>
    <row r="972" spans="2:2">
      <c r="B972" s="3" t="str">
        <f ca="1">IFERROR(__xludf.DUMMYFUNCTION("IF(ISBLANK(A972),"""",GOOGLETRANSLATE(A972,""en"",""fr""))"),"")</f>
        <v/>
      </c>
    </row>
    <row r="973" spans="2:2">
      <c r="B973" s="3" t="str">
        <f ca="1">IFERROR(__xludf.DUMMYFUNCTION("IF(ISBLANK(A973),"""",GOOGLETRANSLATE(A973,""en"",""fr""))"),"")</f>
        <v/>
      </c>
    </row>
    <row r="974" spans="2:2">
      <c r="B974" s="3" t="str">
        <f ca="1">IFERROR(__xludf.DUMMYFUNCTION("IF(ISBLANK(A974),"""",GOOGLETRANSLATE(A974,""en"",""fr""))"),"")</f>
        <v/>
      </c>
    </row>
    <row r="975" spans="2:2">
      <c r="B975" s="3" t="str">
        <f ca="1">IFERROR(__xludf.DUMMYFUNCTION("IF(ISBLANK(A975),"""",GOOGLETRANSLATE(A975,""en"",""fr""))"),"")</f>
        <v/>
      </c>
    </row>
    <row r="976" spans="2:2">
      <c r="B976" s="3" t="str">
        <f ca="1">IFERROR(__xludf.DUMMYFUNCTION("IF(ISBLANK(A976),"""",GOOGLETRANSLATE(A976,""en"",""fr""))"),"")</f>
        <v/>
      </c>
    </row>
    <row r="977" spans="2:2">
      <c r="B977" s="3" t="str">
        <f ca="1">IFERROR(__xludf.DUMMYFUNCTION("IF(ISBLANK(A977),"""",GOOGLETRANSLATE(A977,""en"",""fr""))"),"")</f>
        <v/>
      </c>
    </row>
    <row r="978" spans="2:2">
      <c r="B978" s="3" t="str">
        <f ca="1">IFERROR(__xludf.DUMMYFUNCTION("IF(ISBLANK(A978),"""",GOOGLETRANSLATE(A978,""en"",""fr""))"),"")</f>
        <v/>
      </c>
    </row>
    <row r="979" spans="2:2">
      <c r="B979" s="3" t="str">
        <f ca="1">IFERROR(__xludf.DUMMYFUNCTION("IF(ISBLANK(A979),"""",GOOGLETRANSLATE(A979,""en"",""fr""))"),"")</f>
        <v/>
      </c>
    </row>
    <row r="980" spans="2:2">
      <c r="B980" s="3" t="str">
        <f ca="1">IFERROR(__xludf.DUMMYFUNCTION("IF(ISBLANK(A980),"""",GOOGLETRANSLATE(A980,""en"",""fr""))"),"")</f>
        <v/>
      </c>
    </row>
    <row r="981" spans="2:2">
      <c r="B981" s="3" t="str">
        <f ca="1">IFERROR(__xludf.DUMMYFUNCTION("IF(ISBLANK(A981),"""",GOOGLETRANSLATE(A981,""en"",""fr""))"),"")</f>
        <v/>
      </c>
    </row>
    <row r="982" spans="2:2">
      <c r="B982" s="3" t="str">
        <f ca="1">IFERROR(__xludf.DUMMYFUNCTION("IF(ISBLANK(A982),"""",GOOGLETRANSLATE(A982,""en"",""fr""))"),"")</f>
        <v/>
      </c>
    </row>
    <row r="983" spans="2:2">
      <c r="B983" s="3" t="str">
        <f ca="1">IFERROR(__xludf.DUMMYFUNCTION("IF(ISBLANK(A983),"""",GOOGLETRANSLATE(A983,""en"",""fr""))"),"")</f>
        <v/>
      </c>
    </row>
    <row r="984" spans="2:2">
      <c r="B984" s="3" t="str">
        <f ca="1">IFERROR(__xludf.DUMMYFUNCTION("IF(ISBLANK(A984),"""",GOOGLETRANSLATE(A984,""en"",""fr""))"),"")</f>
        <v/>
      </c>
    </row>
    <row r="985" spans="2:2">
      <c r="B985" s="3" t="str">
        <f ca="1">IFERROR(__xludf.DUMMYFUNCTION("IF(ISBLANK(A985),"""",GOOGLETRANSLATE(A985,""en"",""fr""))"),"")</f>
        <v/>
      </c>
    </row>
    <row r="986" spans="2:2">
      <c r="B986" s="3" t="str">
        <f ca="1">IFERROR(__xludf.DUMMYFUNCTION("IF(ISBLANK(A986),"""",GOOGLETRANSLATE(A986,""en"",""fr""))"),"")</f>
        <v/>
      </c>
    </row>
    <row r="987" spans="2:2">
      <c r="B987" s="3" t="str">
        <f ca="1">IFERROR(__xludf.DUMMYFUNCTION("IF(ISBLANK(A987),"""",GOOGLETRANSLATE(A987,""en"",""fr""))"),"")</f>
        <v/>
      </c>
    </row>
    <row r="988" spans="2:2">
      <c r="B988" s="3" t="str">
        <f ca="1">IFERROR(__xludf.DUMMYFUNCTION("IF(ISBLANK(A988),"""",GOOGLETRANSLATE(A988,""en"",""fr""))"),"")</f>
        <v/>
      </c>
    </row>
    <row r="989" spans="2:2">
      <c r="B989" s="3" t="str">
        <f ca="1">IFERROR(__xludf.DUMMYFUNCTION("IF(ISBLANK(A989),"""",GOOGLETRANSLATE(A989,""en"",""fr""))"),"")</f>
        <v/>
      </c>
    </row>
    <row r="990" spans="2:2">
      <c r="B990" s="3" t="str">
        <f ca="1">IFERROR(__xludf.DUMMYFUNCTION("IF(ISBLANK(A990),"""",GOOGLETRANSLATE(A990,""en"",""fr""))"),"")</f>
        <v/>
      </c>
    </row>
    <row r="991" spans="2:2">
      <c r="B991" s="3" t="str">
        <f ca="1">IFERROR(__xludf.DUMMYFUNCTION("IF(ISBLANK(A991),"""",GOOGLETRANSLATE(A991,""en"",""fr""))"),"")</f>
        <v/>
      </c>
    </row>
    <row r="992" spans="2:2">
      <c r="B992" s="3" t="str">
        <f ca="1">IFERROR(__xludf.DUMMYFUNCTION("IF(ISBLANK(A992),"""",GOOGLETRANSLATE(A992,""en"",""fr""))"),"")</f>
        <v/>
      </c>
    </row>
    <row r="993" spans="2:2">
      <c r="B993" s="3" t="str">
        <f ca="1">IFERROR(__xludf.DUMMYFUNCTION("IF(ISBLANK(A993),"""",GOOGLETRANSLATE(A993,""en"",""fr""))"),"")</f>
        <v/>
      </c>
    </row>
    <row r="994" spans="2:2">
      <c r="B994" s="3" t="str">
        <f ca="1">IFERROR(__xludf.DUMMYFUNCTION("IF(ISBLANK(A994),"""",GOOGLETRANSLATE(A994,""en"",""fr""))"),"")</f>
        <v/>
      </c>
    </row>
    <row r="995" spans="2:2">
      <c r="B995" s="3" t="str">
        <f ca="1">IFERROR(__xludf.DUMMYFUNCTION("IF(ISBLANK(A995),"""",GOOGLETRANSLATE(A995,""en"",""fr""))"),"")</f>
        <v/>
      </c>
    </row>
    <row r="996" spans="2:2">
      <c r="B996" s="3" t="str">
        <f ca="1">IFERROR(__xludf.DUMMYFUNCTION("IF(ISBLANK(A996),"""",GOOGLETRANSLATE(A996,""en"",""fr""))"),"")</f>
        <v/>
      </c>
    </row>
    <row r="997" spans="2:2">
      <c r="B997" s="3" t="str">
        <f ca="1">IFERROR(__xludf.DUMMYFUNCTION("IF(ISBLANK(A997),"""",GOOGLETRANSLATE(A997,""en"",""fr""))"),"")</f>
        <v/>
      </c>
    </row>
    <row r="998" spans="2:2">
      <c r="B998" s="3" t="str">
        <f ca="1">IFERROR(__xludf.DUMMYFUNCTION("IF(ISBLANK(A998),"""",GOOGLETRANSLATE(A998,""en"",""fr""))"),"")</f>
        <v/>
      </c>
    </row>
    <row r="999" spans="2:2">
      <c r="B999" s="3" t="str">
        <f ca="1">IFERROR(__xludf.DUMMYFUNCTION("IF(ISBLANK(A999),"""",GOOGLETRANSLATE(A999,""en"",""fr""))"),"")</f>
        <v/>
      </c>
    </row>
    <row r="1000" spans="2:2">
      <c r="B1000" s="3" t="str">
        <f ca="1">IFERROR(__xludf.DUMMYFUNCTION("IF(ISBLANK(A1000),"""",GOOGLETRANSLATE(A1000,""en"",""fr""))"),"")</f>
        <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B1000"/>
  <sheetViews>
    <sheetView workbookViewId="0"/>
  </sheetViews>
  <sheetFormatPr defaultColWidth="12.6640625" defaultRowHeight="15.75" customHeight="1"/>
  <cols>
    <col min="1" max="1" width="101" customWidth="1"/>
  </cols>
  <sheetData>
    <row r="1" spans="1:2">
      <c r="A1" s="1" t="s">
        <v>0</v>
      </c>
      <c r="B1" s="1"/>
    </row>
    <row r="2" spans="1:2">
      <c r="A2" s="3" t="s">
        <v>185</v>
      </c>
      <c r="B2" s="3" t="str">
        <f ca="1">IFERROR(__xludf.DUMMYFUNCTION("IF(ISBLANK(A2),"""",GOOGLETRANSLATE(A2,""en"",""fr""))"),"politique de confidentialité")</f>
        <v>politique de confidentialité</v>
      </c>
    </row>
    <row r="3" spans="1:2">
      <c r="A3" s="3" t="s">
        <v>961</v>
      </c>
      <c r="B3" s="3" t="str">
        <f ca="1">IFERROR(__xludf.DUMMYFUNCTION("IF(ISBLANK(A3),"""",GOOGLETRANSLATE(A3,""en"",""fr""))"),"Principes généraux :")</f>
        <v>Principes généraux :</v>
      </c>
    </row>
    <row r="4" spans="1:2">
      <c r="A4" s="3" t="s">
        <v>962</v>
      </c>
      <c r="B4" s="3" t="str">
        <f ca="1">IFERROR(__xludf.DUMMYFUNCTION("IF(ISBLANK(A4),"""",GOOGLETRANSLATE(A4,""en"",""fr""))"),"NETSOL Technologies Ltd (« NETSOL ») comprend l'importance que vous accordez à votre vie privée et à la manière dont vos données personnelles sont utilisées et partagées en ligne. Nous respectons et valorisons la vie privée de tous les visiteurs de ce sit"&amp;"e web, https://netsoltech.com (« Notre Site »), et nous ne collecterons et n'utiliserons les données personnelles que de la manière décrite ici, dans le respect de nos obligations et de vos droits en vertu de la loi.")</f>
        <v>NETSOL Technologies Ltd (« NETSOL ») comprend l'importance que vous accordez à votre vie privée et à la manière dont vos données personnelles sont utilisées et partagées en ligne. Nous respectons et valorisons la vie privée de tous les visiteurs de ce site web, https://netsoltech.com (« Notre Site »), et nous ne collecterons et n'utiliserons les données personnelles que de la manière décrite ici, dans le respect de nos obligations et de vos droits en vertu de la loi.</v>
      </c>
    </row>
    <row r="5" spans="1:2">
      <c r="A5" s="3" t="s">
        <v>963</v>
      </c>
      <c r="B5" s="3" t="str">
        <f ca="1">IFERROR(__xludf.DUMMYFUNCTION("IF(ISBLANK(A5),"""",GOOGLETRANSLATE(A5,""en"",""fr""))"),"Veuillez lire attentivement la présente Politique de confidentialité et notre Politique relative aux cookies, qui fait partie intégrante du présent accord, et vous assurer de bien les comprendre. Votre acceptation de notre Politique de confidentialité est"&amp;" réputée acquise dès votre première utilisation de notre Site. Si vous n'acceptez pas la présente Politique de confidentialité, vous devez cesser immédiatement d'utiliser notre Site.")</f>
        <v>Veuillez lire attentivement la présente Politique de confidentialité et notre Politique relative aux cookies, qui fait partie intégrante du présent accord, et vous assurer de bien les comprendre. Votre acceptation de notre Politique de confidentialité est réputée acquise dès votre première utilisation de notre Site. Si vous n'acceptez pas la présente Politique de confidentialité, vous devez cesser immédiatement d'utiliser notre Site.</v>
      </c>
    </row>
    <row r="6" spans="1:2">
      <c r="A6" s="3" t="s">
        <v>964</v>
      </c>
      <c r="B6" s="3" t="str">
        <f ca="1">IFERROR(__xludf.DUMMYFUNCTION("IF(ISBLANK(A6),"""",GOOGLETRANSLATE(A6,""en"",""fr""))"),"Que couvre cette politique?")</f>
        <v>Que couvre cette politique?</v>
      </c>
    </row>
    <row r="7" spans="1:2">
      <c r="A7" s="3" t="s">
        <v>965</v>
      </c>
      <c r="B7" s="3" t="str">
        <f ca="1">IFERROR(__xludf.DUMMYFUNCTION("IF(ISBLANK(A7),"""",GOOGLETRANSLATE(A7,""en"",""fr""))"),"Cette politique de confidentialité s'applique uniquement à votre utilisation de notre site. Notre site peut contenir des liens vers d'autres sites web. Veuillez noter que nous n'avons aucun contrôle sur la manière dont vos données sont collectées, stockée"&amp;"s ou utilisées par ces autres sites web. Nous vous conseillons donc de consulter les politiques de confidentialité de ces sites avant de leur fournir des données.")</f>
        <v>Cette politique de confidentialité s'applique uniquement à votre utilisation de notre site. Notre site peut contenir des liens vers d'autres sites web. Veuillez noter que nous n'avons aucun contrôle sur la manière dont vos données sont collectées, stockées ou utilisées par ces autres sites web. Nous vous conseillons donc de consulter les politiques de confidentialité de ces sites avant de leur fournir des données.</v>
      </c>
    </row>
    <row r="8" spans="1:2">
      <c r="A8" s="3" t="s">
        <v>966</v>
      </c>
      <c r="B8" s="3" t="str">
        <f ca="1">IFERROR(__xludf.DUMMYFUNCTION("IF(ISBLANK(A8),"""",GOOGLETRANSLATE(A8,""en"",""fr""))"),"Quelles données sont collectées ?")</f>
        <v>Quelles données sont collectées ?</v>
      </c>
    </row>
    <row r="9" spans="1:2">
      <c r="A9" s="3" t="s">
        <v>967</v>
      </c>
      <c r="B9" s="3" t="str">
        <f ca="1">IFERROR(__xludf.DUMMYFUNCTION("IF(ISBLANK(A9),"""",GOOGLETRANSLATE(A9,""en"",""fr""))"),"Nos sites web :")</f>
        <v>Nos sites web :</v>
      </c>
    </row>
    <row r="10" spans="1:2">
      <c r="A10" s="3" t="s">
        <v>968</v>
      </c>
      <c r="B10" s="3" t="str">
        <f ca="1">IFERROR(__xludf.DUMMYFUNCTION("IF(ISBLANK(A10),"""",GOOGLETRANSLATE(A10,""en"",""fr""))"),"netsoltech.com, ascent.netsoltech.com, mobility.netsoltech.com")</f>
        <v>netsoltech.com, ascent.netsoltech.com, mobility.netsoltech.com</v>
      </c>
    </row>
    <row r="11" spans="1:2">
      <c r="A11" s="3" t="s">
        <v>969</v>
      </c>
      <c r="B11" s="3" t="str">
        <f ca="1">IFERROR(__xludf.DUMMYFUNCTION("IF(ISBLANK(A11),"""",GOOGLETRANSLATE(A11,""en"",""fr""))"),"Les données que nous collectons auprès de vous via nos sites web incluent votre nom, votre fonction, le nom de votre entreprise, votre adresse e-mail et votre numéro de téléphone. Il s'agit des informations que vous nous fournissez lorsque vous utilisez n"&amp;"os formulaires de contact ou de demande de démonstration. Notre site peut également placer et accéder à certains cookies propriétaires sur votre ordinateur ou appareil. Ces cookies sont détaillés dans notre Politique relative aux cookies, qui est intégrée"&amp;" à la présente Politique de confidentialité par référence.")</f>
        <v>Les données que nous collectons auprès de vous via nos sites web incluent votre nom, votre fonction, le nom de votre entreprise, votre adresse e-mail et votre numéro de téléphone. Il s'agit des informations que vous nous fournissez lorsque vous utilisez nos formulaires de contact ou de demande de démonstration. Notre site peut également placer et accéder à certains cookies propriétaires sur votre ordinateur ou appareil. Ces cookies sont détaillés dans notre Politique relative aux cookies, qui est intégrée à la présente Politique de confidentialité par référence.</v>
      </c>
    </row>
    <row r="12" spans="1:2">
      <c r="A12" s="3" t="s">
        <v>970</v>
      </c>
      <c r="B12" s="3" t="str">
        <f ca="1">IFERROR(__xludf.DUMMYFUNCTION("IF(ISBLANK(A12),"""",GOOGLETRANSLATE(A12,""en"",""fr""))"),"Candidats à l'emploi :")</f>
        <v>Candidats à l'emploi :</v>
      </c>
    </row>
    <row r="13" spans="1:2">
      <c r="A13" s="3" t="s">
        <v>971</v>
      </c>
      <c r="B13" s="3" t="str">
        <f ca="1">IFERROR(__xludf.DUMMYFUNCTION("IF(ISBLANK(A13),"""",GOOGLETRANSLATE(A13,""en"",""fr""))"),"Dans le cadre de tout processus de recrutement, NETSOL collecte et traite les données personnelles des candidats. Nous recueillerons votre expérience professionnelle, vos coordonnées et toute autre information figurant sur votre CV. Nous vous expliquerons"&amp;" clairement ce que nous demandons et pourquoi, et nous vous demanderons systématiquement votre consentement pour nous fournir les informations nécessaires au respect du droit du travail local.")</f>
        <v>Dans le cadre de tout processus de recrutement, NETSOL collecte et traite les données personnelles des candidats. Nous recueillerons votre expérience professionnelle, vos coordonnées et toute autre information figurant sur votre CV. Nous vous expliquerons clairement ce que nous demandons et pourquoi, et nous vous demanderons systématiquement votre consentement pour nous fournir les informations nécessaires au respect du droit du travail local.</v>
      </c>
    </row>
    <row r="14" spans="1:2">
      <c r="A14" s="3" t="s">
        <v>972</v>
      </c>
      <c r="B14" s="3" t="str">
        <f ca="1">IFERROR(__xludf.DUMMYFUNCTION("IF(ISBLANK(A14),"""",GOOGLETRANSLATE(A14,""en"",""fr""))"),"Comment utilisons-nous vos données?")</f>
        <v>Comment utilisons-nous vos données?</v>
      </c>
    </row>
    <row r="15" spans="1:2">
      <c r="A15" s="3" t="s">
        <v>973</v>
      </c>
      <c r="B15" s="3" t="str">
        <f ca="1">IFERROR(__xludf.DUMMYFUNCTION("IF(ISBLANK(A15),"""",GOOGLETRANSLATE(A15,""en"",""fr""))"),"Toutes les données personnelles sont traitées et conservées en toute sécurité, pour une durée n'excédant pas celle nécessaire aux fins pour lesquelles elles ont été initialement collectées. Nous nous engageons à respecter nos obligations et à protéger vos"&amp;" droits en vertu du RGPD.")</f>
        <v>Toutes les données personnelles sont traitées et conservées en toute sécurité, pour une durée n'excédant pas celle nécessaire aux fins pour lesquelles elles ont été initialement collectées. Nous nous engageons à respecter nos obligations et à protéger vos droits en vertu du RGPD.</v>
      </c>
    </row>
    <row r="16" spans="1:2">
      <c r="A16" s="3" t="s">
        <v>974</v>
      </c>
      <c r="B16" s="3" t="str">
        <f ca="1">IFERROR(__xludf.DUMMYFUNCTION("IF(ISBLANK(A16),"""",GOOGLETRANSLATE(A16,""en"",""fr""))"),"L'utilisation de vos données personnelles repose toujours sur une base légale, soit parce qu'elle est nécessaire à l'exécution d'un contrat avec vous, soit parce que vous avez consenti à leur utilisation (par exemple, en vous abonnant à nos e-mails), soit"&amp;" parce qu'elle relève de notre intérêt légitime. Plus précisément, nous pouvons utiliser vos données aux fins suivantes :")</f>
        <v>L'utilisation de vos données personnelles repose toujours sur une base légale, soit parce qu'elle est nécessaire à l'exécution d'un contrat avec vous, soit parce que vous avez consenti à leur utilisation (par exemple, en vous abonnant à nos e-mails), soit parce qu'elle relève de notre intérêt légitime. Plus précisément, nous pouvons utiliser vos données aux fins suivantes :</v>
      </c>
    </row>
    <row r="17" spans="1:2">
      <c r="A17" s="3" t="s">
        <v>975</v>
      </c>
      <c r="B17" s="3" t="str">
        <f ca="1">IFERROR(__xludf.DUMMYFUNCTION("IF(ISBLANK(A17),"""",GOOGLETRANSLATE(A17,""en"",""fr""))"),"Fourniture et gestion de votre compte.")</f>
        <v>Fourniture et gestion de votre compte.</v>
      </c>
    </row>
    <row r="18" spans="1:2">
      <c r="A18" s="3" t="s">
        <v>976</v>
      </c>
      <c r="B18" s="3" t="str">
        <f ca="1">IFERROR(__xludf.DUMMYFUNCTION("IF(ISBLANK(A18),"""",GOOGLETRANSLATE(A18,""en"",""fr""))"),"Fournir et gérer votre accès à notre Site.")</f>
        <v>Fournir et gérer votre accès à notre Site.</v>
      </c>
    </row>
    <row r="19" spans="1:2">
      <c r="A19" s="3" t="s">
        <v>977</v>
      </c>
      <c r="B19" s="3" t="str">
        <f ca="1">IFERROR(__xludf.DUMMYFUNCTION("IF(ISBLANK(A19),"""",GOOGLETRANSLATE(A19,""en"",""fr""))"),"Vous fournir nos produits et services (veuillez noter que nous avons besoin de vos données personnelles afin de conclure un contrat avec vous).")</f>
        <v>Vous fournir nos produits et services (veuillez noter que nous avons besoin de vos données personnelles afin de conclure un contrat avec vous).</v>
      </c>
    </row>
    <row r="20" spans="1:2">
      <c r="A20" s="3" t="s">
        <v>978</v>
      </c>
      <c r="B20" s="3" t="str">
        <f ca="1">IFERROR(__xludf.DUMMYFUNCTION("IF(ISBLANK(A20),"""",GOOGLETRANSLATE(A20,""en"",""fr""))"),"Nous personnalisons et adaptons nos produits et services à vos besoins.")</f>
        <v>Nous personnalisons et adaptons nos produits et services à vos besoins.</v>
      </c>
    </row>
    <row r="21" spans="1:2">
      <c r="A21" s="3" t="s">
        <v>979</v>
      </c>
      <c r="B21" s="3" t="str">
        <f ca="1">IFERROR(__xludf.DUMMYFUNCTION("IF(ISBLANK(A21),"""",GOOGLETRANSLATE(A21,""en"",""fr""))"),"Je réponds à vos e-mails.")</f>
        <v>Je réponds à vos e-mails.</v>
      </c>
    </row>
    <row r="22" spans="1:2">
      <c r="A22" s="3" t="s">
        <v>980</v>
      </c>
      <c r="B22" s="3" t="str">
        <f ca="1">IFERROR(__xludf.DUMMYFUNCTION("IF(ISBLANK(A22),"""",GOOGLETRANSLATE(A22,""en"",""fr""))"),"Vous fournir les e-mails auxquels vous avez souscrit (vous pouvez vous désabonner ou vous désinscrire à tout moment en cliquant sur « se désabonner »).")</f>
        <v>Vous fournir les e-mails auxquels vous avez souscrit (vous pouvez vous désabonner ou vous désinscrire à tout moment en cliquant sur « se désabonner »).</v>
      </c>
    </row>
    <row r="23" spans="1:2">
      <c r="A23" s="3" t="s">
        <v>981</v>
      </c>
      <c r="B23" s="3" t="str">
        <f ca="1">IFERROR(__xludf.DUMMYFUNCTION("IF(ISBLANK(A23),"""",GOOGLETRANSLATE(A23,""en"",""fr""))"),"Analyser votre utilisation de notre Site et recueillir des commentaires pour nous permettre d'améliorer continuellement notre Site et votre expérience utilisateur.")</f>
        <v>Analyser votre utilisation de notre Site et recueillir des commentaires pour nous permettre d'améliorer continuellement notre Site et votre expérience utilisateur.</v>
      </c>
    </row>
    <row r="24" spans="1:2">
      <c r="A24" s="3" t="s">
        <v>982</v>
      </c>
      <c r="B24" s="3" t="str">
        <f ca="1">IFERROR(__xludf.DUMMYFUNCTION("IF(ISBLANK(A24),"""",GOOGLETRANSLATE(A24,""en"",""fr""))"),"Avec votre accord et/ou lorsque la loi le permet, nous pouvons également utiliser vos données à des fins de marketing, notamment pour vous contacter par e-mail et/ou par téléphone afin de vous informer sur nos produits et services, nos actualités et nos o"&amp;"ffres. Nous ne vous enverrons cependant aucun message marketing non sollicité ni aucun spam et nous mettrons tout en œuvre pour garantir la protection de vos droits et le respect de nos obligations en vertu du RGPD et de la directive européenne sur la pro"&amp;"tection des données à caractère personnel et la vie privée dans le secteur des communications électroniques (directive CE) de 2003.")</f>
        <v>Avec votre accord et/ou lorsque la loi le permet, nous pouvons également utiliser vos données à des fins de marketing, notamment pour vous contacter par e-mail et/ou par téléphone afin de vous informer sur nos produits et services, nos actualités et nos offres. Nous ne vous enverrons cependant aucun message marketing non sollicité ni aucun spam et nous mettrons tout en œuvre pour garantir la protection de vos droits et le respect de nos obligations en vertu du RGPD et de la directive européenne sur la protection des données à caractère personnel et la vie privée dans le secteur des communications électroniques (directive CE) de 2003.</v>
      </c>
    </row>
    <row r="25" spans="1:2">
      <c r="A25" s="3" t="s">
        <v>983</v>
      </c>
      <c r="B25" s="3" t="str">
        <f ca="1">IFERROR(__xludf.DUMMYFUNCTION("IF(ISBLANK(A25),"""",GOOGLETRANSLATE(A25,""en"",""fr""))"),"Vous avez le droit de retirer votre consentement à l'utilisation de vos données personnelles à tout moment et de demander leur suppression. Pour ce faire, utilisez les coordonnées fournies dans la présente Politique de confidentialité.")</f>
        <v>Vous avez le droit de retirer votre consentement à l'utilisation de vos données personnelles à tout moment et de demander leur suppression. Pour ce faire, utilisez les coordonnées fournies dans la présente Politique de confidentialité.</v>
      </c>
    </row>
    <row r="26" spans="1:2">
      <c r="A26" s="3" t="s">
        <v>984</v>
      </c>
      <c r="B26" s="3" t="str">
        <f ca="1">IFERROR(__xludf.DUMMYFUNCTION("IF(ISBLANK(A26),"""",GOOGLETRANSLATE(A26,""en"",""fr""))"),"Combien de temps conservons-nous vos données ?")</f>
        <v>Combien de temps conservons-nous vos données ?</v>
      </c>
    </row>
    <row r="27" spans="1:2">
      <c r="A27" s="3" t="s">
        <v>985</v>
      </c>
      <c r="B27" s="3" t="str">
        <f ca="1">IFERROR(__xludf.DUMMYFUNCTION("IF(ISBLANK(A27),"""",GOOGLETRANSLATE(A27,""en"",""fr""))"),"Nous ne conservons pas vos données personnelles plus longtemps que nécessaire au regard des finalités pour lesquelles elles ont été collectées. Elles seront donc conservées pendant deux ans après leur dernière utilisation.")</f>
        <v>Nous ne conservons pas vos données personnelles plus longtemps que nécessaire au regard des finalités pour lesquelles elles ont été collectées. Elles seront donc conservées pendant deux ans après leur dernière utilisation.</v>
      </c>
    </row>
    <row r="28" spans="1:2">
      <c r="A28" s="3" t="s">
        <v>986</v>
      </c>
      <c r="B28" s="3" t="str">
        <f ca="1">IFERROR(__xludf.DUMMYFUNCTION("IF(ISBLANK(A28),"""",GOOGLETRANSLATE(A28,""en"",""fr""))"),"Si vous avez postulé pour un emploi chez nous :")</f>
        <v>Si vous avez postulé pour un emploi chez nous :</v>
      </c>
    </row>
    <row r="29" spans="1:2">
      <c r="A29" s="3" t="s">
        <v>987</v>
      </c>
      <c r="B29" s="3" t="str">
        <f ca="1">IFERROR(__xludf.DUMMYFUNCTION("IF(ISBLANK(A29),"""",GOOGLETRANSLATE(A29,""en"",""fr""))"),"Si votre candidature n'a pas été retenue, nous conserverons les données de votre candidature pendant 8 mois à compter de la date de la décision et nous pourrons vous contacter pendant cette période pour vous fournir des informations sur les postes concern"&amp;"és. Passé ce délai, nous supprimerons vos informations.")</f>
        <v>Si votre candidature n'a pas été retenue, nous conserverons les données de votre candidature pendant 8 mois à compter de la date de la décision et nous pourrons vous contacter pendant cette période pour vous fournir des informations sur les postes concernés. Passé ce délai, nous supprimerons vos informations.</v>
      </c>
    </row>
    <row r="30" spans="1:2">
      <c r="A30" s="3" t="s">
        <v>988</v>
      </c>
      <c r="B30" s="3" t="str">
        <f ca="1">IFERROR(__xludf.DUMMYFUNCTION("IF(ISBLANK(A30),"""",GOOGLETRANSLATE(A30,""en"",""fr""))"),"Si vous devenez employé(e) chez NETSOL, les données que nous recueillons vous concernant seront intégrées à votre dossier d'employé(e). Nous vous informerons, durant votre période d'emploi, des durées de conservation de vos données après votre départ.")</f>
        <v>Si vous devenez employé(e) chez NETSOL, les données que nous recueillons vous concernant seront intégrées à votre dossier d'employé(e). Nous vous informerons, durant votre période d'emploi, des durées de conservation de vos données après votre départ.</v>
      </c>
    </row>
    <row r="31" spans="1:2">
      <c r="A31" s="3" t="s">
        <v>989</v>
      </c>
      <c r="B31" s="3" t="str">
        <f ca="1">IFERROR(__xludf.DUMMYFUNCTION("IF(ISBLANK(A31),"""",GOOGLETRANSLATE(A31,""en"",""fr""))"),"Comment et où stockons-nous vos données ?")</f>
        <v>Comment et où stockons-nous vos données ?</v>
      </c>
    </row>
    <row r="32" spans="1:2">
      <c r="A32" s="3" t="s">
        <v>990</v>
      </c>
      <c r="B32" s="3" t="str">
        <f ca="1">IFERROR(__xludf.DUMMYFUNCTION("IF(ISBLANK(A32),"""",GOOGLETRANSLATE(A32,""en"",""fr""))"),"Nous conservons vos données personnelles uniquement aussi longtemps que nécessaire pour les utiliser comme décrit ci-dessus et/ou aussi longtemps que nous avons votre autorisation de les conserver.")</f>
        <v>Nous conservons vos données personnelles uniquement aussi longtemps que nécessaire pour les utiliser comme décrit ci-dessus et/ou aussi longtemps que nous avons votre autorisation de les conserver.</v>
      </c>
    </row>
    <row r="33" spans="1:2">
      <c r="A33" s="3" t="s">
        <v>991</v>
      </c>
      <c r="B33" s="3" t="str">
        <f ca="1">IFERROR(__xludf.DUMMYFUNCTION("IF(ISBLANK(A33),"""",GOOGLETRANSLATE(A33,""en"",""fr""))"),"Vos données, en tout ou en partie, peuvent être stockées en dehors de l'Espace économique européen (« EEE ») (l'EEE comprend tous les États membres de l'UE, ainsi que la Norvège, l'Islande et le Liechtenstein). En utilisant notre site et en nous soumettan"&amp;"t des informations, vous acceptez ce transfert. Si nous stockons des données en dehors de l'EEE, nous prendrons toutes les mesures raisonnables pour garantir que vos données sont traitées avec le même niveau de sécurité et de confidentialité qu'au Royaume"&amp;"-Uni et conformément au RGPD, notamment en faisant appel à des fournisseurs conformes au RGPD pour le traitement et le stockage des données personnelles.")</f>
        <v>Vos données, en tout ou en partie, peuvent être stockées en dehors de l'Espace économique européen (« EEE ») (l'EEE comprend tous les États membres de l'UE, ainsi que la Norvège, l'Islande et le Liechtenstein). En utilisant notre site et en nous soumettant des informations, vous acceptez ce transfert. Si nous stockons des données en dehors de l'EEE, nous prendrons toutes les mesures raisonnables pour garantir que vos données sont traitées avec le même niveau de sécurité et de confidentialité qu'au Royaume-Uni et conformément au RGPD, notamment en faisant appel à des fournisseurs conformes au RGPD pour le traitement et le stockage des données personnelles.</v>
      </c>
    </row>
    <row r="34" spans="1:2">
      <c r="A34" s="3" t="s">
        <v>992</v>
      </c>
      <c r="B34" s="3" t="str">
        <f ca="1">IFERROR(__xludf.DUMMYFUNCTION("IF(ISBLANK(A34),"""",GOOGLETRANSLATE(A34,""en"",""fr""))"),"Partageons-nous vos données ?")</f>
        <v>Partageons-nous vos données ?</v>
      </c>
    </row>
    <row r="35" spans="1:2">
      <c r="A35" s="3" t="s">
        <v>993</v>
      </c>
      <c r="B35" s="3" t="str">
        <f ca="1">IFERROR(__xludf.DUMMYFUNCTION("IF(ISBLANK(A35),"""",GOOGLETRANSLATE(A35,""en"",""fr""))"),"Chez NETSOL, nous prenons votre vie privée très au sérieux et les informations que nous détenons à votre sujet sont confidentielles. Nous pouvons partager vos informations avec d'autres sociétés de notre groupe afin de vous fournir nos produits et service"&amp;"s, de gérer votre compte et de contrôler l'utilisation de nos produits et services. Cela inclut notre société mère et ses filiales.")</f>
        <v>Chez NETSOL, nous prenons votre vie privée très au sérieux et les informations que nous détenons à votre sujet sont confidentielles. Nous pouvons partager vos informations avec d'autres sociétés de notre groupe afin de vous fournir nos produits et services, de gérer votre compte et de contrôler l'utilisation de nos produits et services. Cela inclut notre société mère et ses filiales.</v>
      </c>
    </row>
    <row r="36" spans="1:2">
      <c r="A36" s="3" t="s">
        <v>994</v>
      </c>
      <c r="B36" s="3" t="str">
        <f ca="1">IFERROR(__xludf.DUMMYFUNCTION("IF(ISBLANK(A36),"""",GOOGLETRANSLATE(A36,""en"",""fr""))"),"Nous pouvons parfois conclure des contrats avec des tiers pour vous fournir des produits et services en notre nom. Ces contrats peuvent inclure le traitement des paiements, la livraison de marchandises, les fonctionnalités des moteurs de recherche, la pub"&amp;"licité et le marketing. Dans certains cas, ces tiers peuvent avoir besoin d'accéder à tout ou partie de vos données. Si vos données sont requises à cette fin, nous prendrons toutes les mesures raisonnables pour garantir qu'elles seront traitées de manière"&amp;" sécurisée et conforme à vos droits, à nos obligations et à celles du tiers en vertu de la loi.")</f>
        <v>Nous pouvons parfois conclure des contrats avec des tiers pour vous fournir des produits et services en notre nom. Ces contrats peuvent inclure le traitement des paiements, la livraison de marchandises, les fonctionnalités des moteurs de recherche, la publicité et le marketing. Dans certains cas, ces tiers peuvent avoir besoin d'accéder à tout ou partie de vos données. Si vos données sont requises à cette fin, nous prendrons toutes les mesures raisonnables pour garantir qu'elles seront traitées de manière sécurisée et conforme à vos droits, à nos obligations et à celles du tiers en vertu de la loi.</v>
      </c>
    </row>
    <row r="37" spans="1:2">
      <c r="A37" s="3" t="s">
        <v>995</v>
      </c>
      <c r="B37" s="3" t="str">
        <f ca="1">IFERROR(__xludf.DUMMYFUNCTION("IF(ISBLANK(A37),"""",GOOGLETRANSLATE(A37,""en"",""fr""))"),"Nous sommes susceptibles de compiler des statistiques sur l'utilisation de notre site, notamment des données sur le trafic, les habitudes d'utilisation, le nombre d'utilisateurs, les ventes et d'autres informations. Toutes ces données seront anonymisées e"&amp;"t ne contiendront aucune donnée personnelle identifiable, ni aucune donnée anonymisée susceptible d'être combinée à d'autres données et utilisée pour vous identifier. Nous pouvons ponctuellement partager ces données avec des tiers tels que des investisseu"&amp;"rs potentiels, des sociétés affiliées, des partenaires et des annonceurs. Ces données ne seront partagées et utilisées que dans le cadre de la loi.")</f>
        <v>Nous sommes susceptibles de compiler des statistiques sur l'utilisation de notre site, notamment des données sur le trafic, les habitudes d'utilisation, le nombre d'utilisateurs, les ventes et d'autres informations. Toutes ces données seront anonymisées et ne contiendront aucune donnée personnelle identifiable, ni aucune donnée anonymisée susceptible d'être combinée à d'autres données et utilisée pour vous identifier. Nous pouvons ponctuellement partager ces données avec des tiers tels que des investisseurs potentiels, des sociétés affiliées, des partenaires et des annonceurs. Ces données ne seront partagées et utilisées que dans le cadre de la loi.</v>
      </c>
    </row>
    <row r="38" spans="1:2">
      <c r="A38" s="3" t="s">
        <v>996</v>
      </c>
      <c r="B38" s="3" t="str">
        <f ca="1">IFERROR(__xludf.DUMMYFUNCTION("IF(ISBLANK(A38),"""",GOOGLETRANSLATE(A38,""en"",""fr""))"),"Il peut nous arriver de faire appel à des sous-traitants situés en dehors de l’Espace économique européen (« EEE ») (l’EEE comprend tous les États membres de l’UE, ainsi que la Norvège, l’Islande et le Liechtenstein). Lorsque nous transférons des données "&amp;"personnelles hors de l’EEE, nous prenons toutes les mesures raisonnables pour garantir que vos données sont traitées avec le même niveau de sécurité et de confidentialité qu’au Royaume-Uni et conformément au RGPD.")</f>
        <v>Il peut nous arriver de faire appel à des sous-traitants situés en dehors de l’Espace économique européen (« EEE ») (l’EEE comprend tous les États membres de l’UE, ainsi que la Norvège, l’Islande et le Liechtenstein). Lorsque nous transférons des données personnelles hors de l’EEE, nous prenons toutes les mesures raisonnables pour garantir que vos données sont traitées avec le même niveau de sécurité et de confidentialité qu’au Royaume-Uni et conformément au RGPD.</v>
      </c>
    </row>
    <row r="39" spans="1:2">
      <c r="A39" s="3" t="s">
        <v>997</v>
      </c>
      <c r="B39" s="3" t="str">
        <f ca="1">IFERROR(__xludf.DUMMYFUNCTION("IF(ISBLANK(A39),"""",GOOGLETRANSLATE(A39,""en"",""fr""))"),"Dans certaines circonstances, nous pouvons être légalement tenus de partager certaines données que nous détenons, qui peuvent inclure vos données personnelles, par exemple, lorsque nous sommes impliqués dans une procédure judiciaire, lorsque nous nous con"&amp;"formons à des exigences légales, à une ordonnance d'un tribunal ou à une autorité gouvernementale.")</f>
        <v>Dans certaines circonstances, nous pouvons être légalement tenus de partager certaines données que nous détenons, qui peuvent inclure vos données personnelles, par exemple, lorsque nous sommes impliqués dans une procédure judiciaire, lorsque nous nous conformons à des exigences légales, à une ordonnance d'un tribunal ou à une autorité gouvernementale.</v>
      </c>
    </row>
    <row r="40" spans="1:2">
      <c r="A40" s="3" t="s">
        <v>998</v>
      </c>
      <c r="B40" s="3" t="str">
        <f ca="1">IFERROR(__xludf.DUMMYFUNCTION("IF(ISBLANK(A40),"""",GOOGLETRANSLATE(A40,""en"",""fr""))"),"Liens vers d'autres sites Web")</f>
        <v>Liens vers d'autres sites Web</v>
      </c>
    </row>
    <row r="41" spans="1:2">
      <c r="A41" s="3" t="s">
        <v>999</v>
      </c>
      <c r="B41" s="3" t="str">
        <f ca="1">IFERROR(__xludf.DUMMYFUNCTION("IF(ISBLANK(A41),"""",GOOGLETRANSLATE(A41,""en"",""fr""))"),"Veuillez noter que cette politique de confidentialité des données s'applique uniquement à NETSOL Technologies Ltd. Si vous suivez un lien vers un autre site à partir de celui-ci, nous ne sommes pas responsables de la sécurité des informations que vous y f"&amp;"ournissez. Il vous incombe de consulter et de respecter les politiques de confidentialité de ces sites tiers afin de garantir leur conformité aux exigences de protection des données.")</f>
        <v>Veuillez noter que cette politique de confidentialité des données s'applique uniquement à NETSOL Technologies Ltd. Si vous suivez un lien vers un autre site à partir de celui-ci, nous ne sommes pas responsables de la sécurité des informations que vous y fournissez. Il vous incombe de consulter et de respecter les politiques de confidentialité de ces sites tiers afin de garantir leur conformité aux exigences de protection des données.</v>
      </c>
    </row>
    <row r="42" spans="1:2">
      <c r="A42" s="3" t="s">
        <v>1000</v>
      </c>
      <c r="B42" s="3" t="str">
        <f ca="1">IFERROR(__xludf.DUMMYFUNCTION("IF(ISBLANK(A42),"""",GOOGLETRANSLATE(A42,""en"",""fr""))"),"Que se passe-t-il si notre entreprise change de mains ?")</f>
        <v>Que se passe-t-il si notre entreprise change de mains ?</v>
      </c>
    </row>
    <row r="43" spans="1:2">
      <c r="A43" s="3" t="s">
        <v>1001</v>
      </c>
      <c r="B43" s="3" t="str">
        <f ca="1">IFERROR(__xludf.DUMMYFUNCTION("IF(ISBLANK(A43),"""",GOOGLETRANSLATE(A43,""en"",""fr""))"),"Nous pouvons être amenés, ponctuellement, à développer ou à réduire nos activités, ce qui peut impliquer la vente et/ou le transfert de contrôle de tout ou partie de notre entreprise. Le cas échéant, les données personnelles que vous nous avez fournies se"&amp;"ront transférées avec la partie de l'entreprise concernée. Le nouveau propriétaire ou la nouvelle entité qui en prend le contrôle sera autorisé, conformément à la présente Politique de confidentialité, à utiliser ces données uniquement aux mêmes fins que "&amp;"celles pour lesquelles elles ont été initialement collectées par nos soins.")</f>
        <v>Nous pouvons être amenés, ponctuellement, à développer ou à réduire nos activités, ce qui peut impliquer la vente et/ou le transfert de contrôle de tout ou partie de notre entreprise. Le cas échéant, les données personnelles que vous nous avez fournies seront transférées avec la partie de l'entreprise concernée. Le nouveau propriétaire ou la nouvelle entité qui en prend le contrôle sera autorisé, conformément à la présente Politique de confidentialité, à utiliser ces données uniquement aux mêmes fins que celles pour lesquelles elles ont été initialement collectées par nos soins.</v>
      </c>
    </row>
    <row r="44" spans="1:2">
      <c r="A44" s="3" t="s">
        <v>1002</v>
      </c>
      <c r="B44" s="3" t="str">
        <f ca="1">IFERROR(__xludf.DUMMYFUNCTION("IF(ISBLANK(A44),"""",GOOGLETRANSLATE(A44,""en"",""fr""))"),"Dans le cas où certaines de vos données devraient être transférées de cette manière, vous ne serez pas contacté au préalable.")</f>
        <v>Dans le cas où certaines de vos données devraient être transférées de cette manière, vous ne serez pas contacté au préalable.</v>
      </c>
    </row>
    <row r="45" spans="1:2">
      <c r="A45" s="3" t="s">
        <v>1003</v>
      </c>
      <c r="B45" s="3" t="str">
        <f ca="1">IFERROR(__xludf.DUMMYFUNCTION("IF(ISBLANK(A45),"""",GOOGLETRANSLATE(A45,""en"",""fr""))"),"Vos droits et comment nous contacter :")</f>
        <v>Vos droits et comment nous contacter :</v>
      </c>
    </row>
    <row r="46" spans="1:2">
      <c r="A46" s="3" t="s">
        <v>1004</v>
      </c>
      <c r="B46" s="3" t="str">
        <f ca="1">IFERROR(__xludf.DUMMYFUNCTION("IF(ISBLANK(A46),"""",GOOGLETRANSLATE(A46,""en"",""fr""))"),"En tant que personne concernée au sein de l'UE, vous disposez des droits suivants en vertu du RGPD, que cette politique et notre utilisation des données personnelles ont été conçues pour respecter :")</f>
        <v>En tant que personne concernée au sein de l'UE, vous disposez des droits suivants en vertu du RGPD, que cette politique et notre utilisation des données personnelles ont été conçues pour respecter :</v>
      </c>
    </row>
    <row r="47" spans="1:2">
      <c r="A47" s="3" t="s">
        <v>1005</v>
      </c>
      <c r="B47" s="3" t="str">
        <f ca="1">IFERROR(__xludf.DUMMYFUNCTION("IF(ISBLANK(A47),"""",GOOGLETRANSLATE(A47,""en"",""fr""))"),"Le droit d'être informé sur notre collecte et notre utilisation des données personnelles")</f>
        <v>Le droit d'être informé sur notre collecte et notre utilisation des données personnelles</v>
      </c>
    </row>
    <row r="48" spans="1:2">
      <c r="A48" s="3" t="s">
        <v>1006</v>
      </c>
      <c r="B48" s="3" t="str">
        <f ca="1">IFERROR(__xludf.DUMMYFUNCTION("IF(ISBLANK(A48),"""",GOOGLETRANSLATE(A48,""en"",""fr""))"),"Le droit d’accès aux données personnelles que nous détenons à votre sujet.")</f>
        <v>Le droit d’accès aux données personnelles que nous détenons à votre sujet.</v>
      </c>
    </row>
    <row r="49" spans="1:2">
      <c r="A49" s="3" t="s">
        <v>1007</v>
      </c>
      <c r="B49" s="3" t="str">
        <f ca="1">IFERROR(__xludf.DUMMYFUNCTION("IF(ISBLANK(A49),"""",GOOGLETRANSLATE(A49,""en"",""fr""))"),"Le droit de rectification si les données personnelles que nous détenons à votre sujet sont inexactes ou incomplètes.")</f>
        <v>Le droit de rectification si les données personnelles que nous détenons à votre sujet sont inexactes ou incomplètes.</v>
      </c>
    </row>
    <row r="50" spans="1:2">
      <c r="A50" s="3" t="s">
        <v>1008</v>
      </c>
      <c r="B50" s="3" t="str">
        <f ca="1">IFERROR(__xludf.DUMMYFUNCTION("IF(ISBLANK(A50),"""",GOOGLETRANSLATE(A50,""en"",""fr""))"),"Le droit à l’oubli – c’est-à-dire le droit de nous demander de supprimer toutes les données personnelles que nous détenons à votre sujet (nous ne conservons vos données personnelles que pendant une durée limitée, comme expliqué dans cette politique, mais "&amp;"si vous souhaitez que nous les supprimions plus tôt, veuillez nous contacter).")</f>
        <v>Le droit à l’oubli – c’est-à-dire le droit de nous demander de supprimer toutes les données personnelles que nous détenons à votre sujet (nous ne conservons vos données personnelles que pendant une durée limitée, comme expliqué dans cette politique, mais si vous souhaitez que nous les supprimions plus tôt, veuillez nous contacter).</v>
      </c>
    </row>
    <row r="51" spans="1:2">
      <c r="A51" s="3" t="s">
        <v>1009</v>
      </c>
      <c r="B51" s="3" t="str">
        <f ca="1">IFERROR(__xludf.DUMMYFUNCTION("IF(ISBLANK(A51),"""",GOOGLETRANSLATE(A51,""en"",""fr""))"),"Le droit de restreindre (c’est-à-dire d’empêcher) le traitement de vos données personnelles.")</f>
        <v>Le droit de restreindre (c’est-à-dire d’empêcher) le traitement de vos données personnelles.</v>
      </c>
    </row>
    <row r="52" spans="1:2">
      <c r="A52" s="3" t="s">
        <v>1010</v>
      </c>
      <c r="B52" s="3" t="str">
        <f ca="1">IFERROR(__xludf.DUMMYFUNCTION("IF(ISBLANK(A52),"""",GOOGLETRANSLATE(A52,""en"",""fr""))"),"Le droit à la portabilité des données (obtenir une copie de vos données personnelles pour les réutiliser avec un autre service ou organisation).")</f>
        <v>Le droit à la portabilité des données (obtenir une copie de vos données personnelles pour les réutiliser avec un autre service ou organisation).</v>
      </c>
    </row>
    <row r="53" spans="1:2">
      <c r="A53" s="3" t="s">
        <v>1011</v>
      </c>
      <c r="B53" s="3" t="str">
        <f ca="1">IFERROR(__xludf.DUMMYFUNCTION("IF(ISBLANK(A53),"""",GOOGLETRANSLATE(A53,""en"",""fr""))"),"Le droit de vous opposer à ce que nous utilisions vos données personnelles à des fins particulières et les droits relatifs à la prise de décision automatisée et au profilage.")</f>
        <v>Le droit de vous opposer à ce que nous utilisions vos données personnelles à des fins particulières et les droits relatifs à la prise de décision automatisée et au profilage.</v>
      </c>
    </row>
    <row r="54" spans="1:2">
      <c r="A54" s="3" t="s">
        <v>1012</v>
      </c>
      <c r="B54" s="3" t="str">
        <f ca="1">IFERROR(__xludf.DUMMYFUNCTION("IF(ISBLANK(A54),"""",GOOGLETRANSLATE(A54,""en"",""fr""))"),"Vous pouvez exercer chacun de ces droits en contactant notre représentante RGPD pour l'UE, Joanne Hope :")</f>
        <v>Vous pouvez exercer chacun de ces droits en contactant notre représentante RGPD pour l'UE, Joanne Hope :</v>
      </c>
    </row>
    <row r="55" spans="1:2">
      <c r="A55" s="3" t="s">
        <v>1013</v>
      </c>
      <c r="B55" s="3" t="str">
        <f ca="1">IFERROR(__xludf.DUMMYFUNCTION("IF(ISBLANK(A55),"""",GOOGLETRANSLATE(A55,""en"",""fr""))"),"Tél. : 01403 282300 E-mail : nte.dpo@netsoltech.com Courrier : Planet House, North Heath Lane, Hosham, RH125QE")</f>
        <v>Tél. : 01403 282300 E-mail : nte.dpo@netsoltech.com Courrier : Planet House, North Heath Lane, Hosham, RH125QE</v>
      </c>
    </row>
    <row r="56" spans="1:2">
      <c r="A56" s="3" t="s">
        <v>1014</v>
      </c>
      <c r="B56" s="3" t="str">
        <f ca="1">IFERROR(__xludf.DUMMYFUNCTION("IF(ISBLANK(A56),"""",GOOGLETRANSLATE(A56,""en"",""fr""))"),"Nous répondrons à votre demande sans délai et au plus tard dans un délai d'un mois à compter de sa réception.")</f>
        <v>Nous répondrons à votre demande sans délai et au plus tard dans un délai d'un mois à compter de sa réception.</v>
      </c>
    </row>
    <row r="57" spans="1:2">
      <c r="A57" s="3" t="s">
        <v>1015</v>
      </c>
      <c r="B57" s="3" t="str">
        <f ca="1">IFERROR(__xludf.DUMMYFUNCTION("IF(ISBLANK(A57),"""",GOOGLETRANSLATE(A57,""en"",""fr""))"),"Vous pouvez utiliser les mêmes coordonnées si vous avez une réclamation à formuler concernant notre utilisation de vos données personnelles. Nous mettrons tout en œuvre pour résoudre votre problème. Si nous ne sommes pas en mesure de vous aider, vous avez"&amp;" également le droit de déposer une plainte auprès de l'autorité de contrôle britannique, le Bureau du commissaire à l'information (Information Commissioner’s Office) : https://ico.org.uk. Pour plus d'informations sur vos droits, veuillez contacter le Bure"&amp;"au du commissaire à l'information ou votre centre de conseils aux citoyens local.")</f>
        <v>Vous pouvez utiliser les mêmes coordonnées si vous avez une réclamation à formuler concernant notre utilisation de vos données personnelles. Nous mettrons tout en œuvre pour résoudre votre problème. Si nous ne sommes pas en mesure de vous aider, vous avez également le droit de déposer une plainte auprès de l'autorité de contrôle britannique, le Bureau du commissaire à l'information (Information Commissioner’s Office) : https://ico.org.uk. Pour plus d'informations sur vos droits, veuillez contacter le Bureau du commissaire à l'information ou votre centre de conseils aux citoyens local.</v>
      </c>
    </row>
    <row r="58" spans="1:2">
      <c r="A58" s="3" t="s">
        <v>1016</v>
      </c>
      <c r="B58" s="3" t="str">
        <f ca="1">IFERROR(__xludf.DUMMYFUNCTION("IF(ISBLANK(A58),"""",GOOGLETRANSLATE(A58,""en"",""fr""))"),"Comment pouvez-vous contrôler vos données ?")</f>
        <v>Comment pouvez-vous contrôler vos données ?</v>
      </c>
    </row>
    <row r="59" spans="1:2">
      <c r="A59" s="3" t="s">
        <v>1017</v>
      </c>
      <c r="B59" s="3" t="str">
        <f ca="1">IFERROR(__xludf.DUMMYFUNCTION("IF(ISBLANK(A59),"""",GOOGLETRANSLATE(A59,""en"",""fr""))"),"Lorsque vous soumettez des données personnelles via notre site, vous pouvez choisir de limiter leur utilisation. Nous souhaitons notamment vous offrir un contrôle optimal sur l'utilisation de vos données à des fins de marketing direct (y compris la possib"&amp;"ilité de vous désinscrire de nos e-mails en cliquant sur les liens de désabonnement présents dans nos e-mails et au moment de la saisie de vos coordonnées).")</f>
        <v>Lorsque vous soumettez des données personnelles via notre site, vous pouvez choisir de limiter leur utilisation. Nous souhaitons notamment vous offrir un contrôle optimal sur l'utilisation de vos données à des fins de marketing direct (y compris la possibilité de vous désinscrire de nos e-mails en cliquant sur les liens de désabonnement présents dans nos e-mails et au moment de la saisie de vos coordonnées).</v>
      </c>
    </row>
    <row r="60" spans="1:2">
      <c r="A60" s="3" t="s">
        <v>1018</v>
      </c>
      <c r="B60" s="3" t="str">
        <f ca="1">IFERROR(__xludf.DUMMYFUNCTION("IF(ISBLANK(A60),"""",GOOGLETRANSLATE(A60,""en"",""fr""))"),"Vous pouvez également vous inscrire à un ou plusieurs services de préférence en vigueur au Royaume-Uni : le Service de préférence téléphonique (« TPS »), le Service de préférence téléphonique d'entreprise (« CTPS ») et le Service de préférence postale (« "&amp;"MPS »). Ces services peuvent vous aider à éviter de recevoir des communications marketing non sollicitées. Veuillez noter, cependant, que ces services ne vous empêcheront pas de recevoir les communications marketing auxquelles vous avez consenti.")</f>
        <v>Vous pouvez également vous inscrire à un ou plusieurs services de préférence en vigueur au Royaume-Uni : le Service de préférence téléphonique (« TPS »), le Service de préférence téléphonique d'entreprise (« CTPS ») et le Service de préférence postale (« MPS »). Ces services peuvent vous aider à éviter de recevoir des communications marketing non sollicitées. Veuillez noter, cependant, que ces services ne vous empêcheront pas de recevoir les communications marketing auxquelles vous avez consenti.</v>
      </c>
    </row>
    <row r="61" spans="1:2">
      <c r="A61" s="3" t="s">
        <v>1019</v>
      </c>
      <c r="B61" s="3" t="str">
        <f ca="1">IFERROR(__xludf.DUMMYFUNCTION("IF(ISBLANK(A61),"""",GOOGLETRANSLATE(A61,""en"",""fr""))"),"Comment pouvez-vous accéder à vos données ?")</f>
        <v>Comment pouvez-vous accéder à vos données ?</v>
      </c>
    </row>
    <row r="62" spans="1:2">
      <c r="A62" s="3" t="s">
        <v>1020</v>
      </c>
      <c r="B62" s="3" t="str">
        <f ca="1">IFERROR(__xludf.DUMMYFUNCTION("IF(ISBLANK(A62),"""",GOOGLETRANSLATE(A62,""en"",""fr""))"),"Vous avez le droit de demander une copie de vos données personnelles que nous détenons (le cas échéant). Conformément au RGPD, nous vous fournirons gratuitement toutes les informations nécessaires en réponse à votre demande. Veuillez nous contacter aux co"&amp;"ordonnées indiquées dans la présente politique de confidentialité.")</f>
        <v>Vous avez le droit de demander une copie de vos données personnelles que nous détenons (le cas échéant). Conformément au RGPD, nous vous fournirons gratuitement toutes les informations nécessaires en réponse à votre demande. Veuillez nous contacter aux coordonnées indiquées dans la présente politique de confidentialité.</v>
      </c>
    </row>
    <row r="63" spans="1:2">
      <c r="A63" s="3" t="s">
        <v>1021</v>
      </c>
      <c r="B63" s="3" t="str">
        <f ca="1">IFERROR(__xludf.DUMMYFUNCTION("IF(ISBLANK(A63),"""",GOOGLETRANSLATE(A63,""en"",""fr""))"),"Votre droit de refuser de divulguer des informations")</f>
        <v>Votre droit de refuser de divulguer des informations</v>
      </c>
    </row>
    <row r="64" spans="1:2">
      <c r="A64" s="3" t="s">
        <v>1022</v>
      </c>
      <c r="B64" s="3" t="str">
        <f ca="1">IFERROR(__xludf.DUMMYFUNCTION("IF(ISBLANK(A64),"""",GOOGLETRANSLATE(A64,""en"",""fr""))"),"Vous pouvez accéder à notre site sans fournir aucune donnée. Cependant, pour utiliser toutes les fonctionnalités disponibles, vous devrez peut-être fournir ou autoriser la collecte de certaines données.")</f>
        <v>Vous pouvez accéder à notre site sans fournir aucune donnée. Cependant, pour utiliser toutes les fonctionnalités disponibles, vous devrez peut-être fournir ou autoriser la collecte de certaines données.</v>
      </c>
    </row>
    <row r="65" spans="1:2">
      <c r="A65" s="3" t="s">
        <v>1023</v>
      </c>
      <c r="B65" s="3" t="str">
        <f ca="1">IFERROR(__xludf.DUMMYFUNCTION("IF(ISBLANK(A65),"""",GOOGLETRANSLATE(A65,""en"",""fr""))"),"Vous pouvez restreindre notre utilisation des cookies. Pour plus d'informations, consultez notre Politique relative aux cookies.")</f>
        <v>Vous pouvez restreindre notre utilisation des cookies. Pour plus d'informations, consultez notre Politique relative aux cookies.</v>
      </c>
    </row>
    <row r="66" spans="1:2">
      <c r="A66" s="3" t="s">
        <v>1024</v>
      </c>
      <c r="B66" s="3" t="str">
        <f ca="1">IFERROR(__xludf.DUMMYFUNCTION("IF(ISBLANK(A66),"""",GOOGLETRANSLATE(A66,""en"",""fr""))"),"Modifications apportées à notre politique de confidentialité")</f>
        <v>Modifications apportées à notre politique de confidentialité</v>
      </c>
    </row>
    <row r="67" spans="1:2">
      <c r="A67" s="3" t="s">
        <v>1025</v>
      </c>
      <c r="B67" s="3" t="str">
        <f ca="1">IFERROR(__xludf.DUMMYFUNCTION("IF(ISBLANK(A67),"""",GOOGLETRANSLATE(A67,""en"",""fr""))"),"Nous sommes susceptibles de modifier cette Politique de confidentialité de temps à autre (par exemple, en cas de modification de la législation). Toute modification sera immédiatement publiée sur notre site et vous serez réputé avoir accepté les termes de"&amp;" la Politique de confidentialité dès votre première utilisation de notre site après les modifications. Nous vous recommandons de consulter régulièrement cette page pour vous tenir informé(e).")</f>
        <v>Nous sommes susceptibles de modifier cette Politique de confidentialité de temps à autre (par exemple, en cas de modification de la législation). Toute modification sera immédiatement publiée sur notre site et vous serez réputé avoir accepté les termes de la Politique de confidentialité dès votre première utilisation de notre site après les modifications. Nous vous recommandons de consulter régulièrement cette page pour vous tenir informé(e).</v>
      </c>
    </row>
    <row r="68" spans="1:2">
      <c r="A68" s="3" t="s">
        <v>1026</v>
      </c>
      <c r="B68" s="3" t="str">
        <f ca="1">IFERROR(__xludf.DUMMYFUNCTION("IF(ISBLANK(A68),"""",GOOGLETRANSLATE(A68,""en"",""fr""))"),"Avis de confidentialité pour les résidents de Californie")</f>
        <v>Avis de confidentialité pour les résidents de Californie</v>
      </c>
    </row>
    <row r="69" spans="1:2">
      <c r="A69" s="3" t="s">
        <v>1027</v>
      </c>
      <c r="B69" s="3" t="str">
        <f ca="1">IFERROR(__xludf.DUMMYFUNCTION("IF(ISBLANK(A69),"""",GOOGLETRANSLATE(A69,""en"",""fr""))"),"Veuillez consulter l'avis de confidentialité de Netsol Technologies pour les résidents de Californie sur Privacy-policy-CR")</f>
        <v>Veuillez consulter l'avis de confidentialité de Netsol Technologies pour les résidents de Californie sur Privacy-policy-CR</v>
      </c>
    </row>
    <row r="70" spans="1:2">
      <c r="A70" s="3" t="s">
        <v>1028</v>
      </c>
      <c r="B70" s="3" t="str">
        <f ca="1">IFERROR(__xludf.DUMMYFUNCTION("IF(ISBLANK(A70),"""",GOOGLETRANSLATE(A70,""en"",""fr""))"),"Lorsque vous visitez ou vous connectez à notre site web, des cookies et technologies similaires peuvent être utilisés par nos partenaires ou fournisseurs de données en ligne pour associer ces activités à d'autres informations personnelles vous concernant,"&amp;" notamment votre adresse e-mail ou votre adresse personnelle. Nous (ou nos prestataires de services) pouvons alors envoyer des communications et des communications marketing à ces adresses e-mail ou personnelles. Vous pouvez vous désinscrire de ces public"&amp;"ités en visitant https://app.retention.com/optout")</f>
        <v>Lorsque vous visitez ou vous connectez à notre site web, des cookies et technologies similaires peuvent être utilisés par nos partenaires ou fournisseurs de données en ligne pour associer ces activités à d'autres informations personnelles vous concernant, notamment votre adresse e-mail ou votre adresse personnelle. Nous (ou nos prestataires de services) pouvons alors envoyer des communications et des communications marketing à ces adresses e-mail ou personnelles. Vous pouvez vous désinscrire de ces publicités en visitant https://app.retention.com/optout</v>
      </c>
    </row>
    <row r="71" spans="1:2">
      <c r="B71" s="3" t="str">
        <f ca="1">IFERROR(__xludf.DUMMYFUNCTION("IF(ISBLANK(A71),"""",GOOGLETRANSLATE(A71,""en"",""fr""))"),"")</f>
        <v/>
      </c>
    </row>
    <row r="72" spans="1:2">
      <c r="B72" s="3" t="str">
        <f ca="1">IFERROR(__xludf.DUMMYFUNCTION("IF(ISBLANK(A72),"""",GOOGLETRANSLATE(A72,""en"",""fr""))"),"")</f>
        <v/>
      </c>
    </row>
    <row r="73" spans="1:2">
      <c r="B73" s="3" t="str">
        <f ca="1">IFERROR(__xludf.DUMMYFUNCTION("IF(ISBLANK(A73),"""",GOOGLETRANSLATE(A73,""en"",""fr""))"),"")</f>
        <v/>
      </c>
    </row>
    <row r="74" spans="1:2">
      <c r="B74" s="3" t="str">
        <f ca="1">IFERROR(__xludf.DUMMYFUNCTION("IF(ISBLANK(A74),"""",GOOGLETRANSLATE(A74,""en"",""fr""))"),"")</f>
        <v/>
      </c>
    </row>
    <row r="75" spans="1:2">
      <c r="B75" s="3" t="str">
        <f ca="1">IFERROR(__xludf.DUMMYFUNCTION("IF(ISBLANK(A75),"""",GOOGLETRANSLATE(A75,""en"",""fr""))"),"")</f>
        <v/>
      </c>
    </row>
    <row r="76" spans="1:2">
      <c r="B76" s="3" t="str">
        <f ca="1">IFERROR(__xludf.DUMMYFUNCTION("IF(ISBLANK(A76),"""",GOOGLETRANSLATE(A76,""en"",""fr""))"),"")</f>
        <v/>
      </c>
    </row>
    <row r="77" spans="1:2">
      <c r="B77" s="3" t="str">
        <f ca="1">IFERROR(__xludf.DUMMYFUNCTION("IF(ISBLANK(A77),"""",GOOGLETRANSLATE(A77,""en"",""fr""))"),"")</f>
        <v/>
      </c>
    </row>
    <row r="78" spans="1:2">
      <c r="B78" s="3" t="str">
        <f ca="1">IFERROR(__xludf.DUMMYFUNCTION("IF(ISBLANK(A78),"""",GOOGLETRANSLATE(A78,""en"",""fr""))"),"")</f>
        <v/>
      </c>
    </row>
    <row r="79" spans="1:2">
      <c r="B79" s="3" t="str">
        <f ca="1">IFERROR(__xludf.DUMMYFUNCTION("IF(ISBLANK(A79),"""",GOOGLETRANSLATE(A79,""en"",""fr""))"),"")</f>
        <v/>
      </c>
    </row>
    <row r="80" spans="1:2">
      <c r="B80" s="3" t="str">
        <f ca="1">IFERROR(__xludf.DUMMYFUNCTION("IF(ISBLANK(A80),"""",GOOGLETRANSLATE(A80,""en"",""fr""))"),"")</f>
        <v/>
      </c>
    </row>
    <row r="81" spans="2:2">
      <c r="B81" s="3" t="str">
        <f ca="1">IFERROR(__xludf.DUMMYFUNCTION("IF(ISBLANK(A81),"""",GOOGLETRANSLATE(A81,""en"",""fr""))"),"")</f>
        <v/>
      </c>
    </row>
    <row r="82" spans="2:2">
      <c r="B82" s="3" t="str">
        <f ca="1">IFERROR(__xludf.DUMMYFUNCTION("IF(ISBLANK(A82),"""",GOOGLETRANSLATE(A82,""en"",""fr""))"),"")</f>
        <v/>
      </c>
    </row>
    <row r="83" spans="2:2">
      <c r="B83" s="3" t="str">
        <f ca="1">IFERROR(__xludf.DUMMYFUNCTION("IF(ISBLANK(A83),"""",GOOGLETRANSLATE(A83,""en"",""fr""))"),"")</f>
        <v/>
      </c>
    </row>
    <row r="84" spans="2:2">
      <c r="B84" s="3" t="str">
        <f ca="1">IFERROR(__xludf.DUMMYFUNCTION("IF(ISBLANK(A84),"""",GOOGLETRANSLATE(A84,""en"",""fr""))"),"")</f>
        <v/>
      </c>
    </row>
    <row r="85" spans="2:2">
      <c r="B85" s="3" t="str">
        <f ca="1">IFERROR(__xludf.DUMMYFUNCTION("IF(ISBLANK(A85),"""",GOOGLETRANSLATE(A85,""en"",""fr""))"),"")</f>
        <v/>
      </c>
    </row>
    <row r="86" spans="2:2">
      <c r="B86" s="3" t="str">
        <f ca="1">IFERROR(__xludf.DUMMYFUNCTION("IF(ISBLANK(A86),"""",GOOGLETRANSLATE(A86,""en"",""fr""))"),"")</f>
        <v/>
      </c>
    </row>
    <row r="87" spans="2:2">
      <c r="B87" s="3" t="str">
        <f ca="1">IFERROR(__xludf.DUMMYFUNCTION("IF(ISBLANK(A87),"""",GOOGLETRANSLATE(A87,""en"",""fr""))"),"")</f>
        <v/>
      </c>
    </row>
    <row r="88" spans="2:2">
      <c r="B88" s="3" t="str">
        <f ca="1">IFERROR(__xludf.DUMMYFUNCTION("IF(ISBLANK(A88),"""",GOOGLETRANSLATE(A88,""en"",""fr""))"),"")</f>
        <v/>
      </c>
    </row>
    <row r="89" spans="2:2">
      <c r="B89" s="3" t="str">
        <f ca="1">IFERROR(__xludf.DUMMYFUNCTION("IF(ISBLANK(A89),"""",GOOGLETRANSLATE(A89,""en"",""fr""))"),"")</f>
        <v/>
      </c>
    </row>
    <row r="90" spans="2:2">
      <c r="B90" s="3" t="str">
        <f ca="1">IFERROR(__xludf.DUMMYFUNCTION("IF(ISBLANK(A90),"""",GOOGLETRANSLATE(A90,""en"",""fr""))"),"")</f>
        <v/>
      </c>
    </row>
    <row r="91" spans="2:2">
      <c r="B91" s="3" t="str">
        <f ca="1">IFERROR(__xludf.DUMMYFUNCTION("IF(ISBLANK(A91),"""",GOOGLETRANSLATE(A91,""en"",""fr""))"),"")</f>
        <v/>
      </c>
    </row>
    <row r="92" spans="2:2">
      <c r="B92" s="3" t="str">
        <f ca="1">IFERROR(__xludf.DUMMYFUNCTION("IF(ISBLANK(A92),"""",GOOGLETRANSLATE(A92,""en"",""fr""))"),"")</f>
        <v/>
      </c>
    </row>
    <row r="93" spans="2:2">
      <c r="B93" s="3" t="str">
        <f ca="1">IFERROR(__xludf.DUMMYFUNCTION("IF(ISBLANK(A93),"""",GOOGLETRANSLATE(A93,""en"",""fr""))"),"")</f>
        <v/>
      </c>
    </row>
    <row r="94" spans="2:2">
      <c r="B94" s="3" t="str">
        <f ca="1">IFERROR(__xludf.DUMMYFUNCTION("IF(ISBLANK(A94),"""",GOOGLETRANSLATE(A94,""en"",""fr""))"),"")</f>
        <v/>
      </c>
    </row>
    <row r="95" spans="2:2">
      <c r="B95" s="3" t="str">
        <f ca="1">IFERROR(__xludf.DUMMYFUNCTION("IF(ISBLANK(A95),"""",GOOGLETRANSLATE(A95,""en"",""fr""))"),"")</f>
        <v/>
      </c>
    </row>
    <row r="96" spans="2:2">
      <c r="B96" s="3" t="str">
        <f ca="1">IFERROR(__xludf.DUMMYFUNCTION("IF(ISBLANK(A96),"""",GOOGLETRANSLATE(A96,""en"",""fr""))"),"")</f>
        <v/>
      </c>
    </row>
    <row r="97" spans="2:2">
      <c r="B97" s="3" t="str">
        <f ca="1">IFERROR(__xludf.DUMMYFUNCTION("IF(ISBLANK(A97),"""",GOOGLETRANSLATE(A97,""en"",""fr""))"),"")</f>
        <v/>
      </c>
    </row>
    <row r="98" spans="2:2">
      <c r="B98" s="3" t="str">
        <f ca="1">IFERROR(__xludf.DUMMYFUNCTION("IF(ISBLANK(A98),"""",GOOGLETRANSLATE(A98,""en"",""fr""))"),"")</f>
        <v/>
      </c>
    </row>
    <row r="99" spans="2:2">
      <c r="B99" s="3" t="str">
        <f ca="1">IFERROR(__xludf.DUMMYFUNCTION("IF(ISBLANK(A99),"""",GOOGLETRANSLATE(A99,""en"",""fr""))"),"")</f>
        <v/>
      </c>
    </row>
    <row r="100" spans="2:2">
      <c r="B100" s="3" t="str">
        <f ca="1">IFERROR(__xludf.DUMMYFUNCTION("IF(ISBLANK(A100),"""",GOOGLETRANSLATE(A100,""en"",""fr""))"),"")</f>
        <v/>
      </c>
    </row>
    <row r="101" spans="2:2">
      <c r="B101" s="3" t="str">
        <f ca="1">IFERROR(__xludf.DUMMYFUNCTION("IF(ISBLANK(A101),"""",GOOGLETRANSLATE(A101,""en"",""fr""))"),"")</f>
        <v/>
      </c>
    </row>
    <row r="102" spans="2:2">
      <c r="B102" s="3" t="str">
        <f ca="1">IFERROR(__xludf.DUMMYFUNCTION("IF(ISBLANK(A102),"""",GOOGLETRANSLATE(A102,""en"",""fr""))"),"")</f>
        <v/>
      </c>
    </row>
    <row r="103" spans="2:2">
      <c r="B103" s="3" t="str">
        <f ca="1">IFERROR(__xludf.DUMMYFUNCTION("IF(ISBLANK(A103),"""",GOOGLETRANSLATE(A103,""en"",""fr""))"),"")</f>
        <v/>
      </c>
    </row>
    <row r="104" spans="2:2">
      <c r="B104" s="3" t="str">
        <f ca="1">IFERROR(__xludf.DUMMYFUNCTION("IF(ISBLANK(A104),"""",GOOGLETRANSLATE(A104,""en"",""fr""))"),"")</f>
        <v/>
      </c>
    </row>
    <row r="105" spans="2:2">
      <c r="B105" s="3" t="str">
        <f ca="1">IFERROR(__xludf.DUMMYFUNCTION("IF(ISBLANK(A105),"""",GOOGLETRANSLATE(A105,""en"",""fr""))"),"")</f>
        <v/>
      </c>
    </row>
    <row r="106" spans="2:2">
      <c r="B106" s="3" t="str">
        <f ca="1">IFERROR(__xludf.DUMMYFUNCTION("IF(ISBLANK(A106),"""",GOOGLETRANSLATE(A106,""en"",""fr""))"),"")</f>
        <v/>
      </c>
    </row>
    <row r="107" spans="2:2">
      <c r="B107" s="3" t="str">
        <f ca="1">IFERROR(__xludf.DUMMYFUNCTION("IF(ISBLANK(A107),"""",GOOGLETRANSLATE(A107,""en"",""fr""))"),"")</f>
        <v/>
      </c>
    </row>
    <row r="108" spans="2:2">
      <c r="B108" s="3" t="str">
        <f ca="1">IFERROR(__xludf.DUMMYFUNCTION("IF(ISBLANK(A108),"""",GOOGLETRANSLATE(A108,""en"",""fr""))"),"")</f>
        <v/>
      </c>
    </row>
    <row r="109" spans="2:2">
      <c r="B109" s="3" t="str">
        <f ca="1">IFERROR(__xludf.DUMMYFUNCTION("IF(ISBLANK(A109),"""",GOOGLETRANSLATE(A109,""en"",""fr""))"),"")</f>
        <v/>
      </c>
    </row>
    <row r="110" spans="2:2">
      <c r="B110" s="3" t="str">
        <f ca="1">IFERROR(__xludf.DUMMYFUNCTION("IF(ISBLANK(A110),"""",GOOGLETRANSLATE(A110,""en"",""fr""))"),"")</f>
        <v/>
      </c>
    </row>
    <row r="111" spans="2:2">
      <c r="B111" s="3" t="str">
        <f ca="1">IFERROR(__xludf.DUMMYFUNCTION("IF(ISBLANK(A111),"""",GOOGLETRANSLATE(A111,""en"",""fr""))"),"")</f>
        <v/>
      </c>
    </row>
    <row r="112" spans="2:2">
      <c r="B112" s="3" t="str">
        <f ca="1">IFERROR(__xludf.DUMMYFUNCTION("IF(ISBLANK(A112),"""",GOOGLETRANSLATE(A112,""en"",""fr""))"),"")</f>
        <v/>
      </c>
    </row>
    <row r="113" spans="2:2">
      <c r="B113" s="3" t="str">
        <f ca="1">IFERROR(__xludf.DUMMYFUNCTION("IF(ISBLANK(A113),"""",GOOGLETRANSLATE(A113,""en"",""fr""))"),"")</f>
        <v/>
      </c>
    </row>
    <row r="114" spans="2:2">
      <c r="B114" s="3" t="str">
        <f ca="1">IFERROR(__xludf.DUMMYFUNCTION("IF(ISBLANK(A114),"""",GOOGLETRANSLATE(A114,""en"",""fr""))"),"")</f>
        <v/>
      </c>
    </row>
    <row r="115" spans="2:2">
      <c r="B115" s="3" t="str">
        <f ca="1">IFERROR(__xludf.DUMMYFUNCTION("IF(ISBLANK(A115),"""",GOOGLETRANSLATE(A115,""en"",""fr""))"),"")</f>
        <v/>
      </c>
    </row>
    <row r="116" spans="2:2">
      <c r="B116" s="3" t="str">
        <f ca="1">IFERROR(__xludf.DUMMYFUNCTION("IF(ISBLANK(A116),"""",GOOGLETRANSLATE(A116,""en"",""fr""))"),"")</f>
        <v/>
      </c>
    </row>
    <row r="117" spans="2:2">
      <c r="B117" s="3" t="str">
        <f ca="1">IFERROR(__xludf.DUMMYFUNCTION("IF(ISBLANK(A117),"""",GOOGLETRANSLATE(A117,""en"",""fr""))"),"")</f>
        <v/>
      </c>
    </row>
    <row r="118" spans="2:2">
      <c r="B118" s="3" t="str">
        <f ca="1">IFERROR(__xludf.DUMMYFUNCTION("IF(ISBLANK(A118),"""",GOOGLETRANSLATE(A118,""en"",""fr""))"),"")</f>
        <v/>
      </c>
    </row>
    <row r="119" spans="2:2">
      <c r="B119" s="3" t="str">
        <f ca="1">IFERROR(__xludf.DUMMYFUNCTION("IF(ISBLANK(A119),"""",GOOGLETRANSLATE(A119,""en"",""fr""))"),"")</f>
        <v/>
      </c>
    </row>
    <row r="120" spans="2:2">
      <c r="B120" s="3" t="str">
        <f ca="1">IFERROR(__xludf.DUMMYFUNCTION("IF(ISBLANK(A120),"""",GOOGLETRANSLATE(A120,""en"",""fr""))"),"")</f>
        <v/>
      </c>
    </row>
    <row r="121" spans="2:2">
      <c r="B121" s="3" t="str">
        <f ca="1">IFERROR(__xludf.DUMMYFUNCTION("IF(ISBLANK(A121),"""",GOOGLETRANSLATE(A121,""en"",""fr""))"),"")</f>
        <v/>
      </c>
    </row>
    <row r="122" spans="2:2">
      <c r="B122" s="3" t="str">
        <f ca="1">IFERROR(__xludf.DUMMYFUNCTION("IF(ISBLANK(A122),"""",GOOGLETRANSLATE(A122,""en"",""fr""))"),"")</f>
        <v/>
      </c>
    </row>
    <row r="123" spans="2:2">
      <c r="B123" s="3" t="str">
        <f ca="1">IFERROR(__xludf.DUMMYFUNCTION("IF(ISBLANK(A123),"""",GOOGLETRANSLATE(A123,""en"",""fr""))"),"")</f>
        <v/>
      </c>
    </row>
    <row r="124" spans="2:2">
      <c r="B124" s="3" t="str">
        <f ca="1">IFERROR(__xludf.DUMMYFUNCTION("IF(ISBLANK(A124),"""",GOOGLETRANSLATE(A124,""en"",""fr""))"),"")</f>
        <v/>
      </c>
    </row>
    <row r="125" spans="2:2">
      <c r="B125" s="3" t="str">
        <f ca="1">IFERROR(__xludf.DUMMYFUNCTION("IF(ISBLANK(A125),"""",GOOGLETRANSLATE(A125,""en"",""fr""))"),"")</f>
        <v/>
      </c>
    </row>
    <row r="126" spans="2:2">
      <c r="B126" s="3" t="str">
        <f ca="1">IFERROR(__xludf.DUMMYFUNCTION("IF(ISBLANK(A126),"""",GOOGLETRANSLATE(A126,""en"",""fr""))"),"")</f>
        <v/>
      </c>
    </row>
    <row r="127" spans="2:2">
      <c r="B127" s="3" t="str">
        <f ca="1">IFERROR(__xludf.DUMMYFUNCTION("IF(ISBLANK(A127),"""",GOOGLETRANSLATE(A127,""en"",""fr""))"),"")</f>
        <v/>
      </c>
    </row>
    <row r="128" spans="2:2">
      <c r="B128" s="3" t="str">
        <f ca="1">IFERROR(__xludf.DUMMYFUNCTION("IF(ISBLANK(A128),"""",GOOGLETRANSLATE(A128,""en"",""fr""))"),"")</f>
        <v/>
      </c>
    </row>
    <row r="129" spans="2:2">
      <c r="B129" s="3" t="str">
        <f ca="1">IFERROR(__xludf.DUMMYFUNCTION("IF(ISBLANK(A129),"""",GOOGLETRANSLATE(A129,""en"",""fr""))"),"")</f>
        <v/>
      </c>
    </row>
    <row r="130" spans="2:2">
      <c r="B130" s="3" t="str">
        <f ca="1">IFERROR(__xludf.DUMMYFUNCTION("IF(ISBLANK(A130),"""",GOOGLETRANSLATE(A130,""en"",""fr""))"),"")</f>
        <v/>
      </c>
    </row>
    <row r="131" spans="2:2">
      <c r="B131" s="3" t="str">
        <f ca="1">IFERROR(__xludf.DUMMYFUNCTION("IF(ISBLANK(A131),"""",GOOGLETRANSLATE(A131,""en"",""fr""))"),"")</f>
        <v/>
      </c>
    </row>
    <row r="132" spans="2:2">
      <c r="B132" s="3" t="str">
        <f ca="1">IFERROR(__xludf.DUMMYFUNCTION("IF(ISBLANK(A132),"""",GOOGLETRANSLATE(A132,""en"",""fr""))"),"")</f>
        <v/>
      </c>
    </row>
    <row r="133" spans="2:2">
      <c r="B133" s="3" t="str">
        <f ca="1">IFERROR(__xludf.DUMMYFUNCTION("IF(ISBLANK(A133),"""",GOOGLETRANSLATE(A133,""en"",""fr""))"),"")</f>
        <v/>
      </c>
    </row>
    <row r="134" spans="2:2">
      <c r="B134" s="3" t="str">
        <f ca="1">IFERROR(__xludf.DUMMYFUNCTION("IF(ISBLANK(A134),"""",GOOGLETRANSLATE(A134,""en"",""fr""))"),"")</f>
        <v/>
      </c>
    </row>
    <row r="135" spans="2:2">
      <c r="B135" s="3" t="str">
        <f ca="1">IFERROR(__xludf.DUMMYFUNCTION("IF(ISBLANK(A135),"""",GOOGLETRANSLATE(A135,""en"",""fr""))"),"")</f>
        <v/>
      </c>
    </row>
    <row r="136" spans="2:2">
      <c r="B136" s="3" t="str">
        <f ca="1">IFERROR(__xludf.DUMMYFUNCTION("IF(ISBLANK(A136),"""",GOOGLETRANSLATE(A136,""en"",""fr""))"),"")</f>
        <v/>
      </c>
    </row>
    <row r="137" spans="2:2">
      <c r="B137" s="3" t="str">
        <f ca="1">IFERROR(__xludf.DUMMYFUNCTION("IF(ISBLANK(A137),"""",GOOGLETRANSLATE(A137,""en"",""fr""))"),"")</f>
        <v/>
      </c>
    </row>
    <row r="138" spans="2:2">
      <c r="B138" s="3" t="str">
        <f ca="1">IFERROR(__xludf.DUMMYFUNCTION("IF(ISBLANK(A138),"""",GOOGLETRANSLATE(A138,""en"",""fr""))"),"")</f>
        <v/>
      </c>
    </row>
    <row r="139" spans="2:2">
      <c r="B139" s="3" t="str">
        <f ca="1">IFERROR(__xludf.DUMMYFUNCTION("IF(ISBLANK(A139),"""",GOOGLETRANSLATE(A139,""en"",""fr""))"),"")</f>
        <v/>
      </c>
    </row>
    <row r="140" spans="2:2">
      <c r="B140" s="3" t="str">
        <f ca="1">IFERROR(__xludf.DUMMYFUNCTION("IF(ISBLANK(A140),"""",GOOGLETRANSLATE(A140,""en"",""fr""))"),"")</f>
        <v/>
      </c>
    </row>
    <row r="141" spans="2:2">
      <c r="B141" s="3" t="str">
        <f ca="1">IFERROR(__xludf.DUMMYFUNCTION("IF(ISBLANK(A141),"""",GOOGLETRANSLATE(A141,""en"",""fr""))"),"")</f>
        <v/>
      </c>
    </row>
    <row r="142" spans="2:2">
      <c r="B142" s="3" t="str">
        <f ca="1">IFERROR(__xludf.DUMMYFUNCTION("IF(ISBLANK(A142),"""",GOOGLETRANSLATE(A142,""en"",""fr""))"),"")</f>
        <v/>
      </c>
    </row>
    <row r="143" spans="2:2">
      <c r="B143" s="3" t="str">
        <f ca="1">IFERROR(__xludf.DUMMYFUNCTION("IF(ISBLANK(A143),"""",GOOGLETRANSLATE(A143,""en"",""fr""))"),"")</f>
        <v/>
      </c>
    </row>
    <row r="144" spans="2:2">
      <c r="B144" s="3" t="str">
        <f ca="1">IFERROR(__xludf.DUMMYFUNCTION("IF(ISBLANK(A144),"""",GOOGLETRANSLATE(A144,""en"",""fr""))"),"")</f>
        <v/>
      </c>
    </row>
    <row r="145" spans="2:2">
      <c r="B145" s="3" t="str">
        <f ca="1">IFERROR(__xludf.DUMMYFUNCTION("IF(ISBLANK(A145),"""",GOOGLETRANSLATE(A145,""en"",""fr""))"),"")</f>
        <v/>
      </c>
    </row>
    <row r="146" spans="2:2">
      <c r="B146" s="3" t="str">
        <f ca="1">IFERROR(__xludf.DUMMYFUNCTION("IF(ISBLANK(A146),"""",GOOGLETRANSLATE(A146,""en"",""fr""))"),"")</f>
        <v/>
      </c>
    </row>
    <row r="147" spans="2:2">
      <c r="B147" s="3" t="str">
        <f ca="1">IFERROR(__xludf.DUMMYFUNCTION("IF(ISBLANK(A147),"""",GOOGLETRANSLATE(A147,""en"",""fr""))"),"")</f>
        <v/>
      </c>
    </row>
    <row r="148" spans="2:2">
      <c r="B148" s="3" t="str">
        <f ca="1">IFERROR(__xludf.DUMMYFUNCTION("IF(ISBLANK(A148),"""",GOOGLETRANSLATE(A148,""en"",""fr""))"),"")</f>
        <v/>
      </c>
    </row>
    <row r="149" spans="2:2">
      <c r="B149" s="3" t="str">
        <f ca="1">IFERROR(__xludf.DUMMYFUNCTION("IF(ISBLANK(A149),"""",GOOGLETRANSLATE(A149,""en"",""fr""))"),"")</f>
        <v/>
      </c>
    </row>
    <row r="150" spans="2:2">
      <c r="B150" s="3" t="str">
        <f ca="1">IFERROR(__xludf.DUMMYFUNCTION("IF(ISBLANK(A150),"""",GOOGLETRANSLATE(A150,""en"",""fr""))"),"")</f>
        <v/>
      </c>
    </row>
    <row r="151" spans="2:2">
      <c r="B151" s="3" t="str">
        <f ca="1">IFERROR(__xludf.DUMMYFUNCTION("IF(ISBLANK(A151),"""",GOOGLETRANSLATE(A151,""en"",""fr""))"),"")</f>
        <v/>
      </c>
    </row>
    <row r="152" spans="2:2">
      <c r="B152" s="3" t="str">
        <f ca="1">IFERROR(__xludf.DUMMYFUNCTION("IF(ISBLANK(A152),"""",GOOGLETRANSLATE(A152,""en"",""fr""))"),"")</f>
        <v/>
      </c>
    </row>
    <row r="153" spans="2:2">
      <c r="B153" s="3" t="str">
        <f ca="1">IFERROR(__xludf.DUMMYFUNCTION("IF(ISBLANK(A153),"""",GOOGLETRANSLATE(A153,""en"",""fr""))"),"")</f>
        <v/>
      </c>
    </row>
    <row r="154" spans="2:2">
      <c r="B154" s="3" t="str">
        <f ca="1">IFERROR(__xludf.DUMMYFUNCTION("IF(ISBLANK(A154),"""",GOOGLETRANSLATE(A154,""en"",""fr""))"),"")</f>
        <v/>
      </c>
    </row>
    <row r="155" spans="2:2">
      <c r="B155" s="3" t="str">
        <f ca="1">IFERROR(__xludf.DUMMYFUNCTION("IF(ISBLANK(A155),"""",GOOGLETRANSLATE(A155,""en"",""fr""))"),"")</f>
        <v/>
      </c>
    </row>
    <row r="156" spans="2:2">
      <c r="B156" s="3" t="str">
        <f ca="1">IFERROR(__xludf.DUMMYFUNCTION("IF(ISBLANK(A156),"""",GOOGLETRANSLATE(A156,""en"",""fr""))"),"")</f>
        <v/>
      </c>
    </row>
    <row r="157" spans="2:2">
      <c r="B157" s="3" t="str">
        <f ca="1">IFERROR(__xludf.DUMMYFUNCTION("IF(ISBLANK(A157),"""",GOOGLETRANSLATE(A157,""en"",""fr""))"),"")</f>
        <v/>
      </c>
    </row>
    <row r="158" spans="2:2">
      <c r="B158" s="3" t="str">
        <f ca="1">IFERROR(__xludf.DUMMYFUNCTION("IF(ISBLANK(A158),"""",GOOGLETRANSLATE(A158,""en"",""fr""))"),"")</f>
        <v/>
      </c>
    </row>
    <row r="159" spans="2:2">
      <c r="B159" s="3" t="str">
        <f ca="1">IFERROR(__xludf.DUMMYFUNCTION("IF(ISBLANK(A159),"""",GOOGLETRANSLATE(A159,""en"",""fr""))"),"")</f>
        <v/>
      </c>
    </row>
    <row r="160" spans="2:2">
      <c r="B160" s="3" t="str">
        <f ca="1">IFERROR(__xludf.DUMMYFUNCTION("IF(ISBLANK(A160),"""",GOOGLETRANSLATE(A160,""en"",""fr""))"),"")</f>
        <v/>
      </c>
    </row>
    <row r="161" spans="2:2">
      <c r="B161" s="3" t="str">
        <f ca="1">IFERROR(__xludf.DUMMYFUNCTION("IF(ISBLANK(A161),"""",GOOGLETRANSLATE(A161,""en"",""fr""))"),"")</f>
        <v/>
      </c>
    </row>
    <row r="162" spans="2:2">
      <c r="B162" s="3" t="str">
        <f ca="1">IFERROR(__xludf.DUMMYFUNCTION("IF(ISBLANK(A162),"""",GOOGLETRANSLATE(A162,""en"",""fr""))"),"")</f>
        <v/>
      </c>
    </row>
    <row r="163" spans="2:2">
      <c r="B163" s="3" t="str">
        <f ca="1">IFERROR(__xludf.DUMMYFUNCTION("IF(ISBLANK(A163),"""",GOOGLETRANSLATE(A163,""en"",""fr""))"),"")</f>
        <v/>
      </c>
    </row>
    <row r="164" spans="2:2">
      <c r="B164" s="3" t="str">
        <f ca="1">IFERROR(__xludf.DUMMYFUNCTION("IF(ISBLANK(A164),"""",GOOGLETRANSLATE(A164,""en"",""fr""))"),"")</f>
        <v/>
      </c>
    </row>
    <row r="165" spans="2:2">
      <c r="B165" s="3" t="str">
        <f ca="1">IFERROR(__xludf.DUMMYFUNCTION("IF(ISBLANK(A165),"""",GOOGLETRANSLATE(A165,""en"",""fr""))"),"")</f>
        <v/>
      </c>
    </row>
    <row r="166" spans="2:2">
      <c r="B166" s="3" t="str">
        <f ca="1">IFERROR(__xludf.DUMMYFUNCTION("IF(ISBLANK(A166),"""",GOOGLETRANSLATE(A166,""en"",""fr""))"),"")</f>
        <v/>
      </c>
    </row>
    <row r="167" spans="2:2">
      <c r="B167" s="3" t="str">
        <f ca="1">IFERROR(__xludf.DUMMYFUNCTION("IF(ISBLANK(A167),"""",GOOGLETRANSLATE(A167,""en"",""fr""))"),"")</f>
        <v/>
      </c>
    </row>
    <row r="168" spans="2:2">
      <c r="B168" s="3" t="str">
        <f ca="1">IFERROR(__xludf.DUMMYFUNCTION("IF(ISBLANK(A168),"""",GOOGLETRANSLATE(A168,""en"",""fr""))"),"")</f>
        <v/>
      </c>
    </row>
    <row r="169" spans="2:2">
      <c r="B169" s="3" t="str">
        <f ca="1">IFERROR(__xludf.DUMMYFUNCTION("IF(ISBLANK(A169),"""",GOOGLETRANSLATE(A169,""en"",""fr""))"),"")</f>
        <v/>
      </c>
    </row>
    <row r="170" spans="2:2">
      <c r="B170" s="3" t="str">
        <f ca="1">IFERROR(__xludf.DUMMYFUNCTION("IF(ISBLANK(A170),"""",GOOGLETRANSLATE(A170,""en"",""fr""))"),"")</f>
        <v/>
      </c>
    </row>
    <row r="171" spans="2:2">
      <c r="B171" s="3" t="str">
        <f ca="1">IFERROR(__xludf.DUMMYFUNCTION("IF(ISBLANK(A171),"""",GOOGLETRANSLATE(A171,""en"",""fr""))"),"")</f>
        <v/>
      </c>
    </row>
    <row r="172" spans="2:2">
      <c r="B172" s="3" t="str">
        <f ca="1">IFERROR(__xludf.DUMMYFUNCTION("IF(ISBLANK(A172),"""",GOOGLETRANSLATE(A172,""en"",""fr""))"),"")</f>
        <v/>
      </c>
    </row>
    <row r="173" spans="2:2">
      <c r="B173" s="3" t="str">
        <f ca="1">IFERROR(__xludf.DUMMYFUNCTION("IF(ISBLANK(A173),"""",GOOGLETRANSLATE(A173,""en"",""fr""))"),"")</f>
        <v/>
      </c>
    </row>
    <row r="174" spans="2:2">
      <c r="B174" s="3" t="str">
        <f ca="1">IFERROR(__xludf.DUMMYFUNCTION("IF(ISBLANK(A174),"""",GOOGLETRANSLATE(A174,""en"",""fr""))"),"")</f>
        <v/>
      </c>
    </row>
    <row r="175" spans="2:2">
      <c r="B175" s="3" t="str">
        <f ca="1">IFERROR(__xludf.DUMMYFUNCTION("IF(ISBLANK(A175),"""",GOOGLETRANSLATE(A175,""en"",""fr""))"),"")</f>
        <v/>
      </c>
    </row>
    <row r="176" spans="2:2">
      <c r="B176" s="3" t="str">
        <f ca="1">IFERROR(__xludf.DUMMYFUNCTION("IF(ISBLANK(A176),"""",GOOGLETRANSLATE(A176,""en"",""fr""))"),"")</f>
        <v/>
      </c>
    </row>
    <row r="177" spans="2:2">
      <c r="B177" s="3" t="str">
        <f ca="1">IFERROR(__xludf.DUMMYFUNCTION("IF(ISBLANK(A177),"""",GOOGLETRANSLATE(A177,""en"",""fr""))"),"")</f>
        <v/>
      </c>
    </row>
    <row r="178" spans="2:2">
      <c r="B178" s="3" t="str">
        <f ca="1">IFERROR(__xludf.DUMMYFUNCTION("IF(ISBLANK(A178),"""",GOOGLETRANSLATE(A178,""en"",""fr""))"),"")</f>
        <v/>
      </c>
    </row>
    <row r="179" spans="2:2">
      <c r="B179" s="3" t="str">
        <f ca="1">IFERROR(__xludf.DUMMYFUNCTION("IF(ISBLANK(A179),"""",GOOGLETRANSLATE(A179,""en"",""fr""))"),"")</f>
        <v/>
      </c>
    </row>
    <row r="180" spans="2:2">
      <c r="B180" s="3" t="str">
        <f ca="1">IFERROR(__xludf.DUMMYFUNCTION("IF(ISBLANK(A180),"""",GOOGLETRANSLATE(A180,""en"",""fr""))"),"")</f>
        <v/>
      </c>
    </row>
    <row r="181" spans="2:2">
      <c r="B181" s="3" t="str">
        <f ca="1">IFERROR(__xludf.DUMMYFUNCTION("IF(ISBLANK(A181),"""",GOOGLETRANSLATE(A181,""en"",""fr""))"),"")</f>
        <v/>
      </c>
    </row>
    <row r="182" spans="2:2">
      <c r="B182" s="3" t="str">
        <f ca="1">IFERROR(__xludf.DUMMYFUNCTION("IF(ISBLANK(A182),"""",GOOGLETRANSLATE(A182,""en"",""fr""))"),"")</f>
        <v/>
      </c>
    </row>
    <row r="183" spans="2:2">
      <c r="B183" s="3" t="str">
        <f ca="1">IFERROR(__xludf.DUMMYFUNCTION("IF(ISBLANK(A183),"""",GOOGLETRANSLATE(A183,""en"",""fr""))"),"")</f>
        <v/>
      </c>
    </row>
    <row r="184" spans="2:2">
      <c r="B184" s="3" t="str">
        <f ca="1">IFERROR(__xludf.DUMMYFUNCTION("IF(ISBLANK(A184),"""",GOOGLETRANSLATE(A184,""en"",""fr""))"),"")</f>
        <v/>
      </c>
    </row>
    <row r="185" spans="2:2">
      <c r="B185" s="3" t="str">
        <f ca="1">IFERROR(__xludf.DUMMYFUNCTION("IF(ISBLANK(A185),"""",GOOGLETRANSLATE(A185,""en"",""fr""))"),"")</f>
        <v/>
      </c>
    </row>
    <row r="186" spans="2:2">
      <c r="B186" s="3" t="str">
        <f ca="1">IFERROR(__xludf.DUMMYFUNCTION("IF(ISBLANK(A186),"""",GOOGLETRANSLATE(A186,""en"",""fr""))"),"")</f>
        <v/>
      </c>
    </row>
    <row r="187" spans="2:2">
      <c r="B187" s="3" t="str">
        <f ca="1">IFERROR(__xludf.DUMMYFUNCTION("IF(ISBLANK(A187),"""",GOOGLETRANSLATE(A187,""en"",""fr""))"),"")</f>
        <v/>
      </c>
    </row>
    <row r="188" spans="2:2">
      <c r="B188" s="3" t="str">
        <f ca="1">IFERROR(__xludf.DUMMYFUNCTION("IF(ISBLANK(A188),"""",GOOGLETRANSLATE(A188,""en"",""fr""))"),"")</f>
        <v/>
      </c>
    </row>
    <row r="189" spans="2:2">
      <c r="B189" s="3" t="str">
        <f ca="1">IFERROR(__xludf.DUMMYFUNCTION("IF(ISBLANK(A189),"""",GOOGLETRANSLATE(A189,""en"",""fr""))"),"")</f>
        <v/>
      </c>
    </row>
    <row r="190" spans="2:2">
      <c r="B190" s="3" t="str">
        <f ca="1">IFERROR(__xludf.DUMMYFUNCTION("IF(ISBLANK(A190),"""",GOOGLETRANSLATE(A190,""en"",""fr""))"),"")</f>
        <v/>
      </c>
    </row>
    <row r="191" spans="2:2">
      <c r="B191" s="3" t="str">
        <f ca="1">IFERROR(__xludf.DUMMYFUNCTION("IF(ISBLANK(A191),"""",GOOGLETRANSLATE(A191,""en"",""fr""))"),"")</f>
        <v/>
      </c>
    </row>
    <row r="192" spans="2:2">
      <c r="B192" s="3" t="str">
        <f ca="1">IFERROR(__xludf.DUMMYFUNCTION("IF(ISBLANK(A192),"""",GOOGLETRANSLATE(A192,""en"",""fr""))"),"")</f>
        <v/>
      </c>
    </row>
    <row r="193" spans="2:2">
      <c r="B193" s="3" t="str">
        <f ca="1">IFERROR(__xludf.DUMMYFUNCTION("IF(ISBLANK(A193),"""",GOOGLETRANSLATE(A193,""en"",""fr""))"),"")</f>
        <v/>
      </c>
    </row>
    <row r="194" spans="2:2">
      <c r="B194" s="3" t="str">
        <f ca="1">IFERROR(__xludf.DUMMYFUNCTION("IF(ISBLANK(A194),"""",GOOGLETRANSLATE(A194,""en"",""fr""))"),"")</f>
        <v/>
      </c>
    </row>
    <row r="195" spans="2:2">
      <c r="B195" s="3" t="str">
        <f ca="1">IFERROR(__xludf.DUMMYFUNCTION("IF(ISBLANK(A195),"""",GOOGLETRANSLATE(A195,""en"",""fr""))"),"")</f>
        <v/>
      </c>
    </row>
    <row r="196" spans="2:2">
      <c r="B196" s="3" t="str">
        <f ca="1">IFERROR(__xludf.DUMMYFUNCTION("IF(ISBLANK(A196),"""",GOOGLETRANSLATE(A196,""en"",""fr""))"),"")</f>
        <v/>
      </c>
    </row>
    <row r="197" spans="2:2">
      <c r="B197" s="3" t="str">
        <f ca="1">IFERROR(__xludf.DUMMYFUNCTION("IF(ISBLANK(A197),"""",GOOGLETRANSLATE(A197,""en"",""fr""))"),"")</f>
        <v/>
      </c>
    </row>
    <row r="198" spans="2:2">
      <c r="B198" s="3" t="str">
        <f ca="1">IFERROR(__xludf.DUMMYFUNCTION("IF(ISBLANK(A198),"""",GOOGLETRANSLATE(A198,""en"",""fr""))"),"")</f>
        <v/>
      </c>
    </row>
    <row r="199" spans="2:2">
      <c r="B199" s="3" t="str">
        <f ca="1">IFERROR(__xludf.DUMMYFUNCTION("IF(ISBLANK(A199),"""",GOOGLETRANSLATE(A199,""en"",""fr""))"),"")</f>
        <v/>
      </c>
    </row>
    <row r="200" spans="2:2">
      <c r="B200" s="3" t="str">
        <f ca="1">IFERROR(__xludf.DUMMYFUNCTION("IF(ISBLANK(A200),"""",GOOGLETRANSLATE(A200,""en"",""fr""))"),"")</f>
        <v/>
      </c>
    </row>
    <row r="201" spans="2:2">
      <c r="B201" s="3" t="str">
        <f ca="1">IFERROR(__xludf.DUMMYFUNCTION("IF(ISBLANK(A201),"""",GOOGLETRANSLATE(A201,""en"",""fr""))"),"")</f>
        <v/>
      </c>
    </row>
    <row r="202" spans="2:2">
      <c r="B202" s="3" t="str">
        <f ca="1">IFERROR(__xludf.DUMMYFUNCTION("IF(ISBLANK(A202),"""",GOOGLETRANSLATE(A202,""en"",""fr""))"),"")</f>
        <v/>
      </c>
    </row>
    <row r="203" spans="2:2">
      <c r="B203" s="3" t="str">
        <f ca="1">IFERROR(__xludf.DUMMYFUNCTION("IF(ISBLANK(A203),"""",GOOGLETRANSLATE(A203,""en"",""fr""))"),"")</f>
        <v/>
      </c>
    </row>
    <row r="204" spans="2:2">
      <c r="B204" s="3" t="str">
        <f ca="1">IFERROR(__xludf.DUMMYFUNCTION("IF(ISBLANK(A204),"""",GOOGLETRANSLATE(A204,""en"",""fr""))"),"")</f>
        <v/>
      </c>
    </row>
    <row r="205" spans="2:2">
      <c r="B205" s="3" t="str">
        <f ca="1">IFERROR(__xludf.DUMMYFUNCTION("IF(ISBLANK(A205),"""",GOOGLETRANSLATE(A205,""en"",""fr""))"),"")</f>
        <v/>
      </c>
    </row>
    <row r="206" spans="2:2">
      <c r="B206" s="3" t="str">
        <f ca="1">IFERROR(__xludf.DUMMYFUNCTION("IF(ISBLANK(A206),"""",GOOGLETRANSLATE(A206,""en"",""fr""))"),"")</f>
        <v/>
      </c>
    </row>
    <row r="207" spans="2:2">
      <c r="B207" s="3" t="str">
        <f ca="1">IFERROR(__xludf.DUMMYFUNCTION("IF(ISBLANK(A207),"""",GOOGLETRANSLATE(A207,""en"",""fr""))"),"")</f>
        <v/>
      </c>
    </row>
    <row r="208" spans="2:2">
      <c r="B208" s="3" t="str">
        <f ca="1">IFERROR(__xludf.DUMMYFUNCTION("IF(ISBLANK(A208),"""",GOOGLETRANSLATE(A208,""en"",""fr""))"),"")</f>
        <v/>
      </c>
    </row>
    <row r="209" spans="2:2">
      <c r="B209" s="3" t="str">
        <f ca="1">IFERROR(__xludf.DUMMYFUNCTION("IF(ISBLANK(A209),"""",GOOGLETRANSLATE(A209,""en"",""fr""))"),"")</f>
        <v/>
      </c>
    </row>
    <row r="210" spans="2:2">
      <c r="B210" s="3" t="str">
        <f ca="1">IFERROR(__xludf.DUMMYFUNCTION("IF(ISBLANK(A210),"""",GOOGLETRANSLATE(A210,""en"",""fr""))"),"")</f>
        <v/>
      </c>
    </row>
    <row r="211" spans="2:2">
      <c r="B211" s="3" t="str">
        <f ca="1">IFERROR(__xludf.DUMMYFUNCTION("IF(ISBLANK(A211),"""",GOOGLETRANSLATE(A211,""en"",""fr""))"),"")</f>
        <v/>
      </c>
    </row>
    <row r="212" spans="2:2">
      <c r="B212" s="3" t="str">
        <f ca="1">IFERROR(__xludf.DUMMYFUNCTION("IF(ISBLANK(A212),"""",GOOGLETRANSLATE(A212,""en"",""fr""))"),"")</f>
        <v/>
      </c>
    </row>
    <row r="213" spans="2:2">
      <c r="B213" s="3" t="str">
        <f ca="1">IFERROR(__xludf.DUMMYFUNCTION("IF(ISBLANK(A213),"""",GOOGLETRANSLATE(A213,""en"",""fr""))"),"")</f>
        <v/>
      </c>
    </row>
    <row r="214" spans="2:2">
      <c r="B214" s="3" t="str">
        <f ca="1">IFERROR(__xludf.DUMMYFUNCTION("IF(ISBLANK(A214),"""",GOOGLETRANSLATE(A214,""en"",""fr""))"),"")</f>
        <v/>
      </c>
    </row>
    <row r="215" spans="2:2">
      <c r="B215" s="3" t="str">
        <f ca="1">IFERROR(__xludf.DUMMYFUNCTION("IF(ISBLANK(A215),"""",GOOGLETRANSLATE(A215,""en"",""fr""))"),"")</f>
        <v/>
      </c>
    </row>
    <row r="216" spans="2:2">
      <c r="B216" s="3" t="str">
        <f ca="1">IFERROR(__xludf.DUMMYFUNCTION("IF(ISBLANK(A216),"""",GOOGLETRANSLATE(A216,""en"",""fr""))"),"")</f>
        <v/>
      </c>
    </row>
    <row r="217" spans="2:2">
      <c r="B217" s="3" t="str">
        <f ca="1">IFERROR(__xludf.DUMMYFUNCTION("IF(ISBLANK(A217),"""",GOOGLETRANSLATE(A217,""en"",""fr""))"),"")</f>
        <v/>
      </c>
    </row>
    <row r="218" spans="2:2">
      <c r="B218" s="3" t="str">
        <f ca="1">IFERROR(__xludf.DUMMYFUNCTION("IF(ISBLANK(A218),"""",GOOGLETRANSLATE(A218,""en"",""fr""))"),"")</f>
        <v/>
      </c>
    </row>
    <row r="219" spans="2:2">
      <c r="B219" s="3" t="str">
        <f ca="1">IFERROR(__xludf.DUMMYFUNCTION("IF(ISBLANK(A219),"""",GOOGLETRANSLATE(A219,""en"",""fr""))"),"")</f>
        <v/>
      </c>
    </row>
    <row r="220" spans="2:2">
      <c r="B220" s="3" t="str">
        <f ca="1">IFERROR(__xludf.DUMMYFUNCTION("IF(ISBLANK(A220),"""",GOOGLETRANSLATE(A220,""en"",""fr""))"),"")</f>
        <v/>
      </c>
    </row>
    <row r="221" spans="2:2">
      <c r="B221" s="3" t="str">
        <f ca="1">IFERROR(__xludf.DUMMYFUNCTION("IF(ISBLANK(A221),"""",GOOGLETRANSLATE(A221,""en"",""fr""))"),"")</f>
        <v/>
      </c>
    </row>
    <row r="222" spans="2:2">
      <c r="B222" s="3" t="str">
        <f ca="1">IFERROR(__xludf.DUMMYFUNCTION("IF(ISBLANK(A222),"""",GOOGLETRANSLATE(A222,""en"",""fr""))"),"")</f>
        <v/>
      </c>
    </row>
    <row r="223" spans="2:2">
      <c r="B223" s="3" t="str">
        <f ca="1">IFERROR(__xludf.DUMMYFUNCTION("IF(ISBLANK(A223),"""",GOOGLETRANSLATE(A223,""en"",""fr""))"),"")</f>
        <v/>
      </c>
    </row>
    <row r="224" spans="2:2">
      <c r="B224" s="3" t="str">
        <f ca="1">IFERROR(__xludf.DUMMYFUNCTION("IF(ISBLANK(A224),"""",GOOGLETRANSLATE(A224,""en"",""fr""))"),"")</f>
        <v/>
      </c>
    </row>
    <row r="225" spans="2:2">
      <c r="B225" s="3" t="str">
        <f ca="1">IFERROR(__xludf.DUMMYFUNCTION("IF(ISBLANK(A225),"""",GOOGLETRANSLATE(A225,""en"",""fr""))"),"")</f>
        <v/>
      </c>
    </row>
    <row r="226" spans="2:2">
      <c r="B226" s="3" t="str">
        <f ca="1">IFERROR(__xludf.DUMMYFUNCTION("IF(ISBLANK(A226),"""",GOOGLETRANSLATE(A226,""en"",""fr""))"),"")</f>
        <v/>
      </c>
    </row>
    <row r="227" spans="2:2">
      <c r="B227" s="3" t="str">
        <f ca="1">IFERROR(__xludf.DUMMYFUNCTION("IF(ISBLANK(A227),"""",GOOGLETRANSLATE(A227,""en"",""fr""))"),"")</f>
        <v/>
      </c>
    </row>
    <row r="228" spans="2:2">
      <c r="B228" s="3" t="str">
        <f ca="1">IFERROR(__xludf.DUMMYFUNCTION("IF(ISBLANK(A228),"""",GOOGLETRANSLATE(A228,""en"",""fr""))"),"")</f>
        <v/>
      </c>
    </row>
    <row r="229" spans="2:2">
      <c r="B229" s="3" t="str">
        <f ca="1">IFERROR(__xludf.DUMMYFUNCTION("IF(ISBLANK(A229),"""",GOOGLETRANSLATE(A229,""en"",""fr""))"),"")</f>
        <v/>
      </c>
    </row>
    <row r="230" spans="2:2">
      <c r="B230" s="3" t="str">
        <f ca="1">IFERROR(__xludf.DUMMYFUNCTION("IF(ISBLANK(A230),"""",GOOGLETRANSLATE(A230,""en"",""fr""))"),"")</f>
        <v/>
      </c>
    </row>
    <row r="231" spans="2:2">
      <c r="B231" s="3" t="str">
        <f ca="1">IFERROR(__xludf.DUMMYFUNCTION("IF(ISBLANK(A231),"""",GOOGLETRANSLATE(A231,""en"",""fr""))"),"")</f>
        <v/>
      </c>
    </row>
    <row r="232" spans="2:2">
      <c r="B232" s="3" t="str">
        <f ca="1">IFERROR(__xludf.DUMMYFUNCTION("IF(ISBLANK(A232),"""",GOOGLETRANSLATE(A232,""en"",""fr""))"),"")</f>
        <v/>
      </c>
    </row>
    <row r="233" spans="2:2">
      <c r="B233" s="3" t="str">
        <f ca="1">IFERROR(__xludf.DUMMYFUNCTION("IF(ISBLANK(A233),"""",GOOGLETRANSLATE(A233,""en"",""fr""))"),"")</f>
        <v/>
      </c>
    </row>
    <row r="234" spans="2:2">
      <c r="B234" s="3" t="str">
        <f ca="1">IFERROR(__xludf.DUMMYFUNCTION("IF(ISBLANK(A234),"""",GOOGLETRANSLATE(A234,""en"",""fr""))"),"")</f>
        <v/>
      </c>
    </row>
    <row r="235" spans="2:2">
      <c r="B235" s="3" t="str">
        <f ca="1">IFERROR(__xludf.DUMMYFUNCTION("IF(ISBLANK(A235),"""",GOOGLETRANSLATE(A235,""en"",""fr""))"),"")</f>
        <v/>
      </c>
    </row>
    <row r="236" spans="2:2">
      <c r="B236" s="3" t="str">
        <f ca="1">IFERROR(__xludf.DUMMYFUNCTION("IF(ISBLANK(A236),"""",GOOGLETRANSLATE(A236,""en"",""fr""))"),"")</f>
        <v/>
      </c>
    </row>
    <row r="237" spans="2:2">
      <c r="B237" s="3" t="str">
        <f ca="1">IFERROR(__xludf.DUMMYFUNCTION("IF(ISBLANK(A237),"""",GOOGLETRANSLATE(A237,""en"",""fr""))"),"")</f>
        <v/>
      </c>
    </row>
    <row r="238" spans="2:2">
      <c r="B238" s="3" t="str">
        <f ca="1">IFERROR(__xludf.DUMMYFUNCTION("IF(ISBLANK(A238),"""",GOOGLETRANSLATE(A238,""en"",""fr""))"),"")</f>
        <v/>
      </c>
    </row>
    <row r="239" spans="2:2">
      <c r="B239" s="3" t="str">
        <f ca="1">IFERROR(__xludf.DUMMYFUNCTION("IF(ISBLANK(A239),"""",GOOGLETRANSLATE(A239,""en"",""fr""))"),"")</f>
        <v/>
      </c>
    </row>
    <row r="240" spans="2:2">
      <c r="B240" s="3" t="str">
        <f ca="1">IFERROR(__xludf.DUMMYFUNCTION("IF(ISBLANK(A240),"""",GOOGLETRANSLATE(A240,""en"",""fr""))"),"")</f>
        <v/>
      </c>
    </row>
    <row r="241" spans="2:2">
      <c r="B241" s="3" t="str">
        <f ca="1">IFERROR(__xludf.DUMMYFUNCTION("IF(ISBLANK(A241),"""",GOOGLETRANSLATE(A241,""en"",""fr""))"),"")</f>
        <v/>
      </c>
    </row>
    <row r="242" spans="2:2">
      <c r="B242" s="3" t="str">
        <f ca="1">IFERROR(__xludf.DUMMYFUNCTION("IF(ISBLANK(A242),"""",GOOGLETRANSLATE(A242,""en"",""fr""))"),"")</f>
        <v/>
      </c>
    </row>
    <row r="243" spans="2:2">
      <c r="B243" s="3" t="str">
        <f ca="1">IFERROR(__xludf.DUMMYFUNCTION("IF(ISBLANK(A243),"""",GOOGLETRANSLATE(A243,""en"",""fr""))"),"")</f>
        <v/>
      </c>
    </row>
    <row r="244" spans="2:2">
      <c r="B244" s="3" t="str">
        <f ca="1">IFERROR(__xludf.DUMMYFUNCTION("IF(ISBLANK(A244),"""",GOOGLETRANSLATE(A244,""en"",""fr""))"),"")</f>
        <v/>
      </c>
    </row>
    <row r="245" spans="2:2">
      <c r="B245" s="3" t="str">
        <f ca="1">IFERROR(__xludf.DUMMYFUNCTION("IF(ISBLANK(A245),"""",GOOGLETRANSLATE(A245,""en"",""fr""))"),"")</f>
        <v/>
      </c>
    </row>
    <row r="246" spans="2:2">
      <c r="B246" s="3" t="str">
        <f ca="1">IFERROR(__xludf.DUMMYFUNCTION("IF(ISBLANK(A246),"""",GOOGLETRANSLATE(A246,""en"",""fr""))"),"")</f>
        <v/>
      </c>
    </row>
    <row r="247" spans="2:2">
      <c r="B247" s="3" t="str">
        <f ca="1">IFERROR(__xludf.DUMMYFUNCTION("IF(ISBLANK(A247),"""",GOOGLETRANSLATE(A247,""en"",""fr""))"),"")</f>
        <v/>
      </c>
    </row>
    <row r="248" spans="2:2">
      <c r="B248" s="3" t="str">
        <f ca="1">IFERROR(__xludf.DUMMYFUNCTION("IF(ISBLANK(A248),"""",GOOGLETRANSLATE(A248,""en"",""fr""))"),"")</f>
        <v/>
      </c>
    </row>
    <row r="249" spans="2:2">
      <c r="B249" s="3" t="str">
        <f ca="1">IFERROR(__xludf.DUMMYFUNCTION("IF(ISBLANK(A249),"""",GOOGLETRANSLATE(A249,""en"",""fr""))"),"")</f>
        <v/>
      </c>
    </row>
    <row r="250" spans="2:2">
      <c r="B250" s="3" t="str">
        <f ca="1">IFERROR(__xludf.DUMMYFUNCTION("IF(ISBLANK(A250),"""",GOOGLETRANSLATE(A250,""en"",""fr""))"),"")</f>
        <v/>
      </c>
    </row>
    <row r="251" spans="2:2">
      <c r="B251" s="3" t="str">
        <f ca="1">IFERROR(__xludf.DUMMYFUNCTION("IF(ISBLANK(A251),"""",GOOGLETRANSLATE(A251,""en"",""fr""))"),"")</f>
        <v/>
      </c>
    </row>
    <row r="252" spans="2:2">
      <c r="B252" s="3" t="str">
        <f ca="1">IFERROR(__xludf.DUMMYFUNCTION("IF(ISBLANK(A252),"""",GOOGLETRANSLATE(A252,""en"",""fr""))"),"")</f>
        <v/>
      </c>
    </row>
    <row r="253" spans="2:2">
      <c r="B253" s="3" t="str">
        <f ca="1">IFERROR(__xludf.DUMMYFUNCTION("IF(ISBLANK(A253),"""",GOOGLETRANSLATE(A253,""en"",""fr""))"),"")</f>
        <v/>
      </c>
    </row>
    <row r="254" spans="2:2">
      <c r="B254" s="3" t="str">
        <f ca="1">IFERROR(__xludf.DUMMYFUNCTION("IF(ISBLANK(A254),"""",GOOGLETRANSLATE(A254,""en"",""fr""))"),"")</f>
        <v/>
      </c>
    </row>
    <row r="255" spans="2:2">
      <c r="B255" s="3" t="str">
        <f ca="1">IFERROR(__xludf.DUMMYFUNCTION("IF(ISBLANK(A255),"""",GOOGLETRANSLATE(A255,""en"",""fr""))"),"")</f>
        <v/>
      </c>
    </row>
    <row r="256" spans="2:2">
      <c r="B256" s="3" t="str">
        <f ca="1">IFERROR(__xludf.DUMMYFUNCTION("IF(ISBLANK(A256),"""",GOOGLETRANSLATE(A256,""en"",""fr""))"),"")</f>
        <v/>
      </c>
    </row>
    <row r="257" spans="2:2">
      <c r="B257" s="3" t="str">
        <f ca="1">IFERROR(__xludf.DUMMYFUNCTION("IF(ISBLANK(A257),"""",GOOGLETRANSLATE(A257,""en"",""fr""))"),"")</f>
        <v/>
      </c>
    </row>
    <row r="258" spans="2:2">
      <c r="B258" s="3" t="str">
        <f ca="1">IFERROR(__xludf.DUMMYFUNCTION("IF(ISBLANK(A258),"""",GOOGLETRANSLATE(A258,""en"",""fr""))"),"")</f>
        <v/>
      </c>
    </row>
    <row r="259" spans="2:2">
      <c r="B259" s="3" t="str">
        <f ca="1">IFERROR(__xludf.DUMMYFUNCTION("IF(ISBLANK(A259),"""",GOOGLETRANSLATE(A259,""en"",""fr""))"),"")</f>
        <v/>
      </c>
    </row>
    <row r="260" spans="2:2">
      <c r="B260" s="3" t="str">
        <f ca="1">IFERROR(__xludf.DUMMYFUNCTION("IF(ISBLANK(A260),"""",GOOGLETRANSLATE(A260,""en"",""fr""))"),"")</f>
        <v/>
      </c>
    </row>
    <row r="261" spans="2:2">
      <c r="B261" s="3" t="str">
        <f ca="1">IFERROR(__xludf.DUMMYFUNCTION("IF(ISBLANK(A261),"""",GOOGLETRANSLATE(A261,""en"",""fr""))"),"")</f>
        <v/>
      </c>
    </row>
    <row r="262" spans="2:2">
      <c r="B262" s="3" t="str">
        <f ca="1">IFERROR(__xludf.DUMMYFUNCTION("IF(ISBLANK(A262),"""",GOOGLETRANSLATE(A262,""en"",""fr""))"),"")</f>
        <v/>
      </c>
    </row>
    <row r="263" spans="2:2">
      <c r="B263" s="3" t="str">
        <f ca="1">IFERROR(__xludf.DUMMYFUNCTION("IF(ISBLANK(A263),"""",GOOGLETRANSLATE(A263,""en"",""fr""))"),"")</f>
        <v/>
      </c>
    </row>
    <row r="264" spans="2:2">
      <c r="B264" s="3" t="str">
        <f ca="1">IFERROR(__xludf.DUMMYFUNCTION("IF(ISBLANK(A264),"""",GOOGLETRANSLATE(A264,""en"",""fr""))"),"")</f>
        <v/>
      </c>
    </row>
    <row r="265" spans="2:2">
      <c r="B265" s="3" t="str">
        <f ca="1">IFERROR(__xludf.DUMMYFUNCTION("IF(ISBLANK(A265),"""",GOOGLETRANSLATE(A265,""en"",""fr""))"),"")</f>
        <v/>
      </c>
    </row>
    <row r="266" spans="2:2">
      <c r="B266" s="3" t="str">
        <f ca="1">IFERROR(__xludf.DUMMYFUNCTION("IF(ISBLANK(A266),"""",GOOGLETRANSLATE(A266,""en"",""fr""))"),"")</f>
        <v/>
      </c>
    </row>
    <row r="267" spans="2:2">
      <c r="B267" s="3" t="str">
        <f ca="1">IFERROR(__xludf.DUMMYFUNCTION("IF(ISBLANK(A267),"""",GOOGLETRANSLATE(A267,""en"",""fr""))"),"")</f>
        <v/>
      </c>
    </row>
    <row r="268" spans="2:2">
      <c r="B268" s="3" t="str">
        <f ca="1">IFERROR(__xludf.DUMMYFUNCTION("IF(ISBLANK(A268),"""",GOOGLETRANSLATE(A268,""en"",""fr""))"),"")</f>
        <v/>
      </c>
    </row>
    <row r="269" spans="2:2">
      <c r="B269" s="3" t="str">
        <f ca="1">IFERROR(__xludf.DUMMYFUNCTION("IF(ISBLANK(A269),"""",GOOGLETRANSLATE(A269,""en"",""fr""))"),"")</f>
        <v/>
      </c>
    </row>
    <row r="270" spans="2:2">
      <c r="B270" s="3" t="str">
        <f ca="1">IFERROR(__xludf.DUMMYFUNCTION("IF(ISBLANK(A270),"""",GOOGLETRANSLATE(A270,""en"",""fr""))"),"")</f>
        <v/>
      </c>
    </row>
    <row r="271" spans="2:2">
      <c r="B271" s="3" t="str">
        <f ca="1">IFERROR(__xludf.DUMMYFUNCTION("IF(ISBLANK(A271),"""",GOOGLETRANSLATE(A271,""en"",""fr""))"),"")</f>
        <v/>
      </c>
    </row>
    <row r="272" spans="2:2">
      <c r="B272" s="3" t="str">
        <f ca="1">IFERROR(__xludf.DUMMYFUNCTION("IF(ISBLANK(A272),"""",GOOGLETRANSLATE(A272,""en"",""fr""))"),"")</f>
        <v/>
      </c>
    </row>
    <row r="273" spans="2:2">
      <c r="B273" s="3" t="str">
        <f ca="1">IFERROR(__xludf.DUMMYFUNCTION("IF(ISBLANK(A273),"""",GOOGLETRANSLATE(A273,""en"",""fr""))"),"")</f>
        <v/>
      </c>
    </row>
    <row r="274" spans="2:2">
      <c r="B274" s="3" t="str">
        <f ca="1">IFERROR(__xludf.DUMMYFUNCTION("IF(ISBLANK(A274),"""",GOOGLETRANSLATE(A274,""en"",""fr""))"),"")</f>
        <v/>
      </c>
    </row>
    <row r="275" spans="2:2">
      <c r="B275" s="3" t="str">
        <f ca="1">IFERROR(__xludf.DUMMYFUNCTION("IF(ISBLANK(A275),"""",GOOGLETRANSLATE(A275,""en"",""fr""))"),"")</f>
        <v/>
      </c>
    </row>
    <row r="276" spans="2:2">
      <c r="B276" s="3" t="str">
        <f ca="1">IFERROR(__xludf.DUMMYFUNCTION("IF(ISBLANK(A276),"""",GOOGLETRANSLATE(A276,""en"",""fr""))"),"")</f>
        <v/>
      </c>
    </row>
    <row r="277" spans="2:2">
      <c r="B277" s="3" t="str">
        <f ca="1">IFERROR(__xludf.DUMMYFUNCTION("IF(ISBLANK(A277),"""",GOOGLETRANSLATE(A277,""en"",""fr""))"),"")</f>
        <v/>
      </c>
    </row>
    <row r="278" spans="2:2">
      <c r="B278" s="3" t="str">
        <f ca="1">IFERROR(__xludf.DUMMYFUNCTION("IF(ISBLANK(A278),"""",GOOGLETRANSLATE(A278,""en"",""fr""))"),"")</f>
        <v/>
      </c>
    </row>
    <row r="279" spans="2:2">
      <c r="B279" s="3" t="str">
        <f ca="1">IFERROR(__xludf.DUMMYFUNCTION("IF(ISBLANK(A279),"""",GOOGLETRANSLATE(A279,""en"",""fr""))"),"")</f>
        <v/>
      </c>
    </row>
    <row r="280" spans="2:2">
      <c r="B280" s="3" t="str">
        <f ca="1">IFERROR(__xludf.DUMMYFUNCTION("IF(ISBLANK(A280),"""",GOOGLETRANSLATE(A280,""en"",""fr""))"),"")</f>
        <v/>
      </c>
    </row>
    <row r="281" spans="2:2">
      <c r="B281" s="3" t="str">
        <f ca="1">IFERROR(__xludf.DUMMYFUNCTION("IF(ISBLANK(A281),"""",GOOGLETRANSLATE(A281,""en"",""fr""))"),"")</f>
        <v/>
      </c>
    </row>
    <row r="282" spans="2:2">
      <c r="B282" s="3" t="str">
        <f ca="1">IFERROR(__xludf.DUMMYFUNCTION("IF(ISBLANK(A282),"""",GOOGLETRANSLATE(A282,""en"",""fr""))"),"")</f>
        <v/>
      </c>
    </row>
    <row r="283" spans="2:2">
      <c r="B283" s="3" t="str">
        <f ca="1">IFERROR(__xludf.DUMMYFUNCTION("IF(ISBLANK(A283),"""",GOOGLETRANSLATE(A283,""en"",""fr""))"),"")</f>
        <v/>
      </c>
    </row>
    <row r="284" spans="2:2">
      <c r="B284" s="3" t="str">
        <f ca="1">IFERROR(__xludf.DUMMYFUNCTION("IF(ISBLANK(A284),"""",GOOGLETRANSLATE(A284,""en"",""fr""))"),"")</f>
        <v/>
      </c>
    </row>
    <row r="285" spans="2:2">
      <c r="B285" s="3" t="str">
        <f ca="1">IFERROR(__xludf.DUMMYFUNCTION("IF(ISBLANK(A285),"""",GOOGLETRANSLATE(A285,""en"",""fr""))"),"")</f>
        <v/>
      </c>
    </row>
    <row r="286" spans="2:2">
      <c r="B286" s="3" t="str">
        <f ca="1">IFERROR(__xludf.DUMMYFUNCTION("IF(ISBLANK(A286),"""",GOOGLETRANSLATE(A286,""en"",""fr""))"),"")</f>
        <v/>
      </c>
    </row>
    <row r="287" spans="2:2">
      <c r="B287" s="3" t="str">
        <f ca="1">IFERROR(__xludf.DUMMYFUNCTION("IF(ISBLANK(A287),"""",GOOGLETRANSLATE(A287,""en"",""fr""))"),"")</f>
        <v/>
      </c>
    </row>
    <row r="288" spans="2:2">
      <c r="B288" s="3" t="str">
        <f ca="1">IFERROR(__xludf.DUMMYFUNCTION("IF(ISBLANK(A288),"""",GOOGLETRANSLATE(A288,""en"",""fr""))"),"")</f>
        <v/>
      </c>
    </row>
    <row r="289" spans="2:2">
      <c r="B289" s="3" t="str">
        <f ca="1">IFERROR(__xludf.DUMMYFUNCTION("IF(ISBLANK(A289),"""",GOOGLETRANSLATE(A289,""en"",""fr""))"),"")</f>
        <v/>
      </c>
    </row>
    <row r="290" spans="2:2">
      <c r="B290" s="3" t="str">
        <f ca="1">IFERROR(__xludf.DUMMYFUNCTION("IF(ISBLANK(A290),"""",GOOGLETRANSLATE(A290,""en"",""fr""))"),"")</f>
        <v/>
      </c>
    </row>
    <row r="291" spans="2:2">
      <c r="B291" s="3" t="str">
        <f ca="1">IFERROR(__xludf.DUMMYFUNCTION("IF(ISBLANK(A291),"""",GOOGLETRANSLATE(A291,""en"",""fr""))"),"")</f>
        <v/>
      </c>
    </row>
    <row r="292" spans="2:2">
      <c r="B292" s="3" t="str">
        <f ca="1">IFERROR(__xludf.DUMMYFUNCTION("IF(ISBLANK(A292),"""",GOOGLETRANSLATE(A292,""en"",""fr""))"),"")</f>
        <v/>
      </c>
    </row>
    <row r="293" spans="2:2">
      <c r="B293" s="3" t="str">
        <f ca="1">IFERROR(__xludf.DUMMYFUNCTION("IF(ISBLANK(A293),"""",GOOGLETRANSLATE(A293,""en"",""fr""))"),"")</f>
        <v/>
      </c>
    </row>
    <row r="294" spans="2:2">
      <c r="B294" s="3" t="str">
        <f ca="1">IFERROR(__xludf.DUMMYFUNCTION("IF(ISBLANK(A294),"""",GOOGLETRANSLATE(A294,""en"",""fr""))"),"")</f>
        <v/>
      </c>
    </row>
    <row r="295" spans="2:2">
      <c r="B295" s="3" t="str">
        <f ca="1">IFERROR(__xludf.DUMMYFUNCTION("IF(ISBLANK(A295),"""",GOOGLETRANSLATE(A295,""en"",""fr""))"),"")</f>
        <v/>
      </c>
    </row>
    <row r="296" spans="2:2">
      <c r="B296" s="3" t="str">
        <f ca="1">IFERROR(__xludf.DUMMYFUNCTION("IF(ISBLANK(A296),"""",GOOGLETRANSLATE(A296,""en"",""fr""))"),"")</f>
        <v/>
      </c>
    </row>
    <row r="297" spans="2:2">
      <c r="B297" s="3" t="str">
        <f ca="1">IFERROR(__xludf.DUMMYFUNCTION("IF(ISBLANK(A297),"""",GOOGLETRANSLATE(A297,""en"",""fr""))"),"")</f>
        <v/>
      </c>
    </row>
    <row r="298" spans="2:2">
      <c r="B298" s="3" t="str">
        <f ca="1">IFERROR(__xludf.DUMMYFUNCTION("IF(ISBLANK(A298),"""",GOOGLETRANSLATE(A298,""en"",""fr""))"),"")</f>
        <v/>
      </c>
    </row>
    <row r="299" spans="2:2">
      <c r="B299" s="3" t="str">
        <f ca="1">IFERROR(__xludf.DUMMYFUNCTION("IF(ISBLANK(A299),"""",GOOGLETRANSLATE(A299,""en"",""fr""))"),"")</f>
        <v/>
      </c>
    </row>
    <row r="300" spans="2:2">
      <c r="B300" s="3" t="str">
        <f ca="1">IFERROR(__xludf.DUMMYFUNCTION("IF(ISBLANK(A300),"""",GOOGLETRANSLATE(A300,""en"",""fr""))"),"")</f>
        <v/>
      </c>
    </row>
    <row r="301" spans="2:2">
      <c r="B301" s="3" t="str">
        <f ca="1">IFERROR(__xludf.DUMMYFUNCTION("IF(ISBLANK(A301),"""",GOOGLETRANSLATE(A301,""en"",""fr""))"),"")</f>
        <v/>
      </c>
    </row>
    <row r="302" spans="2:2">
      <c r="B302" s="3" t="str">
        <f ca="1">IFERROR(__xludf.DUMMYFUNCTION("IF(ISBLANK(A302),"""",GOOGLETRANSLATE(A302,""en"",""fr""))"),"")</f>
        <v/>
      </c>
    </row>
    <row r="303" spans="2:2">
      <c r="B303" s="3" t="str">
        <f ca="1">IFERROR(__xludf.DUMMYFUNCTION("IF(ISBLANK(A303),"""",GOOGLETRANSLATE(A303,""en"",""fr""))"),"")</f>
        <v/>
      </c>
    </row>
    <row r="304" spans="2:2">
      <c r="B304" s="3" t="str">
        <f ca="1">IFERROR(__xludf.DUMMYFUNCTION("IF(ISBLANK(A304),"""",GOOGLETRANSLATE(A304,""en"",""fr""))"),"")</f>
        <v/>
      </c>
    </row>
    <row r="305" spans="2:2">
      <c r="B305" s="3" t="str">
        <f ca="1">IFERROR(__xludf.DUMMYFUNCTION("IF(ISBLANK(A305),"""",GOOGLETRANSLATE(A305,""en"",""fr""))"),"")</f>
        <v/>
      </c>
    </row>
    <row r="306" spans="2:2">
      <c r="B306" s="3" t="str">
        <f ca="1">IFERROR(__xludf.DUMMYFUNCTION("IF(ISBLANK(A306),"""",GOOGLETRANSLATE(A306,""en"",""fr""))"),"")</f>
        <v/>
      </c>
    </row>
    <row r="307" spans="2:2">
      <c r="B307" s="3" t="str">
        <f ca="1">IFERROR(__xludf.DUMMYFUNCTION("IF(ISBLANK(A307),"""",GOOGLETRANSLATE(A307,""en"",""fr""))"),"")</f>
        <v/>
      </c>
    </row>
    <row r="308" spans="2:2">
      <c r="B308" s="3" t="str">
        <f ca="1">IFERROR(__xludf.DUMMYFUNCTION("IF(ISBLANK(A308),"""",GOOGLETRANSLATE(A308,""en"",""fr""))"),"")</f>
        <v/>
      </c>
    </row>
    <row r="309" spans="2:2">
      <c r="B309" s="3" t="str">
        <f ca="1">IFERROR(__xludf.DUMMYFUNCTION("IF(ISBLANK(A309),"""",GOOGLETRANSLATE(A309,""en"",""fr""))"),"")</f>
        <v/>
      </c>
    </row>
    <row r="310" spans="2:2">
      <c r="B310" s="3" t="str">
        <f ca="1">IFERROR(__xludf.DUMMYFUNCTION("IF(ISBLANK(A310),"""",GOOGLETRANSLATE(A310,""en"",""fr""))"),"")</f>
        <v/>
      </c>
    </row>
    <row r="311" spans="2:2">
      <c r="B311" s="3" t="str">
        <f ca="1">IFERROR(__xludf.DUMMYFUNCTION("IF(ISBLANK(A311),"""",GOOGLETRANSLATE(A311,""en"",""fr""))"),"")</f>
        <v/>
      </c>
    </row>
    <row r="312" spans="2:2">
      <c r="B312" s="3" t="str">
        <f ca="1">IFERROR(__xludf.DUMMYFUNCTION("IF(ISBLANK(A312),"""",GOOGLETRANSLATE(A312,""en"",""fr""))"),"")</f>
        <v/>
      </c>
    </row>
    <row r="313" spans="2:2">
      <c r="B313" s="3" t="str">
        <f ca="1">IFERROR(__xludf.DUMMYFUNCTION("IF(ISBLANK(A313),"""",GOOGLETRANSLATE(A313,""en"",""fr""))"),"")</f>
        <v/>
      </c>
    </row>
    <row r="314" spans="2:2">
      <c r="B314" s="3" t="str">
        <f ca="1">IFERROR(__xludf.DUMMYFUNCTION("IF(ISBLANK(A314),"""",GOOGLETRANSLATE(A314,""en"",""fr""))"),"")</f>
        <v/>
      </c>
    </row>
    <row r="315" spans="2:2">
      <c r="B315" s="3" t="str">
        <f ca="1">IFERROR(__xludf.DUMMYFUNCTION("IF(ISBLANK(A315),"""",GOOGLETRANSLATE(A315,""en"",""fr""))"),"")</f>
        <v/>
      </c>
    </row>
    <row r="316" spans="2:2">
      <c r="B316" s="3" t="str">
        <f ca="1">IFERROR(__xludf.DUMMYFUNCTION("IF(ISBLANK(A316),"""",GOOGLETRANSLATE(A316,""en"",""fr""))"),"")</f>
        <v/>
      </c>
    </row>
    <row r="317" spans="2:2">
      <c r="B317" s="3" t="str">
        <f ca="1">IFERROR(__xludf.DUMMYFUNCTION("IF(ISBLANK(A317),"""",GOOGLETRANSLATE(A317,""en"",""fr""))"),"")</f>
        <v/>
      </c>
    </row>
    <row r="318" spans="2:2">
      <c r="B318" s="3" t="str">
        <f ca="1">IFERROR(__xludf.DUMMYFUNCTION("IF(ISBLANK(A318),"""",GOOGLETRANSLATE(A318,""en"",""fr""))"),"")</f>
        <v/>
      </c>
    </row>
    <row r="319" spans="2:2">
      <c r="B319" s="3" t="str">
        <f ca="1">IFERROR(__xludf.DUMMYFUNCTION("IF(ISBLANK(A319),"""",GOOGLETRANSLATE(A319,""en"",""fr""))"),"")</f>
        <v/>
      </c>
    </row>
    <row r="320" spans="2:2">
      <c r="B320" s="3" t="str">
        <f ca="1">IFERROR(__xludf.DUMMYFUNCTION("IF(ISBLANK(A320),"""",GOOGLETRANSLATE(A320,""en"",""fr""))"),"")</f>
        <v/>
      </c>
    </row>
    <row r="321" spans="2:2">
      <c r="B321" s="3" t="str">
        <f ca="1">IFERROR(__xludf.DUMMYFUNCTION("IF(ISBLANK(A321),"""",GOOGLETRANSLATE(A321,""en"",""fr""))"),"")</f>
        <v/>
      </c>
    </row>
    <row r="322" spans="2:2">
      <c r="B322" s="3" t="str">
        <f ca="1">IFERROR(__xludf.DUMMYFUNCTION("IF(ISBLANK(A322),"""",GOOGLETRANSLATE(A322,""en"",""fr""))"),"")</f>
        <v/>
      </c>
    </row>
    <row r="323" spans="2:2">
      <c r="B323" s="3" t="str">
        <f ca="1">IFERROR(__xludf.DUMMYFUNCTION("IF(ISBLANK(A323),"""",GOOGLETRANSLATE(A323,""en"",""fr""))"),"")</f>
        <v/>
      </c>
    </row>
    <row r="324" spans="2:2">
      <c r="B324" s="3" t="str">
        <f ca="1">IFERROR(__xludf.DUMMYFUNCTION("IF(ISBLANK(A324),"""",GOOGLETRANSLATE(A324,""en"",""fr""))"),"")</f>
        <v/>
      </c>
    </row>
    <row r="325" spans="2:2">
      <c r="B325" s="3" t="str">
        <f ca="1">IFERROR(__xludf.DUMMYFUNCTION("IF(ISBLANK(A325),"""",GOOGLETRANSLATE(A325,""en"",""fr""))"),"")</f>
        <v/>
      </c>
    </row>
    <row r="326" spans="2:2">
      <c r="B326" s="3" t="str">
        <f ca="1">IFERROR(__xludf.DUMMYFUNCTION("IF(ISBLANK(A326),"""",GOOGLETRANSLATE(A326,""en"",""fr""))"),"")</f>
        <v/>
      </c>
    </row>
    <row r="327" spans="2:2">
      <c r="B327" s="3" t="str">
        <f ca="1">IFERROR(__xludf.DUMMYFUNCTION("IF(ISBLANK(A327),"""",GOOGLETRANSLATE(A327,""en"",""fr""))"),"")</f>
        <v/>
      </c>
    </row>
    <row r="328" spans="2:2">
      <c r="B328" s="3" t="str">
        <f ca="1">IFERROR(__xludf.DUMMYFUNCTION("IF(ISBLANK(A328),"""",GOOGLETRANSLATE(A328,""en"",""fr""))"),"")</f>
        <v/>
      </c>
    </row>
    <row r="329" spans="2:2">
      <c r="B329" s="3" t="str">
        <f ca="1">IFERROR(__xludf.DUMMYFUNCTION("IF(ISBLANK(A329),"""",GOOGLETRANSLATE(A329,""en"",""fr""))"),"")</f>
        <v/>
      </c>
    </row>
    <row r="330" spans="2:2">
      <c r="B330" s="3" t="str">
        <f ca="1">IFERROR(__xludf.DUMMYFUNCTION("IF(ISBLANK(A330),"""",GOOGLETRANSLATE(A330,""en"",""fr""))"),"")</f>
        <v/>
      </c>
    </row>
    <row r="331" spans="2:2">
      <c r="B331" s="3" t="str">
        <f ca="1">IFERROR(__xludf.DUMMYFUNCTION("IF(ISBLANK(A331),"""",GOOGLETRANSLATE(A331,""en"",""fr""))"),"")</f>
        <v/>
      </c>
    </row>
    <row r="332" spans="2:2">
      <c r="B332" s="3" t="str">
        <f ca="1">IFERROR(__xludf.DUMMYFUNCTION("IF(ISBLANK(A332),"""",GOOGLETRANSLATE(A332,""en"",""fr""))"),"")</f>
        <v/>
      </c>
    </row>
    <row r="333" spans="2:2">
      <c r="B333" s="3" t="str">
        <f ca="1">IFERROR(__xludf.DUMMYFUNCTION("IF(ISBLANK(A333),"""",GOOGLETRANSLATE(A333,""en"",""fr""))"),"")</f>
        <v/>
      </c>
    </row>
    <row r="334" spans="2:2">
      <c r="B334" s="3" t="str">
        <f ca="1">IFERROR(__xludf.DUMMYFUNCTION("IF(ISBLANK(A334),"""",GOOGLETRANSLATE(A334,""en"",""fr""))"),"")</f>
        <v/>
      </c>
    </row>
    <row r="335" spans="2:2">
      <c r="B335" s="3" t="str">
        <f ca="1">IFERROR(__xludf.DUMMYFUNCTION("IF(ISBLANK(A335),"""",GOOGLETRANSLATE(A335,""en"",""fr""))"),"")</f>
        <v/>
      </c>
    </row>
    <row r="336" spans="2:2">
      <c r="B336" s="3" t="str">
        <f ca="1">IFERROR(__xludf.DUMMYFUNCTION("IF(ISBLANK(A336),"""",GOOGLETRANSLATE(A336,""en"",""fr""))"),"")</f>
        <v/>
      </c>
    </row>
    <row r="337" spans="2:2">
      <c r="B337" s="3" t="str">
        <f ca="1">IFERROR(__xludf.DUMMYFUNCTION("IF(ISBLANK(A337),"""",GOOGLETRANSLATE(A337,""en"",""fr""))"),"")</f>
        <v/>
      </c>
    </row>
    <row r="338" spans="2:2">
      <c r="B338" s="3" t="str">
        <f ca="1">IFERROR(__xludf.DUMMYFUNCTION("IF(ISBLANK(A338),"""",GOOGLETRANSLATE(A338,""en"",""fr""))"),"")</f>
        <v/>
      </c>
    </row>
    <row r="339" spans="2:2">
      <c r="B339" s="3" t="str">
        <f ca="1">IFERROR(__xludf.DUMMYFUNCTION("IF(ISBLANK(A339),"""",GOOGLETRANSLATE(A339,""en"",""fr""))"),"")</f>
        <v/>
      </c>
    </row>
    <row r="340" spans="2:2">
      <c r="B340" s="3" t="str">
        <f ca="1">IFERROR(__xludf.DUMMYFUNCTION("IF(ISBLANK(A340),"""",GOOGLETRANSLATE(A340,""en"",""fr""))"),"")</f>
        <v/>
      </c>
    </row>
    <row r="341" spans="2:2">
      <c r="B341" s="3" t="str">
        <f ca="1">IFERROR(__xludf.DUMMYFUNCTION("IF(ISBLANK(A341),"""",GOOGLETRANSLATE(A341,""en"",""fr""))"),"")</f>
        <v/>
      </c>
    </row>
    <row r="342" spans="2:2">
      <c r="B342" s="3" t="str">
        <f ca="1">IFERROR(__xludf.DUMMYFUNCTION("IF(ISBLANK(A342),"""",GOOGLETRANSLATE(A342,""en"",""fr""))"),"")</f>
        <v/>
      </c>
    </row>
    <row r="343" spans="2:2">
      <c r="B343" s="3" t="str">
        <f ca="1">IFERROR(__xludf.DUMMYFUNCTION("IF(ISBLANK(A343),"""",GOOGLETRANSLATE(A343,""en"",""fr""))"),"")</f>
        <v/>
      </c>
    </row>
    <row r="344" spans="2:2">
      <c r="B344" s="3" t="str">
        <f ca="1">IFERROR(__xludf.DUMMYFUNCTION("IF(ISBLANK(A344),"""",GOOGLETRANSLATE(A344,""en"",""fr""))"),"")</f>
        <v/>
      </c>
    </row>
    <row r="345" spans="2:2">
      <c r="B345" s="3" t="str">
        <f ca="1">IFERROR(__xludf.DUMMYFUNCTION("IF(ISBLANK(A345),"""",GOOGLETRANSLATE(A345,""en"",""fr""))"),"")</f>
        <v/>
      </c>
    </row>
    <row r="346" spans="2:2">
      <c r="B346" s="3" t="str">
        <f ca="1">IFERROR(__xludf.DUMMYFUNCTION("IF(ISBLANK(A346),"""",GOOGLETRANSLATE(A346,""en"",""fr""))"),"")</f>
        <v/>
      </c>
    </row>
    <row r="347" spans="2:2">
      <c r="B347" s="3" t="str">
        <f ca="1">IFERROR(__xludf.DUMMYFUNCTION("IF(ISBLANK(A347),"""",GOOGLETRANSLATE(A347,""en"",""fr""))"),"")</f>
        <v/>
      </c>
    </row>
    <row r="348" spans="2:2">
      <c r="B348" s="3" t="str">
        <f ca="1">IFERROR(__xludf.DUMMYFUNCTION("IF(ISBLANK(A348),"""",GOOGLETRANSLATE(A348,""en"",""fr""))"),"")</f>
        <v/>
      </c>
    </row>
    <row r="349" spans="2:2">
      <c r="B349" s="3" t="str">
        <f ca="1">IFERROR(__xludf.DUMMYFUNCTION("IF(ISBLANK(A349),"""",GOOGLETRANSLATE(A349,""en"",""fr""))"),"")</f>
        <v/>
      </c>
    </row>
    <row r="350" spans="2:2">
      <c r="B350" s="3" t="str">
        <f ca="1">IFERROR(__xludf.DUMMYFUNCTION("IF(ISBLANK(A350),"""",GOOGLETRANSLATE(A350,""en"",""fr""))"),"")</f>
        <v/>
      </c>
    </row>
    <row r="351" spans="2:2">
      <c r="B351" s="3" t="str">
        <f ca="1">IFERROR(__xludf.DUMMYFUNCTION("IF(ISBLANK(A351),"""",GOOGLETRANSLATE(A351,""en"",""fr""))"),"")</f>
        <v/>
      </c>
    </row>
    <row r="352" spans="2:2">
      <c r="B352" s="3" t="str">
        <f ca="1">IFERROR(__xludf.DUMMYFUNCTION("IF(ISBLANK(A352),"""",GOOGLETRANSLATE(A352,""en"",""fr""))"),"")</f>
        <v/>
      </c>
    </row>
    <row r="353" spans="2:2">
      <c r="B353" s="3" t="str">
        <f ca="1">IFERROR(__xludf.DUMMYFUNCTION("IF(ISBLANK(A353),"""",GOOGLETRANSLATE(A353,""en"",""fr""))"),"")</f>
        <v/>
      </c>
    </row>
    <row r="354" spans="2:2">
      <c r="B354" s="3" t="str">
        <f ca="1">IFERROR(__xludf.DUMMYFUNCTION("IF(ISBLANK(A354),"""",GOOGLETRANSLATE(A354,""en"",""fr""))"),"")</f>
        <v/>
      </c>
    </row>
    <row r="355" spans="2:2">
      <c r="B355" s="3" t="str">
        <f ca="1">IFERROR(__xludf.DUMMYFUNCTION("IF(ISBLANK(A355),"""",GOOGLETRANSLATE(A355,""en"",""fr""))"),"")</f>
        <v/>
      </c>
    </row>
    <row r="356" spans="2:2">
      <c r="B356" s="3" t="str">
        <f ca="1">IFERROR(__xludf.DUMMYFUNCTION("IF(ISBLANK(A356),"""",GOOGLETRANSLATE(A356,""en"",""fr""))"),"")</f>
        <v/>
      </c>
    </row>
    <row r="357" spans="2:2">
      <c r="B357" s="3" t="str">
        <f ca="1">IFERROR(__xludf.DUMMYFUNCTION("IF(ISBLANK(A357),"""",GOOGLETRANSLATE(A357,""en"",""fr""))"),"")</f>
        <v/>
      </c>
    </row>
    <row r="358" spans="2:2">
      <c r="B358" s="3" t="str">
        <f ca="1">IFERROR(__xludf.DUMMYFUNCTION("IF(ISBLANK(A358),"""",GOOGLETRANSLATE(A358,""en"",""fr""))"),"")</f>
        <v/>
      </c>
    </row>
    <row r="359" spans="2:2">
      <c r="B359" s="3" t="str">
        <f ca="1">IFERROR(__xludf.DUMMYFUNCTION("IF(ISBLANK(A359),"""",GOOGLETRANSLATE(A359,""en"",""fr""))"),"")</f>
        <v/>
      </c>
    </row>
    <row r="360" spans="2:2">
      <c r="B360" s="3" t="str">
        <f ca="1">IFERROR(__xludf.DUMMYFUNCTION("IF(ISBLANK(A360),"""",GOOGLETRANSLATE(A360,""en"",""fr""))"),"")</f>
        <v/>
      </c>
    </row>
    <row r="361" spans="2:2">
      <c r="B361" s="3" t="str">
        <f ca="1">IFERROR(__xludf.DUMMYFUNCTION("IF(ISBLANK(A361),"""",GOOGLETRANSLATE(A361,""en"",""fr""))"),"")</f>
        <v/>
      </c>
    </row>
    <row r="362" spans="2:2">
      <c r="B362" s="3" t="str">
        <f ca="1">IFERROR(__xludf.DUMMYFUNCTION("IF(ISBLANK(A362),"""",GOOGLETRANSLATE(A362,""en"",""fr""))"),"")</f>
        <v/>
      </c>
    </row>
    <row r="363" spans="2:2">
      <c r="B363" s="3" t="str">
        <f ca="1">IFERROR(__xludf.DUMMYFUNCTION("IF(ISBLANK(A363),"""",GOOGLETRANSLATE(A363,""en"",""fr""))"),"")</f>
        <v/>
      </c>
    </row>
    <row r="364" spans="2:2">
      <c r="B364" s="3" t="str">
        <f ca="1">IFERROR(__xludf.DUMMYFUNCTION("IF(ISBLANK(A364),"""",GOOGLETRANSLATE(A364,""en"",""fr""))"),"")</f>
        <v/>
      </c>
    </row>
    <row r="365" spans="2:2">
      <c r="B365" s="3" t="str">
        <f ca="1">IFERROR(__xludf.DUMMYFUNCTION("IF(ISBLANK(A365),"""",GOOGLETRANSLATE(A365,""en"",""fr""))"),"")</f>
        <v/>
      </c>
    </row>
    <row r="366" spans="2:2">
      <c r="B366" s="3" t="str">
        <f ca="1">IFERROR(__xludf.DUMMYFUNCTION("IF(ISBLANK(A366),"""",GOOGLETRANSLATE(A366,""en"",""fr""))"),"")</f>
        <v/>
      </c>
    </row>
    <row r="367" spans="2:2">
      <c r="B367" s="3" t="str">
        <f ca="1">IFERROR(__xludf.DUMMYFUNCTION("IF(ISBLANK(A367),"""",GOOGLETRANSLATE(A367,""en"",""fr""))"),"")</f>
        <v/>
      </c>
    </row>
    <row r="368" spans="2:2">
      <c r="B368" s="3" t="str">
        <f ca="1">IFERROR(__xludf.DUMMYFUNCTION("IF(ISBLANK(A368),"""",GOOGLETRANSLATE(A368,""en"",""fr""))"),"")</f>
        <v/>
      </c>
    </row>
    <row r="369" spans="2:2">
      <c r="B369" s="3" t="str">
        <f ca="1">IFERROR(__xludf.DUMMYFUNCTION("IF(ISBLANK(A369),"""",GOOGLETRANSLATE(A369,""en"",""fr""))"),"")</f>
        <v/>
      </c>
    </row>
    <row r="370" spans="2:2">
      <c r="B370" s="3" t="str">
        <f ca="1">IFERROR(__xludf.DUMMYFUNCTION("IF(ISBLANK(A370),"""",GOOGLETRANSLATE(A370,""en"",""fr""))"),"")</f>
        <v/>
      </c>
    </row>
    <row r="371" spans="2:2">
      <c r="B371" s="3" t="str">
        <f ca="1">IFERROR(__xludf.DUMMYFUNCTION("IF(ISBLANK(A371),"""",GOOGLETRANSLATE(A371,""en"",""fr""))"),"")</f>
        <v/>
      </c>
    </row>
    <row r="372" spans="2:2">
      <c r="B372" s="3" t="str">
        <f ca="1">IFERROR(__xludf.DUMMYFUNCTION("IF(ISBLANK(A372),"""",GOOGLETRANSLATE(A372,""en"",""fr""))"),"")</f>
        <v/>
      </c>
    </row>
    <row r="373" spans="2:2">
      <c r="B373" s="3" t="str">
        <f ca="1">IFERROR(__xludf.DUMMYFUNCTION("IF(ISBLANK(A373),"""",GOOGLETRANSLATE(A373,""en"",""fr""))"),"")</f>
        <v/>
      </c>
    </row>
    <row r="374" spans="2:2">
      <c r="B374" s="3" t="str">
        <f ca="1">IFERROR(__xludf.DUMMYFUNCTION("IF(ISBLANK(A374),"""",GOOGLETRANSLATE(A374,""en"",""fr""))"),"")</f>
        <v/>
      </c>
    </row>
    <row r="375" spans="2:2">
      <c r="B375" s="3" t="str">
        <f ca="1">IFERROR(__xludf.DUMMYFUNCTION("IF(ISBLANK(A375),"""",GOOGLETRANSLATE(A375,""en"",""fr""))"),"")</f>
        <v/>
      </c>
    </row>
    <row r="376" spans="2:2">
      <c r="B376" s="3" t="str">
        <f ca="1">IFERROR(__xludf.DUMMYFUNCTION("IF(ISBLANK(A376),"""",GOOGLETRANSLATE(A376,""en"",""fr""))"),"")</f>
        <v/>
      </c>
    </row>
    <row r="377" spans="2:2">
      <c r="B377" s="3" t="str">
        <f ca="1">IFERROR(__xludf.DUMMYFUNCTION("IF(ISBLANK(A377),"""",GOOGLETRANSLATE(A377,""en"",""fr""))"),"")</f>
        <v/>
      </c>
    </row>
    <row r="378" spans="2:2">
      <c r="B378" s="3" t="str">
        <f ca="1">IFERROR(__xludf.DUMMYFUNCTION("IF(ISBLANK(A378),"""",GOOGLETRANSLATE(A378,""en"",""fr""))"),"")</f>
        <v/>
      </c>
    </row>
    <row r="379" spans="2:2">
      <c r="B379" s="3" t="str">
        <f ca="1">IFERROR(__xludf.DUMMYFUNCTION("IF(ISBLANK(A379),"""",GOOGLETRANSLATE(A379,""en"",""fr""))"),"")</f>
        <v/>
      </c>
    </row>
    <row r="380" spans="2:2">
      <c r="B380" s="3" t="str">
        <f ca="1">IFERROR(__xludf.DUMMYFUNCTION("IF(ISBLANK(A380),"""",GOOGLETRANSLATE(A380,""en"",""fr""))"),"")</f>
        <v/>
      </c>
    </row>
    <row r="381" spans="2:2">
      <c r="B381" s="3" t="str">
        <f ca="1">IFERROR(__xludf.DUMMYFUNCTION("IF(ISBLANK(A381),"""",GOOGLETRANSLATE(A381,""en"",""fr""))"),"")</f>
        <v/>
      </c>
    </row>
    <row r="382" spans="2:2">
      <c r="B382" s="3" t="str">
        <f ca="1">IFERROR(__xludf.DUMMYFUNCTION("IF(ISBLANK(A382),"""",GOOGLETRANSLATE(A382,""en"",""fr""))"),"")</f>
        <v/>
      </c>
    </row>
    <row r="383" spans="2:2">
      <c r="B383" s="3" t="str">
        <f ca="1">IFERROR(__xludf.DUMMYFUNCTION("IF(ISBLANK(A383),"""",GOOGLETRANSLATE(A383,""en"",""fr""))"),"")</f>
        <v/>
      </c>
    </row>
    <row r="384" spans="2:2">
      <c r="B384" s="3" t="str">
        <f ca="1">IFERROR(__xludf.DUMMYFUNCTION("IF(ISBLANK(A384),"""",GOOGLETRANSLATE(A384,""en"",""fr""))"),"")</f>
        <v/>
      </c>
    </row>
    <row r="385" spans="2:2">
      <c r="B385" s="3" t="str">
        <f ca="1">IFERROR(__xludf.DUMMYFUNCTION("IF(ISBLANK(A385),"""",GOOGLETRANSLATE(A385,""en"",""fr""))"),"")</f>
        <v/>
      </c>
    </row>
    <row r="386" spans="2:2">
      <c r="B386" s="3" t="str">
        <f ca="1">IFERROR(__xludf.DUMMYFUNCTION("IF(ISBLANK(A386),"""",GOOGLETRANSLATE(A386,""en"",""fr""))"),"")</f>
        <v/>
      </c>
    </row>
    <row r="387" spans="2:2">
      <c r="B387" s="3" t="str">
        <f ca="1">IFERROR(__xludf.DUMMYFUNCTION("IF(ISBLANK(A387),"""",GOOGLETRANSLATE(A387,""en"",""fr""))"),"")</f>
        <v/>
      </c>
    </row>
    <row r="388" spans="2:2">
      <c r="B388" s="3" t="str">
        <f ca="1">IFERROR(__xludf.DUMMYFUNCTION("IF(ISBLANK(A388),"""",GOOGLETRANSLATE(A388,""en"",""fr""))"),"")</f>
        <v/>
      </c>
    </row>
    <row r="389" spans="2:2">
      <c r="B389" s="3" t="str">
        <f ca="1">IFERROR(__xludf.DUMMYFUNCTION("IF(ISBLANK(A389),"""",GOOGLETRANSLATE(A389,""en"",""fr""))"),"")</f>
        <v/>
      </c>
    </row>
    <row r="390" spans="2:2">
      <c r="B390" s="3" t="str">
        <f ca="1">IFERROR(__xludf.DUMMYFUNCTION("IF(ISBLANK(A390),"""",GOOGLETRANSLATE(A390,""en"",""fr""))"),"")</f>
        <v/>
      </c>
    </row>
    <row r="391" spans="2:2">
      <c r="B391" s="3" t="str">
        <f ca="1">IFERROR(__xludf.DUMMYFUNCTION("IF(ISBLANK(A391),"""",GOOGLETRANSLATE(A391,""en"",""fr""))"),"")</f>
        <v/>
      </c>
    </row>
    <row r="392" spans="2:2">
      <c r="B392" s="3" t="str">
        <f ca="1">IFERROR(__xludf.DUMMYFUNCTION("IF(ISBLANK(A392),"""",GOOGLETRANSLATE(A392,""en"",""fr""))"),"")</f>
        <v/>
      </c>
    </row>
    <row r="393" spans="2:2">
      <c r="B393" s="3" t="str">
        <f ca="1">IFERROR(__xludf.DUMMYFUNCTION("IF(ISBLANK(A393),"""",GOOGLETRANSLATE(A393,""en"",""fr""))"),"")</f>
        <v/>
      </c>
    </row>
    <row r="394" spans="2:2">
      <c r="B394" s="3" t="str">
        <f ca="1">IFERROR(__xludf.DUMMYFUNCTION("IF(ISBLANK(A394),"""",GOOGLETRANSLATE(A394,""en"",""fr""))"),"")</f>
        <v/>
      </c>
    </row>
    <row r="395" spans="2:2">
      <c r="B395" s="3" t="str">
        <f ca="1">IFERROR(__xludf.DUMMYFUNCTION("IF(ISBLANK(A395),"""",GOOGLETRANSLATE(A395,""en"",""fr""))"),"")</f>
        <v/>
      </c>
    </row>
    <row r="396" spans="2:2">
      <c r="B396" s="3" t="str">
        <f ca="1">IFERROR(__xludf.DUMMYFUNCTION("IF(ISBLANK(A396),"""",GOOGLETRANSLATE(A396,""en"",""fr""))"),"")</f>
        <v/>
      </c>
    </row>
    <row r="397" spans="2:2">
      <c r="B397" s="3" t="str">
        <f ca="1">IFERROR(__xludf.DUMMYFUNCTION("IF(ISBLANK(A397),"""",GOOGLETRANSLATE(A397,""en"",""fr""))"),"")</f>
        <v/>
      </c>
    </row>
    <row r="398" spans="2:2">
      <c r="B398" s="3" t="str">
        <f ca="1">IFERROR(__xludf.DUMMYFUNCTION("IF(ISBLANK(A398),"""",GOOGLETRANSLATE(A398,""en"",""fr""))"),"")</f>
        <v/>
      </c>
    </row>
    <row r="399" spans="2:2">
      <c r="B399" s="3" t="str">
        <f ca="1">IFERROR(__xludf.DUMMYFUNCTION("IF(ISBLANK(A399),"""",GOOGLETRANSLATE(A399,""en"",""fr""))"),"")</f>
        <v/>
      </c>
    </row>
    <row r="400" spans="2:2">
      <c r="B400" s="3" t="str">
        <f ca="1">IFERROR(__xludf.DUMMYFUNCTION("IF(ISBLANK(A400),"""",GOOGLETRANSLATE(A400,""en"",""fr""))"),"")</f>
        <v/>
      </c>
    </row>
    <row r="401" spans="2:2">
      <c r="B401" s="3" t="str">
        <f ca="1">IFERROR(__xludf.DUMMYFUNCTION("IF(ISBLANK(A401),"""",GOOGLETRANSLATE(A401,""en"",""fr""))"),"")</f>
        <v/>
      </c>
    </row>
    <row r="402" spans="2:2">
      <c r="B402" s="3" t="str">
        <f ca="1">IFERROR(__xludf.DUMMYFUNCTION("IF(ISBLANK(A402),"""",GOOGLETRANSLATE(A402,""en"",""fr""))"),"")</f>
        <v/>
      </c>
    </row>
    <row r="403" spans="2:2">
      <c r="B403" s="3" t="str">
        <f ca="1">IFERROR(__xludf.DUMMYFUNCTION("IF(ISBLANK(A403),"""",GOOGLETRANSLATE(A403,""en"",""fr""))"),"")</f>
        <v/>
      </c>
    </row>
    <row r="404" spans="2:2">
      <c r="B404" s="3" t="str">
        <f ca="1">IFERROR(__xludf.DUMMYFUNCTION("IF(ISBLANK(A404),"""",GOOGLETRANSLATE(A404,""en"",""fr""))"),"")</f>
        <v/>
      </c>
    </row>
    <row r="405" spans="2:2">
      <c r="B405" s="3" t="str">
        <f ca="1">IFERROR(__xludf.DUMMYFUNCTION("IF(ISBLANK(A405),"""",GOOGLETRANSLATE(A405,""en"",""fr""))"),"")</f>
        <v/>
      </c>
    </row>
    <row r="406" spans="2:2">
      <c r="B406" s="3" t="str">
        <f ca="1">IFERROR(__xludf.DUMMYFUNCTION("IF(ISBLANK(A406),"""",GOOGLETRANSLATE(A406,""en"",""fr""))"),"")</f>
        <v/>
      </c>
    </row>
    <row r="407" spans="2:2">
      <c r="B407" s="3" t="str">
        <f ca="1">IFERROR(__xludf.DUMMYFUNCTION("IF(ISBLANK(A407),"""",GOOGLETRANSLATE(A407,""en"",""fr""))"),"")</f>
        <v/>
      </c>
    </row>
    <row r="408" spans="2:2">
      <c r="B408" s="3" t="str">
        <f ca="1">IFERROR(__xludf.DUMMYFUNCTION("IF(ISBLANK(A408),"""",GOOGLETRANSLATE(A408,""en"",""fr""))"),"")</f>
        <v/>
      </c>
    </row>
    <row r="409" spans="2:2">
      <c r="B409" s="3" t="str">
        <f ca="1">IFERROR(__xludf.DUMMYFUNCTION("IF(ISBLANK(A409),"""",GOOGLETRANSLATE(A409,""en"",""fr""))"),"")</f>
        <v/>
      </c>
    </row>
    <row r="410" spans="2:2">
      <c r="B410" s="3" t="str">
        <f ca="1">IFERROR(__xludf.DUMMYFUNCTION("IF(ISBLANK(A410),"""",GOOGLETRANSLATE(A410,""en"",""fr""))"),"")</f>
        <v/>
      </c>
    </row>
    <row r="411" spans="2:2">
      <c r="B411" s="3" t="str">
        <f ca="1">IFERROR(__xludf.DUMMYFUNCTION("IF(ISBLANK(A411),"""",GOOGLETRANSLATE(A411,""en"",""fr""))"),"")</f>
        <v/>
      </c>
    </row>
    <row r="412" spans="2:2">
      <c r="B412" s="3" t="str">
        <f ca="1">IFERROR(__xludf.DUMMYFUNCTION("IF(ISBLANK(A412),"""",GOOGLETRANSLATE(A412,""en"",""fr""))"),"")</f>
        <v/>
      </c>
    </row>
    <row r="413" spans="2:2">
      <c r="B413" s="3" t="str">
        <f ca="1">IFERROR(__xludf.DUMMYFUNCTION("IF(ISBLANK(A413),"""",GOOGLETRANSLATE(A413,""en"",""fr""))"),"")</f>
        <v/>
      </c>
    </row>
    <row r="414" spans="2:2">
      <c r="B414" s="3" t="str">
        <f ca="1">IFERROR(__xludf.DUMMYFUNCTION("IF(ISBLANK(A414),"""",GOOGLETRANSLATE(A414,""en"",""fr""))"),"")</f>
        <v/>
      </c>
    </row>
    <row r="415" spans="2:2">
      <c r="B415" s="3" t="str">
        <f ca="1">IFERROR(__xludf.DUMMYFUNCTION("IF(ISBLANK(A415),"""",GOOGLETRANSLATE(A415,""en"",""fr""))"),"")</f>
        <v/>
      </c>
    </row>
    <row r="416" spans="2:2">
      <c r="B416" s="3" t="str">
        <f ca="1">IFERROR(__xludf.DUMMYFUNCTION("IF(ISBLANK(A416),"""",GOOGLETRANSLATE(A416,""en"",""fr""))"),"")</f>
        <v/>
      </c>
    </row>
    <row r="417" spans="2:2">
      <c r="B417" s="3" t="str">
        <f ca="1">IFERROR(__xludf.DUMMYFUNCTION("IF(ISBLANK(A417),"""",GOOGLETRANSLATE(A417,""en"",""fr""))"),"")</f>
        <v/>
      </c>
    </row>
    <row r="418" spans="2:2">
      <c r="B418" s="3" t="str">
        <f ca="1">IFERROR(__xludf.DUMMYFUNCTION("IF(ISBLANK(A418),"""",GOOGLETRANSLATE(A418,""en"",""fr""))"),"")</f>
        <v/>
      </c>
    </row>
    <row r="419" spans="2:2">
      <c r="B419" s="3" t="str">
        <f ca="1">IFERROR(__xludf.DUMMYFUNCTION("IF(ISBLANK(A419),"""",GOOGLETRANSLATE(A419,""en"",""fr""))"),"")</f>
        <v/>
      </c>
    </row>
    <row r="420" spans="2:2">
      <c r="B420" s="3" t="str">
        <f ca="1">IFERROR(__xludf.DUMMYFUNCTION("IF(ISBLANK(A420),"""",GOOGLETRANSLATE(A420,""en"",""fr""))"),"")</f>
        <v/>
      </c>
    </row>
    <row r="421" spans="2:2">
      <c r="B421" s="3" t="str">
        <f ca="1">IFERROR(__xludf.DUMMYFUNCTION("IF(ISBLANK(A421),"""",GOOGLETRANSLATE(A421,""en"",""fr""))"),"")</f>
        <v/>
      </c>
    </row>
    <row r="422" spans="2:2">
      <c r="B422" s="3" t="str">
        <f ca="1">IFERROR(__xludf.DUMMYFUNCTION("IF(ISBLANK(A422),"""",GOOGLETRANSLATE(A422,""en"",""fr""))"),"")</f>
        <v/>
      </c>
    </row>
    <row r="423" spans="2:2">
      <c r="B423" s="3" t="str">
        <f ca="1">IFERROR(__xludf.DUMMYFUNCTION("IF(ISBLANK(A423),"""",GOOGLETRANSLATE(A423,""en"",""fr""))"),"")</f>
        <v/>
      </c>
    </row>
    <row r="424" spans="2:2">
      <c r="B424" s="3" t="str">
        <f ca="1">IFERROR(__xludf.DUMMYFUNCTION("IF(ISBLANK(A424),"""",GOOGLETRANSLATE(A424,""en"",""fr""))"),"")</f>
        <v/>
      </c>
    </row>
    <row r="425" spans="2:2">
      <c r="B425" s="3" t="str">
        <f ca="1">IFERROR(__xludf.DUMMYFUNCTION("IF(ISBLANK(A425),"""",GOOGLETRANSLATE(A425,""en"",""fr""))"),"")</f>
        <v/>
      </c>
    </row>
    <row r="426" spans="2:2">
      <c r="B426" s="3" t="str">
        <f ca="1">IFERROR(__xludf.DUMMYFUNCTION("IF(ISBLANK(A426),"""",GOOGLETRANSLATE(A426,""en"",""fr""))"),"")</f>
        <v/>
      </c>
    </row>
    <row r="427" spans="2:2">
      <c r="B427" s="3" t="str">
        <f ca="1">IFERROR(__xludf.DUMMYFUNCTION("IF(ISBLANK(A427),"""",GOOGLETRANSLATE(A427,""en"",""fr""))"),"")</f>
        <v/>
      </c>
    </row>
    <row r="428" spans="2:2">
      <c r="B428" s="3" t="str">
        <f ca="1">IFERROR(__xludf.DUMMYFUNCTION("IF(ISBLANK(A428),"""",GOOGLETRANSLATE(A428,""en"",""fr""))"),"")</f>
        <v/>
      </c>
    </row>
    <row r="429" spans="2:2">
      <c r="B429" s="3" t="str">
        <f ca="1">IFERROR(__xludf.DUMMYFUNCTION("IF(ISBLANK(A429),"""",GOOGLETRANSLATE(A429,""en"",""fr""))"),"")</f>
        <v/>
      </c>
    </row>
    <row r="430" spans="2:2">
      <c r="B430" s="3" t="str">
        <f ca="1">IFERROR(__xludf.DUMMYFUNCTION("IF(ISBLANK(A430),"""",GOOGLETRANSLATE(A430,""en"",""fr""))"),"")</f>
        <v/>
      </c>
    </row>
    <row r="431" spans="2:2">
      <c r="B431" s="3" t="str">
        <f ca="1">IFERROR(__xludf.DUMMYFUNCTION("IF(ISBLANK(A431),"""",GOOGLETRANSLATE(A431,""en"",""fr""))"),"")</f>
        <v/>
      </c>
    </row>
    <row r="432" spans="2:2">
      <c r="B432" s="3" t="str">
        <f ca="1">IFERROR(__xludf.DUMMYFUNCTION("IF(ISBLANK(A432),"""",GOOGLETRANSLATE(A432,""en"",""fr""))"),"")</f>
        <v/>
      </c>
    </row>
    <row r="433" spans="2:2">
      <c r="B433" s="3" t="str">
        <f ca="1">IFERROR(__xludf.DUMMYFUNCTION("IF(ISBLANK(A433),"""",GOOGLETRANSLATE(A433,""en"",""fr""))"),"")</f>
        <v/>
      </c>
    </row>
    <row r="434" spans="2:2">
      <c r="B434" s="3" t="str">
        <f ca="1">IFERROR(__xludf.DUMMYFUNCTION("IF(ISBLANK(A434),"""",GOOGLETRANSLATE(A434,""en"",""fr""))"),"")</f>
        <v/>
      </c>
    </row>
    <row r="435" spans="2:2">
      <c r="B435" s="3" t="str">
        <f ca="1">IFERROR(__xludf.DUMMYFUNCTION("IF(ISBLANK(A435),"""",GOOGLETRANSLATE(A435,""en"",""fr""))"),"")</f>
        <v/>
      </c>
    </row>
    <row r="436" spans="2:2">
      <c r="B436" s="3" t="str">
        <f ca="1">IFERROR(__xludf.DUMMYFUNCTION("IF(ISBLANK(A436),"""",GOOGLETRANSLATE(A436,""en"",""fr""))"),"")</f>
        <v/>
      </c>
    </row>
    <row r="437" spans="2:2">
      <c r="B437" s="3" t="str">
        <f ca="1">IFERROR(__xludf.DUMMYFUNCTION("IF(ISBLANK(A437),"""",GOOGLETRANSLATE(A437,""en"",""fr""))"),"")</f>
        <v/>
      </c>
    </row>
    <row r="438" spans="2:2">
      <c r="B438" s="3" t="str">
        <f ca="1">IFERROR(__xludf.DUMMYFUNCTION("IF(ISBLANK(A438),"""",GOOGLETRANSLATE(A438,""en"",""fr""))"),"")</f>
        <v/>
      </c>
    </row>
    <row r="439" spans="2:2">
      <c r="B439" s="3" t="str">
        <f ca="1">IFERROR(__xludf.DUMMYFUNCTION("IF(ISBLANK(A439),"""",GOOGLETRANSLATE(A439,""en"",""fr""))"),"")</f>
        <v/>
      </c>
    </row>
    <row r="440" spans="2:2">
      <c r="B440" s="3" t="str">
        <f ca="1">IFERROR(__xludf.DUMMYFUNCTION("IF(ISBLANK(A440),"""",GOOGLETRANSLATE(A440,""en"",""fr""))"),"")</f>
        <v/>
      </c>
    </row>
    <row r="441" spans="2:2">
      <c r="B441" s="3" t="str">
        <f ca="1">IFERROR(__xludf.DUMMYFUNCTION("IF(ISBLANK(A441),"""",GOOGLETRANSLATE(A441,""en"",""fr""))"),"")</f>
        <v/>
      </c>
    </row>
    <row r="442" spans="2:2">
      <c r="B442" s="3" t="str">
        <f ca="1">IFERROR(__xludf.DUMMYFUNCTION("IF(ISBLANK(A442),"""",GOOGLETRANSLATE(A442,""en"",""fr""))"),"")</f>
        <v/>
      </c>
    </row>
    <row r="443" spans="2:2">
      <c r="B443" s="3" t="str">
        <f ca="1">IFERROR(__xludf.DUMMYFUNCTION("IF(ISBLANK(A443),"""",GOOGLETRANSLATE(A443,""en"",""fr""))"),"")</f>
        <v/>
      </c>
    </row>
    <row r="444" spans="2:2">
      <c r="B444" s="3" t="str">
        <f ca="1">IFERROR(__xludf.DUMMYFUNCTION("IF(ISBLANK(A444),"""",GOOGLETRANSLATE(A444,""en"",""fr""))"),"")</f>
        <v/>
      </c>
    </row>
    <row r="445" spans="2:2">
      <c r="B445" s="3" t="str">
        <f ca="1">IFERROR(__xludf.DUMMYFUNCTION("IF(ISBLANK(A445),"""",GOOGLETRANSLATE(A445,""en"",""fr""))"),"")</f>
        <v/>
      </c>
    </row>
    <row r="446" spans="2:2">
      <c r="B446" s="3" t="str">
        <f ca="1">IFERROR(__xludf.DUMMYFUNCTION("IF(ISBLANK(A446),"""",GOOGLETRANSLATE(A446,""en"",""fr""))"),"")</f>
        <v/>
      </c>
    </row>
    <row r="447" spans="2:2">
      <c r="B447" s="3" t="str">
        <f ca="1">IFERROR(__xludf.DUMMYFUNCTION("IF(ISBLANK(A447),"""",GOOGLETRANSLATE(A447,""en"",""fr""))"),"")</f>
        <v/>
      </c>
    </row>
    <row r="448" spans="2:2">
      <c r="B448" s="3" t="str">
        <f ca="1">IFERROR(__xludf.DUMMYFUNCTION("IF(ISBLANK(A448),"""",GOOGLETRANSLATE(A448,""en"",""fr""))"),"")</f>
        <v/>
      </c>
    </row>
    <row r="449" spans="2:2">
      <c r="B449" s="3" t="str">
        <f ca="1">IFERROR(__xludf.DUMMYFUNCTION("IF(ISBLANK(A449),"""",GOOGLETRANSLATE(A449,""en"",""fr""))"),"")</f>
        <v/>
      </c>
    </row>
    <row r="450" spans="2:2">
      <c r="B450" s="3" t="str">
        <f ca="1">IFERROR(__xludf.DUMMYFUNCTION("IF(ISBLANK(A450),"""",GOOGLETRANSLATE(A450,""en"",""fr""))"),"")</f>
        <v/>
      </c>
    </row>
    <row r="451" spans="2:2">
      <c r="B451" s="3" t="str">
        <f ca="1">IFERROR(__xludf.DUMMYFUNCTION("IF(ISBLANK(A451),"""",GOOGLETRANSLATE(A451,""en"",""fr""))"),"")</f>
        <v/>
      </c>
    </row>
    <row r="452" spans="2:2">
      <c r="B452" s="3" t="str">
        <f ca="1">IFERROR(__xludf.DUMMYFUNCTION("IF(ISBLANK(A452),"""",GOOGLETRANSLATE(A452,""en"",""fr""))"),"")</f>
        <v/>
      </c>
    </row>
    <row r="453" spans="2:2">
      <c r="B453" s="3" t="str">
        <f ca="1">IFERROR(__xludf.DUMMYFUNCTION("IF(ISBLANK(A453),"""",GOOGLETRANSLATE(A453,""en"",""fr""))"),"")</f>
        <v/>
      </c>
    </row>
    <row r="454" spans="2:2">
      <c r="B454" s="3" t="str">
        <f ca="1">IFERROR(__xludf.DUMMYFUNCTION("IF(ISBLANK(A454),"""",GOOGLETRANSLATE(A454,""en"",""fr""))"),"")</f>
        <v/>
      </c>
    </row>
    <row r="455" spans="2:2">
      <c r="B455" s="3" t="str">
        <f ca="1">IFERROR(__xludf.DUMMYFUNCTION("IF(ISBLANK(A455),"""",GOOGLETRANSLATE(A455,""en"",""fr""))"),"")</f>
        <v/>
      </c>
    </row>
    <row r="456" spans="2:2">
      <c r="B456" s="3" t="str">
        <f ca="1">IFERROR(__xludf.DUMMYFUNCTION("IF(ISBLANK(A456),"""",GOOGLETRANSLATE(A456,""en"",""fr""))"),"")</f>
        <v/>
      </c>
    </row>
    <row r="457" spans="2:2">
      <c r="B457" s="3" t="str">
        <f ca="1">IFERROR(__xludf.DUMMYFUNCTION("IF(ISBLANK(A457),"""",GOOGLETRANSLATE(A457,""en"",""fr""))"),"")</f>
        <v/>
      </c>
    </row>
    <row r="458" spans="2:2">
      <c r="B458" s="3" t="str">
        <f ca="1">IFERROR(__xludf.DUMMYFUNCTION("IF(ISBLANK(A458),"""",GOOGLETRANSLATE(A458,""en"",""fr""))"),"")</f>
        <v/>
      </c>
    </row>
    <row r="459" spans="2:2">
      <c r="B459" s="3" t="str">
        <f ca="1">IFERROR(__xludf.DUMMYFUNCTION("IF(ISBLANK(A459),"""",GOOGLETRANSLATE(A459,""en"",""fr""))"),"")</f>
        <v/>
      </c>
    </row>
    <row r="460" spans="2:2">
      <c r="B460" s="3" t="str">
        <f ca="1">IFERROR(__xludf.DUMMYFUNCTION("IF(ISBLANK(A460),"""",GOOGLETRANSLATE(A460,""en"",""fr""))"),"")</f>
        <v/>
      </c>
    </row>
    <row r="461" spans="2:2">
      <c r="B461" s="3" t="str">
        <f ca="1">IFERROR(__xludf.DUMMYFUNCTION("IF(ISBLANK(A461),"""",GOOGLETRANSLATE(A461,""en"",""fr""))"),"")</f>
        <v/>
      </c>
    </row>
    <row r="462" spans="2:2">
      <c r="B462" s="3" t="str">
        <f ca="1">IFERROR(__xludf.DUMMYFUNCTION("IF(ISBLANK(A462),"""",GOOGLETRANSLATE(A462,""en"",""fr""))"),"")</f>
        <v/>
      </c>
    </row>
    <row r="463" spans="2:2">
      <c r="B463" s="3" t="str">
        <f ca="1">IFERROR(__xludf.DUMMYFUNCTION("IF(ISBLANK(A463),"""",GOOGLETRANSLATE(A463,""en"",""fr""))"),"")</f>
        <v/>
      </c>
    </row>
    <row r="464" spans="2:2">
      <c r="B464" s="3" t="str">
        <f ca="1">IFERROR(__xludf.DUMMYFUNCTION("IF(ISBLANK(A464),"""",GOOGLETRANSLATE(A464,""en"",""fr""))"),"")</f>
        <v/>
      </c>
    </row>
    <row r="465" spans="2:2">
      <c r="B465" s="3" t="str">
        <f ca="1">IFERROR(__xludf.DUMMYFUNCTION("IF(ISBLANK(A465),"""",GOOGLETRANSLATE(A465,""en"",""fr""))"),"")</f>
        <v/>
      </c>
    </row>
    <row r="466" spans="2:2">
      <c r="B466" s="3" t="str">
        <f ca="1">IFERROR(__xludf.DUMMYFUNCTION("IF(ISBLANK(A466),"""",GOOGLETRANSLATE(A466,""en"",""fr""))"),"")</f>
        <v/>
      </c>
    </row>
    <row r="467" spans="2:2">
      <c r="B467" s="3" t="str">
        <f ca="1">IFERROR(__xludf.DUMMYFUNCTION("IF(ISBLANK(A467),"""",GOOGLETRANSLATE(A467,""en"",""fr""))"),"")</f>
        <v/>
      </c>
    </row>
    <row r="468" spans="2:2">
      <c r="B468" s="3" t="str">
        <f ca="1">IFERROR(__xludf.DUMMYFUNCTION("IF(ISBLANK(A468),"""",GOOGLETRANSLATE(A468,""en"",""fr""))"),"")</f>
        <v/>
      </c>
    </row>
    <row r="469" spans="2:2">
      <c r="B469" s="3" t="str">
        <f ca="1">IFERROR(__xludf.DUMMYFUNCTION("IF(ISBLANK(A469),"""",GOOGLETRANSLATE(A469,""en"",""fr""))"),"")</f>
        <v/>
      </c>
    </row>
    <row r="470" spans="2:2">
      <c r="B470" s="3" t="str">
        <f ca="1">IFERROR(__xludf.DUMMYFUNCTION("IF(ISBLANK(A470),"""",GOOGLETRANSLATE(A470,""en"",""fr""))"),"")</f>
        <v/>
      </c>
    </row>
    <row r="471" spans="2:2">
      <c r="B471" s="3" t="str">
        <f ca="1">IFERROR(__xludf.DUMMYFUNCTION("IF(ISBLANK(A471),"""",GOOGLETRANSLATE(A471,""en"",""fr""))"),"")</f>
        <v/>
      </c>
    </row>
    <row r="472" spans="2:2">
      <c r="B472" s="3" t="str">
        <f ca="1">IFERROR(__xludf.DUMMYFUNCTION("IF(ISBLANK(A472),"""",GOOGLETRANSLATE(A472,""en"",""fr""))"),"")</f>
        <v/>
      </c>
    </row>
    <row r="473" spans="2:2">
      <c r="B473" s="3" t="str">
        <f ca="1">IFERROR(__xludf.DUMMYFUNCTION("IF(ISBLANK(A473),"""",GOOGLETRANSLATE(A473,""en"",""fr""))"),"")</f>
        <v/>
      </c>
    </row>
    <row r="474" spans="2:2">
      <c r="B474" s="3" t="str">
        <f ca="1">IFERROR(__xludf.DUMMYFUNCTION("IF(ISBLANK(A474),"""",GOOGLETRANSLATE(A474,""en"",""fr""))"),"")</f>
        <v/>
      </c>
    </row>
    <row r="475" spans="2:2">
      <c r="B475" s="3" t="str">
        <f ca="1">IFERROR(__xludf.DUMMYFUNCTION("IF(ISBLANK(A475),"""",GOOGLETRANSLATE(A475,""en"",""fr""))"),"")</f>
        <v/>
      </c>
    </row>
    <row r="476" spans="2:2">
      <c r="B476" s="3" t="str">
        <f ca="1">IFERROR(__xludf.DUMMYFUNCTION("IF(ISBLANK(A476),"""",GOOGLETRANSLATE(A476,""en"",""fr""))"),"")</f>
        <v/>
      </c>
    </row>
    <row r="477" spans="2:2">
      <c r="B477" s="3" t="str">
        <f ca="1">IFERROR(__xludf.DUMMYFUNCTION("IF(ISBLANK(A477),"""",GOOGLETRANSLATE(A477,""en"",""fr""))"),"")</f>
        <v/>
      </c>
    </row>
    <row r="478" spans="2:2">
      <c r="B478" s="3" t="str">
        <f ca="1">IFERROR(__xludf.DUMMYFUNCTION("IF(ISBLANK(A478),"""",GOOGLETRANSLATE(A478,""en"",""fr""))"),"")</f>
        <v/>
      </c>
    </row>
    <row r="479" spans="2:2">
      <c r="B479" s="3" t="str">
        <f ca="1">IFERROR(__xludf.DUMMYFUNCTION("IF(ISBLANK(A479),"""",GOOGLETRANSLATE(A479,""en"",""fr""))"),"")</f>
        <v/>
      </c>
    </row>
    <row r="480" spans="2:2">
      <c r="B480" s="3" t="str">
        <f ca="1">IFERROR(__xludf.DUMMYFUNCTION("IF(ISBLANK(A480),"""",GOOGLETRANSLATE(A480,""en"",""fr""))"),"")</f>
        <v/>
      </c>
    </row>
    <row r="481" spans="2:2">
      <c r="B481" s="3" t="str">
        <f ca="1">IFERROR(__xludf.DUMMYFUNCTION("IF(ISBLANK(A481),"""",GOOGLETRANSLATE(A481,""en"",""fr""))"),"")</f>
        <v/>
      </c>
    </row>
    <row r="482" spans="2:2">
      <c r="B482" s="3" t="str">
        <f ca="1">IFERROR(__xludf.DUMMYFUNCTION("IF(ISBLANK(A482),"""",GOOGLETRANSLATE(A482,""en"",""fr""))"),"")</f>
        <v/>
      </c>
    </row>
    <row r="483" spans="2:2">
      <c r="B483" s="3" t="str">
        <f ca="1">IFERROR(__xludf.DUMMYFUNCTION("IF(ISBLANK(A483),"""",GOOGLETRANSLATE(A483,""en"",""fr""))"),"")</f>
        <v/>
      </c>
    </row>
    <row r="484" spans="2:2">
      <c r="B484" s="3" t="str">
        <f ca="1">IFERROR(__xludf.DUMMYFUNCTION("IF(ISBLANK(A484),"""",GOOGLETRANSLATE(A484,""en"",""fr""))"),"")</f>
        <v/>
      </c>
    </row>
    <row r="485" spans="2:2">
      <c r="B485" s="3" t="str">
        <f ca="1">IFERROR(__xludf.DUMMYFUNCTION("IF(ISBLANK(A485),"""",GOOGLETRANSLATE(A485,""en"",""fr""))"),"")</f>
        <v/>
      </c>
    </row>
    <row r="486" spans="2:2">
      <c r="B486" s="3" t="str">
        <f ca="1">IFERROR(__xludf.DUMMYFUNCTION("IF(ISBLANK(A486),"""",GOOGLETRANSLATE(A486,""en"",""fr""))"),"")</f>
        <v/>
      </c>
    </row>
    <row r="487" spans="2:2">
      <c r="B487" s="3" t="str">
        <f ca="1">IFERROR(__xludf.DUMMYFUNCTION("IF(ISBLANK(A487),"""",GOOGLETRANSLATE(A487,""en"",""fr""))"),"")</f>
        <v/>
      </c>
    </row>
    <row r="488" spans="2:2">
      <c r="B488" s="3" t="str">
        <f ca="1">IFERROR(__xludf.DUMMYFUNCTION("IF(ISBLANK(A488),"""",GOOGLETRANSLATE(A488,""en"",""fr""))"),"")</f>
        <v/>
      </c>
    </row>
    <row r="489" spans="2:2">
      <c r="B489" s="3" t="str">
        <f ca="1">IFERROR(__xludf.DUMMYFUNCTION("IF(ISBLANK(A489),"""",GOOGLETRANSLATE(A489,""en"",""fr""))"),"")</f>
        <v/>
      </c>
    </row>
    <row r="490" spans="2:2">
      <c r="B490" s="3" t="str">
        <f ca="1">IFERROR(__xludf.DUMMYFUNCTION("IF(ISBLANK(A490),"""",GOOGLETRANSLATE(A490,""en"",""fr""))"),"")</f>
        <v/>
      </c>
    </row>
    <row r="491" spans="2:2">
      <c r="B491" s="3" t="str">
        <f ca="1">IFERROR(__xludf.DUMMYFUNCTION("IF(ISBLANK(A491),"""",GOOGLETRANSLATE(A491,""en"",""fr""))"),"")</f>
        <v/>
      </c>
    </row>
    <row r="492" spans="2:2">
      <c r="B492" s="3" t="str">
        <f ca="1">IFERROR(__xludf.DUMMYFUNCTION("IF(ISBLANK(A492),"""",GOOGLETRANSLATE(A492,""en"",""fr""))"),"")</f>
        <v/>
      </c>
    </row>
    <row r="493" spans="2:2">
      <c r="B493" s="3" t="str">
        <f ca="1">IFERROR(__xludf.DUMMYFUNCTION("IF(ISBLANK(A493),"""",GOOGLETRANSLATE(A493,""en"",""fr""))"),"")</f>
        <v/>
      </c>
    </row>
    <row r="494" spans="2:2">
      <c r="B494" s="3" t="str">
        <f ca="1">IFERROR(__xludf.DUMMYFUNCTION("IF(ISBLANK(A494),"""",GOOGLETRANSLATE(A494,""en"",""fr""))"),"")</f>
        <v/>
      </c>
    </row>
    <row r="495" spans="2:2">
      <c r="B495" s="3" t="str">
        <f ca="1">IFERROR(__xludf.DUMMYFUNCTION("IF(ISBLANK(A495),"""",GOOGLETRANSLATE(A495,""en"",""fr""))"),"")</f>
        <v/>
      </c>
    </row>
    <row r="496" spans="2:2">
      <c r="B496" s="3" t="str">
        <f ca="1">IFERROR(__xludf.DUMMYFUNCTION("IF(ISBLANK(A496),"""",GOOGLETRANSLATE(A496,""en"",""fr""))"),"")</f>
        <v/>
      </c>
    </row>
    <row r="497" spans="2:2">
      <c r="B497" s="3" t="str">
        <f ca="1">IFERROR(__xludf.DUMMYFUNCTION("IF(ISBLANK(A497),"""",GOOGLETRANSLATE(A497,""en"",""fr""))"),"")</f>
        <v/>
      </c>
    </row>
    <row r="498" spans="2:2">
      <c r="B498" s="3" t="str">
        <f ca="1">IFERROR(__xludf.DUMMYFUNCTION("IF(ISBLANK(A498),"""",GOOGLETRANSLATE(A498,""en"",""fr""))"),"")</f>
        <v/>
      </c>
    </row>
    <row r="499" spans="2:2">
      <c r="B499" s="3" t="str">
        <f ca="1">IFERROR(__xludf.DUMMYFUNCTION("IF(ISBLANK(A499),"""",GOOGLETRANSLATE(A499,""en"",""fr""))"),"")</f>
        <v/>
      </c>
    </row>
    <row r="500" spans="2:2">
      <c r="B500" s="3" t="str">
        <f ca="1">IFERROR(__xludf.DUMMYFUNCTION("IF(ISBLANK(A500),"""",GOOGLETRANSLATE(A500,""en"",""fr""))"),"")</f>
        <v/>
      </c>
    </row>
    <row r="501" spans="2:2">
      <c r="B501" s="3" t="str">
        <f ca="1">IFERROR(__xludf.DUMMYFUNCTION("IF(ISBLANK(A501),"""",GOOGLETRANSLATE(A501,""en"",""fr""))"),"")</f>
        <v/>
      </c>
    </row>
    <row r="502" spans="2:2">
      <c r="B502" s="3" t="str">
        <f ca="1">IFERROR(__xludf.DUMMYFUNCTION("IF(ISBLANK(A502),"""",GOOGLETRANSLATE(A502,""en"",""fr""))"),"")</f>
        <v/>
      </c>
    </row>
    <row r="503" spans="2:2">
      <c r="B503" s="3" t="str">
        <f ca="1">IFERROR(__xludf.DUMMYFUNCTION("IF(ISBLANK(A503),"""",GOOGLETRANSLATE(A503,""en"",""fr""))"),"")</f>
        <v/>
      </c>
    </row>
    <row r="504" spans="2:2">
      <c r="B504" s="3" t="str">
        <f ca="1">IFERROR(__xludf.DUMMYFUNCTION("IF(ISBLANK(A504),"""",GOOGLETRANSLATE(A504,""en"",""fr""))"),"")</f>
        <v/>
      </c>
    </row>
    <row r="505" spans="2:2">
      <c r="B505" s="3" t="str">
        <f ca="1">IFERROR(__xludf.DUMMYFUNCTION("IF(ISBLANK(A505),"""",GOOGLETRANSLATE(A505,""en"",""fr""))"),"")</f>
        <v/>
      </c>
    </row>
    <row r="506" spans="2:2">
      <c r="B506" s="3" t="str">
        <f ca="1">IFERROR(__xludf.DUMMYFUNCTION("IF(ISBLANK(A506),"""",GOOGLETRANSLATE(A506,""en"",""fr""))"),"")</f>
        <v/>
      </c>
    </row>
    <row r="507" spans="2:2">
      <c r="B507" s="3" t="str">
        <f ca="1">IFERROR(__xludf.DUMMYFUNCTION("IF(ISBLANK(A507),"""",GOOGLETRANSLATE(A507,""en"",""fr""))"),"")</f>
        <v/>
      </c>
    </row>
    <row r="508" spans="2:2">
      <c r="B508" s="3" t="str">
        <f ca="1">IFERROR(__xludf.DUMMYFUNCTION("IF(ISBLANK(A508),"""",GOOGLETRANSLATE(A508,""en"",""fr""))"),"")</f>
        <v/>
      </c>
    </row>
    <row r="509" spans="2:2">
      <c r="B509" s="3" t="str">
        <f ca="1">IFERROR(__xludf.DUMMYFUNCTION("IF(ISBLANK(A509),"""",GOOGLETRANSLATE(A509,""en"",""fr""))"),"")</f>
        <v/>
      </c>
    </row>
    <row r="510" spans="2:2">
      <c r="B510" s="3" t="str">
        <f ca="1">IFERROR(__xludf.DUMMYFUNCTION("IF(ISBLANK(A510),"""",GOOGLETRANSLATE(A510,""en"",""fr""))"),"")</f>
        <v/>
      </c>
    </row>
    <row r="511" spans="2:2">
      <c r="B511" s="3" t="str">
        <f ca="1">IFERROR(__xludf.DUMMYFUNCTION("IF(ISBLANK(A511),"""",GOOGLETRANSLATE(A511,""en"",""fr""))"),"")</f>
        <v/>
      </c>
    </row>
    <row r="512" spans="2:2">
      <c r="B512" s="3" t="str">
        <f ca="1">IFERROR(__xludf.DUMMYFUNCTION("IF(ISBLANK(A512),"""",GOOGLETRANSLATE(A512,""en"",""fr""))"),"")</f>
        <v/>
      </c>
    </row>
    <row r="513" spans="2:2">
      <c r="B513" s="3" t="str">
        <f ca="1">IFERROR(__xludf.DUMMYFUNCTION("IF(ISBLANK(A513),"""",GOOGLETRANSLATE(A513,""en"",""fr""))"),"")</f>
        <v/>
      </c>
    </row>
    <row r="514" spans="2:2">
      <c r="B514" s="3" t="str">
        <f ca="1">IFERROR(__xludf.DUMMYFUNCTION("IF(ISBLANK(A514),"""",GOOGLETRANSLATE(A514,""en"",""fr""))"),"")</f>
        <v/>
      </c>
    </row>
    <row r="515" spans="2:2">
      <c r="B515" s="3" t="str">
        <f ca="1">IFERROR(__xludf.DUMMYFUNCTION("IF(ISBLANK(A515),"""",GOOGLETRANSLATE(A515,""en"",""fr""))"),"")</f>
        <v/>
      </c>
    </row>
    <row r="516" spans="2:2">
      <c r="B516" s="3" t="str">
        <f ca="1">IFERROR(__xludf.DUMMYFUNCTION("IF(ISBLANK(A516),"""",GOOGLETRANSLATE(A516,""en"",""fr""))"),"")</f>
        <v/>
      </c>
    </row>
    <row r="517" spans="2:2">
      <c r="B517" s="3" t="str">
        <f ca="1">IFERROR(__xludf.DUMMYFUNCTION("IF(ISBLANK(A517),"""",GOOGLETRANSLATE(A517,""en"",""fr""))"),"")</f>
        <v/>
      </c>
    </row>
    <row r="518" spans="2:2">
      <c r="B518" s="3" t="str">
        <f ca="1">IFERROR(__xludf.DUMMYFUNCTION("IF(ISBLANK(A518),"""",GOOGLETRANSLATE(A518,""en"",""fr""))"),"")</f>
        <v/>
      </c>
    </row>
    <row r="519" spans="2:2">
      <c r="B519" s="3" t="str">
        <f ca="1">IFERROR(__xludf.DUMMYFUNCTION("IF(ISBLANK(A519),"""",GOOGLETRANSLATE(A519,""en"",""fr""))"),"")</f>
        <v/>
      </c>
    </row>
    <row r="520" spans="2:2">
      <c r="B520" s="3" t="str">
        <f ca="1">IFERROR(__xludf.DUMMYFUNCTION("IF(ISBLANK(A520),"""",GOOGLETRANSLATE(A520,""en"",""fr""))"),"")</f>
        <v/>
      </c>
    </row>
    <row r="521" spans="2:2">
      <c r="B521" s="3" t="str">
        <f ca="1">IFERROR(__xludf.DUMMYFUNCTION("IF(ISBLANK(A521),"""",GOOGLETRANSLATE(A521,""en"",""fr""))"),"")</f>
        <v/>
      </c>
    </row>
    <row r="522" spans="2:2">
      <c r="B522" s="3" t="str">
        <f ca="1">IFERROR(__xludf.DUMMYFUNCTION("IF(ISBLANK(A522),"""",GOOGLETRANSLATE(A522,""en"",""fr""))"),"")</f>
        <v/>
      </c>
    </row>
    <row r="523" spans="2:2">
      <c r="B523" s="3" t="str">
        <f ca="1">IFERROR(__xludf.DUMMYFUNCTION("IF(ISBLANK(A523),"""",GOOGLETRANSLATE(A523,""en"",""fr""))"),"")</f>
        <v/>
      </c>
    </row>
    <row r="524" spans="2:2">
      <c r="B524" s="3" t="str">
        <f ca="1">IFERROR(__xludf.DUMMYFUNCTION("IF(ISBLANK(A524),"""",GOOGLETRANSLATE(A524,""en"",""fr""))"),"")</f>
        <v/>
      </c>
    </row>
    <row r="525" spans="2:2">
      <c r="B525" s="3" t="str">
        <f ca="1">IFERROR(__xludf.DUMMYFUNCTION("IF(ISBLANK(A525),"""",GOOGLETRANSLATE(A525,""en"",""fr""))"),"")</f>
        <v/>
      </c>
    </row>
    <row r="526" spans="2:2">
      <c r="B526" s="3" t="str">
        <f ca="1">IFERROR(__xludf.DUMMYFUNCTION("IF(ISBLANK(A526),"""",GOOGLETRANSLATE(A526,""en"",""fr""))"),"")</f>
        <v/>
      </c>
    </row>
    <row r="527" spans="2:2">
      <c r="B527" s="3" t="str">
        <f ca="1">IFERROR(__xludf.DUMMYFUNCTION("IF(ISBLANK(A527),"""",GOOGLETRANSLATE(A527,""en"",""fr""))"),"")</f>
        <v/>
      </c>
    </row>
    <row r="528" spans="2:2">
      <c r="B528" s="3" t="str">
        <f ca="1">IFERROR(__xludf.DUMMYFUNCTION("IF(ISBLANK(A528),"""",GOOGLETRANSLATE(A528,""en"",""fr""))"),"")</f>
        <v/>
      </c>
    </row>
    <row r="529" spans="2:2">
      <c r="B529" s="3" t="str">
        <f ca="1">IFERROR(__xludf.DUMMYFUNCTION("IF(ISBLANK(A529),"""",GOOGLETRANSLATE(A529,""en"",""fr""))"),"")</f>
        <v/>
      </c>
    </row>
    <row r="530" spans="2:2">
      <c r="B530" s="3" t="str">
        <f ca="1">IFERROR(__xludf.DUMMYFUNCTION("IF(ISBLANK(A530),"""",GOOGLETRANSLATE(A530,""en"",""fr""))"),"")</f>
        <v/>
      </c>
    </row>
    <row r="531" spans="2:2">
      <c r="B531" s="3" t="str">
        <f ca="1">IFERROR(__xludf.DUMMYFUNCTION("IF(ISBLANK(A531),"""",GOOGLETRANSLATE(A531,""en"",""fr""))"),"")</f>
        <v/>
      </c>
    </row>
    <row r="532" spans="2:2">
      <c r="B532" s="3" t="str">
        <f ca="1">IFERROR(__xludf.DUMMYFUNCTION("IF(ISBLANK(A532),"""",GOOGLETRANSLATE(A532,""en"",""fr""))"),"")</f>
        <v/>
      </c>
    </row>
    <row r="533" spans="2:2">
      <c r="B533" s="3" t="str">
        <f ca="1">IFERROR(__xludf.DUMMYFUNCTION("IF(ISBLANK(A533),"""",GOOGLETRANSLATE(A533,""en"",""fr""))"),"")</f>
        <v/>
      </c>
    </row>
    <row r="534" spans="2:2">
      <c r="B534" s="3" t="str">
        <f ca="1">IFERROR(__xludf.DUMMYFUNCTION("IF(ISBLANK(A534),"""",GOOGLETRANSLATE(A534,""en"",""fr""))"),"")</f>
        <v/>
      </c>
    </row>
    <row r="535" spans="2:2">
      <c r="B535" s="3" t="str">
        <f ca="1">IFERROR(__xludf.DUMMYFUNCTION("IF(ISBLANK(A535),"""",GOOGLETRANSLATE(A535,""en"",""fr""))"),"")</f>
        <v/>
      </c>
    </row>
    <row r="536" spans="2:2">
      <c r="B536" s="3" t="str">
        <f ca="1">IFERROR(__xludf.DUMMYFUNCTION("IF(ISBLANK(A536),"""",GOOGLETRANSLATE(A536,""en"",""fr""))"),"")</f>
        <v/>
      </c>
    </row>
    <row r="537" spans="2:2">
      <c r="B537" s="3" t="str">
        <f ca="1">IFERROR(__xludf.DUMMYFUNCTION("IF(ISBLANK(A537),"""",GOOGLETRANSLATE(A537,""en"",""fr""))"),"")</f>
        <v/>
      </c>
    </row>
    <row r="538" spans="2:2">
      <c r="B538" s="3" t="str">
        <f ca="1">IFERROR(__xludf.DUMMYFUNCTION("IF(ISBLANK(A538),"""",GOOGLETRANSLATE(A538,""en"",""fr""))"),"")</f>
        <v/>
      </c>
    </row>
    <row r="539" spans="2:2">
      <c r="B539" s="3" t="str">
        <f ca="1">IFERROR(__xludf.DUMMYFUNCTION("IF(ISBLANK(A539),"""",GOOGLETRANSLATE(A539,""en"",""fr""))"),"")</f>
        <v/>
      </c>
    </row>
    <row r="540" spans="2:2">
      <c r="B540" s="3" t="str">
        <f ca="1">IFERROR(__xludf.DUMMYFUNCTION("IF(ISBLANK(A540),"""",GOOGLETRANSLATE(A540,""en"",""fr""))"),"")</f>
        <v/>
      </c>
    </row>
    <row r="541" spans="2:2">
      <c r="B541" s="3" t="str">
        <f ca="1">IFERROR(__xludf.DUMMYFUNCTION("IF(ISBLANK(A541),"""",GOOGLETRANSLATE(A541,""en"",""fr""))"),"")</f>
        <v/>
      </c>
    </row>
    <row r="542" spans="2:2">
      <c r="B542" s="3" t="str">
        <f ca="1">IFERROR(__xludf.DUMMYFUNCTION("IF(ISBLANK(A542),"""",GOOGLETRANSLATE(A542,""en"",""fr""))"),"")</f>
        <v/>
      </c>
    </row>
    <row r="543" spans="2:2">
      <c r="B543" s="3" t="str">
        <f ca="1">IFERROR(__xludf.DUMMYFUNCTION("IF(ISBLANK(A543),"""",GOOGLETRANSLATE(A543,""en"",""fr""))"),"")</f>
        <v/>
      </c>
    </row>
    <row r="544" spans="2:2">
      <c r="B544" s="3" t="str">
        <f ca="1">IFERROR(__xludf.DUMMYFUNCTION("IF(ISBLANK(A544),"""",GOOGLETRANSLATE(A544,""en"",""fr""))"),"")</f>
        <v/>
      </c>
    </row>
    <row r="545" spans="2:2">
      <c r="B545" s="3" t="str">
        <f ca="1">IFERROR(__xludf.DUMMYFUNCTION("IF(ISBLANK(A545),"""",GOOGLETRANSLATE(A545,""en"",""fr""))"),"")</f>
        <v/>
      </c>
    </row>
    <row r="546" spans="2:2">
      <c r="B546" s="3" t="str">
        <f ca="1">IFERROR(__xludf.DUMMYFUNCTION("IF(ISBLANK(A546),"""",GOOGLETRANSLATE(A546,""en"",""fr""))"),"")</f>
        <v/>
      </c>
    </row>
    <row r="547" spans="2:2">
      <c r="B547" s="3" t="str">
        <f ca="1">IFERROR(__xludf.DUMMYFUNCTION("IF(ISBLANK(A547),"""",GOOGLETRANSLATE(A547,""en"",""fr""))"),"")</f>
        <v/>
      </c>
    </row>
    <row r="548" spans="2:2">
      <c r="B548" s="3" t="str">
        <f ca="1">IFERROR(__xludf.DUMMYFUNCTION("IF(ISBLANK(A548),"""",GOOGLETRANSLATE(A548,""en"",""fr""))"),"")</f>
        <v/>
      </c>
    </row>
    <row r="549" spans="2:2">
      <c r="B549" s="3" t="str">
        <f ca="1">IFERROR(__xludf.DUMMYFUNCTION("IF(ISBLANK(A549),"""",GOOGLETRANSLATE(A549,""en"",""fr""))"),"")</f>
        <v/>
      </c>
    </row>
    <row r="550" spans="2:2">
      <c r="B550" s="3" t="str">
        <f ca="1">IFERROR(__xludf.DUMMYFUNCTION("IF(ISBLANK(A550),"""",GOOGLETRANSLATE(A550,""en"",""fr""))"),"")</f>
        <v/>
      </c>
    </row>
    <row r="551" spans="2:2">
      <c r="B551" s="3" t="str">
        <f ca="1">IFERROR(__xludf.DUMMYFUNCTION("IF(ISBLANK(A551),"""",GOOGLETRANSLATE(A551,""en"",""fr""))"),"")</f>
        <v/>
      </c>
    </row>
    <row r="552" spans="2:2">
      <c r="B552" s="3" t="str">
        <f ca="1">IFERROR(__xludf.DUMMYFUNCTION("IF(ISBLANK(A552),"""",GOOGLETRANSLATE(A552,""en"",""fr""))"),"")</f>
        <v/>
      </c>
    </row>
    <row r="553" spans="2:2">
      <c r="B553" s="3" t="str">
        <f ca="1">IFERROR(__xludf.DUMMYFUNCTION("IF(ISBLANK(A553),"""",GOOGLETRANSLATE(A553,""en"",""fr""))"),"")</f>
        <v/>
      </c>
    </row>
    <row r="554" spans="2:2">
      <c r="B554" s="3" t="str">
        <f ca="1">IFERROR(__xludf.DUMMYFUNCTION("IF(ISBLANK(A554),"""",GOOGLETRANSLATE(A554,""en"",""fr""))"),"")</f>
        <v/>
      </c>
    </row>
    <row r="555" spans="2:2">
      <c r="B555" s="3" t="str">
        <f ca="1">IFERROR(__xludf.DUMMYFUNCTION("IF(ISBLANK(A555),"""",GOOGLETRANSLATE(A555,""en"",""fr""))"),"")</f>
        <v/>
      </c>
    </row>
    <row r="556" spans="2:2">
      <c r="B556" s="3" t="str">
        <f ca="1">IFERROR(__xludf.DUMMYFUNCTION("IF(ISBLANK(A556),"""",GOOGLETRANSLATE(A556,""en"",""fr""))"),"")</f>
        <v/>
      </c>
    </row>
    <row r="557" spans="2:2">
      <c r="B557" s="3" t="str">
        <f ca="1">IFERROR(__xludf.DUMMYFUNCTION("IF(ISBLANK(A557),"""",GOOGLETRANSLATE(A557,""en"",""fr""))"),"")</f>
        <v/>
      </c>
    </row>
    <row r="558" spans="2:2">
      <c r="B558" s="3" t="str">
        <f ca="1">IFERROR(__xludf.DUMMYFUNCTION("IF(ISBLANK(A558),"""",GOOGLETRANSLATE(A558,""en"",""fr""))"),"")</f>
        <v/>
      </c>
    </row>
    <row r="559" spans="2:2">
      <c r="B559" s="3" t="str">
        <f ca="1">IFERROR(__xludf.DUMMYFUNCTION("IF(ISBLANK(A559),"""",GOOGLETRANSLATE(A559,""en"",""fr""))"),"")</f>
        <v/>
      </c>
    </row>
    <row r="560" spans="2:2">
      <c r="B560" s="3" t="str">
        <f ca="1">IFERROR(__xludf.DUMMYFUNCTION("IF(ISBLANK(A560),"""",GOOGLETRANSLATE(A560,""en"",""fr""))"),"")</f>
        <v/>
      </c>
    </row>
    <row r="561" spans="2:2">
      <c r="B561" s="3" t="str">
        <f ca="1">IFERROR(__xludf.DUMMYFUNCTION("IF(ISBLANK(A561),"""",GOOGLETRANSLATE(A561,""en"",""fr""))"),"")</f>
        <v/>
      </c>
    </row>
    <row r="562" spans="2:2">
      <c r="B562" s="3" t="str">
        <f ca="1">IFERROR(__xludf.DUMMYFUNCTION("IF(ISBLANK(A562),"""",GOOGLETRANSLATE(A562,""en"",""fr""))"),"")</f>
        <v/>
      </c>
    </row>
    <row r="563" spans="2:2">
      <c r="B563" s="3" t="str">
        <f ca="1">IFERROR(__xludf.DUMMYFUNCTION("IF(ISBLANK(A563),"""",GOOGLETRANSLATE(A563,""en"",""fr""))"),"")</f>
        <v/>
      </c>
    </row>
    <row r="564" spans="2:2">
      <c r="B564" s="3" t="str">
        <f ca="1">IFERROR(__xludf.DUMMYFUNCTION("IF(ISBLANK(A564),"""",GOOGLETRANSLATE(A564,""en"",""fr""))"),"")</f>
        <v/>
      </c>
    </row>
    <row r="565" spans="2:2">
      <c r="B565" s="3" t="str">
        <f ca="1">IFERROR(__xludf.DUMMYFUNCTION("IF(ISBLANK(A565),"""",GOOGLETRANSLATE(A565,""en"",""fr""))"),"")</f>
        <v/>
      </c>
    </row>
    <row r="566" spans="2:2">
      <c r="B566" s="3" t="str">
        <f ca="1">IFERROR(__xludf.DUMMYFUNCTION("IF(ISBLANK(A566),"""",GOOGLETRANSLATE(A566,""en"",""fr""))"),"")</f>
        <v/>
      </c>
    </row>
    <row r="567" spans="2:2">
      <c r="B567" s="3" t="str">
        <f ca="1">IFERROR(__xludf.DUMMYFUNCTION("IF(ISBLANK(A567),"""",GOOGLETRANSLATE(A567,""en"",""fr""))"),"")</f>
        <v/>
      </c>
    </row>
    <row r="568" spans="2:2">
      <c r="B568" s="3" t="str">
        <f ca="1">IFERROR(__xludf.DUMMYFUNCTION("IF(ISBLANK(A568),"""",GOOGLETRANSLATE(A568,""en"",""fr""))"),"")</f>
        <v/>
      </c>
    </row>
    <row r="569" spans="2:2">
      <c r="B569" s="3" t="str">
        <f ca="1">IFERROR(__xludf.DUMMYFUNCTION("IF(ISBLANK(A569),"""",GOOGLETRANSLATE(A569,""en"",""fr""))"),"")</f>
        <v/>
      </c>
    </row>
    <row r="570" spans="2:2">
      <c r="B570" s="3" t="str">
        <f ca="1">IFERROR(__xludf.DUMMYFUNCTION("IF(ISBLANK(A570),"""",GOOGLETRANSLATE(A570,""en"",""fr""))"),"")</f>
        <v/>
      </c>
    </row>
    <row r="571" spans="2:2">
      <c r="B571" s="3" t="str">
        <f ca="1">IFERROR(__xludf.DUMMYFUNCTION("IF(ISBLANK(A571),"""",GOOGLETRANSLATE(A571,""en"",""fr""))"),"")</f>
        <v/>
      </c>
    </row>
    <row r="572" spans="2:2">
      <c r="B572" s="3" t="str">
        <f ca="1">IFERROR(__xludf.DUMMYFUNCTION("IF(ISBLANK(A572),"""",GOOGLETRANSLATE(A572,""en"",""fr""))"),"")</f>
        <v/>
      </c>
    </row>
    <row r="573" spans="2:2">
      <c r="B573" s="3" t="str">
        <f ca="1">IFERROR(__xludf.DUMMYFUNCTION("IF(ISBLANK(A573),"""",GOOGLETRANSLATE(A573,""en"",""fr""))"),"")</f>
        <v/>
      </c>
    </row>
    <row r="574" spans="2:2">
      <c r="B574" s="3" t="str">
        <f ca="1">IFERROR(__xludf.DUMMYFUNCTION("IF(ISBLANK(A574),"""",GOOGLETRANSLATE(A574,""en"",""fr""))"),"")</f>
        <v/>
      </c>
    </row>
    <row r="575" spans="2:2">
      <c r="B575" s="3" t="str">
        <f ca="1">IFERROR(__xludf.DUMMYFUNCTION("IF(ISBLANK(A575),"""",GOOGLETRANSLATE(A575,""en"",""fr""))"),"")</f>
        <v/>
      </c>
    </row>
    <row r="576" spans="2:2">
      <c r="B576" s="3" t="str">
        <f ca="1">IFERROR(__xludf.DUMMYFUNCTION("IF(ISBLANK(A576),"""",GOOGLETRANSLATE(A576,""en"",""fr""))"),"")</f>
        <v/>
      </c>
    </row>
    <row r="577" spans="2:2">
      <c r="B577" s="3" t="str">
        <f ca="1">IFERROR(__xludf.DUMMYFUNCTION("IF(ISBLANK(A577),"""",GOOGLETRANSLATE(A577,""en"",""fr""))"),"")</f>
        <v/>
      </c>
    </row>
    <row r="578" spans="2:2">
      <c r="B578" s="3" t="str">
        <f ca="1">IFERROR(__xludf.DUMMYFUNCTION("IF(ISBLANK(A578),"""",GOOGLETRANSLATE(A578,""en"",""fr""))"),"")</f>
        <v/>
      </c>
    </row>
    <row r="579" spans="2:2">
      <c r="B579" s="3" t="str">
        <f ca="1">IFERROR(__xludf.DUMMYFUNCTION("IF(ISBLANK(A579),"""",GOOGLETRANSLATE(A579,""en"",""fr""))"),"")</f>
        <v/>
      </c>
    </row>
    <row r="580" spans="2:2">
      <c r="B580" s="3" t="str">
        <f ca="1">IFERROR(__xludf.DUMMYFUNCTION("IF(ISBLANK(A580),"""",GOOGLETRANSLATE(A580,""en"",""fr""))"),"")</f>
        <v/>
      </c>
    </row>
    <row r="581" spans="2:2">
      <c r="B581" s="3" t="str">
        <f ca="1">IFERROR(__xludf.DUMMYFUNCTION("IF(ISBLANK(A581),"""",GOOGLETRANSLATE(A581,""en"",""fr""))"),"")</f>
        <v/>
      </c>
    </row>
    <row r="582" spans="2:2">
      <c r="B582" s="3" t="str">
        <f ca="1">IFERROR(__xludf.DUMMYFUNCTION("IF(ISBLANK(A582),"""",GOOGLETRANSLATE(A582,""en"",""fr""))"),"")</f>
        <v/>
      </c>
    </row>
    <row r="583" spans="2:2">
      <c r="B583" s="3" t="str">
        <f ca="1">IFERROR(__xludf.DUMMYFUNCTION("IF(ISBLANK(A583),"""",GOOGLETRANSLATE(A583,""en"",""fr""))"),"")</f>
        <v/>
      </c>
    </row>
    <row r="584" spans="2:2">
      <c r="B584" s="3" t="str">
        <f ca="1">IFERROR(__xludf.DUMMYFUNCTION("IF(ISBLANK(A584),"""",GOOGLETRANSLATE(A584,""en"",""fr""))"),"")</f>
        <v/>
      </c>
    </row>
    <row r="585" spans="2:2">
      <c r="B585" s="3" t="str">
        <f ca="1">IFERROR(__xludf.DUMMYFUNCTION("IF(ISBLANK(A585),"""",GOOGLETRANSLATE(A585,""en"",""fr""))"),"")</f>
        <v/>
      </c>
    </row>
    <row r="586" spans="2:2">
      <c r="B586" s="3" t="str">
        <f ca="1">IFERROR(__xludf.DUMMYFUNCTION("IF(ISBLANK(A586),"""",GOOGLETRANSLATE(A586,""en"",""fr""))"),"")</f>
        <v/>
      </c>
    </row>
    <row r="587" spans="2:2">
      <c r="B587" s="3" t="str">
        <f ca="1">IFERROR(__xludf.DUMMYFUNCTION("IF(ISBLANK(A587),"""",GOOGLETRANSLATE(A587,""en"",""fr""))"),"")</f>
        <v/>
      </c>
    </row>
    <row r="588" spans="2:2">
      <c r="B588" s="3" t="str">
        <f ca="1">IFERROR(__xludf.DUMMYFUNCTION("IF(ISBLANK(A588),"""",GOOGLETRANSLATE(A588,""en"",""fr""))"),"")</f>
        <v/>
      </c>
    </row>
    <row r="589" spans="2:2">
      <c r="B589" s="3" t="str">
        <f ca="1">IFERROR(__xludf.DUMMYFUNCTION("IF(ISBLANK(A589),"""",GOOGLETRANSLATE(A589,""en"",""fr""))"),"")</f>
        <v/>
      </c>
    </row>
    <row r="590" spans="2:2">
      <c r="B590" s="3" t="str">
        <f ca="1">IFERROR(__xludf.DUMMYFUNCTION("IF(ISBLANK(A590),"""",GOOGLETRANSLATE(A590,""en"",""fr""))"),"")</f>
        <v/>
      </c>
    </row>
    <row r="591" spans="2:2">
      <c r="B591" s="3" t="str">
        <f ca="1">IFERROR(__xludf.DUMMYFUNCTION("IF(ISBLANK(A591),"""",GOOGLETRANSLATE(A591,""en"",""fr""))"),"")</f>
        <v/>
      </c>
    </row>
    <row r="592" spans="2:2">
      <c r="B592" s="3" t="str">
        <f ca="1">IFERROR(__xludf.DUMMYFUNCTION("IF(ISBLANK(A592),"""",GOOGLETRANSLATE(A592,""en"",""fr""))"),"")</f>
        <v/>
      </c>
    </row>
    <row r="593" spans="2:2">
      <c r="B593" s="3" t="str">
        <f ca="1">IFERROR(__xludf.DUMMYFUNCTION("IF(ISBLANK(A593),"""",GOOGLETRANSLATE(A593,""en"",""fr""))"),"")</f>
        <v/>
      </c>
    </row>
    <row r="594" spans="2:2">
      <c r="B594" s="3" t="str">
        <f ca="1">IFERROR(__xludf.DUMMYFUNCTION("IF(ISBLANK(A594),"""",GOOGLETRANSLATE(A594,""en"",""fr""))"),"")</f>
        <v/>
      </c>
    </row>
    <row r="595" spans="2:2">
      <c r="B595" s="3" t="str">
        <f ca="1">IFERROR(__xludf.DUMMYFUNCTION("IF(ISBLANK(A595),"""",GOOGLETRANSLATE(A595,""en"",""fr""))"),"")</f>
        <v/>
      </c>
    </row>
    <row r="596" spans="2:2">
      <c r="B596" s="3" t="str">
        <f ca="1">IFERROR(__xludf.DUMMYFUNCTION("IF(ISBLANK(A596),"""",GOOGLETRANSLATE(A596,""en"",""fr""))"),"")</f>
        <v/>
      </c>
    </row>
    <row r="597" spans="2:2">
      <c r="B597" s="3" t="str">
        <f ca="1">IFERROR(__xludf.DUMMYFUNCTION("IF(ISBLANK(A597),"""",GOOGLETRANSLATE(A597,""en"",""fr""))"),"")</f>
        <v/>
      </c>
    </row>
    <row r="598" spans="2:2">
      <c r="B598" s="3" t="str">
        <f ca="1">IFERROR(__xludf.DUMMYFUNCTION("IF(ISBLANK(A598),"""",GOOGLETRANSLATE(A598,""en"",""fr""))"),"")</f>
        <v/>
      </c>
    </row>
    <row r="599" spans="2:2">
      <c r="B599" s="3" t="str">
        <f ca="1">IFERROR(__xludf.DUMMYFUNCTION("IF(ISBLANK(A599),"""",GOOGLETRANSLATE(A599,""en"",""fr""))"),"")</f>
        <v/>
      </c>
    </row>
    <row r="600" spans="2:2">
      <c r="B600" s="3" t="str">
        <f ca="1">IFERROR(__xludf.DUMMYFUNCTION("IF(ISBLANK(A600),"""",GOOGLETRANSLATE(A600,""en"",""fr""))"),"")</f>
        <v/>
      </c>
    </row>
    <row r="601" spans="2:2">
      <c r="B601" s="3" t="str">
        <f ca="1">IFERROR(__xludf.DUMMYFUNCTION("IF(ISBLANK(A601),"""",GOOGLETRANSLATE(A601,""en"",""fr""))"),"")</f>
        <v/>
      </c>
    </row>
    <row r="602" spans="2:2">
      <c r="B602" s="3" t="str">
        <f ca="1">IFERROR(__xludf.DUMMYFUNCTION("IF(ISBLANK(A602),"""",GOOGLETRANSLATE(A602,""en"",""fr""))"),"")</f>
        <v/>
      </c>
    </row>
    <row r="603" spans="2:2">
      <c r="B603" s="3" t="str">
        <f ca="1">IFERROR(__xludf.DUMMYFUNCTION("IF(ISBLANK(A603),"""",GOOGLETRANSLATE(A603,""en"",""fr""))"),"")</f>
        <v/>
      </c>
    </row>
    <row r="604" spans="2:2">
      <c r="B604" s="3" t="str">
        <f ca="1">IFERROR(__xludf.DUMMYFUNCTION("IF(ISBLANK(A604),"""",GOOGLETRANSLATE(A604,""en"",""fr""))"),"")</f>
        <v/>
      </c>
    </row>
    <row r="605" spans="2:2">
      <c r="B605" s="3" t="str">
        <f ca="1">IFERROR(__xludf.DUMMYFUNCTION("IF(ISBLANK(A605),"""",GOOGLETRANSLATE(A605,""en"",""fr""))"),"")</f>
        <v/>
      </c>
    </row>
    <row r="606" spans="2:2">
      <c r="B606" s="3" t="str">
        <f ca="1">IFERROR(__xludf.DUMMYFUNCTION("IF(ISBLANK(A606),"""",GOOGLETRANSLATE(A606,""en"",""fr""))"),"")</f>
        <v/>
      </c>
    </row>
    <row r="607" spans="2:2">
      <c r="B607" s="3" t="str">
        <f ca="1">IFERROR(__xludf.DUMMYFUNCTION("IF(ISBLANK(A607),"""",GOOGLETRANSLATE(A607,""en"",""fr""))"),"")</f>
        <v/>
      </c>
    </row>
    <row r="608" spans="2:2">
      <c r="B608" s="3" t="str">
        <f ca="1">IFERROR(__xludf.DUMMYFUNCTION("IF(ISBLANK(A608),"""",GOOGLETRANSLATE(A608,""en"",""fr""))"),"")</f>
        <v/>
      </c>
    </row>
    <row r="609" spans="2:2">
      <c r="B609" s="3" t="str">
        <f ca="1">IFERROR(__xludf.DUMMYFUNCTION("IF(ISBLANK(A609),"""",GOOGLETRANSLATE(A609,""en"",""fr""))"),"")</f>
        <v/>
      </c>
    </row>
    <row r="610" spans="2:2">
      <c r="B610" s="3" t="str">
        <f ca="1">IFERROR(__xludf.DUMMYFUNCTION("IF(ISBLANK(A610),"""",GOOGLETRANSLATE(A610,""en"",""fr""))"),"")</f>
        <v/>
      </c>
    </row>
    <row r="611" spans="2:2">
      <c r="B611" s="3" t="str">
        <f ca="1">IFERROR(__xludf.DUMMYFUNCTION("IF(ISBLANK(A611),"""",GOOGLETRANSLATE(A611,""en"",""fr""))"),"")</f>
        <v/>
      </c>
    </row>
    <row r="612" spans="2:2">
      <c r="B612" s="3" t="str">
        <f ca="1">IFERROR(__xludf.DUMMYFUNCTION("IF(ISBLANK(A612),"""",GOOGLETRANSLATE(A612,""en"",""fr""))"),"")</f>
        <v/>
      </c>
    </row>
    <row r="613" spans="2:2">
      <c r="B613" s="3" t="str">
        <f ca="1">IFERROR(__xludf.DUMMYFUNCTION("IF(ISBLANK(A613),"""",GOOGLETRANSLATE(A613,""en"",""fr""))"),"")</f>
        <v/>
      </c>
    </row>
    <row r="614" spans="2:2">
      <c r="B614" s="3" t="str">
        <f ca="1">IFERROR(__xludf.DUMMYFUNCTION("IF(ISBLANK(A614),"""",GOOGLETRANSLATE(A614,""en"",""fr""))"),"")</f>
        <v/>
      </c>
    </row>
    <row r="615" spans="2:2">
      <c r="B615" s="3" t="str">
        <f ca="1">IFERROR(__xludf.DUMMYFUNCTION("IF(ISBLANK(A615),"""",GOOGLETRANSLATE(A615,""en"",""fr""))"),"")</f>
        <v/>
      </c>
    </row>
    <row r="616" spans="2:2">
      <c r="B616" s="3" t="str">
        <f ca="1">IFERROR(__xludf.DUMMYFUNCTION("IF(ISBLANK(A616),"""",GOOGLETRANSLATE(A616,""en"",""fr""))"),"")</f>
        <v/>
      </c>
    </row>
    <row r="617" spans="2:2">
      <c r="B617" s="3" t="str">
        <f ca="1">IFERROR(__xludf.DUMMYFUNCTION("IF(ISBLANK(A617),"""",GOOGLETRANSLATE(A617,""en"",""fr""))"),"")</f>
        <v/>
      </c>
    </row>
    <row r="618" spans="2:2">
      <c r="B618" s="3" t="str">
        <f ca="1">IFERROR(__xludf.DUMMYFUNCTION("IF(ISBLANK(A618),"""",GOOGLETRANSLATE(A618,""en"",""fr""))"),"")</f>
        <v/>
      </c>
    </row>
    <row r="619" spans="2:2">
      <c r="B619" s="3" t="str">
        <f ca="1">IFERROR(__xludf.DUMMYFUNCTION("IF(ISBLANK(A619),"""",GOOGLETRANSLATE(A619,""en"",""fr""))"),"")</f>
        <v/>
      </c>
    </row>
    <row r="620" spans="2:2">
      <c r="B620" s="3" t="str">
        <f ca="1">IFERROR(__xludf.DUMMYFUNCTION("IF(ISBLANK(A620),"""",GOOGLETRANSLATE(A620,""en"",""fr""))"),"")</f>
        <v/>
      </c>
    </row>
    <row r="621" spans="2:2">
      <c r="B621" s="3" t="str">
        <f ca="1">IFERROR(__xludf.DUMMYFUNCTION("IF(ISBLANK(A621),"""",GOOGLETRANSLATE(A621,""en"",""fr""))"),"")</f>
        <v/>
      </c>
    </row>
    <row r="622" spans="2:2">
      <c r="B622" s="3" t="str">
        <f ca="1">IFERROR(__xludf.DUMMYFUNCTION("IF(ISBLANK(A622),"""",GOOGLETRANSLATE(A622,""en"",""fr""))"),"")</f>
        <v/>
      </c>
    </row>
    <row r="623" spans="2:2">
      <c r="B623" s="3" t="str">
        <f ca="1">IFERROR(__xludf.DUMMYFUNCTION("IF(ISBLANK(A623),"""",GOOGLETRANSLATE(A623,""en"",""fr""))"),"")</f>
        <v/>
      </c>
    </row>
    <row r="624" spans="2:2">
      <c r="B624" s="3" t="str">
        <f ca="1">IFERROR(__xludf.DUMMYFUNCTION("IF(ISBLANK(A624),"""",GOOGLETRANSLATE(A624,""en"",""fr""))"),"")</f>
        <v/>
      </c>
    </row>
    <row r="625" spans="2:2">
      <c r="B625" s="3" t="str">
        <f ca="1">IFERROR(__xludf.DUMMYFUNCTION("IF(ISBLANK(A625),"""",GOOGLETRANSLATE(A625,""en"",""fr""))"),"")</f>
        <v/>
      </c>
    </row>
    <row r="626" spans="2:2">
      <c r="B626" s="3" t="str">
        <f ca="1">IFERROR(__xludf.DUMMYFUNCTION("IF(ISBLANK(A626),"""",GOOGLETRANSLATE(A626,""en"",""fr""))"),"")</f>
        <v/>
      </c>
    </row>
    <row r="627" spans="2:2">
      <c r="B627" s="3" t="str">
        <f ca="1">IFERROR(__xludf.DUMMYFUNCTION("IF(ISBLANK(A627),"""",GOOGLETRANSLATE(A627,""en"",""fr""))"),"")</f>
        <v/>
      </c>
    </row>
    <row r="628" spans="2:2">
      <c r="B628" s="3" t="str">
        <f ca="1">IFERROR(__xludf.DUMMYFUNCTION("IF(ISBLANK(A628),"""",GOOGLETRANSLATE(A628,""en"",""fr""))"),"")</f>
        <v/>
      </c>
    </row>
    <row r="629" spans="2:2">
      <c r="B629" s="3" t="str">
        <f ca="1">IFERROR(__xludf.DUMMYFUNCTION("IF(ISBLANK(A629),"""",GOOGLETRANSLATE(A629,""en"",""fr""))"),"")</f>
        <v/>
      </c>
    </row>
    <row r="630" spans="2:2">
      <c r="B630" s="3" t="str">
        <f ca="1">IFERROR(__xludf.DUMMYFUNCTION("IF(ISBLANK(A630),"""",GOOGLETRANSLATE(A630,""en"",""fr""))"),"")</f>
        <v/>
      </c>
    </row>
    <row r="631" spans="2:2">
      <c r="B631" s="3" t="str">
        <f ca="1">IFERROR(__xludf.DUMMYFUNCTION("IF(ISBLANK(A631),"""",GOOGLETRANSLATE(A631,""en"",""fr""))"),"")</f>
        <v/>
      </c>
    </row>
    <row r="632" spans="2:2">
      <c r="B632" s="3" t="str">
        <f ca="1">IFERROR(__xludf.DUMMYFUNCTION("IF(ISBLANK(A632),"""",GOOGLETRANSLATE(A632,""en"",""fr""))"),"")</f>
        <v/>
      </c>
    </row>
    <row r="633" spans="2:2">
      <c r="B633" s="3" t="str">
        <f ca="1">IFERROR(__xludf.DUMMYFUNCTION("IF(ISBLANK(A633),"""",GOOGLETRANSLATE(A633,""en"",""fr""))"),"")</f>
        <v/>
      </c>
    </row>
    <row r="634" spans="2:2">
      <c r="B634" s="3" t="str">
        <f ca="1">IFERROR(__xludf.DUMMYFUNCTION("IF(ISBLANK(A634),"""",GOOGLETRANSLATE(A634,""en"",""fr""))"),"")</f>
        <v/>
      </c>
    </row>
    <row r="635" spans="2:2">
      <c r="B635" s="3" t="str">
        <f ca="1">IFERROR(__xludf.DUMMYFUNCTION("IF(ISBLANK(A635),"""",GOOGLETRANSLATE(A635,""en"",""fr""))"),"")</f>
        <v/>
      </c>
    </row>
    <row r="636" spans="2:2">
      <c r="B636" s="3" t="str">
        <f ca="1">IFERROR(__xludf.DUMMYFUNCTION("IF(ISBLANK(A636),"""",GOOGLETRANSLATE(A636,""en"",""fr""))"),"")</f>
        <v/>
      </c>
    </row>
    <row r="637" spans="2:2">
      <c r="B637" s="3" t="str">
        <f ca="1">IFERROR(__xludf.DUMMYFUNCTION("IF(ISBLANK(A637),"""",GOOGLETRANSLATE(A637,""en"",""fr""))"),"")</f>
        <v/>
      </c>
    </row>
    <row r="638" spans="2:2">
      <c r="B638" s="3" t="str">
        <f ca="1">IFERROR(__xludf.DUMMYFUNCTION("IF(ISBLANK(A638),"""",GOOGLETRANSLATE(A638,""en"",""fr""))"),"")</f>
        <v/>
      </c>
    </row>
    <row r="639" spans="2:2">
      <c r="B639" s="3" t="str">
        <f ca="1">IFERROR(__xludf.DUMMYFUNCTION("IF(ISBLANK(A639),"""",GOOGLETRANSLATE(A639,""en"",""fr""))"),"")</f>
        <v/>
      </c>
    </row>
    <row r="640" spans="2:2">
      <c r="B640" s="3" t="str">
        <f ca="1">IFERROR(__xludf.DUMMYFUNCTION("IF(ISBLANK(A640),"""",GOOGLETRANSLATE(A640,""en"",""fr""))"),"")</f>
        <v/>
      </c>
    </row>
    <row r="641" spans="2:2">
      <c r="B641" s="3" t="str">
        <f ca="1">IFERROR(__xludf.DUMMYFUNCTION("IF(ISBLANK(A641),"""",GOOGLETRANSLATE(A641,""en"",""fr""))"),"")</f>
        <v/>
      </c>
    </row>
    <row r="642" spans="2:2">
      <c r="B642" s="3" t="str">
        <f ca="1">IFERROR(__xludf.DUMMYFUNCTION("IF(ISBLANK(A642),"""",GOOGLETRANSLATE(A642,""en"",""fr""))"),"")</f>
        <v/>
      </c>
    </row>
    <row r="643" spans="2:2">
      <c r="B643" s="3" t="str">
        <f ca="1">IFERROR(__xludf.DUMMYFUNCTION("IF(ISBLANK(A643),"""",GOOGLETRANSLATE(A643,""en"",""fr""))"),"")</f>
        <v/>
      </c>
    </row>
    <row r="644" spans="2:2">
      <c r="B644" s="3" t="str">
        <f ca="1">IFERROR(__xludf.DUMMYFUNCTION("IF(ISBLANK(A644),"""",GOOGLETRANSLATE(A644,""en"",""fr""))"),"")</f>
        <v/>
      </c>
    </row>
    <row r="645" spans="2:2">
      <c r="B645" s="3" t="str">
        <f ca="1">IFERROR(__xludf.DUMMYFUNCTION("IF(ISBLANK(A645),"""",GOOGLETRANSLATE(A645,""en"",""fr""))"),"")</f>
        <v/>
      </c>
    </row>
    <row r="646" spans="2:2">
      <c r="B646" s="3" t="str">
        <f ca="1">IFERROR(__xludf.DUMMYFUNCTION("IF(ISBLANK(A646),"""",GOOGLETRANSLATE(A646,""en"",""fr""))"),"")</f>
        <v/>
      </c>
    </row>
    <row r="647" spans="2:2">
      <c r="B647" s="3" t="str">
        <f ca="1">IFERROR(__xludf.DUMMYFUNCTION("IF(ISBLANK(A647),"""",GOOGLETRANSLATE(A647,""en"",""fr""))"),"")</f>
        <v/>
      </c>
    </row>
    <row r="648" spans="2:2">
      <c r="B648" s="3" t="str">
        <f ca="1">IFERROR(__xludf.DUMMYFUNCTION("IF(ISBLANK(A648),"""",GOOGLETRANSLATE(A648,""en"",""fr""))"),"")</f>
        <v/>
      </c>
    </row>
    <row r="649" spans="2:2">
      <c r="B649" s="3" t="str">
        <f ca="1">IFERROR(__xludf.DUMMYFUNCTION("IF(ISBLANK(A649),"""",GOOGLETRANSLATE(A649,""en"",""fr""))"),"")</f>
        <v/>
      </c>
    </row>
    <row r="650" spans="2:2">
      <c r="B650" s="3" t="str">
        <f ca="1">IFERROR(__xludf.DUMMYFUNCTION("IF(ISBLANK(A650),"""",GOOGLETRANSLATE(A650,""en"",""fr""))"),"")</f>
        <v/>
      </c>
    </row>
    <row r="651" spans="2:2">
      <c r="B651" s="3" t="str">
        <f ca="1">IFERROR(__xludf.DUMMYFUNCTION("IF(ISBLANK(A651),"""",GOOGLETRANSLATE(A651,""en"",""fr""))"),"")</f>
        <v/>
      </c>
    </row>
    <row r="652" spans="2:2">
      <c r="B652" s="3" t="str">
        <f ca="1">IFERROR(__xludf.DUMMYFUNCTION("IF(ISBLANK(A652),"""",GOOGLETRANSLATE(A652,""en"",""fr""))"),"")</f>
        <v/>
      </c>
    </row>
    <row r="653" spans="2:2">
      <c r="B653" s="3" t="str">
        <f ca="1">IFERROR(__xludf.DUMMYFUNCTION("IF(ISBLANK(A653),"""",GOOGLETRANSLATE(A653,""en"",""fr""))"),"")</f>
        <v/>
      </c>
    </row>
    <row r="654" spans="2:2">
      <c r="B654" s="3" t="str">
        <f ca="1">IFERROR(__xludf.DUMMYFUNCTION("IF(ISBLANK(A654),"""",GOOGLETRANSLATE(A654,""en"",""fr""))"),"")</f>
        <v/>
      </c>
    </row>
    <row r="655" spans="2:2">
      <c r="B655" s="3" t="str">
        <f ca="1">IFERROR(__xludf.DUMMYFUNCTION("IF(ISBLANK(A655),"""",GOOGLETRANSLATE(A655,""en"",""fr""))"),"")</f>
        <v/>
      </c>
    </row>
    <row r="656" spans="2:2">
      <c r="B656" s="3" t="str">
        <f ca="1">IFERROR(__xludf.DUMMYFUNCTION("IF(ISBLANK(A656),"""",GOOGLETRANSLATE(A656,""en"",""fr""))"),"")</f>
        <v/>
      </c>
    </row>
    <row r="657" spans="2:2">
      <c r="B657" s="3" t="str">
        <f ca="1">IFERROR(__xludf.DUMMYFUNCTION("IF(ISBLANK(A657),"""",GOOGLETRANSLATE(A657,""en"",""fr""))"),"")</f>
        <v/>
      </c>
    </row>
    <row r="658" spans="2:2">
      <c r="B658" s="3" t="str">
        <f ca="1">IFERROR(__xludf.DUMMYFUNCTION("IF(ISBLANK(A658),"""",GOOGLETRANSLATE(A658,""en"",""fr""))"),"")</f>
        <v/>
      </c>
    </row>
    <row r="659" spans="2:2">
      <c r="B659" s="3" t="str">
        <f ca="1">IFERROR(__xludf.DUMMYFUNCTION("IF(ISBLANK(A659),"""",GOOGLETRANSLATE(A659,""en"",""fr""))"),"")</f>
        <v/>
      </c>
    </row>
    <row r="660" spans="2:2">
      <c r="B660" s="3" t="str">
        <f ca="1">IFERROR(__xludf.DUMMYFUNCTION("IF(ISBLANK(A660),"""",GOOGLETRANSLATE(A660,""en"",""fr""))"),"")</f>
        <v/>
      </c>
    </row>
    <row r="661" spans="2:2">
      <c r="B661" s="3" t="str">
        <f ca="1">IFERROR(__xludf.DUMMYFUNCTION("IF(ISBLANK(A661),"""",GOOGLETRANSLATE(A661,""en"",""fr""))"),"")</f>
        <v/>
      </c>
    </row>
    <row r="662" spans="2:2">
      <c r="B662" s="3" t="str">
        <f ca="1">IFERROR(__xludf.DUMMYFUNCTION("IF(ISBLANK(A662),"""",GOOGLETRANSLATE(A662,""en"",""fr""))"),"")</f>
        <v/>
      </c>
    </row>
    <row r="663" spans="2:2">
      <c r="B663" s="3" t="str">
        <f ca="1">IFERROR(__xludf.DUMMYFUNCTION("IF(ISBLANK(A663),"""",GOOGLETRANSLATE(A663,""en"",""fr""))"),"")</f>
        <v/>
      </c>
    </row>
    <row r="664" spans="2:2">
      <c r="B664" s="3" t="str">
        <f ca="1">IFERROR(__xludf.DUMMYFUNCTION("IF(ISBLANK(A664),"""",GOOGLETRANSLATE(A664,""en"",""fr""))"),"")</f>
        <v/>
      </c>
    </row>
    <row r="665" spans="2:2">
      <c r="B665" s="3" t="str">
        <f ca="1">IFERROR(__xludf.DUMMYFUNCTION("IF(ISBLANK(A665),"""",GOOGLETRANSLATE(A665,""en"",""fr""))"),"")</f>
        <v/>
      </c>
    </row>
    <row r="666" spans="2:2">
      <c r="B666" s="3" t="str">
        <f ca="1">IFERROR(__xludf.DUMMYFUNCTION("IF(ISBLANK(A666),"""",GOOGLETRANSLATE(A666,""en"",""fr""))"),"")</f>
        <v/>
      </c>
    </row>
    <row r="667" spans="2:2">
      <c r="B667" s="3" t="str">
        <f ca="1">IFERROR(__xludf.DUMMYFUNCTION("IF(ISBLANK(A667),"""",GOOGLETRANSLATE(A667,""en"",""fr""))"),"")</f>
        <v/>
      </c>
    </row>
    <row r="668" spans="2:2">
      <c r="B668" s="3" t="str">
        <f ca="1">IFERROR(__xludf.DUMMYFUNCTION("IF(ISBLANK(A668),"""",GOOGLETRANSLATE(A668,""en"",""fr""))"),"")</f>
        <v/>
      </c>
    </row>
    <row r="669" spans="2:2">
      <c r="B669" s="3" t="str">
        <f ca="1">IFERROR(__xludf.DUMMYFUNCTION("IF(ISBLANK(A669),"""",GOOGLETRANSLATE(A669,""en"",""fr""))"),"")</f>
        <v/>
      </c>
    </row>
    <row r="670" spans="2:2">
      <c r="B670" s="3" t="str">
        <f ca="1">IFERROR(__xludf.DUMMYFUNCTION("IF(ISBLANK(A670),"""",GOOGLETRANSLATE(A670,""en"",""fr""))"),"")</f>
        <v/>
      </c>
    </row>
    <row r="671" spans="2:2">
      <c r="B671" s="3" t="str">
        <f ca="1">IFERROR(__xludf.DUMMYFUNCTION("IF(ISBLANK(A671),"""",GOOGLETRANSLATE(A671,""en"",""fr""))"),"")</f>
        <v/>
      </c>
    </row>
    <row r="672" spans="2:2">
      <c r="B672" s="3" t="str">
        <f ca="1">IFERROR(__xludf.DUMMYFUNCTION("IF(ISBLANK(A672),"""",GOOGLETRANSLATE(A672,""en"",""fr""))"),"")</f>
        <v/>
      </c>
    </row>
    <row r="673" spans="2:2">
      <c r="B673" s="3" t="str">
        <f ca="1">IFERROR(__xludf.DUMMYFUNCTION("IF(ISBLANK(A673),"""",GOOGLETRANSLATE(A673,""en"",""fr""))"),"")</f>
        <v/>
      </c>
    </row>
    <row r="674" spans="2:2">
      <c r="B674" s="3" t="str">
        <f ca="1">IFERROR(__xludf.DUMMYFUNCTION("IF(ISBLANK(A674),"""",GOOGLETRANSLATE(A674,""en"",""fr""))"),"")</f>
        <v/>
      </c>
    </row>
    <row r="675" spans="2:2">
      <c r="B675" s="3" t="str">
        <f ca="1">IFERROR(__xludf.DUMMYFUNCTION("IF(ISBLANK(A675),"""",GOOGLETRANSLATE(A675,""en"",""fr""))"),"")</f>
        <v/>
      </c>
    </row>
    <row r="676" spans="2:2">
      <c r="B676" s="3" t="str">
        <f ca="1">IFERROR(__xludf.DUMMYFUNCTION("IF(ISBLANK(A676),"""",GOOGLETRANSLATE(A676,""en"",""fr""))"),"")</f>
        <v/>
      </c>
    </row>
    <row r="677" spans="2:2">
      <c r="B677" s="3" t="str">
        <f ca="1">IFERROR(__xludf.DUMMYFUNCTION("IF(ISBLANK(A677),"""",GOOGLETRANSLATE(A677,""en"",""fr""))"),"")</f>
        <v/>
      </c>
    </row>
    <row r="678" spans="2:2">
      <c r="B678" s="3" t="str">
        <f ca="1">IFERROR(__xludf.DUMMYFUNCTION("IF(ISBLANK(A678),"""",GOOGLETRANSLATE(A678,""en"",""fr""))"),"")</f>
        <v/>
      </c>
    </row>
    <row r="679" spans="2:2">
      <c r="B679" s="3" t="str">
        <f ca="1">IFERROR(__xludf.DUMMYFUNCTION("IF(ISBLANK(A679),"""",GOOGLETRANSLATE(A679,""en"",""fr""))"),"")</f>
        <v/>
      </c>
    </row>
    <row r="680" spans="2:2">
      <c r="B680" s="3" t="str">
        <f ca="1">IFERROR(__xludf.DUMMYFUNCTION("IF(ISBLANK(A680),"""",GOOGLETRANSLATE(A680,""en"",""fr""))"),"")</f>
        <v/>
      </c>
    </row>
    <row r="681" spans="2:2">
      <c r="B681" s="3" t="str">
        <f ca="1">IFERROR(__xludf.DUMMYFUNCTION("IF(ISBLANK(A681),"""",GOOGLETRANSLATE(A681,""en"",""fr""))"),"")</f>
        <v/>
      </c>
    </row>
    <row r="682" spans="2:2">
      <c r="B682" s="3" t="str">
        <f ca="1">IFERROR(__xludf.DUMMYFUNCTION("IF(ISBLANK(A682),"""",GOOGLETRANSLATE(A682,""en"",""fr""))"),"")</f>
        <v/>
      </c>
    </row>
    <row r="683" spans="2:2">
      <c r="B683" s="3" t="str">
        <f ca="1">IFERROR(__xludf.DUMMYFUNCTION("IF(ISBLANK(A683),"""",GOOGLETRANSLATE(A683,""en"",""fr""))"),"")</f>
        <v/>
      </c>
    </row>
    <row r="684" spans="2:2">
      <c r="B684" s="3" t="str">
        <f ca="1">IFERROR(__xludf.DUMMYFUNCTION("IF(ISBLANK(A684),"""",GOOGLETRANSLATE(A684,""en"",""fr""))"),"")</f>
        <v/>
      </c>
    </row>
    <row r="685" spans="2:2">
      <c r="B685" s="3" t="str">
        <f ca="1">IFERROR(__xludf.DUMMYFUNCTION("IF(ISBLANK(A685),"""",GOOGLETRANSLATE(A685,""en"",""fr""))"),"")</f>
        <v/>
      </c>
    </row>
    <row r="686" spans="2:2">
      <c r="B686" s="3" t="str">
        <f ca="1">IFERROR(__xludf.DUMMYFUNCTION("IF(ISBLANK(A686),"""",GOOGLETRANSLATE(A686,""en"",""fr""))"),"")</f>
        <v/>
      </c>
    </row>
    <row r="687" spans="2:2">
      <c r="B687" s="3" t="str">
        <f ca="1">IFERROR(__xludf.DUMMYFUNCTION("IF(ISBLANK(A687),"""",GOOGLETRANSLATE(A687,""en"",""fr""))"),"")</f>
        <v/>
      </c>
    </row>
    <row r="688" spans="2:2">
      <c r="B688" s="3" t="str">
        <f ca="1">IFERROR(__xludf.DUMMYFUNCTION("IF(ISBLANK(A688),"""",GOOGLETRANSLATE(A688,""en"",""fr""))"),"")</f>
        <v/>
      </c>
    </row>
    <row r="689" spans="2:2">
      <c r="B689" s="3" t="str">
        <f ca="1">IFERROR(__xludf.DUMMYFUNCTION("IF(ISBLANK(A689),"""",GOOGLETRANSLATE(A689,""en"",""fr""))"),"")</f>
        <v/>
      </c>
    </row>
    <row r="690" spans="2:2">
      <c r="B690" s="3" t="str">
        <f ca="1">IFERROR(__xludf.DUMMYFUNCTION("IF(ISBLANK(A690),"""",GOOGLETRANSLATE(A690,""en"",""fr""))"),"")</f>
        <v/>
      </c>
    </row>
    <row r="691" spans="2:2">
      <c r="B691" s="3" t="str">
        <f ca="1">IFERROR(__xludf.DUMMYFUNCTION("IF(ISBLANK(A691),"""",GOOGLETRANSLATE(A691,""en"",""fr""))"),"")</f>
        <v/>
      </c>
    </row>
    <row r="692" spans="2:2">
      <c r="B692" s="3" t="str">
        <f ca="1">IFERROR(__xludf.DUMMYFUNCTION("IF(ISBLANK(A692),"""",GOOGLETRANSLATE(A692,""en"",""fr""))"),"")</f>
        <v/>
      </c>
    </row>
    <row r="693" spans="2:2">
      <c r="B693" s="3" t="str">
        <f ca="1">IFERROR(__xludf.DUMMYFUNCTION("IF(ISBLANK(A693),"""",GOOGLETRANSLATE(A693,""en"",""fr""))"),"")</f>
        <v/>
      </c>
    </row>
    <row r="694" spans="2:2">
      <c r="B694" s="3" t="str">
        <f ca="1">IFERROR(__xludf.DUMMYFUNCTION("IF(ISBLANK(A694),"""",GOOGLETRANSLATE(A694,""en"",""fr""))"),"")</f>
        <v/>
      </c>
    </row>
    <row r="695" spans="2:2">
      <c r="B695" s="3" t="str">
        <f ca="1">IFERROR(__xludf.DUMMYFUNCTION("IF(ISBLANK(A695),"""",GOOGLETRANSLATE(A695,""en"",""fr""))"),"")</f>
        <v/>
      </c>
    </row>
    <row r="696" spans="2:2">
      <c r="B696" s="3" t="str">
        <f ca="1">IFERROR(__xludf.DUMMYFUNCTION("IF(ISBLANK(A696),"""",GOOGLETRANSLATE(A696,""en"",""fr""))"),"")</f>
        <v/>
      </c>
    </row>
    <row r="697" spans="2:2">
      <c r="B697" s="3" t="str">
        <f ca="1">IFERROR(__xludf.DUMMYFUNCTION("IF(ISBLANK(A697),"""",GOOGLETRANSLATE(A697,""en"",""fr""))"),"")</f>
        <v/>
      </c>
    </row>
    <row r="698" spans="2:2">
      <c r="B698" s="3" t="str">
        <f ca="1">IFERROR(__xludf.DUMMYFUNCTION("IF(ISBLANK(A698),"""",GOOGLETRANSLATE(A698,""en"",""fr""))"),"")</f>
        <v/>
      </c>
    </row>
    <row r="699" spans="2:2">
      <c r="B699" s="3" t="str">
        <f ca="1">IFERROR(__xludf.DUMMYFUNCTION("IF(ISBLANK(A699),"""",GOOGLETRANSLATE(A699,""en"",""fr""))"),"")</f>
        <v/>
      </c>
    </row>
    <row r="700" spans="2:2">
      <c r="B700" s="3" t="str">
        <f ca="1">IFERROR(__xludf.DUMMYFUNCTION("IF(ISBLANK(A700),"""",GOOGLETRANSLATE(A700,""en"",""fr""))"),"")</f>
        <v/>
      </c>
    </row>
    <row r="701" spans="2:2">
      <c r="B701" s="3" t="str">
        <f ca="1">IFERROR(__xludf.DUMMYFUNCTION("IF(ISBLANK(A701),"""",GOOGLETRANSLATE(A701,""en"",""fr""))"),"")</f>
        <v/>
      </c>
    </row>
    <row r="702" spans="2:2">
      <c r="B702" s="3" t="str">
        <f ca="1">IFERROR(__xludf.DUMMYFUNCTION("IF(ISBLANK(A702),"""",GOOGLETRANSLATE(A702,""en"",""fr""))"),"")</f>
        <v/>
      </c>
    </row>
    <row r="703" spans="2:2">
      <c r="B703" s="3" t="str">
        <f ca="1">IFERROR(__xludf.DUMMYFUNCTION("IF(ISBLANK(A703),"""",GOOGLETRANSLATE(A703,""en"",""fr""))"),"")</f>
        <v/>
      </c>
    </row>
    <row r="704" spans="2:2">
      <c r="B704" s="3" t="str">
        <f ca="1">IFERROR(__xludf.DUMMYFUNCTION("IF(ISBLANK(A704),"""",GOOGLETRANSLATE(A704,""en"",""fr""))"),"")</f>
        <v/>
      </c>
    </row>
    <row r="705" spans="2:2">
      <c r="B705" s="3" t="str">
        <f ca="1">IFERROR(__xludf.DUMMYFUNCTION("IF(ISBLANK(A705),"""",GOOGLETRANSLATE(A705,""en"",""fr""))"),"")</f>
        <v/>
      </c>
    </row>
    <row r="706" spans="2:2">
      <c r="B706" s="3" t="str">
        <f ca="1">IFERROR(__xludf.DUMMYFUNCTION("IF(ISBLANK(A706),"""",GOOGLETRANSLATE(A706,""en"",""fr""))"),"")</f>
        <v/>
      </c>
    </row>
    <row r="707" spans="2:2">
      <c r="B707" s="3" t="str">
        <f ca="1">IFERROR(__xludf.DUMMYFUNCTION("IF(ISBLANK(A707),"""",GOOGLETRANSLATE(A707,""en"",""fr""))"),"")</f>
        <v/>
      </c>
    </row>
    <row r="708" spans="2:2">
      <c r="B708" s="3" t="str">
        <f ca="1">IFERROR(__xludf.DUMMYFUNCTION("IF(ISBLANK(A708),"""",GOOGLETRANSLATE(A708,""en"",""fr""))"),"")</f>
        <v/>
      </c>
    </row>
    <row r="709" spans="2:2">
      <c r="B709" s="3" t="str">
        <f ca="1">IFERROR(__xludf.DUMMYFUNCTION("IF(ISBLANK(A709),"""",GOOGLETRANSLATE(A709,""en"",""fr""))"),"")</f>
        <v/>
      </c>
    </row>
    <row r="710" spans="2:2">
      <c r="B710" s="3" t="str">
        <f ca="1">IFERROR(__xludf.DUMMYFUNCTION("IF(ISBLANK(A710),"""",GOOGLETRANSLATE(A710,""en"",""fr""))"),"")</f>
        <v/>
      </c>
    </row>
    <row r="711" spans="2:2">
      <c r="B711" s="3" t="str">
        <f ca="1">IFERROR(__xludf.DUMMYFUNCTION("IF(ISBLANK(A711),"""",GOOGLETRANSLATE(A711,""en"",""fr""))"),"")</f>
        <v/>
      </c>
    </row>
    <row r="712" spans="2:2">
      <c r="B712" s="3" t="str">
        <f ca="1">IFERROR(__xludf.DUMMYFUNCTION("IF(ISBLANK(A712),"""",GOOGLETRANSLATE(A712,""en"",""fr""))"),"")</f>
        <v/>
      </c>
    </row>
    <row r="713" spans="2:2">
      <c r="B713" s="3" t="str">
        <f ca="1">IFERROR(__xludf.DUMMYFUNCTION("IF(ISBLANK(A713),"""",GOOGLETRANSLATE(A713,""en"",""fr""))"),"")</f>
        <v/>
      </c>
    </row>
    <row r="714" spans="2:2">
      <c r="B714" s="3" t="str">
        <f ca="1">IFERROR(__xludf.DUMMYFUNCTION("IF(ISBLANK(A714),"""",GOOGLETRANSLATE(A714,""en"",""fr""))"),"")</f>
        <v/>
      </c>
    </row>
    <row r="715" spans="2:2">
      <c r="B715" s="3" t="str">
        <f ca="1">IFERROR(__xludf.DUMMYFUNCTION("IF(ISBLANK(A715),"""",GOOGLETRANSLATE(A715,""en"",""fr""))"),"")</f>
        <v/>
      </c>
    </row>
    <row r="716" spans="2:2">
      <c r="B716" s="3" t="str">
        <f ca="1">IFERROR(__xludf.DUMMYFUNCTION("IF(ISBLANK(A716),"""",GOOGLETRANSLATE(A716,""en"",""fr""))"),"")</f>
        <v/>
      </c>
    </row>
    <row r="717" spans="2:2">
      <c r="B717" s="3" t="str">
        <f ca="1">IFERROR(__xludf.DUMMYFUNCTION("IF(ISBLANK(A717),"""",GOOGLETRANSLATE(A717,""en"",""fr""))"),"")</f>
        <v/>
      </c>
    </row>
    <row r="718" spans="2:2">
      <c r="B718" s="3" t="str">
        <f ca="1">IFERROR(__xludf.DUMMYFUNCTION("IF(ISBLANK(A718),"""",GOOGLETRANSLATE(A718,""en"",""fr""))"),"")</f>
        <v/>
      </c>
    </row>
    <row r="719" spans="2:2">
      <c r="B719" s="3" t="str">
        <f ca="1">IFERROR(__xludf.DUMMYFUNCTION("IF(ISBLANK(A719),"""",GOOGLETRANSLATE(A719,""en"",""fr""))"),"")</f>
        <v/>
      </c>
    </row>
    <row r="720" spans="2:2">
      <c r="B720" s="3" t="str">
        <f ca="1">IFERROR(__xludf.DUMMYFUNCTION("IF(ISBLANK(A720),"""",GOOGLETRANSLATE(A720,""en"",""fr""))"),"")</f>
        <v/>
      </c>
    </row>
    <row r="721" spans="2:2">
      <c r="B721" s="3" t="str">
        <f ca="1">IFERROR(__xludf.DUMMYFUNCTION("IF(ISBLANK(A721),"""",GOOGLETRANSLATE(A721,""en"",""fr""))"),"")</f>
        <v/>
      </c>
    </row>
    <row r="722" spans="2:2">
      <c r="B722" s="3" t="str">
        <f ca="1">IFERROR(__xludf.DUMMYFUNCTION("IF(ISBLANK(A722),"""",GOOGLETRANSLATE(A722,""en"",""fr""))"),"")</f>
        <v/>
      </c>
    </row>
    <row r="723" spans="2:2">
      <c r="B723" s="3" t="str">
        <f ca="1">IFERROR(__xludf.DUMMYFUNCTION("IF(ISBLANK(A723),"""",GOOGLETRANSLATE(A723,""en"",""fr""))"),"")</f>
        <v/>
      </c>
    </row>
    <row r="724" spans="2:2">
      <c r="B724" s="3" t="str">
        <f ca="1">IFERROR(__xludf.DUMMYFUNCTION("IF(ISBLANK(A724),"""",GOOGLETRANSLATE(A724,""en"",""fr""))"),"")</f>
        <v/>
      </c>
    </row>
    <row r="725" spans="2:2">
      <c r="B725" s="3" t="str">
        <f ca="1">IFERROR(__xludf.DUMMYFUNCTION("IF(ISBLANK(A725),"""",GOOGLETRANSLATE(A725,""en"",""fr""))"),"")</f>
        <v/>
      </c>
    </row>
    <row r="726" spans="2:2">
      <c r="B726" s="3" t="str">
        <f ca="1">IFERROR(__xludf.DUMMYFUNCTION("IF(ISBLANK(A726),"""",GOOGLETRANSLATE(A726,""en"",""fr""))"),"")</f>
        <v/>
      </c>
    </row>
    <row r="727" spans="2:2">
      <c r="B727" s="3" t="str">
        <f ca="1">IFERROR(__xludf.DUMMYFUNCTION("IF(ISBLANK(A727),"""",GOOGLETRANSLATE(A727,""en"",""fr""))"),"")</f>
        <v/>
      </c>
    </row>
    <row r="728" spans="2:2">
      <c r="B728" s="3" t="str">
        <f ca="1">IFERROR(__xludf.DUMMYFUNCTION("IF(ISBLANK(A728),"""",GOOGLETRANSLATE(A728,""en"",""fr""))"),"")</f>
        <v/>
      </c>
    </row>
    <row r="729" spans="2:2">
      <c r="B729" s="3" t="str">
        <f ca="1">IFERROR(__xludf.DUMMYFUNCTION("IF(ISBLANK(A729),"""",GOOGLETRANSLATE(A729,""en"",""fr""))"),"")</f>
        <v/>
      </c>
    </row>
    <row r="730" spans="2:2">
      <c r="B730" s="3" t="str">
        <f ca="1">IFERROR(__xludf.DUMMYFUNCTION("IF(ISBLANK(A730),"""",GOOGLETRANSLATE(A730,""en"",""fr""))"),"")</f>
        <v/>
      </c>
    </row>
    <row r="731" spans="2:2">
      <c r="B731" s="3" t="str">
        <f ca="1">IFERROR(__xludf.DUMMYFUNCTION("IF(ISBLANK(A731),"""",GOOGLETRANSLATE(A731,""en"",""fr""))"),"")</f>
        <v/>
      </c>
    </row>
    <row r="732" spans="2:2">
      <c r="B732" s="3" t="str">
        <f ca="1">IFERROR(__xludf.DUMMYFUNCTION("IF(ISBLANK(A732),"""",GOOGLETRANSLATE(A732,""en"",""fr""))"),"")</f>
        <v/>
      </c>
    </row>
    <row r="733" spans="2:2">
      <c r="B733" s="3" t="str">
        <f ca="1">IFERROR(__xludf.DUMMYFUNCTION("IF(ISBLANK(A733),"""",GOOGLETRANSLATE(A733,""en"",""fr""))"),"")</f>
        <v/>
      </c>
    </row>
    <row r="734" spans="2:2">
      <c r="B734" s="3" t="str">
        <f ca="1">IFERROR(__xludf.DUMMYFUNCTION("IF(ISBLANK(A734),"""",GOOGLETRANSLATE(A734,""en"",""fr""))"),"")</f>
        <v/>
      </c>
    </row>
    <row r="735" spans="2:2">
      <c r="B735" s="3" t="str">
        <f ca="1">IFERROR(__xludf.DUMMYFUNCTION("IF(ISBLANK(A735),"""",GOOGLETRANSLATE(A735,""en"",""fr""))"),"")</f>
        <v/>
      </c>
    </row>
    <row r="736" spans="2:2">
      <c r="B736" s="3" t="str">
        <f ca="1">IFERROR(__xludf.DUMMYFUNCTION("IF(ISBLANK(A736),"""",GOOGLETRANSLATE(A736,""en"",""fr""))"),"")</f>
        <v/>
      </c>
    </row>
    <row r="737" spans="2:2">
      <c r="B737" s="3" t="str">
        <f ca="1">IFERROR(__xludf.DUMMYFUNCTION("IF(ISBLANK(A737),"""",GOOGLETRANSLATE(A737,""en"",""fr""))"),"")</f>
        <v/>
      </c>
    </row>
    <row r="738" spans="2:2">
      <c r="B738" s="3" t="str">
        <f ca="1">IFERROR(__xludf.DUMMYFUNCTION("IF(ISBLANK(A738),"""",GOOGLETRANSLATE(A738,""en"",""fr""))"),"")</f>
        <v/>
      </c>
    </row>
    <row r="739" spans="2:2">
      <c r="B739" s="3" t="str">
        <f ca="1">IFERROR(__xludf.DUMMYFUNCTION("IF(ISBLANK(A739),"""",GOOGLETRANSLATE(A739,""en"",""fr""))"),"")</f>
        <v/>
      </c>
    </row>
    <row r="740" spans="2:2">
      <c r="B740" s="3" t="str">
        <f ca="1">IFERROR(__xludf.DUMMYFUNCTION("IF(ISBLANK(A740),"""",GOOGLETRANSLATE(A740,""en"",""fr""))"),"")</f>
        <v/>
      </c>
    </row>
    <row r="741" spans="2:2">
      <c r="B741" s="3" t="str">
        <f ca="1">IFERROR(__xludf.DUMMYFUNCTION("IF(ISBLANK(A741),"""",GOOGLETRANSLATE(A741,""en"",""fr""))"),"")</f>
        <v/>
      </c>
    </row>
    <row r="742" spans="2:2">
      <c r="B742" s="3" t="str">
        <f ca="1">IFERROR(__xludf.DUMMYFUNCTION("IF(ISBLANK(A742),"""",GOOGLETRANSLATE(A742,""en"",""fr""))"),"")</f>
        <v/>
      </c>
    </row>
    <row r="743" spans="2:2">
      <c r="B743" s="3" t="str">
        <f ca="1">IFERROR(__xludf.DUMMYFUNCTION("IF(ISBLANK(A743),"""",GOOGLETRANSLATE(A743,""en"",""fr""))"),"")</f>
        <v/>
      </c>
    </row>
    <row r="744" spans="2:2">
      <c r="B744" s="3" t="str">
        <f ca="1">IFERROR(__xludf.DUMMYFUNCTION("IF(ISBLANK(A744),"""",GOOGLETRANSLATE(A744,""en"",""fr""))"),"")</f>
        <v/>
      </c>
    </row>
    <row r="745" spans="2:2">
      <c r="B745" s="3" t="str">
        <f ca="1">IFERROR(__xludf.DUMMYFUNCTION("IF(ISBLANK(A745),"""",GOOGLETRANSLATE(A745,""en"",""fr""))"),"")</f>
        <v/>
      </c>
    </row>
    <row r="746" spans="2:2">
      <c r="B746" s="3" t="str">
        <f ca="1">IFERROR(__xludf.DUMMYFUNCTION("IF(ISBLANK(A746),"""",GOOGLETRANSLATE(A746,""en"",""fr""))"),"")</f>
        <v/>
      </c>
    </row>
    <row r="747" spans="2:2">
      <c r="B747" s="3" t="str">
        <f ca="1">IFERROR(__xludf.DUMMYFUNCTION("IF(ISBLANK(A747),"""",GOOGLETRANSLATE(A747,""en"",""fr""))"),"")</f>
        <v/>
      </c>
    </row>
    <row r="748" spans="2:2">
      <c r="B748" s="3" t="str">
        <f ca="1">IFERROR(__xludf.DUMMYFUNCTION("IF(ISBLANK(A748),"""",GOOGLETRANSLATE(A748,""en"",""fr""))"),"")</f>
        <v/>
      </c>
    </row>
    <row r="749" spans="2:2">
      <c r="B749" s="3" t="str">
        <f ca="1">IFERROR(__xludf.DUMMYFUNCTION("IF(ISBLANK(A749),"""",GOOGLETRANSLATE(A749,""en"",""fr""))"),"")</f>
        <v/>
      </c>
    </row>
    <row r="750" spans="2:2">
      <c r="B750" s="3" t="str">
        <f ca="1">IFERROR(__xludf.DUMMYFUNCTION("IF(ISBLANK(A750),"""",GOOGLETRANSLATE(A750,""en"",""fr""))"),"")</f>
        <v/>
      </c>
    </row>
    <row r="751" spans="2:2">
      <c r="B751" s="3" t="str">
        <f ca="1">IFERROR(__xludf.DUMMYFUNCTION("IF(ISBLANK(A751),"""",GOOGLETRANSLATE(A751,""en"",""fr""))"),"")</f>
        <v/>
      </c>
    </row>
    <row r="752" spans="2:2">
      <c r="B752" s="3" t="str">
        <f ca="1">IFERROR(__xludf.DUMMYFUNCTION("IF(ISBLANK(A752),"""",GOOGLETRANSLATE(A752,""en"",""fr""))"),"")</f>
        <v/>
      </c>
    </row>
    <row r="753" spans="2:2">
      <c r="B753" s="3" t="str">
        <f ca="1">IFERROR(__xludf.DUMMYFUNCTION("IF(ISBLANK(A753),"""",GOOGLETRANSLATE(A753,""en"",""fr""))"),"")</f>
        <v/>
      </c>
    </row>
    <row r="754" spans="2:2">
      <c r="B754" s="3" t="str">
        <f ca="1">IFERROR(__xludf.DUMMYFUNCTION("IF(ISBLANK(A754),"""",GOOGLETRANSLATE(A754,""en"",""fr""))"),"")</f>
        <v/>
      </c>
    </row>
    <row r="755" spans="2:2">
      <c r="B755" s="3" t="str">
        <f ca="1">IFERROR(__xludf.DUMMYFUNCTION("IF(ISBLANK(A755),"""",GOOGLETRANSLATE(A755,""en"",""fr""))"),"")</f>
        <v/>
      </c>
    </row>
    <row r="756" spans="2:2">
      <c r="B756" s="3" t="str">
        <f ca="1">IFERROR(__xludf.DUMMYFUNCTION("IF(ISBLANK(A756),"""",GOOGLETRANSLATE(A756,""en"",""fr""))"),"")</f>
        <v/>
      </c>
    </row>
    <row r="757" spans="2:2">
      <c r="B757" s="3" t="str">
        <f ca="1">IFERROR(__xludf.DUMMYFUNCTION("IF(ISBLANK(A757),"""",GOOGLETRANSLATE(A757,""en"",""fr""))"),"")</f>
        <v/>
      </c>
    </row>
    <row r="758" spans="2:2">
      <c r="B758" s="3" t="str">
        <f ca="1">IFERROR(__xludf.DUMMYFUNCTION("IF(ISBLANK(A758),"""",GOOGLETRANSLATE(A758,""en"",""fr""))"),"")</f>
        <v/>
      </c>
    </row>
    <row r="759" spans="2:2">
      <c r="B759" s="3" t="str">
        <f ca="1">IFERROR(__xludf.DUMMYFUNCTION("IF(ISBLANK(A759),"""",GOOGLETRANSLATE(A759,""en"",""fr""))"),"")</f>
        <v/>
      </c>
    </row>
    <row r="760" spans="2:2">
      <c r="B760" s="3" t="str">
        <f ca="1">IFERROR(__xludf.DUMMYFUNCTION("IF(ISBLANK(A760),"""",GOOGLETRANSLATE(A760,""en"",""fr""))"),"")</f>
        <v/>
      </c>
    </row>
    <row r="761" spans="2:2">
      <c r="B761" s="3" t="str">
        <f ca="1">IFERROR(__xludf.DUMMYFUNCTION("IF(ISBLANK(A761),"""",GOOGLETRANSLATE(A761,""en"",""fr""))"),"")</f>
        <v/>
      </c>
    </row>
    <row r="762" spans="2:2">
      <c r="B762" s="3" t="str">
        <f ca="1">IFERROR(__xludf.DUMMYFUNCTION("IF(ISBLANK(A762),"""",GOOGLETRANSLATE(A762,""en"",""fr""))"),"")</f>
        <v/>
      </c>
    </row>
    <row r="763" spans="2:2">
      <c r="B763" s="3" t="str">
        <f ca="1">IFERROR(__xludf.DUMMYFUNCTION("IF(ISBLANK(A763),"""",GOOGLETRANSLATE(A763,""en"",""fr""))"),"")</f>
        <v/>
      </c>
    </row>
    <row r="764" spans="2:2">
      <c r="B764" s="3" t="str">
        <f ca="1">IFERROR(__xludf.DUMMYFUNCTION("IF(ISBLANK(A764),"""",GOOGLETRANSLATE(A764,""en"",""fr""))"),"")</f>
        <v/>
      </c>
    </row>
    <row r="765" spans="2:2">
      <c r="B765" s="3" t="str">
        <f ca="1">IFERROR(__xludf.DUMMYFUNCTION("IF(ISBLANK(A765),"""",GOOGLETRANSLATE(A765,""en"",""fr""))"),"")</f>
        <v/>
      </c>
    </row>
    <row r="766" spans="2:2">
      <c r="B766" s="3" t="str">
        <f ca="1">IFERROR(__xludf.DUMMYFUNCTION("IF(ISBLANK(A766),"""",GOOGLETRANSLATE(A766,""en"",""fr""))"),"")</f>
        <v/>
      </c>
    </row>
    <row r="767" spans="2:2">
      <c r="B767" s="3" t="str">
        <f ca="1">IFERROR(__xludf.DUMMYFUNCTION("IF(ISBLANK(A767),"""",GOOGLETRANSLATE(A767,""en"",""fr""))"),"")</f>
        <v/>
      </c>
    </row>
    <row r="768" spans="2:2">
      <c r="B768" s="3" t="str">
        <f ca="1">IFERROR(__xludf.DUMMYFUNCTION("IF(ISBLANK(A768),"""",GOOGLETRANSLATE(A768,""en"",""fr""))"),"")</f>
        <v/>
      </c>
    </row>
    <row r="769" spans="2:2">
      <c r="B769" s="3" t="str">
        <f ca="1">IFERROR(__xludf.DUMMYFUNCTION("IF(ISBLANK(A769),"""",GOOGLETRANSLATE(A769,""en"",""fr""))"),"")</f>
        <v/>
      </c>
    </row>
    <row r="770" spans="2:2">
      <c r="B770" s="3" t="str">
        <f ca="1">IFERROR(__xludf.DUMMYFUNCTION("IF(ISBLANK(A770),"""",GOOGLETRANSLATE(A770,""en"",""fr""))"),"")</f>
        <v/>
      </c>
    </row>
    <row r="771" spans="2:2">
      <c r="B771" s="3" t="str">
        <f ca="1">IFERROR(__xludf.DUMMYFUNCTION("IF(ISBLANK(A771),"""",GOOGLETRANSLATE(A771,""en"",""fr""))"),"")</f>
        <v/>
      </c>
    </row>
    <row r="772" spans="2:2">
      <c r="B772" s="3" t="str">
        <f ca="1">IFERROR(__xludf.DUMMYFUNCTION("IF(ISBLANK(A772),"""",GOOGLETRANSLATE(A772,""en"",""fr""))"),"")</f>
        <v/>
      </c>
    </row>
    <row r="773" spans="2:2">
      <c r="B773" s="3" t="str">
        <f ca="1">IFERROR(__xludf.DUMMYFUNCTION("IF(ISBLANK(A773),"""",GOOGLETRANSLATE(A773,""en"",""fr""))"),"")</f>
        <v/>
      </c>
    </row>
    <row r="774" spans="2:2">
      <c r="B774" s="3" t="str">
        <f ca="1">IFERROR(__xludf.DUMMYFUNCTION("IF(ISBLANK(A774),"""",GOOGLETRANSLATE(A774,""en"",""fr""))"),"")</f>
        <v/>
      </c>
    </row>
    <row r="775" spans="2:2">
      <c r="B775" s="3" t="str">
        <f ca="1">IFERROR(__xludf.DUMMYFUNCTION("IF(ISBLANK(A775),"""",GOOGLETRANSLATE(A775,""en"",""fr""))"),"")</f>
        <v/>
      </c>
    </row>
    <row r="776" spans="2:2">
      <c r="B776" s="3" t="str">
        <f ca="1">IFERROR(__xludf.DUMMYFUNCTION("IF(ISBLANK(A776),"""",GOOGLETRANSLATE(A776,""en"",""fr""))"),"")</f>
        <v/>
      </c>
    </row>
    <row r="777" spans="2:2">
      <c r="B777" s="3" t="str">
        <f ca="1">IFERROR(__xludf.DUMMYFUNCTION("IF(ISBLANK(A777),"""",GOOGLETRANSLATE(A777,""en"",""fr""))"),"")</f>
        <v/>
      </c>
    </row>
    <row r="778" spans="2:2">
      <c r="B778" s="3" t="str">
        <f ca="1">IFERROR(__xludf.DUMMYFUNCTION("IF(ISBLANK(A778),"""",GOOGLETRANSLATE(A778,""en"",""fr""))"),"")</f>
        <v/>
      </c>
    </row>
    <row r="779" spans="2:2">
      <c r="B779" s="3" t="str">
        <f ca="1">IFERROR(__xludf.DUMMYFUNCTION("IF(ISBLANK(A779),"""",GOOGLETRANSLATE(A779,""en"",""fr""))"),"")</f>
        <v/>
      </c>
    </row>
    <row r="780" spans="2:2">
      <c r="B780" s="3" t="str">
        <f ca="1">IFERROR(__xludf.DUMMYFUNCTION("IF(ISBLANK(A780),"""",GOOGLETRANSLATE(A780,""en"",""fr""))"),"")</f>
        <v/>
      </c>
    </row>
    <row r="781" spans="2:2">
      <c r="B781" s="3" t="str">
        <f ca="1">IFERROR(__xludf.DUMMYFUNCTION("IF(ISBLANK(A781),"""",GOOGLETRANSLATE(A781,""en"",""fr""))"),"")</f>
        <v/>
      </c>
    </row>
    <row r="782" spans="2:2">
      <c r="B782" s="3" t="str">
        <f ca="1">IFERROR(__xludf.DUMMYFUNCTION("IF(ISBLANK(A782),"""",GOOGLETRANSLATE(A782,""en"",""fr""))"),"")</f>
        <v/>
      </c>
    </row>
    <row r="783" spans="2:2">
      <c r="B783" s="3" t="str">
        <f ca="1">IFERROR(__xludf.DUMMYFUNCTION("IF(ISBLANK(A783),"""",GOOGLETRANSLATE(A783,""en"",""fr""))"),"")</f>
        <v/>
      </c>
    </row>
    <row r="784" spans="2:2">
      <c r="B784" s="3" t="str">
        <f ca="1">IFERROR(__xludf.DUMMYFUNCTION("IF(ISBLANK(A784),"""",GOOGLETRANSLATE(A784,""en"",""fr""))"),"")</f>
        <v/>
      </c>
    </row>
    <row r="785" spans="2:2">
      <c r="B785" s="3" t="str">
        <f ca="1">IFERROR(__xludf.DUMMYFUNCTION("IF(ISBLANK(A785),"""",GOOGLETRANSLATE(A785,""en"",""fr""))"),"")</f>
        <v/>
      </c>
    </row>
    <row r="786" spans="2:2">
      <c r="B786" s="3" t="str">
        <f ca="1">IFERROR(__xludf.DUMMYFUNCTION("IF(ISBLANK(A786),"""",GOOGLETRANSLATE(A786,""en"",""fr""))"),"")</f>
        <v/>
      </c>
    </row>
    <row r="787" spans="2:2">
      <c r="B787" s="3" t="str">
        <f ca="1">IFERROR(__xludf.DUMMYFUNCTION("IF(ISBLANK(A787),"""",GOOGLETRANSLATE(A787,""en"",""fr""))"),"")</f>
        <v/>
      </c>
    </row>
    <row r="788" spans="2:2">
      <c r="B788" s="3" t="str">
        <f ca="1">IFERROR(__xludf.DUMMYFUNCTION("IF(ISBLANK(A788),"""",GOOGLETRANSLATE(A788,""en"",""fr""))"),"")</f>
        <v/>
      </c>
    </row>
    <row r="789" spans="2:2">
      <c r="B789" s="3" t="str">
        <f ca="1">IFERROR(__xludf.DUMMYFUNCTION("IF(ISBLANK(A789),"""",GOOGLETRANSLATE(A789,""en"",""fr""))"),"")</f>
        <v/>
      </c>
    </row>
    <row r="790" spans="2:2">
      <c r="B790" s="3" t="str">
        <f ca="1">IFERROR(__xludf.DUMMYFUNCTION("IF(ISBLANK(A790),"""",GOOGLETRANSLATE(A790,""en"",""fr""))"),"")</f>
        <v/>
      </c>
    </row>
    <row r="791" spans="2:2">
      <c r="B791" s="3" t="str">
        <f ca="1">IFERROR(__xludf.DUMMYFUNCTION("IF(ISBLANK(A791),"""",GOOGLETRANSLATE(A791,""en"",""fr""))"),"")</f>
        <v/>
      </c>
    </row>
    <row r="792" spans="2:2">
      <c r="B792" s="3" t="str">
        <f ca="1">IFERROR(__xludf.DUMMYFUNCTION("IF(ISBLANK(A792),"""",GOOGLETRANSLATE(A792,""en"",""fr""))"),"")</f>
        <v/>
      </c>
    </row>
    <row r="793" spans="2:2">
      <c r="B793" s="3" t="str">
        <f ca="1">IFERROR(__xludf.DUMMYFUNCTION("IF(ISBLANK(A793),"""",GOOGLETRANSLATE(A793,""en"",""fr""))"),"")</f>
        <v/>
      </c>
    </row>
    <row r="794" spans="2:2">
      <c r="B794" s="3" t="str">
        <f ca="1">IFERROR(__xludf.DUMMYFUNCTION("IF(ISBLANK(A794),"""",GOOGLETRANSLATE(A794,""en"",""fr""))"),"")</f>
        <v/>
      </c>
    </row>
    <row r="795" spans="2:2">
      <c r="B795" s="3" t="str">
        <f ca="1">IFERROR(__xludf.DUMMYFUNCTION("IF(ISBLANK(A795),"""",GOOGLETRANSLATE(A795,""en"",""fr""))"),"")</f>
        <v/>
      </c>
    </row>
    <row r="796" spans="2:2">
      <c r="B796" s="3" t="str">
        <f ca="1">IFERROR(__xludf.DUMMYFUNCTION("IF(ISBLANK(A796),"""",GOOGLETRANSLATE(A796,""en"",""fr""))"),"")</f>
        <v/>
      </c>
    </row>
    <row r="797" spans="2:2">
      <c r="B797" s="3" t="str">
        <f ca="1">IFERROR(__xludf.DUMMYFUNCTION("IF(ISBLANK(A797),"""",GOOGLETRANSLATE(A797,""en"",""fr""))"),"")</f>
        <v/>
      </c>
    </row>
    <row r="798" spans="2:2">
      <c r="B798" s="3" t="str">
        <f ca="1">IFERROR(__xludf.DUMMYFUNCTION("IF(ISBLANK(A798),"""",GOOGLETRANSLATE(A798,""en"",""fr""))"),"")</f>
        <v/>
      </c>
    </row>
    <row r="799" spans="2:2">
      <c r="B799" s="3" t="str">
        <f ca="1">IFERROR(__xludf.DUMMYFUNCTION("IF(ISBLANK(A799),"""",GOOGLETRANSLATE(A799,""en"",""fr""))"),"")</f>
        <v/>
      </c>
    </row>
    <row r="800" spans="2:2">
      <c r="B800" s="3" t="str">
        <f ca="1">IFERROR(__xludf.DUMMYFUNCTION("IF(ISBLANK(A800),"""",GOOGLETRANSLATE(A800,""en"",""fr""))"),"")</f>
        <v/>
      </c>
    </row>
    <row r="801" spans="2:2">
      <c r="B801" s="3" t="str">
        <f ca="1">IFERROR(__xludf.DUMMYFUNCTION("IF(ISBLANK(A801),"""",GOOGLETRANSLATE(A801,""en"",""fr""))"),"")</f>
        <v/>
      </c>
    </row>
    <row r="802" spans="2:2">
      <c r="B802" s="3" t="str">
        <f ca="1">IFERROR(__xludf.DUMMYFUNCTION("IF(ISBLANK(A802),"""",GOOGLETRANSLATE(A802,""en"",""fr""))"),"")</f>
        <v/>
      </c>
    </row>
    <row r="803" spans="2:2">
      <c r="B803" s="3" t="str">
        <f ca="1">IFERROR(__xludf.DUMMYFUNCTION("IF(ISBLANK(A803),"""",GOOGLETRANSLATE(A803,""en"",""fr""))"),"")</f>
        <v/>
      </c>
    </row>
    <row r="804" spans="2:2">
      <c r="B804" s="3" t="str">
        <f ca="1">IFERROR(__xludf.DUMMYFUNCTION("IF(ISBLANK(A804),"""",GOOGLETRANSLATE(A804,""en"",""fr""))"),"")</f>
        <v/>
      </c>
    </row>
    <row r="805" spans="2:2">
      <c r="B805" s="3" t="str">
        <f ca="1">IFERROR(__xludf.DUMMYFUNCTION("IF(ISBLANK(A805),"""",GOOGLETRANSLATE(A805,""en"",""fr""))"),"")</f>
        <v/>
      </c>
    </row>
    <row r="806" spans="2:2">
      <c r="B806" s="3" t="str">
        <f ca="1">IFERROR(__xludf.DUMMYFUNCTION("IF(ISBLANK(A806),"""",GOOGLETRANSLATE(A806,""en"",""fr""))"),"")</f>
        <v/>
      </c>
    </row>
    <row r="807" spans="2:2">
      <c r="B807" s="3" t="str">
        <f ca="1">IFERROR(__xludf.DUMMYFUNCTION("IF(ISBLANK(A807),"""",GOOGLETRANSLATE(A807,""en"",""fr""))"),"")</f>
        <v/>
      </c>
    </row>
    <row r="808" spans="2:2">
      <c r="B808" s="3" t="str">
        <f ca="1">IFERROR(__xludf.DUMMYFUNCTION("IF(ISBLANK(A808),"""",GOOGLETRANSLATE(A808,""en"",""fr""))"),"")</f>
        <v/>
      </c>
    </row>
    <row r="809" spans="2:2">
      <c r="B809" s="3" t="str">
        <f ca="1">IFERROR(__xludf.DUMMYFUNCTION("IF(ISBLANK(A809),"""",GOOGLETRANSLATE(A809,""en"",""fr""))"),"")</f>
        <v/>
      </c>
    </row>
    <row r="810" spans="2:2">
      <c r="B810" s="3" t="str">
        <f ca="1">IFERROR(__xludf.DUMMYFUNCTION("IF(ISBLANK(A810),"""",GOOGLETRANSLATE(A810,""en"",""fr""))"),"")</f>
        <v/>
      </c>
    </row>
    <row r="811" spans="2:2">
      <c r="B811" s="3" t="str">
        <f ca="1">IFERROR(__xludf.DUMMYFUNCTION("IF(ISBLANK(A811),"""",GOOGLETRANSLATE(A811,""en"",""fr""))"),"")</f>
        <v/>
      </c>
    </row>
    <row r="812" spans="2:2">
      <c r="B812" s="3" t="str">
        <f ca="1">IFERROR(__xludf.DUMMYFUNCTION("IF(ISBLANK(A812),"""",GOOGLETRANSLATE(A812,""en"",""fr""))"),"")</f>
        <v/>
      </c>
    </row>
    <row r="813" spans="2:2">
      <c r="B813" s="3" t="str">
        <f ca="1">IFERROR(__xludf.DUMMYFUNCTION("IF(ISBLANK(A813),"""",GOOGLETRANSLATE(A813,""en"",""fr""))"),"")</f>
        <v/>
      </c>
    </row>
    <row r="814" spans="2:2">
      <c r="B814" s="3" t="str">
        <f ca="1">IFERROR(__xludf.DUMMYFUNCTION("IF(ISBLANK(A814),"""",GOOGLETRANSLATE(A814,""en"",""fr""))"),"")</f>
        <v/>
      </c>
    </row>
    <row r="815" spans="2:2">
      <c r="B815" s="3" t="str">
        <f ca="1">IFERROR(__xludf.DUMMYFUNCTION("IF(ISBLANK(A815),"""",GOOGLETRANSLATE(A815,""en"",""fr""))"),"")</f>
        <v/>
      </c>
    </row>
    <row r="816" spans="2:2">
      <c r="B816" s="3" t="str">
        <f ca="1">IFERROR(__xludf.DUMMYFUNCTION("IF(ISBLANK(A816),"""",GOOGLETRANSLATE(A816,""en"",""fr""))"),"")</f>
        <v/>
      </c>
    </row>
    <row r="817" spans="2:2">
      <c r="B817" s="3" t="str">
        <f ca="1">IFERROR(__xludf.DUMMYFUNCTION("IF(ISBLANK(A817),"""",GOOGLETRANSLATE(A817,""en"",""fr""))"),"")</f>
        <v/>
      </c>
    </row>
    <row r="818" spans="2:2">
      <c r="B818" s="3" t="str">
        <f ca="1">IFERROR(__xludf.DUMMYFUNCTION("IF(ISBLANK(A818),"""",GOOGLETRANSLATE(A818,""en"",""fr""))"),"")</f>
        <v/>
      </c>
    </row>
    <row r="819" spans="2:2">
      <c r="B819" s="3" t="str">
        <f ca="1">IFERROR(__xludf.DUMMYFUNCTION("IF(ISBLANK(A819),"""",GOOGLETRANSLATE(A819,""en"",""fr""))"),"")</f>
        <v/>
      </c>
    </row>
    <row r="820" spans="2:2">
      <c r="B820" s="3" t="str">
        <f ca="1">IFERROR(__xludf.DUMMYFUNCTION("IF(ISBLANK(A820),"""",GOOGLETRANSLATE(A820,""en"",""fr""))"),"")</f>
        <v/>
      </c>
    </row>
    <row r="821" spans="2:2">
      <c r="B821" s="3" t="str">
        <f ca="1">IFERROR(__xludf.DUMMYFUNCTION("IF(ISBLANK(A821),"""",GOOGLETRANSLATE(A821,""en"",""fr""))"),"")</f>
        <v/>
      </c>
    </row>
    <row r="822" spans="2:2">
      <c r="B822" s="3" t="str">
        <f ca="1">IFERROR(__xludf.DUMMYFUNCTION("IF(ISBLANK(A822),"""",GOOGLETRANSLATE(A822,""en"",""fr""))"),"")</f>
        <v/>
      </c>
    </row>
    <row r="823" spans="2:2">
      <c r="B823" s="3" t="str">
        <f ca="1">IFERROR(__xludf.DUMMYFUNCTION("IF(ISBLANK(A823),"""",GOOGLETRANSLATE(A823,""en"",""fr""))"),"")</f>
        <v/>
      </c>
    </row>
    <row r="824" spans="2:2">
      <c r="B824" s="3" t="str">
        <f ca="1">IFERROR(__xludf.DUMMYFUNCTION("IF(ISBLANK(A824),"""",GOOGLETRANSLATE(A824,""en"",""fr""))"),"")</f>
        <v/>
      </c>
    </row>
    <row r="825" spans="2:2">
      <c r="B825" s="3" t="str">
        <f ca="1">IFERROR(__xludf.DUMMYFUNCTION("IF(ISBLANK(A825),"""",GOOGLETRANSLATE(A825,""en"",""fr""))"),"")</f>
        <v/>
      </c>
    </row>
    <row r="826" spans="2:2">
      <c r="B826" s="3" t="str">
        <f ca="1">IFERROR(__xludf.DUMMYFUNCTION("IF(ISBLANK(A826),"""",GOOGLETRANSLATE(A826,""en"",""fr""))"),"")</f>
        <v/>
      </c>
    </row>
    <row r="827" spans="2:2">
      <c r="B827" s="3" t="str">
        <f ca="1">IFERROR(__xludf.DUMMYFUNCTION("IF(ISBLANK(A827),"""",GOOGLETRANSLATE(A827,""en"",""fr""))"),"")</f>
        <v/>
      </c>
    </row>
    <row r="828" spans="2:2">
      <c r="B828" s="3" t="str">
        <f ca="1">IFERROR(__xludf.DUMMYFUNCTION("IF(ISBLANK(A828),"""",GOOGLETRANSLATE(A828,""en"",""fr""))"),"")</f>
        <v/>
      </c>
    </row>
    <row r="829" spans="2:2">
      <c r="B829" s="3" t="str">
        <f ca="1">IFERROR(__xludf.DUMMYFUNCTION("IF(ISBLANK(A829),"""",GOOGLETRANSLATE(A829,""en"",""fr""))"),"")</f>
        <v/>
      </c>
    </row>
    <row r="830" spans="2:2">
      <c r="B830" s="3" t="str">
        <f ca="1">IFERROR(__xludf.DUMMYFUNCTION("IF(ISBLANK(A830),"""",GOOGLETRANSLATE(A830,""en"",""fr""))"),"")</f>
        <v/>
      </c>
    </row>
    <row r="831" spans="2:2">
      <c r="B831" s="3" t="str">
        <f ca="1">IFERROR(__xludf.DUMMYFUNCTION("IF(ISBLANK(A831),"""",GOOGLETRANSLATE(A831,""en"",""fr""))"),"")</f>
        <v/>
      </c>
    </row>
    <row r="832" spans="2:2">
      <c r="B832" s="3" t="str">
        <f ca="1">IFERROR(__xludf.DUMMYFUNCTION("IF(ISBLANK(A832),"""",GOOGLETRANSLATE(A832,""en"",""fr""))"),"")</f>
        <v/>
      </c>
    </row>
    <row r="833" spans="2:2">
      <c r="B833" s="3" t="str">
        <f ca="1">IFERROR(__xludf.DUMMYFUNCTION("IF(ISBLANK(A833),"""",GOOGLETRANSLATE(A833,""en"",""fr""))"),"")</f>
        <v/>
      </c>
    </row>
    <row r="834" spans="2:2">
      <c r="B834" s="3" t="str">
        <f ca="1">IFERROR(__xludf.DUMMYFUNCTION("IF(ISBLANK(A834),"""",GOOGLETRANSLATE(A834,""en"",""fr""))"),"")</f>
        <v/>
      </c>
    </row>
    <row r="835" spans="2:2">
      <c r="B835" s="3" t="str">
        <f ca="1">IFERROR(__xludf.DUMMYFUNCTION("IF(ISBLANK(A835),"""",GOOGLETRANSLATE(A835,""en"",""fr""))"),"")</f>
        <v/>
      </c>
    </row>
    <row r="836" spans="2:2">
      <c r="B836" s="3" t="str">
        <f ca="1">IFERROR(__xludf.DUMMYFUNCTION("IF(ISBLANK(A836),"""",GOOGLETRANSLATE(A836,""en"",""fr""))"),"")</f>
        <v/>
      </c>
    </row>
    <row r="837" spans="2:2">
      <c r="B837" s="3" t="str">
        <f ca="1">IFERROR(__xludf.DUMMYFUNCTION("IF(ISBLANK(A837),"""",GOOGLETRANSLATE(A837,""en"",""fr""))"),"")</f>
        <v/>
      </c>
    </row>
    <row r="838" spans="2:2">
      <c r="B838" s="3" t="str">
        <f ca="1">IFERROR(__xludf.DUMMYFUNCTION("IF(ISBLANK(A838),"""",GOOGLETRANSLATE(A838,""en"",""fr""))"),"")</f>
        <v/>
      </c>
    </row>
    <row r="839" spans="2:2">
      <c r="B839" s="3" t="str">
        <f ca="1">IFERROR(__xludf.DUMMYFUNCTION("IF(ISBLANK(A839),"""",GOOGLETRANSLATE(A839,""en"",""fr""))"),"")</f>
        <v/>
      </c>
    </row>
    <row r="840" spans="2:2">
      <c r="B840" s="3" t="str">
        <f ca="1">IFERROR(__xludf.DUMMYFUNCTION("IF(ISBLANK(A840),"""",GOOGLETRANSLATE(A840,""en"",""fr""))"),"")</f>
        <v/>
      </c>
    </row>
    <row r="841" spans="2:2">
      <c r="B841" s="3" t="str">
        <f ca="1">IFERROR(__xludf.DUMMYFUNCTION("IF(ISBLANK(A841),"""",GOOGLETRANSLATE(A841,""en"",""fr""))"),"")</f>
        <v/>
      </c>
    </row>
    <row r="842" spans="2:2">
      <c r="B842" s="3" t="str">
        <f ca="1">IFERROR(__xludf.DUMMYFUNCTION("IF(ISBLANK(A842),"""",GOOGLETRANSLATE(A842,""en"",""fr""))"),"")</f>
        <v/>
      </c>
    </row>
    <row r="843" spans="2:2">
      <c r="B843" s="3" t="str">
        <f ca="1">IFERROR(__xludf.DUMMYFUNCTION("IF(ISBLANK(A843),"""",GOOGLETRANSLATE(A843,""en"",""fr""))"),"")</f>
        <v/>
      </c>
    </row>
    <row r="844" spans="2:2">
      <c r="B844" s="3" t="str">
        <f ca="1">IFERROR(__xludf.DUMMYFUNCTION("IF(ISBLANK(A844),"""",GOOGLETRANSLATE(A844,""en"",""fr""))"),"")</f>
        <v/>
      </c>
    </row>
    <row r="845" spans="2:2">
      <c r="B845" s="3" t="str">
        <f ca="1">IFERROR(__xludf.DUMMYFUNCTION("IF(ISBLANK(A845),"""",GOOGLETRANSLATE(A845,""en"",""fr""))"),"")</f>
        <v/>
      </c>
    </row>
    <row r="846" spans="2:2">
      <c r="B846" s="3" t="str">
        <f ca="1">IFERROR(__xludf.DUMMYFUNCTION("IF(ISBLANK(A846),"""",GOOGLETRANSLATE(A846,""en"",""fr""))"),"")</f>
        <v/>
      </c>
    </row>
    <row r="847" spans="2:2">
      <c r="B847" s="3" t="str">
        <f ca="1">IFERROR(__xludf.DUMMYFUNCTION("IF(ISBLANK(A847),"""",GOOGLETRANSLATE(A847,""en"",""fr""))"),"")</f>
        <v/>
      </c>
    </row>
    <row r="848" spans="2:2">
      <c r="B848" s="3" t="str">
        <f ca="1">IFERROR(__xludf.DUMMYFUNCTION("IF(ISBLANK(A848),"""",GOOGLETRANSLATE(A848,""en"",""fr""))"),"")</f>
        <v/>
      </c>
    </row>
    <row r="849" spans="2:2">
      <c r="B849" s="3" t="str">
        <f ca="1">IFERROR(__xludf.DUMMYFUNCTION("IF(ISBLANK(A849),"""",GOOGLETRANSLATE(A849,""en"",""fr""))"),"")</f>
        <v/>
      </c>
    </row>
    <row r="850" spans="2:2">
      <c r="B850" s="3" t="str">
        <f ca="1">IFERROR(__xludf.DUMMYFUNCTION("IF(ISBLANK(A850),"""",GOOGLETRANSLATE(A850,""en"",""fr""))"),"")</f>
        <v/>
      </c>
    </row>
    <row r="851" spans="2:2">
      <c r="B851" s="3" t="str">
        <f ca="1">IFERROR(__xludf.DUMMYFUNCTION("IF(ISBLANK(A851),"""",GOOGLETRANSLATE(A851,""en"",""fr""))"),"")</f>
        <v/>
      </c>
    </row>
    <row r="852" spans="2:2">
      <c r="B852" s="3" t="str">
        <f ca="1">IFERROR(__xludf.DUMMYFUNCTION("IF(ISBLANK(A852),"""",GOOGLETRANSLATE(A852,""en"",""fr""))"),"")</f>
        <v/>
      </c>
    </row>
    <row r="853" spans="2:2">
      <c r="B853" s="3" t="str">
        <f ca="1">IFERROR(__xludf.DUMMYFUNCTION("IF(ISBLANK(A853),"""",GOOGLETRANSLATE(A853,""en"",""fr""))"),"")</f>
        <v/>
      </c>
    </row>
    <row r="854" spans="2:2">
      <c r="B854" s="3" t="str">
        <f ca="1">IFERROR(__xludf.DUMMYFUNCTION("IF(ISBLANK(A854),"""",GOOGLETRANSLATE(A854,""en"",""fr""))"),"")</f>
        <v/>
      </c>
    </row>
    <row r="855" spans="2:2">
      <c r="B855" s="3" t="str">
        <f ca="1">IFERROR(__xludf.DUMMYFUNCTION("IF(ISBLANK(A855),"""",GOOGLETRANSLATE(A855,""en"",""fr""))"),"")</f>
        <v/>
      </c>
    </row>
    <row r="856" spans="2:2">
      <c r="B856" s="3" t="str">
        <f ca="1">IFERROR(__xludf.DUMMYFUNCTION("IF(ISBLANK(A856),"""",GOOGLETRANSLATE(A856,""en"",""fr""))"),"")</f>
        <v/>
      </c>
    </row>
    <row r="857" spans="2:2">
      <c r="B857" s="3" t="str">
        <f ca="1">IFERROR(__xludf.DUMMYFUNCTION("IF(ISBLANK(A857),"""",GOOGLETRANSLATE(A857,""en"",""fr""))"),"")</f>
        <v/>
      </c>
    </row>
    <row r="858" spans="2:2">
      <c r="B858" s="3" t="str">
        <f ca="1">IFERROR(__xludf.DUMMYFUNCTION("IF(ISBLANK(A858),"""",GOOGLETRANSLATE(A858,""en"",""fr""))"),"")</f>
        <v/>
      </c>
    </row>
    <row r="859" spans="2:2">
      <c r="B859" s="3" t="str">
        <f ca="1">IFERROR(__xludf.DUMMYFUNCTION("IF(ISBLANK(A859),"""",GOOGLETRANSLATE(A859,""en"",""fr""))"),"")</f>
        <v/>
      </c>
    </row>
    <row r="860" spans="2:2">
      <c r="B860" s="3" t="str">
        <f ca="1">IFERROR(__xludf.DUMMYFUNCTION("IF(ISBLANK(A860),"""",GOOGLETRANSLATE(A860,""en"",""fr""))"),"")</f>
        <v/>
      </c>
    </row>
    <row r="861" spans="2:2">
      <c r="B861" s="3" t="str">
        <f ca="1">IFERROR(__xludf.DUMMYFUNCTION("IF(ISBLANK(A861),"""",GOOGLETRANSLATE(A861,""en"",""fr""))"),"")</f>
        <v/>
      </c>
    </row>
    <row r="862" spans="2:2">
      <c r="B862" s="3" t="str">
        <f ca="1">IFERROR(__xludf.DUMMYFUNCTION("IF(ISBLANK(A862),"""",GOOGLETRANSLATE(A862,""en"",""fr""))"),"")</f>
        <v/>
      </c>
    </row>
    <row r="863" spans="2:2">
      <c r="B863" s="3" t="str">
        <f ca="1">IFERROR(__xludf.DUMMYFUNCTION("IF(ISBLANK(A863),"""",GOOGLETRANSLATE(A863,""en"",""fr""))"),"")</f>
        <v/>
      </c>
    </row>
    <row r="864" spans="2:2">
      <c r="B864" s="3" t="str">
        <f ca="1">IFERROR(__xludf.DUMMYFUNCTION("IF(ISBLANK(A864),"""",GOOGLETRANSLATE(A864,""en"",""fr""))"),"")</f>
        <v/>
      </c>
    </row>
    <row r="865" spans="2:2">
      <c r="B865" s="3" t="str">
        <f ca="1">IFERROR(__xludf.DUMMYFUNCTION("IF(ISBLANK(A865),"""",GOOGLETRANSLATE(A865,""en"",""fr""))"),"")</f>
        <v/>
      </c>
    </row>
    <row r="866" spans="2:2">
      <c r="B866" s="3" t="str">
        <f ca="1">IFERROR(__xludf.DUMMYFUNCTION("IF(ISBLANK(A866),"""",GOOGLETRANSLATE(A866,""en"",""fr""))"),"")</f>
        <v/>
      </c>
    </row>
    <row r="867" spans="2:2">
      <c r="B867" s="3" t="str">
        <f ca="1">IFERROR(__xludf.DUMMYFUNCTION("IF(ISBLANK(A867),"""",GOOGLETRANSLATE(A867,""en"",""fr""))"),"")</f>
        <v/>
      </c>
    </row>
    <row r="868" spans="2:2">
      <c r="B868" s="3" t="str">
        <f ca="1">IFERROR(__xludf.DUMMYFUNCTION("IF(ISBLANK(A868),"""",GOOGLETRANSLATE(A868,""en"",""fr""))"),"")</f>
        <v/>
      </c>
    </row>
    <row r="869" spans="2:2">
      <c r="B869" s="3" t="str">
        <f ca="1">IFERROR(__xludf.DUMMYFUNCTION("IF(ISBLANK(A869),"""",GOOGLETRANSLATE(A869,""en"",""fr""))"),"")</f>
        <v/>
      </c>
    </row>
    <row r="870" spans="2:2">
      <c r="B870" s="3" t="str">
        <f ca="1">IFERROR(__xludf.DUMMYFUNCTION("IF(ISBLANK(A870),"""",GOOGLETRANSLATE(A870,""en"",""fr""))"),"")</f>
        <v/>
      </c>
    </row>
    <row r="871" spans="2:2">
      <c r="B871" s="3" t="str">
        <f ca="1">IFERROR(__xludf.DUMMYFUNCTION("IF(ISBLANK(A871),"""",GOOGLETRANSLATE(A871,""en"",""fr""))"),"")</f>
        <v/>
      </c>
    </row>
    <row r="872" spans="2:2">
      <c r="B872" s="3" t="str">
        <f ca="1">IFERROR(__xludf.DUMMYFUNCTION("IF(ISBLANK(A872),"""",GOOGLETRANSLATE(A872,""en"",""fr""))"),"")</f>
        <v/>
      </c>
    </row>
    <row r="873" spans="2:2">
      <c r="B873" s="3" t="str">
        <f ca="1">IFERROR(__xludf.DUMMYFUNCTION("IF(ISBLANK(A873),"""",GOOGLETRANSLATE(A873,""en"",""fr""))"),"")</f>
        <v/>
      </c>
    </row>
    <row r="874" spans="2:2">
      <c r="B874" s="3" t="str">
        <f ca="1">IFERROR(__xludf.DUMMYFUNCTION("IF(ISBLANK(A874),"""",GOOGLETRANSLATE(A874,""en"",""fr""))"),"")</f>
        <v/>
      </c>
    </row>
    <row r="875" spans="2:2">
      <c r="B875" s="3" t="str">
        <f ca="1">IFERROR(__xludf.DUMMYFUNCTION("IF(ISBLANK(A875),"""",GOOGLETRANSLATE(A875,""en"",""fr""))"),"")</f>
        <v/>
      </c>
    </row>
    <row r="876" spans="2:2">
      <c r="B876" s="3" t="str">
        <f ca="1">IFERROR(__xludf.DUMMYFUNCTION("IF(ISBLANK(A876),"""",GOOGLETRANSLATE(A876,""en"",""fr""))"),"")</f>
        <v/>
      </c>
    </row>
    <row r="877" spans="2:2">
      <c r="B877" s="3" t="str">
        <f ca="1">IFERROR(__xludf.DUMMYFUNCTION("IF(ISBLANK(A877),"""",GOOGLETRANSLATE(A877,""en"",""fr""))"),"")</f>
        <v/>
      </c>
    </row>
    <row r="878" spans="2:2">
      <c r="B878" s="3" t="str">
        <f ca="1">IFERROR(__xludf.DUMMYFUNCTION("IF(ISBLANK(A878),"""",GOOGLETRANSLATE(A878,""en"",""fr""))"),"")</f>
        <v/>
      </c>
    </row>
    <row r="879" spans="2:2">
      <c r="B879" s="3" t="str">
        <f ca="1">IFERROR(__xludf.DUMMYFUNCTION("IF(ISBLANK(A879),"""",GOOGLETRANSLATE(A879,""en"",""fr""))"),"")</f>
        <v/>
      </c>
    </row>
    <row r="880" spans="2:2">
      <c r="B880" s="3" t="str">
        <f ca="1">IFERROR(__xludf.DUMMYFUNCTION("IF(ISBLANK(A880),"""",GOOGLETRANSLATE(A880,""en"",""fr""))"),"")</f>
        <v/>
      </c>
    </row>
    <row r="881" spans="2:2">
      <c r="B881" s="3" t="str">
        <f ca="1">IFERROR(__xludf.DUMMYFUNCTION("IF(ISBLANK(A881),"""",GOOGLETRANSLATE(A881,""en"",""fr""))"),"")</f>
        <v/>
      </c>
    </row>
    <row r="882" spans="2:2">
      <c r="B882" s="3" t="str">
        <f ca="1">IFERROR(__xludf.DUMMYFUNCTION("IF(ISBLANK(A882),"""",GOOGLETRANSLATE(A882,""en"",""fr""))"),"")</f>
        <v/>
      </c>
    </row>
    <row r="883" spans="2:2">
      <c r="B883" s="3" t="str">
        <f ca="1">IFERROR(__xludf.DUMMYFUNCTION("IF(ISBLANK(A883),"""",GOOGLETRANSLATE(A883,""en"",""fr""))"),"")</f>
        <v/>
      </c>
    </row>
    <row r="884" spans="2:2">
      <c r="B884" s="3" t="str">
        <f ca="1">IFERROR(__xludf.DUMMYFUNCTION("IF(ISBLANK(A884),"""",GOOGLETRANSLATE(A884,""en"",""fr""))"),"")</f>
        <v/>
      </c>
    </row>
    <row r="885" spans="2:2">
      <c r="B885" s="3" t="str">
        <f ca="1">IFERROR(__xludf.DUMMYFUNCTION("IF(ISBLANK(A885),"""",GOOGLETRANSLATE(A885,""en"",""fr""))"),"")</f>
        <v/>
      </c>
    </row>
    <row r="886" spans="2:2">
      <c r="B886" s="3" t="str">
        <f ca="1">IFERROR(__xludf.DUMMYFUNCTION("IF(ISBLANK(A886),"""",GOOGLETRANSLATE(A886,""en"",""fr""))"),"")</f>
        <v/>
      </c>
    </row>
    <row r="887" spans="2:2">
      <c r="B887" s="3" t="str">
        <f ca="1">IFERROR(__xludf.DUMMYFUNCTION("IF(ISBLANK(A887),"""",GOOGLETRANSLATE(A887,""en"",""fr""))"),"")</f>
        <v/>
      </c>
    </row>
    <row r="888" spans="2:2">
      <c r="B888" s="3" t="str">
        <f ca="1">IFERROR(__xludf.DUMMYFUNCTION("IF(ISBLANK(A888),"""",GOOGLETRANSLATE(A888,""en"",""fr""))"),"")</f>
        <v/>
      </c>
    </row>
    <row r="889" spans="2:2">
      <c r="B889" s="3" t="str">
        <f ca="1">IFERROR(__xludf.DUMMYFUNCTION("IF(ISBLANK(A889),"""",GOOGLETRANSLATE(A889,""en"",""fr""))"),"")</f>
        <v/>
      </c>
    </row>
    <row r="890" spans="2:2">
      <c r="B890" s="3" t="str">
        <f ca="1">IFERROR(__xludf.DUMMYFUNCTION("IF(ISBLANK(A890),"""",GOOGLETRANSLATE(A890,""en"",""fr""))"),"")</f>
        <v/>
      </c>
    </row>
    <row r="891" spans="2:2">
      <c r="B891" s="3" t="str">
        <f ca="1">IFERROR(__xludf.DUMMYFUNCTION("IF(ISBLANK(A891),"""",GOOGLETRANSLATE(A891,""en"",""fr""))"),"")</f>
        <v/>
      </c>
    </row>
    <row r="892" spans="2:2">
      <c r="B892" s="3" t="str">
        <f ca="1">IFERROR(__xludf.DUMMYFUNCTION("IF(ISBLANK(A892),"""",GOOGLETRANSLATE(A892,""en"",""fr""))"),"")</f>
        <v/>
      </c>
    </row>
    <row r="893" spans="2:2">
      <c r="B893" s="3" t="str">
        <f ca="1">IFERROR(__xludf.DUMMYFUNCTION("IF(ISBLANK(A893),"""",GOOGLETRANSLATE(A893,""en"",""fr""))"),"")</f>
        <v/>
      </c>
    </row>
    <row r="894" spans="2:2">
      <c r="B894" s="3" t="str">
        <f ca="1">IFERROR(__xludf.DUMMYFUNCTION("IF(ISBLANK(A894),"""",GOOGLETRANSLATE(A894,""en"",""fr""))"),"")</f>
        <v/>
      </c>
    </row>
    <row r="895" spans="2:2">
      <c r="B895" s="3" t="str">
        <f ca="1">IFERROR(__xludf.DUMMYFUNCTION("IF(ISBLANK(A895),"""",GOOGLETRANSLATE(A895,""en"",""fr""))"),"")</f>
        <v/>
      </c>
    </row>
    <row r="896" spans="2:2">
      <c r="B896" s="3" t="str">
        <f ca="1">IFERROR(__xludf.DUMMYFUNCTION("IF(ISBLANK(A896),"""",GOOGLETRANSLATE(A896,""en"",""fr""))"),"")</f>
        <v/>
      </c>
    </row>
    <row r="897" spans="2:2">
      <c r="B897" s="3" t="str">
        <f ca="1">IFERROR(__xludf.DUMMYFUNCTION("IF(ISBLANK(A897),"""",GOOGLETRANSLATE(A897,""en"",""fr""))"),"")</f>
        <v/>
      </c>
    </row>
    <row r="898" spans="2:2">
      <c r="B898" s="3" t="str">
        <f ca="1">IFERROR(__xludf.DUMMYFUNCTION("IF(ISBLANK(A898),"""",GOOGLETRANSLATE(A898,""en"",""fr""))"),"")</f>
        <v/>
      </c>
    </row>
    <row r="899" spans="2:2">
      <c r="B899" s="3" t="str">
        <f ca="1">IFERROR(__xludf.DUMMYFUNCTION("IF(ISBLANK(A899),"""",GOOGLETRANSLATE(A899,""en"",""fr""))"),"")</f>
        <v/>
      </c>
    </row>
    <row r="900" spans="2:2">
      <c r="B900" s="3" t="str">
        <f ca="1">IFERROR(__xludf.DUMMYFUNCTION("IF(ISBLANK(A900),"""",GOOGLETRANSLATE(A900,""en"",""fr""))"),"")</f>
        <v/>
      </c>
    </row>
    <row r="901" spans="2:2">
      <c r="B901" s="3" t="str">
        <f ca="1">IFERROR(__xludf.DUMMYFUNCTION("IF(ISBLANK(A901),"""",GOOGLETRANSLATE(A901,""en"",""fr""))"),"")</f>
        <v/>
      </c>
    </row>
    <row r="902" spans="2:2">
      <c r="B902" s="3" t="str">
        <f ca="1">IFERROR(__xludf.DUMMYFUNCTION("IF(ISBLANK(A902),"""",GOOGLETRANSLATE(A902,""en"",""fr""))"),"")</f>
        <v/>
      </c>
    </row>
    <row r="903" spans="2:2">
      <c r="B903" s="3" t="str">
        <f ca="1">IFERROR(__xludf.DUMMYFUNCTION("IF(ISBLANK(A903),"""",GOOGLETRANSLATE(A903,""en"",""fr""))"),"")</f>
        <v/>
      </c>
    </row>
    <row r="904" spans="2:2">
      <c r="B904" s="3" t="str">
        <f ca="1">IFERROR(__xludf.DUMMYFUNCTION("IF(ISBLANK(A904),"""",GOOGLETRANSLATE(A904,""en"",""fr""))"),"")</f>
        <v/>
      </c>
    </row>
    <row r="905" spans="2:2">
      <c r="B905" s="3" t="str">
        <f ca="1">IFERROR(__xludf.DUMMYFUNCTION("IF(ISBLANK(A905),"""",GOOGLETRANSLATE(A905,""en"",""fr""))"),"")</f>
        <v/>
      </c>
    </row>
    <row r="906" spans="2:2">
      <c r="B906" s="3" t="str">
        <f ca="1">IFERROR(__xludf.DUMMYFUNCTION("IF(ISBLANK(A906),"""",GOOGLETRANSLATE(A906,""en"",""fr""))"),"")</f>
        <v/>
      </c>
    </row>
    <row r="907" spans="2:2">
      <c r="B907" s="3" t="str">
        <f ca="1">IFERROR(__xludf.DUMMYFUNCTION("IF(ISBLANK(A907),"""",GOOGLETRANSLATE(A907,""en"",""fr""))"),"")</f>
        <v/>
      </c>
    </row>
    <row r="908" spans="2:2">
      <c r="B908" s="3" t="str">
        <f ca="1">IFERROR(__xludf.DUMMYFUNCTION("IF(ISBLANK(A908),"""",GOOGLETRANSLATE(A908,""en"",""fr""))"),"")</f>
        <v/>
      </c>
    </row>
    <row r="909" spans="2:2">
      <c r="B909" s="3" t="str">
        <f ca="1">IFERROR(__xludf.DUMMYFUNCTION("IF(ISBLANK(A909),"""",GOOGLETRANSLATE(A909,""en"",""fr""))"),"")</f>
        <v/>
      </c>
    </row>
    <row r="910" spans="2:2">
      <c r="B910" s="3" t="str">
        <f ca="1">IFERROR(__xludf.DUMMYFUNCTION("IF(ISBLANK(A910),"""",GOOGLETRANSLATE(A910,""en"",""fr""))"),"")</f>
        <v/>
      </c>
    </row>
    <row r="911" spans="2:2">
      <c r="B911" s="3" t="str">
        <f ca="1">IFERROR(__xludf.DUMMYFUNCTION("IF(ISBLANK(A911),"""",GOOGLETRANSLATE(A911,""en"",""fr""))"),"")</f>
        <v/>
      </c>
    </row>
    <row r="912" spans="2:2">
      <c r="B912" s="3" t="str">
        <f ca="1">IFERROR(__xludf.DUMMYFUNCTION("IF(ISBLANK(A912),"""",GOOGLETRANSLATE(A912,""en"",""fr""))"),"")</f>
        <v/>
      </c>
    </row>
    <row r="913" spans="2:2">
      <c r="B913" s="3" t="str">
        <f ca="1">IFERROR(__xludf.DUMMYFUNCTION("IF(ISBLANK(A913),"""",GOOGLETRANSLATE(A913,""en"",""fr""))"),"")</f>
        <v/>
      </c>
    </row>
    <row r="914" spans="2:2">
      <c r="B914" s="3" t="str">
        <f ca="1">IFERROR(__xludf.DUMMYFUNCTION("IF(ISBLANK(A914),"""",GOOGLETRANSLATE(A914,""en"",""fr""))"),"")</f>
        <v/>
      </c>
    </row>
    <row r="915" spans="2:2">
      <c r="B915" s="3" t="str">
        <f ca="1">IFERROR(__xludf.DUMMYFUNCTION("IF(ISBLANK(A915),"""",GOOGLETRANSLATE(A915,""en"",""fr""))"),"")</f>
        <v/>
      </c>
    </row>
    <row r="916" spans="2:2">
      <c r="B916" s="3" t="str">
        <f ca="1">IFERROR(__xludf.DUMMYFUNCTION("IF(ISBLANK(A916),"""",GOOGLETRANSLATE(A916,""en"",""fr""))"),"")</f>
        <v/>
      </c>
    </row>
    <row r="917" spans="2:2">
      <c r="B917" s="3" t="str">
        <f ca="1">IFERROR(__xludf.DUMMYFUNCTION("IF(ISBLANK(A917),"""",GOOGLETRANSLATE(A917,""en"",""fr""))"),"")</f>
        <v/>
      </c>
    </row>
    <row r="918" spans="2:2">
      <c r="B918" s="3" t="str">
        <f ca="1">IFERROR(__xludf.DUMMYFUNCTION("IF(ISBLANK(A918),"""",GOOGLETRANSLATE(A918,""en"",""fr""))"),"")</f>
        <v/>
      </c>
    </row>
    <row r="919" spans="2:2">
      <c r="B919" s="3" t="str">
        <f ca="1">IFERROR(__xludf.DUMMYFUNCTION("IF(ISBLANK(A919),"""",GOOGLETRANSLATE(A919,""en"",""fr""))"),"")</f>
        <v/>
      </c>
    </row>
    <row r="920" spans="2:2">
      <c r="B920" s="3" t="str">
        <f ca="1">IFERROR(__xludf.DUMMYFUNCTION("IF(ISBLANK(A920),"""",GOOGLETRANSLATE(A920,""en"",""fr""))"),"")</f>
        <v/>
      </c>
    </row>
    <row r="921" spans="2:2">
      <c r="B921" s="3" t="str">
        <f ca="1">IFERROR(__xludf.DUMMYFUNCTION("IF(ISBLANK(A921),"""",GOOGLETRANSLATE(A921,""en"",""fr""))"),"")</f>
        <v/>
      </c>
    </row>
    <row r="922" spans="2:2">
      <c r="B922" s="3" t="str">
        <f ca="1">IFERROR(__xludf.DUMMYFUNCTION("IF(ISBLANK(A922),"""",GOOGLETRANSLATE(A922,""en"",""fr""))"),"")</f>
        <v/>
      </c>
    </row>
    <row r="923" spans="2:2">
      <c r="B923" s="3" t="str">
        <f ca="1">IFERROR(__xludf.DUMMYFUNCTION("IF(ISBLANK(A923),"""",GOOGLETRANSLATE(A923,""en"",""fr""))"),"")</f>
        <v/>
      </c>
    </row>
    <row r="924" spans="2:2">
      <c r="B924" s="3" t="str">
        <f ca="1">IFERROR(__xludf.DUMMYFUNCTION("IF(ISBLANK(A924),"""",GOOGLETRANSLATE(A924,""en"",""fr""))"),"")</f>
        <v/>
      </c>
    </row>
    <row r="925" spans="2:2">
      <c r="B925" s="3" t="str">
        <f ca="1">IFERROR(__xludf.DUMMYFUNCTION("IF(ISBLANK(A925),"""",GOOGLETRANSLATE(A925,""en"",""fr""))"),"")</f>
        <v/>
      </c>
    </row>
    <row r="926" spans="2:2">
      <c r="B926" s="3" t="str">
        <f ca="1">IFERROR(__xludf.DUMMYFUNCTION("IF(ISBLANK(A926),"""",GOOGLETRANSLATE(A926,""en"",""fr""))"),"")</f>
        <v/>
      </c>
    </row>
    <row r="927" spans="2:2">
      <c r="B927" s="3" t="str">
        <f ca="1">IFERROR(__xludf.DUMMYFUNCTION("IF(ISBLANK(A927),"""",GOOGLETRANSLATE(A927,""en"",""fr""))"),"")</f>
        <v/>
      </c>
    </row>
    <row r="928" spans="2:2">
      <c r="B928" s="3" t="str">
        <f ca="1">IFERROR(__xludf.DUMMYFUNCTION("IF(ISBLANK(A928),"""",GOOGLETRANSLATE(A928,""en"",""fr""))"),"")</f>
        <v/>
      </c>
    </row>
    <row r="929" spans="2:2">
      <c r="B929" s="3" t="str">
        <f ca="1">IFERROR(__xludf.DUMMYFUNCTION("IF(ISBLANK(A929),"""",GOOGLETRANSLATE(A929,""en"",""fr""))"),"")</f>
        <v/>
      </c>
    </row>
    <row r="930" spans="2:2">
      <c r="B930" s="3" t="str">
        <f ca="1">IFERROR(__xludf.DUMMYFUNCTION("IF(ISBLANK(A930),"""",GOOGLETRANSLATE(A930,""en"",""fr""))"),"")</f>
        <v/>
      </c>
    </row>
    <row r="931" spans="2:2">
      <c r="B931" s="3" t="str">
        <f ca="1">IFERROR(__xludf.DUMMYFUNCTION("IF(ISBLANK(A931),"""",GOOGLETRANSLATE(A931,""en"",""fr""))"),"")</f>
        <v/>
      </c>
    </row>
    <row r="932" spans="2:2">
      <c r="B932" s="3" t="str">
        <f ca="1">IFERROR(__xludf.DUMMYFUNCTION("IF(ISBLANK(A932),"""",GOOGLETRANSLATE(A932,""en"",""fr""))"),"")</f>
        <v/>
      </c>
    </row>
    <row r="933" spans="2:2">
      <c r="B933" s="3" t="str">
        <f ca="1">IFERROR(__xludf.DUMMYFUNCTION("IF(ISBLANK(A933),"""",GOOGLETRANSLATE(A933,""en"",""fr""))"),"")</f>
        <v/>
      </c>
    </row>
    <row r="934" spans="2:2">
      <c r="B934" s="3" t="str">
        <f ca="1">IFERROR(__xludf.DUMMYFUNCTION("IF(ISBLANK(A934),"""",GOOGLETRANSLATE(A934,""en"",""fr""))"),"")</f>
        <v/>
      </c>
    </row>
    <row r="935" spans="2:2">
      <c r="B935" s="3" t="str">
        <f ca="1">IFERROR(__xludf.DUMMYFUNCTION("IF(ISBLANK(A935),"""",GOOGLETRANSLATE(A935,""en"",""fr""))"),"")</f>
        <v/>
      </c>
    </row>
    <row r="936" spans="2:2">
      <c r="B936" s="3" t="str">
        <f ca="1">IFERROR(__xludf.DUMMYFUNCTION("IF(ISBLANK(A936),"""",GOOGLETRANSLATE(A936,""en"",""fr""))"),"")</f>
        <v/>
      </c>
    </row>
    <row r="937" spans="2:2">
      <c r="B937" s="3" t="str">
        <f ca="1">IFERROR(__xludf.DUMMYFUNCTION("IF(ISBLANK(A937),"""",GOOGLETRANSLATE(A937,""en"",""fr""))"),"")</f>
        <v/>
      </c>
    </row>
    <row r="938" spans="2:2">
      <c r="B938" s="3" t="str">
        <f ca="1">IFERROR(__xludf.DUMMYFUNCTION("IF(ISBLANK(A938),"""",GOOGLETRANSLATE(A938,""en"",""fr""))"),"")</f>
        <v/>
      </c>
    </row>
    <row r="939" spans="2:2">
      <c r="B939" s="3" t="str">
        <f ca="1">IFERROR(__xludf.DUMMYFUNCTION("IF(ISBLANK(A939),"""",GOOGLETRANSLATE(A939,""en"",""fr""))"),"")</f>
        <v/>
      </c>
    </row>
    <row r="940" spans="2:2">
      <c r="B940" s="3" t="str">
        <f ca="1">IFERROR(__xludf.DUMMYFUNCTION("IF(ISBLANK(A940),"""",GOOGLETRANSLATE(A940,""en"",""fr""))"),"")</f>
        <v/>
      </c>
    </row>
    <row r="941" spans="2:2">
      <c r="B941" s="3" t="str">
        <f ca="1">IFERROR(__xludf.DUMMYFUNCTION("IF(ISBLANK(A941),"""",GOOGLETRANSLATE(A941,""en"",""fr""))"),"")</f>
        <v/>
      </c>
    </row>
    <row r="942" spans="2:2">
      <c r="B942" s="3" t="str">
        <f ca="1">IFERROR(__xludf.DUMMYFUNCTION("IF(ISBLANK(A942),"""",GOOGLETRANSLATE(A942,""en"",""fr""))"),"")</f>
        <v/>
      </c>
    </row>
    <row r="943" spans="2:2">
      <c r="B943" s="3" t="str">
        <f ca="1">IFERROR(__xludf.DUMMYFUNCTION("IF(ISBLANK(A943),"""",GOOGLETRANSLATE(A943,""en"",""fr""))"),"")</f>
        <v/>
      </c>
    </row>
    <row r="944" spans="2:2">
      <c r="B944" s="3" t="str">
        <f ca="1">IFERROR(__xludf.DUMMYFUNCTION("IF(ISBLANK(A944),"""",GOOGLETRANSLATE(A944,""en"",""fr""))"),"")</f>
        <v/>
      </c>
    </row>
    <row r="945" spans="2:2">
      <c r="B945" s="3" t="str">
        <f ca="1">IFERROR(__xludf.DUMMYFUNCTION("IF(ISBLANK(A945),"""",GOOGLETRANSLATE(A945,""en"",""fr""))"),"")</f>
        <v/>
      </c>
    </row>
    <row r="946" spans="2:2">
      <c r="B946" s="3" t="str">
        <f ca="1">IFERROR(__xludf.DUMMYFUNCTION("IF(ISBLANK(A946),"""",GOOGLETRANSLATE(A946,""en"",""fr""))"),"")</f>
        <v/>
      </c>
    </row>
    <row r="947" spans="2:2">
      <c r="B947" s="3" t="str">
        <f ca="1">IFERROR(__xludf.DUMMYFUNCTION("IF(ISBLANK(A947),"""",GOOGLETRANSLATE(A947,""en"",""fr""))"),"")</f>
        <v/>
      </c>
    </row>
    <row r="948" spans="2:2">
      <c r="B948" s="3" t="str">
        <f ca="1">IFERROR(__xludf.DUMMYFUNCTION("IF(ISBLANK(A948),"""",GOOGLETRANSLATE(A948,""en"",""fr""))"),"")</f>
        <v/>
      </c>
    </row>
    <row r="949" spans="2:2">
      <c r="B949" s="3" t="str">
        <f ca="1">IFERROR(__xludf.DUMMYFUNCTION("IF(ISBLANK(A949),"""",GOOGLETRANSLATE(A949,""en"",""fr""))"),"")</f>
        <v/>
      </c>
    </row>
    <row r="950" spans="2:2">
      <c r="B950" s="3" t="str">
        <f ca="1">IFERROR(__xludf.DUMMYFUNCTION("IF(ISBLANK(A950),"""",GOOGLETRANSLATE(A950,""en"",""fr""))"),"")</f>
        <v/>
      </c>
    </row>
    <row r="951" spans="2:2">
      <c r="B951" s="3" t="str">
        <f ca="1">IFERROR(__xludf.DUMMYFUNCTION("IF(ISBLANK(A951),"""",GOOGLETRANSLATE(A951,""en"",""fr""))"),"")</f>
        <v/>
      </c>
    </row>
    <row r="952" spans="2:2">
      <c r="B952" s="3" t="str">
        <f ca="1">IFERROR(__xludf.DUMMYFUNCTION("IF(ISBLANK(A952),"""",GOOGLETRANSLATE(A952,""en"",""fr""))"),"")</f>
        <v/>
      </c>
    </row>
    <row r="953" spans="2:2">
      <c r="B953" s="3" t="str">
        <f ca="1">IFERROR(__xludf.DUMMYFUNCTION("IF(ISBLANK(A953),"""",GOOGLETRANSLATE(A953,""en"",""fr""))"),"")</f>
        <v/>
      </c>
    </row>
    <row r="954" spans="2:2">
      <c r="B954" s="3" t="str">
        <f ca="1">IFERROR(__xludf.DUMMYFUNCTION("IF(ISBLANK(A954),"""",GOOGLETRANSLATE(A954,""en"",""fr""))"),"")</f>
        <v/>
      </c>
    </row>
    <row r="955" spans="2:2">
      <c r="B955" s="3" t="str">
        <f ca="1">IFERROR(__xludf.DUMMYFUNCTION("IF(ISBLANK(A955),"""",GOOGLETRANSLATE(A955,""en"",""fr""))"),"")</f>
        <v/>
      </c>
    </row>
    <row r="956" spans="2:2">
      <c r="B956" s="3" t="str">
        <f ca="1">IFERROR(__xludf.DUMMYFUNCTION("IF(ISBLANK(A956),"""",GOOGLETRANSLATE(A956,""en"",""fr""))"),"")</f>
        <v/>
      </c>
    </row>
    <row r="957" spans="2:2">
      <c r="B957" s="3" t="str">
        <f ca="1">IFERROR(__xludf.DUMMYFUNCTION("IF(ISBLANK(A957),"""",GOOGLETRANSLATE(A957,""en"",""fr""))"),"")</f>
        <v/>
      </c>
    </row>
    <row r="958" spans="2:2">
      <c r="B958" s="3" t="str">
        <f ca="1">IFERROR(__xludf.DUMMYFUNCTION("IF(ISBLANK(A958),"""",GOOGLETRANSLATE(A958,""en"",""fr""))"),"")</f>
        <v/>
      </c>
    </row>
    <row r="959" spans="2:2">
      <c r="B959" s="3" t="str">
        <f ca="1">IFERROR(__xludf.DUMMYFUNCTION("IF(ISBLANK(A959),"""",GOOGLETRANSLATE(A959,""en"",""fr""))"),"")</f>
        <v/>
      </c>
    </row>
    <row r="960" spans="2:2">
      <c r="B960" s="3" t="str">
        <f ca="1">IFERROR(__xludf.DUMMYFUNCTION("IF(ISBLANK(A960),"""",GOOGLETRANSLATE(A960,""en"",""fr""))"),"")</f>
        <v/>
      </c>
    </row>
    <row r="961" spans="2:2">
      <c r="B961" s="3" t="str">
        <f ca="1">IFERROR(__xludf.DUMMYFUNCTION("IF(ISBLANK(A961),"""",GOOGLETRANSLATE(A961,""en"",""fr""))"),"")</f>
        <v/>
      </c>
    </row>
    <row r="962" spans="2:2">
      <c r="B962" s="3" t="str">
        <f ca="1">IFERROR(__xludf.DUMMYFUNCTION("IF(ISBLANK(A962),"""",GOOGLETRANSLATE(A962,""en"",""fr""))"),"")</f>
        <v/>
      </c>
    </row>
    <row r="963" spans="2:2">
      <c r="B963" s="3" t="str">
        <f ca="1">IFERROR(__xludf.DUMMYFUNCTION("IF(ISBLANK(A963),"""",GOOGLETRANSLATE(A963,""en"",""fr""))"),"")</f>
        <v/>
      </c>
    </row>
    <row r="964" spans="2:2">
      <c r="B964" s="3" t="str">
        <f ca="1">IFERROR(__xludf.DUMMYFUNCTION("IF(ISBLANK(A964),"""",GOOGLETRANSLATE(A964,""en"",""fr""))"),"")</f>
        <v/>
      </c>
    </row>
    <row r="965" spans="2:2">
      <c r="B965" s="3" t="str">
        <f ca="1">IFERROR(__xludf.DUMMYFUNCTION("IF(ISBLANK(A965),"""",GOOGLETRANSLATE(A965,""en"",""fr""))"),"")</f>
        <v/>
      </c>
    </row>
    <row r="966" spans="2:2">
      <c r="B966" s="3" t="str">
        <f ca="1">IFERROR(__xludf.DUMMYFUNCTION("IF(ISBLANK(A966),"""",GOOGLETRANSLATE(A966,""en"",""fr""))"),"")</f>
        <v/>
      </c>
    </row>
    <row r="967" spans="2:2">
      <c r="B967" s="3" t="str">
        <f ca="1">IFERROR(__xludf.DUMMYFUNCTION("IF(ISBLANK(A967),"""",GOOGLETRANSLATE(A967,""en"",""fr""))"),"")</f>
        <v/>
      </c>
    </row>
    <row r="968" spans="2:2">
      <c r="B968" s="3" t="str">
        <f ca="1">IFERROR(__xludf.DUMMYFUNCTION("IF(ISBLANK(A968),"""",GOOGLETRANSLATE(A968,""en"",""fr""))"),"")</f>
        <v/>
      </c>
    </row>
    <row r="969" spans="2:2">
      <c r="B969" s="3" t="str">
        <f ca="1">IFERROR(__xludf.DUMMYFUNCTION("IF(ISBLANK(A969),"""",GOOGLETRANSLATE(A969,""en"",""fr""))"),"")</f>
        <v/>
      </c>
    </row>
    <row r="970" spans="2:2">
      <c r="B970" s="3" t="str">
        <f ca="1">IFERROR(__xludf.DUMMYFUNCTION("IF(ISBLANK(A970),"""",GOOGLETRANSLATE(A970,""en"",""fr""))"),"")</f>
        <v/>
      </c>
    </row>
    <row r="971" spans="2:2">
      <c r="B971" s="3" t="str">
        <f ca="1">IFERROR(__xludf.DUMMYFUNCTION("IF(ISBLANK(A971),"""",GOOGLETRANSLATE(A971,""en"",""fr""))"),"")</f>
        <v/>
      </c>
    </row>
    <row r="972" spans="2:2">
      <c r="B972" s="3" t="str">
        <f ca="1">IFERROR(__xludf.DUMMYFUNCTION("IF(ISBLANK(A972),"""",GOOGLETRANSLATE(A972,""en"",""fr""))"),"")</f>
        <v/>
      </c>
    </row>
    <row r="973" spans="2:2">
      <c r="B973" s="3" t="str">
        <f ca="1">IFERROR(__xludf.DUMMYFUNCTION("IF(ISBLANK(A973),"""",GOOGLETRANSLATE(A973,""en"",""fr""))"),"")</f>
        <v/>
      </c>
    </row>
    <row r="974" spans="2:2">
      <c r="B974" s="3" t="str">
        <f ca="1">IFERROR(__xludf.DUMMYFUNCTION("IF(ISBLANK(A974),"""",GOOGLETRANSLATE(A974,""en"",""fr""))"),"")</f>
        <v/>
      </c>
    </row>
    <row r="975" spans="2:2">
      <c r="B975" s="3" t="str">
        <f ca="1">IFERROR(__xludf.DUMMYFUNCTION("IF(ISBLANK(A975),"""",GOOGLETRANSLATE(A975,""en"",""fr""))"),"")</f>
        <v/>
      </c>
    </row>
    <row r="976" spans="2:2">
      <c r="B976" s="3" t="str">
        <f ca="1">IFERROR(__xludf.DUMMYFUNCTION("IF(ISBLANK(A976),"""",GOOGLETRANSLATE(A976,""en"",""fr""))"),"")</f>
        <v/>
      </c>
    </row>
    <row r="977" spans="2:2">
      <c r="B977" s="3" t="str">
        <f ca="1">IFERROR(__xludf.DUMMYFUNCTION("IF(ISBLANK(A977),"""",GOOGLETRANSLATE(A977,""en"",""fr""))"),"")</f>
        <v/>
      </c>
    </row>
    <row r="978" spans="2:2">
      <c r="B978" s="3" t="str">
        <f ca="1">IFERROR(__xludf.DUMMYFUNCTION("IF(ISBLANK(A978),"""",GOOGLETRANSLATE(A978,""en"",""fr""))"),"")</f>
        <v/>
      </c>
    </row>
    <row r="979" spans="2:2">
      <c r="B979" s="3" t="str">
        <f ca="1">IFERROR(__xludf.DUMMYFUNCTION("IF(ISBLANK(A979),"""",GOOGLETRANSLATE(A979,""en"",""fr""))"),"")</f>
        <v/>
      </c>
    </row>
    <row r="980" spans="2:2">
      <c r="B980" s="3" t="str">
        <f ca="1">IFERROR(__xludf.DUMMYFUNCTION("IF(ISBLANK(A980),"""",GOOGLETRANSLATE(A980,""en"",""fr""))"),"")</f>
        <v/>
      </c>
    </row>
    <row r="981" spans="2:2">
      <c r="B981" s="3" t="str">
        <f ca="1">IFERROR(__xludf.DUMMYFUNCTION("IF(ISBLANK(A981),"""",GOOGLETRANSLATE(A981,""en"",""fr""))"),"")</f>
        <v/>
      </c>
    </row>
    <row r="982" spans="2:2">
      <c r="B982" s="3" t="str">
        <f ca="1">IFERROR(__xludf.DUMMYFUNCTION("IF(ISBLANK(A982),"""",GOOGLETRANSLATE(A982,""en"",""fr""))"),"")</f>
        <v/>
      </c>
    </row>
    <row r="983" spans="2:2">
      <c r="B983" s="3" t="str">
        <f ca="1">IFERROR(__xludf.DUMMYFUNCTION("IF(ISBLANK(A983),"""",GOOGLETRANSLATE(A983,""en"",""fr""))"),"")</f>
        <v/>
      </c>
    </row>
    <row r="984" spans="2:2">
      <c r="B984" s="3" t="str">
        <f ca="1">IFERROR(__xludf.DUMMYFUNCTION("IF(ISBLANK(A984),"""",GOOGLETRANSLATE(A984,""en"",""fr""))"),"")</f>
        <v/>
      </c>
    </row>
    <row r="985" spans="2:2">
      <c r="B985" s="3" t="str">
        <f ca="1">IFERROR(__xludf.DUMMYFUNCTION("IF(ISBLANK(A985),"""",GOOGLETRANSLATE(A985,""en"",""fr""))"),"")</f>
        <v/>
      </c>
    </row>
    <row r="986" spans="2:2">
      <c r="B986" s="3" t="str">
        <f ca="1">IFERROR(__xludf.DUMMYFUNCTION("IF(ISBLANK(A986),"""",GOOGLETRANSLATE(A986,""en"",""fr""))"),"")</f>
        <v/>
      </c>
    </row>
    <row r="987" spans="2:2">
      <c r="B987" s="3" t="str">
        <f ca="1">IFERROR(__xludf.DUMMYFUNCTION("IF(ISBLANK(A987),"""",GOOGLETRANSLATE(A987,""en"",""fr""))"),"")</f>
        <v/>
      </c>
    </row>
    <row r="988" spans="2:2">
      <c r="B988" s="3" t="str">
        <f ca="1">IFERROR(__xludf.DUMMYFUNCTION("IF(ISBLANK(A988),"""",GOOGLETRANSLATE(A988,""en"",""fr""))"),"")</f>
        <v/>
      </c>
    </row>
    <row r="989" spans="2:2">
      <c r="B989" s="3" t="str">
        <f ca="1">IFERROR(__xludf.DUMMYFUNCTION("IF(ISBLANK(A989),"""",GOOGLETRANSLATE(A989,""en"",""fr""))"),"")</f>
        <v/>
      </c>
    </row>
    <row r="990" spans="2:2">
      <c r="B990" s="3" t="str">
        <f ca="1">IFERROR(__xludf.DUMMYFUNCTION("IF(ISBLANK(A990),"""",GOOGLETRANSLATE(A990,""en"",""fr""))"),"")</f>
        <v/>
      </c>
    </row>
    <row r="991" spans="2:2">
      <c r="B991" s="3" t="str">
        <f ca="1">IFERROR(__xludf.DUMMYFUNCTION("IF(ISBLANK(A991),"""",GOOGLETRANSLATE(A991,""en"",""fr""))"),"")</f>
        <v/>
      </c>
    </row>
    <row r="992" spans="2:2">
      <c r="B992" s="3" t="str">
        <f ca="1">IFERROR(__xludf.DUMMYFUNCTION("IF(ISBLANK(A992),"""",GOOGLETRANSLATE(A992,""en"",""fr""))"),"")</f>
        <v/>
      </c>
    </row>
    <row r="993" spans="2:2">
      <c r="B993" s="3" t="str">
        <f ca="1">IFERROR(__xludf.DUMMYFUNCTION("IF(ISBLANK(A993),"""",GOOGLETRANSLATE(A993,""en"",""fr""))"),"")</f>
        <v/>
      </c>
    </row>
    <row r="994" spans="2:2">
      <c r="B994" s="3" t="str">
        <f ca="1">IFERROR(__xludf.DUMMYFUNCTION("IF(ISBLANK(A994),"""",GOOGLETRANSLATE(A994,""en"",""fr""))"),"")</f>
        <v/>
      </c>
    </row>
    <row r="995" spans="2:2">
      <c r="B995" s="3" t="str">
        <f ca="1">IFERROR(__xludf.DUMMYFUNCTION("IF(ISBLANK(A995),"""",GOOGLETRANSLATE(A995,""en"",""fr""))"),"")</f>
        <v/>
      </c>
    </row>
    <row r="996" spans="2:2">
      <c r="B996" s="3" t="str">
        <f ca="1">IFERROR(__xludf.DUMMYFUNCTION("IF(ISBLANK(A996),"""",GOOGLETRANSLATE(A996,""en"",""fr""))"),"")</f>
        <v/>
      </c>
    </row>
    <row r="997" spans="2:2">
      <c r="B997" s="3" t="str">
        <f ca="1">IFERROR(__xludf.DUMMYFUNCTION("IF(ISBLANK(A997),"""",GOOGLETRANSLATE(A997,""en"",""fr""))"),"")</f>
        <v/>
      </c>
    </row>
    <row r="998" spans="2:2">
      <c r="B998" s="3" t="str">
        <f ca="1">IFERROR(__xludf.DUMMYFUNCTION("IF(ISBLANK(A998),"""",GOOGLETRANSLATE(A998,""en"",""fr""))"),"")</f>
        <v/>
      </c>
    </row>
    <row r="999" spans="2:2">
      <c r="B999" s="3" t="str">
        <f ca="1">IFERROR(__xludf.DUMMYFUNCTION("IF(ISBLANK(A999),"""",GOOGLETRANSLATE(A999,""en"",""fr""))"),"")</f>
        <v/>
      </c>
    </row>
    <row r="1000" spans="2:2">
      <c r="B1000" s="3" t="str">
        <f ca="1">IFERROR(__xludf.DUMMYFUNCTION("IF(ISBLANK(A1000),"""",GOOGLETRANSLATE(A1000,""en"",""fr""))"),"")</f>
        <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B1000"/>
  <sheetViews>
    <sheetView workbookViewId="0"/>
  </sheetViews>
  <sheetFormatPr defaultColWidth="12.6640625" defaultRowHeight="15.75" customHeight="1"/>
  <cols>
    <col min="1" max="1" width="100.77734375" customWidth="1"/>
  </cols>
  <sheetData>
    <row r="1" spans="1:2">
      <c r="A1" s="1" t="s">
        <v>0</v>
      </c>
      <c r="B1" s="1"/>
    </row>
    <row r="2" spans="1:2">
      <c r="A2" s="3" t="s">
        <v>186</v>
      </c>
      <c r="B2" s="3" t="str">
        <f ca="1">IFERROR(__xludf.DUMMYFUNCTION("IF(ISBLANK(A2),"""",GOOGLETRANSLATE(A2,""en"",""fr""))"),"Politique des droits de l'homme")</f>
        <v>Politique des droits de l'homme</v>
      </c>
    </row>
    <row r="3" spans="1:2">
      <c r="A3" s="3" t="s">
        <v>1029</v>
      </c>
      <c r="B3" s="3" t="str">
        <f ca="1">IFERROR(__xludf.DUMMYFUNCTION("IF(ISBLANK(A3),"""",GOOGLETRANSLATE(A3,""en"",""fr""))"),"La politique des droits de l’homme de NETSOL s’applique à chaque employé de Netsol et repose sur les principes clés suivants :")</f>
        <v>La politique des droits de l’homme de NETSOL s’applique à chaque employé de Netsol et repose sur les principes clés suivants :</v>
      </c>
    </row>
    <row r="4" spans="1:2">
      <c r="A4" s="3" t="s">
        <v>1030</v>
      </c>
      <c r="B4" s="3" t="str">
        <f ca="1">IFERROR(__xludf.DUMMYFUNCTION("IF(ISBLANK(A4),"""",GOOGLETRANSLATE(A4,""en"",""fr""))"),"Mener toutes nos activités en toute légalité dans toutes les communautés que nous servons et d’une manière qui respecte et promeut les droits de l’homme et l’égalité pour tous les employés, le personnel des agences et les fournisseurs, où qu’ils soient ba"&amp;"sés.")</f>
        <v>Mener toutes nos activités en toute légalité dans toutes les communautés que nous servons et d’une manière qui respecte et promeut les droits de l’homme et l’égalité pour tous les employés, le personnel des agences et les fournisseurs, où qu’ils soient basés.</v>
      </c>
    </row>
    <row r="5" spans="1:2">
      <c r="A5" s="3" t="s">
        <v>1031</v>
      </c>
      <c r="B5" s="3" t="str">
        <f ca="1">IFERROR(__xludf.DUMMYFUNCTION("IF(ISBLANK(A5),"""",GOOGLETRANSLATE(A5,""en"",""fr""))"),"La reconnaissance et le respect du droit fondamental de la personne à mener une vie digne et indépendante, à l’abri des abus, des violations et de toute forme de discrimination.")</f>
        <v>La reconnaissance et le respect du droit fondamental de la personne à mener une vie digne et indépendante, à l’abri des abus, des violations et de toute forme de discrimination.</v>
      </c>
    </row>
    <row r="6" spans="1:2">
      <c r="A6" s="3" t="s">
        <v>1032</v>
      </c>
      <c r="B6" s="3" t="str">
        <f ca="1">IFERROR(__xludf.DUMMYFUNCTION("IF(ISBLANK(A6),"""",GOOGLETRANSLATE(A6,""en"",""fr""))"),"Reconnaître que les droits humains des personnes peuvent être directement et indirectement affectés par les opérations, les produits et les services de l’entreprise, et prendre des mesures pour identifier et réduire l’impact négatif de l’entreprise sur le"&amp;"s communautés et l’environnement dans la mesure du possible.")</f>
        <v>Reconnaître que les droits humains des personnes peuvent être directement et indirectement affectés par les opérations, les produits et les services de l’entreprise, et prendre des mesures pour identifier et réduire l’impact négatif de l’entreprise sur les communautés et l’environnement dans la mesure du possible.</v>
      </c>
    </row>
    <row r="7" spans="1:2">
      <c r="A7" s="3" t="s">
        <v>1033</v>
      </c>
      <c r="B7" s="3" t="str">
        <f ca="1">IFERROR(__xludf.DUMMYFUNCTION("IF(ISBLANK(A7),"""",GOOGLETRANSLATE(A7,""en"",""fr""))"),"Une volonté d’agir en tant qu’organisation responsable dans la réalisation d’un ensemble commun de normes s’appliquant à tous les peuples et à toutes les nations dans l’engagement d’une amélioration sociale et économique continue.")</f>
        <v>Une volonté d’agir en tant qu’organisation responsable dans la réalisation d’un ensemble commun de normes s’appliquant à tous les peuples et à toutes les nations dans l’engagement d’une amélioration sociale et économique continue.</v>
      </c>
    </row>
    <row r="8" spans="1:2">
      <c r="A8" s="3" t="s">
        <v>1034</v>
      </c>
      <c r="B8" s="3" t="str">
        <f ca="1">IFERROR(__xludf.DUMMYFUNCTION("IF(ISBLANK(A8),"""",GOOGLETRANSLATE(A8,""en"",""fr""))"),"Nous nous opposons à la traite des êtres humains, au travail des enfants, à l'esclavage et au travail servile, et nous attendons la même chose de tous nos partenaires commerciaux et fournisseurs. En tant qu'entreprise internationale, nous nous engageons à"&amp;" respecter la Charte internationale des droits de l'homme, le droit du travail applicable et les lois spécifiques relatives aux droits de l'homme, telles que la loi britannique sur l'esclavage moderne.")</f>
        <v>Nous nous opposons à la traite des êtres humains, au travail des enfants, à l'esclavage et au travail servile, et nous attendons la même chose de tous nos partenaires commerciaux et fournisseurs. En tant qu'entreprise internationale, nous nous engageons à respecter la Charte internationale des droits de l'homme, le droit du travail applicable et les lois spécifiques relatives aux droits de l'homme, telles que la loi britannique sur l'esclavage moderne.</v>
      </c>
    </row>
    <row r="9" spans="1:2">
      <c r="A9" s="3" t="s">
        <v>1035</v>
      </c>
      <c r="B9" s="3" t="str">
        <f ca="1">IFERROR(__xludf.DUMMYFUNCTION("IF(ISBLANK(A9),"""",GOOGLETRANSLATE(A9,""en"",""fr""))"),"Un engagement à chercher à n’établir des relations contractuelles qu’avec des tiers qui démontrent une volonté d’appliquer des principes similaires à ceux mentionnés ci-dessus à travers leurs propres cadres et initiatives.")</f>
        <v>Un engagement à chercher à n’établir des relations contractuelles qu’avec des tiers qui démontrent une volonté d’appliquer des principes similaires à ceux mentionnés ci-dessus à travers leurs propres cadres et initiatives.</v>
      </c>
    </row>
    <row r="10" spans="1:2">
      <c r="A10" s="3" t="s">
        <v>1036</v>
      </c>
      <c r="B10" s="3" t="str">
        <f ca="1">IFERROR(__xludf.DUMMYFUNCTION("IF(ISBLANK(A10),"""",GOOGLETRANSLATE(A10,""en"",""fr""))"),"Chaîne d'approvisionnement")</f>
        <v>Chaîne d'approvisionnement</v>
      </c>
    </row>
    <row r="11" spans="1:2">
      <c r="A11" s="3" t="s">
        <v>1037</v>
      </c>
      <c r="B11" s="3" t="str">
        <f ca="1">IFERROR(__xludf.DUMMYFUNCTION("IF(ISBLANK(A11),"""",GOOGLETRANSLATE(A11,""en"",""fr""))"),"NETSOL reconnaît que la mise en œuvre réussie de notre politique des droits de l’homme est fortement influencée par la coopération et le soutien de nos chaînes d’approvisionnement.")</f>
        <v>NETSOL reconnaît que la mise en œuvre réussie de notre politique des droits de l’homme est fortement influencée par la coopération et le soutien de nos chaînes d’approvisionnement.</v>
      </c>
    </row>
    <row r="12" spans="1:2">
      <c r="A12" s="3" t="s">
        <v>1038</v>
      </c>
      <c r="B12" s="3" t="str">
        <f ca="1">IFERROR(__xludf.DUMMYFUNCTION("IF(ISBLANK(A12),"""",GOOGLETRANSLATE(A12,""en"",""fr""))"),"Si les fournisseurs ou les sous-traitants agissent d’une manière incompatible avec notre politique des droits de l’homme et/ou sont complices de violations des droits de l’homme, NETSOL cherchera à résilier leurs contrats et à mettre fin à toutes les rela"&amp;"tions commerciales avec eux.")</f>
        <v>Si les fournisseurs ou les sous-traitants agissent d’une manière incompatible avec notre politique des droits de l’homme et/ou sont complices de violations des droits de l’homme, NETSOL cherchera à résilier leurs contrats et à mettre fin à toutes les relations commerciales avec eux.</v>
      </c>
    </row>
    <row r="13" spans="1:2">
      <c r="B13" s="3" t="str">
        <f ca="1">IFERROR(__xludf.DUMMYFUNCTION("IF(ISBLANK(A13),"""",GOOGLETRANSLATE(A13,""en"",""fr""))"),"")</f>
        <v/>
      </c>
    </row>
    <row r="14" spans="1:2">
      <c r="B14" s="3" t="str">
        <f ca="1">IFERROR(__xludf.DUMMYFUNCTION("IF(ISBLANK(A14),"""",GOOGLETRANSLATE(A14,""en"",""fr""))"),"")</f>
        <v/>
      </c>
    </row>
    <row r="15" spans="1:2">
      <c r="B15" s="3" t="str">
        <f ca="1">IFERROR(__xludf.DUMMYFUNCTION("IF(ISBLANK(A15),"""",GOOGLETRANSLATE(A15,""en"",""fr""))"),"")</f>
        <v/>
      </c>
    </row>
    <row r="16" spans="1:2">
      <c r="B16" s="3" t="str">
        <f ca="1">IFERROR(__xludf.DUMMYFUNCTION("IF(ISBLANK(A16),"""",GOOGLETRANSLATE(A16,""en"",""fr""))"),"")</f>
        <v/>
      </c>
    </row>
    <row r="17" spans="2:2">
      <c r="B17" s="3" t="str">
        <f ca="1">IFERROR(__xludf.DUMMYFUNCTION("IF(ISBLANK(A17),"""",GOOGLETRANSLATE(A17,""en"",""fr""))"),"")</f>
        <v/>
      </c>
    </row>
    <row r="18" spans="2:2">
      <c r="B18" s="3" t="str">
        <f ca="1">IFERROR(__xludf.DUMMYFUNCTION("IF(ISBLANK(A18),"""",GOOGLETRANSLATE(A18,""en"",""fr""))"),"")</f>
        <v/>
      </c>
    </row>
    <row r="19" spans="2:2">
      <c r="B19" s="3" t="str">
        <f ca="1">IFERROR(__xludf.DUMMYFUNCTION("IF(ISBLANK(A19),"""",GOOGLETRANSLATE(A19,""en"",""fr""))"),"")</f>
        <v/>
      </c>
    </row>
    <row r="20" spans="2:2">
      <c r="B20" s="3" t="str">
        <f ca="1">IFERROR(__xludf.DUMMYFUNCTION("IF(ISBLANK(A20),"""",GOOGLETRANSLATE(A20,""en"",""fr""))"),"")</f>
        <v/>
      </c>
    </row>
    <row r="21" spans="2:2">
      <c r="B21" s="3" t="str">
        <f ca="1">IFERROR(__xludf.DUMMYFUNCTION("IF(ISBLANK(A21),"""",GOOGLETRANSLATE(A21,""en"",""fr""))"),"")</f>
        <v/>
      </c>
    </row>
    <row r="22" spans="2:2">
      <c r="B22" s="3" t="str">
        <f ca="1">IFERROR(__xludf.DUMMYFUNCTION("IF(ISBLANK(A22),"""",GOOGLETRANSLATE(A22,""en"",""fr""))"),"")</f>
        <v/>
      </c>
    </row>
    <row r="23" spans="2:2">
      <c r="B23" s="3" t="str">
        <f ca="1">IFERROR(__xludf.DUMMYFUNCTION("IF(ISBLANK(A23),"""",GOOGLETRANSLATE(A23,""en"",""fr""))"),"")</f>
        <v/>
      </c>
    </row>
    <row r="24" spans="2:2">
      <c r="B24" s="3" t="str">
        <f ca="1">IFERROR(__xludf.DUMMYFUNCTION("IF(ISBLANK(A24),"""",GOOGLETRANSLATE(A24,""en"",""fr""))"),"")</f>
        <v/>
      </c>
    </row>
    <row r="25" spans="2:2">
      <c r="B25" s="3" t="str">
        <f ca="1">IFERROR(__xludf.DUMMYFUNCTION("IF(ISBLANK(A25),"""",GOOGLETRANSLATE(A25,""en"",""fr""))"),"")</f>
        <v/>
      </c>
    </row>
    <row r="26" spans="2:2">
      <c r="B26" s="3" t="str">
        <f ca="1">IFERROR(__xludf.DUMMYFUNCTION("IF(ISBLANK(A26),"""",GOOGLETRANSLATE(A26,""en"",""fr""))"),"")</f>
        <v/>
      </c>
    </row>
    <row r="27" spans="2:2">
      <c r="B27" s="3" t="str">
        <f ca="1">IFERROR(__xludf.DUMMYFUNCTION("IF(ISBLANK(A27),"""",GOOGLETRANSLATE(A27,""en"",""fr""))"),"")</f>
        <v/>
      </c>
    </row>
    <row r="28" spans="2:2">
      <c r="B28" s="3" t="str">
        <f ca="1">IFERROR(__xludf.DUMMYFUNCTION("IF(ISBLANK(A28),"""",GOOGLETRANSLATE(A28,""en"",""fr""))"),"")</f>
        <v/>
      </c>
    </row>
    <row r="29" spans="2:2">
      <c r="B29" s="3" t="str">
        <f ca="1">IFERROR(__xludf.DUMMYFUNCTION("IF(ISBLANK(A29),"""",GOOGLETRANSLATE(A29,""en"",""fr""))"),"")</f>
        <v/>
      </c>
    </row>
    <row r="30" spans="2:2">
      <c r="B30" s="3" t="str">
        <f ca="1">IFERROR(__xludf.DUMMYFUNCTION("IF(ISBLANK(A30),"""",GOOGLETRANSLATE(A30,""en"",""fr""))"),"")</f>
        <v/>
      </c>
    </row>
    <row r="31" spans="2:2">
      <c r="B31" s="3" t="str">
        <f ca="1">IFERROR(__xludf.DUMMYFUNCTION("IF(ISBLANK(A31),"""",GOOGLETRANSLATE(A31,""en"",""fr""))"),"")</f>
        <v/>
      </c>
    </row>
    <row r="32" spans="2:2">
      <c r="B32" s="3" t="str">
        <f ca="1">IFERROR(__xludf.DUMMYFUNCTION("IF(ISBLANK(A32),"""",GOOGLETRANSLATE(A32,""en"",""fr""))"),"")</f>
        <v/>
      </c>
    </row>
    <row r="33" spans="2:2">
      <c r="B33" s="3" t="str">
        <f ca="1">IFERROR(__xludf.DUMMYFUNCTION("IF(ISBLANK(A33),"""",GOOGLETRANSLATE(A33,""en"",""fr""))"),"")</f>
        <v/>
      </c>
    </row>
    <row r="34" spans="2:2">
      <c r="B34" s="3" t="str">
        <f ca="1">IFERROR(__xludf.DUMMYFUNCTION("IF(ISBLANK(A34),"""",GOOGLETRANSLATE(A34,""en"",""fr""))"),"")</f>
        <v/>
      </c>
    </row>
    <row r="35" spans="2:2">
      <c r="B35" s="3" t="str">
        <f ca="1">IFERROR(__xludf.DUMMYFUNCTION("IF(ISBLANK(A35),"""",GOOGLETRANSLATE(A35,""en"",""fr""))"),"")</f>
        <v/>
      </c>
    </row>
    <row r="36" spans="2:2">
      <c r="B36" s="3" t="str">
        <f ca="1">IFERROR(__xludf.DUMMYFUNCTION("IF(ISBLANK(A36),"""",GOOGLETRANSLATE(A36,""en"",""fr""))"),"")</f>
        <v/>
      </c>
    </row>
    <row r="37" spans="2:2">
      <c r="B37" s="3" t="str">
        <f ca="1">IFERROR(__xludf.DUMMYFUNCTION("IF(ISBLANK(A37),"""",GOOGLETRANSLATE(A37,""en"",""fr""))"),"")</f>
        <v/>
      </c>
    </row>
    <row r="38" spans="2:2">
      <c r="B38" s="3" t="str">
        <f ca="1">IFERROR(__xludf.DUMMYFUNCTION("IF(ISBLANK(A38),"""",GOOGLETRANSLATE(A38,""en"",""fr""))"),"")</f>
        <v/>
      </c>
    </row>
    <row r="39" spans="2:2">
      <c r="B39" s="3" t="str">
        <f ca="1">IFERROR(__xludf.DUMMYFUNCTION("IF(ISBLANK(A39),"""",GOOGLETRANSLATE(A39,""en"",""fr""))"),"")</f>
        <v/>
      </c>
    </row>
    <row r="40" spans="2:2">
      <c r="B40" s="3" t="str">
        <f ca="1">IFERROR(__xludf.DUMMYFUNCTION("IF(ISBLANK(A40),"""",GOOGLETRANSLATE(A40,""en"",""fr""))"),"")</f>
        <v/>
      </c>
    </row>
    <row r="41" spans="2:2">
      <c r="B41" s="3" t="str">
        <f ca="1">IFERROR(__xludf.DUMMYFUNCTION("IF(ISBLANK(A41),"""",GOOGLETRANSLATE(A41,""en"",""fr""))"),"")</f>
        <v/>
      </c>
    </row>
    <row r="42" spans="2:2">
      <c r="B42" s="3" t="str">
        <f ca="1">IFERROR(__xludf.DUMMYFUNCTION("IF(ISBLANK(A42),"""",GOOGLETRANSLATE(A42,""en"",""fr""))"),"")</f>
        <v/>
      </c>
    </row>
    <row r="43" spans="2:2">
      <c r="B43" s="3" t="str">
        <f ca="1">IFERROR(__xludf.DUMMYFUNCTION("IF(ISBLANK(A43),"""",GOOGLETRANSLATE(A43,""en"",""fr""))"),"")</f>
        <v/>
      </c>
    </row>
    <row r="44" spans="2:2">
      <c r="B44" s="3" t="str">
        <f ca="1">IFERROR(__xludf.DUMMYFUNCTION("IF(ISBLANK(A44),"""",GOOGLETRANSLATE(A44,""en"",""fr""))"),"")</f>
        <v/>
      </c>
    </row>
    <row r="45" spans="2:2">
      <c r="B45" s="3" t="str">
        <f ca="1">IFERROR(__xludf.DUMMYFUNCTION("IF(ISBLANK(A45),"""",GOOGLETRANSLATE(A45,""en"",""fr""))"),"")</f>
        <v/>
      </c>
    </row>
    <row r="46" spans="2:2">
      <c r="B46" s="3" t="str">
        <f ca="1">IFERROR(__xludf.DUMMYFUNCTION("IF(ISBLANK(A46),"""",GOOGLETRANSLATE(A46,""en"",""fr""))"),"")</f>
        <v/>
      </c>
    </row>
    <row r="47" spans="2:2">
      <c r="B47" s="3" t="str">
        <f ca="1">IFERROR(__xludf.DUMMYFUNCTION("IF(ISBLANK(A47),"""",GOOGLETRANSLATE(A47,""en"",""fr""))"),"")</f>
        <v/>
      </c>
    </row>
    <row r="48" spans="2:2">
      <c r="B48" s="3" t="str">
        <f ca="1">IFERROR(__xludf.DUMMYFUNCTION("IF(ISBLANK(A48),"""",GOOGLETRANSLATE(A48,""en"",""fr""))"),"")</f>
        <v/>
      </c>
    </row>
    <row r="49" spans="2:2">
      <c r="B49" s="3" t="str">
        <f ca="1">IFERROR(__xludf.DUMMYFUNCTION("IF(ISBLANK(A49),"""",GOOGLETRANSLATE(A49,""en"",""fr""))"),"")</f>
        <v/>
      </c>
    </row>
    <row r="50" spans="2:2">
      <c r="B50" s="3" t="str">
        <f ca="1">IFERROR(__xludf.DUMMYFUNCTION("IF(ISBLANK(A50),"""",GOOGLETRANSLATE(A50,""en"",""fr""))"),"")</f>
        <v/>
      </c>
    </row>
    <row r="51" spans="2:2">
      <c r="B51" s="3" t="str">
        <f ca="1">IFERROR(__xludf.DUMMYFUNCTION("IF(ISBLANK(A51),"""",GOOGLETRANSLATE(A51,""en"",""fr""))"),"")</f>
        <v/>
      </c>
    </row>
    <row r="52" spans="2:2">
      <c r="B52" s="3" t="str">
        <f ca="1">IFERROR(__xludf.DUMMYFUNCTION("IF(ISBLANK(A52),"""",GOOGLETRANSLATE(A52,""en"",""fr""))"),"")</f>
        <v/>
      </c>
    </row>
    <row r="53" spans="2:2">
      <c r="B53" s="3" t="str">
        <f ca="1">IFERROR(__xludf.DUMMYFUNCTION("IF(ISBLANK(A53),"""",GOOGLETRANSLATE(A53,""en"",""fr""))"),"")</f>
        <v/>
      </c>
    </row>
    <row r="54" spans="2:2">
      <c r="B54" s="3" t="str">
        <f ca="1">IFERROR(__xludf.DUMMYFUNCTION("IF(ISBLANK(A54),"""",GOOGLETRANSLATE(A54,""en"",""fr""))"),"")</f>
        <v/>
      </c>
    </row>
    <row r="55" spans="2:2">
      <c r="B55" s="3" t="str">
        <f ca="1">IFERROR(__xludf.DUMMYFUNCTION("IF(ISBLANK(A55),"""",GOOGLETRANSLATE(A55,""en"",""fr""))"),"")</f>
        <v/>
      </c>
    </row>
    <row r="56" spans="2:2">
      <c r="B56" s="3" t="str">
        <f ca="1">IFERROR(__xludf.DUMMYFUNCTION("IF(ISBLANK(A56),"""",GOOGLETRANSLATE(A56,""en"",""fr""))"),"")</f>
        <v/>
      </c>
    </row>
    <row r="57" spans="2:2">
      <c r="B57" s="3" t="str">
        <f ca="1">IFERROR(__xludf.DUMMYFUNCTION("IF(ISBLANK(A57),"""",GOOGLETRANSLATE(A57,""en"",""fr""))"),"")</f>
        <v/>
      </c>
    </row>
    <row r="58" spans="2:2">
      <c r="B58" s="3" t="str">
        <f ca="1">IFERROR(__xludf.DUMMYFUNCTION("IF(ISBLANK(A58),"""",GOOGLETRANSLATE(A58,""en"",""fr""))"),"")</f>
        <v/>
      </c>
    </row>
    <row r="59" spans="2:2">
      <c r="B59" s="3" t="str">
        <f ca="1">IFERROR(__xludf.DUMMYFUNCTION("IF(ISBLANK(A59),"""",GOOGLETRANSLATE(A59,""en"",""fr""))"),"")</f>
        <v/>
      </c>
    </row>
    <row r="60" spans="2:2">
      <c r="B60" s="3" t="str">
        <f ca="1">IFERROR(__xludf.DUMMYFUNCTION("IF(ISBLANK(A60),"""",GOOGLETRANSLATE(A60,""en"",""fr""))"),"")</f>
        <v/>
      </c>
    </row>
    <row r="61" spans="2:2">
      <c r="B61" s="3" t="str">
        <f ca="1">IFERROR(__xludf.DUMMYFUNCTION("IF(ISBLANK(A61),"""",GOOGLETRANSLATE(A61,""en"",""fr""))"),"")</f>
        <v/>
      </c>
    </row>
    <row r="62" spans="2:2">
      <c r="B62" s="3" t="str">
        <f ca="1">IFERROR(__xludf.DUMMYFUNCTION("IF(ISBLANK(A62),"""",GOOGLETRANSLATE(A62,""en"",""fr""))"),"")</f>
        <v/>
      </c>
    </row>
    <row r="63" spans="2:2">
      <c r="B63" s="3" t="str">
        <f ca="1">IFERROR(__xludf.DUMMYFUNCTION("IF(ISBLANK(A63),"""",GOOGLETRANSLATE(A63,""en"",""fr""))"),"")</f>
        <v/>
      </c>
    </row>
    <row r="64" spans="2:2">
      <c r="B64" s="3" t="str">
        <f ca="1">IFERROR(__xludf.DUMMYFUNCTION("IF(ISBLANK(A64),"""",GOOGLETRANSLATE(A64,""en"",""fr""))"),"")</f>
        <v/>
      </c>
    </row>
    <row r="65" spans="2:2">
      <c r="B65" s="3" t="str">
        <f ca="1">IFERROR(__xludf.DUMMYFUNCTION("IF(ISBLANK(A65),"""",GOOGLETRANSLATE(A65,""en"",""fr""))"),"")</f>
        <v/>
      </c>
    </row>
    <row r="66" spans="2:2">
      <c r="B66" s="3" t="str">
        <f ca="1">IFERROR(__xludf.DUMMYFUNCTION("IF(ISBLANK(A66),"""",GOOGLETRANSLATE(A66,""en"",""fr""))"),"")</f>
        <v/>
      </c>
    </row>
    <row r="67" spans="2:2">
      <c r="B67" s="3" t="str">
        <f ca="1">IFERROR(__xludf.DUMMYFUNCTION("IF(ISBLANK(A67),"""",GOOGLETRANSLATE(A67,""en"",""fr""))"),"")</f>
        <v/>
      </c>
    </row>
    <row r="68" spans="2:2">
      <c r="B68" s="3" t="str">
        <f ca="1">IFERROR(__xludf.DUMMYFUNCTION("IF(ISBLANK(A68),"""",GOOGLETRANSLATE(A68,""en"",""fr""))"),"")</f>
        <v/>
      </c>
    </row>
    <row r="69" spans="2:2">
      <c r="B69" s="3" t="str">
        <f ca="1">IFERROR(__xludf.DUMMYFUNCTION("IF(ISBLANK(A69),"""",GOOGLETRANSLATE(A69,""en"",""fr""))"),"")</f>
        <v/>
      </c>
    </row>
    <row r="70" spans="2:2">
      <c r="B70" s="3" t="str">
        <f ca="1">IFERROR(__xludf.DUMMYFUNCTION("IF(ISBLANK(A70),"""",GOOGLETRANSLATE(A70,""en"",""fr""))"),"")</f>
        <v/>
      </c>
    </row>
    <row r="71" spans="2:2">
      <c r="B71" s="3" t="str">
        <f ca="1">IFERROR(__xludf.DUMMYFUNCTION("IF(ISBLANK(A71),"""",GOOGLETRANSLATE(A71,""en"",""fr""))"),"")</f>
        <v/>
      </c>
    </row>
    <row r="72" spans="2:2">
      <c r="B72" s="3" t="str">
        <f ca="1">IFERROR(__xludf.DUMMYFUNCTION("IF(ISBLANK(A72),"""",GOOGLETRANSLATE(A72,""en"",""fr""))"),"")</f>
        <v/>
      </c>
    </row>
    <row r="73" spans="2:2">
      <c r="B73" s="3" t="str">
        <f ca="1">IFERROR(__xludf.DUMMYFUNCTION("IF(ISBLANK(A73),"""",GOOGLETRANSLATE(A73,""en"",""fr""))"),"")</f>
        <v/>
      </c>
    </row>
    <row r="74" spans="2:2">
      <c r="B74" s="3" t="str">
        <f ca="1">IFERROR(__xludf.DUMMYFUNCTION("IF(ISBLANK(A74),"""",GOOGLETRANSLATE(A74,""en"",""fr""))"),"")</f>
        <v/>
      </c>
    </row>
    <row r="75" spans="2:2">
      <c r="B75" s="3" t="str">
        <f ca="1">IFERROR(__xludf.DUMMYFUNCTION("IF(ISBLANK(A75),"""",GOOGLETRANSLATE(A75,""en"",""fr""))"),"")</f>
        <v/>
      </c>
    </row>
    <row r="76" spans="2:2">
      <c r="B76" s="3" t="str">
        <f ca="1">IFERROR(__xludf.DUMMYFUNCTION("IF(ISBLANK(A76),"""",GOOGLETRANSLATE(A76,""en"",""fr""))"),"")</f>
        <v/>
      </c>
    </row>
    <row r="77" spans="2:2">
      <c r="B77" s="3" t="str">
        <f ca="1">IFERROR(__xludf.DUMMYFUNCTION("IF(ISBLANK(A77),"""",GOOGLETRANSLATE(A77,""en"",""fr""))"),"")</f>
        <v/>
      </c>
    </row>
    <row r="78" spans="2:2">
      <c r="B78" s="3" t="str">
        <f ca="1">IFERROR(__xludf.DUMMYFUNCTION("IF(ISBLANK(A78),"""",GOOGLETRANSLATE(A78,""en"",""fr""))"),"")</f>
        <v/>
      </c>
    </row>
    <row r="79" spans="2:2">
      <c r="B79" s="3" t="str">
        <f ca="1">IFERROR(__xludf.DUMMYFUNCTION("IF(ISBLANK(A79),"""",GOOGLETRANSLATE(A79,""en"",""fr""))"),"")</f>
        <v/>
      </c>
    </row>
    <row r="80" spans="2:2">
      <c r="B80" s="3" t="str">
        <f ca="1">IFERROR(__xludf.DUMMYFUNCTION("IF(ISBLANK(A80),"""",GOOGLETRANSLATE(A80,""en"",""fr""))"),"")</f>
        <v/>
      </c>
    </row>
    <row r="81" spans="2:2">
      <c r="B81" s="3" t="str">
        <f ca="1">IFERROR(__xludf.DUMMYFUNCTION("IF(ISBLANK(A81),"""",GOOGLETRANSLATE(A81,""en"",""fr""))"),"")</f>
        <v/>
      </c>
    </row>
    <row r="82" spans="2:2">
      <c r="B82" s="3" t="str">
        <f ca="1">IFERROR(__xludf.DUMMYFUNCTION("IF(ISBLANK(A82),"""",GOOGLETRANSLATE(A82,""en"",""fr""))"),"")</f>
        <v/>
      </c>
    </row>
    <row r="83" spans="2:2">
      <c r="B83" s="3" t="str">
        <f ca="1">IFERROR(__xludf.DUMMYFUNCTION("IF(ISBLANK(A83),"""",GOOGLETRANSLATE(A83,""en"",""fr""))"),"")</f>
        <v/>
      </c>
    </row>
    <row r="84" spans="2:2">
      <c r="B84" s="3" t="str">
        <f ca="1">IFERROR(__xludf.DUMMYFUNCTION("IF(ISBLANK(A84),"""",GOOGLETRANSLATE(A84,""en"",""fr""))"),"")</f>
        <v/>
      </c>
    </row>
    <row r="85" spans="2:2">
      <c r="B85" s="3" t="str">
        <f ca="1">IFERROR(__xludf.DUMMYFUNCTION("IF(ISBLANK(A85),"""",GOOGLETRANSLATE(A85,""en"",""fr""))"),"")</f>
        <v/>
      </c>
    </row>
    <row r="86" spans="2:2">
      <c r="B86" s="3" t="str">
        <f ca="1">IFERROR(__xludf.DUMMYFUNCTION("IF(ISBLANK(A86),"""",GOOGLETRANSLATE(A86,""en"",""fr""))"),"")</f>
        <v/>
      </c>
    </row>
    <row r="87" spans="2:2">
      <c r="B87" s="3" t="str">
        <f ca="1">IFERROR(__xludf.DUMMYFUNCTION("IF(ISBLANK(A87),"""",GOOGLETRANSLATE(A87,""en"",""fr""))"),"")</f>
        <v/>
      </c>
    </row>
    <row r="88" spans="2:2">
      <c r="B88" s="3" t="str">
        <f ca="1">IFERROR(__xludf.DUMMYFUNCTION("IF(ISBLANK(A88),"""",GOOGLETRANSLATE(A88,""en"",""fr""))"),"")</f>
        <v/>
      </c>
    </row>
    <row r="89" spans="2:2">
      <c r="B89" s="3" t="str">
        <f ca="1">IFERROR(__xludf.DUMMYFUNCTION("IF(ISBLANK(A89),"""",GOOGLETRANSLATE(A89,""en"",""fr""))"),"")</f>
        <v/>
      </c>
    </row>
    <row r="90" spans="2:2">
      <c r="B90" s="3" t="str">
        <f ca="1">IFERROR(__xludf.DUMMYFUNCTION("IF(ISBLANK(A90),"""",GOOGLETRANSLATE(A90,""en"",""fr""))"),"")</f>
        <v/>
      </c>
    </row>
    <row r="91" spans="2:2">
      <c r="B91" s="3" t="str">
        <f ca="1">IFERROR(__xludf.DUMMYFUNCTION("IF(ISBLANK(A91),"""",GOOGLETRANSLATE(A91,""en"",""fr""))"),"")</f>
        <v/>
      </c>
    </row>
    <row r="92" spans="2:2">
      <c r="B92" s="3" t="str">
        <f ca="1">IFERROR(__xludf.DUMMYFUNCTION("IF(ISBLANK(A92),"""",GOOGLETRANSLATE(A92,""en"",""fr""))"),"")</f>
        <v/>
      </c>
    </row>
    <row r="93" spans="2:2">
      <c r="B93" s="3" t="str">
        <f ca="1">IFERROR(__xludf.DUMMYFUNCTION("IF(ISBLANK(A93),"""",GOOGLETRANSLATE(A93,""en"",""fr""))"),"")</f>
        <v/>
      </c>
    </row>
    <row r="94" spans="2:2">
      <c r="B94" s="3" t="str">
        <f ca="1">IFERROR(__xludf.DUMMYFUNCTION("IF(ISBLANK(A94),"""",GOOGLETRANSLATE(A94,""en"",""fr""))"),"")</f>
        <v/>
      </c>
    </row>
    <row r="95" spans="2:2">
      <c r="B95" s="3" t="str">
        <f ca="1">IFERROR(__xludf.DUMMYFUNCTION("IF(ISBLANK(A95),"""",GOOGLETRANSLATE(A95,""en"",""fr""))"),"")</f>
        <v/>
      </c>
    </row>
    <row r="96" spans="2:2">
      <c r="B96" s="3" t="str">
        <f ca="1">IFERROR(__xludf.DUMMYFUNCTION("IF(ISBLANK(A96),"""",GOOGLETRANSLATE(A96,""en"",""fr""))"),"")</f>
        <v/>
      </c>
    </row>
    <row r="97" spans="2:2">
      <c r="B97" s="3" t="str">
        <f ca="1">IFERROR(__xludf.DUMMYFUNCTION("IF(ISBLANK(A97),"""",GOOGLETRANSLATE(A97,""en"",""fr""))"),"")</f>
        <v/>
      </c>
    </row>
    <row r="98" spans="2:2">
      <c r="B98" s="3" t="str">
        <f ca="1">IFERROR(__xludf.DUMMYFUNCTION("IF(ISBLANK(A98),"""",GOOGLETRANSLATE(A98,""en"",""fr""))"),"")</f>
        <v/>
      </c>
    </row>
    <row r="99" spans="2:2">
      <c r="B99" s="3" t="str">
        <f ca="1">IFERROR(__xludf.DUMMYFUNCTION("IF(ISBLANK(A99),"""",GOOGLETRANSLATE(A99,""en"",""fr""))"),"")</f>
        <v/>
      </c>
    </row>
    <row r="100" spans="2:2">
      <c r="B100" s="3" t="str">
        <f ca="1">IFERROR(__xludf.DUMMYFUNCTION("IF(ISBLANK(A100),"""",GOOGLETRANSLATE(A100,""en"",""fr""))"),"")</f>
        <v/>
      </c>
    </row>
    <row r="101" spans="2:2">
      <c r="B101" s="3" t="str">
        <f ca="1">IFERROR(__xludf.DUMMYFUNCTION("IF(ISBLANK(A101),"""",GOOGLETRANSLATE(A101,""en"",""fr""))"),"")</f>
        <v/>
      </c>
    </row>
    <row r="102" spans="2:2">
      <c r="B102" s="3" t="str">
        <f ca="1">IFERROR(__xludf.DUMMYFUNCTION("IF(ISBLANK(A102),"""",GOOGLETRANSLATE(A102,""en"",""fr""))"),"")</f>
        <v/>
      </c>
    </row>
    <row r="103" spans="2:2">
      <c r="B103" s="3" t="str">
        <f ca="1">IFERROR(__xludf.DUMMYFUNCTION("IF(ISBLANK(A103),"""",GOOGLETRANSLATE(A103,""en"",""fr""))"),"")</f>
        <v/>
      </c>
    </row>
    <row r="104" spans="2:2">
      <c r="B104" s="3" t="str">
        <f ca="1">IFERROR(__xludf.DUMMYFUNCTION("IF(ISBLANK(A104),"""",GOOGLETRANSLATE(A104,""en"",""fr""))"),"")</f>
        <v/>
      </c>
    </row>
    <row r="105" spans="2:2">
      <c r="B105" s="3" t="str">
        <f ca="1">IFERROR(__xludf.DUMMYFUNCTION("IF(ISBLANK(A105),"""",GOOGLETRANSLATE(A105,""en"",""fr""))"),"")</f>
        <v/>
      </c>
    </row>
    <row r="106" spans="2:2">
      <c r="B106" s="3" t="str">
        <f ca="1">IFERROR(__xludf.DUMMYFUNCTION("IF(ISBLANK(A106),"""",GOOGLETRANSLATE(A106,""en"",""fr""))"),"")</f>
        <v/>
      </c>
    </row>
    <row r="107" spans="2:2">
      <c r="B107" s="3" t="str">
        <f ca="1">IFERROR(__xludf.DUMMYFUNCTION("IF(ISBLANK(A107),"""",GOOGLETRANSLATE(A107,""en"",""fr""))"),"")</f>
        <v/>
      </c>
    </row>
    <row r="108" spans="2:2">
      <c r="B108" s="3" t="str">
        <f ca="1">IFERROR(__xludf.DUMMYFUNCTION("IF(ISBLANK(A108),"""",GOOGLETRANSLATE(A108,""en"",""fr""))"),"")</f>
        <v/>
      </c>
    </row>
    <row r="109" spans="2:2">
      <c r="B109" s="3" t="str">
        <f ca="1">IFERROR(__xludf.DUMMYFUNCTION("IF(ISBLANK(A109),"""",GOOGLETRANSLATE(A109,""en"",""fr""))"),"")</f>
        <v/>
      </c>
    </row>
    <row r="110" spans="2:2">
      <c r="B110" s="3" t="str">
        <f ca="1">IFERROR(__xludf.DUMMYFUNCTION("IF(ISBLANK(A110),"""",GOOGLETRANSLATE(A110,""en"",""fr""))"),"")</f>
        <v/>
      </c>
    </row>
    <row r="111" spans="2:2">
      <c r="B111" s="3" t="str">
        <f ca="1">IFERROR(__xludf.DUMMYFUNCTION("IF(ISBLANK(A111),"""",GOOGLETRANSLATE(A111,""en"",""fr""))"),"")</f>
        <v/>
      </c>
    </row>
    <row r="112" spans="2:2">
      <c r="B112" s="3" t="str">
        <f ca="1">IFERROR(__xludf.DUMMYFUNCTION("IF(ISBLANK(A112),"""",GOOGLETRANSLATE(A112,""en"",""fr""))"),"")</f>
        <v/>
      </c>
    </row>
    <row r="113" spans="2:2">
      <c r="B113" s="3" t="str">
        <f ca="1">IFERROR(__xludf.DUMMYFUNCTION("IF(ISBLANK(A113),"""",GOOGLETRANSLATE(A113,""en"",""fr""))"),"")</f>
        <v/>
      </c>
    </row>
    <row r="114" spans="2:2">
      <c r="B114" s="3" t="str">
        <f ca="1">IFERROR(__xludf.DUMMYFUNCTION("IF(ISBLANK(A114),"""",GOOGLETRANSLATE(A114,""en"",""fr""))"),"")</f>
        <v/>
      </c>
    </row>
    <row r="115" spans="2:2">
      <c r="B115" s="3" t="str">
        <f ca="1">IFERROR(__xludf.DUMMYFUNCTION("IF(ISBLANK(A115),"""",GOOGLETRANSLATE(A115,""en"",""fr""))"),"")</f>
        <v/>
      </c>
    </row>
    <row r="116" spans="2:2">
      <c r="B116" s="3" t="str">
        <f ca="1">IFERROR(__xludf.DUMMYFUNCTION("IF(ISBLANK(A116),"""",GOOGLETRANSLATE(A116,""en"",""fr""))"),"")</f>
        <v/>
      </c>
    </row>
    <row r="117" spans="2:2">
      <c r="B117" s="3" t="str">
        <f ca="1">IFERROR(__xludf.DUMMYFUNCTION("IF(ISBLANK(A117),"""",GOOGLETRANSLATE(A117,""en"",""fr""))"),"")</f>
        <v/>
      </c>
    </row>
    <row r="118" spans="2:2">
      <c r="B118" s="3" t="str">
        <f ca="1">IFERROR(__xludf.DUMMYFUNCTION("IF(ISBLANK(A118),"""",GOOGLETRANSLATE(A118,""en"",""fr""))"),"")</f>
        <v/>
      </c>
    </row>
    <row r="119" spans="2:2">
      <c r="B119" s="3" t="str">
        <f ca="1">IFERROR(__xludf.DUMMYFUNCTION("IF(ISBLANK(A119),"""",GOOGLETRANSLATE(A119,""en"",""fr""))"),"")</f>
        <v/>
      </c>
    </row>
    <row r="120" spans="2:2">
      <c r="B120" s="3" t="str">
        <f ca="1">IFERROR(__xludf.DUMMYFUNCTION("IF(ISBLANK(A120),"""",GOOGLETRANSLATE(A120,""en"",""fr""))"),"")</f>
        <v/>
      </c>
    </row>
    <row r="121" spans="2:2">
      <c r="B121" s="3" t="str">
        <f ca="1">IFERROR(__xludf.DUMMYFUNCTION("IF(ISBLANK(A121),"""",GOOGLETRANSLATE(A121,""en"",""fr""))"),"")</f>
        <v/>
      </c>
    </row>
    <row r="122" spans="2:2">
      <c r="B122" s="3" t="str">
        <f ca="1">IFERROR(__xludf.DUMMYFUNCTION("IF(ISBLANK(A122),"""",GOOGLETRANSLATE(A122,""en"",""fr""))"),"")</f>
        <v/>
      </c>
    </row>
    <row r="123" spans="2:2">
      <c r="B123" s="3" t="str">
        <f ca="1">IFERROR(__xludf.DUMMYFUNCTION("IF(ISBLANK(A123),"""",GOOGLETRANSLATE(A123,""en"",""fr""))"),"")</f>
        <v/>
      </c>
    </row>
    <row r="124" spans="2:2">
      <c r="B124" s="3" t="str">
        <f ca="1">IFERROR(__xludf.DUMMYFUNCTION("IF(ISBLANK(A124),"""",GOOGLETRANSLATE(A124,""en"",""fr""))"),"")</f>
        <v/>
      </c>
    </row>
    <row r="125" spans="2:2">
      <c r="B125" s="3" t="str">
        <f ca="1">IFERROR(__xludf.DUMMYFUNCTION("IF(ISBLANK(A125),"""",GOOGLETRANSLATE(A125,""en"",""fr""))"),"")</f>
        <v/>
      </c>
    </row>
    <row r="126" spans="2:2">
      <c r="B126" s="3" t="str">
        <f ca="1">IFERROR(__xludf.DUMMYFUNCTION("IF(ISBLANK(A126),"""",GOOGLETRANSLATE(A126,""en"",""fr""))"),"")</f>
        <v/>
      </c>
    </row>
    <row r="127" spans="2:2">
      <c r="B127" s="3" t="str">
        <f ca="1">IFERROR(__xludf.DUMMYFUNCTION("IF(ISBLANK(A127),"""",GOOGLETRANSLATE(A127,""en"",""fr""))"),"")</f>
        <v/>
      </c>
    </row>
    <row r="128" spans="2:2">
      <c r="B128" s="3" t="str">
        <f ca="1">IFERROR(__xludf.DUMMYFUNCTION("IF(ISBLANK(A128),"""",GOOGLETRANSLATE(A128,""en"",""fr""))"),"")</f>
        <v/>
      </c>
    </row>
    <row r="129" spans="2:2">
      <c r="B129" s="3" t="str">
        <f ca="1">IFERROR(__xludf.DUMMYFUNCTION("IF(ISBLANK(A129),"""",GOOGLETRANSLATE(A129,""en"",""fr""))"),"")</f>
        <v/>
      </c>
    </row>
    <row r="130" spans="2:2">
      <c r="B130" s="3" t="str">
        <f ca="1">IFERROR(__xludf.DUMMYFUNCTION("IF(ISBLANK(A130),"""",GOOGLETRANSLATE(A130,""en"",""fr""))"),"")</f>
        <v/>
      </c>
    </row>
    <row r="131" spans="2:2">
      <c r="B131" s="3" t="str">
        <f ca="1">IFERROR(__xludf.DUMMYFUNCTION("IF(ISBLANK(A131),"""",GOOGLETRANSLATE(A131,""en"",""fr""))"),"")</f>
        <v/>
      </c>
    </row>
    <row r="132" spans="2:2">
      <c r="B132" s="3" t="str">
        <f ca="1">IFERROR(__xludf.DUMMYFUNCTION("IF(ISBLANK(A132),"""",GOOGLETRANSLATE(A132,""en"",""fr""))"),"")</f>
        <v/>
      </c>
    </row>
    <row r="133" spans="2:2">
      <c r="B133" s="3" t="str">
        <f ca="1">IFERROR(__xludf.DUMMYFUNCTION("IF(ISBLANK(A133),"""",GOOGLETRANSLATE(A133,""en"",""fr""))"),"")</f>
        <v/>
      </c>
    </row>
    <row r="134" spans="2:2">
      <c r="B134" s="3" t="str">
        <f ca="1">IFERROR(__xludf.DUMMYFUNCTION("IF(ISBLANK(A134),"""",GOOGLETRANSLATE(A134,""en"",""fr""))"),"")</f>
        <v/>
      </c>
    </row>
    <row r="135" spans="2:2">
      <c r="B135" s="3" t="str">
        <f ca="1">IFERROR(__xludf.DUMMYFUNCTION("IF(ISBLANK(A135),"""",GOOGLETRANSLATE(A135,""en"",""fr""))"),"")</f>
        <v/>
      </c>
    </row>
    <row r="136" spans="2:2">
      <c r="B136" s="3" t="str">
        <f ca="1">IFERROR(__xludf.DUMMYFUNCTION("IF(ISBLANK(A136),"""",GOOGLETRANSLATE(A136,""en"",""fr""))"),"")</f>
        <v/>
      </c>
    </row>
    <row r="137" spans="2:2">
      <c r="B137" s="3" t="str">
        <f ca="1">IFERROR(__xludf.DUMMYFUNCTION("IF(ISBLANK(A137),"""",GOOGLETRANSLATE(A137,""en"",""fr""))"),"")</f>
        <v/>
      </c>
    </row>
    <row r="138" spans="2:2">
      <c r="B138" s="3" t="str">
        <f ca="1">IFERROR(__xludf.DUMMYFUNCTION("IF(ISBLANK(A138),"""",GOOGLETRANSLATE(A138,""en"",""fr""))"),"")</f>
        <v/>
      </c>
    </row>
    <row r="139" spans="2:2">
      <c r="B139" s="3" t="str">
        <f ca="1">IFERROR(__xludf.DUMMYFUNCTION("IF(ISBLANK(A139),"""",GOOGLETRANSLATE(A139,""en"",""fr""))"),"")</f>
        <v/>
      </c>
    </row>
    <row r="140" spans="2:2">
      <c r="B140" s="3" t="str">
        <f ca="1">IFERROR(__xludf.DUMMYFUNCTION("IF(ISBLANK(A140),"""",GOOGLETRANSLATE(A140,""en"",""fr""))"),"")</f>
        <v/>
      </c>
    </row>
    <row r="141" spans="2:2">
      <c r="B141" s="3" t="str">
        <f ca="1">IFERROR(__xludf.DUMMYFUNCTION("IF(ISBLANK(A141),"""",GOOGLETRANSLATE(A141,""en"",""fr""))"),"")</f>
        <v/>
      </c>
    </row>
    <row r="142" spans="2:2">
      <c r="B142" s="3" t="str">
        <f ca="1">IFERROR(__xludf.DUMMYFUNCTION("IF(ISBLANK(A142),"""",GOOGLETRANSLATE(A142,""en"",""fr""))"),"")</f>
        <v/>
      </c>
    </row>
    <row r="143" spans="2:2">
      <c r="B143" s="3" t="str">
        <f ca="1">IFERROR(__xludf.DUMMYFUNCTION("IF(ISBLANK(A143),"""",GOOGLETRANSLATE(A143,""en"",""fr""))"),"")</f>
        <v/>
      </c>
    </row>
    <row r="144" spans="2:2">
      <c r="B144" s="3" t="str">
        <f ca="1">IFERROR(__xludf.DUMMYFUNCTION("IF(ISBLANK(A144),"""",GOOGLETRANSLATE(A144,""en"",""fr""))"),"")</f>
        <v/>
      </c>
    </row>
    <row r="145" spans="2:2">
      <c r="B145" s="3" t="str">
        <f ca="1">IFERROR(__xludf.DUMMYFUNCTION("IF(ISBLANK(A145),"""",GOOGLETRANSLATE(A145,""en"",""fr""))"),"")</f>
        <v/>
      </c>
    </row>
    <row r="146" spans="2:2">
      <c r="B146" s="3" t="str">
        <f ca="1">IFERROR(__xludf.DUMMYFUNCTION("IF(ISBLANK(A146),"""",GOOGLETRANSLATE(A146,""en"",""fr""))"),"")</f>
        <v/>
      </c>
    </row>
    <row r="147" spans="2:2">
      <c r="B147" s="3" t="str">
        <f ca="1">IFERROR(__xludf.DUMMYFUNCTION("IF(ISBLANK(A147),"""",GOOGLETRANSLATE(A147,""en"",""fr""))"),"")</f>
        <v/>
      </c>
    </row>
    <row r="148" spans="2:2">
      <c r="B148" s="3" t="str">
        <f ca="1">IFERROR(__xludf.DUMMYFUNCTION("IF(ISBLANK(A148),"""",GOOGLETRANSLATE(A148,""en"",""fr""))"),"")</f>
        <v/>
      </c>
    </row>
    <row r="149" spans="2:2">
      <c r="B149" s="3" t="str">
        <f ca="1">IFERROR(__xludf.DUMMYFUNCTION("IF(ISBLANK(A149),"""",GOOGLETRANSLATE(A149,""en"",""fr""))"),"")</f>
        <v/>
      </c>
    </row>
    <row r="150" spans="2:2">
      <c r="B150" s="3" t="str">
        <f ca="1">IFERROR(__xludf.DUMMYFUNCTION("IF(ISBLANK(A150),"""",GOOGLETRANSLATE(A150,""en"",""fr""))"),"")</f>
        <v/>
      </c>
    </row>
    <row r="151" spans="2:2">
      <c r="B151" s="3" t="str">
        <f ca="1">IFERROR(__xludf.DUMMYFUNCTION("IF(ISBLANK(A151),"""",GOOGLETRANSLATE(A151,""en"",""fr""))"),"")</f>
        <v/>
      </c>
    </row>
    <row r="152" spans="2:2">
      <c r="B152" s="3" t="str">
        <f ca="1">IFERROR(__xludf.DUMMYFUNCTION("IF(ISBLANK(A152),"""",GOOGLETRANSLATE(A152,""en"",""fr""))"),"")</f>
        <v/>
      </c>
    </row>
    <row r="153" spans="2:2">
      <c r="B153" s="3" t="str">
        <f ca="1">IFERROR(__xludf.DUMMYFUNCTION("IF(ISBLANK(A153),"""",GOOGLETRANSLATE(A153,""en"",""fr""))"),"")</f>
        <v/>
      </c>
    </row>
    <row r="154" spans="2:2">
      <c r="B154" s="3" t="str">
        <f ca="1">IFERROR(__xludf.DUMMYFUNCTION("IF(ISBLANK(A154),"""",GOOGLETRANSLATE(A154,""en"",""fr""))"),"")</f>
        <v/>
      </c>
    </row>
    <row r="155" spans="2:2">
      <c r="B155" s="3" t="str">
        <f ca="1">IFERROR(__xludf.DUMMYFUNCTION("IF(ISBLANK(A155),"""",GOOGLETRANSLATE(A155,""en"",""fr""))"),"")</f>
        <v/>
      </c>
    </row>
    <row r="156" spans="2:2">
      <c r="B156" s="3" t="str">
        <f ca="1">IFERROR(__xludf.DUMMYFUNCTION("IF(ISBLANK(A156),"""",GOOGLETRANSLATE(A156,""en"",""fr""))"),"")</f>
        <v/>
      </c>
    </row>
    <row r="157" spans="2:2">
      <c r="B157" s="3" t="str">
        <f ca="1">IFERROR(__xludf.DUMMYFUNCTION("IF(ISBLANK(A157),"""",GOOGLETRANSLATE(A157,""en"",""fr""))"),"")</f>
        <v/>
      </c>
    </row>
    <row r="158" spans="2:2">
      <c r="B158" s="3" t="str">
        <f ca="1">IFERROR(__xludf.DUMMYFUNCTION("IF(ISBLANK(A158),"""",GOOGLETRANSLATE(A158,""en"",""fr""))"),"")</f>
        <v/>
      </c>
    </row>
    <row r="159" spans="2:2">
      <c r="B159" s="3" t="str">
        <f ca="1">IFERROR(__xludf.DUMMYFUNCTION("IF(ISBLANK(A159),"""",GOOGLETRANSLATE(A159,""en"",""fr""))"),"")</f>
        <v/>
      </c>
    </row>
    <row r="160" spans="2:2">
      <c r="B160" s="3" t="str">
        <f ca="1">IFERROR(__xludf.DUMMYFUNCTION("IF(ISBLANK(A160),"""",GOOGLETRANSLATE(A160,""en"",""fr""))"),"")</f>
        <v/>
      </c>
    </row>
    <row r="161" spans="2:2">
      <c r="B161" s="3" t="str">
        <f ca="1">IFERROR(__xludf.DUMMYFUNCTION("IF(ISBLANK(A161),"""",GOOGLETRANSLATE(A161,""en"",""fr""))"),"")</f>
        <v/>
      </c>
    </row>
    <row r="162" spans="2:2">
      <c r="B162" s="3" t="str">
        <f ca="1">IFERROR(__xludf.DUMMYFUNCTION("IF(ISBLANK(A162),"""",GOOGLETRANSLATE(A162,""en"",""fr""))"),"")</f>
        <v/>
      </c>
    </row>
    <row r="163" spans="2:2">
      <c r="B163" s="3" t="str">
        <f ca="1">IFERROR(__xludf.DUMMYFUNCTION("IF(ISBLANK(A163),"""",GOOGLETRANSLATE(A163,""en"",""fr""))"),"")</f>
        <v/>
      </c>
    </row>
    <row r="164" spans="2:2">
      <c r="B164" s="3" t="str">
        <f ca="1">IFERROR(__xludf.DUMMYFUNCTION("IF(ISBLANK(A164),"""",GOOGLETRANSLATE(A164,""en"",""fr""))"),"")</f>
        <v/>
      </c>
    </row>
    <row r="165" spans="2:2">
      <c r="B165" s="3" t="str">
        <f ca="1">IFERROR(__xludf.DUMMYFUNCTION("IF(ISBLANK(A165),"""",GOOGLETRANSLATE(A165,""en"",""fr""))"),"")</f>
        <v/>
      </c>
    </row>
    <row r="166" spans="2:2">
      <c r="B166" s="3" t="str">
        <f ca="1">IFERROR(__xludf.DUMMYFUNCTION("IF(ISBLANK(A166),"""",GOOGLETRANSLATE(A166,""en"",""fr""))"),"")</f>
        <v/>
      </c>
    </row>
    <row r="167" spans="2:2">
      <c r="B167" s="3" t="str">
        <f ca="1">IFERROR(__xludf.DUMMYFUNCTION("IF(ISBLANK(A167),"""",GOOGLETRANSLATE(A167,""en"",""fr""))"),"")</f>
        <v/>
      </c>
    </row>
    <row r="168" spans="2:2">
      <c r="B168" s="3" t="str">
        <f ca="1">IFERROR(__xludf.DUMMYFUNCTION("IF(ISBLANK(A168),"""",GOOGLETRANSLATE(A168,""en"",""fr""))"),"")</f>
        <v/>
      </c>
    </row>
    <row r="169" spans="2:2">
      <c r="B169" s="3" t="str">
        <f ca="1">IFERROR(__xludf.DUMMYFUNCTION("IF(ISBLANK(A169),"""",GOOGLETRANSLATE(A169,""en"",""fr""))"),"")</f>
        <v/>
      </c>
    </row>
    <row r="170" spans="2:2">
      <c r="B170" s="3" t="str">
        <f ca="1">IFERROR(__xludf.DUMMYFUNCTION("IF(ISBLANK(A170),"""",GOOGLETRANSLATE(A170,""en"",""fr""))"),"")</f>
        <v/>
      </c>
    </row>
    <row r="171" spans="2:2">
      <c r="B171" s="3" t="str">
        <f ca="1">IFERROR(__xludf.DUMMYFUNCTION("IF(ISBLANK(A171),"""",GOOGLETRANSLATE(A171,""en"",""fr""))"),"")</f>
        <v/>
      </c>
    </row>
    <row r="172" spans="2:2">
      <c r="B172" s="3" t="str">
        <f ca="1">IFERROR(__xludf.DUMMYFUNCTION("IF(ISBLANK(A172),"""",GOOGLETRANSLATE(A172,""en"",""fr""))"),"")</f>
        <v/>
      </c>
    </row>
    <row r="173" spans="2:2">
      <c r="B173" s="3" t="str">
        <f ca="1">IFERROR(__xludf.DUMMYFUNCTION("IF(ISBLANK(A173),"""",GOOGLETRANSLATE(A173,""en"",""fr""))"),"")</f>
        <v/>
      </c>
    </row>
    <row r="174" spans="2:2">
      <c r="B174" s="3" t="str">
        <f ca="1">IFERROR(__xludf.DUMMYFUNCTION("IF(ISBLANK(A174),"""",GOOGLETRANSLATE(A174,""en"",""fr""))"),"")</f>
        <v/>
      </c>
    </row>
    <row r="175" spans="2:2">
      <c r="B175" s="3" t="str">
        <f ca="1">IFERROR(__xludf.DUMMYFUNCTION("IF(ISBLANK(A175),"""",GOOGLETRANSLATE(A175,""en"",""fr""))"),"")</f>
        <v/>
      </c>
    </row>
    <row r="176" spans="2:2">
      <c r="B176" s="3" t="str">
        <f ca="1">IFERROR(__xludf.DUMMYFUNCTION("IF(ISBLANK(A176),"""",GOOGLETRANSLATE(A176,""en"",""fr""))"),"")</f>
        <v/>
      </c>
    </row>
    <row r="177" spans="2:2">
      <c r="B177" s="3" t="str">
        <f ca="1">IFERROR(__xludf.DUMMYFUNCTION("IF(ISBLANK(A177),"""",GOOGLETRANSLATE(A177,""en"",""fr""))"),"")</f>
        <v/>
      </c>
    </row>
    <row r="178" spans="2:2">
      <c r="B178" s="3" t="str">
        <f ca="1">IFERROR(__xludf.DUMMYFUNCTION("IF(ISBLANK(A178),"""",GOOGLETRANSLATE(A178,""en"",""fr""))"),"")</f>
        <v/>
      </c>
    </row>
    <row r="179" spans="2:2">
      <c r="B179" s="3" t="str">
        <f ca="1">IFERROR(__xludf.DUMMYFUNCTION("IF(ISBLANK(A179),"""",GOOGLETRANSLATE(A179,""en"",""fr""))"),"")</f>
        <v/>
      </c>
    </row>
    <row r="180" spans="2:2">
      <c r="B180" s="3" t="str">
        <f ca="1">IFERROR(__xludf.DUMMYFUNCTION("IF(ISBLANK(A180),"""",GOOGLETRANSLATE(A180,""en"",""fr""))"),"")</f>
        <v/>
      </c>
    </row>
    <row r="181" spans="2:2">
      <c r="B181" s="3" t="str">
        <f ca="1">IFERROR(__xludf.DUMMYFUNCTION("IF(ISBLANK(A181),"""",GOOGLETRANSLATE(A181,""en"",""fr""))"),"")</f>
        <v/>
      </c>
    </row>
    <row r="182" spans="2:2">
      <c r="B182" s="3" t="str">
        <f ca="1">IFERROR(__xludf.DUMMYFUNCTION("IF(ISBLANK(A182),"""",GOOGLETRANSLATE(A182,""en"",""fr""))"),"")</f>
        <v/>
      </c>
    </row>
    <row r="183" spans="2:2">
      <c r="B183" s="3" t="str">
        <f ca="1">IFERROR(__xludf.DUMMYFUNCTION("IF(ISBLANK(A183),"""",GOOGLETRANSLATE(A183,""en"",""fr""))"),"")</f>
        <v/>
      </c>
    </row>
    <row r="184" spans="2:2">
      <c r="B184" s="3" t="str">
        <f ca="1">IFERROR(__xludf.DUMMYFUNCTION("IF(ISBLANK(A184),"""",GOOGLETRANSLATE(A184,""en"",""fr""))"),"")</f>
        <v/>
      </c>
    </row>
    <row r="185" spans="2:2">
      <c r="B185" s="3" t="str">
        <f ca="1">IFERROR(__xludf.DUMMYFUNCTION("IF(ISBLANK(A185),"""",GOOGLETRANSLATE(A185,""en"",""fr""))"),"")</f>
        <v/>
      </c>
    </row>
    <row r="186" spans="2:2">
      <c r="B186" s="3" t="str">
        <f ca="1">IFERROR(__xludf.DUMMYFUNCTION("IF(ISBLANK(A186),"""",GOOGLETRANSLATE(A186,""en"",""fr""))"),"")</f>
        <v/>
      </c>
    </row>
    <row r="187" spans="2:2">
      <c r="B187" s="3" t="str">
        <f ca="1">IFERROR(__xludf.DUMMYFUNCTION("IF(ISBLANK(A187),"""",GOOGLETRANSLATE(A187,""en"",""fr""))"),"")</f>
        <v/>
      </c>
    </row>
    <row r="188" spans="2:2">
      <c r="B188" s="3" t="str">
        <f ca="1">IFERROR(__xludf.DUMMYFUNCTION("IF(ISBLANK(A188),"""",GOOGLETRANSLATE(A188,""en"",""fr""))"),"")</f>
        <v/>
      </c>
    </row>
    <row r="189" spans="2:2">
      <c r="B189" s="3" t="str">
        <f ca="1">IFERROR(__xludf.DUMMYFUNCTION("IF(ISBLANK(A189),"""",GOOGLETRANSLATE(A189,""en"",""fr""))"),"")</f>
        <v/>
      </c>
    </row>
    <row r="190" spans="2:2">
      <c r="B190" s="3" t="str">
        <f ca="1">IFERROR(__xludf.DUMMYFUNCTION("IF(ISBLANK(A190),"""",GOOGLETRANSLATE(A190,""en"",""fr""))"),"")</f>
        <v/>
      </c>
    </row>
    <row r="191" spans="2:2">
      <c r="B191" s="3" t="str">
        <f ca="1">IFERROR(__xludf.DUMMYFUNCTION("IF(ISBLANK(A191),"""",GOOGLETRANSLATE(A191,""en"",""fr""))"),"")</f>
        <v/>
      </c>
    </row>
    <row r="192" spans="2:2">
      <c r="B192" s="3" t="str">
        <f ca="1">IFERROR(__xludf.DUMMYFUNCTION("IF(ISBLANK(A192),"""",GOOGLETRANSLATE(A192,""en"",""fr""))"),"")</f>
        <v/>
      </c>
    </row>
    <row r="193" spans="2:2">
      <c r="B193" s="3" t="str">
        <f ca="1">IFERROR(__xludf.DUMMYFUNCTION("IF(ISBLANK(A193),"""",GOOGLETRANSLATE(A193,""en"",""fr""))"),"")</f>
        <v/>
      </c>
    </row>
    <row r="194" spans="2:2">
      <c r="B194" s="3" t="str">
        <f ca="1">IFERROR(__xludf.DUMMYFUNCTION("IF(ISBLANK(A194),"""",GOOGLETRANSLATE(A194,""en"",""fr""))"),"")</f>
        <v/>
      </c>
    </row>
    <row r="195" spans="2:2">
      <c r="B195" s="3" t="str">
        <f ca="1">IFERROR(__xludf.DUMMYFUNCTION("IF(ISBLANK(A195),"""",GOOGLETRANSLATE(A195,""en"",""fr""))"),"")</f>
        <v/>
      </c>
    </row>
    <row r="196" spans="2:2">
      <c r="B196" s="3" t="str">
        <f ca="1">IFERROR(__xludf.DUMMYFUNCTION("IF(ISBLANK(A196),"""",GOOGLETRANSLATE(A196,""en"",""fr""))"),"")</f>
        <v/>
      </c>
    </row>
    <row r="197" spans="2:2">
      <c r="B197" s="3" t="str">
        <f ca="1">IFERROR(__xludf.DUMMYFUNCTION("IF(ISBLANK(A197),"""",GOOGLETRANSLATE(A197,""en"",""fr""))"),"")</f>
        <v/>
      </c>
    </row>
    <row r="198" spans="2:2">
      <c r="B198" s="3" t="str">
        <f ca="1">IFERROR(__xludf.DUMMYFUNCTION("IF(ISBLANK(A198),"""",GOOGLETRANSLATE(A198,""en"",""fr""))"),"")</f>
        <v/>
      </c>
    </row>
    <row r="199" spans="2:2">
      <c r="B199" s="3" t="str">
        <f ca="1">IFERROR(__xludf.DUMMYFUNCTION("IF(ISBLANK(A199),"""",GOOGLETRANSLATE(A199,""en"",""fr""))"),"")</f>
        <v/>
      </c>
    </row>
    <row r="200" spans="2:2">
      <c r="B200" s="3" t="str">
        <f ca="1">IFERROR(__xludf.DUMMYFUNCTION("IF(ISBLANK(A200),"""",GOOGLETRANSLATE(A200,""en"",""fr""))"),"")</f>
        <v/>
      </c>
    </row>
    <row r="201" spans="2:2">
      <c r="B201" s="3" t="str">
        <f ca="1">IFERROR(__xludf.DUMMYFUNCTION("IF(ISBLANK(A201),"""",GOOGLETRANSLATE(A201,""en"",""fr""))"),"")</f>
        <v/>
      </c>
    </row>
    <row r="202" spans="2:2">
      <c r="B202" s="3" t="str">
        <f ca="1">IFERROR(__xludf.DUMMYFUNCTION("IF(ISBLANK(A202),"""",GOOGLETRANSLATE(A202,""en"",""fr""))"),"")</f>
        <v/>
      </c>
    </row>
    <row r="203" spans="2:2">
      <c r="B203" s="3" t="str">
        <f ca="1">IFERROR(__xludf.DUMMYFUNCTION("IF(ISBLANK(A203),"""",GOOGLETRANSLATE(A203,""en"",""fr""))"),"")</f>
        <v/>
      </c>
    </row>
    <row r="204" spans="2:2">
      <c r="B204" s="3" t="str">
        <f ca="1">IFERROR(__xludf.DUMMYFUNCTION("IF(ISBLANK(A204),"""",GOOGLETRANSLATE(A204,""en"",""fr""))"),"")</f>
        <v/>
      </c>
    </row>
    <row r="205" spans="2:2">
      <c r="B205" s="3" t="str">
        <f ca="1">IFERROR(__xludf.DUMMYFUNCTION("IF(ISBLANK(A205),"""",GOOGLETRANSLATE(A205,""en"",""fr""))"),"")</f>
        <v/>
      </c>
    </row>
    <row r="206" spans="2:2">
      <c r="B206" s="3" t="str">
        <f ca="1">IFERROR(__xludf.DUMMYFUNCTION("IF(ISBLANK(A206),"""",GOOGLETRANSLATE(A206,""en"",""fr""))"),"")</f>
        <v/>
      </c>
    </row>
    <row r="207" spans="2:2">
      <c r="B207" s="3" t="str">
        <f ca="1">IFERROR(__xludf.DUMMYFUNCTION("IF(ISBLANK(A207),"""",GOOGLETRANSLATE(A207,""en"",""fr""))"),"")</f>
        <v/>
      </c>
    </row>
    <row r="208" spans="2:2">
      <c r="B208" s="3" t="str">
        <f ca="1">IFERROR(__xludf.DUMMYFUNCTION("IF(ISBLANK(A208),"""",GOOGLETRANSLATE(A208,""en"",""fr""))"),"")</f>
        <v/>
      </c>
    </row>
    <row r="209" spans="2:2">
      <c r="B209" s="3" t="str">
        <f ca="1">IFERROR(__xludf.DUMMYFUNCTION("IF(ISBLANK(A209),"""",GOOGLETRANSLATE(A209,""en"",""fr""))"),"")</f>
        <v/>
      </c>
    </row>
    <row r="210" spans="2:2">
      <c r="B210" s="3" t="str">
        <f ca="1">IFERROR(__xludf.DUMMYFUNCTION("IF(ISBLANK(A210),"""",GOOGLETRANSLATE(A210,""en"",""fr""))"),"")</f>
        <v/>
      </c>
    </row>
    <row r="211" spans="2:2">
      <c r="B211" s="3" t="str">
        <f ca="1">IFERROR(__xludf.DUMMYFUNCTION("IF(ISBLANK(A211),"""",GOOGLETRANSLATE(A211,""en"",""fr""))"),"")</f>
        <v/>
      </c>
    </row>
    <row r="212" spans="2:2">
      <c r="B212" s="3" t="str">
        <f ca="1">IFERROR(__xludf.DUMMYFUNCTION("IF(ISBLANK(A212),"""",GOOGLETRANSLATE(A212,""en"",""fr""))"),"")</f>
        <v/>
      </c>
    </row>
    <row r="213" spans="2:2">
      <c r="B213" s="3" t="str">
        <f ca="1">IFERROR(__xludf.DUMMYFUNCTION("IF(ISBLANK(A213),"""",GOOGLETRANSLATE(A213,""en"",""fr""))"),"")</f>
        <v/>
      </c>
    </row>
    <row r="214" spans="2:2">
      <c r="B214" s="3" t="str">
        <f ca="1">IFERROR(__xludf.DUMMYFUNCTION("IF(ISBLANK(A214),"""",GOOGLETRANSLATE(A214,""en"",""fr""))"),"")</f>
        <v/>
      </c>
    </row>
    <row r="215" spans="2:2">
      <c r="B215" s="3" t="str">
        <f ca="1">IFERROR(__xludf.DUMMYFUNCTION("IF(ISBLANK(A215),"""",GOOGLETRANSLATE(A215,""en"",""fr""))"),"")</f>
        <v/>
      </c>
    </row>
    <row r="216" spans="2:2">
      <c r="B216" s="3" t="str">
        <f ca="1">IFERROR(__xludf.DUMMYFUNCTION("IF(ISBLANK(A216),"""",GOOGLETRANSLATE(A216,""en"",""fr""))"),"")</f>
        <v/>
      </c>
    </row>
    <row r="217" spans="2:2">
      <c r="B217" s="3" t="str">
        <f ca="1">IFERROR(__xludf.DUMMYFUNCTION("IF(ISBLANK(A217),"""",GOOGLETRANSLATE(A217,""en"",""fr""))"),"")</f>
        <v/>
      </c>
    </row>
    <row r="218" spans="2:2">
      <c r="B218" s="3" t="str">
        <f ca="1">IFERROR(__xludf.DUMMYFUNCTION("IF(ISBLANK(A218),"""",GOOGLETRANSLATE(A218,""en"",""fr""))"),"")</f>
        <v/>
      </c>
    </row>
    <row r="219" spans="2:2">
      <c r="B219" s="3" t="str">
        <f ca="1">IFERROR(__xludf.DUMMYFUNCTION("IF(ISBLANK(A219),"""",GOOGLETRANSLATE(A219,""en"",""fr""))"),"")</f>
        <v/>
      </c>
    </row>
    <row r="220" spans="2:2">
      <c r="B220" s="3" t="str">
        <f ca="1">IFERROR(__xludf.DUMMYFUNCTION("IF(ISBLANK(A220),"""",GOOGLETRANSLATE(A220,""en"",""fr""))"),"")</f>
        <v/>
      </c>
    </row>
    <row r="221" spans="2:2">
      <c r="B221" s="3" t="str">
        <f ca="1">IFERROR(__xludf.DUMMYFUNCTION("IF(ISBLANK(A221),"""",GOOGLETRANSLATE(A221,""en"",""fr""))"),"")</f>
        <v/>
      </c>
    </row>
    <row r="222" spans="2:2">
      <c r="B222" s="3" t="str">
        <f ca="1">IFERROR(__xludf.DUMMYFUNCTION("IF(ISBLANK(A222),"""",GOOGLETRANSLATE(A222,""en"",""fr""))"),"")</f>
        <v/>
      </c>
    </row>
    <row r="223" spans="2:2">
      <c r="B223" s="3" t="str">
        <f ca="1">IFERROR(__xludf.DUMMYFUNCTION("IF(ISBLANK(A223),"""",GOOGLETRANSLATE(A223,""en"",""fr""))"),"")</f>
        <v/>
      </c>
    </row>
    <row r="224" spans="2:2">
      <c r="B224" s="3" t="str">
        <f ca="1">IFERROR(__xludf.DUMMYFUNCTION("IF(ISBLANK(A224),"""",GOOGLETRANSLATE(A224,""en"",""fr""))"),"")</f>
        <v/>
      </c>
    </row>
    <row r="225" spans="2:2">
      <c r="B225" s="3" t="str">
        <f ca="1">IFERROR(__xludf.DUMMYFUNCTION("IF(ISBLANK(A225),"""",GOOGLETRANSLATE(A225,""en"",""fr""))"),"")</f>
        <v/>
      </c>
    </row>
    <row r="226" spans="2:2">
      <c r="B226" s="3" t="str">
        <f ca="1">IFERROR(__xludf.DUMMYFUNCTION("IF(ISBLANK(A226),"""",GOOGLETRANSLATE(A226,""en"",""fr""))"),"")</f>
        <v/>
      </c>
    </row>
    <row r="227" spans="2:2">
      <c r="B227" s="3" t="str">
        <f ca="1">IFERROR(__xludf.DUMMYFUNCTION("IF(ISBLANK(A227),"""",GOOGLETRANSLATE(A227,""en"",""fr""))"),"")</f>
        <v/>
      </c>
    </row>
    <row r="228" spans="2:2">
      <c r="B228" s="3" t="str">
        <f ca="1">IFERROR(__xludf.DUMMYFUNCTION("IF(ISBLANK(A228),"""",GOOGLETRANSLATE(A228,""en"",""fr""))"),"")</f>
        <v/>
      </c>
    </row>
    <row r="229" spans="2:2">
      <c r="B229" s="3" t="str">
        <f ca="1">IFERROR(__xludf.DUMMYFUNCTION("IF(ISBLANK(A229),"""",GOOGLETRANSLATE(A229,""en"",""fr""))"),"")</f>
        <v/>
      </c>
    </row>
    <row r="230" spans="2:2">
      <c r="B230" s="3" t="str">
        <f ca="1">IFERROR(__xludf.DUMMYFUNCTION("IF(ISBLANK(A230),"""",GOOGLETRANSLATE(A230,""en"",""fr""))"),"")</f>
        <v/>
      </c>
    </row>
    <row r="231" spans="2:2">
      <c r="B231" s="3" t="str">
        <f ca="1">IFERROR(__xludf.DUMMYFUNCTION("IF(ISBLANK(A231),"""",GOOGLETRANSLATE(A231,""en"",""fr""))"),"")</f>
        <v/>
      </c>
    </row>
    <row r="232" spans="2:2">
      <c r="B232" s="3" t="str">
        <f ca="1">IFERROR(__xludf.DUMMYFUNCTION("IF(ISBLANK(A232),"""",GOOGLETRANSLATE(A232,""en"",""fr""))"),"")</f>
        <v/>
      </c>
    </row>
    <row r="233" spans="2:2">
      <c r="B233" s="3" t="str">
        <f ca="1">IFERROR(__xludf.DUMMYFUNCTION("IF(ISBLANK(A233),"""",GOOGLETRANSLATE(A233,""en"",""fr""))"),"")</f>
        <v/>
      </c>
    </row>
    <row r="234" spans="2:2">
      <c r="B234" s="3" t="str">
        <f ca="1">IFERROR(__xludf.DUMMYFUNCTION("IF(ISBLANK(A234),"""",GOOGLETRANSLATE(A234,""en"",""fr""))"),"")</f>
        <v/>
      </c>
    </row>
    <row r="235" spans="2:2">
      <c r="B235" s="3" t="str">
        <f ca="1">IFERROR(__xludf.DUMMYFUNCTION("IF(ISBLANK(A235),"""",GOOGLETRANSLATE(A235,""en"",""fr""))"),"")</f>
        <v/>
      </c>
    </row>
    <row r="236" spans="2:2">
      <c r="B236" s="3" t="str">
        <f ca="1">IFERROR(__xludf.DUMMYFUNCTION("IF(ISBLANK(A236),"""",GOOGLETRANSLATE(A236,""en"",""fr""))"),"")</f>
        <v/>
      </c>
    </row>
    <row r="237" spans="2:2">
      <c r="B237" s="3" t="str">
        <f ca="1">IFERROR(__xludf.DUMMYFUNCTION("IF(ISBLANK(A237),"""",GOOGLETRANSLATE(A237,""en"",""fr""))"),"")</f>
        <v/>
      </c>
    </row>
    <row r="238" spans="2:2">
      <c r="B238" s="3" t="str">
        <f ca="1">IFERROR(__xludf.DUMMYFUNCTION("IF(ISBLANK(A238),"""",GOOGLETRANSLATE(A238,""en"",""fr""))"),"")</f>
        <v/>
      </c>
    </row>
    <row r="239" spans="2:2">
      <c r="B239" s="3" t="str">
        <f ca="1">IFERROR(__xludf.DUMMYFUNCTION("IF(ISBLANK(A239),"""",GOOGLETRANSLATE(A239,""en"",""fr""))"),"")</f>
        <v/>
      </c>
    </row>
    <row r="240" spans="2:2">
      <c r="B240" s="3" t="str">
        <f ca="1">IFERROR(__xludf.DUMMYFUNCTION("IF(ISBLANK(A240),"""",GOOGLETRANSLATE(A240,""en"",""fr""))"),"")</f>
        <v/>
      </c>
    </row>
    <row r="241" spans="2:2">
      <c r="B241" s="3" t="str">
        <f ca="1">IFERROR(__xludf.DUMMYFUNCTION("IF(ISBLANK(A241),"""",GOOGLETRANSLATE(A241,""en"",""fr""))"),"")</f>
        <v/>
      </c>
    </row>
    <row r="242" spans="2:2">
      <c r="B242" s="3" t="str">
        <f ca="1">IFERROR(__xludf.DUMMYFUNCTION("IF(ISBLANK(A242),"""",GOOGLETRANSLATE(A242,""en"",""fr""))"),"")</f>
        <v/>
      </c>
    </row>
    <row r="243" spans="2:2">
      <c r="B243" s="3" t="str">
        <f ca="1">IFERROR(__xludf.DUMMYFUNCTION("IF(ISBLANK(A243),"""",GOOGLETRANSLATE(A243,""en"",""fr""))"),"")</f>
        <v/>
      </c>
    </row>
    <row r="244" spans="2:2">
      <c r="B244" s="3" t="str">
        <f ca="1">IFERROR(__xludf.DUMMYFUNCTION("IF(ISBLANK(A244),"""",GOOGLETRANSLATE(A244,""en"",""fr""))"),"")</f>
        <v/>
      </c>
    </row>
    <row r="245" spans="2:2">
      <c r="B245" s="3" t="str">
        <f ca="1">IFERROR(__xludf.DUMMYFUNCTION("IF(ISBLANK(A245),"""",GOOGLETRANSLATE(A245,""en"",""fr""))"),"")</f>
        <v/>
      </c>
    </row>
    <row r="246" spans="2:2">
      <c r="B246" s="3" t="str">
        <f ca="1">IFERROR(__xludf.DUMMYFUNCTION("IF(ISBLANK(A246),"""",GOOGLETRANSLATE(A246,""en"",""fr""))"),"")</f>
        <v/>
      </c>
    </row>
    <row r="247" spans="2:2">
      <c r="B247" s="3" t="str">
        <f ca="1">IFERROR(__xludf.DUMMYFUNCTION("IF(ISBLANK(A247),"""",GOOGLETRANSLATE(A247,""en"",""fr""))"),"")</f>
        <v/>
      </c>
    </row>
    <row r="248" spans="2:2">
      <c r="B248" s="3" t="str">
        <f ca="1">IFERROR(__xludf.DUMMYFUNCTION("IF(ISBLANK(A248),"""",GOOGLETRANSLATE(A248,""en"",""fr""))"),"")</f>
        <v/>
      </c>
    </row>
    <row r="249" spans="2:2">
      <c r="B249" s="3" t="str">
        <f ca="1">IFERROR(__xludf.DUMMYFUNCTION("IF(ISBLANK(A249),"""",GOOGLETRANSLATE(A249,""en"",""fr""))"),"")</f>
        <v/>
      </c>
    </row>
    <row r="250" spans="2:2">
      <c r="B250" s="3" t="str">
        <f ca="1">IFERROR(__xludf.DUMMYFUNCTION("IF(ISBLANK(A250),"""",GOOGLETRANSLATE(A250,""en"",""fr""))"),"")</f>
        <v/>
      </c>
    </row>
    <row r="251" spans="2:2">
      <c r="B251" s="3" t="str">
        <f ca="1">IFERROR(__xludf.DUMMYFUNCTION("IF(ISBLANK(A251),"""",GOOGLETRANSLATE(A251,""en"",""fr""))"),"")</f>
        <v/>
      </c>
    </row>
    <row r="252" spans="2:2">
      <c r="B252" s="3" t="str">
        <f ca="1">IFERROR(__xludf.DUMMYFUNCTION("IF(ISBLANK(A252),"""",GOOGLETRANSLATE(A252,""en"",""fr""))"),"")</f>
        <v/>
      </c>
    </row>
    <row r="253" spans="2:2">
      <c r="B253" s="3" t="str">
        <f ca="1">IFERROR(__xludf.DUMMYFUNCTION("IF(ISBLANK(A253),"""",GOOGLETRANSLATE(A253,""en"",""fr""))"),"")</f>
        <v/>
      </c>
    </row>
    <row r="254" spans="2:2">
      <c r="B254" s="3" t="str">
        <f ca="1">IFERROR(__xludf.DUMMYFUNCTION("IF(ISBLANK(A254),"""",GOOGLETRANSLATE(A254,""en"",""fr""))"),"")</f>
        <v/>
      </c>
    </row>
    <row r="255" spans="2:2">
      <c r="B255" s="3" t="str">
        <f ca="1">IFERROR(__xludf.DUMMYFUNCTION("IF(ISBLANK(A255),"""",GOOGLETRANSLATE(A255,""en"",""fr""))"),"")</f>
        <v/>
      </c>
    </row>
    <row r="256" spans="2:2">
      <c r="B256" s="3" t="str">
        <f ca="1">IFERROR(__xludf.DUMMYFUNCTION("IF(ISBLANK(A256),"""",GOOGLETRANSLATE(A256,""en"",""fr""))"),"")</f>
        <v/>
      </c>
    </row>
    <row r="257" spans="2:2">
      <c r="B257" s="3" t="str">
        <f ca="1">IFERROR(__xludf.DUMMYFUNCTION("IF(ISBLANK(A257),"""",GOOGLETRANSLATE(A257,""en"",""fr""))"),"")</f>
        <v/>
      </c>
    </row>
    <row r="258" spans="2:2">
      <c r="B258" s="3" t="str">
        <f ca="1">IFERROR(__xludf.DUMMYFUNCTION("IF(ISBLANK(A258),"""",GOOGLETRANSLATE(A258,""en"",""fr""))"),"")</f>
        <v/>
      </c>
    </row>
    <row r="259" spans="2:2">
      <c r="B259" s="3" t="str">
        <f ca="1">IFERROR(__xludf.DUMMYFUNCTION("IF(ISBLANK(A259),"""",GOOGLETRANSLATE(A259,""en"",""fr""))"),"")</f>
        <v/>
      </c>
    </row>
    <row r="260" spans="2:2">
      <c r="B260" s="3" t="str">
        <f ca="1">IFERROR(__xludf.DUMMYFUNCTION("IF(ISBLANK(A260),"""",GOOGLETRANSLATE(A260,""en"",""fr""))"),"")</f>
        <v/>
      </c>
    </row>
    <row r="261" spans="2:2">
      <c r="B261" s="3" t="str">
        <f ca="1">IFERROR(__xludf.DUMMYFUNCTION("IF(ISBLANK(A261),"""",GOOGLETRANSLATE(A261,""en"",""fr""))"),"")</f>
        <v/>
      </c>
    </row>
    <row r="262" spans="2:2">
      <c r="B262" s="3" t="str">
        <f ca="1">IFERROR(__xludf.DUMMYFUNCTION("IF(ISBLANK(A262),"""",GOOGLETRANSLATE(A262,""en"",""fr""))"),"")</f>
        <v/>
      </c>
    </row>
    <row r="263" spans="2:2">
      <c r="B263" s="3" t="str">
        <f ca="1">IFERROR(__xludf.DUMMYFUNCTION("IF(ISBLANK(A263),"""",GOOGLETRANSLATE(A263,""en"",""fr""))"),"")</f>
        <v/>
      </c>
    </row>
    <row r="264" spans="2:2">
      <c r="B264" s="3" t="str">
        <f ca="1">IFERROR(__xludf.DUMMYFUNCTION("IF(ISBLANK(A264),"""",GOOGLETRANSLATE(A264,""en"",""fr""))"),"")</f>
        <v/>
      </c>
    </row>
    <row r="265" spans="2:2">
      <c r="B265" s="3" t="str">
        <f ca="1">IFERROR(__xludf.DUMMYFUNCTION("IF(ISBLANK(A265),"""",GOOGLETRANSLATE(A265,""en"",""fr""))"),"")</f>
        <v/>
      </c>
    </row>
    <row r="266" spans="2:2">
      <c r="B266" s="3" t="str">
        <f ca="1">IFERROR(__xludf.DUMMYFUNCTION("IF(ISBLANK(A266),"""",GOOGLETRANSLATE(A266,""en"",""fr""))"),"")</f>
        <v/>
      </c>
    </row>
    <row r="267" spans="2:2">
      <c r="B267" s="3" t="str">
        <f ca="1">IFERROR(__xludf.DUMMYFUNCTION("IF(ISBLANK(A267),"""",GOOGLETRANSLATE(A267,""en"",""fr""))"),"")</f>
        <v/>
      </c>
    </row>
    <row r="268" spans="2:2">
      <c r="B268" s="3" t="str">
        <f ca="1">IFERROR(__xludf.DUMMYFUNCTION("IF(ISBLANK(A268),"""",GOOGLETRANSLATE(A268,""en"",""fr""))"),"")</f>
        <v/>
      </c>
    </row>
    <row r="269" spans="2:2">
      <c r="B269" s="3" t="str">
        <f ca="1">IFERROR(__xludf.DUMMYFUNCTION("IF(ISBLANK(A269),"""",GOOGLETRANSLATE(A269,""en"",""fr""))"),"")</f>
        <v/>
      </c>
    </row>
    <row r="270" spans="2:2">
      <c r="B270" s="3" t="str">
        <f ca="1">IFERROR(__xludf.DUMMYFUNCTION("IF(ISBLANK(A270),"""",GOOGLETRANSLATE(A270,""en"",""fr""))"),"")</f>
        <v/>
      </c>
    </row>
    <row r="271" spans="2:2">
      <c r="B271" s="3" t="str">
        <f ca="1">IFERROR(__xludf.DUMMYFUNCTION("IF(ISBLANK(A271),"""",GOOGLETRANSLATE(A271,""en"",""fr""))"),"")</f>
        <v/>
      </c>
    </row>
    <row r="272" spans="2:2">
      <c r="B272" s="3" t="str">
        <f ca="1">IFERROR(__xludf.DUMMYFUNCTION("IF(ISBLANK(A272),"""",GOOGLETRANSLATE(A272,""en"",""fr""))"),"")</f>
        <v/>
      </c>
    </row>
    <row r="273" spans="2:2">
      <c r="B273" s="3" t="str">
        <f ca="1">IFERROR(__xludf.DUMMYFUNCTION("IF(ISBLANK(A273),"""",GOOGLETRANSLATE(A273,""en"",""fr""))"),"")</f>
        <v/>
      </c>
    </row>
    <row r="274" spans="2:2">
      <c r="B274" s="3" t="str">
        <f ca="1">IFERROR(__xludf.DUMMYFUNCTION("IF(ISBLANK(A274),"""",GOOGLETRANSLATE(A274,""en"",""fr""))"),"")</f>
        <v/>
      </c>
    </row>
    <row r="275" spans="2:2">
      <c r="B275" s="3" t="str">
        <f ca="1">IFERROR(__xludf.DUMMYFUNCTION("IF(ISBLANK(A275),"""",GOOGLETRANSLATE(A275,""en"",""fr""))"),"")</f>
        <v/>
      </c>
    </row>
    <row r="276" spans="2:2">
      <c r="B276" s="3" t="str">
        <f ca="1">IFERROR(__xludf.DUMMYFUNCTION("IF(ISBLANK(A276),"""",GOOGLETRANSLATE(A276,""en"",""fr""))"),"")</f>
        <v/>
      </c>
    </row>
    <row r="277" spans="2:2">
      <c r="B277" s="3" t="str">
        <f ca="1">IFERROR(__xludf.DUMMYFUNCTION("IF(ISBLANK(A277),"""",GOOGLETRANSLATE(A277,""en"",""fr""))"),"")</f>
        <v/>
      </c>
    </row>
    <row r="278" spans="2:2">
      <c r="B278" s="3" t="str">
        <f ca="1">IFERROR(__xludf.DUMMYFUNCTION("IF(ISBLANK(A278),"""",GOOGLETRANSLATE(A278,""en"",""fr""))"),"")</f>
        <v/>
      </c>
    </row>
    <row r="279" spans="2:2">
      <c r="B279" s="3" t="str">
        <f ca="1">IFERROR(__xludf.DUMMYFUNCTION("IF(ISBLANK(A279),"""",GOOGLETRANSLATE(A279,""en"",""fr""))"),"")</f>
        <v/>
      </c>
    </row>
    <row r="280" spans="2:2">
      <c r="B280" s="3" t="str">
        <f ca="1">IFERROR(__xludf.DUMMYFUNCTION("IF(ISBLANK(A280),"""",GOOGLETRANSLATE(A280,""en"",""fr""))"),"")</f>
        <v/>
      </c>
    </row>
    <row r="281" spans="2:2">
      <c r="B281" s="3" t="str">
        <f ca="1">IFERROR(__xludf.DUMMYFUNCTION("IF(ISBLANK(A281),"""",GOOGLETRANSLATE(A281,""en"",""fr""))"),"")</f>
        <v/>
      </c>
    </row>
    <row r="282" spans="2:2">
      <c r="B282" s="3" t="str">
        <f ca="1">IFERROR(__xludf.DUMMYFUNCTION("IF(ISBLANK(A282),"""",GOOGLETRANSLATE(A282,""en"",""fr""))"),"")</f>
        <v/>
      </c>
    </row>
    <row r="283" spans="2:2">
      <c r="B283" s="3" t="str">
        <f ca="1">IFERROR(__xludf.DUMMYFUNCTION("IF(ISBLANK(A283),"""",GOOGLETRANSLATE(A283,""en"",""fr""))"),"")</f>
        <v/>
      </c>
    </row>
    <row r="284" spans="2:2">
      <c r="B284" s="3" t="str">
        <f ca="1">IFERROR(__xludf.DUMMYFUNCTION("IF(ISBLANK(A284),"""",GOOGLETRANSLATE(A284,""en"",""fr""))"),"")</f>
        <v/>
      </c>
    </row>
    <row r="285" spans="2:2">
      <c r="B285" s="3" t="str">
        <f ca="1">IFERROR(__xludf.DUMMYFUNCTION("IF(ISBLANK(A285),"""",GOOGLETRANSLATE(A285,""en"",""fr""))"),"")</f>
        <v/>
      </c>
    </row>
    <row r="286" spans="2:2">
      <c r="B286" s="3" t="str">
        <f ca="1">IFERROR(__xludf.DUMMYFUNCTION("IF(ISBLANK(A286),"""",GOOGLETRANSLATE(A286,""en"",""fr""))"),"")</f>
        <v/>
      </c>
    </row>
    <row r="287" spans="2:2">
      <c r="B287" s="3" t="str">
        <f ca="1">IFERROR(__xludf.DUMMYFUNCTION("IF(ISBLANK(A287),"""",GOOGLETRANSLATE(A287,""en"",""fr""))"),"")</f>
        <v/>
      </c>
    </row>
    <row r="288" spans="2:2">
      <c r="B288" s="3" t="str">
        <f ca="1">IFERROR(__xludf.DUMMYFUNCTION("IF(ISBLANK(A288),"""",GOOGLETRANSLATE(A288,""en"",""fr""))"),"")</f>
        <v/>
      </c>
    </row>
    <row r="289" spans="2:2">
      <c r="B289" s="3" t="str">
        <f ca="1">IFERROR(__xludf.DUMMYFUNCTION("IF(ISBLANK(A289),"""",GOOGLETRANSLATE(A289,""en"",""fr""))"),"")</f>
        <v/>
      </c>
    </row>
    <row r="290" spans="2:2">
      <c r="B290" s="3" t="str">
        <f ca="1">IFERROR(__xludf.DUMMYFUNCTION("IF(ISBLANK(A290),"""",GOOGLETRANSLATE(A290,""en"",""fr""))"),"")</f>
        <v/>
      </c>
    </row>
    <row r="291" spans="2:2">
      <c r="B291" s="3" t="str">
        <f ca="1">IFERROR(__xludf.DUMMYFUNCTION("IF(ISBLANK(A291),"""",GOOGLETRANSLATE(A291,""en"",""fr""))"),"")</f>
        <v/>
      </c>
    </row>
    <row r="292" spans="2:2">
      <c r="B292" s="3" t="str">
        <f ca="1">IFERROR(__xludf.DUMMYFUNCTION("IF(ISBLANK(A292),"""",GOOGLETRANSLATE(A292,""en"",""fr""))"),"")</f>
        <v/>
      </c>
    </row>
    <row r="293" spans="2:2">
      <c r="B293" s="3" t="str">
        <f ca="1">IFERROR(__xludf.DUMMYFUNCTION("IF(ISBLANK(A293),"""",GOOGLETRANSLATE(A293,""en"",""fr""))"),"")</f>
        <v/>
      </c>
    </row>
    <row r="294" spans="2:2">
      <c r="B294" s="3" t="str">
        <f ca="1">IFERROR(__xludf.DUMMYFUNCTION("IF(ISBLANK(A294),"""",GOOGLETRANSLATE(A294,""en"",""fr""))"),"")</f>
        <v/>
      </c>
    </row>
    <row r="295" spans="2:2">
      <c r="B295" s="3" t="str">
        <f ca="1">IFERROR(__xludf.DUMMYFUNCTION("IF(ISBLANK(A295),"""",GOOGLETRANSLATE(A295,""en"",""fr""))"),"")</f>
        <v/>
      </c>
    </row>
    <row r="296" spans="2:2">
      <c r="B296" s="3" t="str">
        <f ca="1">IFERROR(__xludf.DUMMYFUNCTION("IF(ISBLANK(A296),"""",GOOGLETRANSLATE(A296,""en"",""fr""))"),"")</f>
        <v/>
      </c>
    </row>
    <row r="297" spans="2:2">
      <c r="B297" s="3" t="str">
        <f ca="1">IFERROR(__xludf.DUMMYFUNCTION("IF(ISBLANK(A297),"""",GOOGLETRANSLATE(A297,""en"",""fr""))"),"")</f>
        <v/>
      </c>
    </row>
    <row r="298" spans="2:2">
      <c r="B298" s="3" t="str">
        <f ca="1">IFERROR(__xludf.DUMMYFUNCTION("IF(ISBLANK(A298),"""",GOOGLETRANSLATE(A298,""en"",""fr""))"),"")</f>
        <v/>
      </c>
    </row>
    <row r="299" spans="2:2">
      <c r="B299" s="3" t="str">
        <f ca="1">IFERROR(__xludf.DUMMYFUNCTION("IF(ISBLANK(A299),"""",GOOGLETRANSLATE(A299,""en"",""fr""))"),"")</f>
        <v/>
      </c>
    </row>
    <row r="300" spans="2:2">
      <c r="B300" s="3" t="str">
        <f ca="1">IFERROR(__xludf.DUMMYFUNCTION("IF(ISBLANK(A300),"""",GOOGLETRANSLATE(A300,""en"",""fr""))"),"")</f>
        <v/>
      </c>
    </row>
    <row r="301" spans="2:2">
      <c r="B301" s="3" t="str">
        <f ca="1">IFERROR(__xludf.DUMMYFUNCTION("IF(ISBLANK(A301),"""",GOOGLETRANSLATE(A301,""en"",""fr""))"),"")</f>
        <v/>
      </c>
    </row>
    <row r="302" spans="2:2">
      <c r="B302" s="3" t="str">
        <f ca="1">IFERROR(__xludf.DUMMYFUNCTION("IF(ISBLANK(A302),"""",GOOGLETRANSLATE(A302,""en"",""fr""))"),"")</f>
        <v/>
      </c>
    </row>
    <row r="303" spans="2:2">
      <c r="B303" s="3" t="str">
        <f ca="1">IFERROR(__xludf.DUMMYFUNCTION("IF(ISBLANK(A303),"""",GOOGLETRANSLATE(A303,""en"",""fr""))"),"")</f>
        <v/>
      </c>
    </row>
    <row r="304" spans="2:2">
      <c r="B304" s="3" t="str">
        <f ca="1">IFERROR(__xludf.DUMMYFUNCTION("IF(ISBLANK(A304),"""",GOOGLETRANSLATE(A304,""en"",""fr""))"),"")</f>
        <v/>
      </c>
    </row>
    <row r="305" spans="2:2">
      <c r="B305" s="3" t="str">
        <f ca="1">IFERROR(__xludf.DUMMYFUNCTION("IF(ISBLANK(A305),"""",GOOGLETRANSLATE(A305,""en"",""fr""))"),"")</f>
        <v/>
      </c>
    </row>
    <row r="306" spans="2:2">
      <c r="B306" s="3" t="str">
        <f ca="1">IFERROR(__xludf.DUMMYFUNCTION("IF(ISBLANK(A306),"""",GOOGLETRANSLATE(A306,""en"",""fr""))"),"")</f>
        <v/>
      </c>
    </row>
    <row r="307" spans="2:2">
      <c r="B307" s="3" t="str">
        <f ca="1">IFERROR(__xludf.DUMMYFUNCTION("IF(ISBLANK(A307),"""",GOOGLETRANSLATE(A307,""en"",""fr""))"),"")</f>
        <v/>
      </c>
    </row>
    <row r="308" spans="2:2">
      <c r="B308" s="3" t="str">
        <f ca="1">IFERROR(__xludf.DUMMYFUNCTION("IF(ISBLANK(A308),"""",GOOGLETRANSLATE(A308,""en"",""fr""))"),"")</f>
        <v/>
      </c>
    </row>
    <row r="309" spans="2:2">
      <c r="B309" s="3" t="str">
        <f ca="1">IFERROR(__xludf.DUMMYFUNCTION("IF(ISBLANK(A309),"""",GOOGLETRANSLATE(A309,""en"",""fr""))"),"")</f>
        <v/>
      </c>
    </row>
    <row r="310" spans="2:2">
      <c r="B310" s="3" t="str">
        <f ca="1">IFERROR(__xludf.DUMMYFUNCTION("IF(ISBLANK(A310),"""",GOOGLETRANSLATE(A310,""en"",""fr""))"),"")</f>
        <v/>
      </c>
    </row>
    <row r="311" spans="2:2">
      <c r="B311" s="3" t="str">
        <f ca="1">IFERROR(__xludf.DUMMYFUNCTION("IF(ISBLANK(A311),"""",GOOGLETRANSLATE(A311,""en"",""fr""))"),"")</f>
        <v/>
      </c>
    </row>
    <row r="312" spans="2:2">
      <c r="B312" s="3" t="str">
        <f ca="1">IFERROR(__xludf.DUMMYFUNCTION("IF(ISBLANK(A312),"""",GOOGLETRANSLATE(A312,""en"",""fr""))"),"")</f>
        <v/>
      </c>
    </row>
    <row r="313" spans="2:2">
      <c r="B313" s="3" t="str">
        <f ca="1">IFERROR(__xludf.DUMMYFUNCTION("IF(ISBLANK(A313),"""",GOOGLETRANSLATE(A313,""en"",""fr""))"),"")</f>
        <v/>
      </c>
    </row>
    <row r="314" spans="2:2">
      <c r="B314" s="3" t="str">
        <f ca="1">IFERROR(__xludf.DUMMYFUNCTION("IF(ISBLANK(A314),"""",GOOGLETRANSLATE(A314,""en"",""fr""))"),"")</f>
        <v/>
      </c>
    </row>
    <row r="315" spans="2:2">
      <c r="B315" s="3" t="str">
        <f ca="1">IFERROR(__xludf.DUMMYFUNCTION("IF(ISBLANK(A315),"""",GOOGLETRANSLATE(A315,""en"",""fr""))"),"")</f>
        <v/>
      </c>
    </row>
    <row r="316" spans="2:2">
      <c r="B316" s="3" t="str">
        <f ca="1">IFERROR(__xludf.DUMMYFUNCTION("IF(ISBLANK(A316),"""",GOOGLETRANSLATE(A316,""en"",""fr""))"),"")</f>
        <v/>
      </c>
    </row>
    <row r="317" spans="2:2">
      <c r="B317" s="3" t="str">
        <f ca="1">IFERROR(__xludf.DUMMYFUNCTION("IF(ISBLANK(A317),"""",GOOGLETRANSLATE(A317,""en"",""fr""))"),"")</f>
        <v/>
      </c>
    </row>
    <row r="318" spans="2:2">
      <c r="B318" s="3" t="str">
        <f ca="1">IFERROR(__xludf.DUMMYFUNCTION("IF(ISBLANK(A318),"""",GOOGLETRANSLATE(A318,""en"",""fr""))"),"")</f>
        <v/>
      </c>
    </row>
    <row r="319" spans="2:2">
      <c r="B319" s="3" t="str">
        <f ca="1">IFERROR(__xludf.DUMMYFUNCTION("IF(ISBLANK(A319),"""",GOOGLETRANSLATE(A319,""en"",""fr""))"),"")</f>
        <v/>
      </c>
    </row>
    <row r="320" spans="2:2">
      <c r="B320" s="3" t="str">
        <f ca="1">IFERROR(__xludf.DUMMYFUNCTION("IF(ISBLANK(A320),"""",GOOGLETRANSLATE(A320,""en"",""fr""))"),"")</f>
        <v/>
      </c>
    </row>
    <row r="321" spans="2:2">
      <c r="B321" s="3" t="str">
        <f ca="1">IFERROR(__xludf.DUMMYFUNCTION("IF(ISBLANK(A321),"""",GOOGLETRANSLATE(A321,""en"",""fr""))"),"")</f>
        <v/>
      </c>
    </row>
    <row r="322" spans="2:2">
      <c r="B322" s="3" t="str">
        <f ca="1">IFERROR(__xludf.DUMMYFUNCTION("IF(ISBLANK(A322),"""",GOOGLETRANSLATE(A322,""en"",""fr""))"),"")</f>
        <v/>
      </c>
    </row>
    <row r="323" spans="2:2">
      <c r="B323" s="3" t="str">
        <f ca="1">IFERROR(__xludf.DUMMYFUNCTION("IF(ISBLANK(A323),"""",GOOGLETRANSLATE(A323,""en"",""fr""))"),"")</f>
        <v/>
      </c>
    </row>
    <row r="324" spans="2:2">
      <c r="B324" s="3" t="str">
        <f ca="1">IFERROR(__xludf.DUMMYFUNCTION("IF(ISBLANK(A324),"""",GOOGLETRANSLATE(A324,""en"",""fr""))"),"")</f>
        <v/>
      </c>
    </row>
    <row r="325" spans="2:2">
      <c r="B325" s="3" t="str">
        <f ca="1">IFERROR(__xludf.DUMMYFUNCTION("IF(ISBLANK(A325),"""",GOOGLETRANSLATE(A325,""en"",""fr""))"),"")</f>
        <v/>
      </c>
    </row>
    <row r="326" spans="2:2">
      <c r="B326" s="3" t="str">
        <f ca="1">IFERROR(__xludf.DUMMYFUNCTION("IF(ISBLANK(A326),"""",GOOGLETRANSLATE(A326,""en"",""fr""))"),"")</f>
        <v/>
      </c>
    </row>
    <row r="327" spans="2:2">
      <c r="B327" s="3" t="str">
        <f ca="1">IFERROR(__xludf.DUMMYFUNCTION("IF(ISBLANK(A327),"""",GOOGLETRANSLATE(A327,""en"",""fr""))"),"")</f>
        <v/>
      </c>
    </row>
    <row r="328" spans="2:2">
      <c r="B328" s="3" t="str">
        <f ca="1">IFERROR(__xludf.DUMMYFUNCTION("IF(ISBLANK(A328),"""",GOOGLETRANSLATE(A328,""en"",""fr""))"),"")</f>
        <v/>
      </c>
    </row>
    <row r="329" spans="2:2">
      <c r="B329" s="3" t="str">
        <f ca="1">IFERROR(__xludf.DUMMYFUNCTION("IF(ISBLANK(A329),"""",GOOGLETRANSLATE(A329,""en"",""fr""))"),"")</f>
        <v/>
      </c>
    </row>
    <row r="330" spans="2:2">
      <c r="B330" s="3" t="str">
        <f ca="1">IFERROR(__xludf.DUMMYFUNCTION("IF(ISBLANK(A330),"""",GOOGLETRANSLATE(A330,""en"",""fr""))"),"")</f>
        <v/>
      </c>
    </row>
    <row r="331" spans="2:2">
      <c r="B331" s="3" t="str">
        <f ca="1">IFERROR(__xludf.DUMMYFUNCTION("IF(ISBLANK(A331),"""",GOOGLETRANSLATE(A331,""en"",""fr""))"),"")</f>
        <v/>
      </c>
    </row>
    <row r="332" spans="2:2">
      <c r="B332" s="3" t="str">
        <f ca="1">IFERROR(__xludf.DUMMYFUNCTION("IF(ISBLANK(A332),"""",GOOGLETRANSLATE(A332,""en"",""fr""))"),"")</f>
        <v/>
      </c>
    </row>
    <row r="333" spans="2:2">
      <c r="B333" s="3" t="str">
        <f ca="1">IFERROR(__xludf.DUMMYFUNCTION("IF(ISBLANK(A333),"""",GOOGLETRANSLATE(A333,""en"",""fr""))"),"")</f>
        <v/>
      </c>
    </row>
    <row r="334" spans="2:2">
      <c r="B334" s="3" t="str">
        <f ca="1">IFERROR(__xludf.DUMMYFUNCTION("IF(ISBLANK(A334),"""",GOOGLETRANSLATE(A334,""en"",""fr""))"),"")</f>
        <v/>
      </c>
    </row>
    <row r="335" spans="2:2">
      <c r="B335" s="3" t="str">
        <f ca="1">IFERROR(__xludf.DUMMYFUNCTION("IF(ISBLANK(A335),"""",GOOGLETRANSLATE(A335,""en"",""fr""))"),"")</f>
        <v/>
      </c>
    </row>
    <row r="336" spans="2:2">
      <c r="B336" s="3" t="str">
        <f ca="1">IFERROR(__xludf.DUMMYFUNCTION("IF(ISBLANK(A336),"""",GOOGLETRANSLATE(A336,""en"",""fr""))"),"")</f>
        <v/>
      </c>
    </row>
    <row r="337" spans="2:2">
      <c r="B337" s="3" t="str">
        <f ca="1">IFERROR(__xludf.DUMMYFUNCTION("IF(ISBLANK(A337),"""",GOOGLETRANSLATE(A337,""en"",""fr""))"),"")</f>
        <v/>
      </c>
    </row>
    <row r="338" spans="2:2">
      <c r="B338" s="3" t="str">
        <f ca="1">IFERROR(__xludf.DUMMYFUNCTION("IF(ISBLANK(A338),"""",GOOGLETRANSLATE(A338,""en"",""fr""))"),"")</f>
        <v/>
      </c>
    </row>
    <row r="339" spans="2:2">
      <c r="B339" s="3" t="str">
        <f ca="1">IFERROR(__xludf.DUMMYFUNCTION("IF(ISBLANK(A339),"""",GOOGLETRANSLATE(A339,""en"",""fr""))"),"")</f>
        <v/>
      </c>
    </row>
    <row r="340" spans="2:2">
      <c r="B340" s="3" t="str">
        <f ca="1">IFERROR(__xludf.DUMMYFUNCTION("IF(ISBLANK(A340),"""",GOOGLETRANSLATE(A340,""en"",""fr""))"),"")</f>
        <v/>
      </c>
    </row>
    <row r="341" spans="2:2">
      <c r="B341" s="3" t="str">
        <f ca="1">IFERROR(__xludf.DUMMYFUNCTION("IF(ISBLANK(A341),"""",GOOGLETRANSLATE(A341,""en"",""fr""))"),"")</f>
        <v/>
      </c>
    </row>
    <row r="342" spans="2:2">
      <c r="B342" s="3" t="str">
        <f ca="1">IFERROR(__xludf.DUMMYFUNCTION("IF(ISBLANK(A342),"""",GOOGLETRANSLATE(A342,""en"",""fr""))"),"")</f>
        <v/>
      </c>
    </row>
    <row r="343" spans="2:2">
      <c r="B343" s="3" t="str">
        <f ca="1">IFERROR(__xludf.DUMMYFUNCTION("IF(ISBLANK(A343),"""",GOOGLETRANSLATE(A343,""en"",""fr""))"),"")</f>
        <v/>
      </c>
    </row>
    <row r="344" spans="2:2">
      <c r="B344" s="3" t="str">
        <f ca="1">IFERROR(__xludf.DUMMYFUNCTION("IF(ISBLANK(A344),"""",GOOGLETRANSLATE(A344,""en"",""fr""))"),"")</f>
        <v/>
      </c>
    </row>
    <row r="345" spans="2:2">
      <c r="B345" s="3" t="str">
        <f ca="1">IFERROR(__xludf.DUMMYFUNCTION("IF(ISBLANK(A345),"""",GOOGLETRANSLATE(A345,""en"",""fr""))"),"")</f>
        <v/>
      </c>
    </row>
    <row r="346" spans="2:2">
      <c r="B346" s="3" t="str">
        <f ca="1">IFERROR(__xludf.DUMMYFUNCTION("IF(ISBLANK(A346),"""",GOOGLETRANSLATE(A346,""en"",""fr""))"),"")</f>
        <v/>
      </c>
    </row>
    <row r="347" spans="2:2">
      <c r="B347" s="3" t="str">
        <f ca="1">IFERROR(__xludf.DUMMYFUNCTION("IF(ISBLANK(A347),"""",GOOGLETRANSLATE(A347,""en"",""fr""))"),"")</f>
        <v/>
      </c>
    </row>
    <row r="348" spans="2:2">
      <c r="B348" s="3" t="str">
        <f ca="1">IFERROR(__xludf.DUMMYFUNCTION("IF(ISBLANK(A348),"""",GOOGLETRANSLATE(A348,""en"",""fr""))"),"")</f>
        <v/>
      </c>
    </row>
    <row r="349" spans="2:2">
      <c r="B349" s="3" t="str">
        <f ca="1">IFERROR(__xludf.DUMMYFUNCTION("IF(ISBLANK(A349),"""",GOOGLETRANSLATE(A349,""en"",""fr""))"),"")</f>
        <v/>
      </c>
    </row>
    <row r="350" spans="2:2">
      <c r="B350" s="3" t="str">
        <f ca="1">IFERROR(__xludf.DUMMYFUNCTION("IF(ISBLANK(A350),"""",GOOGLETRANSLATE(A350,""en"",""fr""))"),"")</f>
        <v/>
      </c>
    </row>
    <row r="351" spans="2:2">
      <c r="B351" s="3" t="str">
        <f ca="1">IFERROR(__xludf.DUMMYFUNCTION("IF(ISBLANK(A351),"""",GOOGLETRANSLATE(A351,""en"",""fr""))"),"")</f>
        <v/>
      </c>
    </row>
    <row r="352" spans="2:2">
      <c r="B352" s="3" t="str">
        <f ca="1">IFERROR(__xludf.DUMMYFUNCTION("IF(ISBLANK(A352),"""",GOOGLETRANSLATE(A352,""en"",""fr""))"),"")</f>
        <v/>
      </c>
    </row>
    <row r="353" spans="2:2">
      <c r="B353" s="3" t="str">
        <f ca="1">IFERROR(__xludf.DUMMYFUNCTION("IF(ISBLANK(A353),"""",GOOGLETRANSLATE(A353,""en"",""fr""))"),"")</f>
        <v/>
      </c>
    </row>
    <row r="354" spans="2:2">
      <c r="B354" s="3" t="str">
        <f ca="1">IFERROR(__xludf.DUMMYFUNCTION("IF(ISBLANK(A354),"""",GOOGLETRANSLATE(A354,""en"",""fr""))"),"")</f>
        <v/>
      </c>
    </row>
    <row r="355" spans="2:2">
      <c r="B355" s="3" t="str">
        <f ca="1">IFERROR(__xludf.DUMMYFUNCTION("IF(ISBLANK(A355),"""",GOOGLETRANSLATE(A355,""en"",""fr""))"),"")</f>
        <v/>
      </c>
    </row>
    <row r="356" spans="2:2">
      <c r="B356" s="3" t="str">
        <f ca="1">IFERROR(__xludf.DUMMYFUNCTION("IF(ISBLANK(A356),"""",GOOGLETRANSLATE(A356,""en"",""fr""))"),"")</f>
        <v/>
      </c>
    </row>
    <row r="357" spans="2:2">
      <c r="B357" s="3" t="str">
        <f ca="1">IFERROR(__xludf.DUMMYFUNCTION("IF(ISBLANK(A357),"""",GOOGLETRANSLATE(A357,""en"",""fr""))"),"")</f>
        <v/>
      </c>
    </row>
    <row r="358" spans="2:2">
      <c r="B358" s="3" t="str">
        <f ca="1">IFERROR(__xludf.DUMMYFUNCTION("IF(ISBLANK(A358),"""",GOOGLETRANSLATE(A358,""en"",""fr""))"),"")</f>
        <v/>
      </c>
    </row>
    <row r="359" spans="2:2">
      <c r="B359" s="3" t="str">
        <f ca="1">IFERROR(__xludf.DUMMYFUNCTION("IF(ISBLANK(A359),"""",GOOGLETRANSLATE(A359,""en"",""fr""))"),"")</f>
        <v/>
      </c>
    </row>
    <row r="360" spans="2:2">
      <c r="B360" s="3" t="str">
        <f ca="1">IFERROR(__xludf.DUMMYFUNCTION("IF(ISBLANK(A360),"""",GOOGLETRANSLATE(A360,""en"",""fr""))"),"")</f>
        <v/>
      </c>
    </row>
    <row r="361" spans="2:2">
      <c r="B361" s="3" t="str">
        <f ca="1">IFERROR(__xludf.DUMMYFUNCTION("IF(ISBLANK(A361),"""",GOOGLETRANSLATE(A361,""en"",""fr""))"),"")</f>
        <v/>
      </c>
    </row>
    <row r="362" spans="2:2">
      <c r="B362" s="3" t="str">
        <f ca="1">IFERROR(__xludf.DUMMYFUNCTION("IF(ISBLANK(A362),"""",GOOGLETRANSLATE(A362,""en"",""fr""))"),"")</f>
        <v/>
      </c>
    </row>
    <row r="363" spans="2:2">
      <c r="B363" s="3" t="str">
        <f ca="1">IFERROR(__xludf.DUMMYFUNCTION("IF(ISBLANK(A363),"""",GOOGLETRANSLATE(A363,""en"",""fr""))"),"")</f>
        <v/>
      </c>
    </row>
    <row r="364" spans="2:2">
      <c r="B364" s="3" t="str">
        <f ca="1">IFERROR(__xludf.DUMMYFUNCTION("IF(ISBLANK(A364),"""",GOOGLETRANSLATE(A364,""en"",""fr""))"),"")</f>
        <v/>
      </c>
    </row>
    <row r="365" spans="2:2">
      <c r="B365" s="3" t="str">
        <f ca="1">IFERROR(__xludf.DUMMYFUNCTION("IF(ISBLANK(A365),"""",GOOGLETRANSLATE(A365,""en"",""fr""))"),"")</f>
        <v/>
      </c>
    </row>
    <row r="366" spans="2:2">
      <c r="B366" s="3" t="str">
        <f ca="1">IFERROR(__xludf.DUMMYFUNCTION("IF(ISBLANK(A366),"""",GOOGLETRANSLATE(A366,""en"",""fr""))"),"")</f>
        <v/>
      </c>
    </row>
    <row r="367" spans="2:2">
      <c r="B367" s="3" t="str">
        <f ca="1">IFERROR(__xludf.DUMMYFUNCTION("IF(ISBLANK(A367),"""",GOOGLETRANSLATE(A367,""en"",""fr""))"),"")</f>
        <v/>
      </c>
    </row>
    <row r="368" spans="2:2">
      <c r="B368" s="3" t="str">
        <f ca="1">IFERROR(__xludf.DUMMYFUNCTION("IF(ISBLANK(A368),"""",GOOGLETRANSLATE(A368,""en"",""fr""))"),"")</f>
        <v/>
      </c>
    </row>
    <row r="369" spans="2:2">
      <c r="B369" s="3" t="str">
        <f ca="1">IFERROR(__xludf.DUMMYFUNCTION("IF(ISBLANK(A369),"""",GOOGLETRANSLATE(A369,""en"",""fr""))"),"")</f>
        <v/>
      </c>
    </row>
    <row r="370" spans="2:2">
      <c r="B370" s="3" t="str">
        <f ca="1">IFERROR(__xludf.DUMMYFUNCTION("IF(ISBLANK(A370),"""",GOOGLETRANSLATE(A370,""en"",""fr""))"),"")</f>
        <v/>
      </c>
    </row>
    <row r="371" spans="2:2">
      <c r="B371" s="3" t="str">
        <f ca="1">IFERROR(__xludf.DUMMYFUNCTION("IF(ISBLANK(A371),"""",GOOGLETRANSLATE(A371,""en"",""fr""))"),"")</f>
        <v/>
      </c>
    </row>
    <row r="372" spans="2:2">
      <c r="B372" s="3" t="str">
        <f ca="1">IFERROR(__xludf.DUMMYFUNCTION("IF(ISBLANK(A372),"""",GOOGLETRANSLATE(A372,""en"",""fr""))"),"")</f>
        <v/>
      </c>
    </row>
    <row r="373" spans="2:2">
      <c r="B373" s="3" t="str">
        <f ca="1">IFERROR(__xludf.DUMMYFUNCTION("IF(ISBLANK(A373),"""",GOOGLETRANSLATE(A373,""en"",""fr""))"),"")</f>
        <v/>
      </c>
    </row>
    <row r="374" spans="2:2">
      <c r="B374" s="3" t="str">
        <f ca="1">IFERROR(__xludf.DUMMYFUNCTION("IF(ISBLANK(A374),"""",GOOGLETRANSLATE(A374,""en"",""fr""))"),"")</f>
        <v/>
      </c>
    </row>
    <row r="375" spans="2:2">
      <c r="B375" s="3" t="str">
        <f ca="1">IFERROR(__xludf.DUMMYFUNCTION("IF(ISBLANK(A375),"""",GOOGLETRANSLATE(A375,""en"",""fr""))"),"")</f>
        <v/>
      </c>
    </row>
    <row r="376" spans="2:2">
      <c r="B376" s="3" t="str">
        <f ca="1">IFERROR(__xludf.DUMMYFUNCTION("IF(ISBLANK(A376),"""",GOOGLETRANSLATE(A376,""en"",""fr""))"),"")</f>
        <v/>
      </c>
    </row>
    <row r="377" spans="2:2">
      <c r="B377" s="3" t="str">
        <f ca="1">IFERROR(__xludf.DUMMYFUNCTION("IF(ISBLANK(A377),"""",GOOGLETRANSLATE(A377,""en"",""fr""))"),"")</f>
        <v/>
      </c>
    </row>
    <row r="378" spans="2:2">
      <c r="B378" s="3" t="str">
        <f ca="1">IFERROR(__xludf.DUMMYFUNCTION("IF(ISBLANK(A378),"""",GOOGLETRANSLATE(A378,""en"",""fr""))"),"")</f>
        <v/>
      </c>
    </row>
    <row r="379" spans="2:2">
      <c r="B379" s="3" t="str">
        <f ca="1">IFERROR(__xludf.DUMMYFUNCTION("IF(ISBLANK(A379),"""",GOOGLETRANSLATE(A379,""en"",""fr""))"),"")</f>
        <v/>
      </c>
    </row>
    <row r="380" spans="2:2">
      <c r="B380" s="3" t="str">
        <f ca="1">IFERROR(__xludf.DUMMYFUNCTION("IF(ISBLANK(A380),"""",GOOGLETRANSLATE(A380,""en"",""fr""))"),"")</f>
        <v/>
      </c>
    </row>
    <row r="381" spans="2:2">
      <c r="B381" s="3" t="str">
        <f ca="1">IFERROR(__xludf.DUMMYFUNCTION("IF(ISBLANK(A381),"""",GOOGLETRANSLATE(A381,""en"",""fr""))"),"")</f>
        <v/>
      </c>
    </row>
    <row r="382" spans="2:2">
      <c r="B382" s="3" t="str">
        <f ca="1">IFERROR(__xludf.DUMMYFUNCTION("IF(ISBLANK(A382),"""",GOOGLETRANSLATE(A382,""en"",""fr""))"),"")</f>
        <v/>
      </c>
    </row>
    <row r="383" spans="2:2">
      <c r="B383" s="3" t="str">
        <f ca="1">IFERROR(__xludf.DUMMYFUNCTION("IF(ISBLANK(A383),"""",GOOGLETRANSLATE(A383,""en"",""fr""))"),"")</f>
        <v/>
      </c>
    </row>
    <row r="384" spans="2:2">
      <c r="B384" s="3" t="str">
        <f ca="1">IFERROR(__xludf.DUMMYFUNCTION("IF(ISBLANK(A384),"""",GOOGLETRANSLATE(A384,""en"",""fr""))"),"")</f>
        <v/>
      </c>
    </row>
    <row r="385" spans="2:2">
      <c r="B385" s="3" t="str">
        <f ca="1">IFERROR(__xludf.DUMMYFUNCTION("IF(ISBLANK(A385),"""",GOOGLETRANSLATE(A385,""en"",""fr""))"),"")</f>
        <v/>
      </c>
    </row>
    <row r="386" spans="2:2">
      <c r="B386" s="3" t="str">
        <f ca="1">IFERROR(__xludf.DUMMYFUNCTION("IF(ISBLANK(A386),"""",GOOGLETRANSLATE(A386,""en"",""fr""))"),"")</f>
        <v/>
      </c>
    </row>
    <row r="387" spans="2:2">
      <c r="B387" s="3" t="str">
        <f ca="1">IFERROR(__xludf.DUMMYFUNCTION("IF(ISBLANK(A387),"""",GOOGLETRANSLATE(A387,""en"",""fr""))"),"")</f>
        <v/>
      </c>
    </row>
    <row r="388" spans="2:2">
      <c r="B388" s="3" t="str">
        <f ca="1">IFERROR(__xludf.DUMMYFUNCTION("IF(ISBLANK(A388),"""",GOOGLETRANSLATE(A388,""en"",""fr""))"),"")</f>
        <v/>
      </c>
    </row>
    <row r="389" spans="2:2">
      <c r="B389" s="3" t="str">
        <f ca="1">IFERROR(__xludf.DUMMYFUNCTION("IF(ISBLANK(A389),"""",GOOGLETRANSLATE(A389,""en"",""fr""))"),"")</f>
        <v/>
      </c>
    </row>
    <row r="390" spans="2:2">
      <c r="B390" s="3" t="str">
        <f ca="1">IFERROR(__xludf.DUMMYFUNCTION("IF(ISBLANK(A390),"""",GOOGLETRANSLATE(A390,""en"",""fr""))"),"")</f>
        <v/>
      </c>
    </row>
    <row r="391" spans="2:2">
      <c r="B391" s="3" t="str">
        <f ca="1">IFERROR(__xludf.DUMMYFUNCTION("IF(ISBLANK(A391),"""",GOOGLETRANSLATE(A391,""en"",""fr""))"),"")</f>
        <v/>
      </c>
    </row>
    <row r="392" spans="2:2">
      <c r="B392" s="3" t="str">
        <f ca="1">IFERROR(__xludf.DUMMYFUNCTION("IF(ISBLANK(A392),"""",GOOGLETRANSLATE(A392,""en"",""fr""))"),"")</f>
        <v/>
      </c>
    </row>
    <row r="393" spans="2:2">
      <c r="B393" s="3" t="str">
        <f ca="1">IFERROR(__xludf.DUMMYFUNCTION("IF(ISBLANK(A393),"""",GOOGLETRANSLATE(A393,""en"",""fr""))"),"")</f>
        <v/>
      </c>
    </row>
    <row r="394" spans="2:2">
      <c r="B394" s="3" t="str">
        <f ca="1">IFERROR(__xludf.DUMMYFUNCTION("IF(ISBLANK(A394),"""",GOOGLETRANSLATE(A394,""en"",""fr""))"),"")</f>
        <v/>
      </c>
    </row>
    <row r="395" spans="2:2">
      <c r="B395" s="3" t="str">
        <f ca="1">IFERROR(__xludf.DUMMYFUNCTION("IF(ISBLANK(A395),"""",GOOGLETRANSLATE(A395,""en"",""fr""))"),"")</f>
        <v/>
      </c>
    </row>
    <row r="396" spans="2:2">
      <c r="B396" s="3" t="str">
        <f ca="1">IFERROR(__xludf.DUMMYFUNCTION("IF(ISBLANK(A396),"""",GOOGLETRANSLATE(A396,""en"",""fr""))"),"")</f>
        <v/>
      </c>
    </row>
    <row r="397" spans="2:2">
      <c r="B397" s="3" t="str">
        <f ca="1">IFERROR(__xludf.DUMMYFUNCTION("IF(ISBLANK(A397),"""",GOOGLETRANSLATE(A397,""en"",""fr""))"),"")</f>
        <v/>
      </c>
    </row>
    <row r="398" spans="2:2">
      <c r="B398" s="3" t="str">
        <f ca="1">IFERROR(__xludf.DUMMYFUNCTION("IF(ISBLANK(A398),"""",GOOGLETRANSLATE(A398,""en"",""fr""))"),"")</f>
        <v/>
      </c>
    </row>
    <row r="399" spans="2:2">
      <c r="B399" s="3" t="str">
        <f ca="1">IFERROR(__xludf.DUMMYFUNCTION("IF(ISBLANK(A399),"""",GOOGLETRANSLATE(A399,""en"",""fr""))"),"")</f>
        <v/>
      </c>
    </row>
    <row r="400" spans="2:2">
      <c r="B400" s="3" t="str">
        <f ca="1">IFERROR(__xludf.DUMMYFUNCTION("IF(ISBLANK(A400),"""",GOOGLETRANSLATE(A400,""en"",""fr""))"),"")</f>
        <v/>
      </c>
    </row>
    <row r="401" spans="2:2">
      <c r="B401" s="3" t="str">
        <f ca="1">IFERROR(__xludf.DUMMYFUNCTION("IF(ISBLANK(A401),"""",GOOGLETRANSLATE(A401,""en"",""fr""))"),"")</f>
        <v/>
      </c>
    </row>
    <row r="402" spans="2:2">
      <c r="B402" s="3" t="str">
        <f ca="1">IFERROR(__xludf.DUMMYFUNCTION("IF(ISBLANK(A402),"""",GOOGLETRANSLATE(A402,""en"",""fr""))"),"")</f>
        <v/>
      </c>
    </row>
    <row r="403" spans="2:2">
      <c r="B403" s="3" t="str">
        <f ca="1">IFERROR(__xludf.DUMMYFUNCTION("IF(ISBLANK(A403),"""",GOOGLETRANSLATE(A403,""en"",""fr""))"),"")</f>
        <v/>
      </c>
    </row>
    <row r="404" spans="2:2">
      <c r="B404" s="3" t="str">
        <f ca="1">IFERROR(__xludf.DUMMYFUNCTION("IF(ISBLANK(A404),"""",GOOGLETRANSLATE(A404,""en"",""fr""))"),"")</f>
        <v/>
      </c>
    </row>
    <row r="405" spans="2:2">
      <c r="B405" s="3" t="str">
        <f ca="1">IFERROR(__xludf.DUMMYFUNCTION("IF(ISBLANK(A405),"""",GOOGLETRANSLATE(A405,""en"",""fr""))"),"")</f>
        <v/>
      </c>
    </row>
    <row r="406" spans="2:2">
      <c r="B406" s="3" t="str">
        <f ca="1">IFERROR(__xludf.DUMMYFUNCTION("IF(ISBLANK(A406),"""",GOOGLETRANSLATE(A406,""en"",""fr""))"),"")</f>
        <v/>
      </c>
    </row>
    <row r="407" spans="2:2">
      <c r="B407" s="3" t="str">
        <f ca="1">IFERROR(__xludf.DUMMYFUNCTION("IF(ISBLANK(A407),"""",GOOGLETRANSLATE(A407,""en"",""fr""))"),"")</f>
        <v/>
      </c>
    </row>
    <row r="408" spans="2:2">
      <c r="B408" s="3" t="str">
        <f ca="1">IFERROR(__xludf.DUMMYFUNCTION("IF(ISBLANK(A408),"""",GOOGLETRANSLATE(A408,""en"",""fr""))"),"")</f>
        <v/>
      </c>
    </row>
    <row r="409" spans="2:2">
      <c r="B409" s="3" t="str">
        <f ca="1">IFERROR(__xludf.DUMMYFUNCTION("IF(ISBLANK(A409),"""",GOOGLETRANSLATE(A409,""en"",""fr""))"),"")</f>
        <v/>
      </c>
    </row>
    <row r="410" spans="2:2">
      <c r="B410" s="3" t="str">
        <f ca="1">IFERROR(__xludf.DUMMYFUNCTION("IF(ISBLANK(A410),"""",GOOGLETRANSLATE(A410,""en"",""fr""))"),"")</f>
        <v/>
      </c>
    </row>
    <row r="411" spans="2:2">
      <c r="B411" s="3" t="str">
        <f ca="1">IFERROR(__xludf.DUMMYFUNCTION("IF(ISBLANK(A411),"""",GOOGLETRANSLATE(A411,""en"",""fr""))"),"")</f>
        <v/>
      </c>
    </row>
    <row r="412" spans="2:2">
      <c r="B412" s="3" t="str">
        <f ca="1">IFERROR(__xludf.DUMMYFUNCTION("IF(ISBLANK(A412),"""",GOOGLETRANSLATE(A412,""en"",""fr""))"),"")</f>
        <v/>
      </c>
    </row>
    <row r="413" spans="2:2">
      <c r="B413" s="3" t="str">
        <f ca="1">IFERROR(__xludf.DUMMYFUNCTION("IF(ISBLANK(A413),"""",GOOGLETRANSLATE(A413,""en"",""fr""))"),"")</f>
        <v/>
      </c>
    </row>
    <row r="414" spans="2:2">
      <c r="B414" s="3" t="str">
        <f ca="1">IFERROR(__xludf.DUMMYFUNCTION("IF(ISBLANK(A414),"""",GOOGLETRANSLATE(A414,""en"",""fr""))"),"")</f>
        <v/>
      </c>
    </row>
    <row r="415" spans="2:2">
      <c r="B415" s="3" t="str">
        <f ca="1">IFERROR(__xludf.DUMMYFUNCTION("IF(ISBLANK(A415),"""",GOOGLETRANSLATE(A415,""en"",""fr""))"),"")</f>
        <v/>
      </c>
    </row>
    <row r="416" spans="2:2">
      <c r="B416" s="3" t="str">
        <f ca="1">IFERROR(__xludf.DUMMYFUNCTION("IF(ISBLANK(A416),"""",GOOGLETRANSLATE(A416,""en"",""fr""))"),"")</f>
        <v/>
      </c>
    </row>
    <row r="417" spans="2:2">
      <c r="B417" s="3" t="str">
        <f ca="1">IFERROR(__xludf.DUMMYFUNCTION("IF(ISBLANK(A417),"""",GOOGLETRANSLATE(A417,""en"",""fr""))"),"")</f>
        <v/>
      </c>
    </row>
    <row r="418" spans="2:2">
      <c r="B418" s="3" t="str">
        <f ca="1">IFERROR(__xludf.DUMMYFUNCTION("IF(ISBLANK(A418),"""",GOOGLETRANSLATE(A418,""en"",""fr""))"),"")</f>
        <v/>
      </c>
    </row>
    <row r="419" spans="2:2">
      <c r="B419" s="3" t="str">
        <f ca="1">IFERROR(__xludf.DUMMYFUNCTION("IF(ISBLANK(A419),"""",GOOGLETRANSLATE(A419,""en"",""fr""))"),"")</f>
        <v/>
      </c>
    </row>
    <row r="420" spans="2:2">
      <c r="B420" s="3" t="str">
        <f ca="1">IFERROR(__xludf.DUMMYFUNCTION("IF(ISBLANK(A420),"""",GOOGLETRANSLATE(A420,""en"",""fr""))"),"")</f>
        <v/>
      </c>
    </row>
    <row r="421" spans="2:2">
      <c r="B421" s="3" t="str">
        <f ca="1">IFERROR(__xludf.DUMMYFUNCTION("IF(ISBLANK(A421),"""",GOOGLETRANSLATE(A421,""en"",""fr""))"),"")</f>
        <v/>
      </c>
    </row>
    <row r="422" spans="2:2">
      <c r="B422" s="3" t="str">
        <f ca="1">IFERROR(__xludf.DUMMYFUNCTION("IF(ISBLANK(A422),"""",GOOGLETRANSLATE(A422,""en"",""fr""))"),"")</f>
        <v/>
      </c>
    </row>
    <row r="423" spans="2:2">
      <c r="B423" s="3" t="str">
        <f ca="1">IFERROR(__xludf.DUMMYFUNCTION("IF(ISBLANK(A423),"""",GOOGLETRANSLATE(A423,""en"",""fr""))"),"")</f>
        <v/>
      </c>
    </row>
    <row r="424" spans="2:2">
      <c r="B424" s="3" t="str">
        <f ca="1">IFERROR(__xludf.DUMMYFUNCTION("IF(ISBLANK(A424),"""",GOOGLETRANSLATE(A424,""en"",""fr""))"),"")</f>
        <v/>
      </c>
    </row>
    <row r="425" spans="2:2">
      <c r="B425" s="3" t="str">
        <f ca="1">IFERROR(__xludf.DUMMYFUNCTION("IF(ISBLANK(A425),"""",GOOGLETRANSLATE(A425,""en"",""fr""))"),"")</f>
        <v/>
      </c>
    </row>
    <row r="426" spans="2:2">
      <c r="B426" s="3" t="str">
        <f ca="1">IFERROR(__xludf.DUMMYFUNCTION("IF(ISBLANK(A426),"""",GOOGLETRANSLATE(A426,""en"",""fr""))"),"")</f>
        <v/>
      </c>
    </row>
    <row r="427" spans="2:2">
      <c r="B427" s="3" t="str">
        <f ca="1">IFERROR(__xludf.DUMMYFUNCTION("IF(ISBLANK(A427),"""",GOOGLETRANSLATE(A427,""en"",""fr""))"),"")</f>
        <v/>
      </c>
    </row>
    <row r="428" spans="2:2">
      <c r="B428" s="3" t="str">
        <f ca="1">IFERROR(__xludf.DUMMYFUNCTION("IF(ISBLANK(A428),"""",GOOGLETRANSLATE(A428,""en"",""fr""))"),"")</f>
        <v/>
      </c>
    </row>
    <row r="429" spans="2:2">
      <c r="B429" s="3" t="str">
        <f ca="1">IFERROR(__xludf.DUMMYFUNCTION("IF(ISBLANK(A429),"""",GOOGLETRANSLATE(A429,""en"",""fr""))"),"")</f>
        <v/>
      </c>
    </row>
    <row r="430" spans="2:2">
      <c r="B430" s="3" t="str">
        <f ca="1">IFERROR(__xludf.DUMMYFUNCTION("IF(ISBLANK(A430),"""",GOOGLETRANSLATE(A430,""en"",""fr""))"),"")</f>
        <v/>
      </c>
    </row>
    <row r="431" spans="2:2">
      <c r="B431" s="3" t="str">
        <f ca="1">IFERROR(__xludf.DUMMYFUNCTION("IF(ISBLANK(A431),"""",GOOGLETRANSLATE(A431,""en"",""fr""))"),"")</f>
        <v/>
      </c>
    </row>
    <row r="432" spans="2:2">
      <c r="B432" s="3" t="str">
        <f ca="1">IFERROR(__xludf.DUMMYFUNCTION("IF(ISBLANK(A432),"""",GOOGLETRANSLATE(A432,""en"",""fr""))"),"")</f>
        <v/>
      </c>
    </row>
    <row r="433" spans="2:2">
      <c r="B433" s="3" t="str">
        <f ca="1">IFERROR(__xludf.DUMMYFUNCTION("IF(ISBLANK(A433),"""",GOOGLETRANSLATE(A433,""en"",""fr""))"),"")</f>
        <v/>
      </c>
    </row>
    <row r="434" spans="2:2">
      <c r="B434" s="3" t="str">
        <f ca="1">IFERROR(__xludf.DUMMYFUNCTION("IF(ISBLANK(A434),"""",GOOGLETRANSLATE(A434,""en"",""fr""))"),"")</f>
        <v/>
      </c>
    </row>
    <row r="435" spans="2:2">
      <c r="B435" s="3" t="str">
        <f ca="1">IFERROR(__xludf.DUMMYFUNCTION("IF(ISBLANK(A435),"""",GOOGLETRANSLATE(A435,""en"",""fr""))"),"")</f>
        <v/>
      </c>
    </row>
    <row r="436" spans="2:2">
      <c r="B436" s="3" t="str">
        <f ca="1">IFERROR(__xludf.DUMMYFUNCTION("IF(ISBLANK(A436),"""",GOOGLETRANSLATE(A436,""en"",""fr""))"),"")</f>
        <v/>
      </c>
    </row>
    <row r="437" spans="2:2">
      <c r="B437" s="3" t="str">
        <f ca="1">IFERROR(__xludf.DUMMYFUNCTION("IF(ISBLANK(A437),"""",GOOGLETRANSLATE(A437,""en"",""fr""))"),"")</f>
        <v/>
      </c>
    </row>
    <row r="438" spans="2:2">
      <c r="B438" s="3" t="str">
        <f ca="1">IFERROR(__xludf.DUMMYFUNCTION("IF(ISBLANK(A438),"""",GOOGLETRANSLATE(A438,""en"",""fr""))"),"")</f>
        <v/>
      </c>
    </row>
    <row r="439" spans="2:2">
      <c r="B439" s="3" t="str">
        <f ca="1">IFERROR(__xludf.DUMMYFUNCTION("IF(ISBLANK(A439),"""",GOOGLETRANSLATE(A439,""en"",""fr""))"),"")</f>
        <v/>
      </c>
    </row>
    <row r="440" spans="2:2">
      <c r="B440" s="3" t="str">
        <f ca="1">IFERROR(__xludf.DUMMYFUNCTION("IF(ISBLANK(A440),"""",GOOGLETRANSLATE(A440,""en"",""fr""))"),"")</f>
        <v/>
      </c>
    </row>
    <row r="441" spans="2:2">
      <c r="B441" s="3" t="str">
        <f ca="1">IFERROR(__xludf.DUMMYFUNCTION("IF(ISBLANK(A441),"""",GOOGLETRANSLATE(A441,""en"",""fr""))"),"")</f>
        <v/>
      </c>
    </row>
    <row r="442" spans="2:2">
      <c r="B442" s="3" t="str">
        <f ca="1">IFERROR(__xludf.DUMMYFUNCTION("IF(ISBLANK(A442),"""",GOOGLETRANSLATE(A442,""en"",""fr""))"),"")</f>
        <v/>
      </c>
    </row>
    <row r="443" spans="2:2">
      <c r="B443" s="3" t="str">
        <f ca="1">IFERROR(__xludf.DUMMYFUNCTION("IF(ISBLANK(A443),"""",GOOGLETRANSLATE(A443,""en"",""fr""))"),"")</f>
        <v/>
      </c>
    </row>
    <row r="444" spans="2:2">
      <c r="B444" s="3" t="str">
        <f ca="1">IFERROR(__xludf.DUMMYFUNCTION("IF(ISBLANK(A444),"""",GOOGLETRANSLATE(A444,""en"",""fr""))"),"")</f>
        <v/>
      </c>
    </row>
    <row r="445" spans="2:2">
      <c r="B445" s="3" t="str">
        <f ca="1">IFERROR(__xludf.DUMMYFUNCTION("IF(ISBLANK(A445),"""",GOOGLETRANSLATE(A445,""en"",""fr""))"),"")</f>
        <v/>
      </c>
    </row>
    <row r="446" spans="2:2">
      <c r="B446" s="3" t="str">
        <f ca="1">IFERROR(__xludf.DUMMYFUNCTION("IF(ISBLANK(A446),"""",GOOGLETRANSLATE(A446,""en"",""fr""))"),"")</f>
        <v/>
      </c>
    </row>
    <row r="447" spans="2:2">
      <c r="B447" s="3" t="str">
        <f ca="1">IFERROR(__xludf.DUMMYFUNCTION("IF(ISBLANK(A447),"""",GOOGLETRANSLATE(A447,""en"",""fr""))"),"")</f>
        <v/>
      </c>
    </row>
    <row r="448" spans="2:2">
      <c r="B448" s="3" t="str">
        <f ca="1">IFERROR(__xludf.DUMMYFUNCTION("IF(ISBLANK(A448),"""",GOOGLETRANSLATE(A448,""en"",""fr""))"),"")</f>
        <v/>
      </c>
    </row>
    <row r="449" spans="2:2">
      <c r="B449" s="3" t="str">
        <f ca="1">IFERROR(__xludf.DUMMYFUNCTION("IF(ISBLANK(A449),"""",GOOGLETRANSLATE(A449,""en"",""fr""))"),"")</f>
        <v/>
      </c>
    </row>
    <row r="450" spans="2:2">
      <c r="B450" s="3" t="str">
        <f ca="1">IFERROR(__xludf.DUMMYFUNCTION("IF(ISBLANK(A450),"""",GOOGLETRANSLATE(A450,""en"",""fr""))"),"")</f>
        <v/>
      </c>
    </row>
    <row r="451" spans="2:2">
      <c r="B451" s="3" t="str">
        <f ca="1">IFERROR(__xludf.DUMMYFUNCTION("IF(ISBLANK(A451),"""",GOOGLETRANSLATE(A451,""en"",""fr""))"),"")</f>
        <v/>
      </c>
    </row>
    <row r="452" spans="2:2">
      <c r="B452" s="3" t="str">
        <f ca="1">IFERROR(__xludf.DUMMYFUNCTION("IF(ISBLANK(A452),"""",GOOGLETRANSLATE(A452,""en"",""fr""))"),"")</f>
        <v/>
      </c>
    </row>
    <row r="453" spans="2:2">
      <c r="B453" s="3" t="str">
        <f ca="1">IFERROR(__xludf.DUMMYFUNCTION("IF(ISBLANK(A453),"""",GOOGLETRANSLATE(A453,""en"",""fr""))"),"")</f>
        <v/>
      </c>
    </row>
    <row r="454" spans="2:2">
      <c r="B454" s="3" t="str">
        <f ca="1">IFERROR(__xludf.DUMMYFUNCTION("IF(ISBLANK(A454),"""",GOOGLETRANSLATE(A454,""en"",""fr""))"),"")</f>
        <v/>
      </c>
    </row>
    <row r="455" spans="2:2">
      <c r="B455" s="3" t="str">
        <f ca="1">IFERROR(__xludf.DUMMYFUNCTION("IF(ISBLANK(A455),"""",GOOGLETRANSLATE(A455,""en"",""fr""))"),"")</f>
        <v/>
      </c>
    </row>
    <row r="456" spans="2:2">
      <c r="B456" s="3" t="str">
        <f ca="1">IFERROR(__xludf.DUMMYFUNCTION("IF(ISBLANK(A456),"""",GOOGLETRANSLATE(A456,""en"",""fr""))"),"")</f>
        <v/>
      </c>
    </row>
    <row r="457" spans="2:2">
      <c r="B457" s="3" t="str">
        <f ca="1">IFERROR(__xludf.DUMMYFUNCTION("IF(ISBLANK(A457),"""",GOOGLETRANSLATE(A457,""en"",""fr""))"),"")</f>
        <v/>
      </c>
    </row>
    <row r="458" spans="2:2">
      <c r="B458" s="3" t="str">
        <f ca="1">IFERROR(__xludf.DUMMYFUNCTION("IF(ISBLANK(A458),"""",GOOGLETRANSLATE(A458,""en"",""fr""))"),"")</f>
        <v/>
      </c>
    </row>
    <row r="459" spans="2:2">
      <c r="B459" s="3" t="str">
        <f ca="1">IFERROR(__xludf.DUMMYFUNCTION("IF(ISBLANK(A459),"""",GOOGLETRANSLATE(A459,""en"",""fr""))"),"")</f>
        <v/>
      </c>
    </row>
    <row r="460" spans="2:2">
      <c r="B460" s="3" t="str">
        <f ca="1">IFERROR(__xludf.DUMMYFUNCTION("IF(ISBLANK(A460),"""",GOOGLETRANSLATE(A460,""en"",""fr""))"),"")</f>
        <v/>
      </c>
    </row>
    <row r="461" spans="2:2">
      <c r="B461" s="3" t="str">
        <f ca="1">IFERROR(__xludf.DUMMYFUNCTION("IF(ISBLANK(A461),"""",GOOGLETRANSLATE(A461,""en"",""fr""))"),"")</f>
        <v/>
      </c>
    </row>
    <row r="462" spans="2:2">
      <c r="B462" s="3" t="str">
        <f ca="1">IFERROR(__xludf.DUMMYFUNCTION("IF(ISBLANK(A462),"""",GOOGLETRANSLATE(A462,""en"",""fr""))"),"")</f>
        <v/>
      </c>
    </row>
    <row r="463" spans="2:2">
      <c r="B463" s="3" t="str">
        <f ca="1">IFERROR(__xludf.DUMMYFUNCTION("IF(ISBLANK(A463),"""",GOOGLETRANSLATE(A463,""en"",""fr""))"),"")</f>
        <v/>
      </c>
    </row>
    <row r="464" spans="2:2">
      <c r="B464" s="3" t="str">
        <f ca="1">IFERROR(__xludf.DUMMYFUNCTION("IF(ISBLANK(A464),"""",GOOGLETRANSLATE(A464,""en"",""fr""))"),"")</f>
        <v/>
      </c>
    </row>
    <row r="465" spans="2:2">
      <c r="B465" s="3" t="str">
        <f ca="1">IFERROR(__xludf.DUMMYFUNCTION("IF(ISBLANK(A465),"""",GOOGLETRANSLATE(A465,""en"",""fr""))"),"")</f>
        <v/>
      </c>
    </row>
    <row r="466" spans="2:2">
      <c r="B466" s="3" t="str">
        <f ca="1">IFERROR(__xludf.DUMMYFUNCTION("IF(ISBLANK(A466),"""",GOOGLETRANSLATE(A466,""en"",""fr""))"),"")</f>
        <v/>
      </c>
    </row>
    <row r="467" spans="2:2">
      <c r="B467" s="3" t="str">
        <f ca="1">IFERROR(__xludf.DUMMYFUNCTION("IF(ISBLANK(A467),"""",GOOGLETRANSLATE(A467,""en"",""fr""))"),"")</f>
        <v/>
      </c>
    </row>
    <row r="468" spans="2:2">
      <c r="B468" s="3" t="str">
        <f ca="1">IFERROR(__xludf.DUMMYFUNCTION("IF(ISBLANK(A468),"""",GOOGLETRANSLATE(A468,""en"",""fr""))"),"")</f>
        <v/>
      </c>
    </row>
    <row r="469" spans="2:2">
      <c r="B469" s="3" t="str">
        <f ca="1">IFERROR(__xludf.DUMMYFUNCTION("IF(ISBLANK(A469),"""",GOOGLETRANSLATE(A469,""en"",""fr""))"),"")</f>
        <v/>
      </c>
    </row>
    <row r="470" spans="2:2">
      <c r="B470" s="3" t="str">
        <f ca="1">IFERROR(__xludf.DUMMYFUNCTION("IF(ISBLANK(A470),"""",GOOGLETRANSLATE(A470,""en"",""fr""))"),"")</f>
        <v/>
      </c>
    </row>
    <row r="471" spans="2:2">
      <c r="B471" s="3" t="str">
        <f ca="1">IFERROR(__xludf.DUMMYFUNCTION("IF(ISBLANK(A471),"""",GOOGLETRANSLATE(A471,""en"",""fr""))"),"")</f>
        <v/>
      </c>
    </row>
    <row r="472" spans="2:2">
      <c r="B472" s="3" t="str">
        <f ca="1">IFERROR(__xludf.DUMMYFUNCTION("IF(ISBLANK(A472),"""",GOOGLETRANSLATE(A472,""en"",""fr""))"),"")</f>
        <v/>
      </c>
    </row>
    <row r="473" spans="2:2">
      <c r="B473" s="3" t="str">
        <f ca="1">IFERROR(__xludf.DUMMYFUNCTION("IF(ISBLANK(A473),"""",GOOGLETRANSLATE(A473,""en"",""fr""))"),"")</f>
        <v/>
      </c>
    </row>
    <row r="474" spans="2:2">
      <c r="B474" s="3" t="str">
        <f ca="1">IFERROR(__xludf.DUMMYFUNCTION("IF(ISBLANK(A474),"""",GOOGLETRANSLATE(A474,""en"",""fr""))"),"")</f>
        <v/>
      </c>
    </row>
    <row r="475" spans="2:2">
      <c r="B475" s="3" t="str">
        <f ca="1">IFERROR(__xludf.DUMMYFUNCTION("IF(ISBLANK(A475),"""",GOOGLETRANSLATE(A475,""en"",""fr""))"),"")</f>
        <v/>
      </c>
    </row>
    <row r="476" spans="2:2">
      <c r="B476" s="3" t="str">
        <f ca="1">IFERROR(__xludf.DUMMYFUNCTION("IF(ISBLANK(A476),"""",GOOGLETRANSLATE(A476,""en"",""fr""))"),"")</f>
        <v/>
      </c>
    </row>
    <row r="477" spans="2:2">
      <c r="B477" s="3" t="str">
        <f ca="1">IFERROR(__xludf.DUMMYFUNCTION("IF(ISBLANK(A477),"""",GOOGLETRANSLATE(A477,""en"",""fr""))"),"")</f>
        <v/>
      </c>
    </row>
    <row r="478" spans="2:2">
      <c r="B478" s="3" t="str">
        <f ca="1">IFERROR(__xludf.DUMMYFUNCTION("IF(ISBLANK(A478),"""",GOOGLETRANSLATE(A478,""en"",""fr""))"),"")</f>
        <v/>
      </c>
    </row>
    <row r="479" spans="2:2">
      <c r="B479" s="3" t="str">
        <f ca="1">IFERROR(__xludf.DUMMYFUNCTION("IF(ISBLANK(A479),"""",GOOGLETRANSLATE(A479,""en"",""fr""))"),"")</f>
        <v/>
      </c>
    </row>
    <row r="480" spans="2:2">
      <c r="B480" s="3" t="str">
        <f ca="1">IFERROR(__xludf.DUMMYFUNCTION("IF(ISBLANK(A480),"""",GOOGLETRANSLATE(A480,""en"",""fr""))"),"")</f>
        <v/>
      </c>
    </row>
    <row r="481" spans="2:2">
      <c r="B481" s="3" t="str">
        <f ca="1">IFERROR(__xludf.DUMMYFUNCTION("IF(ISBLANK(A481),"""",GOOGLETRANSLATE(A481,""en"",""fr""))"),"")</f>
        <v/>
      </c>
    </row>
    <row r="482" spans="2:2">
      <c r="B482" s="3" t="str">
        <f ca="1">IFERROR(__xludf.DUMMYFUNCTION("IF(ISBLANK(A482),"""",GOOGLETRANSLATE(A482,""en"",""fr""))"),"")</f>
        <v/>
      </c>
    </row>
    <row r="483" spans="2:2">
      <c r="B483" s="3" t="str">
        <f ca="1">IFERROR(__xludf.DUMMYFUNCTION("IF(ISBLANK(A483),"""",GOOGLETRANSLATE(A483,""en"",""fr""))"),"")</f>
        <v/>
      </c>
    </row>
    <row r="484" spans="2:2">
      <c r="B484" s="3" t="str">
        <f ca="1">IFERROR(__xludf.DUMMYFUNCTION("IF(ISBLANK(A484),"""",GOOGLETRANSLATE(A484,""en"",""fr""))"),"")</f>
        <v/>
      </c>
    </row>
    <row r="485" spans="2:2">
      <c r="B485" s="3" t="str">
        <f ca="1">IFERROR(__xludf.DUMMYFUNCTION("IF(ISBLANK(A485),"""",GOOGLETRANSLATE(A485,""en"",""fr""))"),"")</f>
        <v/>
      </c>
    </row>
    <row r="486" spans="2:2">
      <c r="B486" s="3" t="str">
        <f ca="1">IFERROR(__xludf.DUMMYFUNCTION("IF(ISBLANK(A486),"""",GOOGLETRANSLATE(A486,""en"",""fr""))"),"")</f>
        <v/>
      </c>
    </row>
    <row r="487" spans="2:2">
      <c r="B487" s="3" t="str">
        <f ca="1">IFERROR(__xludf.DUMMYFUNCTION("IF(ISBLANK(A487),"""",GOOGLETRANSLATE(A487,""en"",""fr""))"),"")</f>
        <v/>
      </c>
    </row>
    <row r="488" spans="2:2">
      <c r="B488" s="3" t="str">
        <f ca="1">IFERROR(__xludf.DUMMYFUNCTION("IF(ISBLANK(A488),"""",GOOGLETRANSLATE(A488,""en"",""fr""))"),"")</f>
        <v/>
      </c>
    </row>
    <row r="489" spans="2:2">
      <c r="B489" s="3" t="str">
        <f ca="1">IFERROR(__xludf.DUMMYFUNCTION("IF(ISBLANK(A489),"""",GOOGLETRANSLATE(A489,""en"",""fr""))"),"")</f>
        <v/>
      </c>
    </row>
    <row r="490" spans="2:2">
      <c r="B490" s="3" t="str">
        <f ca="1">IFERROR(__xludf.DUMMYFUNCTION("IF(ISBLANK(A490),"""",GOOGLETRANSLATE(A490,""en"",""fr""))"),"")</f>
        <v/>
      </c>
    </row>
    <row r="491" spans="2:2">
      <c r="B491" s="3" t="str">
        <f ca="1">IFERROR(__xludf.DUMMYFUNCTION("IF(ISBLANK(A491),"""",GOOGLETRANSLATE(A491,""en"",""fr""))"),"")</f>
        <v/>
      </c>
    </row>
    <row r="492" spans="2:2">
      <c r="B492" s="3" t="str">
        <f ca="1">IFERROR(__xludf.DUMMYFUNCTION("IF(ISBLANK(A492),"""",GOOGLETRANSLATE(A492,""en"",""fr""))"),"")</f>
        <v/>
      </c>
    </row>
    <row r="493" spans="2:2">
      <c r="B493" s="3" t="str">
        <f ca="1">IFERROR(__xludf.DUMMYFUNCTION("IF(ISBLANK(A493),"""",GOOGLETRANSLATE(A493,""en"",""fr""))"),"")</f>
        <v/>
      </c>
    </row>
    <row r="494" spans="2:2">
      <c r="B494" s="3" t="str">
        <f ca="1">IFERROR(__xludf.DUMMYFUNCTION("IF(ISBLANK(A494),"""",GOOGLETRANSLATE(A494,""en"",""fr""))"),"")</f>
        <v/>
      </c>
    </row>
    <row r="495" spans="2:2">
      <c r="B495" s="3" t="str">
        <f ca="1">IFERROR(__xludf.DUMMYFUNCTION("IF(ISBLANK(A495),"""",GOOGLETRANSLATE(A495,""en"",""fr""))"),"")</f>
        <v/>
      </c>
    </row>
    <row r="496" spans="2:2">
      <c r="B496" s="3" t="str">
        <f ca="1">IFERROR(__xludf.DUMMYFUNCTION("IF(ISBLANK(A496),"""",GOOGLETRANSLATE(A496,""en"",""fr""))"),"")</f>
        <v/>
      </c>
    </row>
    <row r="497" spans="2:2">
      <c r="B497" s="3" t="str">
        <f ca="1">IFERROR(__xludf.DUMMYFUNCTION("IF(ISBLANK(A497),"""",GOOGLETRANSLATE(A497,""en"",""fr""))"),"")</f>
        <v/>
      </c>
    </row>
    <row r="498" spans="2:2">
      <c r="B498" s="3" t="str">
        <f ca="1">IFERROR(__xludf.DUMMYFUNCTION("IF(ISBLANK(A498),"""",GOOGLETRANSLATE(A498,""en"",""fr""))"),"")</f>
        <v/>
      </c>
    </row>
    <row r="499" spans="2:2">
      <c r="B499" s="3" t="str">
        <f ca="1">IFERROR(__xludf.DUMMYFUNCTION("IF(ISBLANK(A499),"""",GOOGLETRANSLATE(A499,""en"",""fr""))"),"")</f>
        <v/>
      </c>
    </row>
    <row r="500" spans="2:2">
      <c r="B500" s="3" t="str">
        <f ca="1">IFERROR(__xludf.DUMMYFUNCTION("IF(ISBLANK(A500),"""",GOOGLETRANSLATE(A500,""en"",""fr""))"),"")</f>
        <v/>
      </c>
    </row>
    <row r="501" spans="2:2">
      <c r="B501" s="3" t="str">
        <f ca="1">IFERROR(__xludf.DUMMYFUNCTION("IF(ISBLANK(A501),"""",GOOGLETRANSLATE(A501,""en"",""fr""))"),"")</f>
        <v/>
      </c>
    </row>
    <row r="502" spans="2:2">
      <c r="B502" s="3" t="str">
        <f ca="1">IFERROR(__xludf.DUMMYFUNCTION("IF(ISBLANK(A502),"""",GOOGLETRANSLATE(A502,""en"",""fr""))"),"")</f>
        <v/>
      </c>
    </row>
    <row r="503" spans="2:2">
      <c r="B503" s="3" t="str">
        <f ca="1">IFERROR(__xludf.DUMMYFUNCTION("IF(ISBLANK(A503),"""",GOOGLETRANSLATE(A503,""en"",""fr""))"),"")</f>
        <v/>
      </c>
    </row>
    <row r="504" spans="2:2">
      <c r="B504" s="3" t="str">
        <f ca="1">IFERROR(__xludf.DUMMYFUNCTION("IF(ISBLANK(A504),"""",GOOGLETRANSLATE(A504,""en"",""fr""))"),"")</f>
        <v/>
      </c>
    </row>
    <row r="505" spans="2:2">
      <c r="B505" s="3" t="str">
        <f ca="1">IFERROR(__xludf.DUMMYFUNCTION("IF(ISBLANK(A505),"""",GOOGLETRANSLATE(A505,""en"",""fr""))"),"")</f>
        <v/>
      </c>
    </row>
    <row r="506" spans="2:2">
      <c r="B506" s="3" t="str">
        <f ca="1">IFERROR(__xludf.DUMMYFUNCTION("IF(ISBLANK(A506),"""",GOOGLETRANSLATE(A506,""en"",""fr""))"),"")</f>
        <v/>
      </c>
    </row>
    <row r="507" spans="2:2">
      <c r="B507" s="3" t="str">
        <f ca="1">IFERROR(__xludf.DUMMYFUNCTION("IF(ISBLANK(A507),"""",GOOGLETRANSLATE(A507,""en"",""fr""))"),"")</f>
        <v/>
      </c>
    </row>
    <row r="508" spans="2:2">
      <c r="B508" s="3" t="str">
        <f ca="1">IFERROR(__xludf.DUMMYFUNCTION("IF(ISBLANK(A508),"""",GOOGLETRANSLATE(A508,""en"",""fr""))"),"")</f>
        <v/>
      </c>
    </row>
    <row r="509" spans="2:2">
      <c r="B509" s="3" t="str">
        <f ca="1">IFERROR(__xludf.DUMMYFUNCTION("IF(ISBLANK(A509),"""",GOOGLETRANSLATE(A509,""en"",""fr""))"),"")</f>
        <v/>
      </c>
    </row>
    <row r="510" spans="2:2">
      <c r="B510" s="3" t="str">
        <f ca="1">IFERROR(__xludf.DUMMYFUNCTION("IF(ISBLANK(A510),"""",GOOGLETRANSLATE(A510,""en"",""fr""))"),"")</f>
        <v/>
      </c>
    </row>
    <row r="511" spans="2:2">
      <c r="B511" s="3" t="str">
        <f ca="1">IFERROR(__xludf.DUMMYFUNCTION("IF(ISBLANK(A511),"""",GOOGLETRANSLATE(A511,""en"",""fr""))"),"")</f>
        <v/>
      </c>
    </row>
    <row r="512" spans="2:2">
      <c r="B512" s="3" t="str">
        <f ca="1">IFERROR(__xludf.DUMMYFUNCTION("IF(ISBLANK(A512),"""",GOOGLETRANSLATE(A512,""en"",""fr""))"),"")</f>
        <v/>
      </c>
    </row>
    <row r="513" spans="2:2">
      <c r="B513" s="3" t="str">
        <f ca="1">IFERROR(__xludf.DUMMYFUNCTION("IF(ISBLANK(A513),"""",GOOGLETRANSLATE(A513,""en"",""fr""))"),"")</f>
        <v/>
      </c>
    </row>
    <row r="514" spans="2:2">
      <c r="B514" s="3" t="str">
        <f ca="1">IFERROR(__xludf.DUMMYFUNCTION("IF(ISBLANK(A514),"""",GOOGLETRANSLATE(A514,""en"",""fr""))"),"")</f>
        <v/>
      </c>
    </row>
    <row r="515" spans="2:2">
      <c r="B515" s="3" t="str">
        <f ca="1">IFERROR(__xludf.DUMMYFUNCTION("IF(ISBLANK(A515),"""",GOOGLETRANSLATE(A515,""en"",""fr""))"),"")</f>
        <v/>
      </c>
    </row>
    <row r="516" spans="2:2">
      <c r="B516" s="3" t="str">
        <f ca="1">IFERROR(__xludf.DUMMYFUNCTION("IF(ISBLANK(A516),"""",GOOGLETRANSLATE(A516,""en"",""fr""))"),"")</f>
        <v/>
      </c>
    </row>
    <row r="517" spans="2:2">
      <c r="B517" s="3" t="str">
        <f ca="1">IFERROR(__xludf.DUMMYFUNCTION("IF(ISBLANK(A517),"""",GOOGLETRANSLATE(A517,""en"",""fr""))"),"")</f>
        <v/>
      </c>
    </row>
    <row r="518" spans="2:2">
      <c r="B518" s="3" t="str">
        <f ca="1">IFERROR(__xludf.DUMMYFUNCTION("IF(ISBLANK(A518),"""",GOOGLETRANSLATE(A518,""en"",""fr""))"),"")</f>
        <v/>
      </c>
    </row>
    <row r="519" spans="2:2">
      <c r="B519" s="3" t="str">
        <f ca="1">IFERROR(__xludf.DUMMYFUNCTION("IF(ISBLANK(A519),"""",GOOGLETRANSLATE(A519,""en"",""fr""))"),"")</f>
        <v/>
      </c>
    </row>
    <row r="520" spans="2:2">
      <c r="B520" s="3" t="str">
        <f ca="1">IFERROR(__xludf.DUMMYFUNCTION("IF(ISBLANK(A520),"""",GOOGLETRANSLATE(A520,""en"",""fr""))"),"")</f>
        <v/>
      </c>
    </row>
    <row r="521" spans="2:2">
      <c r="B521" s="3" t="str">
        <f ca="1">IFERROR(__xludf.DUMMYFUNCTION("IF(ISBLANK(A521),"""",GOOGLETRANSLATE(A521,""en"",""fr""))"),"")</f>
        <v/>
      </c>
    </row>
    <row r="522" spans="2:2">
      <c r="B522" s="3" t="str">
        <f ca="1">IFERROR(__xludf.DUMMYFUNCTION("IF(ISBLANK(A522),"""",GOOGLETRANSLATE(A522,""en"",""fr""))"),"")</f>
        <v/>
      </c>
    </row>
    <row r="523" spans="2:2">
      <c r="B523" s="3" t="str">
        <f ca="1">IFERROR(__xludf.DUMMYFUNCTION("IF(ISBLANK(A523),"""",GOOGLETRANSLATE(A523,""en"",""fr""))"),"")</f>
        <v/>
      </c>
    </row>
    <row r="524" spans="2:2">
      <c r="B524" s="3" t="str">
        <f ca="1">IFERROR(__xludf.DUMMYFUNCTION("IF(ISBLANK(A524),"""",GOOGLETRANSLATE(A524,""en"",""fr""))"),"")</f>
        <v/>
      </c>
    </row>
    <row r="525" spans="2:2">
      <c r="B525" s="3" t="str">
        <f ca="1">IFERROR(__xludf.DUMMYFUNCTION("IF(ISBLANK(A525),"""",GOOGLETRANSLATE(A525,""en"",""fr""))"),"")</f>
        <v/>
      </c>
    </row>
    <row r="526" spans="2:2">
      <c r="B526" s="3" t="str">
        <f ca="1">IFERROR(__xludf.DUMMYFUNCTION("IF(ISBLANK(A526),"""",GOOGLETRANSLATE(A526,""en"",""fr""))"),"")</f>
        <v/>
      </c>
    </row>
    <row r="527" spans="2:2">
      <c r="B527" s="3" t="str">
        <f ca="1">IFERROR(__xludf.DUMMYFUNCTION("IF(ISBLANK(A527),"""",GOOGLETRANSLATE(A527,""en"",""fr""))"),"")</f>
        <v/>
      </c>
    </row>
    <row r="528" spans="2:2">
      <c r="B528" s="3" t="str">
        <f ca="1">IFERROR(__xludf.DUMMYFUNCTION("IF(ISBLANK(A528),"""",GOOGLETRANSLATE(A528,""en"",""fr""))"),"")</f>
        <v/>
      </c>
    </row>
    <row r="529" spans="2:2">
      <c r="B529" s="3" t="str">
        <f ca="1">IFERROR(__xludf.DUMMYFUNCTION("IF(ISBLANK(A529),"""",GOOGLETRANSLATE(A529,""en"",""fr""))"),"")</f>
        <v/>
      </c>
    </row>
    <row r="530" spans="2:2">
      <c r="B530" s="3" t="str">
        <f ca="1">IFERROR(__xludf.DUMMYFUNCTION("IF(ISBLANK(A530),"""",GOOGLETRANSLATE(A530,""en"",""fr""))"),"")</f>
        <v/>
      </c>
    </row>
    <row r="531" spans="2:2">
      <c r="B531" s="3" t="str">
        <f ca="1">IFERROR(__xludf.DUMMYFUNCTION("IF(ISBLANK(A531),"""",GOOGLETRANSLATE(A531,""en"",""fr""))"),"")</f>
        <v/>
      </c>
    </row>
    <row r="532" spans="2:2">
      <c r="B532" s="3" t="str">
        <f ca="1">IFERROR(__xludf.DUMMYFUNCTION("IF(ISBLANK(A532),"""",GOOGLETRANSLATE(A532,""en"",""fr""))"),"")</f>
        <v/>
      </c>
    </row>
    <row r="533" spans="2:2">
      <c r="B533" s="3" t="str">
        <f ca="1">IFERROR(__xludf.DUMMYFUNCTION("IF(ISBLANK(A533),"""",GOOGLETRANSLATE(A533,""en"",""fr""))"),"")</f>
        <v/>
      </c>
    </row>
    <row r="534" spans="2:2">
      <c r="B534" s="3" t="str">
        <f ca="1">IFERROR(__xludf.DUMMYFUNCTION("IF(ISBLANK(A534),"""",GOOGLETRANSLATE(A534,""en"",""fr""))"),"")</f>
        <v/>
      </c>
    </row>
    <row r="535" spans="2:2">
      <c r="B535" s="3" t="str">
        <f ca="1">IFERROR(__xludf.DUMMYFUNCTION("IF(ISBLANK(A535),"""",GOOGLETRANSLATE(A535,""en"",""fr""))"),"")</f>
        <v/>
      </c>
    </row>
    <row r="536" spans="2:2">
      <c r="B536" s="3" t="str">
        <f ca="1">IFERROR(__xludf.DUMMYFUNCTION("IF(ISBLANK(A536),"""",GOOGLETRANSLATE(A536,""en"",""fr""))"),"")</f>
        <v/>
      </c>
    </row>
    <row r="537" spans="2:2">
      <c r="B537" s="3" t="str">
        <f ca="1">IFERROR(__xludf.DUMMYFUNCTION("IF(ISBLANK(A537),"""",GOOGLETRANSLATE(A537,""en"",""fr""))"),"")</f>
        <v/>
      </c>
    </row>
    <row r="538" spans="2:2">
      <c r="B538" s="3" t="str">
        <f ca="1">IFERROR(__xludf.DUMMYFUNCTION("IF(ISBLANK(A538),"""",GOOGLETRANSLATE(A538,""en"",""fr""))"),"")</f>
        <v/>
      </c>
    </row>
    <row r="539" spans="2:2">
      <c r="B539" s="3" t="str">
        <f ca="1">IFERROR(__xludf.DUMMYFUNCTION("IF(ISBLANK(A539),"""",GOOGLETRANSLATE(A539,""en"",""fr""))"),"")</f>
        <v/>
      </c>
    </row>
    <row r="540" spans="2:2">
      <c r="B540" s="3" t="str">
        <f ca="1">IFERROR(__xludf.DUMMYFUNCTION("IF(ISBLANK(A540),"""",GOOGLETRANSLATE(A540,""en"",""fr""))"),"")</f>
        <v/>
      </c>
    </row>
    <row r="541" spans="2:2">
      <c r="B541" s="3" t="str">
        <f ca="1">IFERROR(__xludf.DUMMYFUNCTION("IF(ISBLANK(A541),"""",GOOGLETRANSLATE(A541,""en"",""fr""))"),"")</f>
        <v/>
      </c>
    </row>
    <row r="542" spans="2:2">
      <c r="B542" s="3" t="str">
        <f ca="1">IFERROR(__xludf.DUMMYFUNCTION("IF(ISBLANK(A542),"""",GOOGLETRANSLATE(A542,""en"",""fr""))"),"")</f>
        <v/>
      </c>
    </row>
    <row r="543" spans="2:2">
      <c r="B543" s="3" t="str">
        <f ca="1">IFERROR(__xludf.DUMMYFUNCTION("IF(ISBLANK(A543),"""",GOOGLETRANSLATE(A543,""en"",""fr""))"),"")</f>
        <v/>
      </c>
    </row>
    <row r="544" spans="2:2">
      <c r="B544" s="3" t="str">
        <f ca="1">IFERROR(__xludf.DUMMYFUNCTION("IF(ISBLANK(A544),"""",GOOGLETRANSLATE(A544,""en"",""fr""))"),"")</f>
        <v/>
      </c>
    </row>
    <row r="545" spans="2:2">
      <c r="B545" s="3" t="str">
        <f ca="1">IFERROR(__xludf.DUMMYFUNCTION("IF(ISBLANK(A545),"""",GOOGLETRANSLATE(A545,""en"",""fr""))"),"")</f>
        <v/>
      </c>
    </row>
    <row r="546" spans="2:2">
      <c r="B546" s="3" t="str">
        <f ca="1">IFERROR(__xludf.DUMMYFUNCTION("IF(ISBLANK(A546),"""",GOOGLETRANSLATE(A546,""en"",""fr""))"),"")</f>
        <v/>
      </c>
    </row>
    <row r="547" spans="2:2">
      <c r="B547" s="3" t="str">
        <f ca="1">IFERROR(__xludf.DUMMYFUNCTION("IF(ISBLANK(A547),"""",GOOGLETRANSLATE(A547,""en"",""fr""))"),"")</f>
        <v/>
      </c>
    </row>
    <row r="548" spans="2:2">
      <c r="B548" s="3" t="str">
        <f ca="1">IFERROR(__xludf.DUMMYFUNCTION("IF(ISBLANK(A548),"""",GOOGLETRANSLATE(A548,""en"",""fr""))"),"")</f>
        <v/>
      </c>
    </row>
    <row r="549" spans="2:2">
      <c r="B549" s="3" t="str">
        <f ca="1">IFERROR(__xludf.DUMMYFUNCTION("IF(ISBLANK(A549),"""",GOOGLETRANSLATE(A549,""en"",""fr""))"),"")</f>
        <v/>
      </c>
    </row>
    <row r="550" spans="2:2">
      <c r="B550" s="3" t="str">
        <f ca="1">IFERROR(__xludf.DUMMYFUNCTION("IF(ISBLANK(A550),"""",GOOGLETRANSLATE(A550,""en"",""fr""))"),"")</f>
        <v/>
      </c>
    </row>
    <row r="551" spans="2:2">
      <c r="B551" s="3" t="str">
        <f ca="1">IFERROR(__xludf.DUMMYFUNCTION("IF(ISBLANK(A551),"""",GOOGLETRANSLATE(A551,""en"",""fr""))"),"")</f>
        <v/>
      </c>
    </row>
    <row r="552" spans="2:2">
      <c r="B552" s="3" t="str">
        <f ca="1">IFERROR(__xludf.DUMMYFUNCTION("IF(ISBLANK(A552),"""",GOOGLETRANSLATE(A552,""en"",""fr""))"),"")</f>
        <v/>
      </c>
    </row>
    <row r="553" spans="2:2">
      <c r="B553" s="3" t="str">
        <f ca="1">IFERROR(__xludf.DUMMYFUNCTION("IF(ISBLANK(A553),"""",GOOGLETRANSLATE(A553,""en"",""fr""))"),"")</f>
        <v/>
      </c>
    </row>
    <row r="554" spans="2:2">
      <c r="B554" s="3" t="str">
        <f ca="1">IFERROR(__xludf.DUMMYFUNCTION("IF(ISBLANK(A554),"""",GOOGLETRANSLATE(A554,""en"",""fr""))"),"")</f>
        <v/>
      </c>
    </row>
    <row r="555" spans="2:2">
      <c r="B555" s="3" t="str">
        <f ca="1">IFERROR(__xludf.DUMMYFUNCTION("IF(ISBLANK(A555),"""",GOOGLETRANSLATE(A555,""en"",""fr""))"),"")</f>
        <v/>
      </c>
    </row>
    <row r="556" spans="2:2">
      <c r="B556" s="3" t="str">
        <f ca="1">IFERROR(__xludf.DUMMYFUNCTION("IF(ISBLANK(A556),"""",GOOGLETRANSLATE(A556,""en"",""fr""))"),"")</f>
        <v/>
      </c>
    </row>
    <row r="557" spans="2:2">
      <c r="B557" s="3" t="str">
        <f ca="1">IFERROR(__xludf.DUMMYFUNCTION("IF(ISBLANK(A557),"""",GOOGLETRANSLATE(A557,""en"",""fr""))"),"")</f>
        <v/>
      </c>
    </row>
    <row r="558" spans="2:2">
      <c r="B558" s="3" t="str">
        <f ca="1">IFERROR(__xludf.DUMMYFUNCTION("IF(ISBLANK(A558),"""",GOOGLETRANSLATE(A558,""en"",""fr""))"),"")</f>
        <v/>
      </c>
    </row>
    <row r="559" spans="2:2">
      <c r="B559" s="3" t="str">
        <f ca="1">IFERROR(__xludf.DUMMYFUNCTION("IF(ISBLANK(A559),"""",GOOGLETRANSLATE(A559,""en"",""fr""))"),"")</f>
        <v/>
      </c>
    </row>
    <row r="560" spans="2:2">
      <c r="B560" s="3" t="str">
        <f ca="1">IFERROR(__xludf.DUMMYFUNCTION("IF(ISBLANK(A560),"""",GOOGLETRANSLATE(A560,""en"",""fr""))"),"")</f>
        <v/>
      </c>
    </row>
    <row r="561" spans="2:2">
      <c r="B561" s="3" t="str">
        <f ca="1">IFERROR(__xludf.DUMMYFUNCTION("IF(ISBLANK(A561),"""",GOOGLETRANSLATE(A561,""en"",""fr""))"),"")</f>
        <v/>
      </c>
    </row>
    <row r="562" spans="2:2">
      <c r="B562" s="3" t="str">
        <f ca="1">IFERROR(__xludf.DUMMYFUNCTION("IF(ISBLANK(A562),"""",GOOGLETRANSLATE(A562,""en"",""fr""))"),"")</f>
        <v/>
      </c>
    </row>
    <row r="563" spans="2:2">
      <c r="B563" s="3" t="str">
        <f ca="1">IFERROR(__xludf.DUMMYFUNCTION("IF(ISBLANK(A563),"""",GOOGLETRANSLATE(A563,""en"",""fr""))"),"")</f>
        <v/>
      </c>
    </row>
    <row r="564" spans="2:2">
      <c r="B564" s="3" t="str">
        <f ca="1">IFERROR(__xludf.DUMMYFUNCTION("IF(ISBLANK(A564),"""",GOOGLETRANSLATE(A564,""en"",""fr""))"),"")</f>
        <v/>
      </c>
    </row>
    <row r="565" spans="2:2">
      <c r="B565" s="3" t="str">
        <f ca="1">IFERROR(__xludf.DUMMYFUNCTION("IF(ISBLANK(A565),"""",GOOGLETRANSLATE(A565,""en"",""fr""))"),"")</f>
        <v/>
      </c>
    </row>
    <row r="566" spans="2:2">
      <c r="B566" s="3" t="str">
        <f ca="1">IFERROR(__xludf.DUMMYFUNCTION("IF(ISBLANK(A566),"""",GOOGLETRANSLATE(A566,""en"",""fr""))"),"")</f>
        <v/>
      </c>
    </row>
    <row r="567" spans="2:2">
      <c r="B567" s="3" t="str">
        <f ca="1">IFERROR(__xludf.DUMMYFUNCTION("IF(ISBLANK(A567),"""",GOOGLETRANSLATE(A567,""en"",""fr""))"),"")</f>
        <v/>
      </c>
    </row>
    <row r="568" spans="2:2">
      <c r="B568" s="3" t="str">
        <f ca="1">IFERROR(__xludf.DUMMYFUNCTION("IF(ISBLANK(A568),"""",GOOGLETRANSLATE(A568,""en"",""fr""))"),"")</f>
        <v/>
      </c>
    </row>
    <row r="569" spans="2:2">
      <c r="B569" s="3" t="str">
        <f ca="1">IFERROR(__xludf.DUMMYFUNCTION("IF(ISBLANK(A569),"""",GOOGLETRANSLATE(A569,""en"",""fr""))"),"")</f>
        <v/>
      </c>
    </row>
    <row r="570" spans="2:2">
      <c r="B570" s="3" t="str">
        <f ca="1">IFERROR(__xludf.DUMMYFUNCTION("IF(ISBLANK(A570),"""",GOOGLETRANSLATE(A570,""en"",""fr""))"),"")</f>
        <v/>
      </c>
    </row>
    <row r="571" spans="2:2">
      <c r="B571" s="3" t="str">
        <f ca="1">IFERROR(__xludf.DUMMYFUNCTION("IF(ISBLANK(A571),"""",GOOGLETRANSLATE(A571,""en"",""fr""))"),"")</f>
        <v/>
      </c>
    </row>
    <row r="572" spans="2:2">
      <c r="B572" s="3" t="str">
        <f ca="1">IFERROR(__xludf.DUMMYFUNCTION("IF(ISBLANK(A572),"""",GOOGLETRANSLATE(A572,""en"",""fr""))"),"")</f>
        <v/>
      </c>
    </row>
    <row r="573" spans="2:2">
      <c r="B573" s="3" t="str">
        <f ca="1">IFERROR(__xludf.DUMMYFUNCTION("IF(ISBLANK(A573),"""",GOOGLETRANSLATE(A573,""en"",""fr""))"),"")</f>
        <v/>
      </c>
    </row>
    <row r="574" spans="2:2">
      <c r="B574" s="3" t="str">
        <f ca="1">IFERROR(__xludf.DUMMYFUNCTION("IF(ISBLANK(A574),"""",GOOGLETRANSLATE(A574,""en"",""fr""))"),"")</f>
        <v/>
      </c>
    </row>
    <row r="575" spans="2:2">
      <c r="B575" s="3" t="str">
        <f ca="1">IFERROR(__xludf.DUMMYFUNCTION("IF(ISBLANK(A575),"""",GOOGLETRANSLATE(A575,""en"",""fr""))"),"")</f>
        <v/>
      </c>
    </row>
    <row r="576" spans="2:2">
      <c r="B576" s="3" t="str">
        <f ca="1">IFERROR(__xludf.DUMMYFUNCTION("IF(ISBLANK(A576),"""",GOOGLETRANSLATE(A576,""en"",""fr""))"),"")</f>
        <v/>
      </c>
    </row>
    <row r="577" spans="2:2">
      <c r="B577" s="3" t="str">
        <f ca="1">IFERROR(__xludf.DUMMYFUNCTION("IF(ISBLANK(A577),"""",GOOGLETRANSLATE(A577,""en"",""fr""))"),"")</f>
        <v/>
      </c>
    </row>
    <row r="578" spans="2:2">
      <c r="B578" s="3" t="str">
        <f ca="1">IFERROR(__xludf.DUMMYFUNCTION("IF(ISBLANK(A578),"""",GOOGLETRANSLATE(A578,""en"",""fr""))"),"")</f>
        <v/>
      </c>
    </row>
    <row r="579" spans="2:2">
      <c r="B579" s="3" t="str">
        <f ca="1">IFERROR(__xludf.DUMMYFUNCTION("IF(ISBLANK(A579),"""",GOOGLETRANSLATE(A579,""en"",""fr""))"),"")</f>
        <v/>
      </c>
    </row>
    <row r="580" spans="2:2">
      <c r="B580" s="3" t="str">
        <f ca="1">IFERROR(__xludf.DUMMYFUNCTION("IF(ISBLANK(A580),"""",GOOGLETRANSLATE(A580,""en"",""fr""))"),"")</f>
        <v/>
      </c>
    </row>
    <row r="581" spans="2:2">
      <c r="B581" s="3" t="str">
        <f ca="1">IFERROR(__xludf.DUMMYFUNCTION("IF(ISBLANK(A581),"""",GOOGLETRANSLATE(A581,""en"",""fr""))"),"")</f>
        <v/>
      </c>
    </row>
    <row r="582" spans="2:2">
      <c r="B582" s="3" t="str">
        <f ca="1">IFERROR(__xludf.DUMMYFUNCTION("IF(ISBLANK(A582),"""",GOOGLETRANSLATE(A582,""en"",""fr""))"),"")</f>
        <v/>
      </c>
    </row>
    <row r="583" spans="2:2">
      <c r="B583" s="3" t="str">
        <f ca="1">IFERROR(__xludf.DUMMYFUNCTION("IF(ISBLANK(A583),"""",GOOGLETRANSLATE(A583,""en"",""fr""))"),"")</f>
        <v/>
      </c>
    </row>
    <row r="584" spans="2:2">
      <c r="B584" s="3" t="str">
        <f ca="1">IFERROR(__xludf.DUMMYFUNCTION("IF(ISBLANK(A584),"""",GOOGLETRANSLATE(A584,""en"",""fr""))"),"")</f>
        <v/>
      </c>
    </row>
    <row r="585" spans="2:2">
      <c r="B585" s="3" t="str">
        <f ca="1">IFERROR(__xludf.DUMMYFUNCTION("IF(ISBLANK(A585),"""",GOOGLETRANSLATE(A585,""en"",""fr""))"),"")</f>
        <v/>
      </c>
    </row>
    <row r="586" spans="2:2">
      <c r="B586" s="3" t="str">
        <f ca="1">IFERROR(__xludf.DUMMYFUNCTION("IF(ISBLANK(A586),"""",GOOGLETRANSLATE(A586,""en"",""fr""))"),"")</f>
        <v/>
      </c>
    </row>
    <row r="587" spans="2:2">
      <c r="B587" s="3" t="str">
        <f ca="1">IFERROR(__xludf.DUMMYFUNCTION("IF(ISBLANK(A587),"""",GOOGLETRANSLATE(A587,""en"",""fr""))"),"")</f>
        <v/>
      </c>
    </row>
    <row r="588" spans="2:2">
      <c r="B588" s="3" t="str">
        <f ca="1">IFERROR(__xludf.DUMMYFUNCTION("IF(ISBLANK(A588),"""",GOOGLETRANSLATE(A588,""en"",""fr""))"),"")</f>
        <v/>
      </c>
    </row>
    <row r="589" spans="2:2">
      <c r="B589" s="3" t="str">
        <f ca="1">IFERROR(__xludf.DUMMYFUNCTION("IF(ISBLANK(A589),"""",GOOGLETRANSLATE(A589,""en"",""fr""))"),"")</f>
        <v/>
      </c>
    </row>
    <row r="590" spans="2:2">
      <c r="B590" s="3" t="str">
        <f ca="1">IFERROR(__xludf.DUMMYFUNCTION("IF(ISBLANK(A590),"""",GOOGLETRANSLATE(A590,""en"",""fr""))"),"")</f>
        <v/>
      </c>
    </row>
    <row r="591" spans="2:2">
      <c r="B591" s="3" t="str">
        <f ca="1">IFERROR(__xludf.DUMMYFUNCTION("IF(ISBLANK(A591),"""",GOOGLETRANSLATE(A591,""en"",""fr""))"),"")</f>
        <v/>
      </c>
    </row>
    <row r="592" spans="2:2">
      <c r="B592" s="3" t="str">
        <f ca="1">IFERROR(__xludf.DUMMYFUNCTION("IF(ISBLANK(A592),"""",GOOGLETRANSLATE(A592,""en"",""fr""))"),"")</f>
        <v/>
      </c>
    </row>
    <row r="593" spans="2:2">
      <c r="B593" s="3" t="str">
        <f ca="1">IFERROR(__xludf.DUMMYFUNCTION("IF(ISBLANK(A593),"""",GOOGLETRANSLATE(A593,""en"",""fr""))"),"")</f>
        <v/>
      </c>
    </row>
    <row r="594" spans="2:2">
      <c r="B594" s="3" t="str">
        <f ca="1">IFERROR(__xludf.DUMMYFUNCTION("IF(ISBLANK(A594),"""",GOOGLETRANSLATE(A594,""en"",""fr""))"),"")</f>
        <v/>
      </c>
    </row>
    <row r="595" spans="2:2">
      <c r="B595" s="3" t="str">
        <f ca="1">IFERROR(__xludf.DUMMYFUNCTION("IF(ISBLANK(A595),"""",GOOGLETRANSLATE(A595,""en"",""fr""))"),"")</f>
        <v/>
      </c>
    </row>
    <row r="596" spans="2:2">
      <c r="B596" s="3" t="str">
        <f ca="1">IFERROR(__xludf.DUMMYFUNCTION("IF(ISBLANK(A596),"""",GOOGLETRANSLATE(A596,""en"",""fr""))"),"")</f>
        <v/>
      </c>
    </row>
    <row r="597" spans="2:2">
      <c r="B597" s="3" t="str">
        <f ca="1">IFERROR(__xludf.DUMMYFUNCTION("IF(ISBLANK(A597),"""",GOOGLETRANSLATE(A597,""en"",""fr""))"),"")</f>
        <v/>
      </c>
    </row>
    <row r="598" spans="2:2">
      <c r="B598" s="3" t="str">
        <f ca="1">IFERROR(__xludf.DUMMYFUNCTION("IF(ISBLANK(A598),"""",GOOGLETRANSLATE(A598,""en"",""fr""))"),"")</f>
        <v/>
      </c>
    </row>
    <row r="599" spans="2:2">
      <c r="B599" s="3" t="str">
        <f ca="1">IFERROR(__xludf.DUMMYFUNCTION("IF(ISBLANK(A599),"""",GOOGLETRANSLATE(A599,""en"",""fr""))"),"")</f>
        <v/>
      </c>
    </row>
    <row r="600" spans="2:2">
      <c r="B600" s="3" t="str">
        <f ca="1">IFERROR(__xludf.DUMMYFUNCTION("IF(ISBLANK(A600),"""",GOOGLETRANSLATE(A600,""en"",""fr""))"),"")</f>
        <v/>
      </c>
    </row>
    <row r="601" spans="2:2">
      <c r="B601" s="3" t="str">
        <f ca="1">IFERROR(__xludf.DUMMYFUNCTION("IF(ISBLANK(A601),"""",GOOGLETRANSLATE(A601,""en"",""fr""))"),"")</f>
        <v/>
      </c>
    </row>
    <row r="602" spans="2:2">
      <c r="B602" s="3" t="str">
        <f ca="1">IFERROR(__xludf.DUMMYFUNCTION("IF(ISBLANK(A602),"""",GOOGLETRANSLATE(A602,""en"",""fr""))"),"")</f>
        <v/>
      </c>
    </row>
    <row r="603" spans="2:2">
      <c r="B603" s="3" t="str">
        <f ca="1">IFERROR(__xludf.DUMMYFUNCTION("IF(ISBLANK(A603),"""",GOOGLETRANSLATE(A603,""en"",""fr""))"),"")</f>
        <v/>
      </c>
    </row>
    <row r="604" spans="2:2">
      <c r="B604" s="3" t="str">
        <f ca="1">IFERROR(__xludf.DUMMYFUNCTION("IF(ISBLANK(A604),"""",GOOGLETRANSLATE(A604,""en"",""fr""))"),"")</f>
        <v/>
      </c>
    </row>
    <row r="605" spans="2:2">
      <c r="B605" s="3" t="str">
        <f ca="1">IFERROR(__xludf.DUMMYFUNCTION("IF(ISBLANK(A605),"""",GOOGLETRANSLATE(A605,""en"",""fr""))"),"")</f>
        <v/>
      </c>
    </row>
    <row r="606" spans="2:2">
      <c r="B606" s="3" t="str">
        <f ca="1">IFERROR(__xludf.DUMMYFUNCTION("IF(ISBLANK(A606),"""",GOOGLETRANSLATE(A606,""en"",""fr""))"),"")</f>
        <v/>
      </c>
    </row>
    <row r="607" spans="2:2">
      <c r="B607" s="3" t="str">
        <f ca="1">IFERROR(__xludf.DUMMYFUNCTION("IF(ISBLANK(A607),"""",GOOGLETRANSLATE(A607,""en"",""fr""))"),"")</f>
        <v/>
      </c>
    </row>
    <row r="608" spans="2:2">
      <c r="B608" s="3" t="str">
        <f ca="1">IFERROR(__xludf.DUMMYFUNCTION("IF(ISBLANK(A608),"""",GOOGLETRANSLATE(A608,""en"",""fr""))"),"")</f>
        <v/>
      </c>
    </row>
    <row r="609" spans="2:2">
      <c r="B609" s="3" t="str">
        <f ca="1">IFERROR(__xludf.DUMMYFUNCTION("IF(ISBLANK(A609),"""",GOOGLETRANSLATE(A609,""en"",""fr""))"),"")</f>
        <v/>
      </c>
    </row>
    <row r="610" spans="2:2">
      <c r="B610" s="3" t="str">
        <f ca="1">IFERROR(__xludf.DUMMYFUNCTION("IF(ISBLANK(A610),"""",GOOGLETRANSLATE(A610,""en"",""fr""))"),"")</f>
        <v/>
      </c>
    </row>
    <row r="611" spans="2:2">
      <c r="B611" s="3" t="str">
        <f ca="1">IFERROR(__xludf.DUMMYFUNCTION("IF(ISBLANK(A611),"""",GOOGLETRANSLATE(A611,""en"",""fr""))"),"")</f>
        <v/>
      </c>
    </row>
    <row r="612" spans="2:2">
      <c r="B612" s="3" t="str">
        <f ca="1">IFERROR(__xludf.DUMMYFUNCTION("IF(ISBLANK(A612),"""",GOOGLETRANSLATE(A612,""en"",""fr""))"),"")</f>
        <v/>
      </c>
    </row>
    <row r="613" spans="2:2">
      <c r="B613" s="3" t="str">
        <f ca="1">IFERROR(__xludf.DUMMYFUNCTION("IF(ISBLANK(A613),"""",GOOGLETRANSLATE(A613,""en"",""fr""))"),"")</f>
        <v/>
      </c>
    </row>
    <row r="614" spans="2:2">
      <c r="B614" s="3" t="str">
        <f ca="1">IFERROR(__xludf.DUMMYFUNCTION("IF(ISBLANK(A614),"""",GOOGLETRANSLATE(A614,""en"",""fr""))"),"")</f>
        <v/>
      </c>
    </row>
    <row r="615" spans="2:2">
      <c r="B615" s="3" t="str">
        <f ca="1">IFERROR(__xludf.DUMMYFUNCTION("IF(ISBLANK(A615),"""",GOOGLETRANSLATE(A615,""en"",""fr""))"),"")</f>
        <v/>
      </c>
    </row>
    <row r="616" spans="2:2">
      <c r="B616" s="3" t="str">
        <f ca="1">IFERROR(__xludf.DUMMYFUNCTION("IF(ISBLANK(A616),"""",GOOGLETRANSLATE(A616,""en"",""fr""))"),"")</f>
        <v/>
      </c>
    </row>
    <row r="617" spans="2:2">
      <c r="B617" s="3" t="str">
        <f ca="1">IFERROR(__xludf.DUMMYFUNCTION("IF(ISBLANK(A617),"""",GOOGLETRANSLATE(A617,""en"",""fr""))"),"")</f>
        <v/>
      </c>
    </row>
    <row r="618" spans="2:2">
      <c r="B618" s="3" t="str">
        <f ca="1">IFERROR(__xludf.DUMMYFUNCTION("IF(ISBLANK(A618),"""",GOOGLETRANSLATE(A618,""en"",""fr""))"),"")</f>
        <v/>
      </c>
    </row>
    <row r="619" spans="2:2">
      <c r="B619" s="3" t="str">
        <f ca="1">IFERROR(__xludf.DUMMYFUNCTION("IF(ISBLANK(A619),"""",GOOGLETRANSLATE(A619,""en"",""fr""))"),"")</f>
        <v/>
      </c>
    </row>
    <row r="620" spans="2:2">
      <c r="B620" s="3" t="str">
        <f ca="1">IFERROR(__xludf.DUMMYFUNCTION("IF(ISBLANK(A620),"""",GOOGLETRANSLATE(A620,""en"",""fr""))"),"")</f>
        <v/>
      </c>
    </row>
    <row r="621" spans="2:2">
      <c r="B621" s="3" t="str">
        <f ca="1">IFERROR(__xludf.DUMMYFUNCTION("IF(ISBLANK(A621),"""",GOOGLETRANSLATE(A621,""en"",""fr""))"),"")</f>
        <v/>
      </c>
    </row>
    <row r="622" spans="2:2">
      <c r="B622" s="3" t="str">
        <f ca="1">IFERROR(__xludf.DUMMYFUNCTION("IF(ISBLANK(A622),"""",GOOGLETRANSLATE(A622,""en"",""fr""))"),"")</f>
        <v/>
      </c>
    </row>
    <row r="623" spans="2:2">
      <c r="B623" s="3" t="str">
        <f ca="1">IFERROR(__xludf.DUMMYFUNCTION("IF(ISBLANK(A623),"""",GOOGLETRANSLATE(A623,""en"",""fr""))"),"")</f>
        <v/>
      </c>
    </row>
    <row r="624" spans="2:2">
      <c r="B624" s="3" t="str">
        <f ca="1">IFERROR(__xludf.DUMMYFUNCTION("IF(ISBLANK(A624),"""",GOOGLETRANSLATE(A624,""en"",""fr""))"),"")</f>
        <v/>
      </c>
    </row>
    <row r="625" spans="2:2">
      <c r="B625" s="3" t="str">
        <f ca="1">IFERROR(__xludf.DUMMYFUNCTION("IF(ISBLANK(A625),"""",GOOGLETRANSLATE(A625,""en"",""fr""))"),"")</f>
        <v/>
      </c>
    </row>
    <row r="626" spans="2:2">
      <c r="B626" s="3" t="str">
        <f ca="1">IFERROR(__xludf.DUMMYFUNCTION("IF(ISBLANK(A626),"""",GOOGLETRANSLATE(A626,""en"",""fr""))"),"")</f>
        <v/>
      </c>
    </row>
    <row r="627" spans="2:2">
      <c r="B627" s="3" t="str">
        <f ca="1">IFERROR(__xludf.DUMMYFUNCTION("IF(ISBLANK(A627),"""",GOOGLETRANSLATE(A627,""en"",""fr""))"),"")</f>
        <v/>
      </c>
    </row>
    <row r="628" spans="2:2">
      <c r="B628" s="3" t="str">
        <f ca="1">IFERROR(__xludf.DUMMYFUNCTION("IF(ISBLANK(A628),"""",GOOGLETRANSLATE(A628,""en"",""fr""))"),"")</f>
        <v/>
      </c>
    </row>
    <row r="629" spans="2:2">
      <c r="B629" s="3" t="str">
        <f ca="1">IFERROR(__xludf.DUMMYFUNCTION("IF(ISBLANK(A629),"""",GOOGLETRANSLATE(A629,""en"",""fr""))"),"")</f>
        <v/>
      </c>
    </row>
    <row r="630" spans="2:2">
      <c r="B630" s="3" t="str">
        <f ca="1">IFERROR(__xludf.DUMMYFUNCTION("IF(ISBLANK(A630),"""",GOOGLETRANSLATE(A630,""en"",""fr""))"),"")</f>
        <v/>
      </c>
    </row>
    <row r="631" spans="2:2">
      <c r="B631" s="3" t="str">
        <f ca="1">IFERROR(__xludf.DUMMYFUNCTION("IF(ISBLANK(A631),"""",GOOGLETRANSLATE(A631,""en"",""fr""))"),"")</f>
        <v/>
      </c>
    </row>
    <row r="632" spans="2:2">
      <c r="B632" s="3" t="str">
        <f ca="1">IFERROR(__xludf.DUMMYFUNCTION("IF(ISBLANK(A632),"""",GOOGLETRANSLATE(A632,""en"",""fr""))"),"")</f>
        <v/>
      </c>
    </row>
    <row r="633" spans="2:2">
      <c r="B633" s="3" t="str">
        <f ca="1">IFERROR(__xludf.DUMMYFUNCTION("IF(ISBLANK(A633),"""",GOOGLETRANSLATE(A633,""en"",""fr""))"),"")</f>
        <v/>
      </c>
    </row>
    <row r="634" spans="2:2">
      <c r="B634" s="3" t="str">
        <f ca="1">IFERROR(__xludf.DUMMYFUNCTION("IF(ISBLANK(A634),"""",GOOGLETRANSLATE(A634,""en"",""fr""))"),"")</f>
        <v/>
      </c>
    </row>
    <row r="635" spans="2:2">
      <c r="B635" s="3" t="str">
        <f ca="1">IFERROR(__xludf.DUMMYFUNCTION("IF(ISBLANK(A635),"""",GOOGLETRANSLATE(A635,""en"",""fr""))"),"")</f>
        <v/>
      </c>
    </row>
    <row r="636" spans="2:2">
      <c r="B636" s="3" t="str">
        <f ca="1">IFERROR(__xludf.DUMMYFUNCTION("IF(ISBLANK(A636),"""",GOOGLETRANSLATE(A636,""en"",""fr""))"),"")</f>
        <v/>
      </c>
    </row>
    <row r="637" spans="2:2">
      <c r="B637" s="3" t="str">
        <f ca="1">IFERROR(__xludf.DUMMYFUNCTION("IF(ISBLANK(A637),"""",GOOGLETRANSLATE(A637,""en"",""fr""))"),"")</f>
        <v/>
      </c>
    </row>
    <row r="638" spans="2:2">
      <c r="B638" s="3" t="str">
        <f ca="1">IFERROR(__xludf.DUMMYFUNCTION("IF(ISBLANK(A638),"""",GOOGLETRANSLATE(A638,""en"",""fr""))"),"")</f>
        <v/>
      </c>
    </row>
    <row r="639" spans="2:2">
      <c r="B639" s="3" t="str">
        <f ca="1">IFERROR(__xludf.DUMMYFUNCTION("IF(ISBLANK(A639),"""",GOOGLETRANSLATE(A639,""en"",""fr""))"),"")</f>
        <v/>
      </c>
    </row>
    <row r="640" spans="2:2">
      <c r="B640" s="3" t="str">
        <f ca="1">IFERROR(__xludf.DUMMYFUNCTION("IF(ISBLANK(A640),"""",GOOGLETRANSLATE(A640,""en"",""fr""))"),"")</f>
        <v/>
      </c>
    </row>
    <row r="641" spans="2:2">
      <c r="B641" s="3" t="str">
        <f ca="1">IFERROR(__xludf.DUMMYFUNCTION("IF(ISBLANK(A641),"""",GOOGLETRANSLATE(A641,""en"",""fr""))"),"")</f>
        <v/>
      </c>
    </row>
    <row r="642" spans="2:2">
      <c r="B642" s="3" t="str">
        <f ca="1">IFERROR(__xludf.DUMMYFUNCTION("IF(ISBLANK(A642),"""",GOOGLETRANSLATE(A642,""en"",""fr""))"),"")</f>
        <v/>
      </c>
    </row>
    <row r="643" spans="2:2">
      <c r="B643" s="3" t="str">
        <f ca="1">IFERROR(__xludf.DUMMYFUNCTION("IF(ISBLANK(A643),"""",GOOGLETRANSLATE(A643,""en"",""fr""))"),"")</f>
        <v/>
      </c>
    </row>
    <row r="644" spans="2:2">
      <c r="B644" s="3" t="str">
        <f ca="1">IFERROR(__xludf.DUMMYFUNCTION("IF(ISBLANK(A644),"""",GOOGLETRANSLATE(A644,""en"",""fr""))"),"")</f>
        <v/>
      </c>
    </row>
    <row r="645" spans="2:2">
      <c r="B645" s="3" t="str">
        <f ca="1">IFERROR(__xludf.DUMMYFUNCTION("IF(ISBLANK(A645),"""",GOOGLETRANSLATE(A645,""en"",""fr""))"),"")</f>
        <v/>
      </c>
    </row>
    <row r="646" spans="2:2">
      <c r="B646" s="3" t="str">
        <f ca="1">IFERROR(__xludf.DUMMYFUNCTION("IF(ISBLANK(A646),"""",GOOGLETRANSLATE(A646,""en"",""fr""))"),"")</f>
        <v/>
      </c>
    </row>
    <row r="647" spans="2:2">
      <c r="B647" s="3" t="str">
        <f ca="1">IFERROR(__xludf.DUMMYFUNCTION("IF(ISBLANK(A647),"""",GOOGLETRANSLATE(A647,""en"",""fr""))"),"")</f>
        <v/>
      </c>
    </row>
    <row r="648" spans="2:2">
      <c r="B648" s="3" t="str">
        <f ca="1">IFERROR(__xludf.DUMMYFUNCTION("IF(ISBLANK(A648),"""",GOOGLETRANSLATE(A648,""en"",""fr""))"),"")</f>
        <v/>
      </c>
    </row>
    <row r="649" spans="2:2">
      <c r="B649" s="3" t="str">
        <f ca="1">IFERROR(__xludf.DUMMYFUNCTION("IF(ISBLANK(A649),"""",GOOGLETRANSLATE(A649,""en"",""fr""))"),"")</f>
        <v/>
      </c>
    </row>
    <row r="650" spans="2:2">
      <c r="B650" s="3" t="str">
        <f ca="1">IFERROR(__xludf.DUMMYFUNCTION("IF(ISBLANK(A650),"""",GOOGLETRANSLATE(A650,""en"",""fr""))"),"")</f>
        <v/>
      </c>
    </row>
    <row r="651" spans="2:2">
      <c r="B651" s="3" t="str">
        <f ca="1">IFERROR(__xludf.DUMMYFUNCTION("IF(ISBLANK(A651),"""",GOOGLETRANSLATE(A651,""en"",""fr""))"),"")</f>
        <v/>
      </c>
    </row>
    <row r="652" spans="2:2">
      <c r="B652" s="3" t="str">
        <f ca="1">IFERROR(__xludf.DUMMYFUNCTION("IF(ISBLANK(A652),"""",GOOGLETRANSLATE(A652,""en"",""fr""))"),"")</f>
        <v/>
      </c>
    </row>
    <row r="653" spans="2:2">
      <c r="B653" s="3" t="str">
        <f ca="1">IFERROR(__xludf.DUMMYFUNCTION("IF(ISBLANK(A653),"""",GOOGLETRANSLATE(A653,""en"",""fr""))"),"")</f>
        <v/>
      </c>
    </row>
    <row r="654" spans="2:2">
      <c r="B654" s="3" t="str">
        <f ca="1">IFERROR(__xludf.DUMMYFUNCTION("IF(ISBLANK(A654),"""",GOOGLETRANSLATE(A654,""en"",""fr""))"),"")</f>
        <v/>
      </c>
    </row>
    <row r="655" spans="2:2">
      <c r="B655" s="3" t="str">
        <f ca="1">IFERROR(__xludf.DUMMYFUNCTION("IF(ISBLANK(A655),"""",GOOGLETRANSLATE(A655,""en"",""fr""))"),"")</f>
        <v/>
      </c>
    </row>
    <row r="656" spans="2:2">
      <c r="B656" s="3" t="str">
        <f ca="1">IFERROR(__xludf.DUMMYFUNCTION("IF(ISBLANK(A656),"""",GOOGLETRANSLATE(A656,""en"",""fr""))"),"")</f>
        <v/>
      </c>
    </row>
    <row r="657" spans="2:2">
      <c r="B657" s="3" t="str">
        <f ca="1">IFERROR(__xludf.DUMMYFUNCTION("IF(ISBLANK(A657),"""",GOOGLETRANSLATE(A657,""en"",""fr""))"),"")</f>
        <v/>
      </c>
    </row>
    <row r="658" spans="2:2">
      <c r="B658" s="3" t="str">
        <f ca="1">IFERROR(__xludf.DUMMYFUNCTION("IF(ISBLANK(A658),"""",GOOGLETRANSLATE(A658,""en"",""fr""))"),"")</f>
        <v/>
      </c>
    </row>
    <row r="659" spans="2:2">
      <c r="B659" s="3" t="str">
        <f ca="1">IFERROR(__xludf.DUMMYFUNCTION("IF(ISBLANK(A659),"""",GOOGLETRANSLATE(A659,""en"",""fr""))"),"")</f>
        <v/>
      </c>
    </row>
    <row r="660" spans="2:2">
      <c r="B660" s="3" t="str">
        <f ca="1">IFERROR(__xludf.DUMMYFUNCTION("IF(ISBLANK(A660),"""",GOOGLETRANSLATE(A660,""en"",""fr""))"),"")</f>
        <v/>
      </c>
    </row>
    <row r="661" spans="2:2">
      <c r="B661" s="3" t="str">
        <f ca="1">IFERROR(__xludf.DUMMYFUNCTION("IF(ISBLANK(A661),"""",GOOGLETRANSLATE(A661,""en"",""fr""))"),"")</f>
        <v/>
      </c>
    </row>
    <row r="662" spans="2:2">
      <c r="B662" s="3" t="str">
        <f ca="1">IFERROR(__xludf.DUMMYFUNCTION("IF(ISBLANK(A662),"""",GOOGLETRANSLATE(A662,""en"",""fr""))"),"")</f>
        <v/>
      </c>
    </row>
    <row r="663" spans="2:2">
      <c r="B663" s="3" t="str">
        <f ca="1">IFERROR(__xludf.DUMMYFUNCTION("IF(ISBLANK(A663),"""",GOOGLETRANSLATE(A663,""en"",""fr""))"),"")</f>
        <v/>
      </c>
    </row>
    <row r="664" spans="2:2">
      <c r="B664" s="3" t="str">
        <f ca="1">IFERROR(__xludf.DUMMYFUNCTION("IF(ISBLANK(A664),"""",GOOGLETRANSLATE(A664,""en"",""fr""))"),"")</f>
        <v/>
      </c>
    </row>
    <row r="665" spans="2:2">
      <c r="B665" s="3" t="str">
        <f ca="1">IFERROR(__xludf.DUMMYFUNCTION("IF(ISBLANK(A665),"""",GOOGLETRANSLATE(A665,""en"",""fr""))"),"")</f>
        <v/>
      </c>
    </row>
    <row r="666" spans="2:2">
      <c r="B666" s="3" t="str">
        <f ca="1">IFERROR(__xludf.DUMMYFUNCTION("IF(ISBLANK(A666),"""",GOOGLETRANSLATE(A666,""en"",""fr""))"),"")</f>
        <v/>
      </c>
    </row>
    <row r="667" spans="2:2">
      <c r="B667" s="3" t="str">
        <f ca="1">IFERROR(__xludf.DUMMYFUNCTION("IF(ISBLANK(A667),"""",GOOGLETRANSLATE(A667,""en"",""fr""))"),"")</f>
        <v/>
      </c>
    </row>
    <row r="668" spans="2:2">
      <c r="B668" s="3" t="str">
        <f ca="1">IFERROR(__xludf.DUMMYFUNCTION("IF(ISBLANK(A668),"""",GOOGLETRANSLATE(A668,""en"",""fr""))"),"")</f>
        <v/>
      </c>
    </row>
    <row r="669" spans="2:2">
      <c r="B669" s="3" t="str">
        <f ca="1">IFERROR(__xludf.DUMMYFUNCTION("IF(ISBLANK(A669),"""",GOOGLETRANSLATE(A669,""en"",""fr""))"),"")</f>
        <v/>
      </c>
    </row>
    <row r="670" spans="2:2">
      <c r="B670" s="3" t="str">
        <f ca="1">IFERROR(__xludf.DUMMYFUNCTION("IF(ISBLANK(A670),"""",GOOGLETRANSLATE(A670,""en"",""fr""))"),"")</f>
        <v/>
      </c>
    </row>
    <row r="671" spans="2:2">
      <c r="B671" s="3" t="str">
        <f ca="1">IFERROR(__xludf.DUMMYFUNCTION("IF(ISBLANK(A671),"""",GOOGLETRANSLATE(A671,""en"",""fr""))"),"")</f>
        <v/>
      </c>
    </row>
    <row r="672" spans="2:2">
      <c r="B672" s="3" t="str">
        <f ca="1">IFERROR(__xludf.DUMMYFUNCTION("IF(ISBLANK(A672),"""",GOOGLETRANSLATE(A672,""en"",""fr""))"),"")</f>
        <v/>
      </c>
    </row>
    <row r="673" spans="2:2">
      <c r="B673" s="3" t="str">
        <f ca="1">IFERROR(__xludf.DUMMYFUNCTION("IF(ISBLANK(A673),"""",GOOGLETRANSLATE(A673,""en"",""fr""))"),"")</f>
        <v/>
      </c>
    </row>
    <row r="674" spans="2:2">
      <c r="B674" s="3" t="str">
        <f ca="1">IFERROR(__xludf.DUMMYFUNCTION("IF(ISBLANK(A674),"""",GOOGLETRANSLATE(A674,""en"",""fr""))"),"")</f>
        <v/>
      </c>
    </row>
    <row r="675" spans="2:2">
      <c r="B675" s="3" t="str">
        <f ca="1">IFERROR(__xludf.DUMMYFUNCTION("IF(ISBLANK(A675),"""",GOOGLETRANSLATE(A675,""en"",""fr""))"),"")</f>
        <v/>
      </c>
    </row>
    <row r="676" spans="2:2">
      <c r="B676" s="3" t="str">
        <f ca="1">IFERROR(__xludf.DUMMYFUNCTION("IF(ISBLANK(A676),"""",GOOGLETRANSLATE(A676,""en"",""fr""))"),"")</f>
        <v/>
      </c>
    </row>
    <row r="677" spans="2:2">
      <c r="B677" s="3" t="str">
        <f ca="1">IFERROR(__xludf.DUMMYFUNCTION("IF(ISBLANK(A677),"""",GOOGLETRANSLATE(A677,""en"",""fr""))"),"")</f>
        <v/>
      </c>
    </row>
    <row r="678" spans="2:2">
      <c r="B678" s="3" t="str">
        <f ca="1">IFERROR(__xludf.DUMMYFUNCTION("IF(ISBLANK(A678),"""",GOOGLETRANSLATE(A678,""en"",""fr""))"),"")</f>
        <v/>
      </c>
    </row>
    <row r="679" spans="2:2">
      <c r="B679" s="3" t="str">
        <f ca="1">IFERROR(__xludf.DUMMYFUNCTION("IF(ISBLANK(A679),"""",GOOGLETRANSLATE(A679,""en"",""fr""))"),"")</f>
        <v/>
      </c>
    </row>
    <row r="680" spans="2:2">
      <c r="B680" s="3" t="str">
        <f ca="1">IFERROR(__xludf.DUMMYFUNCTION("IF(ISBLANK(A680),"""",GOOGLETRANSLATE(A680,""en"",""fr""))"),"")</f>
        <v/>
      </c>
    </row>
    <row r="681" spans="2:2">
      <c r="B681" s="3" t="str">
        <f ca="1">IFERROR(__xludf.DUMMYFUNCTION("IF(ISBLANK(A681),"""",GOOGLETRANSLATE(A681,""en"",""fr""))"),"")</f>
        <v/>
      </c>
    </row>
    <row r="682" spans="2:2">
      <c r="B682" s="3" t="str">
        <f ca="1">IFERROR(__xludf.DUMMYFUNCTION("IF(ISBLANK(A682),"""",GOOGLETRANSLATE(A682,""en"",""fr""))"),"")</f>
        <v/>
      </c>
    </row>
    <row r="683" spans="2:2">
      <c r="B683" s="3" t="str">
        <f ca="1">IFERROR(__xludf.DUMMYFUNCTION("IF(ISBLANK(A683),"""",GOOGLETRANSLATE(A683,""en"",""fr""))"),"")</f>
        <v/>
      </c>
    </row>
    <row r="684" spans="2:2">
      <c r="B684" s="3" t="str">
        <f ca="1">IFERROR(__xludf.DUMMYFUNCTION("IF(ISBLANK(A684),"""",GOOGLETRANSLATE(A684,""en"",""fr""))"),"")</f>
        <v/>
      </c>
    </row>
    <row r="685" spans="2:2">
      <c r="B685" s="3" t="str">
        <f ca="1">IFERROR(__xludf.DUMMYFUNCTION("IF(ISBLANK(A685),"""",GOOGLETRANSLATE(A685,""en"",""fr""))"),"")</f>
        <v/>
      </c>
    </row>
    <row r="686" spans="2:2">
      <c r="B686" s="3" t="str">
        <f ca="1">IFERROR(__xludf.DUMMYFUNCTION("IF(ISBLANK(A686),"""",GOOGLETRANSLATE(A686,""en"",""fr""))"),"")</f>
        <v/>
      </c>
    </row>
    <row r="687" spans="2:2">
      <c r="B687" s="3" t="str">
        <f ca="1">IFERROR(__xludf.DUMMYFUNCTION("IF(ISBLANK(A687),"""",GOOGLETRANSLATE(A687,""en"",""fr""))"),"")</f>
        <v/>
      </c>
    </row>
    <row r="688" spans="2:2">
      <c r="B688" s="3" t="str">
        <f ca="1">IFERROR(__xludf.DUMMYFUNCTION("IF(ISBLANK(A688),"""",GOOGLETRANSLATE(A688,""en"",""fr""))"),"")</f>
        <v/>
      </c>
    </row>
    <row r="689" spans="2:2">
      <c r="B689" s="3" t="str">
        <f ca="1">IFERROR(__xludf.DUMMYFUNCTION("IF(ISBLANK(A689),"""",GOOGLETRANSLATE(A689,""en"",""fr""))"),"")</f>
        <v/>
      </c>
    </row>
    <row r="690" spans="2:2">
      <c r="B690" s="3" t="str">
        <f ca="1">IFERROR(__xludf.DUMMYFUNCTION("IF(ISBLANK(A690),"""",GOOGLETRANSLATE(A690,""en"",""fr""))"),"")</f>
        <v/>
      </c>
    </row>
    <row r="691" spans="2:2">
      <c r="B691" s="3" t="str">
        <f ca="1">IFERROR(__xludf.DUMMYFUNCTION("IF(ISBLANK(A691),"""",GOOGLETRANSLATE(A691,""en"",""fr""))"),"")</f>
        <v/>
      </c>
    </row>
    <row r="692" spans="2:2">
      <c r="B692" s="3" t="str">
        <f ca="1">IFERROR(__xludf.DUMMYFUNCTION("IF(ISBLANK(A692),"""",GOOGLETRANSLATE(A692,""en"",""fr""))"),"")</f>
        <v/>
      </c>
    </row>
    <row r="693" spans="2:2">
      <c r="B693" s="3" t="str">
        <f ca="1">IFERROR(__xludf.DUMMYFUNCTION("IF(ISBLANK(A693),"""",GOOGLETRANSLATE(A693,""en"",""fr""))"),"")</f>
        <v/>
      </c>
    </row>
    <row r="694" spans="2:2">
      <c r="B694" s="3" t="str">
        <f ca="1">IFERROR(__xludf.DUMMYFUNCTION("IF(ISBLANK(A694),"""",GOOGLETRANSLATE(A694,""en"",""fr""))"),"")</f>
        <v/>
      </c>
    </row>
    <row r="695" spans="2:2">
      <c r="B695" s="3" t="str">
        <f ca="1">IFERROR(__xludf.DUMMYFUNCTION("IF(ISBLANK(A695),"""",GOOGLETRANSLATE(A695,""en"",""fr""))"),"")</f>
        <v/>
      </c>
    </row>
    <row r="696" spans="2:2">
      <c r="B696" s="3" t="str">
        <f ca="1">IFERROR(__xludf.DUMMYFUNCTION("IF(ISBLANK(A696),"""",GOOGLETRANSLATE(A696,""en"",""fr""))"),"")</f>
        <v/>
      </c>
    </row>
    <row r="697" spans="2:2">
      <c r="B697" s="3" t="str">
        <f ca="1">IFERROR(__xludf.DUMMYFUNCTION("IF(ISBLANK(A697),"""",GOOGLETRANSLATE(A697,""en"",""fr""))"),"")</f>
        <v/>
      </c>
    </row>
    <row r="698" spans="2:2">
      <c r="B698" s="3" t="str">
        <f ca="1">IFERROR(__xludf.DUMMYFUNCTION("IF(ISBLANK(A698),"""",GOOGLETRANSLATE(A698,""en"",""fr""))"),"")</f>
        <v/>
      </c>
    </row>
    <row r="699" spans="2:2">
      <c r="B699" s="3" t="str">
        <f ca="1">IFERROR(__xludf.DUMMYFUNCTION("IF(ISBLANK(A699),"""",GOOGLETRANSLATE(A699,""en"",""fr""))"),"")</f>
        <v/>
      </c>
    </row>
    <row r="700" spans="2:2">
      <c r="B700" s="3" t="str">
        <f ca="1">IFERROR(__xludf.DUMMYFUNCTION("IF(ISBLANK(A700),"""",GOOGLETRANSLATE(A700,""en"",""fr""))"),"")</f>
        <v/>
      </c>
    </row>
    <row r="701" spans="2:2">
      <c r="B701" s="3" t="str">
        <f ca="1">IFERROR(__xludf.DUMMYFUNCTION("IF(ISBLANK(A701),"""",GOOGLETRANSLATE(A701,""en"",""fr""))"),"")</f>
        <v/>
      </c>
    </row>
    <row r="702" spans="2:2">
      <c r="B702" s="3" t="str">
        <f ca="1">IFERROR(__xludf.DUMMYFUNCTION("IF(ISBLANK(A702),"""",GOOGLETRANSLATE(A702,""en"",""fr""))"),"")</f>
        <v/>
      </c>
    </row>
    <row r="703" spans="2:2">
      <c r="B703" s="3" t="str">
        <f ca="1">IFERROR(__xludf.DUMMYFUNCTION("IF(ISBLANK(A703),"""",GOOGLETRANSLATE(A703,""en"",""fr""))"),"")</f>
        <v/>
      </c>
    </row>
    <row r="704" spans="2:2">
      <c r="B704" s="3" t="str">
        <f ca="1">IFERROR(__xludf.DUMMYFUNCTION("IF(ISBLANK(A704),"""",GOOGLETRANSLATE(A704,""en"",""fr""))"),"")</f>
        <v/>
      </c>
    </row>
    <row r="705" spans="2:2">
      <c r="B705" s="3" t="str">
        <f ca="1">IFERROR(__xludf.DUMMYFUNCTION("IF(ISBLANK(A705),"""",GOOGLETRANSLATE(A705,""en"",""fr""))"),"")</f>
        <v/>
      </c>
    </row>
    <row r="706" spans="2:2">
      <c r="B706" s="3" t="str">
        <f ca="1">IFERROR(__xludf.DUMMYFUNCTION("IF(ISBLANK(A706),"""",GOOGLETRANSLATE(A706,""en"",""fr""))"),"")</f>
        <v/>
      </c>
    </row>
    <row r="707" spans="2:2">
      <c r="B707" s="3" t="str">
        <f ca="1">IFERROR(__xludf.DUMMYFUNCTION("IF(ISBLANK(A707),"""",GOOGLETRANSLATE(A707,""en"",""fr""))"),"")</f>
        <v/>
      </c>
    </row>
    <row r="708" spans="2:2">
      <c r="B708" s="3" t="str">
        <f ca="1">IFERROR(__xludf.DUMMYFUNCTION("IF(ISBLANK(A708),"""",GOOGLETRANSLATE(A708,""en"",""fr""))"),"")</f>
        <v/>
      </c>
    </row>
    <row r="709" spans="2:2">
      <c r="B709" s="3" t="str">
        <f ca="1">IFERROR(__xludf.DUMMYFUNCTION("IF(ISBLANK(A709),"""",GOOGLETRANSLATE(A709,""en"",""fr""))"),"")</f>
        <v/>
      </c>
    </row>
    <row r="710" spans="2:2">
      <c r="B710" s="3" t="str">
        <f ca="1">IFERROR(__xludf.DUMMYFUNCTION("IF(ISBLANK(A710),"""",GOOGLETRANSLATE(A710,""en"",""fr""))"),"")</f>
        <v/>
      </c>
    </row>
    <row r="711" spans="2:2">
      <c r="B711" s="3" t="str">
        <f ca="1">IFERROR(__xludf.DUMMYFUNCTION("IF(ISBLANK(A711),"""",GOOGLETRANSLATE(A711,""en"",""fr""))"),"")</f>
        <v/>
      </c>
    </row>
    <row r="712" spans="2:2">
      <c r="B712" s="3" t="str">
        <f ca="1">IFERROR(__xludf.DUMMYFUNCTION("IF(ISBLANK(A712),"""",GOOGLETRANSLATE(A712,""en"",""fr""))"),"")</f>
        <v/>
      </c>
    </row>
    <row r="713" spans="2:2">
      <c r="B713" s="3" t="str">
        <f ca="1">IFERROR(__xludf.DUMMYFUNCTION("IF(ISBLANK(A713),"""",GOOGLETRANSLATE(A713,""en"",""fr""))"),"")</f>
        <v/>
      </c>
    </row>
    <row r="714" spans="2:2">
      <c r="B714" s="3" t="str">
        <f ca="1">IFERROR(__xludf.DUMMYFUNCTION("IF(ISBLANK(A714),"""",GOOGLETRANSLATE(A714,""en"",""fr""))"),"")</f>
        <v/>
      </c>
    </row>
    <row r="715" spans="2:2">
      <c r="B715" s="3" t="str">
        <f ca="1">IFERROR(__xludf.DUMMYFUNCTION("IF(ISBLANK(A715),"""",GOOGLETRANSLATE(A715,""en"",""fr""))"),"")</f>
        <v/>
      </c>
    </row>
    <row r="716" spans="2:2">
      <c r="B716" s="3" t="str">
        <f ca="1">IFERROR(__xludf.DUMMYFUNCTION("IF(ISBLANK(A716),"""",GOOGLETRANSLATE(A716,""en"",""fr""))"),"")</f>
        <v/>
      </c>
    </row>
    <row r="717" spans="2:2">
      <c r="B717" s="3" t="str">
        <f ca="1">IFERROR(__xludf.DUMMYFUNCTION("IF(ISBLANK(A717),"""",GOOGLETRANSLATE(A717,""en"",""fr""))"),"")</f>
        <v/>
      </c>
    </row>
    <row r="718" spans="2:2">
      <c r="B718" s="3" t="str">
        <f ca="1">IFERROR(__xludf.DUMMYFUNCTION("IF(ISBLANK(A718),"""",GOOGLETRANSLATE(A718,""en"",""fr""))"),"")</f>
        <v/>
      </c>
    </row>
    <row r="719" spans="2:2">
      <c r="B719" s="3" t="str">
        <f ca="1">IFERROR(__xludf.DUMMYFUNCTION("IF(ISBLANK(A719),"""",GOOGLETRANSLATE(A719,""en"",""fr""))"),"")</f>
        <v/>
      </c>
    </row>
    <row r="720" spans="2:2">
      <c r="B720" s="3" t="str">
        <f ca="1">IFERROR(__xludf.DUMMYFUNCTION("IF(ISBLANK(A720),"""",GOOGLETRANSLATE(A720,""en"",""fr""))"),"")</f>
        <v/>
      </c>
    </row>
    <row r="721" spans="2:2">
      <c r="B721" s="3" t="str">
        <f ca="1">IFERROR(__xludf.DUMMYFUNCTION("IF(ISBLANK(A721),"""",GOOGLETRANSLATE(A721,""en"",""fr""))"),"")</f>
        <v/>
      </c>
    </row>
    <row r="722" spans="2:2">
      <c r="B722" s="3" t="str">
        <f ca="1">IFERROR(__xludf.DUMMYFUNCTION("IF(ISBLANK(A722),"""",GOOGLETRANSLATE(A722,""en"",""fr""))"),"")</f>
        <v/>
      </c>
    </row>
    <row r="723" spans="2:2">
      <c r="B723" s="3" t="str">
        <f ca="1">IFERROR(__xludf.DUMMYFUNCTION("IF(ISBLANK(A723),"""",GOOGLETRANSLATE(A723,""en"",""fr""))"),"")</f>
        <v/>
      </c>
    </row>
    <row r="724" spans="2:2">
      <c r="B724" s="3" t="str">
        <f ca="1">IFERROR(__xludf.DUMMYFUNCTION("IF(ISBLANK(A724),"""",GOOGLETRANSLATE(A724,""en"",""fr""))"),"")</f>
        <v/>
      </c>
    </row>
    <row r="725" spans="2:2">
      <c r="B725" s="3" t="str">
        <f ca="1">IFERROR(__xludf.DUMMYFUNCTION("IF(ISBLANK(A725),"""",GOOGLETRANSLATE(A725,""en"",""fr""))"),"")</f>
        <v/>
      </c>
    </row>
    <row r="726" spans="2:2">
      <c r="B726" s="3" t="str">
        <f ca="1">IFERROR(__xludf.DUMMYFUNCTION("IF(ISBLANK(A726),"""",GOOGLETRANSLATE(A726,""en"",""fr""))"),"")</f>
        <v/>
      </c>
    </row>
    <row r="727" spans="2:2">
      <c r="B727" s="3" t="str">
        <f ca="1">IFERROR(__xludf.DUMMYFUNCTION("IF(ISBLANK(A727),"""",GOOGLETRANSLATE(A727,""en"",""fr""))"),"")</f>
        <v/>
      </c>
    </row>
    <row r="728" spans="2:2">
      <c r="B728" s="3" t="str">
        <f ca="1">IFERROR(__xludf.DUMMYFUNCTION("IF(ISBLANK(A728),"""",GOOGLETRANSLATE(A728,""en"",""fr""))"),"")</f>
        <v/>
      </c>
    </row>
    <row r="729" spans="2:2">
      <c r="B729" s="3" t="str">
        <f ca="1">IFERROR(__xludf.DUMMYFUNCTION("IF(ISBLANK(A729),"""",GOOGLETRANSLATE(A729,""en"",""fr""))"),"")</f>
        <v/>
      </c>
    </row>
    <row r="730" spans="2:2">
      <c r="B730" s="3" t="str">
        <f ca="1">IFERROR(__xludf.DUMMYFUNCTION("IF(ISBLANK(A730),"""",GOOGLETRANSLATE(A730,""en"",""fr""))"),"")</f>
        <v/>
      </c>
    </row>
    <row r="731" spans="2:2">
      <c r="B731" s="3" t="str">
        <f ca="1">IFERROR(__xludf.DUMMYFUNCTION("IF(ISBLANK(A731),"""",GOOGLETRANSLATE(A731,""en"",""fr""))"),"")</f>
        <v/>
      </c>
    </row>
    <row r="732" spans="2:2">
      <c r="B732" s="3" t="str">
        <f ca="1">IFERROR(__xludf.DUMMYFUNCTION("IF(ISBLANK(A732),"""",GOOGLETRANSLATE(A732,""en"",""fr""))"),"")</f>
        <v/>
      </c>
    </row>
    <row r="733" spans="2:2">
      <c r="B733" s="3" t="str">
        <f ca="1">IFERROR(__xludf.DUMMYFUNCTION("IF(ISBLANK(A733),"""",GOOGLETRANSLATE(A733,""en"",""fr""))"),"")</f>
        <v/>
      </c>
    </row>
    <row r="734" spans="2:2">
      <c r="B734" s="3" t="str">
        <f ca="1">IFERROR(__xludf.DUMMYFUNCTION("IF(ISBLANK(A734),"""",GOOGLETRANSLATE(A734,""en"",""fr""))"),"")</f>
        <v/>
      </c>
    </row>
    <row r="735" spans="2:2">
      <c r="B735" s="3" t="str">
        <f ca="1">IFERROR(__xludf.DUMMYFUNCTION("IF(ISBLANK(A735),"""",GOOGLETRANSLATE(A735,""en"",""fr""))"),"")</f>
        <v/>
      </c>
    </row>
    <row r="736" spans="2:2">
      <c r="B736" s="3" t="str">
        <f ca="1">IFERROR(__xludf.DUMMYFUNCTION("IF(ISBLANK(A736),"""",GOOGLETRANSLATE(A736,""en"",""fr""))"),"")</f>
        <v/>
      </c>
    </row>
    <row r="737" spans="2:2">
      <c r="B737" s="3" t="str">
        <f ca="1">IFERROR(__xludf.DUMMYFUNCTION("IF(ISBLANK(A737),"""",GOOGLETRANSLATE(A737,""en"",""fr""))"),"")</f>
        <v/>
      </c>
    </row>
    <row r="738" spans="2:2">
      <c r="B738" s="3" t="str">
        <f ca="1">IFERROR(__xludf.DUMMYFUNCTION("IF(ISBLANK(A738),"""",GOOGLETRANSLATE(A738,""en"",""fr""))"),"")</f>
        <v/>
      </c>
    </row>
    <row r="739" spans="2:2">
      <c r="B739" s="3" t="str">
        <f ca="1">IFERROR(__xludf.DUMMYFUNCTION("IF(ISBLANK(A739),"""",GOOGLETRANSLATE(A739,""en"",""fr""))"),"")</f>
        <v/>
      </c>
    </row>
    <row r="740" spans="2:2">
      <c r="B740" s="3" t="str">
        <f ca="1">IFERROR(__xludf.DUMMYFUNCTION("IF(ISBLANK(A740),"""",GOOGLETRANSLATE(A740,""en"",""fr""))"),"")</f>
        <v/>
      </c>
    </row>
    <row r="741" spans="2:2">
      <c r="B741" s="3" t="str">
        <f ca="1">IFERROR(__xludf.DUMMYFUNCTION("IF(ISBLANK(A741),"""",GOOGLETRANSLATE(A741,""en"",""fr""))"),"")</f>
        <v/>
      </c>
    </row>
    <row r="742" spans="2:2">
      <c r="B742" s="3" t="str">
        <f ca="1">IFERROR(__xludf.DUMMYFUNCTION("IF(ISBLANK(A742),"""",GOOGLETRANSLATE(A742,""en"",""fr""))"),"")</f>
        <v/>
      </c>
    </row>
    <row r="743" spans="2:2">
      <c r="B743" s="3" t="str">
        <f ca="1">IFERROR(__xludf.DUMMYFUNCTION("IF(ISBLANK(A743),"""",GOOGLETRANSLATE(A743,""en"",""fr""))"),"")</f>
        <v/>
      </c>
    </row>
    <row r="744" spans="2:2">
      <c r="B744" s="3" t="str">
        <f ca="1">IFERROR(__xludf.DUMMYFUNCTION("IF(ISBLANK(A744),"""",GOOGLETRANSLATE(A744,""en"",""fr""))"),"")</f>
        <v/>
      </c>
    </row>
    <row r="745" spans="2:2">
      <c r="B745" s="3" t="str">
        <f ca="1">IFERROR(__xludf.DUMMYFUNCTION("IF(ISBLANK(A745),"""",GOOGLETRANSLATE(A745,""en"",""fr""))"),"")</f>
        <v/>
      </c>
    </row>
    <row r="746" spans="2:2">
      <c r="B746" s="3" t="str">
        <f ca="1">IFERROR(__xludf.DUMMYFUNCTION("IF(ISBLANK(A746),"""",GOOGLETRANSLATE(A746,""en"",""fr""))"),"")</f>
        <v/>
      </c>
    </row>
    <row r="747" spans="2:2">
      <c r="B747" s="3" t="str">
        <f ca="1">IFERROR(__xludf.DUMMYFUNCTION("IF(ISBLANK(A747),"""",GOOGLETRANSLATE(A747,""en"",""fr""))"),"")</f>
        <v/>
      </c>
    </row>
    <row r="748" spans="2:2">
      <c r="B748" s="3" t="str">
        <f ca="1">IFERROR(__xludf.DUMMYFUNCTION("IF(ISBLANK(A748),"""",GOOGLETRANSLATE(A748,""en"",""fr""))"),"")</f>
        <v/>
      </c>
    </row>
    <row r="749" spans="2:2">
      <c r="B749" s="3" t="str">
        <f ca="1">IFERROR(__xludf.DUMMYFUNCTION("IF(ISBLANK(A749),"""",GOOGLETRANSLATE(A749,""en"",""fr""))"),"")</f>
        <v/>
      </c>
    </row>
    <row r="750" spans="2:2">
      <c r="B750" s="3" t="str">
        <f ca="1">IFERROR(__xludf.DUMMYFUNCTION("IF(ISBLANK(A750),"""",GOOGLETRANSLATE(A750,""en"",""fr""))"),"")</f>
        <v/>
      </c>
    </row>
    <row r="751" spans="2:2">
      <c r="B751" s="3" t="str">
        <f ca="1">IFERROR(__xludf.DUMMYFUNCTION("IF(ISBLANK(A751),"""",GOOGLETRANSLATE(A751,""en"",""fr""))"),"")</f>
        <v/>
      </c>
    </row>
    <row r="752" spans="2:2">
      <c r="B752" s="3" t="str">
        <f ca="1">IFERROR(__xludf.DUMMYFUNCTION("IF(ISBLANK(A752),"""",GOOGLETRANSLATE(A752,""en"",""fr""))"),"")</f>
        <v/>
      </c>
    </row>
    <row r="753" spans="2:2">
      <c r="B753" s="3" t="str">
        <f ca="1">IFERROR(__xludf.DUMMYFUNCTION("IF(ISBLANK(A753),"""",GOOGLETRANSLATE(A753,""en"",""fr""))"),"")</f>
        <v/>
      </c>
    </row>
    <row r="754" spans="2:2">
      <c r="B754" s="3" t="str">
        <f ca="1">IFERROR(__xludf.DUMMYFUNCTION("IF(ISBLANK(A754),"""",GOOGLETRANSLATE(A754,""en"",""fr""))"),"")</f>
        <v/>
      </c>
    </row>
    <row r="755" spans="2:2">
      <c r="B755" s="3" t="str">
        <f ca="1">IFERROR(__xludf.DUMMYFUNCTION("IF(ISBLANK(A755),"""",GOOGLETRANSLATE(A755,""en"",""fr""))"),"")</f>
        <v/>
      </c>
    </row>
    <row r="756" spans="2:2">
      <c r="B756" s="3" t="str">
        <f ca="1">IFERROR(__xludf.DUMMYFUNCTION("IF(ISBLANK(A756),"""",GOOGLETRANSLATE(A756,""en"",""fr""))"),"")</f>
        <v/>
      </c>
    </row>
    <row r="757" spans="2:2">
      <c r="B757" s="3" t="str">
        <f ca="1">IFERROR(__xludf.DUMMYFUNCTION("IF(ISBLANK(A757),"""",GOOGLETRANSLATE(A757,""en"",""fr""))"),"")</f>
        <v/>
      </c>
    </row>
    <row r="758" spans="2:2">
      <c r="B758" s="3" t="str">
        <f ca="1">IFERROR(__xludf.DUMMYFUNCTION("IF(ISBLANK(A758),"""",GOOGLETRANSLATE(A758,""en"",""fr""))"),"")</f>
        <v/>
      </c>
    </row>
    <row r="759" spans="2:2">
      <c r="B759" s="3" t="str">
        <f ca="1">IFERROR(__xludf.DUMMYFUNCTION("IF(ISBLANK(A759),"""",GOOGLETRANSLATE(A759,""en"",""fr""))"),"")</f>
        <v/>
      </c>
    </row>
    <row r="760" spans="2:2">
      <c r="B760" s="3" t="str">
        <f ca="1">IFERROR(__xludf.DUMMYFUNCTION("IF(ISBLANK(A760),"""",GOOGLETRANSLATE(A760,""en"",""fr""))"),"")</f>
        <v/>
      </c>
    </row>
    <row r="761" spans="2:2">
      <c r="B761" s="3" t="str">
        <f ca="1">IFERROR(__xludf.DUMMYFUNCTION("IF(ISBLANK(A761),"""",GOOGLETRANSLATE(A761,""en"",""fr""))"),"")</f>
        <v/>
      </c>
    </row>
    <row r="762" spans="2:2">
      <c r="B762" s="3" t="str">
        <f ca="1">IFERROR(__xludf.DUMMYFUNCTION("IF(ISBLANK(A762),"""",GOOGLETRANSLATE(A762,""en"",""fr""))"),"")</f>
        <v/>
      </c>
    </row>
    <row r="763" spans="2:2">
      <c r="B763" s="3" t="str">
        <f ca="1">IFERROR(__xludf.DUMMYFUNCTION("IF(ISBLANK(A763),"""",GOOGLETRANSLATE(A763,""en"",""fr""))"),"")</f>
        <v/>
      </c>
    </row>
    <row r="764" spans="2:2">
      <c r="B764" s="3" t="str">
        <f ca="1">IFERROR(__xludf.DUMMYFUNCTION("IF(ISBLANK(A764),"""",GOOGLETRANSLATE(A764,""en"",""fr""))"),"")</f>
        <v/>
      </c>
    </row>
    <row r="765" spans="2:2">
      <c r="B765" s="3" t="str">
        <f ca="1">IFERROR(__xludf.DUMMYFUNCTION("IF(ISBLANK(A765),"""",GOOGLETRANSLATE(A765,""en"",""fr""))"),"")</f>
        <v/>
      </c>
    </row>
    <row r="766" spans="2:2">
      <c r="B766" s="3" t="str">
        <f ca="1">IFERROR(__xludf.DUMMYFUNCTION("IF(ISBLANK(A766),"""",GOOGLETRANSLATE(A766,""en"",""fr""))"),"")</f>
        <v/>
      </c>
    </row>
    <row r="767" spans="2:2">
      <c r="B767" s="3" t="str">
        <f ca="1">IFERROR(__xludf.DUMMYFUNCTION("IF(ISBLANK(A767),"""",GOOGLETRANSLATE(A767,""en"",""fr""))"),"")</f>
        <v/>
      </c>
    </row>
    <row r="768" spans="2:2">
      <c r="B768" s="3" t="str">
        <f ca="1">IFERROR(__xludf.DUMMYFUNCTION("IF(ISBLANK(A768),"""",GOOGLETRANSLATE(A768,""en"",""fr""))"),"")</f>
        <v/>
      </c>
    </row>
    <row r="769" spans="2:2">
      <c r="B769" s="3" t="str">
        <f ca="1">IFERROR(__xludf.DUMMYFUNCTION("IF(ISBLANK(A769),"""",GOOGLETRANSLATE(A769,""en"",""fr""))"),"")</f>
        <v/>
      </c>
    </row>
    <row r="770" spans="2:2">
      <c r="B770" s="3" t="str">
        <f ca="1">IFERROR(__xludf.DUMMYFUNCTION("IF(ISBLANK(A770),"""",GOOGLETRANSLATE(A770,""en"",""fr""))"),"")</f>
        <v/>
      </c>
    </row>
    <row r="771" spans="2:2">
      <c r="B771" s="3" t="str">
        <f ca="1">IFERROR(__xludf.DUMMYFUNCTION("IF(ISBLANK(A771),"""",GOOGLETRANSLATE(A771,""en"",""fr""))"),"")</f>
        <v/>
      </c>
    </row>
    <row r="772" spans="2:2">
      <c r="B772" s="3" t="str">
        <f ca="1">IFERROR(__xludf.DUMMYFUNCTION("IF(ISBLANK(A772),"""",GOOGLETRANSLATE(A772,""en"",""fr""))"),"")</f>
        <v/>
      </c>
    </row>
    <row r="773" spans="2:2">
      <c r="B773" s="3" t="str">
        <f ca="1">IFERROR(__xludf.DUMMYFUNCTION("IF(ISBLANK(A773),"""",GOOGLETRANSLATE(A773,""en"",""fr""))"),"")</f>
        <v/>
      </c>
    </row>
    <row r="774" spans="2:2">
      <c r="B774" s="3" t="str">
        <f ca="1">IFERROR(__xludf.DUMMYFUNCTION("IF(ISBLANK(A774),"""",GOOGLETRANSLATE(A774,""en"",""fr""))"),"")</f>
        <v/>
      </c>
    </row>
    <row r="775" spans="2:2">
      <c r="B775" s="3" t="str">
        <f ca="1">IFERROR(__xludf.DUMMYFUNCTION("IF(ISBLANK(A775),"""",GOOGLETRANSLATE(A775,""en"",""fr""))"),"")</f>
        <v/>
      </c>
    </row>
    <row r="776" spans="2:2">
      <c r="B776" s="3" t="str">
        <f ca="1">IFERROR(__xludf.DUMMYFUNCTION("IF(ISBLANK(A776),"""",GOOGLETRANSLATE(A776,""en"",""fr""))"),"")</f>
        <v/>
      </c>
    </row>
    <row r="777" spans="2:2">
      <c r="B777" s="3" t="str">
        <f ca="1">IFERROR(__xludf.DUMMYFUNCTION("IF(ISBLANK(A777),"""",GOOGLETRANSLATE(A777,""en"",""fr""))"),"")</f>
        <v/>
      </c>
    </row>
    <row r="778" spans="2:2">
      <c r="B778" s="3" t="str">
        <f ca="1">IFERROR(__xludf.DUMMYFUNCTION("IF(ISBLANK(A778),"""",GOOGLETRANSLATE(A778,""en"",""fr""))"),"")</f>
        <v/>
      </c>
    </row>
    <row r="779" spans="2:2">
      <c r="B779" s="3" t="str">
        <f ca="1">IFERROR(__xludf.DUMMYFUNCTION("IF(ISBLANK(A779),"""",GOOGLETRANSLATE(A779,""en"",""fr""))"),"")</f>
        <v/>
      </c>
    </row>
    <row r="780" spans="2:2">
      <c r="B780" s="3" t="str">
        <f ca="1">IFERROR(__xludf.DUMMYFUNCTION("IF(ISBLANK(A780),"""",GOOGLETRANSLATE(A780,""en"",""fr""))"),"")</f>
        <v/>
      </c>
    </row>
    <row r="781" spans="2:2">
      <c r="B781" s="3" t="str">
        <f ca="1">IFERROR(__xludf.DUMMYFUNCTION("IF(ISBLANK(A781),"""",GOOGLETRANSLATE(A781,""en"",""fr""))"),"")</f>
        <v/>
      </c>
    </row>
    <row r="782" spans="2:2">
      <c r="B782" s="3" t="str">
        <f ca="1">IFERROR(__xludf.DUMMYFUNCTION("IF(ISBLANK(A782),"""",GOOGLETRANSLATE(A782,""en"",""fr""))"),"")</f>
        <v/>
      </c>
    </row>
    <row r="783" spans="2:2">
      <c r="B783" s="3" t="str">
        <f ca="1">IFERROR(__xludf.DUMMYFUNCTION("IF(ISBLANK(A783),"""",GOOGLETRANSLATE(A783,""en"",""fr""))"),"")</f>
        <v/>
      </c>
    </row>
    <row r="784" spans="2:2">
      <c r="B784" s="3" t="str">
        <f ca="1">IFERROR(__xludf.DUMMYFUNCTION("IF(ISBLANK(A784),"""",GOOGLETRANSLATE(A784,""en"",""fr""))"),"")</f>
        <v/>
      </c>
    </row>
    <row r="785" spans="2:2">
      <c r="B785" s="3" t="str">
        <f ca="1">IFERROR(__xludf.DUMMYFUNCTION("IF(ISBLANK(A785),"""",GOOGLETRANSLATE(A785,""en"",""fr""))"),"")</f>
        <v/>
      </c>
    </row>
    <row r="786" spans="2:2">
      <c r="B786" s="3" t="str">
        <f ca="1">IFERROR(__xludf.DUMMYFUNCTION("IF(ISBLANK(A786),"""",GOOGLETRANSLATE(A786,""en"",""fr""))"),"")</f>
        <v/>
      </c>
    </row>
    <row r="787" spans="2:2">
      <c r="B787" s="3" t="str">
        <f ca="1">IFERROR(__xludf.DUMMYFUNCTION("IF(ISBLANK(A787),"""",GOOGLETRANSLATE(A787,""en"",""fr""))"),"")</f>
        <v/>
      </c>
    </row>
    <row r="788" spans="2:2">
      <c r="B788" s="3" t="str">
        <f ca="1">IFERROR(__xludf.DUMMYFUNCTION("IF(ISBLANK(A788),"""",GOOGLETRANSLATE(A788,""en"",""fr""))"),"")</f>
        <v/>
      </c>
    </row>
    <row r="789" spans="2:2">
      <c r="B789" s="3" t="str">
        <f ca="1">IFERROR(__xludf.DUMMYFUNCTION("IF(ISBLANK(A789),"""",GOOGLETRANSLATE(A789,""en"",""fr""))"),"")</f>
        <v/>
      </c>
    </row>
    <row r="790" spans="2:2">
      <c r="B790" s="3" t="str">
        <f ca="1">IFERROR(__xludf.DUMMYFUNCTION("IF(ISBLANK(A790),"""",GOOGLETRANSLATE(A790,""en"",""fr""))"),"")</f>
        <v/>
      </c>
    </row>
    <row r="791" spans="2:2">
      <c r="B791" s="3" t="str">
        <f ca="1">IFERROR(__xludf.DUMMYFUNCTION("IF(ISBLANK(A791),"""",GOOGLETRANSLATE(A791,""en"",""fr""))"),"")</f>
        <v/>
      </c>
    </row>
    <row r="792" spans="2:2">
      <c r="B792" s="3" t="str">
        <f ca="1">IFERROR(__xludf.DUMMYFUNCTION("IF(ISBLANK(A792),"""",GOOGLETRANSLATE(A792,""en"",""fr""))"),"")</f>
        <v/>
      </c>
    </row>
    <row r="793" spans="2:2">
      <c r="B793" s="3" t="str">
        <f ca="1">IFERROR(__xludf.DUMMYFUNCTION("IF(ISBLANK(A793),"""",GOOGLETRANSLATE(A793,""en"",""fr""))"),"")</f>
        <v/>
      </c>
    </row>
    <row r="794" spans="2:2">
      <c r="B794" s="3" t="str">
        <f ca="1">IFERROR(__xludf.DUMMYFUNCTION("IF(ISBLANK(A794),"""",GOOGLETRANSLATE(A794,""en"",""fr""))"),"")</f>
        <v/>
      </c>
    </row>
    <row r="795" spans="2:2">
      <c r="B795" s="3" t="str">
        <f ca="1">IFERROR(__xludf.DUMMYFUNCTION("IF(ISBLANK(A795),"""",GOOGLETRANSLATE(A795,""en"",""fr""))"),"")</f>
        <v/>
      </c>
    </row>
    <row r="796" spans="2:2">
      <c r="B796" s="3" t="str">
        <f ca="1">IFERROR(__xludf.DUMMYFUNCTION("IF(ISBLANK(A796),"""",GOOGLETRANSLATE(A796,""en"",""fr""))"),"")</f>
        <v/>
      </c>
    </row>
    <row r="797" spans="2:2">
      <c r="B797" s="3" t="str">
        <f ca="1">IFERROR(__xludf.DUMMYFUNCTION("IF(ISBLANK(A797),"""",GOOGLETRANSLATE(A797,""en"",""fr""))"),"")</f>
        <v/>
      </c>
    </row>
    <row r="798" spans="2:2">
      <c r="B798" s="3" t="str">
        <f ca="1">IFERROR(__xludf.DUMMYFUNCTION("IF(ISBLANK(A798),"""",GOOGLETRANSLATE(A798,""en"",""fr""))"),"")</f>
        <v/>
      </c>
    </row>
    <row r="799" spans="2:2">
      <c r="B799" s="3" t="str">
        <f ca="1">IFERROR(__xludf.DUMMYFUNCTION("IF(ISBLANK(A799),"""",GOOGLETRANSLATE(A799,""en"",""fr""))"),"")</f>
        <v/>
      </c>
    </row>
    <row r="800" spans="2:2">
      <c r="B800" s="3" t="str">
        <f ca="1">IFERROR(__xludf.DUMMYFUNCTION("IF(ISBLANK(A800),"""",GOOGLETRANSLATE(A800,""en"",""fr""))"),"")</f>
        <v/>
      </c>
    </row>
    <row r="801" spans="2:2">
      <c r="B801" s="3" t="str">
        <f ca="1">IFERROR(__xludf.DUMMYFUNCTION("IF(ISBLANK(A801),"""",GOOGLETRANSLATE(A801,""en"",""fr""))"),"")</f>
        <v/>
      </c>
    </row>
    <row r="802" spans="2:2">
      <c r="B802" s="3" t="str">
        <f ca="1">IFERROR(__xludf.DUMMYFUNCTION("IF(ISBLANK(A802),"""",GOOGLETRANSLATE(A802,""en"",""fr""))"),"")</f>
        <v/>
      </c>
    </row>
    <row r="803" spans="2:2">
      <c r="B803" s="3" t="str">
        <f ca="1">IFERROR(__xludf.DUMMYFUNCTION("IF(ISBLANK(A803),"""",GOOGLETRANSLATE(A803,""en"",""fr""))"),"")</f>
        <v/>
      </c>
    </row>
    <row r="804" spans="2:2">
      <c r="B804" s="3" t="str">
        <f ca="1">IFERROR(__xludf.DUMMYFUNCTION("IF(ISBLANK(A804),"""",GOOGLETRANSLATE(A804,""en"",""fr""))"),"")</f>
        <v/>
      </c>
    </row>
    <row r="805" spans="2:2">
      <c r="B805" s="3" t="str">
        <f ca="1">IFERROR(__xludf.DUMMYFUNCTION("IF(ISBLANK(A805),"""",GOOGLETRANSLATE(A805,""en"",""fr""))"),"")</f>
        <v/>
      </c>
    </row>
    <row r="806" spans="2:2">
      <c r="B806" s="3" t="str">
        <f ca="1">IFERROR(__xludf.DUMMYFUNCTION("IF(ISBLANK(A806),"""",GOOGLETRANSLATE(A806,""en"",""fr""))"),"")</f>
        <v/>
      </c>
    </row>
    <row r="807" spans="2:2">
      <c r="B807" s="3" t="str">
        <f ca="1">IFERROR(__xludf.DUMMYFUNCTION("IF(ISBLANK(A807),"""",GOOGLETRANSLATE(A807,""en"",""fr""))"),"")</f>
        <v/>
      </c>
    </row>
    <row r="808" spans="2:2">
      <c r="B808" s="3" t="str">
        <f ca="1">IFERROR(__xludf.DUMMYFUNCTION("IF(ISBLANK(A808),"""",GOOGLETRANSLATE(A808,""en"",""fr""))"),"")</f>
        <v/>
      </c>
    </row>
    <row r="809" spans="2:2">
      <c r="B809" s="3" t="str">
        <f ca="1">IFERROR(__xludf.DUMMYFUNCTION("IF(ISBLANK(A809),"""",GOOGLETRANSLATE(A809,""en"",""fr""))"),"")</f>
        <v/>
      </c>
    </row>
    <row r="810" spans="2:2">
      <c r="B810" s="3" t="str">
        <f ca="1">IFERROR(__xludf.DUMMYFUNCTION("IF(ISBLANK(A810),"""",GOOGLETRANSLATE(A810,""en"",""fr""))"),"")</f>
        <v/>
      </c>
    </row>
    <row r="811" spans="2:2">
      <c r="B811" s="3" t="str">
        <f ca="1">IFERROR(__xludf.DUMMYFUNCTION("IF(ISBLANK(A811),"""",GOOGLETRANSLATE(A811,""en"",""fr""))"),"")</f>
        <v/>
      </c>
    </row>
    <row r="812" spans="2:2">
      <c r="B812" s="3" t="str">
        <f ca="1">IFERROR(__xludf.DUMMYFUNCTION("IF(ISBLANK(A812),"""",GOOGLETRANSLATE(A812,""en"",""fr""))"),"")</f>
        <v/>
      </c>
    </row>
    <row r="813" spans="2:2">
      <c r="B813" s="3" t="str">
        <f ca="1">IFERROR(__xludf.DUMMYFUNCTION("IF(ISBLANK(A813),"""",GOOGLETRANSLATE(A813,""en"",""fr""))"),"")</f>
        <v/>
      </c>
    </row>
    <row r="814" spans="2:2">
      <c r="B814" s="3" t="str">
        <f ca="1">IFERROR(__xludf.DUMMYFUNCTION("IF(ISBLANK(A814),"""",GOOGLETRANSLATE(A814,""en"",""fr""))"),"")</f>
        <v/>
      </c>
    </row>
    <row r="815" spans="2:2">
      <c r="B815" s="3" t="str">
        <f ca="1">IFERROR(__xludf.DUMMYFUNCTION("IF(ISBLANK(A815),"""",GOOGLETRANSLATE(A815,""en"",""fr""))"),"")</f>
        <v/>
      </c>
    </row>
    <row r="816" spans="2:2">
      <c r="B816" s="3" t="str">
        <f ca="1">IFERROR(__xludf.DUMMYFUNCTION("IF(ISBLANK(A816),"""",GOOGLETRANSLATE(A816,""en"",""fr""))"),"")</f>
        <v/>
      </c>
    </row>
    <row r="817" spans="2:2">
      <c r="B817" s="3" t="str">
        <f ca="1">IFERROR(__xludf.DUMMYFUNCTION("IF(ISBLANK(A817),"""",GOOGLETRANSLATE(A817,""en"",""fr""))"),"")</f>
        <v/>
      </c>
    </row>
    <row r="818" spans="2:2">
      <c r="B818" s="3" t="str">
        <f ca="1">IFERROR(__xludf.DUMMYFUNCTION("IF(ISBLANK(A818),"""",GOOGLETRANSLATE(A818,""en"",""fr""))"),"")</f>
        <v/>
      </c>
    </row>
    <row r="819" spans="2:2">
      <c r="B819" s="3" t="str">
        <f ca="1">IFERROR(__xludf.DUMMYFUNCTION("IF(ISBLANK(A819),"""",GOOGLETRANSLATE(A819,""en"",""fr""))"),"")</f>
        <v/>
      </c>
    </row>
    <row r="820" spans="2:2">
      <c r="B820" s="3" t="str">
        <f ca="1">IFERROR(__xludf.DUMMYFUNCTION("IF(ISBLANK(A820),"""",GOOGLETRANSLATE(A820,""en"",""fr""))"),"")</f>
        <v/>
      </c>
    </row>
    <row r="821" spans="2:2">
      <c r="B821" s="3" t="str">
        <f ca="1">IFERROR(__xludf.DUMMYFUNCTION("IF(ISBLANK(A821),"""",GOOGLETRANSLATE(A821,""en"",""fr""))"),"")</f>
        <v/>
      </c>
    </row>
    <row r="822" spans="2:2">
      <c r="B822" s="3" t="str">
        <f ca="1">IFERROR(__xludf.DUMMYFUNCTION("IF(ISBLANK(A822),"""",GOOGLETRANSLATE(A822,""en"",""fr""))"),"")</f>
        <v/>
      </c>
    </row>
    <row r="823" spans="2:2">
      <c r="B823" s="3" t="str">
        <f ca="1">IFERROR(__xludf.DUMMYFUNCTION("IF(ISBLANK(A823),"""",GOOGLETRANSLATE(A823,""en"",""fr""))"),"")</f>
        <v/>
      </c>
    </row>
    <row r="824" spans="2:2">
      <c r="B824" s="3" t="str">
        <f ca="1">IFERROR(__xludf.DUMMYFUNCTION("IF(ISBLANK(A824),"""",GOOGLETRANSLATE(A824,""en"",""fr""))"),"")</f>
        <v/>
      </c>
    </row>
    <row r="825" spans="2:2">
      <c r="B825" s="3" t="str">
        <f ca="1">IFERROR(__xludf.DUMMYFUNCTION("IF(ISBLANK(A825),"""",GOOGLETRANSLATE(A825,""en"",""fr""))"),"")</f>
        <v/>
      </c>
    </row>
    <row r="826" spans="2:2">
      <c r="B826" s="3" t="str">
        <f ca="1">IFERROR(__xludf.DUMMYFUNCTION("IF(ISBLANK(A826),"""",GOOGLETRANSLATE(A826,""en"",""fr""))"),"")</f>
        <v/>
      </c>
    </row>
    <row r="827" spans="2:2">
      <c r="B827" s="3" t="str">
        <f ca="1">IFERROR(__xludf.DUMMYFUNCTION("IF(ISBLANK(A827),"""",GOOGLETRANSLATE(A827,""en"",""fr""))"),"")</f>
        <v/>
      </c>
    </row>
    <row r="828" spans="2:2">
      <c r="B828" s="3" t="str">
        <f ca="1">IFERROR(__xludf.DUMMYFUNCTION("IF(ISBLANK(A828),"""",GOOGLETRANSLATE(A828,""en"",""fr""))"),"")</f>
        <v/>
      </c>
    </row>
    <row r="829" spans="2:2">
      <c r="B829" s="3" t="str">
        <f ca="1">IFERROR(__xludf.DUMMYFUNCTION("IF(ISBLANK(A829),"""",GOOGLETRANSLATE(A829,""en"",""fr""))"),"")</f>
        <v/>
      </c>
    </row>
    <row r="830" spans="2:2">
      <c r="B830" s="3" t="str">
        <f ca="1">IFERROR(__xludf.DUMMYFUNCTION("IF(ISBLANK(A830),"""",GOOGLETRANSLATE(A830,""en"",""fr""))"),"")</f>
        <v/>
      </c>
    </row>
    <row r="831" spans="2:2">
      <c r="B831" s="3" t="str">
        <f ca="1">IFERROR(__xludf.DUMMYFUNCTION("IF(ISBLANK(A831),"""",GOOGLETRANSLATE(A831,""en"",""fr""))"),"")</f>
        <v/>
      </c>
    </row>
    <row r="832" spans="2:2">
      <c r="B832" s="3" t="str">
        <f ca="1">IFERROR(__xludf.DUMMYFUNCTION("IF(ISBLANK(A832),"""",GOOGLETRANSLATE(A832,""en"",""fr""))"),"")</f>
        <v/>
      </c>
    </row>
    <row r="833" spans="2:2">
      <c r="B833" s="3" t="str">
        <f ca="1">IFERROR(__xludf.DUMMYFUNCTION("IF(ISBLANK(A833),"""",GOOGLETRANSLATE(A833,""en"",""fr""))"),"")</f>
        <v/>
      </c>
    </row>
    <row r="834" spans="2:2">
      <c r="B834" s="3" t="str">
        <f ca="1">IFERROR(__xludf.DUMMYFUNCTION("IF(ISBLANK(A834),"""",GOOGLETRANSLATE(A834,""en"",""fr""))"),"")</f>
        <v/>
      </c>
    </row>
    <row r="835" spans="2:2">
      <c r="B835" s="3" t="str">
        <f ca="1">IFERROR(__xludf.DUMMYFUNCTION("IF(ISBLANK(A835),"""",GOOGLETRANSLATE(A835,""en"",""fr""))"),"")</f>
        <v/>
      </c>
    </row>
    <row r="836" spans="2:2">
      <c r="B836" s="3" t="str">
        <f ca="1">IFERROR(__xludf.DUMMYFUNCTION("IF(ISBLANK(A836),"""",GOOGLETRANSLATE(A836,""en"",""fr""))"),"")</f>
        <v/>
      </c>
    </row>
    <row r="837" spans="2:2">
      <c r="B837" s="3" t="str">
        <f ca="1">IFERROR(__xludf.DUMMYFUNCTION("IF(ISBLANK(A837),"""",GOOGLETRANSLATE(A837,""en"",""fr""))"),"")</f>
        <v/>
      </c>
    </row>
    <row r="838" spans="2:2">
      <c r="B838" s="3" t="str">
        <f ca="1">IFERROR(__xludf.DUMMYFUNCTION("IF(ISBLANK(A838),"""",GOOGLETRANSLATE(A838,""en"",""fr""))"),"")</f>
        <v/>
      </c>
    </row>
    <row r="839" spans="2:2">
      <c r="B839" s="3" t="str">
        <f ca="1">IFERROR(__xludf.DUMMYFUNCTION("IF(ISBLANK(A839),"""",GOOGLETRANSLATE(A839,""en"",""fr""))"),"")</f>
        <v/>
      </c>
    </row>
    <row r="840" spans="2:2">
      <c r="B840" s="3" t="str">
        <f ca="1">IFERROR(__xludf.DUMMYFUNCTION("IF(ISBLANK(A840),"""",GOOGLETRANSLATE(A840,""en"",""fr""))"),"")</f>
        <v/>
      </c>
    </row>
    <row r="841" spans="2:2">
      <c r="B841" s="3" t="str">
        <f ca="1">IFERROR(__xludf.DUMMYFUNCTION("IF(ISBLANK(A841),"""",GOOGLETRANSLATE(A841,""en"",""fr""))"),"")</f>
        <v/>
      </c>
    </row>
    <row r="842" spans="2:2">
      <c r="B842" s="3" t="str">
        <f ca="1">IFERROR(__xludf.DUMMYFUNCTION("IF(ISBLANK(A842),"""",GOOGLETRANSLATE(A842,""en"",""fr""))"),"")</f>
        <v/>
      </c>
    </row>
    <row r="843" spans="2:2">
      <c r="B843" s="3" t="str">
        <f ca="1">IFERROR(__xludf.DUMMYFUNCTION("IF(ISBLANK(A843),"""",GOOGLETRANSLATE(A843,""en"",""fr""))"),"")</f>
        <v/>
      </c>
    </row>
    <row r="844" spans="2:2">
      <c r="B844" s="3" t="str">
        <f ca="1">IFERROR(__xludf.DUMMYFUNCTION("IF(ISBLANK(A844),"""",GOOGLETRANSLATE(A844,""en"",""fr""))"),"")</f>
        <v/>
      </c>
    </row>
    <row r="845" spans="2:2">
      <c r="B845" s="3" t="str">
        <f ca="1">IFERROR(__xludf.DUMMYFUNCTION("IF(ISBLANK(A845),"""",GOOGLETRANSLATE(A845,""en"",""fr""))"),"")</f>
        <v/>
      </c>
    </row>
    <row r="846" spans="2:2">
      <c r="B846" s="3" t="str">
        <f ca="1">IFERROR(__xludf.DUMMYFUNCTION("IF(ISBLANK(A846),"""",GOOGLETRANSLATE(A846,""en"",""fr""))"),"")</f>
        <v/>
      </c>
    </row>
    <row r="847" spans="2:2">
      <c r="B847" s="3" t="str">
        <f ca="1">IFERROR(__xludf.DUMMYFUNCTION("IF(ISBLANK(A847),"""",GOOGLETRANSLATE(A847,""en"",""fr""))"),"")</f>
        <v/>
      </c>
    </row>
    <row r="848" spans="2:2">
      <c r="B848" s="3" t="str">
        <f ca="1">IFERROR(__xludf.DUMMYFUNCTION("IF(ISBLANK(A848),"""",GOOGLETRANSLATE(A848,""en"",""fr""))"),"")</f>
        <v/>
      </c>
    </row>
    <row r="849" spans="2:2">
      <c r="B849" s="3" t="str">
        <f ca="1">IFERROR(__xludf.DUMMYFUNCTION("IF(ISBLANK(A849),"""",GOOGLETRANSLATE(A849,""en"",""fr""))"),"")</f>
        <v/>
      </c>
    </row>
    <row r="850" spans="2:2">
      <c r="B850" s="3" t="str">
        <f ca="1">IFERROR(__xludf.DUMMYFUNCTION("IF(ISBLANK(A850),"""",GOOGLETRANSLATE(A850,""en"",""fr""))"),"")</f>
        <v/>
      </c>
    </row>
    <row r="851" spans="2:2">
      <c r="B851" s="3" t="str">
        <f ca="1">IFERROR(__xludf.DUMMYFUNCTION("IF(ISBLANK(A851),"""",GOOGLETRANSLATE(A851,""en"",""fr""))"),"")</f>
        <v/>
      </c>
    </row>
    <row r="852" spans="2:2">
      <c r="B852" s="3" t="str">
        <f ca="1">IFERROR(__xludf.DUMMYFUNCTION("IF(ISBLANK(A852),"""",GOOGLETRANSLATE(A852,""en"",""fr""))"),"")</f>
        <v/>
      </c>
    </row>
    <row r="853" spans="2:2">
      <c r="B853" s="3" t="str">
        <f ca="1">IFERROR(__xludf.DUMMYFUNCTION("IF(ISBLANK(A853),"""",GOOGLETRANSLATE(A853,""en"",""fr""))"),"")</f>
        <v/>
      </c>
    </row>
    <row r="854" spans="2:2">
      <c r="B854" s="3" t="str">
        <f ca="1">IFERROR(__xludf.DUMMYFUNCTION("IF(ISBLANK(A854),"""",GOOGLETRANSLATE(A854,""en"",""fr""))"),"")</f>
        <v/>
      </c>
    </row>
    <row r="855" spans="2:2">
      <c r="B855" s="3" t="str">
        <f ca="1">IFERROR(__xludf.DUMMYFUNCTION("IF(ISBLANK(A855),"""",GOOGLETRANSLATE(A855,""en"",""fr""))"),"")</f>
        <v/>
      </c>
    </row>
    <row r="856" spans="2:2">
      <c r="B856" s="3" t="str">
        <f ca="1">IFERROR(__xludf.DUMMYFUNCTION("IF(ISBLANK(A856),"""",GOOGLETRANSLATE(A856,""en"",""fr""))"),"")</f>
        <v/>
      </c>
    </row>
    <row r="857" spans="2:2">
      <c r="B857" s="3" t="str">
        <f ca="1">IFERROR(__xludf.DUMMYFUNCTION("IF(ISBLANK(A857),"""",GOOGLETRANSLATE(A857,""en"",""fr""))"),"")</f>
        <v/>
      </c>
    </row>
    <row r="858" spans="2:2">
      <c r="B858" s="3" t="str">
        <f ca="1">IFERROR(__xludf.DUMMYFUNCTION("IF(ISBLANK(A858),"""",GOOGLETRANSLATE(A858,""en"",""fr""))"),"")</f>
        <v/>
      </c>
    </row>
    <row r="859" spans="2:2">
      <c r="B859" s="3" t="str">
        <f ca="1">IFERROR(__xludf.DUMMYFUNCTION("IF(ISBLANK(A859),"""",GOOGLETRANSLATE(A859,""en"",""fr""))"),"")</f>
        <v/>
      </c>
    </row>
    <row r="860" spans="2:2">
      <c r="B860" s="3" t="str">
        <f ca="1">IFERROR(__xludf.DUMMYFUNCTION("IF(ISBLANK(A860),"""",GOOGLETRANSLATE(A860,""en"",""fr""))"),"")</f>
        <v/>
      </c>
    </row>
    <row r="861" spans="2:2">
      <c r="B861" s="3" t="str">
        <f ca="1">IFERROR(__xludf.DUMMYFUNCTION("IF(ISBLANK(A861),"""",GOOGLETRANSLATE(A861,""en"",""fr""))"),"")</f>
        <v/>
      </c>
    </row>
    <row r="862" spans="2:2">
      <c r="B862" s="3" t="str">
        <f ca="1">IFERROR(__xludf.DUMMYFUNCTION("IF(ISBLANK(A862),"""",GOOGLETRANSLATE(A862,""en"",""fr""))"),"")</f>
        <v/>
      </c>
    </row>
    <row r="863" spans="2:2">
      <c r="B863" s="3" t="str">
        <f ca="1">IFERROR(__xludf.DUMMYFUNCTION("IF(ISBLANK(A863),"""",GOOGLETRANSLATE(A863,""en"",""fr""))"),"")</f>
        <v/>
      </c>
    </row>
    <row r="864" spans="2:2">
      <c r="B864" s="3" t="str">
        <f ca="1">IFERROR(__xludf.DUMMYFUNCTION("IF(ISBLANK(A864),"""",GOOGLETRANSLATE(A864,""en"",""fr""))"),"")</f>
        <v/>
      </c>
    </row>
    <row r="865" spans="2:2">
      <c r="B865" s="3" t="str">
        <f ca="1">IFERROR(__xludf.DUMMYFUNCTION("IF(ISBLANK(A865),"""",GOOGLETRANSLATE(A865,""en"",""fr""))"),"")</f>
        <v/>
      </c>
    </row>
    <row r="866" spans="2:2">
      <c r="B866" s="3" t="str">
        <f ca="1">IFERROR(__xludf.DUMMYFUNCTION("IF(ISBLANK(A866),"""",GOOGLETRANSLATE(A866,""en"",""fr""))"),"")</f>
        <v/>
      </c>
    </row>
    <row r="867" spans="2:2">
      <c r="B867" s="3" t="str">
        <f ca="1">IFERROR(__xludf.DUMMYFUNCTION("IF(ISBLANK(A867),"""",GOOGLETRANSLATE(A867,""en"",""fr""))"),"")</f>
        <v/>
      </c>
    </row>
    <row r="868" spans="2:2">
      <c r="B868" s="3" t="str">
        <f ca="1">IFERROR(__xludf.DUMMYFUNCTION("IF(ISBLANK(A868),"""",GOOGLETRANSLATE(A868,""en"",""fr""))"),"")</f>
        <v/>
      </c>
    </row>
    <row r="869" spans="2:2">
      <c r="B869" s="3" t="str">
        <f ca="1">IFERROR(__xludf.DUMMYFUNCTION("IF(ISBLANK(A869),"""",GOOGLETRANSLATE(A869,""en"",""fr""))"),"")</f>
        <v/>
      </c>
    </row>
    <row r="870" spans="2:2">
      <c r="B870" s="3" t="str">
        <f ca="1">IFERROR(__xludf.DUMMYFUNCTION("IF(ISBLANK(A870),"""",GOOGLETRANSLATE(A870,""en"",""fr""))"),"")</f>
        <v/>
      </c>
    </row>
    <row r="871" spans="2:2">
      <c r="B871" s="3" t="str">
        <f ca="1">IFERROR(__xludf.DUMMYFUNCTION("IF(ISBLANK(A871),"""",GOOGLETRANSLATE(A871,""en"",""fr""))"),"")</f>
        <v/>
      </c>
    </row>
    <row r="872" spans="2:2">
      <c r="B872" s="3" t="str">
        <f ca="1">IFERROR(__xludf.DUMMYFUNCTION("IF(ISBLANK(A872),"""",GOOGLETRANSLATE(A872,""en"",""fr""))"),"")</f>
        <v/>
      </c>
    </row>
    <row r="873" spans="2:2">
      <c r="B873" s="3" t="str">
        <f ca="1">IFERROR(__xludf.DUMMYFUNCTION("IF(ISBLANK(A873),"""",GOOGLETRANSLATE(A873,""en"",""fr""))"),"")</f>
        <v/>
      </c>
    </row>
    <row r="874" spans="2:2">
      <c r="B874" s="3" t="str">
        <f ca="1">IFERROR(__xludf.DUMMYFUNCTION("IF(ISBLANK(A874),"""",GOOGLETRANSLATE(A874,""en"",""fr""))"),"")</f>
        <v/>
      </c>
    </row>
    <row r="875" spans="2:2">
      <c r="B875" s="3" t="str">
        <f ca="1">IFERROR(__xludf.DUMMYFUNCTION("IF(ISBLANK(A875),"""",GOOGLETRANSLATE(A875,""en"",""fr""))"),"")</f>
        <v/>
      </c>
    </row>
    <row r="876" spans="2:2">
      <c r="B876" s="3" t="str">
        <f ca="1">IFERROR(__xludf.DUMMYFUNCTION("IF(ISBLANK(A876),"""",GOOGLETRANSLATE(A876,""en"",""fr""))"),"")</f>
        <v/>
      </c>
    </row>
    <row r="877" spans="2:2">
      <c r="B877" s="3" t="str">
        <f ca="1">IFERROR(__xludf.DUMMYFUNCTION("IF(ISBLANK(A877),"""",GOOGLETRANSLATE(A877,""en"",""fr""))"),"")</f>
        <v/>
      </c>
    </row>
    <row r="878" spans="2:2">
      <c r="B878" s="3" t="str">
        <f ca="1">IFERROR(__xludf.DUMMYFUNCTION("IF(ISBLANK(A878),"""",GOOGLETRANSLATE(A878,""en"",""fr""))"),"")</f>
        <v/>
      </c>
    </row>
    <row r="879" spans="2:2">
      <c r="B879" s="3" t="str">
        <f ca="1">IFERROR(__xludf.DUMMYFUNCTION("IF(ISBLANK(A879),"""",GOOGLETRANSLATE(A879,""en"",""fr""))"),"")</f>
        <v/>
      </c>
    </row>
    <row r="880" spans="2:2">
      <c r="B880" s="3" t="str">
        <f ca="1">IFERROR(__xludf.DUMMYFUNCTION("IF(ISBLANK(A880),"""",GOOGLETRANSLATE(A880,""en"",""fr""))"),"")</f>
        <v/>
      </c>
    </row>
    <row r="881" spans="2:2">
      <c r="B881" s="3" t="str">
        <f ca="1">IFERROR(__xludf.DUMMYFUNCTION("IF(ISBLANK(A881),"""",GOOGLETRANSLATE(A881,""en"",""fr""))"),"")</f>
        <v/>
      </c>
    </row>
    <row r="882" spans="2:2">
      <c r="B882" s="3" t="str">
        <f ca="1">IFERROR(__xludf.DUMMYFUNCTION("IF(ISBLANK(A882),"""",GOOGLETRANSLATE(A882,""en"",""fr""))"),"")</f>
        <v/>
      </c>
    </row>
    <row r="883" spans="2:2">
      <c r="B883" s="3" t="str">
        <f ca="1">IFERROR(__xludf.DUMMYFUNCTION("IF(ISBLANK(A883),"""",GOOGLETRANSLATE(A883,""en"",""fr""))"),"")</f>
        <v/>
      </c>
    </row>
    <row r="884" spans="2:2">
      <c r="B884" s="3" t="str">
        <f ca="1">IFERROR(__xludf.DUMMYFUNCTION("IF(ISBLANK(A884),"""",GOOGLETRANSLATE(A884,""en"",""fr""))"),"")</f>
        <v/>
      </c>
    </row>
    <row r="885" spans="2:2">
      <c r="B885" s="3" t="str">
        <f ca="1">IFERROR(__xludf.DUMMYFUNCTION("IF(ISBLANK(A885),"""",GOOGLETRANSLATE(A885,""en"",""fr""))"),"")</f>
        <v/>
      </c>
    </row>
    <row r="886" spans="2:2">
      <c r="B886" s="3" t="str">
        <f ca="1">IFERROR(__xludf.DUMMYFUNCTION("IF(ISBLANK(A886),"""",GOOGLETRANSLATE(A886,""en"",""fr""))"),"")</f>
        <v/>
      </c>
    </row>
    <row r="887" spans="2:2">
      <c r="B887" s="3" t="str">
        <f ca="1">IFERROR(__xludf.DUMMYFUNCTION("IF(ISBLANK(A887),"""",GOOGLETRANSLATE(A887,""en"",""fr""))"),"")</f>
        <v/>
      </c>
    </row>
    <row r="888" spans="2:2">
      <c r="B888" s="3" t="str">
        <f ca="1">IFERROR(__xludf.DUMMYFUNCTION("IF(ISBLANK(A888),"""",GOOGLETRANSLATE(A888,""en"",""fr""))"),"")</f>
        <v/>
      </c>
    </row>
    <row r="889" spans="2:2">
      <c r="B889" s="3" t="str">
        <f ca="1">IFERROR(__xludf.DUMMYFUNCTION("IF(ISBLANK(A889),"""",GOOGLETRANSLATE(A889,""en"",""fr""))"),"")</f>
        <v/>
      </c>
    </row>
    <row r="890" spans="2:2">
      <c r="B890" s="3" t="str">
        <f ca="1">IFERROR(__xludf.DUMMYFUNCTION("IF(ISBLANK(A890),"""",GOOGLETRANSLATE(A890,""en"",""fr""))"),"")</f>
        <v/>
      </c>
    </row>
    <row r="891" spans="2:2">
      <c r="B891" s="3" t="str">
        <f ca="1">IFERROR(__xludf.DUMMYFUNCTION("IF(ISBLANK(A891),"""",GOOGLETRANSLATE(A891,""en"",""fr""))"),"")</f>
        <v/>
      </c>
    </row>
    <row r="892" spans="2:2">
      <c r="B892" s="3" t="str">
        <f ca="1">IFERROR(__xludf.DUMMYFUNCTION("IF(ISBLANK(A892),"""",GOOGLETRANSLATE(A892,""en"",""fr""))"),"")</f>
        <v/>
      </c>
    </row>
    <row r="893" spans="2:2">
      <c r="B893" s="3" t="str">
        <f ca="1">IFERROR(__xludf.DUMMYFUNCTION("IF(ISBLANK(A893),"""",GOOGLETRANSLATE(A893,""en"",""fr""))"),"")</f>
        <v/>
      </c>
    </row>
    <row r="894" spans="2:2">
      <c r="B894" s="3" t="str">
        <f ca="1">IFERROR(__xludf.DUMMYFUNCTION("IF(ISBLANK(A894),"""",GOOGLETRANSLATE(A894,""en"",""fr""))"),"")</f>
        <v/>
      </c>
    </row>
    <row r="895" spans="2:2">
      <c r="B895" s="3" t="str">
        <f ca="1">IFERROR(__xludf.DUMMYFUNCTION("IF(ISBLANK(A895),"""",GOOGLETRANSLATE(A895,""en"",""fr""))"),"")</f>
        <v/>
      </c>
    </row>
    <row r="896" spans="2:2">
      <c r="B896" s="3" t="str">
        <f ca="1">IFERROR(__xludf.DUMMYFUNCTION("IF(ISBLANK(A896),"""",GOOGLETRANSLATE(A896,""en"",""fr""))"),"")</f>
        <v/>
      </c>
    </row>
    <row r="897" spans="2:2">
      <c r="B897" s="3" t="str">
        <f ca="1">IFERROR(__xludf.DUMMYFUNCTION("IF(ISBLANK(A897),"""",GOOGLETRANSLATE(A897,""en"",""fr""))"),"")</f>
        <v/>
      </c>
    </row>
    <row r="898" spans="2:2">
      <c r="B898" s="3" t="str">
        <f ca="1">IFERROR(__xludf.DUMMYFUNCTION("IF(ISBLANK(A898),"""",GOOGLETRANSLATE(A898,""en"",""fr""))"),"")</f>
        <v/>
      </c>
    </row>
    <row r="899" spans="2:2">
      <c r="B899" s="3" t="str">
        <f ca="1">IFERROR(__xludf.DUMMYFUNCTION("IF(ISBLANK(A899),"""",GOOGLETRANSLATE(A899,""en"",""fr""))"),"")</f>
        <v/>
      </c>
    </row>
    <row r="900" spans="2:2">
      <c r="B900" s="3" t="str">
        <f ca="1">IFERROR(__xludf.DUMMYFUNCTION("IF(ISBLANK(A900),"""",GOOGLETRANSLATE(A900,""en"",""fr""))"),"")</f>
        <v/>
      </c>
    </row>
    <row r="901" spans="2:2">
      <c r="B901" s="3" t="str">
        <f ca="1">IFERROR(__xludf.DUMMYFUNCTION("IF(ISBLANK(A901),"""",GOOGLETRANSLATE(A901,""en"",""fr""))"),"")</f>
        <v/>
      </c>
    </row>
    <row r="902" spans="2:2">
      <c r="B902" s="3" t="str">
        <f ca="1">IFERROR(__xludf.DUMMYFUNCTION("IF(ISBLANK(A902),"""",GOOGLETRANSLATE(A902,""en"",""fr""))"),"")</f>
        <v/>
      </c>
    </row>
    <row r="903" spans="2:2">
      <c r="B903" s="3" t="str">
        <f ca="1">IFERROR(__xludf.DUMMYFUNCTION("IF(ISBLANK(A903),"""",GOOGLETRANSLATE(A903,""en"",""fr""))"),"")</f>
        <v/>
      </c>
    </row>
    <row r="904" spans="2:2">
      <c r="B904" s="3" t="str">
        <f ca="1">IFERROR(__xludf.DUMMYFUNCTION("IF(ISBLANK(A904),"""",GOOGLETRANSLATE(A904,""en"",""fr""))"),"")</f>
        <v/>
      </c>
    </row>
    <row r="905" spans="2:2">
      <c r="B905" s="3" t="str">
        <f ca="1">IFERROR(__xludf.DUMMYFUNCTION("IF(ISBLANK(A905),"""",GOOGLETRANSLATE(A905,""en"",""fr""))"),"")</f>
        <v/>
      </c>
    </row>
    <row r="906" spans="2:2">
      <c r="B906" s="3" t="str">
        <f ca="1">IFERROR(__xludf.DUMMYFUNCTION("IF(ISBLANK(A906),"""",GOOGLETRANSLATE(A906,""en"",""fr""))"),"")</f>
        <v/>
      </c>
    </row>
    <row r="907" spans="2:2">
      <c r="B907" s="3" t="str">
        <f ca="1">IFERROR(__xludf.DUMMYFUNCTION("IF(ISBLANK(A907),"""",GOOGLETRANSLATE(A907,""en"",""fr""))"),"")</f>
        <v/>
      </c>
    </row>
    <row r="908" spans="2:2">
      <c r="B908" s="3" t="str">
        <f ca="1">IFERROR(__xludf.DUMMYFUNCTION("IF(ISBLANK(A908),"""",GOOGLETRANSLATE(A908,""en"",""fr""))"),"")</f>
        <v/>
      </c>
    </row>
    <row r="909" spans="2:2">
      <c r="B909" s="3" t="str">
        <f ca="1">IFERROR(__xludf.DUMMYFUNCTION("IF(ISBLANK(A909),"""",GOOGLETRANSLATE(A909,""en"",""fr""))"),"")</f>
        <v/>
      </c>
    </row>
    <row r="910" spans="2:2">
      <c r="B910" s="3" t="str">
        <f ca="1">IFERROR(__xludf.DUMMYFUNCTION("IF(ISBLANK(A910),"""",GOOGLETRANSLATE(A910,""en"",""fr""))"),"")</f>
        <v/>
      </c>
    </row>
    <row r="911" spans="2:2">
      <c r="B911" s="3" t="str">
        <f ca="1">IFERROR(__xludf.DUMMYFUNCTION("IF(ISBLANK(A911),"""",GOOGLETRANSLATE(A911,""en"",""fr""))"),"")</f>
        <v/>
      </c>
    </row>
    <row r="912" spans="2:2">
      <c r="B912" s="3" t="str">
        <f ca="1">IFERROR(__xludf.DUMMYFUNCTION("IF(ISBLANK(A912),"""",GOOGLETRANSLATE(A912,""en"",""fr""))"),"")</f>
        <v/>
      </c>
    </row>
    <row r="913" spans="2:2">
      <c r="B913" s="3" t="str">
        <f ca="1">IFERROR(__xludf.DUMMYFUNCTION("IF(ISBLANK(A913),"""",GOOGLETRANSLATE(A913,""en"",""fr""))"),"")</f>
        <v/>
      </c>
    </row>
    <row r="914" spans="2:2">
      <c r="B914" s="3" t="str">
        <f ca="1">IFERROR(__xludf.DUMMYFUNCTION("IF(ISBLANK(A914),"""",GOOGLETRANSLATE(A914,""en"",""fr""))"),"")</f>
        <v/>
      </c>
    </row>
    <row r="915" spans="2:2">
      <c r="B915" s="3" t="str">
        <f ca="1">IFERROR(__xludf.DUMMYFUNCTION("IF(ISBLANK(A915),"""",GOOGLETRANSLATE(A915,""en"",""fr""))"),"")</f>
        <v/>
      </c>
    </row>
    <row r="916" spans="2:2">
      <c r="B916" s="3" t="str">
        <f ca="1">IFERROR(__xludf.DUMMYFUNCTION("IF(ISBLANK(A916),"""",GOOGLETRANSLATE(A916,""en"",""fr""))"),"")</f>
        <v/>
      </c>
    </row>
    <row r="917" spans="2:2">
      <c r="B917" s="3" t="str">
        <f ca="1">IFERROR(__xludf.DUMMYFUNCTION("IF(ISBLANK(A917),"""",GOOGLETRANSLATE(A917,""en"",""fr""))"),"")</f>
        <v/>
      </c>
    </row>
    <row r="918" spans="2:2">
      <c r="B918" s="3" t="str">
        <f ca="1">IFERROR(__xludf.DUMMYFUNCTION("IF(ISBLANK(A918),"""",GOOGLETRANSLATE(A918,""en"",""fr""))"),"")</f>
        <v/>
      </c>
    </row>
    <row r="919" spans="2:2">
      <c r="B919" s="3" t="str">
        <f ca="1">IFERROR(__xludf.DUMMYFUNCTION("IF(ISBLANK(A919),"""",GOOGLETRANSLATE(A919,""en"",""fr""))"),"")</f>
        <v/>
      </c>
    </row>
    <row r="920" spans="2:2">
      <c r="B920" s="3" t="str">
        <f ca="1">IFERROR(__xludf.DUMMYFUNCTION("IF(ISBLANK(A920),"""",GOOGLETRANSLATE(A920,""en"",""fr""))"),"")</f>
        <v/>
      </c>
    </row>
    <row r="921" spans="2:2">
      <c r="B921" s="3" t="str">
        <f ca="1">IFERROR(__xludf.DUMMYFUNCTION("IF(ISBLANK(A921),"""",GOOGLETRANSLATE(A921,""en"",""fr""))"),"")</f>
        <v/>
      </c>
    </row>
    <row r="922" spans="2:2">
      <c r="B922" s="3" t="str">
        <f ca="1">IFERROR(__xludf.DUMMYFUNCTION("IF(ISBLANK(A922),"""",GOOGLETRANSLATE(A922,""en"",""fr""))"),"")</f>
        <v/>
      </c>
    </row>
    <row r="923" spans="2:2">
      <c r="B923" s="3" t="str">
        <f ca="1">IFERROR(__xludf.DUMMYFUNCTION("IF(ISBLANK(A923),"""",GOOGLETRANSLATE(A923,""en"",""fr""))"),"")</f>
        <v/>
      </c>
    </row>
    <row r="924" spans="2:2">
      <c r="B924" s="3" t="str">
        <f ca="1">IFERROR(__xludf.DUMMYFUNCTION("IF(ISBLANK(A924),"""",GOOGLETRANSLATE(A924,""en"",""fr""))"),"")</f>
        <v/>
      </c>
    </row>
    <row r="925" spans="2:2">
      <c r="B925" s="3" t="str">
        <f ca="1">IFERROR(__xludf.DUMMYFUNCTION("IF(ISBLANK(A925),"""",GOOGLETRANSLATE(A925,""en"",""fr""))"),"")</f>
        <v/>
      </c>
    </row>
    <row r="926" spans="2:2">
      <c r="B926" s="3" t="str">
        <f ca="1">IFERROR(__xludf.DUMMYFUNCTION("IF(ISBLANK(A926),"""",GOOGLETRANSLATE(A926,""en"",""fr""))"),"")</f>
        <v/>
      </c>
    </row>
    <row r="927" spans="2:2">
      <c r="B927" s="3" t="str">
        <f ca="1">IFERROR(__xludf.DUMMYFUNCTION("IF(ISBLANK(A927),"""",GOOGLETRANSLATE(A927,""en"",""fr""))"),"")</f>
        <v/>
      </c>
    </row>
    <row r="928" spans="2:2">
      <c r="B928" s="3" t="str">
        <f ca="1">IFERROR(__xludf.DUMMYFUNCTION("IF(ISBLANK(A928),"""",GOOGLETRANSLATE(A928,""en"",""fr""))"),"")</f>
        <v/>
      </c>
    </row>
    <row r="929" spans="2:2">
      <c r="B929" s="3" t="str">
        <f ca="1">IFERROR(__xludf.DUMMYFUNCTION("IF(ISBLANK(A929),"""",GOOGLETRANSLATE(A929,""en"",""fr""))"),"")</f>
        <v/>
      </c>
    </row>
    <row r="930" spans="2:2">
      <c r="B930" s="3" t="str">
        <f ca="1">IFERROR(__xludf.DUMMYFUNCTION("IF(ISBLANK(A930),"""",GOOGLETRANSLATE(A930,""en"",""fr""))"),"")</f>
        <v/>
      </c>
    </row>
    <row r="931" spans="2:2">
      <c r="B931" s="3" t="str">
        <f ca="1">IFERROR(__xludf.DUMMYFUNCTION("IF(ISBLANK(A931),"""",GOOGLETRANSLATE(A931,""en"",""fr""))"),"")</f>
        <v/>
      </c>
    </row>
    <row r="932" spans="2:2">
      <c r="B932" s="3" t="str">
        <f ca="1">IFERROR(__xludf.DUMMYFUNCTION("IF(ISBLANK(A932),"""",GOOGLETRANSLATE(A932,""en"",""fr""))"),"")</f>
        <v/>
      </c>
    </row>
    <row r="933" spans="2:2">
      <c r="B933" s="3" t="str">
        <f ca="1">IFERROR(__xludf.DUMMYFUNCTION("IF(ISBLANK(A933),"""",GOOGLETRANSLATE(A933,""en"",""fr""))"),"")</f>
        <v/>
      </c>
    </row>
    <row r="934" spans="2:2">
      <c r="B934" s="3" t="str">
        <f ca="1">IFERROR(__xludf.DUMMYFUNCTION("IF(ISBLANK(A934),"""",GOOGLETRANSLATE(A934,""en"",""fr""))"),"")</f>
        <v/>
      </c>
    </row>
    <row r="935" spans="2:2">
      <c r="B935" s="3" t="str">
        <f ca="1">IFERROR(__xludf.DUMMYFUNCTION("IF(ISBLANK(A935),"""",GOOGLETRANSLATE(A935,""en"",""fr""))"),"")</f>
        <v/>
      </c>
    </row>
    <row r="936" spans="2:2">
      <c r="B936" s="3" t="str">
        <f ca="1">IFERROR(__xludf.DUMMYFUNCTION("IF(ISBLANK(A936),"""",GOOGLETRANSLATE(A936,""en"",""fr""))"),"")</f>
        <v/>
      </c>
    </row>
    <row r="937" spans="2:2">
      <c r="B937" s="3" t="str">
        <f ca="1">IFERROR(__xludf.DUMMYFUNCTION("IF(ISBLANK(A937),"""",GOOGLETRANSLATE(A937,""en"",""fr""))"),"")</f>
        <v/>
      </c>
    </row>
    <row r="938" spans="2:2">
      <c r="B938" s="3" t="str">
        <f ca="1">IFERROR(__xludf.DUMMYFUNCTION("IF(ISBLANK(A938),"""",GOOGLETRANSLATE(A938,""en"",""fr""))"),"")</f>
        <v/>
      </c>
    </row>
    <row r="939" spans="2:2">
      <c r="B939" s="3" t="str">
        <f ca="1">IFERROR(__xludf.DUMMYFUNCTION("IF(ISBLANK(A939),"""",GOOGLETRANSLATE(A939,""en"",""fr""))"),"")</f>
        <v/>
      </c>
    </row>
    <row r="940" spans="2:2">
      <c r="B940" s="3" t="str">
        <f ca="1">IFERROR(__xludf.DUMMYFUNCTION("IF(ISBLANK(A940),"""",GOOGLETRANSLATE(A940,""en"",""fr""))"),"")</f>
        <v/>
      </c>
    </row>
    <row r="941" spans="2:2">
      <c r="B941" s="3" t="str">
        <f ca="1">IFERROR(__xludf.DUMMYFUNCTION("IF(ISBLANK(A941),"""",GOOGLETRANSLATE(A941,""en"",""fr""))"),"")</f>
        <v/>
      </c>
    </row>
    <row r="942" spans="2:2">
      <c r="B942" s="3" t="str">
        <f ca="1">IFERROR(__xludf.DUMMYFUNCTION("IF(ISBLANK(A942),"""",GOOGLETRANSLATE(A942,""en"",""fr""))"),"")</f>
        <v/>
      </c>
    </row>
    <row r="943" spans="2:2">
      <c r="B943" s="3" t="str">
        <f ca="1">IFERROR(__xludf.DUMMYFUNCTION("IF(ISBLANK(A943),"""",GOOGLETRANSLATE(A943,""en"",""fr""))"),"")</f>
        <v/>
      </c>
    </row>
    <row r="944" spans="2:2">
      <c r="B944" s="3" t="str">
        <f ca="1">IFERROR(__xludf.DUMMYFUNCTION("IF(ISBLANK(A944),"""",GOOGLETRANSLATE(A944,""en"",""fr""))"),"")</f>
        <v/>
      </c>
    </row>
    <row r="945" spans="2:2">
      <c r="B945" s="3" t="str">
        <f ca="1">IFERROR(__xludf.DUMMYFUNCTION("IF(ISBLANK(A945),"""",GOOGLETRANSLATE(A945,""en"",""fr""))"),"")</f>
        <v/>
      </c>
    </row>
    <row r="946" spans="2:2">
      <c r="B946" s="3" t="str">
        <f ca="1">IFERROR(__xludf.DUMMYFUNCTION("IF(ISBLANK(A946),"""",GOOGLETRANSLATE(A946,""en"",""fr""))"),"")</f>
        <v/>
      </c>
    </row>
    <row r="947" spans="2:2">
      <c r="B947" s="3" t="str">
        <f ca="1">IFERROR(__xludf.DUMMYFUNCTION("IF(ISBLANK(A947),"""",GOOGLETRANSLATE(A947,""en"",""fr""))"),"")</f>
        <v/>
      </c>
    </row>
    <row r="948" spans="2:2">
      <c r="B948" s="3" t="str">
        <f ca="1">IFERROR(__xludf.DUMMYFUNCTION("IF(ISBLANK(A948),"""",GOOGLETRANSLATE(A948,""en"",""fr""))"),"")</f>
        <v/>
      </c>
    </row>
    <row r="949" spans="2:2">
      <c r="B949" s="3" t="str">
        <f ca="1">IFERROR(__xludf.DUMMYFUNCTION("IF(ISBLANK(A949),"""",GOOGLETRANSLATE(A949,""en"",""fr""))"),"")</f>
        <v/>
      </c>
    </row>
    <row r="950" spans="2:2">
      <c r="B950" s="3" t="str">
        <f ca="1">IFERROR(__xludf.DUMMYFUNCTION("IF(ISBLANK(A950),"""",GOOGLETRANSLATE(A950,""en"",""fr""))"),"")</f>
        <v/>
      </c>
    </row>
    <row r="951" spans="2:2">
      <c r="B951" s="3" t="str">
        <f ca="1">IFERROR(__xludf.DUMMYFUNCTION("IF(ISBLANK(A951),"""",GOOGLETRANSLATE(A951,""en"",""fr""))"),"")</f>
        <v/>
      </c>
    </row>
    <row r="952" spans="2:2">
      <c r="B952" s="3" t="str">
        <f ca="1">IFERROR(__xludf.DUMMYFUNCTION("IF(ISBLANK(A952),"""",GOOGLETRANSLATE(A952,""en"",""fr""))"),"")</f>
        <v/>
      </c>
    </row>
    <row r="953" spans="2:2">
      <c r="B953" s="3" t="str">
        <f ca="1">IFERROR(__xludf.DUMMYFUNCTION("IF(ISBLANK(A953),"""",GOOGLETRANSLATE(A953,""en"",""fr""))"),"")</f>
        <v/>
      </c>
    </row>
    <row r="954" spans="2:2">
      <c r="B954" s="3" t="str">
        <f ca="1">IFERROR(__xludf.DUMMYFUNCTION("IF(ISBLANK(A954),"""",GOOGLETRANSLATE(A954,""en"",""fr""))"),"")</f>
        <v/>
      </c>
    </row>
    <row r="955" spans="2:2">
      <c r="B955" s="3" t="str">
        <f ca="1">IFERROR(__xludf.DUMMYFUNCTION("IF(ISBLANK(A955),"""",GOOGLETRANSLATE(A955,""en"",""fr""))"),"")</f>
        <v/>
      </c>
    </row>
    <row r="956" spans="2:2">
      <c r="B956" s="3" t="str">
        <f ca="1">IFERROR(__xludf.DUMMYFUNCTION("IF(ISBLANK(A956),"""",GOOGLETRANSLATE(A956,""en"",""fr""))"),"")</f>
        <v/>
      </c>
    </row>
    <row r="957" spans="2:2">
      <c r="B957" s="3" t="str">
        <f ca="1">IFERROR(__xludf.DUMMYFUNCTION("IF(ISBLANK(A957),"""",GOOGLETRANSLATE(A957,""en"",""fr""))"),"")</f>
        <v/>
      </c>
    </row>
    <row r="958" spans="2:2">
      <c r="B958" s="3" t="str">
        <f ca="1">IFERROR(__xludf.DUMMYFUNCTION("IF(ISBLANK(A958),"""",GOOGLETRANSLATE(A958,""en"",""fr""))"),"")</f>
        <v/>
      </c>
    </row>
    <row r="959" spans="2:2">
      <c r="B959" s="3" t="str">
        <f ca="1">IFERROR(__xludf.DUMMYFUNCTION("IF(ISBLANK(A959),"""",GOOGLETRANSLATE(A959,""en"",""fr""))"),"")</f>
        <v/>
      </c>
    </row>
    <row r="960" spans="2:2">
      <c r="B960" s="3" t="str">
        <f ca="1">IFERROR(__xludf.DUMMYFUNCTION("IF(ISBLANK(A960),"""",GOOGLETRANSLATE(A960,""en"",""fr""))"),"")</f>
        <v/>
      </c>
    </row>
    <row r="961" spans="2:2">
      <c r="B961" s="3" t="str">
        <f ca="1">IFERROR(__xludf.DUMMYFUNCTION("IF(ISBLANK(A961),"""",GOOGLETRANSLATE(A961,""en"",""fr""))"),"")</f>
        <v/>
      </c>
    </row>
    <row r="962" spans="2:2">
      <c r="B962" s="3" t="str">
        <f ca="1">IFERROR(__xludf.DUMMYFUNCTION("IF(ISBLANK(A962),"""",GOOGLETRANSLATE(A962,""en"",""fr""))"),"")</f>
        <v/>
      </c>
    </row>
    <row r="963" spans="2:2">
      <c r="B963" s="3" t="str">
        <f ca="1">IFERROR(__xludf.DUMMYFUNCTION("IF(ISBLANK(A963),"""",GOOGLETRANSLATE(A963,""en"",""fr""))"),"")</f>
        <v/>
      </c>
    </row>
    <row r="964" spans="2:2">
      <c r="B964" s="3" t="str">
        <f ca="1">IFERROR(__xludf.DUMMYFUNCTION("IF(ISBLANK(A964),"""",GOOGLETRANSLATE(A964,""en"",""fr""))"),"")</f>
        <v/>
      </c>
    </row>
    <row r="965" spans="2:2">
      <c r="B965" s="3" t="str">
        <f ca="1">IFERROR(__xludf.DUMMYFUNCTION("IF(ISBLANK(A965),"""",GOOGLETRANSLATE(A965,""en"",""fr""))"),"")</f>
        <v/>
      </c>
    </row>
    <row r="966" spans="2:2">
      <c r="B966" s="3" t="str">
        <f ca="1">IFERROR(__xludf.DUMMYFUNCTION("IF(ISBLANK(A966),"""",GOOGLETRANSLATE(A966,""en"",""fr""))"),"")</f>
        <v/>
      </c>
    </row>
    <row r="967" spans="2:2">
      <c r="B967" s="3" t="str">
        <f ca="1">IFERROR(__xludf.DUMMYFUNCTION("IF(ISBLANK(A967),"""",GOOGLETRANSLATE(A967,""en"",""fr""))"),"")</f>
        <v/>
      </c>
    </row>
    <row r="968" spans="2:2">
      <c r="B968" s="3" t="str">
        <f ca="1">IFERROR(__xludf.DUMMYFUNCTION("IF(ISBLANK(A968),"""",GOOGLETRANSLATE(A968,""en"",""fr""))"),"")</f>
        <v/>
      </c>
    </row>
    <row r="969" spans="2:2">
      <c r="B969" s="3" t="str">
        <f ca="1">IFERROR(__xludf.DUMMYFUNCTION("IF(ISBLANK(A969),"""",GOOGLETRANSLATE(A969,""en"",""fr""))"),"")</f>
        <v/>
      </c>
    </row>
    <row r="970" spans="2:2">
      <c r="B970" s="3" t="str">
        <f ca="1">IFERROR(__xludf.DUMMYFUNCTION("IF(ISBLANK(A970),"""",GOOGLETRANSLATE(A970,""en"",""fr""))"),"")</f>
        <v/>
      </c>
    </row>
    <row r="971" spans="2:2">
      <c r="B971" s="3" t="str">
        <f ca="1">IFERROR(__xludf.DUMMYFUNCTION("IF(ISBLANK(A971),"""",GOOGLETRANSLATE(A971,""en"",""fr""))"),"")</f>
        <v/>
      </c>
    </row>
    <row r="972" spans="2:2">
      <c r="B972" s="3" t="str">
        <f ca="1">IFERROR(__xludf.DUMMYFUNCTION("IF(ISBLANK(A972),"""",GOOGLETRANSLATE(A972,""en"",""fr""))"),"")</f>
        <v/>
      </c>
    </row>
    <row r="973" spans="2:2">
      <c r="B973" s="3" t="str">
        <f ca="1">IFERROR(__xludf.DUMMYFUNCTION("IF(ISBLANK(A973),"""",GOOGLETRANSLATE(A973,""en"",""fr""))"),"")</f>
        <v/>
      </c>
    </row>
    <row r="974" spans="2:2">
      <c r="B974" s="3" t="str">
        <f ca="1">IFERROR(__xludf.DUMMYFUNCTION("IF(ISBLANK(A974),"""",GOOGLETRANSLATE(A974,""en"",""fr""))"),"")</f>
        <v/>
      </c>
    </row>
    <row r="975" spans="2:2">
      <c r="B975" s="3" t="str">
        <f ca="1">IFERROR(__xludf.DUMMYFUNCTION("IF(ISBLANK(A975),"""",GOOGLETRANSLATE(A975,""en"",""fr""))"),"")</f>
        <v/>
      </c>
    </row>
    <row r="976" spans="2:2">
      <c r="B976" s="3" t="str">
        <f ca="1">IFERROR(__xludf.DUMMYFUNCTION("IF(ISBLANK(A976),"""",GOOGLETRANSLATE(A976,""en"",""fr""))"),"")</f>
        <v/>
      </c>
    </row>
    <row r="977" spans="2:2">
      <c r="B977" s="3" t="str">
        <f ca="1">IFERROR(__xludf.DUMMYFUNCTION("IF(ISBLANK(A977),"""",GOOGLETRANSLATE(A977,""en"",""fr""))"),"")</f>
        <v/>
      </c>
    </row>
    <row r="978" spans="2:2">
      <c r="B978" s="3" t="str">
        <f ca="1">IFERROR(__xludf.DUMMYFUNCTION("IF(ISBLANK(A978),"""",GOOGLETRANSLATE(A978,""en"",""fr""))"),"")</f>
        <v/>
      </c>
    </row>
    <row r="979" spans="2:2">
      <c r="B979" s="3" t="str">
        <f ca="1">IFERROR(__xludf.DUMMYFUNCTION("IF(ISBLANK(A979),"""",GOOGLETRANSLATE(A979,""en"",""fr""))"),"")</f>
        <v/>
      </c>
    </row>
    <row r="980" spans="2:2">
      <c r="B980" s="3" t="str">
        <f ca="1">IFERROR(__xludf.DUMMYFUNCTION("IF(ISBLANK(A980),"""",GOOGLETRANSLATE(A980,""en"",""fr""))"),"")</f>
        <v/>
      </c>
    </row>
    <row r="981" spans="2:2">
      <c r="B981" s="3" t="str">
        <f ca="1">IFERROR(__xludf.DUMMYFUNCTION("IF(ISBLANK(A981),"""",GOOGLETRANSLATE(A981,""en"",""fr""))"),"")</f>
        <v/>
      </c>
    </row>
    <row r="982" spans="2:2">
      <c r="B982" s="3" t="str">
        <f ca="1">IFERROR(__xludf.DUMMYFUNCTION("IF(ISBLANK(A982),"""",GOOGLETRANSLATE(A982,""en"",""fr""))"),"")</f>
        <v/>
      </c>
    </row>
    <row r="983" spans="2:2">
      <c r="B983" s="3" t="str">
        <f ca="1">IFERROR(__xludf.DUMMYFUNCTION("IF(ISBLANK(A983),"""",GOOGLETRANSLATE(A983,""en"",""fr""))"),"")</f>
        <v/>
      </c>
    </row>
    <row r="984" spans="2:2">
      <c r="B984" s="3" t="str">
        <f ca="1">IFERROR(__xludf.DUMMYFUNCTION("IF(ISBLANK(A984),"""",GOOGLETRANSLATE(A984,""en"",""fr""))"),"")</f>
        <v/>
      </c>
    </row>
    <row r="985" spans="2:2">
      <c r="B985" s="3" t="str">
        <f ca="1">IFERROR(__xludf.DUMMYFUNCTION("IF(ISBLANK(A985),"""",GOOGLETRANSLATE(A985,""en"",""fr""))"),"")</f>
        <v/>
      </c>
    </row>
    <row r="986" spans="2:2">
      <c r="B986" s="3" t="str">
        <f ca="1">IFERROR(__xludf.DUMMYFUNCTION("IF(ISBLANK(A986),"""",GOOGLETRANSLATE(A986,""en"",""fr""))"),"")</f>
        <v/>
      </c>
    </row>
    <row r="987" spans="2:2">
      <c r="B987" s="3" t="str">
        <f ca="1">IFERROR(__xludf.DUMMYFUNCTION("IF(ISBLANK(A987),"""",GOOGLETRANSLATE(A987,""en"",""fr""))"),"")</f>
        <v/>
      </c>
    </row>
    <row r="988" spans="2:2">
      <c r="B988" s="3" t="str">
        <f ca="1">IFERROR(__xludf.DUMMYFUNCTION("IF(ISBLANK(A988),"""",GOOGLETRANSLATE(A988,""en"",""fr""))"),"")</f>
        <v/>
      </c>
    </row>
    <row r="989" spans="2:2">
      <c r="B989" s="3" t="str">
        <f ca="1">IFERROR(__xludf.DUMMYFUNCTION("IF(ISBLANK(A989),"""",GOOGLETRANSLATE(A989,""en"",""fr""))"),"")</f>
        <v/>
      </c>
    </row>
    <row r="990" spans="2:2">
      <c r="B990" s="3" t="str">
        <f ca="1">IFERROR(__xludf.DUMMYFUNCTION("IF(ISBLANK(A990),"""",GOOGLETRANSLATE(A990,""en"",""fr""))"),"")</f>
        <v/>
      </c>
    </row>
    <row r="991" spans="2:2">
      <c r="B991" s="3" t="str">
        <f ca="1">IFERROR(__xludf.DUMMYFUNCTION("IF(ISBLANK(A991),"""",GOOGLETRANSLATE(A991,""en"",""fr""))"),"")</f>
        <v/>
      </c>
    </row>
    <row r="992" spans="2:2">
      <c r="B992" s="3" t="str">
        <f ca="1">IFERROR(__xludf.DUMMYFUNCTION("IF(ISBLANK(A992),"""",GOOGLETRANSLATE(A992,""en"",""fr""))"),"")</f>
        <v/>
      </c>
    </row>
    <row r="993" spans="2:2">
      <c r="B993" s="3" t="str">
        <f ca="1">IFERROR(__xludf.DUMMYFUNCTION("IF(ISBLANK(A993),"""",GOOGLETRANSLATE(A993,""en"",""fr""))"),"")</f>
        <v/>
      </c>
    </row>
    <row r="994" spans="2:2">
      <c r="B994" s="3" t="str">
        <f ca="1">IFERROR(__xludf.DUMMYFUNCTION("IF(ISBLANK(A994),"""",GOOGLETRANSLATE(A994,""en"",""fr""))"),"")</f>
        <v/>
      </c>
    </row>
    <row r="995" spans="2:2">
      <c r="B995" s="3" t="str">
        <f ca="1">IFERROR(__xludf.DUMMYFUNCTION("IF(ISBLANK(A995),"""",GOOGLETRANSLATE(A995,""en"",""fr""))"),"")</f>
        <v/>
      </c>
    </row>
    <row r="996" spans="2:2">
      <c r="B996" s="3" t="str">
        <f ca="1">IFERROR(__xludf.DUMMYFUNCTION("IF(ISBLANK(A996),"""",GOOGLETRANSLATE(A996,""en"",""fr""))"),"")</f>
        <v/>
      </c>
    </row>
    <row r="997" spans="2:2">
      <c r="B997" s="3" t="str">
        <f ca="1">IFERROR(__xludf.DUMMYFUNCTION("IF(ISBLANK(A997),"""",GOOGLETRANSLATE(A997,""en"",""fr""))"),"")</f>
        <v/>
      </c>
    </row>
    <row r="998" spans="2:2">
      <c r="B998" s="3" t="str">
        <f ca="1">IFERROR(__xludf.DUMMYFUNCTION("IF(ISBLANK(A998),"""",GOOGLETRANSLATE(A998,""en"",""fr""))"),"")</f>
        <v/>
      </c>
    </row>
    <row r="999" spans="2:2">
      <c r="B999" s="3" t="str">
        <f ca="1">IFERROR(__xludf.DUMMYFUNCTION("IF(ISBLANK(A999),"""",GOOGLETRANSLATE(A999,""en"",""fr""))"),"")</f>
        <v/>
      </c>
    </row>
    <row r="1000" spans="2:2">
      <c r="B1000" s="3" t="str">
        <f ca="1">IFERROR(__xludf.DUMMYFUNCTION("IF(ISBLANK(A1000),"""",GOOGLETRANSLATE(A1000,""en"",""fr""))"),"")</f>
        <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B1000"/>
  <sheetViews>
    <sheetView workbookViewId="0"/>
  </sheetViews>
  <sheetFormatPr defaultColWidth="12.6640625" defaultRowHeight="15.75" customHeight="1"/>
  <cols>
    <col min="1" max="1" width="100.6640625" customWidth="1"/>
  </cols>
  <sheetData>
    <row r="1" spans="1:2">
      <c r="A1" s="1" t="s">
        <v>0</v>
      </c>
      <c r="B1" s="1"/>
    </row>
    <row r="2" spans="1:2">
      <c r="A2" s="3" t="s">
        <v>1039</v>
      </c>
      <c r="B2" s="3" t="str">
        <f ca="1">IFERROR(__xludf.DUMMYFUNCTION("IF(ISBLANK(A2),"""",GOOGLETRANSLATE(A2,""en"",""fr""))"),"Déclaration de transparence sur la loi sur l'esclavage moderne")</f>
        <v>Déclaration de transparence sur la loi sur l'esclavage moderne</v>
      </c>
    </row>
    <row r="3" spans="1:2">
      <c r="A3" s="3" t="s">
        <v>1040</v>
      </c>
      <c r="B3" s="3" t="str">
        <f ca="1">IFERROR(__xludf.DUMMYFUNCTION("IF(ISBLANK(A3),"""",GOOGLETRANSLATE(A3,""en"",""fr""))"),"Notre organisation :")</f>
        <v>Notre organisation :</v>
      </c>
    </row>
    <row r="4" spans="1:2">
      <c r="A4" s="3" t="s">
        <v>1041</v>
      </c>
      <c r="B4" s="3" t="str">
        <f ca="1">IFERROR(__xludf.DUMMYFUNCTION("IF(ISBLANK(A4),"""",GOOGLETRANSLATE(A4,""en"",""fr""))"),"NetSol Technologies, Inc. (« Netsol ») reconnaît les droits de l'homme proclamés au niveau international et s'engage pleinement dans la lutte contre l'esclavage et la traite des êtres humains. Nous concevons, développons, commercialisons et exportons des "&amp;"logiciels propriétaires destinés à des clients des secteurs du financement et de la location automobile, de la banque et des services financiers du monde entier. Nous fournissons également des services d'intégration de systèmes, de conseil et de produits "&amp;"et services informatiques moyennant des honoraires.")</f>
        <v>NetSol Technologies, Inc. (« Netsol ») reconnaît les droits de l'homme proclamés au niveau international et s'engage pleinement dans la lutte contre l'esclavage et la traite des êtres humains. Nous concevons, développons, commercialisons et exportons des logiciels propriétaires destinés à des clients des secteurs du financement et de la location automobile, de la banque et des services financiers du monde entier. Nous fournissons également des services d'intégration de systèmes, de conseil et de produits et services informatiques moyennant des honoraires.</v>
      </c>
    </row>
    <row r="5" spans="1:2">
      <c r="A5" s="3" t="s">
        <v>1042</v>
      </c>
      <c r="B5" s="3" t="str">
        <f ca="1">IFERROR(__xludf.DUMMYFUNCTION("IF(ISBLANK(A5),"""",GOOGLETRANSLATE(A5,""en"",""fr""))"),"Nous possédons dix filiales à 100 % et six filiales à participation majoritaire dans le monde entier, y compris au Royaume-Uni. Notre société mère est immatriculée aux États-Unis. NETSOL emploie plus de 1 400 personnes à travers le monde.")</f>
        <v>Nous possédons dix filiales à 100 % et six filiales à participation majoritaire dans le monde entier, y compris au Royaume-Uni. Notre société mère est immatriculée aux États-Unis. NETSOL emploie plus de 1 400 personnes à travers le monde.</v>
      </c>
    </row>
    <row r="6" spans="1:2">
      <c r="A6" s="3" t="s">
        <v>1043</v>
      </c>
      <c r="B6" s="3" t="str">
        <f ca="1">IFERROR(__xludf.DUMMYFUNCTION("IF(ISBLANK(A6),"""",GOOGLETRANSLATE(A6,""en"",""fr""))"),"La politique de NetSol en matière de droits de la personne reconnaît les droits de la personne internationaux tels qu'énoncés dans la Déclaration universelle des droits de l'homme. Notre politique reflète nos responsabilités en matière d'esclavage et de t"&amp;"raite des êtres humains.")</f>
        <v>La politique de NetSol en matière de droits de la personne reconnaît les droits de la personne internationaux tels qu'énoncés dans la Déclaration universelle des droits de l'homme. Notre politique reflète nos responsabilités en matière d'esclavage et de traite des êtres humains.</v>
      </c>
    </row>
    <row r="7" spans="1:2">
      <c r="A7" s="3" t="s">
        <v>1044</v>
      </c>
      <c r="B7" s="3" t="str">
        <f ca="1">IFERROR(__xludf.DUMMYFUNCTION("IF(ISBLANK(A7),"""",GOOGLETRANSLATE(A7,""en"",""fr""))"),"Nos politiques et notre diligence raisonnable en matière d’esclavage et de traite des êtres humains :")</f>
        <v>Nos politiques et notre diligence raisonnable en matière d’esclavage et de traite des êtres humains :</v>
      </c>
    </row>
    <row r="8" spans="1:2">
      <c r="A8" s="3" t="s">
        <v>1045</v>
      </c>
      <c r="B8" s="3" t="str">
        <f ca="1">IFERROR(__xludf.DUMMYFUNCTION("IF(ISBLANK(A8),"""",GOOGLETRANSLATE(A8,""en"",""fr""))"),"Nous nous engageons à garantir l'absence d'esclavage moderne et de traite d'êtres humains dans nos chaînes d'approvisionnement et dans tous nos secteurs d'activité. En tant qu'entreprise de logiciels et de services, nous ne disposons d'aucune unité de pro"&amp;"duction ni d'aucune chaîne d'approvisionnement de biens matériels. Par conséquent, nous estimons que le risque d'esclavage et/ou de traite d'êtres humains dans notre chaîne d'approvisionnement est très faible. Cependant, notre entreprise s'engage à promou"&amp;"voir et à protéger les droits humains partout où nous exerçons ses activités. Nous attendons de nos fournisseurs et autres partenaires commerciaux qu'ils adoptent un comportement éthique, qu'ils se conforment à toutes les lois et réglementations applicabl"&amp;"es et qu'ils prennent des mesures pour promouvoir l'éradication de la traite d'êtres humains et de l'esclavage. Nous continuerons de collaborer avec nos fournisseurs et d'affiner nos propres exigences et processus afin de renforcer notre engagement en fav"&amp;"eur des droits humains et une culture de comportement éthique, d'intégrité et de respect.")</f>
        <v>Nous nous engageons à garantir l'absence d'esclavage moderne et de traite d'êtres humains dans nos chaînes d'approvisionnement et dans tous nos secteurs d'activité. En tant qu'entreprise de logiciels et de services, nous ne disposons d'aucune unité de production ni d'aucune chaîne d'approvisionnement de biens matériels. Par conséquent, nous estimons que le risque d'esclavage et/ou de traite d'êtres humains dans notre chaîne d'approvisionnement est très faible. Cependant, notre entreprise s'engage à promouvoir et à protéger les droits humains partout où nous exerçons ses activités. Nous attendons de nos fournisseurs et autres partenaires commerciaux qu'ils adoptent un comportement éthique, qu'ils se conforment à toutes les lois et réglementations applicables et qu'ils prennent des mesures pour promouvoir l'éradication de la traite d'êtres humains et de l'esclavage. Nous continuerons de collaborer avec nos fournisseurs et d'affiner nos propres exigences et processus afin de renforcer notre engagement en faveur des droits humains et une culture de comportement éthique, d'intégrité et de respect.</v>
      </c>
    </row>
    <row r="9" spans="1:2">
      <c r="A9" s="3" t="s">
        <v>1046</v>
      </c>
      <c r="B9" s="3" t="str">
        <f ca="1">IFERROR(__xludf.DUMMYFUNCTION("IF(ISBLANK(A9),"""",GOOGLETRANSLATE(A9,""en"",""fr""))"),"Cette déclaration est faite conformément à l’article 54(1) de la loi sur l’esclavage moderne de 2015 et constitue la déclaration de notre société sur l’esclavage et la traite des êtres humains pour l’exercice se terminant le 30 juin 2024.")</f>
        <v>Cette déclaration est faite conformément à l’article 54(1) de la loi sur l’esclavage moderne de 2015 et constitue la déclaration de notre société sur l’esclavage et la traite des êtres humains pour l’exercice se terminant le 30 juin 2024.</v>
      </c>
    </row>
    <row r="10" spans="1:2">
      <c r="A10" s="3" t="s">
        <v>779</v>
      </c>
      <c r="B10" s="3" t="str">
        <f ca="1">IFERROR(__xludf.DUMMYFUNCTION("IF(ISBLANK(A10),"""",GOOGLETRANSLATE(A10,""en"",""fr""))"),"Najeeb Ghauri")</f>
        <v>Najeeb Ghauri</v>
      </c>
    </row>
    <row r="11" spans="1:2">
      <c r="A11" s="3" t="s">
        <v>1047</v>
      </c>
      <c r="B11" s="3" t="str">
        <f ca="1">IFERROR(__xludf.DUMMYFUNCTION("IF(ISBLANK(A11),"""",GOOGLETRANSLATE(A11,""en"",""fr""))"),"PDG,")</f>
        <v>PDG,</v>
      </c>
    </row>
    <row r="12" spans="1:2">
      <c r="A12" s="3" t="s">
        <v>793</v>
      </c>
      <c r="B12" s="3" t="str">
        <f ca="1">IFERROR(__xludf.DUMMYFUNCTION("IF(ISBLANK(A12),"""",GOOGLETRANSLATE(A12,""en"",""fr""))"),"NETSOL Technologies, Inc.")</f>
        <v>NETSOL Technologies, Inc.</v>
      </c>
    </row>
    <row r="13" spans="1:2">
      <c r="B13" s="3" t="str">
        <f ca="1">IFERROR(__xludf.DUMMYFUNCTION("IF(ISBLANK(A13),"""",GOOGLETRANSLATE(A13,""en"",""fr""))"),"")</f>
        <v/>
      </c>
    </row>
    <row r="14" spans="1:2">
      <c r="B14" s="3" t="str">
        <f ca="1">IFERROR(__xludf.DUMMYFUNCTION("IF(ISBLANK(A14),"""",GOOGLETRANSLATE(A14,""en"",""fr""))"),"")</f>
        <v/>
      </c>
    </row>
    <row r="15" spans="1:2">
      <c r="B15" s="3" t="str">
        <f ca="1">IFERROR(__xludf.DUMMYFUNCTION("IF(ISBLANK(A15),"""",GOOGLETRANSLATE(A15,""en"",""fr""))"),"")</f>
        <v/>
      </c>
    </row>
    <row r="16" spans="1:2">
      <c r="B16" s="3" t="str">
        <f ca="1">IFERROR(__xludf.DUMMYFUNCTION("IF(ISBLANK(A16),"""",GOOGLETRANSLATE(A16,""en"",""fr""))"),"")</f>
        <v/>
      </c>
    </row>
    <row r="17" spans="2:2">
      <c r="B17" s="3" t="str">
        <f ca="1">IFERROR(__xludf.DUMMYFUNCTION("IF(ISBLANK(A17),"""",GOOGLETRANSLATE(A17,""en"",""fr""))"),"")</f>
        <v/>
      </c>
    </row>
    <row r="18" spans="2:2">
      <c r="B18" s="3" t="str">
        <f ca="1">IFERROR(__xludf.DUMMYFUNCTION("IF(ISBLANK(A18),"""",GOOGLETRANSLATE(A18,""en"",""fr""))"),"")</f>
        <v/>
      </c>
    </row>
    <row r="19" spans="2:2">
      <c r="B19" s="3" t="str">
        <f ca="1">IFERROR(__xludf.DUMMYFUNCTION("IF(ISBLANK(A19),"""",GOOGLETRANSLATE(A19,""en"",""fr""))"),"")</f>
        <v/>
      </c>
    </row>
    <row r="20" spans="2:2">
      <c r="B20" s="3" t="str">
        <f ca="1">IFERROR(__xludf.DUMMYFUNCTION("IF(ISBLANK(A20),"""",GOOGLETRANSLATE(A20,""en"",""fr""))"),"")</f>
        <v/>
      </c>
    </row>
    <row r="21" spans="2:2">
      <c r="B21" s="3" t="str">
        <f ca="1">IFERROR(__xludf.DUMMYFUNCTION("IF(ISBLANK(A21),"""",GOOGLETRANSLATE(A21,""en"",""fr""))"),"")</f>
        <v/>
      </c>
    </row>
    <row r="22" spans="2:2">
      <c r="B22" s="3" t="str">
        <f ca="1">IFERROR(__xludf.DUMMYFUNCTION("IF(ISBLANK(A22),"""",GOOGLETRANSLATE(A22,""en"",""fr""))"),"")</f>
        <v/>
      </c>
    </row>
    <row r="23" spans="2:2">
      <c r="B23" s="3" t="str">
        <f ca="1">IFERROR(__xludf.DUMMYFUNCTION("IF(ISBLANK(A23),"""",GOOGLETRANSLATE(A23,""en"",""fr""))"),"")</f>
        <v/>
      </c>
    </row>
    <row r="24" spans="2:2">
      <c r="B24" s="3" t="str">
        <f ca="1">IFERROR(__xludf.DUMMYFUNCTION("IF(ISBLANK(A24),"""",GOOGLETRANSLATE(A24,""en"",""fr""))"),"")</f>
        <v/>
      </c>
    </row>
    <row r="25" spans="2:2">
      <c r="B25" s="3" t="str">
        <f ca="1">IFERROR(__xludf.DUMMYFUNCTION("IF(ISBLANK(A25),"""",GOOGLETRANSLATE(A25,""en"",""fr""))"),"")</f>
        <v/>
      </c>
    </row>
    <row r="26" spans="2:2">
      <c r="B26" s="3" t="str">
        <f ca="1">IFERROR(__xludf.DUMMYFUNCTION("IF(ISBLANK(A26),"""",GOOGLETRANSLATE(A26,""en"",""fr""))"),"")</f>
        <v/>
      </c>
    </row>
    <row r="27" spans="2:2">
      <c r="B27" s="3" t="str">
        <f ca="1">IFERROR(__xludf.DUMMYFUNCTION("IF(ISBLANK(A27),"""",GOOGLETRANSLATE(A27,""en"",""fr""))"),"")</f>
        <v/>
      </c>
    </row>
    <row r="28" spans="2:2">
      <c r="B28" s="3" t="str">
        <f ca="1">IFERROR(__xludf.DUMMYFUNCTION("IF(ISBLANK(A28),"""",GOOGLETRANSLATE(A28,""en"",""fr""))"),"")</f>
        <v/>
      </c>
    </row>
    <row r="29" spans="2:2">
      <c r="B29" s="3" t="str">
        <f ca="1">IFERROR(__xludf.DUMMYFUNCTION("IF(ISBLANK(A29),"""",GOOGLETRANSLATE(A29,""en"",""fr""))"),"")</f>
        <v/>
      </c>
    </row>
    <row r="30" spans="2:2">
      <c r="B30" s="3" t="str">
        <f ca="1">IFERROR(__xludf.DUMMYFUNCTION("IF(ISBLANK(A30),"""",GOOGLETRANSLATE(A30,""en"",""fr""))"),"")</f>
        <v/>
      </c>
    </row>
    <row r="31" spans="2:2">
      <c r="B31" s="3" t="str">
        <f ca="1">IFERROR(__xludf.DUMMYFUNCTION("IF(ISBLANK(A31),"""",GOOGLETRANSLATE(A31,""en"",""fr""))"),"")</f>
        <v/>
      </c>
    </row>
    <row r="32" spans="2:2">
      <c r="B32" s="3" t="str">
        <f ca="1">IFERROR(__xludf.DUMMYFUNCTION("IF(ISBLANK(A32),"""",GOOGLETRANSLATE(A32,""en"",""fr""))"),"")</f>
        <v/>
      </c>
    </row>
    <row r="33" spans="2:2">
      <c r="B33" s="3" t="str">
        <f ca="1">IFERROR(__xludf.DUMMYFUNCTION("IF(ISBLANK(A33),"""",GOOGLETRANSLATE(A33,""en"",""fr""))"),"")</f>
        <v/>
      </c>
    </row>
    <row r="34" spans="2:2">
      <c r="B34" s="3" t="str">
        <f ca="1">IFERROR(__xludf.DUMMYFUNCTION("IF(ISBLANK(A34),"""",GOOGLETRANSLATE(A34,""en"",""fr""))"),"")</f>
        <v/>
      </c>
    </row>
    <row r="35" spans="2:2">
      <c r="B35" s="3" t="str">
        <f ca="1">IFERROR(__xludf.DUMMYFUNCTION("IF(ISBLANK(A35),"""",GOOGLETRANSLATE(A35,""en"",""fr""))"),"")</f>
        <v/>
      </c>
    </row>
    <row r="36" spans="2:2">
      <c r="B36" s="3" t="str">
        <f ca="1">IFERROR(__xludf.DUMMYFUNCTION("IF(ISBLANK(A36),"""",GOOGLETRANSLATE(A36,""en"",""fr""))"),"")</f>
        <v/>
      </c>
    </row>
    <row r="37" spans="2:2">
      <c r="B37" s="3" t="str">
        <f ca="1">IFERROR(__xludf.DUMMYFUNCTION("IF(ISBLANK(A37),"""",GOOGLETRANSLATE(A37,""en"",""fr""))"),"")</f>
        <v/>
      </c>
    </row>
    <row r="38" spans="2:2">
      <c r="B38" s="3" t="str">
        <f ca="1">IFERROR(__xludf.DUMMYFUNCTION("IF(ISBLANK(A38),"""",GOOGLETRANSLATE(A38,""en"",""fr""))"),"")</f>
        <v/>
      </c>
    </row>
    <row r="39" spans="2:2">
      <c r="B39" s="3" t="str">
        <f ca="1">IFERROR(__xludf.DUMMYFUNCTION("IF(ISBLANK(A39),"""",GOOGLETRANSLATE(A39,""en"",""fr""))"),"")</f>
        <v/>
      </c>
    </row>
    <row r="40" spans="2:2">
      <c r="B40" s="3" t="str">
        <f ca="1">IFERROR(__xludf.DUMMYFUNCTION("IF(ISBLANK(A40),"""",GOOGLETRANSLATE(A40,""en"",""fr""))"),"")</f>
        <v/>
      </c>
    </row>
    <row r="41" spans="2:2">
      <c r="B41" s="3" t="str">
        <f ca="1">IFERROR(__xludf.DUMMYFUNCTION("IF(ISBLANK(A41),"""",GOOGLETRANSLATE(A41,""en"",""fr""))"),"")</f>
        <v/>
      </c>
    </row>
    <row r="42" spans="2:2">
      <c r="B42" s="3" t="str">
        <f ca="1">IFERROR(__xludf.DUMMYFUNCTION("IF(ISBLANK(A42),"""",GOOGLETRANSLATE(A42,""en"",""fr""))"),"")</f>
        <v/>
      </c>
    </row>
    <row r="43" spans="2:2">
      <c r="B43" s="3" t="str">
        <f ca="1">IFERROR(__xludf.DUMMYFUNCTION("IF(ISBLANK(A43),"""",GOOGLETRANSLATE(A43,""en"",""fr""))"),"")</f>
        <v/>
      </c>
    </row>
    <row r="44" spans="2:2">
      <c r="B44" s="3" t="str">
        <f ca="1">IFERROR(__xludf.DUMMYFUNCTION("IF(ISBLANK(A44),"""",GOOGLETRANSLATE(A44,""en"",""fr""))"),"")</f>
        <v/>
      </c>
    </row>
    <row r="45" spans="2:2">
      <c r="B45" s="3" t="str">
        <f ca="1">IFERROR(__xludf.DUMMYFUNCTION("IF(ISBLANK(A45),"""",GOOGLETRANSLATE(A45,""en"",""fr""))"),"")</f>
        <v/>
      </c>
    </row>
    <row r="46" spans="2:2">
      <c r="B46" s="3" t="str">
        <f ca="1">IFERROR(__xludf.DUMMYFUNCTION("IF(ISBLANK(A46),"""",GOOGLETRANSLATE(A46,""en"",""fr""))"),"")</f>
        <v/>
      </c>
    </row>
    <row r="47" spans="2:2">
      <c r="B47" s="3" t="str">
        <f ca="1">IFERROR(__xludf.DUMMYFUNCTION("IF(ISBLANK(A47),"""",GOOGLETRANSLATE(A47,""en"",""fr""))"),"")</f>
        <v/>
      </c>
    </row>
    <row r="48" spans="2:2">
      <c r="B48" s="3" t="str">
        <f ca="1">IFERROR(__xludf.DUMMYFUNCTION("IF(ISBLANK(A48),"""",GOOGLETRANSLATE(A48,""en"",""fr""))"),"")</f>
        <v/>
      </c>
    </row>
    <row r="49" spans="2:2">
      <c r="B49" s="3" t="str">
        <f ca="1">IFERROR(__xludf.DUMMYFUNCTION("IF(ISBLANK(A49),"""",GOOGLETRANSLATE(A49,""en"",""fr""))"),"")</f>
        <v/>
      </c>
    </row>
    <row r="50" spans="2:2">
      <c r="B50" s="3" t="str">
        <f ca="1">IFERROR(__xludf.DUMMYFUNCTION("IF(ISBLANK(A50),"""",GOOGLETRANSLATE(A50,""en"",""fr""))"),"")</f>
        <v/>
      </c>
    </row>
    <row r="51" spans="2:2">
      <c r="B51" s="3" t="str">
        <f ca="1">IFERROR(__xludf.DUMMYFUNCTION("IF(ISBLANK(A51),"""",GOOGLETRANSLATE(A51,""en"",""fr""))"),"")</f>
        <v/>
      </c>
    </row>
    <row r="52" spans="2:2">
      <c r="B52" s="3" t="str">
        <f ca="1">IFERROR(__xludf.DUMMYFUNCTION("IF(ISBLANK(A52),"""",GOOGLETRANSLATE(A52,""en"",""fr""))"),"")</f>
        <v/>
      </c>
    </row>
    <row r="53" spans="2:2">
      <c r="B53" s="3" t="str">
        <f ca="1">IFERROR(__xludf.DUMMYFUNCTION("IF(ISBLANK(A53),"""",GOOGLETRANSLATE(A53,""en"",""fr""))"),"")</f>
        <v/>
      </c>
    </row>
    <row r="54" spans="2:2">
      <c r="B54" s="3" t="str">
        <f ca="1">IFERROR(__xludf.DUMMYFUNCTION("IF(ISBLANK(A54),"""",GOOGLETRANSLATE(A54,""en"",""fr""))"),"")</f>
        <v/>
      </c>
    </row>
    <row r="55" spans="2:2">
      <c r="B55" s="3" t="str">
        <f ca="1">IFERROR(__xludf.DUMMYFUNCTION("IF(ISBLANK(A55),"""",GOOGLETRANSLATE(A55,""en"",""fr""))"),"")</f>
        <v/>
      </c>
    </row>
    <row r="56" spans="2:2">
      <c r="B56" s="3" t="str">
        <f ca="1">IFERROR(__xludf.DUMMYFUNCTION("IF(ISBLANK(A56),"""",GOOGLETRANSLATE(A56,""en"",""fr""))"),"")</f>
        <v/>
      </c>
    </row>
    <row r="57" spans="2:2">
      <c r="B57" s="3" t="str">
        <f ca="1">IFERROR(__xludf.DUMMYFUNCTION("IF(ISBLANK(A57),"""",GOOGLETRANSLATE(A57,""en"",""fr""))"),"")</f>
        <v/>
      </c>
    </row>
    <row r="58" spans="2:2">
      <c r="B58" s="3" t="str">
        <f ca="1">IFERROR(__xludf.DUMMYFUNCTION("IF(ISBLANK(A58),"""",GOOGLETRANSLATE(A58,""en"",""fr""))"),"")</f>
        <v/>
      </c>
    </row>
    <row r="59" spans="2:2">
      <c r="B59" s="3" t="str">
        <f ca="1">IFERROR(__xludf.DUMMYFUNCTION("IF(ISBLANK(A59),"""",GOOGLETRANSLATE(A59,""en"",""fr""))"),"")</f>
        <v/>
      </c>
    </row>
    <row r="60" spans="2:2">
      <c r="B60" s="3" t="str">
        <f ca="1">IFERROR(__xludf.DUMMYFUNCTION("IF(ISBLANK(A60),"""",GOOGLETRANSLATE(A60,""en"",""fr""))"),"")</f>
        <v/>
      </c>
    </row>
    <row r="61" spans="2:2">
      <c r="B61" s="3" t="str">
        <f ca="1">IFERROR(__xludf.DUMMYFUNCTION("IF(ISBLANK(A61),"""",GOOGLETRANSLATE(A61,""en"",""fr""))"),"")</f>
        <v/>
      </c>
    </row>
    <row r="62" spans="2:2">
      <c r="B62" s="3" t="str">
        <f ca="1">IFERROR(__xludf.DUMMYFUNCTION("IF(ISBLANK(A62),"""",GOOGLETRANSLATE(A62,""en"",""fr""))"),"")</f>
        <v/>
      </c>
    </row>
    <row r="63" spans="2:2">
      <c r="B63" s="3" t="str">
        <f ca="1">IFERROR(__xludf.DUMMYFUNCTION("IF(ISBLANK(A63),"""",GOOGLETRANSLATE(A63,""en"",""fr""))"),"")</f>
        <v/>
      </c>
    </row>
    <row r="64" spans="2:2">
      <c r="B64" s="3" t="str">
        <f ca="1">IFERROR(__xludf.DUMMYFUNCTION("IF(ISBLANK(A64),"""",GOOGLETRANSLATE(A64,""en"",""fr""))"),"")</f>
        <v/>
      </c>
    </row>
    <row r="65" spans="2:2">
      <c r="B65" s="3" t="str">
        <f ca="1">IFERROR(__xludf.DUMMYFUNCTION("IF(ISBLANK(A65),"""",GOOGLETRANSLATE(A65,""en"",""fr""))"),"")</f>
        <v/>
      </c>
    </row>
    <row r="66" spans="2:2">
      <c r="B66" s="3" t="str">
        <f ca="1">IFERROR(__xludf.DUMMYFUNCTION("IF(ISBLANK(A66),"""",GOOGLETRANSLATE(A66,""en"",""fr""))"),"")</f>
        <v/>
      </c>
    </row>
    <row r="67" spans="2:2">
      <c r="B67" s="3" t="str">
        <f ca="1">IFERROR(__xludf.DUMMYFUNCTION("IF(ISBLANK(A67),"""",GOOGLETRANSLATE(A67,""en"",""fr""))"),"")</f>
        <v/>
      </c>
    </row>
    <row r="68" spans="2:2">
      <c r="B68" s="3" t="str">
        <f ca="1">IFERROR(__xludf.DUMMYFUNCTION("IF(ISBLANK(A68),"""",GOOGLETRANSLATE(A68,""en"",""fr""))"),"")</f>
        <v/>
      </c>
    </row>
    <row r="69" spans="2:2">
      <c r="B69" s="3" t="str">
        <f ca="1">IFERROR(__xludf.DUMMYFUNCTION("IF(ISBLANK(A69),"""",GOOGLETRANSLATE(A69,""en"",""fr""))"),"")</f>
        <v/>
      </c>
    </row>
    <row r="70" spans="2:2">
      <c r="B70" s="3" t="str">
        <f ca="1">IFERROR(__xludf.DUMMYFUNCTION("IF(ISBLANK(A70),"""",GOOGLETRANSLATE(A70,""en"",""fr""))"),"")</f>
        <v/>
      </c>
    </row>
    <row r="71" spans="2:2">
      <c r="B71" s="3" t="str">
        <f ca="1">IFERROR(__xludf.DUMMYFUNCTION("IF(ISBLANK(A71),"""",GOOGLETRANSLATE(A71,""en"",""fr""))"),"")</f>
        <v/>
      </c>
    </row>
    <row r="72" spans="2:2">
      <c r="B72" s="3" t="str">
        <f ca="1">IFERROR(__xludf.DUMMYFUNCTION("IF(ISBLANK(A72),"""",GOOGLETRANSLATE(A72,""en"",""fr""))"),"")</f>
        <v/>
      </c>
    </row>
    <row r="73" spans="2:2">
      <c r="B73" s="3" t="str">
        <f ca="1">IFERROR(__xludf.DUMMYFUNCTION("IF(ISBLANK(A73),"""",GOOGLETRANSLATE(A73,""en"",""fr""))"),"")</f>
        <v/>
      </c>
    </row>
    <row r="74" spans="2:2">
      <c r="B74" s="3" t="str">
        <f ca="1">IFERROR(__xludf.DUMMYFUNCTION("IF(ISBLANK(A74),"""",GOOGLETRANSLATE(A74,""en"",""fr""))"),"")</f>
        <v/>
      </c>
    </row>
    <row r="75" spans="2:2">
      <c r="B75" s="3" t="str">
        <f ca="1">IFERROR(__xludf.DUMMYFUNCTION("IF(ISBLANK(A75),"""",GOOGLETRANSLATE(A75,""en"",""fr""))"),"")</f>
        <v/>
      </c>
    </row>
    <row r="76" spans="2:2">
      <c r="B76" s="3" t="str">
        <f ca="1">IFERROR(__xludf.DUMMYFUNCTION("IF(ISBLANK(A76),"""",GOOGLETRANSLATE(A76,""en"",""fr""))"),"")</f>
        <v/>
      </c>
    </row>
    <row r="77" spans="2:2">
      <c r="B77" s="3" t="str">
        <f ca="1">IFERROR(__xludf.DUMMYFUNCTION("IF(ISBLANK(A77),"""",GOOGLETRANSLATE(A77,""en"",""fr""))"),"")</f>
        <v/>
      </c>
    </row>
    <row r="78" spans="2:2">
      <c r="B78" s="3" t="str">
        <f ca="1">IFERROR(__xludf.DUMMYFUNCTION("IF(ISBLANK(A78),"""",GOOGLETRANSLATE(A78,""en"",""fr""))"),"")</f>
        <v/>
      </c>
    </row>
    <row r="79" spans="2:2">
      <c r="B79" s="3" t="str">
        <f ca="1">IFERROR(__xludf.DUMMYFUNCTION("IF(ISBLANK(A79),"""",GOOGLETRANSLATE(A79,""en"",""fr""))"),"")</f>
        <v/>
      </c>
    </row>
    <row r="80" spans="2:2">
      <c r="B80" s="3" t="str">
        <f ca="1">IFERROR(__xludf.DUMMYFUNCTION("IF(ISBLANK(A80),"""",GOOGLETRANSLATE(A80,""en"",""fr""))"),"")</f>
        <v/>
      </c>
    </row>
    <row r="81" spans="2:2">
      <c r="B81" s="3" t="str">
        <f ca="1">IFERROR(__xludf.DUMMYFUNCTION("IF(ISBLANK(A81),"""",GOOGLETRANSLATE(A81,""en"",""fr""))"),"")</f>
        <v/>
      </c>
    </row>
    <row r="82" spans="2:2">
      <c r="B82" s="3" t="str">
        <f ca="1">IFERROR(__xludf.DUMMYFUNCTION("IF(ISBLANK(A82),"""",GOOGLETRANSLATE(A82,""en"",""fr""))"),"")</f>
        <v/>
      </c>
    </row>
    <row r="83" spans="2:2">
      <c r="B83" s="3" t="str">
        <f ca="1">IFERROR(__xludf.DUMMYFUNCTION("IF(ISBLANK(A83),"""",GOOGLETRANSLATE(A83,""en"",""fr""))"),"")</f>
        <v/>
      </c>
    </row>
    <row r="84" spans="2:2">
      <c r="B84" s="3" t="str">
        <f ca="1">IFERROR(__xludf.DUMMYFUNCTION("IF(ISBLANK(A84),"""",GOOGLETRANSLATE(A84,""en"",""fr""))"),"")</f>
        <v/>
      </c>
    </row>
    <row r="85" spans="2:2">
      <c r="B85" s="3" t="str">
        <f ca="1">IFERROR(__xludf.DUMMYFUNCTION("IF(ISBLANK(A85),"""",GOOGLETRANSLATE(A85,""en"",""fr""))"),"")</f>
        <v/>
      </c>
    </row>
    <row r="86" spans="2:2">
      <c r="B86" s="3" t="str">
        <f ca="1">IFERROR(__xludf.DUMMYFUNCTION("IF(ISBLANK(A86),"""",GOOGLETRANSLATE(A86,""en"",""fr""))"),"")</f>
        <v/>
      </c>
    </row>
    <row r="87" spans="2:2">
      <c r="B87" s="3" t="str">
        <f ca="1">IFERROR(__xludf.DUMMYFUNCTION("IF(ISBLANK(A87),"""",GOOGLETRANSLATE(A87,""en"",""fr""))"),"")</f>
        <v/>
      </c>
    </row>
    <row r="88" spans="2:2">
      <c r="B88" s="3" t="str">
        <f ca="1">IFERROR(__xludf.DUMMYFUNCTION("IF(ISBLANK(A88),"""",GOOGLETRANSLATE(A88,""en"",""fr""))"),"")</f>
        <v/>
      </c>
    </row>
    <row r="89" spans="2:2">
      <c r="B89" s="3" t="str">
        <f ca="1">IFERROR(__xludf.DUMMYFUNCTION("IF(ISBLANK(A89),"""",GOOGLETRANSLATE(A89,""en"",""fr""))"),"")</f>
        <v/>
      </c>
    </row>
    <row r="90" spans="2:2">
      <c r="B90" s="3" t="str">
        <f ca="1">IFERROR(__xludf.DUMMYFUNCTION("IF(ISBLANK(A90),"""",GOOGLETRANSLATE(A90,""en"",""fr""))"),"")</f>
        <v/>
      </c>
    </row>
    <row r="91" spans="2:2">
      <c r="B91" s="3" t="str">
        <f ca="1">IFERROR(__xludf.DUMMYFUNCTION("IF(ISBLANK(A91),"""",GOOGLETRANSLATE(A91,""en"",""fr""))"),"")</f>
        <v/>
      </c>
    </row>
    <row r="92" spans="2:2">
      <c r="B92" s="3" t="str">
        <f ca="1">IFERROR(__xludf.DUMMYFUNCTION("IF(ISBLANK(A92),"""",GOOGLETRANSLATE(A92,""en"",""fr""))"),"")</f>
        <v/>
      </c>
    </row>
    <row r="93" spans="2:2">
      <c r="B93" s="3" t="str">
        <f ca="1">IFERROR(__xludf.DUMMYFUNCTION("IF(ISBLANK(A93),"""",GOOGLETRANSLATE(A93,""en"",""fr""))"),"")</f>
        <v/>
      </c>
    </row>
    <row r="94" spans="2:2">
      <c r="B94" s="3" t="str">
        <f ca="1">IFERROR(__xludf.DUMMYFUNCTION("IF(ISBLANK(A94),"""",GOOGLETRANSLATE(A94,""en"",""fr""))"),"")</f>
        <v/>
      </c>
    </row>
    <row r="95" spans="2:2">
      <c r="B95" s="3" t="str">
        <f ca="1">IFERROR(__xludf.DUMMYFUNCTION("IF(ISBLANK(A95),"""",GOOGLETRANSLATE(A95,""en"",""fr""))"),"")</f>
        <v/>
      </c>
    </row>
    <row r="96" spans="2:2">
      <c r="B96" s="3" t="str">
        <f ca="1">IFERROR(__xludf.DUMMYFUNCTION("IF(ISBLANK(A96),"""",GOOGLETRANSLATE(A96,""en"",""fr""))"),"")</f>
        <v/>
      </c>
    </row>
    <row r="97" spans="2:2">
      <c r="B97" s="3" t="str">
        <f ca="1">IFERROR(__xludf.DUMMYFUNCTION("IF(ISBLANK(A97),"""",GOOGLETRANSLATE(A97,""en"",""fr""))"),"")</f>
        <v/>
      </c>
    </row>
    <row r="98" spans="2:2">
      <c r="B98" s="3" t="str">
        <f ca="1">IFERROR(__xludf.DUMMYFUNCTION("IF(ISBLANK(A98),"""",GOOGLETRANSLATE(A98,""en"",""fr""))"),"")</f>
        <v/>
      </c>
    </row>
    <row r="99" spans="2:2">
      <c r="B99" s="3" t="str">
        <f ca="1">IFERROR(__xludf.DUMMYFUNCTION("IF(ISBLANK(A99),"""",GOOGLETRANSLATE(A99,""en"",""fr""))"),"")</f>
        <v/>
      </c>
    </row>
    <row r="100" spans="2:2">
      <c r="B100" s="3" t="str">
        <f ca="1">IFERROR(__xludf.DUMMYFUNCTION("IF(ISBLANK(A100),"""",GOOGLETRANSLATE(A100,""en"",""fr""))"),"")</f>
        <v/>
      </c>
    </row>
    <row r="101" spans="2:2">
      <c r="B101" s="3" t="str">
        <f ca="1">IFERROR(__xludf.DUMMYFUNCTION("IF(ISBLANK(A101),"""",GOOGLETRANSLATE(A101,""en"",""fr""))"),"")</f>
        <v/>
      </c>
    </row>
    <row r="102" spans="2:2">
      <c r="B102" s="3" t="str">
        <f ca="1">IFERROR(__xludf.DUMMYFUNCTION("IF(ISBLANK(A102),"""",GOOGLETRANSLATE(A102,""en"",""fr""))"),"")</f>
        <v/>
      </c>
    </row>
    <row r="103" spans="2:2">
      <c r="B103" s="3" t="str">
        <f ca="1">IFERROR(__xludf.DUMMYFUNCTION("IF(ISBLANK(A103),"""",GOOGLETRANSLATE(A103,""en"",""fr""))"),"")</f>
        <v/>
      </c>
    </row>
    <row r="104" spans="2:2">
      <c r="B104" s="3" t="str">
        <f ca="1">IFERROR(__xludf.DUMMYFUNCTION("IF(ISBLANK(A104),"""",GOOGLETRANSLATE(A104,""en"",""fr""))"),"")</f>
        <v/>
      </c>
    </row>
    <row r="105" spans="2:2">
      <c r="B105" s="3" t="str">
        <f ca="1">IFERROR(__xludf.DUMMYFUNCTION("IF(ISBLANK(A105),"""",GOOGLETRANSLATE(A105,""en"",""fr""))"),"")</f>
        <v/>
      </c>
    </row>
    <row r="106" spans="2:2">
      <c r="B106" s="3" t="str">
        <f ca="1">IFERROR(__xludf.DUMMYFUNCTION("IF(ISBLANK(A106),"""",GOOGLETRANSLATE(A106,""en"",""fr""))"),"")</f>
        <v/>
      </c>
    </row>
    <row r="107" spans="2:2">
      <c r="B107" s="3" t="str">
        <f ca="1">IFERROR(__xludf.DUMMYFUNCTION("IF(ISBLANK(A107),"""",GOOGLETRANSLATE(A107,""en"",""fr""))"),"")</f>
        <v/>
      </c>
    </row>
    <row r="108" spans="2:2">
      <c r="B108" s="3" t="str">
        <f ca="1">IFERROR(__xludf.DUMMYFUNCTION("IF(ISBLANK(A108),"""",GOOGLETRANSLATE(A108,""en"",""fr""))"),"")</f>
        <v/>
      </c>
    </row>
    <row r="109" spans="2:2">
      <c r="B109" s="3" t="str">
        <f ca="1">IFERROR(__xludf.DUMMYFUNCTION("IF(ISBLANK(A109),"""",GOOGLETRANSLATE(A109,""en"",""fr""))"),"")</f>
        <v/>
      </c>
    </row>
    <row r="110" spans="2:2">
      <c r="B110" s="3" t="str">
        <f ca="1">IFERROR(__xludf.DUMMYFUNCTION("IF(ISBLANK(A110),"""",GOOGLETRANSLATE(A110,""en"",""fr""))"),"")</f>
        <v/>
      </c>
    </row>
    <row r="111" spans="2:2">
      <c r="B111" s="3" t="str">
        <f ca="1">IFERROR(__xludf.DUMMYFUNCTION("IF(ISBLANK(A111),"""",GOOGLETRANSLATE(A111,""en"",""fr""))"),"")</f>
        <v/>
      </c>
    </row>
    <row r="112" spans="2:2">
      <c r="B112" s="3" t="str">
        <f ca="1">IFERROR(__xludf.DUMMYFUNCTION("IF(ISBLANK(A112),"""",GOOGLETRANSLATE(A112,""en"",""fr""))"),"")</f>
        <v/>
      </c>
    </row>
    <row r="113" spans="2:2">
      <c r="B113" s="3" t="str">
        <f ca="1">IFERROR(__xludf.DUMMYFUNCTION("IF(ISBLANK(A113),"""",GOOGLETRANSLATE(A113,""en"",""fr""))"),"")</f>
        <v/>
      </c>
    </row>
    <row r="114" spans="2:2">
      <c r="B114" s="3" t="str">
        <f ca="1">IFERROR(__xludf.DUMMYFUNCTION("IF(ISBLANK(A114),"""",GOOGLETRANSLATE(A114,""en"",""fr""))"),"")</f>
        <v/>
      </c>
    </row>
    <row r="115" spans="2:2">
      <c r="B115" s="3" t="str">
        <f ca="1">IFERROR(__xludf.DUMMYFUNCTION("IF(ISBLANK(A115),"""",GOOGLETRANSLATE(A115,""en"",""fr""))"),"")</f>
        <v/>
      </c>
    </row>
    <row r="116" spans="2:2">
      <c r="B116" s="3" t="str">
        <f ca="1">IFERROR(__xludf.DUMMYFUNCTION("IF(ISBLANK(A116),"""",GOOGLETRANSLATE(A116,""en"",""fr""))"),"")</f>
        <v/>
      </c>
    </row>
    <row r="117" spans="2:2">
      <c r="B117" s="3" t="str">
        <f ca="1">IFERROR(__xludf.DUMMYFUNCTION("IF(ISBLANK(A117),"""",GOOGLETRANSLATE(A117,""en"",""fr""))"),"")</f>
        <v/>
      </c>
    </row>
    <row r="118" spans="2:2">
      <c r="B118" s="3" t="str">
        <f ca="1">IFERROR(__xludf.DUMMYFUNCTION("IF(ISBLANK(A118),"""",GOOGLETRANSLATE(A118,""en"",""fr""))"),"")</f>
        <v/>
      </c>
    </row>
    <row r="119" spans="2:2">
      <c r="B119" s="3" t="str">
        <f ca="1">IFERROR(__xludf.DUMMYFUNCTION("IF(ISBLANK(A119),"""",GOOGLETRANSLATE(A119,""en"",""fr""))"),"")</f>
        <v/>
      </c>
    </row>
    <row r="120" spans="2:2">
      <c r="B120" s="3" t="str">
        <f ca="1">IFERROR(__xludf.DUMMYFUNCTION("IF(ISBLANK(A120),"""",GOOGLETRANSLATE(A120,""en"",""fr""))"),"")</f>
        <v/>
      </c>
    </row>
    <row r="121" spans="2:2">
      <c r="B121" s="3" t="str">
        <f ca="1">IFERROR(__xludf.DUMMYFUNCTION("IF(ISBLANK(A121),"""",GOOGLETRANSLATE(A121,""en"",""fr""))"),"")</f>
        <v/>
      </c>
    </row>
    <row r="122" spans="2:2">
      <c r="B122" s="3" t="str">
        <f ca="1">IFERROR(__xludf.DUMMYFUNCTION("IF(ISBLANK(A122),"""",GOOGLETRANSLATE(A122,""en"",""fr""))"),"")</f>
        <v/>
      </c>
    </row>
    <row r="123" spans="2:2">
      <c r="B123" s="3" t="str">
        <f ca="1">IFERROR(__xludf.DUMMYFUNCTION("IF(ISBLANK(A123),"""",GOOGLETRANSLATE(A123,""en"",""fr""))"),"")</f>
        <v/>
      </c>
    </row>
    <row r="124" spans="2:2">
      <c r="B124" s="3" t="str">
        <f ca="1">IFERROR(__xludf.DUMMYFUNCTION("IF(ISBLANK(A124),"""",GOOGLETRANSLATE(A124,""en"",""fr""))"),"")</f>
        <v/>
      </c>
    </row>
    <row r="125" spans="2:2">
      <c r="B125" s="3" t="str">
        <f ca="1">IFERROR(__xludf.DUMMYFUNCTION("IF(ISBLANK(A125),"""",GOOGLETRANSLATE(A125,""en"",""fr""))"),"")</f>
        <v/>
      </c>
    </row>
    <row r="126" spans="2:2">
      <c r="B126" s="3" t="str">
        <f ca="1">IFERROR(__xludf.DUMMYFUNCTION("IF(ISBLANK(A126),"""",GOOGLETRANSLATE(A126,""en"",""fr""))"),"")</f>
        <v/>
      </c>
    </row>
    <row r="127" spans="2:2">
      <c r="B127" s="3" t="str">
        <f ca="1">IFERROR(__xludf.DUMMYFUNCTION("IF(ISBLANK(A127),"""",GOOGLETRANSLATE(A127,""en"",""fr""))"),"")</f>
        <v/>
      </c>
    </row>
    <row r="128" spans="2:2">
      <c r="B128" s="3" t="str">
        <f ca="1">IFERROR(__xludf.DUMMYFUNCTION("IF(ISBLANK(A128),"""",GOOGLETRANSLATE(A128,""en"",""fr""))"),"")</f>
        <v/>
      </c>
    </row>
    <row r="129" spans="2:2">
      <c r="B129" s="3" t="str">
        <f ca="1">IFERROR(__xludf.DUMMYFUNCTION("IF(ISBLANK(A129),"""",GOOGLETRANSLATE(A129,""en"",""fr""))"),"")</f>
        <v/>
      </c>
    </row>
    <row r="130" spans="2:2">
      <c r="B130" s="3" t="str">
        <f ca="1">IFERROR(__xludf.DUMMYFUNCTION("IF(ISBLANK(A130),"""",GOOGLETRANSLATE(A130,""en"",""fr""))"),"")</f>
        <v/>
      </c>
    </row>
    <row r="131" spans="2:2">
      <c r="B131" s="3" t="str">
        <f ca="1">IFERROR(__xludf.DUMMYFUNCTION("IF(ISBLANK(A131),"""",GOOGLETRANSLATE(A131,""en"",""fr""))"),"")</f>
        <v/>
      </c>
    </row>
    <row r="132" spans="2:2">
      <c r="B132" s="3" t="str">
        <f ca="1">IFERROR(__xludf.DUMMYFUNCTION("IF(ISBLANK(A132),"""",GOOGLETRANSLATE(A132,""en"",""fr""))"),"")</f>
        <v/>
      </c>
    </row>
    <row r="133" spans="2:2">
      <c r="B133" s="3" t="str">
        <f ca="1">IFERROR(__xludf.DUMMYFUNCTION("IF(ISBLANK(A133),"""",GOOGLETRANSLATE(A133,""en"",""fr""))"),"")</f>
        <v/>
      </c>
    </row>
    <row r="134" spans="2:2">
      <c r="B134" s="3" t="str">
        <f ca="1">IFERROR(__xludf.DUMMYFUNCTION("IF(ISBLANK(A134),"""",GOOGLETRANSLATE(A134,""en"",""fr""))"),"")</f>
        <v/>
      </c>
    </row>
    <row r="135" spans="2:2">
      <c r="B135" s="3" t="str">
        <f ca="1">IFERROR(__xludf.DUMMYFUNCTION("IF(ISBLANK(A135),"""",GOOGLETRANSLATE(A135,""en"",""fr""))"),"")</f>
        <v/>
      </c>
    </row>
    <row r="136" spans="2:2">
      <c r="B136" s="3" t="str">
        <f ca="1">IFERROR(__xludf.DUMMYFUNCTION("IF(ISBLANK(A136),"""",GOOGLETRANSLATE(A136,""en"",""fr""))"),"")</f>
        <v/>
      </c>
    </row>
    <row r="137" spans="2:2">
      <c r="B137" s="3" t="str">
        <f ca="1">IFERROR(__xludf.DUMMYFUNCTION("IF(ISBLANK(A137),"""",GOOGLETRANSLATE(A137,""en"",""fr""))"),"")</f>
        <v/>
      </c>
    </row>
    <row r="138" spans="2:2">
      <c r="B138" s="3" t="str">
        <f ca="1">IFERROR(__xludf.DUMMYFUNCTION("IF(ISBLANK(A138),"""",GOOGLETRANSLATE(A138,""en"",""fr""))"),"")</f>
        <v/>
      </c>
    </row>
    <row r="139" spans="2:2">
      <c r="B139" s="3" t="str">
        <f ca="1">IFERROR(__xludf.DUMMYFUNCTION("IF(ISBLANK(A139),"""",GOOGLETRANSLATE(A139,""en"",""fr""))"),"")</f>
        <v/>
      </c>
    </row>
    <row r="140" spans="2:2">
      <c r="B140" s="3" t="str">
        <f ca="1">IFERROR(__xludf.DUMMYFUNCTION("IF(ISBLANK(A140),"""",GOOGLETRANSLATE(A140,""en"",""fr""))"),"")</f>
        <v/>
      </c>
    </row>
    <row r="141" spans="2:2">
      <c r="B141" s="3" t="str">
        <f ca="1">IFERROR(__xludf.DUMMYFUNCTION("IF(ISBLANK(A141),"""",GOOGLETRANSLATE(A141,""en"",""fr""))"),"")</f>
        <v/>
      </c>
    </row>
    <row r="142" spans="2:2">
      <c r="B142" s="3" t="str">
        <f ca="1">IFERROR(__xludf.DUMMYFUNCTION("IF(ISBLANK(A142),"""",GOOGLETRANSLATE(A142,""en"",""fr""))"),"")</f>
        <v/>
      </c>
    </row>
    <row r="143" spans="2:2">
      <c r="B143" s="3" t="str">
        <f ca="1">IFERROR(__xludf.DUMMYFUNCTION("IF(ISBLANK(A143),"""",GOOGLETRANSLATE(A143,""en"",""fr""))"),"")</f>
        <v/>
      </c>
    </row>
    <row r="144" spans="2:2">
      <c r="B144" s="3" t="str">
        <f ca="1">IFERROR(__xludf.DUMMYFUNCTION("IF(ISBLANK(A144),"""",GOOGLETRANSLATE(A144,""en"",""fr""))"),"")</f>
        <v/>
      </c>
    </row>
    <row r="145" spans="2:2">
      <c r="B145" s="3" t="str">
        <f ca="1">IFERROR(__xludf.DUMMYFUNCTION("IF(ISBLANK(A145),"""",GOOGLETRANSLATE(A145,""en"",""fr""))"),"")</f>
        <v/>
      </c>
    </row>
    <row r="146" spans="2:2">
      <c r="B146" s="3" t="str">
        <f ca="1">IFERROR(__xludf.DUMMYFUNCTION("IF(ISBLANK(A146),"""",GOOGLETRANSLATE(A146,""en"",""fr""))"),"")</f>
        <v/>
      </c>
    </row>
    <row r="147" spans="2:2">
      <c r="B147" s="3" t="str">
        <f ca="1">IFERROR(__xludf.DUMMYFUNCTION("IF(ISBLANK(A147),"""",GOOGLETRANSLATE(A147,""en"",""fr""))"),"")</f>
        <v/>
      </c>
    </row>
    <row r="148" spans="2:2">
      <c r="B148" s="3" t="str">
        <f ca="1">IFERROR(__xludf.DUMMYFUNCTION("IF(ISBLANK(A148),"""",GOOGLETRANSLATE(A148,""en"",""fr""))"),"")</f>
        <v/>
      </c>
    </row>
    <row r="149" spans="2:2">
      <c r="B149" s="3" t="str">
        <f ca="1">IFERROR(__xludf.DUMMYFUNCTION("IF(ISBLANK(A149),"""",GOOGLETRANSLATE(A149,""en"",""fr""))"),"")</f>
        <v/>
      </c>
    </row>
    <row r="150" spans="2:2">
      <c r="B150" s="3" t="str">
        <f ca="1">IFERROR(__xludf.DUMMYFUNCTION("IF(ISBLANK(A150),"""",GOOGLETRANSLATE(A150,""en"",""fr""))"),"")</f>
        <v/>
      </c>
    </row>
    <row r="151" spans="2:2">
      <c r="B151" s="3" t="str">
        <f ca="1">IFERROR(__xludf.DUMMYFUNCTION("IF(ISBLANK(A151),"""",GOOGLETRANSLATE(A151,""en"",""fr""))"),"")</f>
        <v/>
      </c>
    </row>
    <row r="152" spans="2:2">
      <c r="B152" s="3" t="str">
        <f ca="1">IFERROR(__xludf.DUMMYFUNCTION("IF(ISBLANK(A152),"""",GOOGLETRANSLATE(A152,""en"",""fr""))"),"")</f>
        <v/>
      </c>
    </row>
    <row r="153" spans="2:2">
      <c r="B153" s="3" t="str">
        <f ca="1">IFERROR(__xludf.DUMMYFUNCTION("IF(ISBLANK(A153),"""",GOOGLETRANSLATE(A153,""en"",""fr""))"),"")</f>
        <v/>
      </c>
    </row>
    <row r="154" spans="2:2">
      <c r="B154" s="3" t="str">
        <f ca="1">IFERROR(__xludf.DUMMYFUNCTION("IF(ISBLANK(A154),"""",GOOGLETRANSLATE(A154,""en"",""fr""))"),"")</f>
        <v/>
      </c>
    </row>
    <row r="155" spans="2:2">
      <c r="B155" s="3" t="str">
        <f ca="1">IFERROR(__xludf.DUMMYFUNCTION("IF(ISBLANK(A155),"""",GOOGLETRANSLATE(A155,""en"",""fr""))"),"")</f>
        <v/>
      </c>
    </row>
    <row r="156" spans="2:2">
      <c r="B156" s="3" t="str">
        <f ca="1">IFERROR(__xludf.DUMMYFUNCTION("IF(ISBLANK(A156),"""",GOOGLETRANSLATE(A156,""en"",""fr""))"),"")</f>
        <v/>
      </c>
    </row>
    <row r="157" spans="2:2">
      <c r="B157" s="3" t="str">
        <f ca="1">IFERROR(__xludf.DUMMYFUNCTION("IF(ISBLANK(A157),"""",GOOGLETRANSLATE(A157,""en"",""fr""))"),"")</f>
        <v/>
      </c>
    </row>
    <row r="158" spans="2:2">
      <c r="B158" s="3" t="str">
        <f ca="1">IFERROR(__xludf.DUMMYFUNCTION("IF(ISBLANK(A158),"""",GOOGLETRANSLATE(A158,""en"",""fr""))"),"")</f>
        <v/>
      </c>
    </row>
    <row r="159" spans="2:2">
      <c r="B159" s="3" t="str">
        <f ca="1">IFERROR(__xludf.DUMMYFUNCTION("IF(ISBLANK(A159),"""",GOOGLETRANSLATE(A159,""en"",""fr""))"),"")</f>
        <v/>
      </c>
    </row>
    <row r="160" spans="2:2">
      <c r="B160" s="3" t="str">
        <f ca="1">IFERROR(__xludf.DUMMYFUNCTION("IF(ISBLANK(A160),"""",GOOGLETRANSLATE(A160,""en"",""fr""))"),"")</f>
        <v/>
      </c>
    </row>
    <row r="161" spans="2:2">
      <c r="B161" s="3" t="str">
        <f ca="1">IFERROR(__xludf.DUMMYFUNCTION("IF(ISBLANK(A161),"""",GOOGLETRANSLATE(A161,""en"",""fr""))"),"")</f>
        <v/>
      </c>
    </row>
    <row r="162" spans="2:2">
      <c r="B162" s="3" t="str">
        <f ca="1">IFERROR(__xludf.DUMMYFUNCTION("IF(ISBLANK(A162),"""",GOOGLETRANSLATE(A162,""en"",""fr""))"),"")</f>
        <v/>
      </c>
    </row>
    <row r="163" spans="2:2">
      <c r="B163" s="3" t="str">
        <f ca="1">IFERROR(__xludf.DUMMYFUNCTION("IF(ISBLANK(A163),"""",GOOGLETRANSLATE(A163,""en"",""fr""))"),"")</f>
        <v/>
      </c>
    </row>
    <row r="164" spans="2:2">
      <c r="B164" s="3" t="str">
        <f ca="1">IFERROR(__xludf.DUMMYFUNCTION("IF(ISBLANK(A164),"""",GOOGLETRANSLATE(A164,""en"",""fr""))"),"")</f>
        <v/>
      </c>
    </row>
    <row r="165" spans="2:2">
      <c r="B165" s="3" t="str">
        <f ca="1">IFERROR(__xludf.DUMMYFUNCTION("IF(ISBLANK(A165),"""",GOOGLETRANSLATE(A165,""en"",""fr""))"),"")</f>
        <v/>
      </c>
    </row>
    <row r="166" spans="2:2">
      <c r="B166" s="3" t="str">
        <f ca="1">IFERROR(__xludf.DUMMYFUNCTION("IF(ISBLANK(A166),"""",GOOGLETRANSLATE(A166,""en"",""fr""))"),"")</f>
        <v/>
      </c>
    </row>
    <row r="167" spans="2:2">
      <c r="B167" s="3" t="str">
        <f ca="1">IFERROR(__xludf.DUMMYFUNCTION("IF(ISBLANK(A167),"""",GOOGLETRANSLATE(A167,""en"",""fr""))"),"")</f>
        <v/>
      </c>
    </row>
    <row r="168" spans="2:2">
      <c r="B168" s="3" t="str">
        <f ca="1">IFERROR(__xludf.DUMMYFUNCTION("IF(ISBLANK(A168),"""",GOOGLETRANSLATE(A168,""en"",""fr""))"),"")</f>
        <v/>
      </c>
    </row>
    <row r="169" spans="2:2">
      <c r="B169" s="3" t="str">
        <f ca="1">IFERROR(__xludf.DUMMYFUNCTION("IF(ISBLANK(A169),"""",GOOGLETRANSLATE(A169,""en"",""fr""))"),"")</f>
        <v/>
      </c>
    </row>
    <row r="170" spans="2:2">
      <c r="B170" s="3" t="str">
        <f ca="1">IFERROR(__xludf.DUMMYFUNCTION("IF(ISBLANK(A170),"""",GOOGLETRANSLATE(A170,""en"",""fr""))"),"")</f>
        <v/>
      </c>
    </row>
    <row r="171" spans="2:2">
      <c r="B171" s="3" t="str">
        <f ca="1">IFERROR(__xludf.DUMMYFUNCTION("IF(ISBLANK(A171),"""",GOOGLETRANSLATE(A171,""en"",""fr""))"),"")</f>
        <v/>
      </c>
    </row>
    <row r="172" spans="2:2">
      <c r="B172" s="3" t="str">
        <f ca="1">IFERROR(__xludf.DUMMYFUNCTION("IF(ISBLANK(A172),"""",GOOGLETRANSLATE(A172,""en"",""fr""))"),"")</f>
        <v/>
      </c>
    </row>
    <row r="173" spans="2:2">
      <c r="B173" s="3" t="str">
        <f ca="1">IFERROR(__xludf.DUMMYFUNCTION("IF(ISBLANK(A173),"""",GOOGLETRANSLATE(A173,""en"",""fr""))"),"")</f>
        <v/>
      </c>
    </row>
    <row r="174" spans="2:2">
      <c r="B174" s="3" t="str">
        <f ca="1">IFERROR(__xludf.DUMMYFUNCTION("IF(ISBLANK(A174),"""",GOOGLETRANSLATE(A174,""en"",""fr""))"),"")</f>
        <v/>
      </c>
    </row>
    <row r="175" spans="2:2">
      <c r="B175" s="3" t="str">
        <f ca="1">IFERROR(__xludf.DUMMYFUNCTION("IF(ISBLANK(A175),"""",GOOGLETRANSLATE(A175,""en"",""fr""))"),"")</f>
        <v/>
      </c>
    </row>
    <row r="176" spans="2:2">
      <c r="B176" s="3" t="str">
        <f ca="1">IFERROR(__xludf.DUMMYFUNCTION("IF(ISBLANK(A176),"""",GOOGLETRANSLATE(A176,""en"",""fr""))"),"")</f>
        <v/>
      </c>
    </row>
    <row r="177" spans="2:2">
      <c r="B177" s="3" t="str">
        <f ca="1">IFERROR(__xludf.DUMMYFUNCTION("IF(ISBLANK(A177),"""",GOOGLETRANSLATE(A177,""en"",""fr""))"),"")</f>
        <v/>
      </c>
    </row>
    <row r="178" spans="2:2">
      <c r="B178" s="3" t="str">
        <f ca="1">IFERROR(__xludf.DUMMYFUNCTION("IF(ISBLANK(A178),"""",GOOGLETRANSLATE(A178,""en"",""fr""))"),"")</f>
        <v/>
      </c>
    </row>
    <row r="179" spans="2:2">
      <c r="B179" s="3" t="str">
        <f ca="1">IFERROR(__xludf.DUMMYFUNCTION("IF(ISBLANK(A179),"""",GOOGLETRANSLATE(A179,""en"",""fr""))"),"")</f>
        <v/>
      </c>
    </row>
    <row r="180" spans="2:2">
      <c r="B180" s="3" t="str">
        <f ca="1">IFERROR(__xludf.DUMMYFUNCTION("IF(ISBLANK(A180),"""",GOOGLETRANSLATE(A180,""en"",""fr""))"),"")</f>
        <v/>
      </c>
    </row>
    <row r="181" spans="2:2">
      <c r="B181" s="3" t="str">
        <f ca="1">IFERROR(__xludf.DUMMYFUNCTION("IF(ISBLANK(A181),"""",GOOGLETRANSLATE(A181,""en"",""fr""))"),"")</f>
        <v/>
      </c>
    </row>
    <row r="182" spans="2:2">
      <c r="B182" s="3" t="str">
        <f ca="1">IFERROR(__xludf.DUMMYFUNCTION("IF(ISBLANK(A182),"""",GOOGLETRANSLATE(A182,""en"",""fr""))"),"")</f>
        <v/>
      </c>
    </row>
    <row r="183" spans="2:2">
      <c r="B183" s="3" t="str">
        <f ca="1">IFERROR(__xludf.DUMMYFUNCTION("IF(ISBLANK(A183),"""",GOOGLETRANSLATE(A183,""en"",""fr""))"),"")</f>
        <v/>
      </c>
    </row>
    <row r="184" spans="2:2">
      <c r="B184" s="3" t="str">
        <f ca="1">IFERROR(__xludf.DUMMYFUNCTION("IF(ISBLANK(A184),"""",GOOGLETRANSLATE(A184,""en"",""fr""))"),"")</f>
        <v/>
      </c>
    </row>
    <row r="185" spans="2:2">
      <c r="B185" s="3" t="str">
        <f ca="1">IFERROR(__xludf.DUMMYFUNCTION("IF(ISBLANK(A185),"""",GOOGLETRANSLATE(A185,""en"",""fr""))"),"")</f>
        <v/>
      </c>
    </row>
    <row r="186" spans="2:2">
      <c r="B186" s="3" t="str">
        <f ca="1">IFERROR(__xludf.DUMMYFUNCTION("IF(ISBLANK(A186),"""",GOOGLETRANSLATE(A186,""en"",""fr""))"),"")</f>
        <v/>
      </c>
    </row>
    <row r="187" spans="2:2">
      <c r="B187" s="3" t="str">
        <f ca="1">IFERROR(__xludf.DUMMYFUNCTION("IF(ISBLANK(A187),"""",GOOGLETRANSLATE(A187,""en"",""fr""))"),"")</f>
        <v/>
      </c>
    </row>
    <row r="188" spans="2:2">
      <c r="B188" s="3" t="str">
        <f ca="1">IFERROR(__xludf.DUMMYFUNCTION("IF(ISBLANK(A188),"""",GOOGLETRANSLATE(A188,""en"",""fr""))"),"")</f>
        <v/>
      </c>
    </row>
    <row r="189" spans="2:2">
      <c r="B189" s="3" t="str">
        <f ca="1">IFERROR(__xludf.DUMMYFUNCTION("IF(ISBLANK(A189),"""",GOOGLETRANSLATE(A189,""en"",""fr""))"),"")</f>
        <v/>
      </c>
    </row>
    <row r="190" spans="2:2">
      <c r="B190" s="3" t="str">
        <f ca="1">IFERROR(__xludf.DUMMYFUNCTION("IF(ISBLANK(A190),"""",GOOGLETRANSLATE(A190,""en"",""fr""))"),"")</f>
        <v/>
      </c>
    </row>
    <row r="191" spans="2:2">
      <c r="B191" s="3" t="str">
        <f ca="1">IFERROR(__xludf.DUMMYFUNCTION("IF(ISBLANK(A191),"""",GOOGLETRANSLATE(A191,""en"",""fr""))"),"")</f>
        <v/>
      </c>
    </row>
    <row r="192" spans="2:2">
      <c r="B192" s="3" t="str">
        <f ca="1">IFERROR(__xludf.DUMMYFUNCTION("IF(ISBLANK(A192),"""",GOOGLETRANSLATE(A192,""en"",""fr""))"),"")</f>
        <v/>
      </c>
    </row>
    <row r="193" spans="2:2">
      <c r="B193" s="3" t="str">
        <f ca="1">IFERROR(__xludf.DUMMYFUNCTION("IF(ISBLANK(A193),"""",GOOGLETRANSLATE(A193,""en"",""fr""))"),"")</f>
        <v/>
      </c>
    </row>
    <row r="194" spans="2:2">
      <c r="B194" s="3" t="str">
        <f ca="1">IFERROR(__xludf.DUMMYFUNCTION("IF(ISBLANK(A194),"""",GOOGLETRANSLATE(A194,""en"",""fr""))"),"")</f>
        <v/>
      </c>
    </row>
    <row r="195" spans="2:2">
      <c r="B195" s="3" t="str">
        <f ca="1">IFERROR(__xludf.DUMMYFUNCTION("IF(ISBLANK(A195),"""",GOOGLETRANSLATE(A195,""en"",""fr""))"),"")</f>
        <v/>
      </c>
    </row>
    <row r="196" spans="2:2">
      <c r="B196" s="3" t="str">
        <f ca="1">IFERROR(__xludf.DUMMYFUNCTION("IF(ISBLANK(A196),"""",GOOGLETRANSLATE(A196,""en"",""fr""))"),"")</f>
        <v/>
      </c>
    </row>
    <row r="197" spans="2:2">
      <c r="B197" s="3" t="str">
        <f ca="1">IFERROR(__xludf.DUMMYFUNCTION("IF(ISBLANK(A197),"""",GOOGLETRANSLATE(A197,""en"",""fr""))"),"")</f>
        <v/>
      </c>
    </row>
    <row r="198" spans="2:2">
      <c r="B198" s="3" t="str">
        <f ca="1">IFERROR(__xludf.DUMMYFUNCTION("IF(ISBLANK(A198),"""",GOOGLETRANSLATE(A198,""en"",""fr""))"),"")</f>
        <v/>
      </c>
    </row>
    <row r="199" spans="2:2">
      <c r="B199" s="3" t="str">
        <f ca="1">IFERROR(__xludf.DUMMYFUNCTION("IF(ISBLANK(A199),"""",GOOGLETRANSLATE(A199,""en"",""fr""))"),"")</f>
        <v/>
      </c>
    </row>
    <row r="200" spans="2:2">
      <c r="B200" s="3" t="str">
        <f ca="1">IFERROR(__xludf.DUMMYFUNCTION("IF(ISBLANK(A200),"""",GOOGLETRANSLATE(A200,""en"",""fr""))"),"")</f>
        <v/>
      </c>
    </row>
    <row r="201" spans="2:2">
      <c r="B201" s="3" t="str">
        <f ca="1">IFERROR(__xludf.DUMMYFUNCTION("IF(ISBLANK(A201),"""",GOOGLETRANSLATE(A201,""en"",""fr""))"),"")</f>
        <v/>
      </c>
    </row>
    <row r="202" spans="2:2">
      <c r="B202" s="3" t="str">
        <f ca="1">IFERROR(__xludf.DUMMYFUNCTION("IF(ISBLANK(A202),"""",GOOGLETRANSLATE(A202,""en"",""fr""))"),"")</f>
        <v/>
      </c>
    </row>
    <row r="203" spans="2:2">
      <c r="B203" s="3" t="str">
        <f ca="1">IFERROR(__xludf.DUMMYFUNCTION("IF(ISBLANK(A203),"""",GOOGLETRANSLATE(A203,""en"",""fr""))"),"")</f>
        <v/>
      </c>
    </row>
    <row r="204" spans="2:2">
      <c r="B204" s="3" t="str">
        <f ca="1">IFERROR(__xludf.DUMMYFUNCTION("IF(ISBLANK(A204),"""",GOOGLETRANSLATE(A204,""en"",""fr""))"),"")</f>
        <v/>
      </c>
    </row>
    <row r="205" spans="2:2">
      <c r="B205" s="3" t="str">
        <f ca="1">IFERROR(__xludf.DUMMYFUNCTION("IF(ISBLANK(A205),"""",GOOGLETRANSLATE(A205,""en"",""fr""))"),"")</f>
        <v/>
      </c>
    </row>
    <row r="206" spans="2:2">
      <c r="B206" s="3" t="str">
        <f ca="1">IFERROR(__xludf.DUMMYFUNCTION("IF(ISBLANK(A206),"""",GOOGLETRANSLATE(A206,""en"",""fr""))"),"")</f>
        <v/>
      </c>
    </row>
    <row r="207" spans="2:2">
      <c r="B207" s="3" t="str">
        <f ca="1">IFERROR(__xludf.DUMMYFUNCTION("IF(ISBLANK(A207),"""",GOOGLETRANSLATE(A207,""en"",""fr""))"),"")</f>
        <v/>
      </c>
    </row>
    <row r="208" spans="2:2">
      <c r="B208" s="3" t="str">
        <f ca="1">IFERROR(__xludf.DUMMYFUNCTION("IF(ISBLANK(A208),"""",GOOGLETRANSLATE(A208,""en"",""fr""))"),"")</f>
        <v/>
      </c>
    </row>
    <row r="209" spans="2:2">
      <c r="B209" s="3" t="str">
        <f ca="1">IFERROR(__xludf.DUMMYFUNCTION("IF(ISBLANK(A209),"""",GOOGLETRANSLATE(A209,""en"",""fr""))"),"")</f>
        <v/>
      </c>
    </row>
    <row r="210" spans="2:2">
      <c r="B210" s="3" t="str">
        <f ca="1">IFERROR(__xludf.DUMMYFUNCTION("IF(ISBLANK(A210),"""",GOOGLETRANSLATE(A210,""en"",""fr""))"),"")</f>
        <v/>
      </c>
    </row>
    <row r="211" spans="2:2">
      <c r="B211" s="3" t="str">
        <f ca="1">IFERROR(__xludf.DUMMYFUNCTION("IF(ISBLANK(A211),"""",GOOGLETRANSLATE(A211,""en"",""fr""))"),"")</f>
        <v/>
      </c>
    </row>
    <row r="212" spans="2:2">
      <c r="B212" s="3" t="str">
        <f ca="1">IFERROR(__xludf.DUMMYFUNCTION("IF(ISBLANK(A212),"""",GOOGLETRANSLATE(A212,""en"",""fr""))"),"")</f>
        <v/>
      </c>
    </row>
    <row r="213" spans="2:2">
      <c r="B213" s="3" t="str">
        <f ca="1">IFERROR(__xludf.DUMMYFUNCTION("IF(ISBLANK(A213),"""",GOOGLETRANSLATE(A213,""en"",""fr""))"),"")</f>
        <v/>
      </c>
    </row>
    <row r="214" spans="2:2">
      <c r="B214" s="3" t="str">
        <f ca="1">IFERROR(__xludf.DUMMYFUNCTION("IF(ISBLANK(A214),"""",GOOGLETRANSLATE(A214,""en"",""fr""))"),"")</f>
        <v/>
      </c>
    </row>
    <row r="215" spans="2:2">
      <c r="B215" s="3" t="str">
        <f ca="1">IFERROR(__xludf.DUMMYFUNCTION("IF(ISBLANK(A215),"""",GOOGLETRANSLATE(A215,""en"",""fr""))"),"")</f>
        <v/>
      </c>
    </row>
    <row r="216" spans="2:2">
      <c r="B216" s="3" t="str">
        <f ca="1">IFERROR(__xludf.DUMMYFUNCTION("IF(ISBLANK(A216),"""",GOOGLETRANSLATE(A216,""en"",""fr""))"),"")</f>
        <v/>
      </c>
    </row>
    <row r="217" spans="2:2">
      <c r="B217" s="3" t="str">
        <f ca="1">IFERROR(__xludf.DUMMYFUNCTION("IF(ISBLANK(A217),"""",GOOGLETRANSLATE(A217,""en"",""fr""))"),"")</f>
        <v/>
      </c>
    </row>
    <row r="218" spans="2:2">
      <c r="B218" s="3" t="str">
        <f ca="1">IFERROR(__xludf.DUMMYFUNCTION("IF(ISBLANK(A218),"""",GOOGLETRANSLATE(A218,""en"",""fr""))"),"")</f>
        <v/>
      </c>
    </row>
    <row r="219" spans="2:2">
      <c r="B219" s="3" t="str">
        <f ca="1">IFERROR(__xludf.DUMMYFUNCTION("IF(ISBLANK(A219),"""",GOOGLETRANSLATE(A219,""en"",""fr""))"),"")</f>
        <v/>
      </c>
    </row>
    <row r="220" spans="2:2">
      <c r="B220" s="3" t="str">
        <f ca="1">IFERROR(__xludf.DUMMYFUNCTION("IF(ISBLANK(A220),"""",GOOGLETRANSLATE(A220,""en"",""fr""))"),"")</f>
        <v/>
      </c>
    </row>
    <row r="221" spans="2:2">
      <c r="B221" s="3" t="str">
        <f ca="1">IFERROR(__xludf.DUMMYFUNCTION("IF(ISBLANK(A221),"""",GOOGLETRANSLATE(A221,""en"",""fr""))"),"")</f>
        <v/>
      </c>
    </row>
    <row r="222" spans="2:2">
      <c r="B222" s="3" t="str">
        <f ca="1">IFERROR(__xludf.DUMMYFUNCTION("IF(ISBLANK(A222),"""",GOOGLETRANSLATE(A222,""en"",""fr""))"),"")</f>
        <v/>
      </c>
    </row>
    <row r="223" spans="2:2">
      <c r="B223" s="3" t="str">
        <f ca="1">IFERROR(__xludf.DUMMYFUNCTION("IF(ISBLANK(A223),"""",GOOGLETRANSLATE(A223,""en"",""fr""))"),"")</f>
        <v/>
      </c>
    </row>
    <row r="224" spans="2:2">
      <c r="B224" s="3" t="str">
        <f ca="1">IFERROR(__xludf.DUMMYFUNCTION("IF(ISBLANK(A224),"""",GOOGLETRANSLATE(A224,""en"",""fr""))"),"")</f>
        <v/>
      </c>
    </row>
    <row r="225" spans="2:2">
      <c r="B225" s="3" t="str">
        <f ca="1">IFERROR(__xludf.DUMMYFUNCTION("IF(ISBLANK(A225),"""",GOOGLETRANSLATE(A225,""en"",""fr""))"),"")</f>
        <v/>
      </c>
    </row>
    <row r="226" spans="2:2">
      <c r="B226" s="3" t="str">
        <f ca="1">IFERROR(__xludf.DUMMYFUNCTION("IF(ISBLANK(A226),"""",GOOGLETRANSLATE(A226,""en"",""fr""))"),"")</f>
        <v/>
      </c>
    </row>
    <row r="227" spans="2:2">
      <c r="B227" s="3" t="str">
        <f ca="1">IFERROR(__xludf.DUMMYFUNCTION("IF(ISBLANK(A227),"""",GOOGLETRANSLATE(A227,""en"",""fr""))"),"")</f>
        <v/>
      </c>
    </row>
    <row r="228" spans="2:2">
      <c r="B228" s="3" t="str">
        <f ca="1">IFERROR(__xludf.DUMMYFUNCTION("IF(ISBLANK(A228),"""",GOOGLETRANSLATE(A228,""en"",""fr""))"),"")</f>
        <v/>
      </c>
    </row>
    <row r="229" spans="2:2">
      <c r="B229" s="3" t="str">
        <f ca="1">IFERROR(__xludf.DUMMYFUNCTION("IF(ISBLANK(A229),"""",GOOGLETRANSLATE(A229,""en"",""fr""))"),"")</f>
        <v/>
      </c>
    </row>
    <row r="230" spans="2:2">
      <c r="B230" s="3" t="str">
        <f ca="1">IFERROR(__xludf.DUMMYFUNCTION("IF(ISBLANK(A230),"""",GOOGLETRANSLATE(A230,""en"",""fr""))"),"")</f>
        <v/>
      </c>
    </row>
    <row r="231" spans="2:2">
      <c r="B231" s="3" t="str">
        <f ca="1">IFERROR(__xludf.DUMMYFUNCTION("IF(ISBLANK(A231),"""",GOOGLETRANSLATE(A231,""en"",""fr""))"),"")</f>
        <v/>
      </c>
    </row>
    <row r="232" spans="2:2">
      <c r="B232" s="3" t="str">
        <f ca="1">IFERROR(__xludf.DUMMYFUNCTION("IF(ISBLANK(A232),"""",GOOGLETRANSLATE(A232,""en"",""fr""))"),"")</f>
        <v/>
      </c>
    </row>
    <row r="233" spans="2:2">
      <c r="B233" s="3" t="str">
        <f ca="1">IFERROR(__xludf.DUMMYFUNCTION("IF(ISBLANK(A233),"""",GOOGLETRANSLATE(A233,""en"",""fr""))"),"")</f>
        <v/>
      </c>
    </row>
    <row r="234" spans="2:2">
      <c r="B234" s="3" t="str">
        <f ca="1">IFERROR(__xludf.DUMMYFUNCTION("IF(ISBLANK(A234),"""",GOOGLETRANSLATE(A234,""en"",""fr""))"),"")</f>
        <v/>
      </c>
    </row>
    <row r="235" spans="2:2">
      <c r="B235" s="3" t="str">
        <f ca="1">IFERROR(__xludf.DUMMYFUNCTION("IF(ISBLANK(A235),"""",GOOGLETRANSLATE(A235,""en"",""fr""))"),"")</f>
        <v/>
      </c>
    </row>
    <row r="236" spans="2:2">
      <c r="B236" s="3" t="str">
        <f ca="1">IFERROR(__xludf.DUMMYFUNCTION("IF(ISBLANK(A236),"""",GOOGLETRANSLATE(A236,""en"",""fr""))"),"")</f>
        <v/>
      </c>
    </row>
    <row r="237" spans="2:2">
      <c r="B237" s="3" t="str">
        <f ca="1">IFERROR(__xludf.DUMMYFUNCTION("IF(ISBLANK(A237),"""",GOOGLETRANSLATE(A237,""en"",""fr""))"),"")</f>
        <v/>
      </c>
    </row>
    <row r="238" spans="2:2">
      <c r="B238" s="3" t="str">
        <f ca="1">IFERROR(__xludf.DUMMYFUNCTION("IF(ISBLANK(A238),"""",GOOGLETRANSLATE(A238,""en"",""fr""))"),"")</f>
        <v/>
      </c>
    </row>
    <row r="239" spans="2:2">
      <c r="B239" s="3" t="str">
        <f ca="1">IFERROR(__xludf.DUMMYFUNCTION("IF(ISBLANK(A239),"""",GOOGLETRANSLATE(A239,""en"",""fr""))"),"")</f>
        <v/>
      </c>
    </row>
    <row r="240" spans="2:2">
      <c r="B240" s="3" t="str">
        <f ca="1">IFERROR(__xludf.DUMMYFUNCTION("IF(ISBLANK(A240),"""",GOOGLETRANSLATE(A240,""en"",""fr""))"),"")</f>
        <v/>
      </c>
    </row>
    <row r="241" spans="2:2">
      <c r="B241" s="3" t="str">
        <f ca="1">IFERROR(__xludf.DUMMYFUNCTION("IF(ISBLANK(A241),"""",GOOGLETRANSLATE(A241,""en"",""fr""))"),"")</f>
        <v/>
      </c>
    </row>
    <row r="242" spans="2:2">
      <c r="B242" s="3" t="str">
        <f ca="1">IFERROR(__xludf.DUMMYFUNCTION("IF(ISBLANK(A242),"""",GOOGLETRANSLATE(A242,""en"",""fr""))"),"")</f>
        <v/>
      </c>
    </row>
    <row r="243" spans="2:2">
      <c r="B243" s="3" t="str">
        <f ca="1">IFERROR(__xludf.DUMMYFUNCTION("IF(ISBLANK(A243),"""",GOOGLETRANSLATE(A243,""en"",""fr""))"),"")</f>
        <v/>
      </c>
    </row>
    <row r="244" spans="2:2">
      <c r="B244" s="3" t="str">
        <f ca="1">IFERROR(__xludf.DUMMYFUNCTION("IF(ISBLANK(A244),"""",GOOGLETRANSLATE(A244,""en"",""fr""))"),"")</f>
        <v/>
      </c>
    </row>
    <row r="245" spans="2:2">
      <c r="B245" s="3" t="str">
        <f ca="1">IFERROR(__xludf.DUMMYFUNCTION("IF(ISBLANK(A245),"""",GOOGLETRANSLATE(A245,""en"",""fr""))"),"")</f>
        <v/>
      </c>
    </row>
    <row r="246" spans="2:2">
      <c r="B246" s="3" t="str">
        <f ca="1">IFERROR(__xludf.DUMMYFUNCTION("IF(ISBLANK(A246),"""",GOOGLETRANSLATE(A246,""en"",""fr""))"),"")</f>
        <v/>
      </c>
    </row>
    <row r="247" spans="2:2">
      <c r="B247" s="3" t="str">
        <f ca="1">IFERROR(__xludf.DUMMYFUNCTION("IF(ISBLANK(A247),"""",GOOGLETRANSLATE(A247,""en"",""fr""))"),"")</f>
        <v/>
      </c>
    </row>
    <row r="248" spans="2:2">
      <c r="B248" s="3" t="str">
        <f ca="1">IFERROR(__xludf.DUMMYFUNCTION("IF(ISBLANK(A248),"""",GOOGLETRANSLATE(A248,""en"",""fr""))"),"")</f>
        <v/>
      </c>
    </row>
    <row r="249" spans="2:2">
      <c r="B249" s="3" t="str">
        <f ca="1">IFERROR(__xludf.DUMMYFUNCTION("IF(ISBLANK(A249),"""",GOOGLETRANSLATE(A249,""en"",""fr""))"),"")</f>
        <v/>
      </c>
    </row>
    <row r="250" spans="2:2">
      <c r="B250" s="3" t="str">
        <f ca="1">IFERROR(__xludf.DUMMYFUNCTION("IF(ISBLANK(A250),"""",GOOGLETRANSLATE(A250,""en"",""fr""))"),"")</f>
        <v/>
      </c>
    </row>
    <row r="251" spans="2:2">
      <c r="B251" s="3" t="str">
        <f ca="1">IFERROR(__xludf.DUMMYFUNCTION("IF(ISBLANK(A251),"""",GOOGLETRANSLATE(A251,""en"",""fr""))"),"")</f>
        <v/>
      </c>
    </row>
    <row r="252" spans="2:2">
      <c r="B252" s="3" t="str">
        <f ca="1">IFERROR(__xludf.DUMMYFUNCTION("IF(ISBLANK(A252),"""",GOOGLETRANSLATE(A252,""en"",""fr""))"),"")</f>
        <v/>
      </c>
    </row>
    <row r="253" spans="2:2">
      <c r="B253" s="3" t="str">
        <f ca="1">IFERROR(__xludf.DUMMYFUNCTION("IF(ISBLANK(A253),"""",GOOGLETRANSLATE(A253,""en"",""fr""))"),"")</f>
        <v/>
      </c>
    </row>
    <row r="254" spans="2:2">
      <c r="B254" s="3" t="str">
        <f ca="1">IFERROR(__xludf.DUMMYFUNCTION("IF(ISBLANK(A254),"""",GOOGLETRANSLATE(A254,""en"",""fr""))"),"")</f>
        <v/>
      </c>
    </row>
    <row r="255" spans="2:2">
      <c r="B255" s="3" t="str">
        <f ca="1">IFERROR(__xludf.DUMMYFUNCTION("IF(ISBLANK(A255),"""",GOOGLETRANSLATE(A255,""en"",""fr""))"),"")</f>
        <v/>
      </c>
    </row>
    <row r="256" spans="2:2">
      <c r="B256" s="3" t="str">
        <f ca="1">IFERROR(__xludf.DUMMYFUNCTION("IF(ISBLANK(A256),"""",GOOGLETRANSLATE(A256,""en"",""fr""))"),"")</f>
        <v/>
      </c>
    </row>
    <row r="257" spans="2:2">
      <c r="B257" s="3" t="str">
        <f ca="1">IFERROR(__xludf.DUMMYFUNCTION("IF(ISBLANK(A257),"""",GOOGLETRANSLATE(A257,""en"",""fr""))"),"")</f>
        <v/>
      </c>
    </row>
    <row r="258" spans="2:2">
      <c r="B258" s="3" t="str">
        <f ca="1">IFERROR(__xludf.DUMMYFUNCTION("IF(ISBLANK(A258),"""",GOOGLETRANSLATE(A258,""en"",""fr""))"),"")</f>
        <v/>
      </c>
    </row>
    <row r="259" spans="2:2">
      <c r="B259" s="3" t="str">
        <f ca="1">IFERROR(__xludf.DUMMYFUNCTION("IF(ISBLANK(A259),"""",GOOGLETRANSLATE(A259,""en"",""fr""))"),"")</f>
        <v/>
      </c>
    </row>
    <row r="260" spans="2:2">
      <c r="B260" s="3" t="str">
        <f ca="1">IFERROR(__xludf.DUMMYFUNCTION("IF(ISBLANK(A260),"""",GOOGLETRANSLATE(A260,""en"",""fr""))"),"")</f>
        <v/>
      </c>
    </row>
    <row r="261" spans="2:2">
      <c r="B261" s="3" t="str">
        <f ca="1">IFERROR(__xludf.DUMMYFUNCTION("IF(ISBLANK(A261),"""",GOOGLETRANSLATE(A261,""en"",""fr""))"),"")</f>
        <v/>
      </c>
    </row>
    <row r="262" spans="2:2">
      <c r="B262" s="3" t="str">
        <f ca="1">IFERROR(__xludf.DUMMYFUNCTION("IF(ISBLANK(A262),"""",GOOGLETRANSLATE(A262,""en"",""fr""))"),"")</f>
        <v/>
      </c>
    </row>
    <row r="263" spans="2:2">
      <c r="B263" s="3" t="str">
        <f ca="1">IFERROR(__xludf.DUMMYFUNCTION("IF(ISBLANK(A263),"""",GOOGLETRANSLATE(A263,""en"",""fr""))"),"")</f>
        <v/>
      </c>
    </row>
    <row r="264" spans="2:2">
      <c r="B264" s="3" t="str">
        <f ca="1">IFERROR(__xludf.DUMMYFUNCTION("IF(ISBLANK(A264),"""",GOOGLETRANSLATE(A264,""en"",""fr""))"),"")</f>
        <v/>
      </c>
    </row>
    <row r="265" spans="2:2">
      <c r="B265" s="3" t="str">
        <f ca="1">IFERROR(__xludf.DUMMYFUNCTION("IF(ISBLANK(A265),"""",GOOGLETRANSLATE(A265,""en"",""fr""))"),"")</f>
        <v/>
      </c>
    </row>
    <row r="266" spans="2:2">
      <c r="B266" s="3" t="str">
        <f ca="1">IFERROR(__xludf.DUMMYFUNCTION("IF(ISBLANK(A266),"""",GOOGLETRANSLATE(A266,""en"",""fr""))"),"")</f>
        <v/>
      </c>
    </row>
    <row r="267" spans="2:2">
      <c r="B267" s="3" t="str">
        <f ca="1">IFERROR(__xludf.DUMMYFUNCTION("IF(ISBLANK(A267),"""",GOOGLETRANSLATE(A267,""en"",""fr""))"),"")</f>
        <v/>
      </c>
    </row>
    <row r="268" spans="2:2">
      <c r="B268" s="3" t="str">
        <f ca="1">IFERROR(__xludf.DUMMYFUNCTION("IF(ISBLANK(A268),"""",GOOGLETRANSLATE(A268,""en"",""fr""))"),"")</f>
        <v/>
      </c>
    </row>
    <row r="269" spans="2:2">
      <c r="B269" s="3" t="str">
        <f ca="1">IFERROR(__xludf.DUMMYFUNCTION("IF(ISBLANK(A269),"""",GOOGLETRANSLATE(A269,""en"",""fr""))"),"")</f>
        <v/>
      </c>
    </row>
    <row r="270" spans="2:2">
      <c r="B270" s="3" t="str">
        <f ca="1">IFERROR(__xludf.DUMMYFUNCTION("IF(ISBLANK(A270),"""",GOOGLETRANSLATE(A270,""en"",""fr""))"),"")</f>
        <v/>
      </c>
    </row>
    <row r="271" spans="2:2">
      <c r="B271" s="3" t="str">
        <f ca="1">IFERROR(__xludf.DUMMYFUNCTION("IF(ISBLANK(A271),"""",GOOGLETRANSLATE(A271,""en"",""fr""))"),"")</f>
        <v/>
      </c>
    </row>
    <row r="272" spans="2:2">
      <c r="B272" s="3" t="str">
        <f ca="1">IFERROR(__xludf.DUMMYFUNCTION("IF(ISBLANK(A272),"""",GOOGLETRANSLATE(A272,""en"",""fr""))"),"")</f>
        <v/>
      </c>
    </row>
    <row r="273" spans="2:2">
      <c r="B273" s="3" t="str">
        <f ca="1">IFERROR(__xludf.DUMMYFUNCTION("IF(ISBLANK(A273),"""",GOOGLETRANSLATE(A273,""en"",""fr""))"),"")</f>
        <v/>
      </c>
    </row>
    <row r="274" spans="2:2">
      <c r="B274" s="3" t="str">
        <f ca="1">IFERROR(__xludf.DUMMYFUNCTION("IF(ISBLANK(A274),"""",GOOGLETRANSLATE(A274,""en"",""fr""))"),"")</f>
        <v/>
      </c>
    </row>
    <row r="275" spans="2:2">
      <c r="B275" s="3" t="str">
        <f ca="1">IFERROR(__xludf.DUMMYFUNCTION("IF(ISBLANK(A275),"""",GOOGLETRANSLATE(A275,""en"",""fr""))"),"")</f>
        <v/>
      </c>
    </row>
    <row r="276" spans="2:2">
      <c r="B276" s="3" t="str">
        <f ca="1">IFERROR(__xludf.DUMMYFUNCTION("IF(ISBLANK(A276),"""",GOOGLETRANSLATE(A276,""en"",""fr""))"),"")</f>
        <v/>
      </c>
    </row>
    <row r="277" spans="2:2">
      <c r="B277" s="3" t="str">
        <f ca="1">IFERROR(__xludf.DUMMYFUNCTION("IF(ISBLANK(A277),"""",GOOGLETRANSLATE(A277,""en"",""fr""))"),"")</f>
        <v/>
      </c>
    </row>
    <row r="278" spans="2:2">
      <c r="B278" s="3" t="str">
        <f ca="1">IFERROR(__xludf.DUMMYFUNCTION("IF(ISBLANK(A278),"""",GOOGLETRANSLATE(A278,""en"",""fr""))"),"")</f>
        <v/>
      </c>
    </row>
    <row r="279" spans="2:2">
      <c r="B279" s="3" t="str">
        <f ca="1">IFERROR(__xludf.DUMMYFUNCTION("IF(ISBLANK(A279),"""",GOOGLETRANSLATE(A279,""en"",""fr""))"),"")</f>
        <v/>
      </c>
    </row>
    <row r="280" spans="2:2">
      <c r="B280" s="3" t="str">
        <f ca="1">IFERROR(__xludf.DUMMYFUNCTION("IF(ISBLANK(A280),"""",GOOGLETRANSLATE(A280,""en"",""fr""))"),"")</f>
        <v/>
      </c>
    </row>
    <row r="281" spans="2:2">
      <c r="B281" s="3" t="str">
        <f ca="1">IFERROR(__xludf.DUMMYFUNCTION("IF(ISBLANK(A281),"""",GOOGLETRANSLATE(A281,""en"",""fr""))"),"")</f>
        <v/>
      </c>
    </row>
    <row r="282" spans="2:2">
      <c r="B282" s="3" t="str">
        <f ca="1">IFERROR(__xludf.DUMMYFUNCTION("IF(ISBLANK(A282),"""",GOOGLETRANSLATE(A282,""en"",""fr""))"),"")</f>
        <v/>
      </c>
    </row>
    <row r="283" spans="2:2">
      <c r="B283" s="3" t="str">
        <f ca="1">IFERROR(__xludf.DUMMYFUNCTION("IF(ISBLANK(A283),"""",GOOGLETRANSLATE(A283,""en"",""fr""))"),"")</f>
        <v/>
      </c>
    </row>
    <row r="284" spans="2:2">
      <c r="B284" s="3" t="str">
        <f ca="1">IFERROR(__xludf.DUMMYFUNCTION("IF(ISBLANK(A284),"""",GOOGLETRANSLATE(A284,""en"",""fr""))"),"")</f>
        <v/>
      </c>
    </row>
    <row r="285" spans="2:2">
      <c r="B285" s="3" t="str">
        <f ca="1">IFERROR(__xludf.DUMMYFUNCTION("IF(ISBLANK(A285),"""",GOOGLETRANSLATE(A285,""en"",""fr""))"),"")</f>
        <v/>
      </c>
    </row>
    <row r="286" spans="2:2">
      <c r="B286" s="3" t="str">
        <f ca="1">IFERROR(__xludf.DUMMYFUNCTION("IF(ISBLANK(A286),"""",GOOGLETRANSLATE(A286,""en"",""fr""))"),"")</f>
        <v/>
      </c>
    </row>
    <row r="287" spans="2:2">
      <c r="B287" s="3" t="str">
        <f ca="1">IFERROR(__xludf.DUMMYFUNCTION("IF(ISBLANK(A287),"""",GOOGLETRANSLATE(A287,""en"",""fr""))"),"")</f>
        <v/>
      </c>
    </row>
    <row r="288" spans="2:2">
      <c r="B288" s="3" t="str">
        <f ca="1">IFERROR(__xludf.DUMMYFUNCTION("IF(ISBLANK(A288),"""",GOOGLETRANSLATE(A288,""en"",""fr""))"),"")</f>
        <v/>
      </c>
    </row>
    <row r="289" spans="2:2">
      <c r="B289" s="3" t="str">
        <f ca="1">IFERROR(__xludf.DUMMYFUNCTION("IF(ISBLANK(A289),"""",GOOGLETRANSLATE(A289,""en"",""fr""))"),"")</f>
        <v/>
      </c>
    </row>
    <row r="290" spans="2:2">
      <c r="B290" s="3" t="str">
        <f ca="1">IFERROR(__xludf.DUMMYFUNCTION("IF(ISBLANK(A290),"""",GOOGLETRANSLATE(A290,""en"",""fr""))"),"")</f>
        <v/>
      </c>
    </row>
    <row r="291" spans="2:2">
      <c r="B291" s="3" t="str">
        <f ca="1">IFERROR(__xludf.DUMMYFUNCTION("IF(ISBLANK(A291),"""",GOOGLETRANSLATE(A291,""en"",""fr""))"),"")</f>
        <v/>
      </c>
    </row>
    <row r="292" spans="2:2">
      <c r="B292" s="3" t="str">
        <f ca="1">IFERROR(__xludf.DUMMYFUNCTION("IF(ISBLANK(A292),"""",GOOGLETRANSLATE(A292,""en"",""fr""))"),"")</f>
        <v/>
      </c>
    </row>
    <row r="293" spans="2:2">
      <c r="B293" s="3" t="str">
        <f ca="1">IFERROR(__xludf.DUMMYFUNCTION("IF(ISBLANK(A293),"""",GOOGLETRANSLATE(A293,""en"",""fr""))"),"")</f>
        <v/>
      </c>
    </row>
    <row r="294" spans="2:2">
      <c r="B294" s="3" t="str">
        <f ca="1">IFERROR(__xludf.DUMMYFUNCTION("IF(ISBLANK(A294),"""",GOOGLETRANSLATE(A294,""en"",""fr""))"),"")</f>
        <v/>
      </c>
    </row>
    <row r="295" spans="2:2">
      <c r="B295" s="3" t="str">
        <f ca="1">IFERROR(__xludf.DUMMYFUNCTION("IF(ISBLANK(A295),"""",GOOGLETRANSLATE(A295,""en"",""fr""))"),"")</f>
        <v/>
      </c>
    </row>
    <row r="296" spans="2:2">
      <c r="B296" s="3" t="str">
        <f ca="1">IFERROR(__xludf.DUMMYFUNCTION("IF(ISBLANK(A296),"""",GOOGLETRANSLATE(A296,""en"",""fr""))"),"")</f>
        <v/>
      </c>
    </row>
    <row r="297" spans="2:2">
      <c r="B297" s="3" t="str">
        <f ca="1">IFERROR(__xludf.DUMMYFUNCTION("IF(ISBLANK(A297),"""",GOOGLETRANSLATE(A297,""en"",""fr""))"),"")</f>
        <v/>
      </c>
    </row>
    <row r="298" spans="2:2">
      <c r="B298" s="3" t="str">
        <f ca="1">IFERROR(__xludf.DUMMYFUNCTION("IF(ISBLANK(A298),"""",GOOGLETRANSLATE(A298,""en"",""fr""))"),"")</f>
        <v/>
      </c>
    </row>
    <row r="299" spans="2:2">
      <c r="B299" s="3" t="str">
        <f ca="1">IFERROR(__xludf.DUMMYFUNCTION("IF(ISBLANK(A299),"""",GOOGLETRANSLATE(A299,""en"",""fr""))"),"")</f>
        <v/>
      </c>
    </row>
    <row r="300" spans="2:2">
      <c r="B300" s="3" t="str">
        <f ca="1">IFERROR(__xludf.DUMMYFUNCTION("IF(ISBLANK(A300),"""",GOOGLETRANSLATE(A300,""en"",""fr""))"),"")</f>
        <v/>
      </c>
    </row>
    <row r="301" spans="2:2">
      <c r="B301" s="3" t="str">
        <f ca="1">IFERROR(__xludf.DUMMYFUNCTION("IF(ISBLANK(A301),"""",GOOGLETRANSLATE(A301,""en"",""fr""))"),"")</f>
        <v/>
      </c>
    </row>
    <row r="302" spans="2:2">
      <c r="B302" s="3" t="str">
        <f ca="1">IFERROR(__xludf.DUMMYFUNCTION("IF(ISBLANK(A302),"""",GOOGLETRANSLATE(A302,""en"",""fr""))"),"")</f>
        <v/>
      </c>
    </row>
    <row r="303" spans="2:2">
      <c r="B303" s="3" t="str">
        <f ca="1">IFERROR(__xludf.DUMMYFUNCTION("IF(ISBLANK(A303),"""",GOOGLETRANSLATE(A303,""en"",""fr""))"),"")</f>
        <v/>
      </c>
    </row>
    <row r="304" spans="2:2">
      <c r="B304" s="3" t="str">
        <f ca="1">IFERROR(__xludf.DUMMYFUNCTION("IF(ISBLANK(A304),"""",GOOGLETRANSLATE(A304,""en"",""fr""))"),"")</f>
        <v/>
      </c>
    </row>
    <row r="305" spans="2:2">
      <c r="B305" s="3" t="str">
        <f ca="1">IFERROR(__xludf.DUMMYFUNCTION("IF(ISBLANK(A305),"""",GOOGLETRANSLATE(A305,""en"",""fr""))"),"")</f>
        <v/>
      </c>
    </row>
    <row r="306" spans="2:2">
      <c r="B306" s="3" t="str">
        <f ca="1">IFERROR(__xludf.DUMMYFUNCTION("IF(ISBLANK(A306),"""",GOOGLETRANSLATE(A306,""en"",""fr""))"),"")</f>
        <v/>
      </c>
    </row>
    <row r="307" spans="2:2">
      <c r="B307" s="3" t="str">
        <f ca="1">IFERROR(__xludf.DUMMYFUNCTION("IF(ISBLANK(A307),"""",GOOGLETRANSLATE(A307,""en"",""fr""))"),"")</f>
        <v/>
      </c>
    </row>
    <row r="308" spans="2:2">
      <c r="B308" s="3" t="str">
        <f ca="1">IFERROR(__xludf.DUMMYFUNCTION("IF(ISBLANK(A308),"""",GOOGLETRANSLATE(A308,""en"",""fr""))"),"")</f>
        <v/>
      </c>
    </row>
    <row r="309" spans="2:2">
      <c r="B309" s="3" t="str">
        <f ca="1">IFERROR(__xludf.DUMMYFUNCTION("IF(ISBLANK(A309),"""",GOOGLETRANSLATE(A309,""en"",""fr""))"),"")</f>
        <v/>
      </c>
    </row>
    <row r="310" spans="2:2">
      <c r="B310" s="3" t="str">
        <f ca="1">IFERROR(__xludf.DUMMYFUNCTION("IF(ISBLANK(A310),"""",GOOGLETRANSLATE(A310,""en"",""fr""))"),"")</f>
        <v/>
      </c>
    </row>
    <row r="311" spans="2:2">
      <c r="B311" s="3" t="str">
        <f ca="1">IFERROR(__xludf.DUMMYFUNCTION("IF(ISBLANK(A311),"""",GOOGLETRANSLATE(A311,""en"",""fr""))"),"")</f>
        <v/>
      </c>
    </row>
    <row r="312" spans="2:2">
      <c r="B312" s="3" t="str">
        <f ca="1">IFERROR(__xludf.DUMMYFUNCTION("IF(ISBLANK(A312),"""",GOOGLETRANSLATE(A312,""en"",""fr""))"),"")</f>
        <v/>
      </c>
    </row>
    <row r="313" spans="2:2">
      <c r="B313" s="3" t="str">
        <f ca="1">IFERROR(__xludf.DUMMYFUNCTION("IF(ISBLANK(A313),"""",GOOGLETRANSLATE(A313,""en"",""fr""))"),"")</f>
        <v/>
      </c>
    </row>
    <row r="314" spans="2:2">
      <c r="B314" s="3" t="str">
        <f ca="1">IFERROR(__xludf.DUMMYFUNCTION("IF(ISBLANK(A314),"""",GOOGLETRANSLATE(A314,""en"",""fr""))"),"")</f>
        <v/>
      </c>
    </row>
    <row r="315" spans="2:2">
      <c r="B315" s="3" t="str">
        <f ca="1">IFERROR(__xludf.DUMMYFUNCTION("IF(ISBLANK(A315),"""",GOOGLETRANSLATE(A315,""en"",""fr""))"),"")</f>
        <v/>
      </c>
    </row>
    <row r="316" spans="2:2">
      <c r="B316" s="3" t="str">
        <f ca="1">IFERROR(__xludf.DUMMYFUNCTION("IF(ISBLANK(A316),"""",GOOGLETRANSLATE(A316,""en"",""fr""))"),"")</f>
        <v/>
      </c>
    </row>
    <row r="317" spans="2:2">
      <c r="B317" s="3" t="str">
        <f ca="1">IFERROR(__xludf.DUMMYFUNCTION("IF(ISBLANK(A317),"""",GOOGLETRANSLATE(A317,""en"",""fr""))"),"")</f>
        <v/>
      </c>
    </row>
    <row r="318" spans="2:2">
      <c r="B318" s="3" t="str">
        <f ca="1">IFERROR(__xludf.DUMMYFUNCTION("IF(ISBLANK(A318),"""",GOOGLETRANSLATE(A318,""en"",""fr""))"),"")</f>
        <v/>
      </c>
    </row>
    <row r="319" spans="2:2">
      <c r="B319" s="3" t="str">
        <f ca="1">IFERROR(__xludf.DUMMYFUNCTION("IF(ISBLANK(A319),"""",GOOGLETRANSLATE(A319,""en"",""fr""))"),"")</f>
        <v/>
      </c>
    </row>
    <row r="320" spans="2:2">
      <c r="B320" s="3" t="str">
        <f ca="1">IFERROR(__xludf.DUMMYFUNCTION("IF(ISBLANK(A320),"""",GOOGLETRANSLATE(A320,""en"",""fr""))"),"")</f>
        <v/>
      </c>
    </row>
    <row r="321" spans="2:2">
      <c r="B321" s="3" t="str">
        <f ca="1">IFERROR(__xludf.DUMMYFUNCTION("IF(ISBLANK(A321),"""",GOOGLETRANSLATE(A321,""en"",""fr""))"),"")</f>
        <v/>
      </c>
    </row>
    <row r="322" spans="2:2">
      <c r="B322" s="3" t="str">
        <f ca="1">IFERROR(__xludf.DUMMYFUNCTION("IF(ISBLANK(A322),"""",GOOGLETRANSLATE(A322,""en"",""fr""))"),"")</f>
        <v/>
      </c>
    </row>
    <row r="323" spans="2:2">
      <c r="B323" s="3" t="str">
        <f ca="1">IFERROR(__xludf.DUMMYFUNCTION("IF(ISBLANK(A323),"""",GOOGLETRANSLATE(A323,""en"",""fr""))"),"")</f>
        <v/>
      </c>
    </row>
    <row r="324" spans="2:2">
      <c r="B324" s="3" t="str">
        <f ca="1">IFERROR(__xludf.DUMMYFUNCTION("IF(ISBLANK(A324),"""",GOOGLETRANSLATE(A324,""en"",""fr""))"),"")</f>
        <v/>
      </c>
    </row>
    <row r="325" spans="2:2">
      <c r="B325" s="3" t="str">
        <f ca="1">IFERROR(__xludf.DUMMYFUNCTION("IF(ISBLANK(A325),"""",GOOGLETRANSLATE(A325,""en"",""fr""))"),"")</f>
        <v/>
      </c>
    </row>
    <row r="326" spans="2:2">
      <c r="B326" s="3" t="str">
        <f ca="1">IFERROR(__xludf.DUMMYFUNCTION("IF(ISBLANK(A326),"""",GOOGLETRANSLATE(A326,""en"",""fr""))"),"")</f>
        <v/>
      </c>
    </row>
    <row r="327" spans="2:2">
      <c r="B327" s="3" t="str">
        <f ca="1">IFERROR(__xludf.DUMMYFUNCTION("IF(ISBLANK(A327),"""",GOOGLETRANSLATE(A327,""en"",""fr""))"),"")</f>
        <v/>
      </c>
    </row>
    <row r="328" spans="2:2">
      <c r="B328" s="3" t="str">
        <f ca="1">IFERROR(__xludf.DUMMYFUNCTION("IF(ISBLANK(A328),"""",GOOGLETRANSLATE(A328,""en"",""fr""))"),"")</f>
        <v/>
      </c>
    </row>
    <row r="329" spans="2:2">
      <c r="B329" s="3" t="str">
        <f ca="1">IFERROR(__xludf.DUMMYFUNCTION("IF(ISBLANK(A329),"""",GOOGLETRANSLATE(A329,""en"",""fr""))"),"")</f>
        <v/>
      </c>
    </row>
    <row r="330" spans="2:2">
      <c r="B330" s="3" t="str">
        <f ca="1">IFERROR(__xludf.DUMMYFUNCTION("IF(ISBLANK(A330),"""",GOOGLETRANSLATE(A330,""en"",""fr""))"),"")</f>
        <v/>
      </c>
    </row>
    <row r="331" spans="2:2">
      <c r="B331" s="3" t="str">
        <f ca="1">IFERROR(__xludf.DUMMYFUNCTION("IF(ISBLANK(A331),"""",GOOGLETRANSLATE(A331,""en"",""fr""))"),"")</f>
        <v/>
      </c>
    </row>
    <row r="332" spans="2:2">
      <c r="B332" s="3" t="str">
        <f ca="1">IFERROR(__xludf.DUMMYFUNCTION("IF(ISBLANK(A332),"""",GOOGLETRANSLATE(A332,""en"",""fr""))"),"")</f>
        <v/>
      </c>
    </row>
    <row r="333" spans="2:2">
      <c r="B333" s="3" t="str">
        <f ca="1">IFERROR(__xludf.DUMMYFUNCTION("IF(ISBLANK(A333),"""",GOOGLETRANSLATE(A333,""en"",""fr""))"),"")</f>
        <v/>
      </c>
    </row>
    <row r="334" spans="2:2">
      <c r="B334" s="3" t="str">
        <f ca="1">IFERROR(__xludf.DUMMYFUNCTION("IF(ISBLANK(A334),"""",GOOGLETRANSLATE(A334,""en"",""fr""))"),"")</f>
        <v/>
      </c>
    </row>
    <row r="335" spans="2:2">
      <c r="B335" s="3" t="str">
        <f ca="1">IFERROR(__xludf.DUMMYFUNCTION("IF(ISBLANK(A335),"""",GOOGLETRANSLATE(A335,""en"",""fr""))"),"")</f>
        <v/>
      </c>
    </row>
    <row r="336" spans="2:2">
      <c r="B336" s="3" t="str">
        <f ca="1">IFERROR(__xludf.DUMMYFUNCTION("IF(ISBLANK(A336),"""",GOOGLETRANSLATE(A336,""en"",""fr""))"),"")</f>
        <v/>
      </c>
    </row>
    <row r="337" spans="2:2">
      <c r="B337" s="3" t="str">
        <f ca="1">IFERROR(__xludf.DUMMYFUNCTION("IF(ISBLANK(A337),"""",GOOGLETRANSLATE(A337,""en"",""fr""))"),"")</f>
        <v/>
      </c>
    </row>
    <row r="338" spans="2:2">
      <c r="B338" s="3" t="str">
        <f ca="1">IFERROR(__xludf.DUMMYFUNCTION("IF(ISBLANK(A338),"""",GOOGLETRANSLATE(A338,""en"",""fr""))"),"")</f>
        <v/>
      </c>
    </row>
    <row r="339" spans="2:2">
      <c r="B339" s="3" t="str">
        <f ca="1">IFERROR(__xludf.DUMMYFUNCTION("IF(ISBLANK(A339),"""",GOOGLETRANSLATE(A339,""en"",""fr""))"),"")</f>
        <v/>
      </c>
    </row>
    <row r="340" spans="2:2">
      <c r="B340" s="3" t="str">
        <f ca="1">IFERROR(__xludf.DUMMYFUNCTION("IF(ISBLANK(A340),"""",GOOGLETRANSLATE(A340,""en"",""fr""))"),"")</f>
        <v/>
      </c>
    </row>
    <row r="341" spans="2:2">
      <c r="B341" s="3" t="str">
        <f ca="1">IFERROR(__xludf.DUMMYFUNCTION("IF(ISBLANK(A341),"""",GOOGLETRANSLATE(A341,""en"",""fr""))"),"")</f>
        <v/>
      </c>
    </row>
    <row r="342" spans="2:2">
      <c r="B342" s="3" t="str">
        <f ca="1">IFERROR(__xludf.DUMMYFUNCTION("IF(ISBLANK(A342),"""",GOOGLETRANSLATE(A342,""en"",""fr""))"),"")</f>
        <v/>
      </c>
    </row>
    <row r="343" spans="2:2">
      <c r="B343" s="3" t="str">
        <f ca="1">IFERROR(__xludf.DUMMYFUNCTION("IF(ISBLANK(A343),"""",GOOGLETRANSLATE(A343,""en"",""fr""))"),"")</f>
        <v/>
      </c>
    </row>
    <row r="344" spans="2:2">
      <c r="B344" s="3" t="str">
        <f ca="1">IFERROR(__xludf.DUMMYFUNCTION("IF(ISBLANK(A344),"""",GOOGLETRANSLATE(A344,""en"",""fr""))"),"")</f>
        <v/>
      </c>
    </row>
    <row r="345" spans="2:2">
      <c r="B345" s="3" t="str">
        <f ca="1">IFERROR(__xludf.DUMMYFUNCTION("IF(ISBLANK(A345),"""",GOOGLETRANSLATE(A345,""en"",""fr""))"),"")</f>
        <v/>
      </c>
    </row>
    <row r="346" spans="2:2">
      <c r="B346" s="3" t="str">
        <f ca="1">IFERROR(__xludf.DUMMYFUNCTION("IF(ISBLANK(A346),"""",GOOGLETRANSLATE(A346,""en"",""fr""))"),"")</f>
        <v/>
      </c>
    </row>
    <row r="347" spans="2:2">
      <c r="B347" s="3" t="str">
        <f ca="1">IFERROR(__xludf.DUMMYFUNCTION("IF(ISBLANK(A347),"""",GOOGLETRANSLATE(A347,""en"",""fr""))"),"")</f>
        <v/>
      </c>
    </row>
    <row r="348" spans="2:2">
      <c r="B348" s="3" t="str">
        <f ca="1">IFERROR(__xludf.DUMMYFUNCTION("IF(ISBLANK(A348),"""",GOOGLETRANSLATE(A348,""en"",""fr""))"),"")</f>
        <v/>
      </c>
    </row>
    <row r="349" spans="2:2">
      <c r="B349" s="3" t="str">
        <f ca="1">IFERROR(__xludf.DUMMYFUNCTION("IF(ISBLANK(A349),"""",GOOGLETRANSLATE(A349,""en"",""fr""))"),"")</f>
        <v/>
      </c>
    </row>
    <row r="350" spans="2:2">
      <c r="B350" s="3" t="str">
        <f ca="1">IFERROR(__xludf.DUMMYFUNCTION("IF(ISBLANK(A350),"""",GOOGLETRANSLATE(A350,""en"",""fr""))"),"")</f>
        <v/>
      </c>
    </row>
    <row r="351" spans="2:2">
      <c r="B351" s="3" t="str">
        <f ca="1">IFERROR(__xludf.DUMMYFUNCTION("IF(ISBLANK(A351),"""",GOOGLETRANSLATE(A351,""en"",""fr""))"),"")</f>
        <v/>
      </c>
    </row>
    <row r="352" spans="2:2">
      <c r="B352" s="3" t="str">
        <f ca="1">IFERROR(__xludf.DUMMYFUNCTION("IF(ISBLANK(A352),"""",GOOGLETRANSLATE(A352,""en"",""fr""))"),"")</f>
        <v/>
      </c>
    </row>
    <row r="353" spans="2:2">
      <c r="B353" s="3" t="str">
        <f ca="1">IFERROR(__xludf.DUMMYFUNCTION("IF(ISBLANK(A353),"""",GOOGLETRANSLATE(A353,""en"",""fr""))"),"")</f>
        <v/>
      </c>
    </row>
    <row r="354" spans="2:2">
      <c r="B354" s="3" t="str">
        <f ca="1">IFERROR(__xludf.DUMMYFUNCTION("IF(ISBLANK(A354),"""",GOOGLETRANSLATE(A354,""en"",""fr""))"),"")</f>
        <v/>
      </c>
    </row>
    <row r="355" spans="2:2">
      <c r="B355" s="3" t="str">
        <f ca="1">IFERROR(__xludf.DUMMYFUNCTION("IF(ISBLANK(A355),"""",GOOGLETRANSLATE(A355,""en"",""fr""))"),"")</f>
        <v/>
      </c>
    </row>
    <row r="356" spans="2:2">
      <c r="B356" s="3" t="str">
        <f ca="1">IFERROR(__xludf.DUMMYFUNCTION("IF(ISBLANK(A356),"""",GOOGLETRANSLATE(A356,""en"",""fr""))"),"")</f>
        <v/>
      </c>
    </row>
    <row r="357" spans="2:2">
      <c r="B357" s="3" t="str">
        <f ca="1">IFERROR(__xludf.DUMMYFUNCTION("IF(ISBLANK(A357),"""",GOOGLETRANSLATE(A357,""en"",""fr""))"),"")</f>
        <v/>
      </c>
    </row>
    <row r="358" spans="2:2">
      <c r="B358" s="3" t="str">
        <f ca="1">IFERROR(__xludf.DUMMYFUNCTION("IF(ISBLANK(A358),"""",GOOGLETRANSLATE(A358,""en"",""fr""))"),"")</f>
        <v/>
      </c>
    </row>
    <row r="359" spans="2:2">
      <c r="B359" s="3" t="str">
        <f ca="1">IFERROR(__xludf.DUMMYFUNCTION("IF(ISBLANK(A359),"""",GOOGLETRANSLATE(A359,""en"",""fr""))"),"")</f>
        <v/>
      </c>
    </row>
    <row r="360" spans="2:2">
      <c r="B360" s="3" t="str">
        <f ca="1">IFERROR(__xludf.DUMMYFUNCTION("IF(ISBLANK(A360),"""",GOOGLETRANSLATE(A360,""en"",""fr""))"),"")</f>
        <v/>
      </c>
    </row>
    <row r="361" spans="2:2">
      <c r="B361" s="3" t="str">
        <f ca="1">IFERROR(__xludf.DUMMYFUNCTION("IF(ISBLANK(A361),"""",GOOGLETRANSLATE(A361,""en"",""fr""))"),"")</f>
        <v/>
      </c>
    </row>
    <row r="362" spans="2:2">
      <c r="B362" s="3" t="str">
        <f ca="1">IFERROR(__xludf.DUMMYFUNCTION("IF(ISBLANK(A362),"""",GOOGLETRANSLATE(A362,""en"",""fr""))"),"")</f>
        <v/>
      </c>
    </row>
    <row r="363" spans="2:2">
      <c r="B363" s="3" t="str">
        <f ca="1">IFERROR(__xludf.DUMMYFUNCTION("IF(ISBLANK(A363),"""",GOOGLETRANSLATE(A363,""en"",""fr""))"),"")</f>
        <v/>
      </c>
    </row>
    <row r="364" spans="2:2">
      <c r="B364" s="3" t="str">
        <f ca="1">IFERROR(__xludf.DUMMYFUNCTION("IF(ISBLANK(A364),"""",GOOGLETRANSLATE(A364,""en"",""fr""))"),"")</f>
        <v/>
      </c>
    </row>
    <row r="365" spans="2:2">
      <c r="B365" s="3" t="str">
        <f ca="1">IFERROR(__xludf.DUMMYFUNCTION("IF(ISBLANK(A365),"""",GOOGLETRANSLATE(A365,""en"",""fr""))"),"")</f>
        <v/>
      </c>
    </row>
    <row r="366" spans="2:2">
      <c r="B366" s="3" t="str">
        <f ca="1">IFERROR(__xludf.DUMMYFUNCTION("IF(ISBLANK(A366),"""",GOOGLETRANSLATE(A366,""en"",""fr""))"),"")</f>
        <v/>
      </c>
    </row>
    <row r="367" spans="2:2">
      <c r="B367" s="3" t="str">
        <f ca="1">IFERROR(__xludf.DUMMYFUNCTION("IF(ISBLANK(A367),"""",GOOGLETRANSLATE(A367,""en"",""fr""))"),"")</f>
        <v/>
      </c>
    </row>
    <row r="368" spans="2:2">
      <c r="B368" s="3" t="str">
        <f ca="1">IFERROR(__xludf.DUMMYFUNCTION("IF(ISBLANK(A368),"""",GOOGLETRANSLATE(A368,""en"",""fr""))"),"")</f>
        <v/>
      </c>
    </row>
    <row r="369" spans="2:2">
      <c r="B369" s="3" t="str">
        <f ca="1">IFERROR(__xludf.DUMMYFUNCTION("IF(ISBLANK(A369),"""",GOOGLETRANSLATE(A369,""en"",""fr""))"),"")</f>
        <v/>
      </c>
    </row>
    <row r="370" spans="2:2">
      <c r="B370" s="3" t="str">
        <f ca="1">IFERROR(__xludf.DUMMYFUNCTION("IF(ISBLANK(A370),"""",GOOGLETRANSLATE(A370,""en"",""fr""))"),"")</f>
        <v/>
      </c>
    </row>
    <row r="371" spans="2:2">
      <c r="B371" s="3" t="str">
        <f ca="1">IFERROR(__xludf.DUMMYFUNCTION("IF(ISBLANK(A371),"""",GOOGLETRANSLATE(A371,""en"",""fr""))"),"")</f>
        <v/>
      </c>
    </row>
    <row r="372" spans="2:2">
      <c r="B372" s="3" t="str">
        <f ca="1">IFERROR(__xludf.DUMMYFUNCTION("IF(ISBLANK(A372),"""",GOOGLETRANSLATE(A372,""en"",""fr""))"),"")</f>
        <v/>
      </c>
    </row>
    <row r="373" spans="2:2">
      <c r="B373" s="3" t="str">
        <f ca="1">IFERROR(__xludf.DUMMYFUNCTION("IF(ISBLANK(A373),"""",GOOGLETRANSLATE(A373,""en"",""fr""))"),"")</f>
        <v/>
      </c>
    </row>
    <row r="374" spans="2:2">
      <c r="B374" s="3" t="str">
        <f ca="1">IFERROR(__xludf.DUMMYFUNCTION("IF(ISBLANK(A374),"""",GOOGLETRANSLATE(A374,""en"",""fr""))"),"")</f>
        <v/>
      </c>
    </row>
    <row r="375" spans="2:2">
      <c r="B375" s="3" t="str">
        <f ca="1">IFERROR(__xludf.DUMMYFUNCTION("IF(ISBLANK(A375),"""",GOOGLETRANSLATE(A375,""en"",""fr""))"),"")</f>
        <v/>
      </c>
    </row>
    <row r="376" spans="2:2">
      <c r="B376" s="3" t="str">
        <f ca="1">IFERROR(__xludf.DUMMYFUNCTION("IF(ISBLANK(A376),"""",GOOGLETRANSLATE(A376,""en"",""fr""))"),"")</f>
        <v/>
      </c>
    </row>
    <row r="377" spans="2:2">
      <c r="B377" s="3" t="str">
        <f ca="1">IFERROR(__xludf.DUMMYFUNCTION("IF(ISBLANK(A377),"""",GOOGLETRANSLATE(A377,""en"",""fr""))"),"")</f>
        <v/>
      </c>
    </row>
    <row r="378" spans="2:2">
      <c r="B378" s="3" t="str">
        <f ca="1">IFERROR(__xludf.DUMMYFUNCTION("IF(ISBLANK(A378),"""",GOOGLETRANSLATE(A378,""en"",""fr""))"),"")</f>
        <v/>
      </c>
    </row>
    <row r="379" spans="2:2">
      <c r="B379" s="3" t="str">
        <f ca="1">IFERROR(__xludf.DUMMYFUNCTION("IF(ISBLANK(A379),"""",GOOGLETRANSLATE(A379,""en"",""fr""))"),"")</f>
        <v/>
      </c>
    </row>
    <row r="380" spans="2:2">
      <c r="B380" s="3" t="str">
        <f ca="1">IFERROR(__xludf.DUMMYFUNCTION("IF(ISBLANK(A380),"""",GOOGLETRANSLATE(A380,""en"",""fr""))"),"")</f>
        <v/>
      </c>
    </row>
    <row r="381" spans="2:2">
      <c r="B381" s="3" t="str">
        <f ca="1">IFERROR(__xludf.DUMMYFUNCTION("IF(ISBLANK(A381),"""",GOOGLETRANSLATE(A381,""en"",""fr""))"),"")</f>
        <v/>
      </c>
    </row>
    <row r="382" spans="2:2">
      <c r="B382" s="3" t="str">
        <f ca="1">IFERROR(__xludf.DUMMYFUNCTION("IF(ISBLANK(A382),"""",GOOGLETRANSLATE(A382,""en"",""fr""))"),"")</f>
        <v/>
      </c>
    </row>
    <row r="383" spans="2:2">
      <c r="B383" s="3" t="str">
        <f ca="1">IFERROR(__xludf.DUMMYFUNCTION("IF(ISBLANK(A383),"""",GOOGLETRANSLATE(A383,""en"",""fr""))"),"")</f>
        <v/>
      </c>
    </row>
    <row r="384" spans="2:2">
      <c r="B384" s="3" t="str">
        <f ca="1">IFERROR(__xludf.DUMMYFUNCTION("IF(ISBLANK(A384),"""",GOOGLETRANSLATE(A384,""en"",""fr""))"),"")</f>
        <v/>
      </c>
    </row>
    <row r="385" spans="2:2">
      <c r="B385" s="3" t="str">
        <f ca="1">IFERROR(__xludf.DUMMYFUNCTION("IF(ISBLANK(A385),"""",GOOGLETRANSLATE(A385,""en"",""fr""))"),"")</f>
        <v/>
      </c>
    </row>
    <row r="386" spans="2:2">
      <c r="B386" s="3" t="str">
        <f ca="1">IFERROR(__xludf.DUMMYFUNCTION("IF(ISBLANK(A386),"""",GOOGLETRANSLATE(A386,""en"",""fr""))"),"")</f>
        <v/>
      </c>
    </row>
    <row r="387" spans="2:2">
      <c r="B387" s="3" t="str">
        <f ca="1">IFERROR(__xludf.DUMMYFUNCTION("IF(ISBLANK(A387),"""",GOOGLETRANSLATE(A387,""en"",""fr""))"),"")</f>
        <v/>
      </c>
    </row>
    <row r="388" spans="2:2">
      <c r="B388" s="3" t="str">
        <f ca="1">IFERROR(__xludf.DUMMYFUNCTION("IF(ISBLANK(A388),"""",GOOGLETRANSLATE(A388,""en"",""fr""))"),"")</f>
        <v/>
      </c>
    </row>
    <row r="389" spans="2:2">
      <c r="B389" s="3" t="str">
        <f ca="1">IFERROR(__xludf.DUMMYFUNCTION("IF(ISBLANK(A389),"""",GOOGLETRANSLATE(A389,""en"",""fr""))"),"")</f>
        <v/>
      </c>
    </row>
    <row r="390" spans="2:2">
      <c r="B390" s="3" t="str">
        <f ca="1">IFERROR(__xludf.DUMMYFUNCTION("IF(ISBLANK(A390),"""",GOOGLETRANSLATE(A390,""en"",""fr""))"),"")</f>
        <v/>
      </c>
    </row>
    <row r="391" spans="2:2">
      <c r="B391" s="3" t="str">
        <f ca="1">IFERROR(__xludf.DUMMYFUNCTION("IF(ISBLANK(A391),"""",GOOGLETRANSLATE(A391,""en"",""fr""))"),"")</f>
        <v/>
      </c>
    </row>
    <row r="392" spans="2:2">
      <c r="B392" s="3" t="str">
        <f ca="1">IFERROR(__xludf.DUMMYFUNCTION("IF(ISBLANK(A392),"""",GOOGLETRANSLATE(A392,""en"",""fr""))"),"")</f>
        <v/>
      </c>
    </row>
    <row r="393" spans="2:2">
      <c r="B393" s="3" t="str">
        <f ca="1">IFERROR(__xludf.DUMMYFUNCTION("IF(ISBLANK(A393),"""",GOOGLETRANSLATE(A393,""en"",""fr""))"),"")</f>
        <v/>
      </c>
    </row>
    <row r="394" spans="2:2">
      <c r="B394" s="3" t="str">
        <f ca="1">IFERROR(__xludf.DUMMYFUNCTION("IF(ISBLANK(A394),"""",GOOGLETRANSLATE(A394,""en"",""fr""))"),"")</f>
        <v/>
      </c>
    </row>
    <row r="395" spans="2:2">
      <c r="B395" s="3" t="str">
        <f ca="1">IFERROR(__xludf.DUMMYFUNCTION("IF(ISBLANK(A395),"""",GOOGLETRANSLATE(A395,""en"",""fr""))"),"")</f>
        <v/>
      </c>
    </row>
    <row r="396" spans="2:2">
      <c r="B396" s="3" t="str">
        <f ca="1">IFERROR(__xludf.DUMMYFUNCTION("IF(ISBLANK(A396),"""",GOOGLETRANSLATE(A396,""en"",""fr""))"),"")</f>
        <v/>
      </c>
    </row>
    <row r="397" spans="2:2">
      <c r="B397" s="3" t="str">
        <f ca="1">IFERROR(__xludf.DUMMYFUNCTION("IF(ISBLANK(A397),"""",GOOGLETRANSLATE(A397,""en"",""fr""))"),"")</f>
        <v/>
      </c>
    </row>
    <row r="398" spans="2:2">
      <c r="B398" s="3" t="str">
        <f ca="1">IFERROR(__xludf.DUMMYFUNCTION("IF(ISBLANK(A398),"""",GOOGLETRANSLATE(A398,""en"",""fr""))"),"")</f>
        <v/>
      </c>
    </row>
    <row r="399" spans="2:2">
      <c r="B399" s="3" t="str">
        <f ca="1">IFERROR(__xludf.DUMMYFUNCTION("IF(ISBLANK(A399),"""",GOOGLETRANSLATE(A399,""en"",""fr""))"),"")</f>
        <v/>
      </c>
    </row>
    <row r="400" spans="2:2">
      <c r="B400" s="3" t="str">
        <f ca="1">IFERROR(__xludf.DUMMYFUNCTION("IF(ISBLANK(A400),"""",GOOGLETRANSLATE(A400,""en"",""fr""))"),"")</f>
        <v/>
      </c>
    </row>
    <row r="401" spans="2:2">
      <c r="B401" s="3" t="str">
        <f ca="1">IFERROR(__xludf.DUMMYFUNCTION("IF(ISBLANK(A401),"""",GOOGLETRANSLATE(A401,""en"",""fr""))"),"")</f>
        <v/>
      </c>
    </row>
    <row r="402" spans="2:2">
      <c r="B402" s="3" t="str">
        <f ca="1">IFERROR(__xludf.DUMMYFUNCTION("IF(ISBLANK(A402),"""",GOOGLETRANSLATE(A402,""en"",""fr""))"),"")</f>
        <v/>
      </c>
    </row>
    <row r="403" spans="2:2">
      <c r="B403" s="3" t="str">
        <f ca="1">IFERROR(__xludf.DUMMYFUNCTION("IF(ISBLANK(A403),"""",GOOGLETRANSLATE(A403,""en"",""fr""))"),"")</f>
        <v/>
      </c>
    </row>
    <row r="404" spans="2:2">
      <c r="B404" s="3" t="str">
        <f ca="1">IFERROR(__xludf.DUMMYFUNCTION("IF(ISBLANK(A404),"""",GOOGLETRANSLATE(A404,""en"",""fr""))"),"")</f>
        <v/>
      </c>
    </row>
    <row r="405" spans="2:2">
      <c r="B405" s="3" t="str">
        <f ca="1">IFERROR(__xludf.DUMMYFUNCTION("IF(ISBLANK(A405),"""",GOOGLETRANSLATE(A405,""en"",""fr""))"),"")</f>
        <v/>
      </c>
    </row>
    <row r="406" spans="2:2">
      <c r="B406" s="3" t="str">
        <f ca="1">IFERROR(__xludf.DUMMYFUNCTION("IF(ISBLANK(A406),"""",GOOGLETRANSLATE(A406,""en"",""fr""))"),"")</f>
        <v/>
      </c>
    </row>
    <row r="407" spans="2:2">
      <c r="B407" s="3" t="str">
        <f ca="1">IFERROR(__xludf.DUMMYFUNCTION("IF(ISBLANK(A407),"""",GOOGLETRANSLATE(A407,""en"",""fr""))"),"")</f>
        <v/>
      </c>
    </row>
    <row r="408" spans="2:2">
      <c r="B408" s="3" t="str">
        <f ca="1">IFERROR(__xludf.DUMMYFUNCTION("IF(ISBLANK(A408),"""",GOOGLETRANSLATE(A408,""en"",""fr""))"),"")</f>
        <v/>
      </c>
    </row>
    <row r="409" spans="2:2">
      <c r="B409" s="3" t="str">
        <f ca="1">IFERROR(__xludf.DUMMYFUNCTION("IF(ISBLANK(A409),"""",GOOGLETRANSLATE(A409,""en"",""fr""))"),"")</f>
        <v/>
      </c>
    </row>
    <row r="410" spans="2:2">
      <c r="B410" s="3" t="str">
        <f ca="1">IFERROR(__xludf.DUMMYFUNCTION("IF(ISBLANK(A410),"""",GOOGLETRANSLATE(A410,""en"",""fr""))"),"")</f>
        <v/>
      </c>
    </row>
    <row r="411" spans="2:2">
      <c r="B411" s="3" t="str">
        <f ca="1">IFERROR(__xludf.DUMMYFUNCTION("IF(ISBLANK(A411),"""",GOOGLETRANSLATE(A411,""en"",""fr""))"),"")</f>
        <v/>
      </c>
    </row>
    <row r="412" spans="2:2">
      <c r="B412" s="3" t="str">
        <f ca="1">IFERROR(__xludf.DUMMYFUNCTION("IF(ISBLANK(A412),"""",GOOGLETRANSLATE(A412,""en"",""fr""))"),"")</f>
        <v/>
      </c>
    </row>
    <row r="413" spans="2:2">
      <c r="B413" s="3" t="str">
        <f ca="1">IFERROR(__xludf.DUMMYFUNCTION("IF(ISBLANK(A413),"""",GOOGLETRANSLATE(A413,""en"",""fr""))"),"")</f>
        <v/>
      </c>
    </row>
    <row r="414" spans="2:2">
      <c r="B414" s="3" t="str">
        <f ca="1">IFERROR(__xludf.DUMMYFUNCTION("IF(ISBLANK(A414),"""",GOOGLETRANSLATE(A414,""en"",""fr""))"),"")</f>
        <v/>
      </c>
    </row>
    <row r="415" spans="2:2">
      <c r="B415" s="3" t="str">
        <f ca="1">IFERROR(__xludf.DUMMYFUNCTION("IF(ISBLANK(A415),"""",GOOGLETRANSLATE(A415,""en"",""fr""))"),"")</f>
        <v/>
      </c>
    </row>
    <row r="416" spans="2:2">
      <c r="B416" s="3" t="str">
        <f ca="1">IFERROR(__xludf.DUMMYFUNCTION("IF(ISBLANK(A416),"""",GOOGLETRANSLATE(A416,""en"",""fr""))"),"")</f>
        <v/>
      </c>
    </row>
    <row r="417" spans="2:2">
      <c r="B417" s="3" t="str">
        <f ca="1">IFERROR(__xludf.DUMMYFUNCTION("IF(ISBLANK(A417),"""",GOOGLETRANSLATE(A417,""en"",""fr""))"),"")</f>
        <v/>
      </c>
    </row>
    <row r="418" spans="2:2">
      <c r="B418" s="3" t="str">
        <f ca="1">IFERROR(__xludf.DUMMYFUNCTION("IF(ISBLANK(A418),"""",GOOGLETRANSLATE(A418,""en"",""fr""))"),"")</f>
        <v/>
      </c>
    </row>
    <row r="419" spans="2:2">
      <c r="B419" s="3" t="str">
        <f ca="1">IFERROR(__xludf.DUMMYFUNCTION("IF(ISBLANK(A419),"""",GOOGLETRANSLATE(A419,""en"",""fr""))"),"")</f>
        <v/>
      </c>
    </row>
    <row r="420" spans="2:2">
      <c r="B420" s="3" t="str">
        <f ca="1">IFERROR(__xludf.DUMMYFUNCTION("IF(ISBLANK(A420),"""",GOOGLETRANSLATE(A420,""en"",""fr""))"),"")</f>
        <v/>
      </c>
    </row>
    <row r="421" spans="2:2">
      <c r="B421" s="3" t="str">
        <f ca="1">IFERROR(__xludf.DUMMYFUNCTION("IF(ISBLANK(A421),"""",GOOGLETRANSLATE(A421,""en"",""fr""))"),"")</f>
        <v/>
      </c>
    </row>
    <row r="422" spans="2:2">
      <c r="B422" s="3" t="str">
        <f ca="1">IFERROR(__xludf.DUMMYFUNCTION("IF(ISBLANK(A422),"""",GOOGLETRANSLATE(A422,""en"",""fr""))"),"")</f>
        <v/>
      </c>
    </row>
    <row r="423" spans="2:2">
      <c r="B423" s="3" t="str">
        <f ca="1">IFERROR(__xludf.DUMMYFUNCTION("IF(ISBLANK(A423),"""",GOOGLETRANSLATE(A423,""en"",""fr""))"),"")</f>
        <v/>
      </c>
    </row>
    <row r="424" spans="2:2">
      <c r="B424" s="3" t="str">
        <f ca="1">IFERROR(__xludf.DUMMYFUNCTION("IF(ISBLANK(A424),"""",GOOGLETRANSLATE(A424,""en"",""fr""))"),"")</f>
        <v/>
      </c>
    </row>
    <row r="425" spans="2:2">
      <c r="B425" s="3" t="str">
        <f ca="1">IFERROR(__xludf.DUMMYFUNCTION("IF(ISBLANK(A425),"""",GOOGLETRANSLATE(A425,""en"",""fr""))"),"")</f>
        <v/>
      </c>
    </row>
    <row r="426" spans="2:2">
      <c r="B426" s="3" t="str">
        <f ca="1">IFERROR(__xludf.DUMMYFUNCTION("IF(ISBLANK(A426),"""",GOOGLETRANSLATE(A426,""en"",""fr""))"),"")</f>
        <v/>
      </c>
    </row>
    <row r="427" spans="2:2">
      <c r="B427" s="3" t="str">
        <f ca="1">IFERROR(__xludf.DUMMYFUNCTION("IF(ISBLANK(A427),"""",GOOGLETRANSLATE(A427,""en"",""fr""))"),"")</f>
        <v/>
      </c>
    </row>
    <row r="428" spans="2:2">
      <c r="B428" s="3" t="str">
        <f ca="1">IFERROR(__xludf.DUMMYFUNCTION("IF(ISBLANK(A428),"""",GOOGLETRANSLATE(A428,""en"",""fr""))"),"")</f>
        <v/>
      </c>
    </row>
    <row r="429" spans="2:2">
      <c r="B429" s="3" t="str">
        <f ca="1">IFERROR(__xludf.DUMMYFUNCTION("IF(ISBLANK(A429),"""",GOOGLETRANSLATE(A429,""en"",""fr""))"),"")</f>
        <v/>
      </c>
    </row>
    <row r="430" spans="2:2">
      <c r="B430" s="3" t="str">
        <f ca="1">IFERROR(__xludf.DUMMYFUNCTION("IF(ISBLANK(A430),"""",GOOGLETRANSLATE(A430,""en"",""fr""))"),"")</f>
        <v/>
      </c>
    </row>
    <row r="431" spans="2:2">
      <c r="B431" s="3" t="str">
        <f ca="1">IFERROR(__xludf.DUMMYFUNCTION("IF(ISBLANK(A431),"""",GOOGLETRANSLATE(A431,""en"",""fr""))"),"")</f>
        <v/>
      </c>
    </row>
    <row r="432" spans="2:2">
      <c r="B432" s="3" t="str">
        <f ca="1">IFERROR(__xludf.DUMMYFUNCTION("IF(ISBLANK(A432),"""",GOOGLETRANSLATE(A432,""en"",""fr""))"),"")</f>
        <v/>
      </c>
    </row>
    <row r="433" spans="2:2">
      <c r="B433" s="3" t="str">
        <f ca="1">IFERROR(__xludf.DUMMYFUNCTION("IF(ISBLANK(A433),"""",GOOGLETRANSLATE(A433,""en"",""fr""))"),"")</f>
        <v/>
      </c>
    </row>
    <row r="434" spans="2:2">
      <c r="B434" s="3" t="str">
        <f ca="1">IFERROR(__xludf.DUMMYFUNCTION("IF(ISBLANK(A434),"""",GOOGLETRANSLATE(A434,""en"",""fr""))"),"")</f>
        <v/>
      </c>
    </row>
    <row r="435" spans="2:2">
      <c r="B435" s="3" t="str">
        <f ca="1">IFERROR(__xludf.DUMMYFUNCTION("IF(ISBLANK(A435),"""",GOOGLETRANSLATE(A435,""en"",""fr""))"),"")</f>
        <v/>
      </c>
    </row>
    <row r="436" spans="2:2">
      <c r="B436" s="3" t="str">
        <f ca="1">IFERROR(__xludf.DUMMYFUNCTION("IF(ISBLANK(A436),"""",GOOGLETRANSLATE(A436,""en"",""fr""))"),"")</f>
        <v/>
      </c>
    </row>
    <row r="437" spans="2:2">
      <c r="B437" s="3" t="str">
        <f ca="1">IFERROR(__xludf.DUMMYFUNCTION("IF(ISBLANK(A437),"""",GOOGLETRANSLATE(A437,""en"",""fr""))"),"")</f>
        <v/>
      </c>
    </row>
    <row r="438" spans="2:2">
      <c r="B438" s="3" t="str">
        <f ca="1">IFERROR(__xludf.DUMMYFUNCTION("IF(ISBLANK(A438),"""",GOOGLETRANSLATE(A438,""en"",""fr""))"),"")</f>
        <v/>
      </c>
    </row>
    <row r="439" spans="2:2">
      <c r="B439" s="3" t="str">
        <f ca="1">IFERROR(__xludf.DUMMYFUNCTION("IF(ISBLANK(A439),"""",GOOGLETRANSLATE(A439,""en"",""fr""))"),"")</f>
        <v/>
      </c>
    </row>
    <row r="440" spans="2:2">
      <c r="B440" s="3" t="str">
        <f ca="1">IFERROR(__xludf.DUMMYFUNCTION("IF(ISBLANK(A440),"""",GOOGLETRANSLATE(A440,""en"",""fr""))"),"")</f>
        <v/>
      </c>
    </row>
    <row r="441" spans="2:2">
      <c r="B441" s="3" t="str">
        <f ca="1">IFERROR(__xludf.DUMMYFUNCTION("IF(ISBLANK(A441),"""",GOOGLETRANSLATE(A441,""en"",""fr""))"),"")</f>
        <v/>
      </c>
    </row>
    <row r="442" spans="2:2">
      <c r="B442" s="3" t="str">
        <f ca="1">IFERROR(__xludf.DUMMYFUNCTION("IF(ISBLANK(A442),"""",GOOGLETRANSLATE(A442,""en"",""fr""))"),"")</f>
        <v/>
      </c>
    </row>
    <row r="443" spans="2:2">
      <c r="B443" s="3" t="str">
        <f ca="1">IFERROR(__xludf.DUMMYFUNCTION("IF(ISBLANK(A443),"""",GOOGLETRANSLATE(A443,""en"",""fr""))"),"")</f>
        <v/>
      </c>
    </row>
    <row r="444" spans="2:2">
      <c r="B444" s="3" t="str">
        <f ca="1">IFERROR(__xludf.DUMMYFUNCTION("IF(ISBLANK(A444),"""",GOOGLETRANSLATE(A444,""en"",""fr""))"),"")</f>
        <v/>
      </c>
    </row>
    <row r="445" spans="2:2">
      <c r="B445" s="3" t="str">
        <f ca="1">IFERROR(__xludf.DUMMYFUNCTION("IF(ISBLANK(A445),"""",GOOGLETRANSLATE(A445,""en"",""fr""))"),"")</f>
        <v/>
      </c>
    </row>
    <row r="446" spans="2:2">
      <c r="B446" s="3" t="str">
        <f ca="1">IFERROR(__xludf.DUMMYFUNCTION("IF(ISBLANK(A446),"""",GOOGLETRANSLATE(A446,""en"",""fr""))"),"")</f>
        <v/>
      </c>
    </row>
    <row r="447" spans="2:2">
      <c r="B447" s="3" t="str">
        <f ca="1">IFERROR(__xludf.DUMMYFUNCTION("IF(ISBLANK(A447),"""",GOOGLETRANSLATE(A447,""en"",""fr""))"),"")</f>
        <v/>
      </c>
    </row>
    <row r="448" spans="2:2">
      <c r="B448" s="3" t="str">
        <f ca="1">IFERROR(__xludf.DUMMYFUNCTION("IF(ISBLANK(A448),"""",GOOGLETRANSLATE(A448,""en"",""fr""))"),"")</f>
        <v/>
      </c>
    </row>
    <row r="449" spans="2:2">
      <c r="B449" s="3" t="str">
        <f ca="1">IFERROR(__xludf.DUMMYFUNCTION("IF(ISBLANK(A449),"""",GOOGLETRANSLATE(A449,""en"",""fr""))"),"")</f>
        <v/>
      </c>
    </row>
    <row r="450" spans="2:2">
      <c r="B450" s="3" t="str">
        <f ca="1">IFERROR(__xludf.DUMMYFUNCTION("IF(ISBLANK(A450),"""",GOOGLETRANSLATE(A450,""en"",""fr""))"),"")</f>
        <v/>
      </c>
    </row>
    <row r="451" spans="2:2">
      <c r="B451" s="3" t="str">
        <f ca="1">IFERROR(__xludf.DUMMYFUNCTION("IF(ISBLANK(A451),"""",GOOGLETRANSLATE(A451,""en"",""fr""))"),"")</f>
        <v/>
      </c>
    </row>
    <row r="452" spans="2:2">
      <c r="B452" s="3" t="str">
        <f ca="1">IFERROR(__xludf.DUMMYFUNCTION("IF(ISBLANK(A452),"""",GOOGLETRANSLATE(A452,""en"",""fr""))"),"")</f>
        <v/>
      </c>
    </row>
    <row r="453" spans="2:2">
      <c r="B453" s="3" t="str">
        <f ca="1">IFERROR(__xludf.DUMMYFUNCTION("IF(ISBLANK(A453),"""",GOOGLETRANSLATE(A453,""en"",""fr""))"),"")</f>
        <v/>
      </c>
    </row>
    <row r="454" spans="2:2">
      <c r="B454" s="3" t="str">
        <f ca="1">IFERROR(__xludf.DUMMYFUNCTION("IF(ISBLANK(A454),"""",GOOGLETRANSLATE(A454,""en"",""fr""))"),"")</f>
        <v/>
      </c>
    </row>
    <row r="455" spans="2:2">
      <c r="B455" s="3" t="str">
        <f ca="1">IFERROR(__xludf.DUMMYFUNCTION("IF(ISBLANK(A455),"""",GOOGLETRANSLATE(A455,""en"",""fr""))"),"")</f>
        <v/>
      </c>
    </row>
    <row r="456" spans="2:2">
      <c r="B456" s="3" t="str">
        <f ca="1">IFERROR(__xludf.DUMMYFUNCTION("IF(ISBLANK(A456),"""",GOOGLETRANSLATE(A456,""en"",""fr""))"),"")</f>
        <v/>
      </c>
    </row>
    <row r="457" spans="2:2">
      <c r="B457" s="3" t="str">
        <f ca="1">IFERROR(__xludf.DUMMYFUNCTION("IF(ISBLANK(A457),"""",GOOGLETRANSLATE(A457,""en"",""fr""))"),"")</f>
        <v/>
      </c>
    </row>
    <row r="458" spans="2:2">
      <c r="B458" s="3" t="str">
        <f ca="1">IFERROR(__xludf.DUMMYFUNCTION("IF(ISBLANK(A458),"""",GOOGLETRANSLATE(A458,""en"",""fr""))"),"")</f>
        <v/>
      </c>
    </row>
    <row r="459" spans="2:2">
      <c r="B459" s="3" t="str">
        <f ca="1">IFERROR(__xludf.DUMMYFUNCTION("IF(ISBLANK(A459),"""",GOOGLETRANSLATE(A459,""en"",""fr""))"),"")</f>
        <v/>
      </c>
    </row>
    <row r="460" spans="2:2">
      <c r="B460" s="3" t="str">
        <f ca="1">IFERROR(__xludf.DUMMYFUNCTION("IF(ISBLANK(A460),"""",GOOGLETRANSLATE(A460,""en"",""fr""))"),"")</f>
        <v/>
      </c>
    </row>
    <row r="461" spans="2:2">
      <c r="B461" s="3" t="str">
        <f ca="1">IFERROR(__xludf.DUMMYFUNCTION("IF(ISBLANK(A461),"""",GOOGLETRANSLATE(A461,""en"",""fr""))"),"")</f>
        <v/>
      </c>
    </row>
    <row r="462" spans="2:2">
      <c r="B462" s="3" t="str">
        <f ca="1">IFERROR(__xludf.DUMMYFUNCTION("IF(ISBLANK(A462),"""",GOOGLETRANSLATE(A462,""en"",""fr""))"),"")</f>
        <v/>
      </c>
    </row>
    <row r="463" spans="2:2">
      <c r="B463" s="3" t="str">
        <f ca="1">IFERROR(__xludf.DUMMYFUNCTION("IF(ISBLANK(A463),"""",GOOGLETRANSLATE(A463,""en"",""fr""))"),"")</f>
        <v/>
      </c>
    </row>
    <row r="464" spans="2:2">
      <c r="B464" s="3" t="str">
        <f ca="1">IFERROR(__xludf.DUMMYFUNCTION("IF(ISBLANK(A464),"""",GOOGLETRANSLATE(A464,""en"",""fr""))"),"")</f>
        <v/>
      </c>
    </row>
    <row r="465" spans="2:2">
      <c r="B465" s="3" t="str">
        <f ca="1">IFERROR(__xludf.DUMMYFUNCTION("IF(ISBLANK(A465),"""",GOOGLETRANSLATE(A465,""en"",""fr""))"),"")</f>
        <v/>
      </c>
    </row>
    <row r="466" spans="2:2">
      <c r="B466" s="3" t="str">
        <f ca="1">IFERROR(__xludf.DUMMYFUNCTION("IF(ISBLANK(A466),"""",GOOGLETRANSLATE(A466,""en"",""fr""))"),"")</f>
        <v/>
      </c>
    </row>
    <row r="467" spans="2:2">
      <c r="B467" s="3" t="str">
        <f ca="1">IFERROR(__xludf.DUMMYFUNCTION("IF(ISBLANK(A467),"""",GOOGLETRANSLATE(A467,""en"",""fr""))"),"")</f>
        <v/>
      </c>
    </row>
    <row r="468" spans="2:2">
      <c r="B468" s="3" t="str">
        <f ca="1">IFERROR(__xludf.DUMMYFUNCTION("IF(ISBLANK(A468),"""",GOOGLETRANSLATE(A468,""en"",""fr""))"),"")</f>
        <v/>
      </c>
    </row>
    <row r="469" spans="2:2">
      <c r="B469" s="3" t="str">
        <f ca="1">IFERROR(__xludf.DUMMYFUNCTION("IF(ISBLANK(A469),"""",GOOGLETRANSLATE(A469,""en"",""fr""))"),"")</f>
        <v/>
      </c>
    </row>
    <row r="470" spans="2:2">
      <c r="B470" s="3" t="str">
        <f ca="1">IFERROR(__xludf.DUMMYFUNCTION("IF(ISBLANK(A470),"""",GOOGLETRANSLATE(A470,""en"",""fr""))"),"")</f>
        <v/>
      </c>
    </row>
    <row r="471" spans="2:2">
      <c r="B471" s="3" t="str">
        <f ca="1">IFERROR(__xludf.DUMMYFUNCTION("IF(ISBLANK(A471),"""",GOOGLETRANSLATE(A471,""en"",""fr""))"),"")</f>
        <v/>
      </c>
    </row>
    <row r="472" spans="2:2">
      <c r="B472" s="3" t="str">
        <f ca="1">IFERROR(__xludf.DUMMYFUNCTION("IF(ISBLANK(A472),"""",GOOGLETRANSLATE(A472,""en"",""fr""))"),"")</f>
        <v/>
      </c>
    </row>
    <row r="473" spans="2:2">
      <c r="B473" s="3" t="str">
        <f ca="1">IFERROR(__xludf.DUMMYFUNCTION("IF(ISBLANK(A473),"""",GOOGLETRANSLATE(A473,""en"",""fr""))"),"")</f>
        <v/>
      </c>
    </row>
    <row r="474" spans="2:2">
      <c r="B474" s="3" t="str">
        <f ca="1">IFERROR(__xludf.DUMMYFUNCTION("IF(ISBLANK(A474),"""",GOOGLETRANSLATE(A474,""en"",""fr""))"),"")</f>
        <v/>
      </c>
    </row>
    <row r="475" spans="2:2">
      <c r="B475" s="3" t="str">
        <f ca="1">IFERROR(__xludf.DUMMYFUNCTION("IF(ISBLANK(A475),"""",GOOGLETRANSLATE(A475,""en"",""fr""))"),"")</f>
        <v/>
      </c>
    </row>
    <row r="476" spans="2:2">
      <c r="B476" s="3" t="str">
        <f ca="1">IFERROR(__xludf.DUMMYFUNCTION("IF(ISBLANK(A476),"""",GOOGLETRANSLATE(A476,""en"",""fr""))"),"")</f>
        <v/>
      </c>
    </row>
    <row r="477" spans="2:2">
      <c r="B477" s="3" t="str">
        <f ca="1">IFERROR(__xludf.DUMMYFUNCTION("IF(ISBLANK(A477),"""",GOOGLETRANSLATE(A477,""en"",""fr""))"),"")</f>
        <v/>
      </c>
    </row>
    <row r="478" spans="2:2">
      <c r="B478" s="3" t="str">
        <f ca="1">IFERROR(__xludf.DUMMYFUNCTION("IF(ISBLANK(A478),"""",GOOGLETRANSLATE(A478,""en"",""fr""))"),"")</f>
        <v/>
      </c>
    </row>
    <row r="479" spans="2:2">
      <c r="B479" s="3" t="str">
        <f ca="1">IFERROR(__xludf.DUMMYFUNCTION("IF(ISBLANK(A479),"""",GOOGLETRANSLATE(A479,""en"",""fr""))"),"")</f>
        <v/>
      </c>
    </row>
    <row r="480" spans="2:2">
      <c r="B480" s="3" t="str">
        <f ca="1">IFERROR(__xludf.DUMMYFUNCTION("IF(ISBLANK(A480),"""",GOOGLETRANSLATE(A480,""en"",""fr""))"),"")</f>
        <v/>
      </c>
    </row>
    <row r="481" spans="2:2">
      <c r="B481" s="3" t="str">
        <f ca="1">IFERROR(__xludf.DUMMYFUNCTION("IF(ISBLANK(A481),"""",GOOGLETRANSLATE(A481,""en"",""fr""))"),"")</f>
        <v/>
      </c>
    </row>
    <row r="482" spans="2:2">
      <c r="B482" s="3" t="str">
        <f ca="1">IFERROR(__xludf.DUMMYFUNCTION("IF(ISBLANK(A482),"""",GOOGLETRANSLATE(A482,""en"",""fr""))"),"")</f>
        <v/>
      </c>
    </row>
    <row r="483" spans="2:2">
      <c r="B483" s="3" t="str">
        <f ca="1">IFERROR(__xludf.DUMMYFUNCTION("IF(ISBLANK(A483),"""",GOOGLETRANSLATE(A483,""en"",""fr""))"),"")</f>
        <v/>
      </c>
    </row>
    <row r="484" spans="2:2">
      <c r="B484" s="3" t="str">
        <f ca="1">IFERROR(__xludf.DUMMYFUNCTION("IF(ISBLANK(A484),"""",GOOGLETRANSLATE(A484,""en"",""fr""))"),"")</f>
        <v/>
      </c>
    </row>
    <row r="485" spans="2:2">
      <c r="B485" s="3" t="str">
        <f ca="1">IFERROR(__xludf.DUMMYFUNCTION("IF(ISBLANK(A485),"""",GOOGLETRANSLATE(A485,""en"",""fr""))"),"")</f>
        <v/>
      </c>
    </row>
    <row r="486" spans="2:2">
      <c r="B486" s="3" t="str">
        <f ca="1">IFERROR(__xludf.DUMMYFUNCTION("IF(ISBLANK(A486),"""",GOOGLETRANSLATE(A486,""en"",""fr""))"),"")</f>
        <v/>
      </c>
    </row>
    <row r="487" spans="2:2">
      <c r="B487" s="3" t="str">
        <f ca="1">IFERROR(__xludf.DUMMYFUNCTION("IF(ISBLANK(A487),"""",GOOGLETRANSLATE(A487,""en"",""fr""))"),"")</f>
        <v/>
      </c>
    </row>
    <row r="488" spans="2:2">
      <c r="B488" s="3" t="str">
        <f ca="1">IFERROR(__xludf.DUMMYFUNCTION("IF(ISBLANK(A488),"""",GOOGLETRANSLATE(A488,""en"",""fr""))"),"")</f>
        <v/>
      </c>
    </row>
    <row r="489" spans="2:2">
      <c r="B489" s="3" t="str">
        <f ca="1">IFERROR(__xludf.DUMMYFUNCTION("IF(ISBLANK(A489),"""",GOOGLETRANSLATE(A489,""en"",""fr""))"),"")</f>
        <v/>
      </c>
    </row>
    <row r="490" spans="2:2">
      <c r="B490" s="3" t="str">
        <f ca="1">IFERROR(__xludf.DUMMYFUNCTION("IF(ISBLANK(A490),"""",GOOGLETRANSLATE(A490,""en"",""fr""))"),"")</f>
        <v/>
      </c>
    </row>
    <row r="491" spans="2:2">
      <c r="B491" s="3" t="str">
        <f ca="1">IFERROR(__xludf.DUMMYFUNCTION("IF(ISBLANK(A491),"""",GOOGLETRANSLATE(A491,""en"",""fr""))"),"")</f>
        <v/>
      </c>
    </row>
    <row r="492" spans="2:2">
      <c r="B492" s="3" t="str">
        <f ca="1">IFERROR(__xludf.DUMMYFUNCTION("IF(ISBLANK(A492),"""",GOOGLETRANSLATE(A492,""en"",""fr""))"),"")</f>
        <v/>
      </c>
    </row>
    <row r="493" spans="2:2">
      <c r="B493" s="3" t="str">
        <f ca="1">IFERROR(__xludf.DUMMYFUNCTION("IF(ISBLANK(A493),"""",GOOGLETRANSLATE(A493,""en"",""fr""))"),"")</f>
        <v/>
      </c>
    </row>
    <row r="494" spans="2:2">
      <c r="B494" s="3" t="str">
        <f ca="1">IFERROR(__xludf.DUMMYFUNCTION("IF(ISBLANK(A494),"""",GOOGLETRANSLATE(A494,""en"",""fr""))"),"")</f>
        <v/>
      </c>
    </row>
    <row r="495" spans="2:2">
      <c r="B495" s="3" t="str">
        <f ca="1">IFERROR(__xludf.DUMMYFUNCTION("IF(ISBLANK(A495),"""",GOOGLETRANSLATE(A495,""en"",""fr""))"),"")</f>
        <v/>
      </c>
    </row>
    <row r="496" spans="2:2">
      <c r="B496" s="3" t="str">
        <f ca="1">IFERROR(__xludf.DUMMYFUNCTION("IF(ISBLANK(A496),"""",GOOGLETRANSLATE(A496,""en"",""fr""))"),"")</f>
        <v/>
      </c>
    </row>
    <row r="497" spans="2:2">
      <c r="B497" s="3" t="str">
        <f ca="1">IFERROR(__xludf.DUMMYFUNCTION("IF(ISBLANK(A497),"""",GOOGLETRANSLATE(A497,""en"",""fr""))"),"")</f>
        <v/>
      </c>
    </row>
    <row r="498" spans="2:2">
      <c r="B498" s="3" t="str">
        <f ca="1">IFERROR(__xludf.DUMMYFUNCTION("IF(ISBLANK(A498),"""",GOOGLETRANSLATE(A498,""en"",""fr""))"),"")</f>
        <v/>
      </c>
    </row>
    <row r="499" spans="2:2">
      <c r="B499" s="3" t="str">
        <f ca="1">IFERROR(__xludf.DUMMYFUNCTION("IF(ISBLANK(A499),"""",GOOGLETRANSLATE(A499,""en"",""fr""))"),"")</f>
        <v/>
      </c>
    </row>
    <row r="500" spans="2:2">
      <c r="B500" s="3" t="str">
        <f ca="1">IFERROR(__xludf.DUMMYFUNCTION("IF(ISBLANK(A500),"""",GOOGLETRANSLATE(A500,""en"",""fr""))"),"")</f>
        <v/>
      </c>
    </row>
    <row r="501" spans="2:2">
      <c r="B501" s="3" t="str">
        <f ca="1">IFERROR(__xludf.DUMMYFUNCTION("IF(ISBLANK(A501),"""",GOOGLETRANSLATE(A501,""en"",""fr""))"),"")</f>
        <v/>
      </c>
    </row>
    <row r="502" spans="2:2">
      <c r="B502" s="3" t="str">
        <f ca="1">IFERROR(__xludf.DUMMYFUNCTION("IF(ISBLANK(A502),"""",GOOGLETRANSLATE(A502,""en"",""fr""))"),"")</f>
        <v/>
      </c>
    </row>
    <row r="503" spans="2:2">
      <c r="B503" s="3" t="str">
        <f ca="1">IFERROR(__xludf.DUMMYFUNCTION("IF(ISBLANK(A503),"""",GOOGLETRANSLATE(A503,""en"",""fr""))"),"")</f>
        <v/>
      </c>
    </row>
    <row r="504" spans="2:2">
      <c r="B504" s="3" t="str">
        <f ca="1">IFERROR(__xludf.DUMMYFUNCTION("IF(ISBLANK(A504),"""",GOOGLETRANSLATE(A504,""en"",""fr""))"),"")</f>
        <v/>
      </c>
    </row>
    <row r="505" spans="2:2">
      <c r="B505" s="3" t="str">
        <f ca="1">IFERROR(__xludf.DUMMYFUNCTION("IF(ISBLANK(A505),"""",GOOGLETRANSLATE(A505,""en"",""fr""))"),"")</f>
        <v/>
      </c>
    </row>
    <row r="506" spans="2:2">
      <c r="B506" s="3" t="str">
        <f ca="1">IFERROR(__xludf.DUMMYFUNCTION("IF(ISBLANK(A506),"""",GOOGLETRANSLATE(A506,""en"",""fr""))"),"")</f>
        <v/>
      </c>
    </row>
    <row r="507" spans="2:2">
      <c r="B507" s="3" t="str">
        <f ca="1">IFERROR(__xludf.DUMMYFUNCTION("IF(ISBLANK(A507),"""",GOOGLETRANSLATE(A507,""en"",""fr""))"),"")</f>
        <v/>
      </c>
    </row>
    <row r="508" spans="2:2">
      <c r="B508" s="3" t="str">
        <f ca="1">IFERROR(__xludf.DUMMYFUNCTION("IF(ISBLANK(A508),"""",GOOGLETRANSLATE(A508,""en"",""fr""))"),"")</f>
        <v/>
      </c>
    </row>
    <row r="509" spans="2:2">
      <c r="B509" s="3" t="str">
        <f ca="1">IFERROR(__xludf.DUMMYFUNCTION("IF(ISBLANK(A509),"""",GOOGLETRANSLATE(A509,""en"",""fr""))"),"")</f>
        <v/>
      </c>
    </row>
    <row r="510" spans="2:2">
      <c r="B510" s="3" t="str">
        <f ca="1">IFERROR(__xludf.DUMMYFUNCTION("IF(ISBLANK(A510),"""",GOOGLETRANSLATE(A510,""en"",""fr""))"),"")</f>
        <v/>
      </c>
    </row>
    <row r="511" spans="2:2">
      <c r="B511" s="3" t="str">
        <f ca="1">IFERROR(__xludf.DUMMYFUNCTION("IF(ISBLANK(A511),"""",GOOGLETRANSLATE(A511,""en"",""fr""))"),"")</f>
        <v/>
      </c>
    </row>
    <row r="512" spans="2:2">
      <c r="B512" s="3" t="str">
        <f ca="1">IFERROR(__xludf.DUMMYFUNCTION("IF(ISBLANK(A512),"""",GOOGLETRANSLATE(A512,""en"",""fr""))"),"")</f>
        <v/>
      </c>
    </row>
    <row r="513" spans="2:2">
      <c r="B513" s="3" t="str">
        <f ca="1">IFERROR(__xludf.DUMMYFUNCTION("IF(ISBLANK(A513),"""",GOOGLETRANSLATE(A513,""en"",""fr""))"),"")</f>
        <v/>
      </c>
    </row>
    <row r="514" spans="2:2">
      <c r="B514" s="3" t="str">
        <f ca="1">IFERROR(__xludf.DUMMYFUNCTION("IF(ISBLANK(A514),"""",GOOGLETRANSLATE(A514,""en"",""fr""))"),"")</f>
        <v/>
      </c>
    </row>
    <row r="515" spans="2:2">
      <c r="B515" s="3" t="str">
        <f ca="1">IFERROR(__xludf.DUMMYFUNCTION("IF(ISBLANK(A515),"""",GOOGLETRANSLATE(A515,""en"",""fr""))"),"")</f>
        <v/>
      </c>
    </row>
    <row r="516" spans="2:2">
      <c r="B516" s="3" t="str">
        <f ca="1">IFERROR(__xludf.DUMMYFUNCTION("IF(ISBLANK(A516),"""",GOOGLETRANSLATE(A516,""en"",""fr""))"),"")</f>
        <v/>
      </c>
    </row>
    <row r="517" spans="2:2">
      <c r="B517" s="3" t="str">
        <f ca="1">IFERROR(__xludf.DUMMYFUNCTION("IF(ISBLANK(A517),"""",GOOGLETRANSLATE(A517,""en"",""fr""))"),"")</f>
        <v/>
      </c>
    </row>
    <row r="518" spans="2:2">
      <c r="B518" s="3" t="str">
        <f ca="1">IFERROR(__xludf.DUMMYFUNCTION("IF(ISBLANK(A518),"""",GOOGLETRANSLATE(A518,""en"",""fr""))"),"")</f>
        <v/>
      </c>
    </row>
    <row r="519" spans="2:2">
      <c r="B519" s="3" t="str">
        <f ca="1">IFERROR(__xludf.DUMMYFUNCTION("IF(ISBLANK(A519),"""",GOOGLETRANSLATE(A519,""en"",""fr""))"),"")</f>
        <v/>
      </c>
    </row>
    <row r="520" spans="2:2">
      <c r="B520" s="3" t="str">
        <f ca="1">IFERROR(__xludf.DUMMYFUNCTION("IF(ISBLANK(A520),"""",GOOGLETRANSLATE(A520,""en"",""fr""))"),"")</f>
        <v/>
      </c>
    </row>
    <row r="521" spans="2:2">
      <c r="B521" s="3" t="str">
        <f ca="1">IFERROR(__xludf.DUMMYFUNCTION("IF(ISBLANK(A521),"""",GOOGLETRANSLATE(A521,""en"",""fr""))"),"")</f>
        <v/>
      </c>
    </row>
    <row r="522" spans="2:2">
      <c r="B522" s="3" t="str">
        <f ca="1">IFERROR(__xludf.DUMMYFUNCTION("IF(ISBLANK(A522),"""",GOOGLETRANSLATE(A522,""en"",""fr""))"),"")</f>
        <v/>
      </c>
    </row>
    <row r="523" spans="2:2">
      <c r="B523" s="3" t="str">
        <f ca="1">IFERROR(__xludf.DUMMYFUNCTION("IF(ISBLANK(A523),"""",GOOGLETRANSLATE(A523,""en"",""fr""))"),"")</f>
        <v/>
      </c>
    </row>
    <row r="524" spans="2:2">
      <c r="B524" s="3" t="str">
        <f ca="1">IFERROR(__xludf.DUMMYFUNCTION("IF(ISBLANK(A524),"""",GOOGLETRANSLATE(A524,""en"",""fr""))"),"")</f>
        <v/>
      </c>
    </row>
    <row r="525" spans="2:2">
      <c r="B525" s="3" t="str">
        <f ca="1">IFERROR(__xludf.DUMMYFUNCTION("IF(ISBLANK(A525),"""",GOOGLETRANSLATE(A525,""en"",""fr""))"),"")</f>
        <v/>
      </c>
    </row>
    <row r="526" spans="2:2">
      <c r="B526" s="3" t="str">
        <f ca="1">IFERROR(__xludf.DUMMYFUNCTION("IF(ISBLANK(A526),"""",GOOGLETRANSLATE(A526,""en"",""fr""))"),"")</f>
        <v/>
      </c>
    </row>
    <row r="527" spans="2:2">
      <c r="B527" s="3" t="str">
        <f ca="1">IFERROR(__xludf.DUMMYFUNCTION("IF(ISBLANK(A527),"""",GOOGLETRANSLATE(A527,""en"",""fr""))"),"")</f>
        <v/>
      </c>
    </row>
    <row r="528" spans="2:2">
      <c r="B528" s="3" t="str">
        <f ca="1">IFERROR(__xludf.DUMMYFUNCTION("IF(ISBLANK(A528),"""",GOOGLETRANSLATE(A528,""en"",""fr""))"),"")</f>
        <v/>
      </c>
    </row>
    <row r="529" spans="2:2">
      <c r="B529" s="3" t="str">
        <f ca="1">IFERROR(__xludf.DUMMYFUNCTION("IF(ISBLANK(A529),"""",GOOGLETRANSLATE(A529,""en"",""fr""))"),"")</f>
        <v/>
      </c>
    </row>
    <row r="530" spans="2:2">
      <c r="B530" s="3" t="str">
        <f ca="1">IFERROR(__xludf.DUMMYFUNCTION("IF(ISBLANK(A530),"""",GOOGLETRANSLATE(A530,""en"",""fr""))"),"")</f>
        <v/>
      </c>
    </row>
    <row r="531" spans="2:2">
      <c r="B531" s="3" t="str">
        <f ca="1">IFERROR(__xludf.DUMMYFUNCTION("IF(ISBLANK(A531),"""",GOOGLETRANSLATE(A531,""en"",""fr""))"),"")</f>
        <v/>
      </c>
    </row>
    <row r="532" spans="2:2">
      <c r="B532" s="3" t="str">
        <f ca="1">IFERROR(__xludf.DUMMYFUNCTION("IF(ISBLANK(A532),"""",GOOGLETRANSLATE(A532,""en"",""fr""))"),"")</f>
        <v/>
      </c>
    </row>
    <row r="533" spans="2:2">
      <c r="B533" s="3" t="str">
        <f ca="1">IFERROR(__xludf.DUMMYFUNCTION("IF(ISBLANK(A533),"""",GOOGLETRANSLATE(A533,""en"",""fr""))"),"")</f>
        <v/>
      </c>
    </row>
    <row r="534" spans="2:2">
      <c r="B534" s="3" t="str">
        <f ca="1">IFERROR(__xludf.DUMMYFUNCTION("IF(ISBLANK(A534),"""",GOOGLETRANSLATE(A534,""en"",""fr""))"),"")</f>
        <v/>
      </c>
    </row>
    <row r="535" spans="2:2">
      <c r="B535" s="3" t="str">
        <f ca="1">IFERROR(__xludf.DUMMYFUNCTION("IF(ISBLANK(A535),"""",GOOGLETRANSLATE(A535,""en"",""fr""))"),"")</f>
        <v/>
      </c>
    </row>
    <row r="536" spans="2:2">
      <c r="B536" s="3" t="str">
        <f ca="1">IFERROR(__xludf.DUMMYFUNCTION("IF(ISBLANK(A536),"""",GOOGLETRANSLATE(A536,""en"",""fr""))"),"")</f>
        <v/>
      </c>
    </row>
    <row r="537" spans="2:2">
      <c r="B537" s="3" t="str">
        <f ca="1">IFERROR(__xludf.DUMMYFUNCTION("IF(ISBLANK(A537),"""",GOOGLETRANSLATE(A537,""en"",""fr""))"),"")</f>
        <v/>
      </c>
    </row>
    <row r="538" spans="2:2">
      <c r="B538" s="3" t="str">
        <f ca="1">IFERROR(__xludf.DUMMYFUNCTION("IF(ISBLANK(A538),"""",GOOGLETRANSLATE(A538,""en"",""fr""))"),"")</f>
        <v/>
      </c>
    </row>
    <row r="539" spans="2:2">
      <c r="B539" s="3" t="str">
        <f ca="1">IFERROR(__xludf.DUMMYFUNCTION("IF(ISBLANK(A539),"""",GOOGLETRANSLATE(A539,""en"",""fr""))"),"")</f>
        <v/>
      </c>
    </row>
    <row r="540" spans="2:2">
      <c r="B540" s="3" t="str">
        <f ca="1">IFERROR(__xludf.DUMMYFUNCTION("IF(ISBLANK(A540),"""",GOOGLETRANSLATE(A540,""en"",""fr""))"),"")</f>
        <v/>
      </c>
    </row>
    <row r="541" spans="2:2">
      <c r="B541" s="3" t="str">
        <f ca="1">IFERROR(__xludf.DUMMYFUNCTION("IF(ISBLANK(A541),"""",GOOGLETRANSLATE(A541,""en"",""fr""))"),"")</f>
        <v/>
      </c>
    </row>
    <row r="542" spans="2:2">
      <c r="B542" s="3" t="str">
        <f ca="1">IFERROR(__xludf.DUMMYFUNCTION("IF(ISBLANK(A542),"""",GOOGLETRANSLATE(A542,""en"",""fr""))"),"")</f>
        <v/>
      </c>
    </row>
    <row r="543" spans="2:2">
      <c r="B543" s="3" t="str">
        <f ca="1">IFERROR(__xludf.DUMMYFUNCTION("IF(ISBLANK(A543),"""",GOOGLETRANSLATE(A543,""en"",""fr""))"),"")</f>
        <v/>
      </c>
    </row>
    <row r="544" spans="2:2">
      <c r="B544" s="3" t="str">
        <f ca="1">IFERROR(__xludf.DUMMYFUNCTION("IF(ISBLANK(A544),"""",GOOGLETRANSLATE(A544,""en"",""fr""))"),"")</f>
        <v/>
      </c>
    </row>
    <row r="545" spans="2:2">
      <c r="B545" s="3" t="str">
        <f ca="1">IFERROR(__xludf.DUMMYFUNCTION("IF(ISBLANK(A545),"""",GOOGLETRANSLATE(A545,""en"",""fr""))"),"")</f>
        <v/>
      </c>
    </row>
    <row r="546" spans="2:2">
      <c r="B546" s="3" t="str">
        <f ca="1">IFERROR(__xludf.DUMMYFUNCTION("IF(ISBLANK(A546),"""",GOOGLETRANSLATE(A546,""en"",""fr""))"),"")</f>
        <v/>
      </c>
    </row>
    <row r="547" spans="2:2">
      <c r="B547" s="3" t="str">
        <f ca="1">IFERROR(__xludf.DUMMYFUNCTION("IF(ISBLANK(A547),"""",GOOGLETRANSLATE(A547,""en"",""fr""))"),"")</f>
        <v/>
      </c>
    </row>
    <row r="548" spans="2:2">
      <c r="B548" s="3" t="str">
        <f ca="1">IFERROR(__xludf.DUMMYFUNCTION("IF(ISBLANK(A548),"""",GOOGLETRANSLATE(A548,""en"",""fr""))"),"")</f>
        <v/>
      </c>
    </row>
    <row r="549" spans="2:2">
      <c r="B549" s="3" t="str">
        <f ca="1">IFERROR(__xludf.DUMMYFUNCTION("IF(ISBLANK(A549),"""",GOOGLETRANSLATE(A549,""en"",""fr""))"),"")</f>
        <v/>
      </c>
    </row>
    <row r="550" spans="2:2">
      <c r="B550" s="3" t="str">
        <f ca="1">IFERROR(__xludf.DUMMYFUNCTION("IF(ISBLANK(A550),"""",GOOGLETRANSLATE(A550,""en"",""fr""))"),"")</f>
        <v/>
      </c>
    </row>
    <row r="551" spans="2:2">
      <c r="B551" s="3" t="str">
        <f ca="1">IFERROR(__xludf.DUMMYFUNCTION("IF(ISBLANK(A551),"""",GOOGLETRANSLATE(A551,""en"",""fr""))"),"")</f>
        <v/>
      </c>
    </row>
    <row r="552" spans="2:2">
      <c r="B552" s="3" t="str">
        <f ca="1">IFERROR(__xludf.DUMMYFUNCTION("IF(ISBLANK(A552),"""",GOOGLETRANSLATE(A552,""en"",""fr""))"),"")</f>
        <v/>
      </c>
    </row>
    <row r="553" spans="2:2">
      <c r="B553" s="3" t="str">
        <f ca="1">IFERROR(__xludf.DUMMYFUNCTION("IF(ISBLANK(A553),"""",GOOGLETRANSLATE(A553,""en"",""fr""))"),"")</f>
        <v/>
      </c>
    </row>
    <row r="554" spans="2:2">
      <c r="B554" s="3" t="str">
        <f ca="1">IFERROR(__xludf.DUMMYFUNCTION("IF(ISBLANK(A554),"""",GOOGLETRANSLATE(A554,""en"",""fr""))"),"")</f>
        <v/>
      </c>
    </row>
    <row r="555" spans="2:2">
      <c r="B555" s="3" t="str">
        <f ca="1">IFERROR(__xludf.DUMMYFUNCTION("IF(ISBLANK(A555),"""",GOOGLETRANSLATE(A555,""en"",""fr""))"),"")</f>
        <v/>
      </c>
    </row>
    <row r="556" spans="2:2">
      <c r="B556" s="3" t="str">
        <f ca="1">IFERROR(__xludf.DUMMYFUNCTION("IF(ISBLANK(A556),"""",GOOGLETRANSLATE(A556,""en"",""fr""))"),"")</f>
        <v/>
      </c>
    </row>
    <row r="557" spans="2:2">
      <c r="B557" s="3" t="str">
        <f ca="1">IFERROR(__xludf.DUMMYFUNCTION("IF(ISBLANK(A557),"""",GOOGLETRANSLATE(A557,""en"",""fr""))"),"")</f>
        <v/>
      </c>
    </row>
    <row r="558" spans="2:2">
      <c r="B558" s="3" t="str">
        <f ca="1">IFERROR(__xludf.DUMMYFUNCTION("IF(ISBLANK(A558),"""",GOOGLETRANSLATE(A558,""en"",""fr""))"),"")</f>
        <v/>
      </c>
    </row>
    <row r="559" spans="2:2">
      <c r="B559" s="3" t="str">
        <f ca="1">IFERROR(__xludf.DUMMYFUNCTION("IF(ISBLANK(A559),"""",GOOGLETRANSLATE(A559,""en"",""fr""))"),"")</f>
        <v/>
      </c>
    </row>
    <row r="560" spans="2:2">
      <c r="B560" s="3" t="str">
        <f ca="1">IFERROR(__xludf.DUMMYFUNCTION("IF(ISBLANK(A560),"""",GOOGLETRANSLATE(A560,""en"",""fr""))"),"")</f>
        <v/>
      </c>
    </row>
    <row r="561" spans="2:2">
      <c r="B561" s="3" t="str">
        <f ca="1">IFERROR(__xludf.DUMMYFUNCTION("IF(ISBLANK(A561),"""",GOOGLETRANSLATE(A561,""en"",""fr""))"),"")</f>
        <v/>
      </c>
    </row>
    <row r="562" spans="2:2">
      <c r="B562" s="3" t="str">
        <f ca="1">IFERROR(__xludf.DUMMYFUNCTION("IF(ISBLANK(A562),"""",GOOGLETRANSLATE(A562,""en"",""fr""))"),"")</f>
        <v/>
      </c>
    </row>
    <row r="563" spans="2:2">
      <c r="B563" s="3" t="str">
        <f ca="1">IFERROR(__xludf.DUMMYFUNCTION("IF(ISBLANK(A563),"""",GOOGLETRANSLATE(A563,""en"",""fr""))"),"")</f>
        <v/>
      </c>
    </row>
    <row r="564" spans="2:2">
      <c r="B564" s="3" t="str">
        <f ca="1">IFERROR(__xludf.DUMMYFUNCTION("IF(ISBLANK(A564),"""",GOOGLETRANSLATE(A564,""en"",""fr""))"),"")</f>
        <v/>
      </c>
    </row>
    <row r="565" spans="2:2">
      <c r="B565" s="3" t="str">
        <f ca="1">IFERROR(__xludf.DUMMYFUNCTION("IF(ISBLANK(A565),"""",GOOGLETRANSLATE(A565,""en"",""fr""))"),"")</f>
        <v/>
      </c>
    </row>
    <row r="566" spans="2:2">
      <c r="B566" s="3" t="str">
        <f ca="1">IFERROR(__xludf.DUMMYFUNCTION("IF(ISBLANK(A566),"""",GOOGLETRANSLATE(A566,""en"",""fr""))"),"")</f>
        <v/>
      </c>
    </row>
    <row r="567" spans="2:2">
      <c r="B567" s="3" t="str">
        <f ca="1">IFERROR(__xludf.DUMMYFUNCTION("IF(ISBLANK(A567),"""",GOOGLETRANSLATE(A567,""en"",""fr""))"),"")</f>
        <v/>
      </c>
    </row>
    <row r="568" spans="2:2">
      <c r="B568" s="3" t="str">
        <f ca="1">IFERROR(__xludf.DUMMYFUNCTION("IF(ISBLANK(A568),"""",GOOGLETRANSLATE(A568,""en"",""fr""))"),"")</f>
        <v/>
      </c>
    </row>
    <row r="569" spans="2:2">
      <c r="B569" s="3" t="str">
        <f ca="1">IFERROR(__xludf.DUMMYFUNCTION("IF(ISBLANK(A569),"""",GOOGLETRANSLATE(A569,""en"",""fr""))"),"")</f>
        <v/>
      </c>
    </row>
    <row r="570" spans="2:2">
      <c r="B570" s="3" t="str">
        <f ca="1">IFERROR(__xludf.DUMMYFUNCTION("IF(ISBLANK(A570),"""",GOOGLETRANSLATE(A570,""en"",""fr""))"),"")</f>
        <v/>
      </c>
    </row>
    <row r="571" spans="2:2">
      <c r="B571" s="3" t="str">
        <f ca="1">IFERROR(__xludf.DUMMYFUNCTION("IF(ISBLANK(A571),"""",GOOGLETRANSLATE(A571,""en"",""fr""))"),"")</f>
        <v/>
      </c>
    </row>
    <row r="572" spans="2:2">
      <c r="B572" s="3" t="str">
        <f ca="1">IFERROR(__xludf.DUMMYFUNCTION("IF(ISBLANK(A572),"""",GOOGLETRANSLATE(A572,""en"",""fr""))"),"")</f>
        <v/>
      </c>
    </row>
    <row r="573" spans="2:2">
      <c r="B573" s="3" t="str">
        <f ca="1">IFERROR(__xludf.DUMMYFUNCTION("IF(ISBLANK(A573),"""",GOOGLETRANSLATE(A573,""en"",""fr""))"),"")</f>
        <v/>
      </c>
    </row>
    <row r="574" spans="2:2">
      <c r="B574" s="3" t="str">
        <f ca="1">IFERROR(__xludf.DUMMYFUNCTION("IF(ISBLANK(A574),"""",GOOGLETRANSLATE(A574,""en"",""fr""))"),"")</f>
        <v/>
      </c>
    </row>
    <row r="575" spans="2:2">
      <c r="B575" s="3" t="str">
        <f ca="1">IFERROR(__xludf.DUMMYFUNCTION("IF(ISBLANK(A575),"""",GOOGLETRANSLATE(A575,""en"",""fr""))"),"")</f>
        <v/>
      </c>
    </row>
    <row r="576" spans="2:2">
      <c r="B576" s="3" t="str">
        <f ca="1">IFERROR(__xludf.DUMMYFUNCTION("IF(ISBLANK(A576),"""",GOOGLETRANSLATE(A576,""en"",""fr""))"),"")</f>
        <v/>
      </c>
    </row>
    <row r="577" spans="2:2">
      <c r="B577" s="3" t="str">
        <f ca="1">IFERROR(__xludf.DUMMYFUNCTION("IF(ISBLANK(A577),"""",GOOGLETRANSLATE(A577,""en"",""fr""))"),"")</f>
        <v/>
      </c>
    </row>
    <row r="578" spans="2:2">
      <c r="B578" s="3" t="str">
        <f ca="1">IFERROR(__xludf.DUMMYFUNCTION("IF(ISBLANK(A578),"""",GOOGLETRANSLATE(A578,""en"",""fr""))"),"")</f>
        <v/>
      </c>
    </row>
    <row r="579" spans="2:2">
      <c r="B579" s="3" t="str">
        <f ca="1">IFERROR(__xludf.DUMMYFUNCTION("IF(ISBLANK(A579),"""",GOOGLETRANSLATE(A579,""en"",""fr""))"),"")</f>
        <v/>
      </c>
    </row>
    <row r="580" spans="2:2">
      <c r="B580" s="3" t="str">
        <f ca="1">IFERROR(__xludf.DUMMYFUNCTION("IF(ISBLANK(A580),"""",GOOGLETRANSLATE(A580,""en"",""fr""))"),"")</f>
        <v/>
      </c>
    </row>
    <row r="581" spans="2:2">
      <c r="B581" s="3" t="str">
        <f ca="1">IFERROR(__xludf.DUMMYFUNCTION("IF(ISBLANK(A581),"""",GOOGLETRANSLATE(A581,""en"",""fr""))"),"")</f>
        <v/>
      </c>
    </row>
    <row r="582" spans="2:2">
      <c r="B582" s="3" t="str">
        <f ca="1">IFERROR(__xludf.DUMMYFUNCTION("IF(ISBLANK(A582),"""",GOOGLETRANSLATE(A582,""en"",""fr""))"),"")</f>
        <v/>
      </c>
    </row>
    <row r="583" spans="2:2">
      <c r="B583" s="3" t="str">
        <f ca="1">IFERROR(__xludf.DUMMYFUNCTION("IF(ISBLANK(A583),"""",GOOGLETRANSLATE(A583,""en"",""fr""))"),"")</f>
        <v/>
      </c>
    </row>
    <row r="584" spans="2:2">
      <c r="B584" s="3" t="str">
        <f ca="1">IFERROR(__xludf.DUMMYFUNCTION("IF(ISBLANK(A584),"""",GOOGLETRANSLATE(A584,""en"",""fr""))"),"")</f>
        <v/>
      </c>
    </row>
    <row r="585" spans="2:2">
      <c r="B585" s="3" t="str">
        <f ca="1">IFERROR(__xludf.DUMMYFUNCTION("IF(ISBLANK(A585),"""",GOOGLETRANSLATE(A585,""en"",""fr""))"),"")</f>
        <v/>
      </c>
    </row>
    <row r="586" spans="2:2">
      <c r="B586" s="3" t="str">
        <f ca="1">IFERROR(__xludf.DUMMYFUNCTION("IF(ISBLANK(A586),"""",GOOGLETRANSLATE(A586,""en"",""fr""))"),"")</f>
        <v/>
      </c>
    </row>
    <row r="587" spans="2:2">
      <c r="B587" s="3" t="str">
        <f ca="1">IFERROR(__xludf.DUMMYFUNCTION("IF(ISBLANK(A587),"""",GOOGLETRANSLATE(A587,""en"",""fr""))"),"")</f>
        <v/>
      </c>
    </row>
    <row r="588" spans="2:2">
      <c r="B588" s="3" t="str">
        <f ca="1">IFERROR(__xludf.DUMMYFUNCTION("IF(ISBLANK(A588),"""",GOOGLETRANSLATE(A588,""en"",""fr""))"),"")</f>
        <v/>
      </c>
    </row>
    <row r="589" spans="2:2">
      <c r="B589" s="3" t="str">
        <f ca="1">IFERROR(__xludf.DUMMYFUNCTION("IF(ISBLANK(A589),"""",GOOGLETRANSLATE(A589,""en"",""fr""))"),"")</f>
        <v/>
      </c>
    </row>
    <row r="590" spans="2:2">
      <c r="B590" s="3" t="str">
        <f ca="1">IFERROR(__xludf.DUMMYFUNCTION("IF(ISBLANK(A590),"""",GOOGLETRANSLATE(A590,""en"",""fr""))"),"")</f>
        <v/>
      </c>
    </row>
    <row r="591" spans="2:2">
      <c r="B591" s="3" t="str">
        <f ca="1">IFERROR(__xludf.DUMMYFUNCTION("IF(ISBLANK(A591),"""",GOOGLETRANSLATE(A591,""en"",""fr""))"),"")</f>
        <v/>
      </c>
    </row>
    <row r="592" spans="2:2">
      <c r="B592" s="3" t="str">
        <f ca="1">IFERROR(__xludf.DUMMYFUNCTION("IF(ISBLANK(A592),"""",GOOGLETRANSLATE(A592,""en"",""fr""))"),"")</f>
        <v/>
      </c>
    </row>
    <row r="593" spans="2:2">
      <c r="B593" s="3" t="str">
        <f ca="1">IFERROR(__xludf.DUMMYFUNCTION("IF(ISBLANK(A593),"""",GOOGLETRANSLATE(A593,""en"",""fr""))"),"")</f>
        <v/>
      </c>
    </row>
    <row r="594" spans="2:2">
      <c r="B594" s="3" t="str">
        <f ca="1">IFERROR(__xludf.DUMMYFUNCTION("IF(ISBLANK(A594),"""",GOOGLETRANSLATE(A594,""en"",""fr""))"),"")</f>
        <v/>
      </c>
    </row>
    <row r="595" spans="2:2">
      <c r="B595" s="3" t="str">
        <f ca="1">IFERROR(__xludf.DUMMYFUNCTION("IF(ISBLANK(A595),"""",GOOGLETRANSLATE(A595,""en"",""fr""))"),"")</f>
        <v/>
      </c>
    </row>
    <row r="596" spans="2:2">
      <c r="B596" s="3" t="str">
        <f ca="1">IFERROR(__xludf.DUMMYFUNCTION("IF(ISBLANK(A596),"""",GOOGLETRANSLATE(A596,""en"",""fr""))"),"")</f>
        <v/>
      </c>
    </row>
    <row r="597" spans="2:2">
      <c r="B597" s="3" t="str">
        <f ca="1">IFERROR(__xludf.DUMMYFUNCTION("IF(ISBLANK(A597),"""",GOOGLETRANSLATE(A597,""en"",""fr""))"),"")</f>
        <v/>
      </c>
    </row>
    <row r="598" spans="2:2">
      <c r="B598" s="3" t="str">
        <f ca="1">IFERROR(__xludf.DUMMYFUNCTION("IF(ISBLANK(A598),"""",GOOGLETRANSLATE(A598,""en"",""fr""))"),"")</f>
        <v/>
      </c>
    </row>
    <row r="599" spans="2:2">
      <c r="B599" s="3" t="str">
        <f ca="1">IFERROR(__xludf.DUMMYFUNCTION("IF(ISBLANK(A599),"""",GOOGLETRANSLATE(A599,""en"",""fr""))"),"")</f>
        <v/>
      </c>
    </row>
    <row r="600" spans="2:2">
      <c r="B600" s="3" t="str">
        <f ca="1">IFERROR(__xludf.DUMMYFUNCTION("IF(ISBLANK(A600),"""",GOOGLETRANSLATE(A600,""en"",""fr""))"),"")</f>
        <v/>
      </c>
    </row>
    <row r="601" spans="2:2">
      <c r="B601" s="3" t="str">
        <f ca="1">IFERROR(__xludf.DUMMYFUNCTION("IF(ISBLANK(A601),"""",GOOGLETRANSLATE(A601,""en"",""fr""))"),"")</f>
        <v/>
      </c>
    </row>
    <row r="602" spans="2:2">
      <c r="B602" s="3" t="str">
        <f ca="1">IFERROR(__xludf.DUMMYFUNCTION("IF(ISBLANK(A602),"""",GOOGLETRANSLATE(A602,""en"",""fr""))"),"")</f>
        <v/>
      </c>
    </row>
    <row r="603" spans="2:2">
      <c r="B603" s="3" t="str">
        <f ca="1">IFERROR(__xludf.DUMMYFUNCTION("IF(ISBLANK(A603),"""",GOOGLETRANSLATE(A603,""en"",""fr""))"),"")</f>
        <v/>
      </c>
    </row>
    <row r="604" spans="2:2">
      <c r="B604" s="3" t="str">
        <f ca="1">IFERROR(__xludf.DUMMYFUNCTION("IF(ISBLANK(A604),"""",GOOGLETRANSLATE(A604,""en"",""fr""))"),"")</f>
        <v/>
      </c>
    </row>
    <row r="605" spans="2:2">
      <c r="B605" s="3" t="str">
        <f ca="1">IFERROR(__xludf.DUMMYFUNCTION("IF(ISBLANK(A605),"""",GOOGLETRANSLATE(A605,""en"",""fr""))"),"")</f>
        <v/>
      </c>
    </row>
    <row r="606" spans="2:2">
      <c r="B606" s="3" t="str">
        <f ca="1">IFERROR(__xludf.DUMMYFUNCTION("IF(ISBLANK(A606),"""",GOOGLETRANSLATE(A606,""en"",""fr""))"),"")</f>
        <v/>
      </c>
    </row>
    <row r="607" spans="2:2">
      <c r="B607" s="3" t="str">
        <f ca="1">IFERROR(__xludf.DUMMYFUNCTION("IF(ISBLANK(A607),"""",GOOGLETRANSLATE(A607,""en"",""fr""))"),"")</f>
        <v/>
      </c>
    </row>
    <row r="608" spans="2:2">
      <c r="B608" s="3" t="str">
        <f ca="1">IFERROR(__xludf.DUMMYFUNCTION("IF(ISBLANK(A608),"""",GOOGLETRANSLATE(A608,""en"",""fr""))"),"")</f>
        <v/>
      </c>
    </row>
    <row r="609" spans="2:2">
      <c r="B609" s="3" t="str">
        <f ca="1">IFERROR(__xludf.DUMMYFUNCTION("IF(ISBLANK(A609),"""",GOOGLETRANSLATE(A609,""en"",""fr""))"),"")</f>
        <v/>
      </c>
    </row>
    <row r="610" spans="2:2">
      <c r="B610" s="3" t="str">
        <f ca="1">IFERROR(__xludf.DUMMYFUNCTION("IF(ISBLANK(A610),"""",GOOGLETRANSLATE(A610,""en"",""fr""))"),"")</f>
        <v/>
      </c>
    </row>
    <row r="611" spans="2:2">
      <c r="B611" s="3" t="str">
        <f ca="1">IFERROR(__xludf.DUMMYFUNCTION("IF(ISBLANK(A611),"""",GOOGLETRANSLATE(A611,""en"",""fr""))"),"")</f>
        <v/>
      </c>
    </row>
    <row r="612" spans="2:2">
      <c r="B612" s="3" t="str">
        <f ca="1">IFERROR(__xludf.DUMMYFUNCTION("IF(ISBLANK(A612),"""",GOOGLETRANSLATE(A612,""en"",""fr""))"),"")</f>
        <v/>
      </c>
    </row>
    <row r="613" spans="2:2">
      <c r="B613" s="3" t="str">
        <f ca="1">IFERROR(__xludf.DUMMYFUNCTION("IF(ISBLANK(A613),"""",GOOGLETRANSLATE(A613,""en"",""fr""))"),"")</f>
        <v/>
      </c>
    </row>
    <row r="614" spans="2:2">
      <c r="B614" s="3" t="str">
        <f ca="1">IFERROR(__xludf.DUMMYFUNCTION("IF(ISBLANK(A614),"""",GOOGLETRANSLATE(A614,""en"",""fr""))"),"")</f>
        <v/>
      </c>
    </row>
    <row r="615" spans="2:2">
      <c r="B615" s="3" t="str">
        <f ca="1">IFERROR(__xludf.DUMMYFUNCTION("IF(ISBLANK(A615),"""",GOOGLETRANSLATE(A615,""en"",""fr""))"),"")</f>
        <v/>
      </c>
    </row>
    <row r="616" spans="2:2">
      <c r="B616" s="3" t="str">
        <f ca="1">IFERROR(__xludf.DUMMYFUNCTION("IF(ISBLANK(A616),"""",GOOGLETRANSLATE(A616,""en"",""fr""))"),"")</f>
        <v/>
      </c>
    </row>
    <row r="617" spans="2:2">
      <c r="B617" s="3" t="str">
        <f ca="1">IFERROR(__xludf.DUMMYFUNCTION("IF(ISBLANK(A617),"""",GOOGLETRANSLATE(A617,""en"",""fr""))"),"")</f>
        <v/>
      </c>
    </row>
    <row r="618" spans="2:2">
      <c r="B618" s="3" t="str">
        <f ca="1">IFERROR(__xludf.DUMMYFUNCTION("IF(ISBLANK(A618),"""",GOOGLETRANSLATE(A618,""en"",""fr""))"),"")</f>
        <v/>
      </c>
    </row>
    <row r="619" spans="2:2">
      <c r="B619" s="3" t="str">
        <f ca="1">IFERROR(__xludf.DUMMYFUNCTION("IF(ISBLANK(A619),"""",GOOGLETRANSLATE(A619,""en"",""fr""))"),"")</f>
        <v/>
      </c>
    </row>
    <row r="620" spans="2:2">
      <c r="B620" s="3" t="str">
        <f ca="1">IFERROR(__xludf.DUMMYFUNCTION("IF(ISBLANK(A620),"""",GOOGLETRANSLATE(A620,""en"",""fr""))"),"")</f>
        <v/>
      </c>
    </row>
    <row r="621" spans="2:2">
      <c r="B621" s="3" t="str">
        <f ca="1">IFERROR(__xludf.DUMMYFUNCTION("IF(ISBLANK(A621),"""",GOOGLETRANSLATE(A621,""en"",""fr""))"),"")</f>
        <v/>
      </c>
    </row>
    <row r="622" spans="2:2">
      <c r="B622" s="3" t="str">
        <f ca="1">IFERROR(__xludf.DUMMYFUNCTION("IF(ISBLANK(A622),"""",GOOGLETRANSLATE(A622,""en"",""fr""))"),"")</f>
        <v/>
      </c>
    </row>
    <row r="623" spans="2:2">
      <c r="B623" s="3" t="str">
        <f ca="1">IFERROR(__xludf.DUMMYFUNCTION("IF(ISBLANK(A623),"""",GOOGLETRANSLATE(A623,""en"",""fr""))"),"")</f>
        <v/>
      </c>
    </row>
    <row r="624" spans="2:2">
      <c r="B624" s="3" t="str">
        <f ca="1">IFERROR(__xludf.DUMMYFUNCTION("IF(ISBLANK(A624),"""",GOOGLETRANSLATE(A624,""en"",""fr""))"),"")</f>
        <v/>
      </c>
    </row>
    <row r="625" spans="2:2">
      <c r="B625" s="3" t="str">
        <f ca="1">IFERROR(__xludf.DUMMYFUNCTION("IF(ISBLANK(A625),"""",GOOGLETRANSLATE(A625,""en"",""fr""))"),"")</f>
        <v/>
      </c>
    </row>
    <row r="626" spans="2:2">
      <c r="B626" s="3" t="str">
        <f ca="1">IFERROR(__xludf.DUMMYFUNCTION("IF(ISBLANK(A626),"""",GOOGLETRANSLATE(A626,""en"",""fr""))"),"")</f>
        <v/>
      </c>
    </row>
    <row r="627" spans="2:2">
      <c r="B627" s="3" t="str">
        <f ca="1">IFERROR(__xludf.DUMMYFUNCTION("IF(ISBLANK(A627),"""",GOOGLETRANSLATE(A627,""en"",""fr""))"),"")</f>
        <v/>
      </c>
    </row>
    <row r="628" spans="2:2">
      <c r="B628" s="3" t="str">
        <f ca="1">IFERROR(__xludf.DUMMYFUNCTION("IF(ISBLANK(A628),"""",GOOGLETRANSLATE(A628,""en"",""fr""))"),"")</f>
        <v/>
      </c>
    </row>
    <row r="629" spans="2:2">
      <c r="B629" s="3" t="str">
        <f ca="1">IFERROR(__xludf.DUMMYFUNCTION("IF(ISBLANK(A629),"""",GOOGLETRANSLATE(A629,""en"",""fr""))"),"")</f>
        <v/>
      </c>
    </row>
    <row r="630" spans="2:2">
      <c r="B630" s="3" t="str">
        <f ca="1">IFERROR(__xludf.DUMMYFUNCTION("IF(ISBLANK(A630),"""",GOOGLETRANSLATE(A630,""en"",""fr""))"),"")</f>
        <v/>
      </c>
    </row>
    <row r="631" spans="2:2">
      <c r="B631" s="3" t="str">
        <f ca="1">IFERROR(__xludf.DUMMYFUNCTION("IF(ISBLANK(A631),"""",GOOGLETRANSLATE(A631,""en"",""fr""))"),"")</f>
        <v/>
      </c>
    </row>
    <row r="632" spans="2:2">
      <c r="B632" s="3" t="str">
        <f ca="1">IFERROR(__xludf.DUMMYFUNCTION("IF(ISBLANK(A632),"""",GOOGLETRANSLATE(A632,""en"",""fr""))"),"")</f>
        <v/>
      </c>
    </row>
    <row r="633" spans="2:2">
      <c r="B633" s="3" t="str">
        <f ca="1">IFERROR(__xludf.DUMMYFUNCTION("IF(ISBLANK(A633),"""",GOOGLETRANSLATE(A633,""en"",""fr""))"),"")</f>
        <v/>
      </c>
    </row>
    <row r="634" spans="2:2">
      <c r="B634" s="3" t="str">
        <f ca="1">IFERROR(__xludf.DUMMYFUNCTION("IF(ISBLANK(A634),"""",GOOGLETRANSLATE(A634,""en"",""fr""))"),"")</f>
        <v/>
      </c>
    </row>
    <row r="635" spans="2:2">
      <c r="B635" s="3" t="str">
        <f ca="1">IFERROR(__xludf.DUMMYFUNCTION("IF(ISBLANK(A635),"""",GOOGLETRANSLATE(A635,""en"",""fr""))"),"")</f>
        <v/>
      </c>
    </row>
    <row r="636" spans="2:2">
      <c r="B636" s="3" t="str">
        <f ca="1">IFERROR(__xludf.DUMMYFUNCTION("IF(ISBLANK(A636),"""",GOOGLETRANSLATE(A636,""en"",""fr""))"),"")</f>
        <v/>
      </c>
    </row>
    <row r="637" spans="2:2">
      <c r="B637" s="3" t="str">
        <f ca="1">IFERROR(__xludf.DUMMYFUNCTION("IF(ISBLANK(A637),"""",GOOGLETRANSLATE(A637,""en"",""fr""))"),"")</f>
        <v/>
      </c>
    </row>
    <row r="638" spans="2:2">
      <c r="B638" s="3" t="str">
        <f ca="1">IFERROR(__xludf.DUMMYFUNCTION("IF(ISBLANK(A638),"""",GOOGLETRANSLATE(A638,""en"",""fr""))"),"")</f>
        <v/>
      </c>
    </row>
    <row r="639" spans="2:2">
      <c r="B639" s="3" t="str">
        <f ca="1">IFERROR(__xludf.DUMMYFUNCTION("IF(ISBLANK(A639),"""",GOOGLETRANSLATE(A639,""en"",""fr""))"),"")</f>
        <v/>
      </c>
    </row>
    <row r="640" spans="2:2">
      <c r="B640" s="3" t="str">
        <f ca="1">IFERROR(__xludf.DUMMYFUNCTION("IF(ISBLANK(A640),"""",GOOGLETRANSLATE(A640,""en"",""fr""))"),"")</f>
        <v/>
      </c>
    </row>
    <row r="641" spans="2:2">
      <c r="B641" s="3" t="str">
        <f ca="1">IFERROR(__xludf.DUMMYFUNCTION("IF(ISBLANK(A641),"""",GOOGLETRANSLATE(A641,""en"",""fr""))"),"")</f>
        <v/>
      </c>
    </row>
    <row r="642" spans="2:2">
      <c r="B642" s="3" t="str">
        <f ca="1">IFERROR(__xludf.DUMMYFUNCTION("IF(ISBLANK(A642),"""",GOOGLETRANSLATE(A642,""en"",""fr""))"),"")</f>
        <v/>
      </c>
    </row>
    <row r="643" spans="2:2">
      <c r="B643" s="3" t="str">
        <f ca="1">IFERROR(__xludf.DUMMYFUNCTION("IF(ISBLANK(A643),"""",GOOGLETRANSLATE(A643,""en"",""fr""))"),"")</f>
        <v/>
      </c>
    </row>
    <row r="644" spans="2:2">
      <c r="B644" s="3" t="str">
        <f ca="1">IFERROR(__xludf.DUMMYFUNCTION("IF(ISBLANK(A644),"""",GOOGLETRANSLATE(A644,""en"",""fr""))"),"")</f>
        <v/>
      </c>
    </row>
    <row r="645" spans="2:2">
      <c r="B645" s="3" t="str">
        <f ca="1">IFERROR(__xludf.DUMMYFUNCTION("IF(ISBLANK(A645),"""",GOOGLETRANSLATE(A645,""en"",""fr""))"),"")</f>
        <v/>
      </c>
    </row>
    <row r="646" spans="2:2">
      <c r="B646" s="3" t="str">
        <f ca="1">IFERROR(__xludf.DUMMYFUNCTION("IF(ISBLANK(A646),"""",GOOGLETRANSLATE(A646,""en"",""fr""))"),"")</f>
        <v/>
      </c>
    </row>
    <row r="647" spans="2:2">
      <c r="B647" s="3" t="str">
        <f ca="1">IFERROR(__xludf.DUMMYFUNCTION("IF(ISBLANK(A647),"""",GOOGLETRANSLATE(A647,""en"",""fr""))"),"")</f>
        <v/>
      </c>
    </row>
    <row r="648" spans="2:2">
      <c r="B648" s="3" t="str">
        <f ca="1">IFERROR(__xludf.DUMMYFUNCTION("IF(ISBLANK(A648),"""",GOOGLETRANSLATE(A648,""en"",""fr""))"),"")</f>
        <v/>
      </c>
    </row>
    <row r="649" spans="2:2">
      <c r="B649" s="3" t="str">
        <f ca="1">IFERROR(__xludf.DUMMYFUNCTION("IF(ISBLANK(A649),"""",GOOGLETRANSLATE(A649,""en"",""fr""))"),"")</f>
        <v/>
      </c>
    </row>
    <row r="650" spans="2:2">
      <c r="B650" s="3" t="str">
        <f ca="1">IFERROR(__xludf.DUMMYFUNCTION("IF(ISBLANK(A650),"""",GOOGLETRANSLATE(A650,""en"",""fr""))"),"")</f>
        <v/>
      </c>
    </row>
    <row r="651" spans="2:2">
      <c r="B651" s="3" t="str">
        <f ca="1">IFERROR(__xludf.DUMMYFUNCTION("IF(ISBLANK(A651),"""",GOOGLETRANSLATE(A651,""en"",""fr""))"),"")</f>
        <v/>
      </c>
    </row>
    <row r="652" spans="2:2">
      <c r="B652" s="3" t="str">
        <f ca="1">IFERROR(__xludf.DUMMYFUNCTION("IF(ISBLANK(A652),"""",GOOGLETRANSLATE(A652,""en"",""fr""))"),"")</f>
        <v/>
      </c>
    </row>
    <row r="653" spans="2:2">
      <c r="B653" s="3" t="str">
        <f ca="1">IFERROR(__xludf.DUMMYFUNCTION("IF(ISBLANK(A653),"""",GOOGLETRANSLATE(A653,""en"",""fr""))"),"")</f>
        <v/>
      </c>
    </row>
    <row r="654" spans="2:2">
      <c r="B654" s="3" t="str">
        <f ca="1">IFERROR(__xludf.DUMMYFUNCTION("IF(ISBLANK(A654),"""",GOOGLETRANSLATE(A654,""en"",""fr""))"),"")</f>
        <v/>
      </c>
    </row>
    <row r="655" spans="2:2">
      <c r="B655" s="3" t="str">
        <f ca="1">IFERROR(__xludf.DUMMYFUNCTION("IF(ISBLANK(A655),"""",GOOGLETRANSLATE(A655,""en"",""fr""))"),"")</f>
        <v/>
      </c>
    </row>
    <row r="656" spans="2:2">
      <c r="B656" s="3" t="str">
        <f ca="1">IFERROR(__xludf.DUMMYFUNCTION("IF(ISBLANK(A656),"""",GOOGLETRANSLATE(A656,""en"",""fr""))"),"")</f>
        <v/>
      </c>
    </row>
    <row r="657" spans="2:2">
      <c r="B657" s="3" t="str">
        <f ca="1">IFERROR(__xludf.DUMMYFUNCTION("IF(ISBLANK(A657),"""",GOOGLETRANSLATE(A657,""en"",""fr""))"),"")</f>
        <v/>
      </c>
    </row>
    <row r="658" spans="2:2">
      <c r="B658" s="3" t="str">
        <f ca="1">IFERROR(__xludf.DUMMYFUNCTION("IF(ISBLANK(A658),"""",GOOGLETRANSLATE(A658,""en"",""fr""))"),"")</f>
        <v/>
      </c>
    </row>
    <row r="659" spans="2:2">
      <c r="B659" s="3" t="str">
        <f ca="1">IFERROR(__xludf.DUMMYFUNCTION("IF(ISBLANK(A659),"""",GOOGLETRANSLATE(A659,""en"",""fr""))"),"")</f>
        <v/>
      </c>
    </row>
    <row r="660" spans="2:2">
      <c r="B660" s="3" t="str">
        <f ca="1">IFERROR(__xludf.DUMMYFUNCTION("IF(ISBLANK(A660),"""",GOOGLETRANSLATE(A660,""en"",""fr""))"),"")</f>
        <v/>
      </c>
    </row>
    <row r="661" spans="2:2">
      <c r="B661" s="3" t="str">
        <f ca="1">IFERROR(__xludf.DUMMYFUNCTION("IF(ISBLANK(A661),"""",GOOGLETRANSLATE(A661,""en"",""fr""))"),"")</f>
        <v/>
      </c>
    </row>
    <row r="662" spans="2:2">
      <c r="B662" s="3" t="str">
        <f ca="1">IFERROR(__xludf.DUMMYFUNCTION("IF(ISBLANK(A662),"""",GOOGLETRANSLATE(A662,""en"",""fr""))"),"")</f>
        <v/>
      </c>
    </row>
    <row r="663" spans="2:2">
      <c r="B663" s="3" t="str">
        <f ca="1">IFERROR(__xludf.DUMMYFUNCTION("IF(ISBLANK(A663),"""",GOOGLETRANSLATE(A663,""en"",""fr""))"),"")</f>
        <v/>
      </c>
    </row>
    <row r="664" spans="2:2">
      <c r="B664" s="3" t="str">
        <f ca="1">IFERROR(__xludf.DUMMYFUNCTION("IF(ISBLANK(A664),"""",GOOGLETRANSLATE(A664,""en"",""fr""))"),"")</f>
        <v/>
      </c>
    </row>
    <row r="665" spans="2:2">
      <c r="B665" s="3" t="str">
        <f ca="1">IFERROR(__xludf.DUMMYFUNCTION("IF(ISBLANK(A665),"""",GOOGLETRANSLATE(A665,""en"",""fr""))"),"")</f>
        <v/>
      </c>
    </row>
    <row r="666" spans="2:2">
      <c r="B666" s="3" t="str">
        <f ca="1">IFERROR(__xludf.DUMMYFUNCTION("IF(ISBLANK(A666),"""",GOOGLETRANSLATE(A666,""en"",""fr""))"),"")</f>
        <v/>
      </c>
    </row>
    <row r="667" spans="2:2">
      <c r="B667" s="3" t="str">
        <f ca="1">IFERROR(__xludf.DUMMYFUNCTION("IF(ISBLANK(A667),"""",GOOGLETRANSLATE(A667,""en"",""fr""))"),"")</f>
        <v/>
      </c>
    </row>
    <row r="668" spans="2:2">
      <c r="B668" s="3" t="str">
        <f ca="1">IFERROR(__xludf.DUMMYFUNCTION("IF(ISBLANK(A668),"""",GOOGLETRANSLATE(A668,""en"",""fr""))"),"")</f>
        <v/>
      </c>
    </row>
    <row r="669" spans="2:2">
      <c r="B669" s="3" t="str">
        <f ca="1">IFERROR(__xludf.DUMMYFUNCTION("IF(ISBLANK(A669),"""",GOOGLETRANSLATE(A669,""en"",""fr""))"),"")</f>
        <v/>
      </c>
    </row>
    <row r="670" spans="2:2">
      <c r="B670" s="3" t="str">
        <f ca="1">IFERROR(__xludf.DUMMYFUNCTION("IF(ISBLANK(A670),"""",GOOGLETRANSLATE(A670,""en"",""fr""))"),"")</f>
        <v/>
      </c>
    </row>
    <row r="671" spans="2:2">
      <c r="B671" s="3" t="str">
        <f ca="1">IFERROR(__xludf.DUMMYFUNCTION("IF(ISBLANK(A671),"""",GOOGLETRANSLATE(A671,""en"",""fr""))"),"")</f>
        <v/>
      </c>
    </row>
    <row r="672" spans="2:2">
      <c r="B672" s="3" t="str">
        <f ca="1">IFERROR(__xludf.DUMMYFUNCTION("IF(ISBLANK(A672),"""",GOOGLETRANSLATE(A672,""en"",""fr""))"),"")</f>
        <v/>
      </c>
    </row>
    <row r="673" spans="2:2">
      <c r="B673" s="3" t="str">
        <f ca="1">IFERROR(__xludf.DUMMYFUNCTION("IF(ISBLANK(A673),"""",GOOGLETRANSLATE(A673,""en"",""fr""))"),"")</f>
        <v/>
      </c>
    </row>
    <row r="674" spans="2:2">
      <c r="B674" s="3" t="str">
        <f ca="1">IFERROR(__xludf.DUMMYFUNCTION("IF(ISBLANK(A674),"""",GOOGLETRANSLATE(A674,""en"",""fr""))"),"")</f>
        <v/>
      </c>
    </row>
    <row r="675" spans="2:2">
      <c r="B675" s="3" t="str">
        <f ca="1">IFERROR(__xludf.DUMMYFUNCTION("IF(ISBLANK(A675),"""",GOOGLETRANSLATE(A675,""en"",""fr""))"),"")</f>
        <v/>
      </c>
    </row>
    <row r="676" spans="2:2">
      <c r="B676" s="3" t="str">
        <f ca="1">IFERROR(__xludf.DUMMYFUNCTION("IF(ISBLANK(A676),"""",GOOGLETRANSLATE(A676,""en"",""fr""))"),"")</f>
        <v/>
      </c>
    </row>
    <row r="677" spans="2:2">
      <c r="B677" s="3" t="str">
        <f ca="1">IFERROR(__xludf.DUMMYFUNCTION("IF(ISBLANK(A677),"""",GOOGLETRANSLATE(A677,""en"",""fr""))"),"")</f>
        <v/>
      </c>
    </row>
    <row r="678" spans="2:2">
      <c r="B678" s="3" t="str">
        <f ca="1">IFERROR(__xludf.DUMMYFUNCTION("IF(ISBLANK(A678),"""",GOOGLETRANSLATE(A678,""en"",""fr""))"),"")</f>
        <v/>
      </c>
    </row>
    <row r="679" spans="2:2">
      <c r="B679" s="3" t="str">
        <f ca="1">IFERROR(__xludf.DUMMYFUNCTION("IF(ISBLANK(A679),"""",GOOGLETRANSLATE(A679,""en"",""fr""))"),"")</f>
        <v/>
      </c>
    </row>
    <row r="680" spans="2:2">
      <c r="B680" s="3" t="str">
        <f ca="1">IFERROR(__xludf.DUMMYFUNCTION("IF(ISBLANK(A680),"""",GOOGLETRANSLATE(A680,""en"",""fr""))"),"")</f>
        <v/>
      </c>
    </row>
    <row r="681" spans="2:2">
      <c r="B681" s="3" t="str">
        <f ca="1">IFERROR(__xludf.DUMMYFUNCTION("IF(ISBLANK(A681),"""",GOOGLETRANSLATE(A681,""en"",""fr""))"),"")</f>
        <v/>
      </c>
    </row>
    <row r="682" spans="2:2">
      <c r="B682" s="3" t="str">
        <f ca="1">IFERROR(__xludf.DUMMYFUNCTION("IF(ISBLANK(A682),"""",GOOGLETRANSLATE(A682,""en"",""fr""))"),"")</f>
        <v/>
      </c>
    </row>
    <row r="683" spans="2:2">
      <c r="B683" s="3" t="str">
        <f ca="1">IFERROR(__xludf.DUMMYFUNCTION("IF(ISBLANK(A683),"""",GOOGLETRANSLATE(A683,""en"",""fr""))"),"")</f>
        <v/>
      </c>
    </row>
    <row r="684" spans="2:2">
      <c r="B684" s="3" t="str">
        <f ca="1">IFERROR(__xludf.DUMMYFUNCTION("IF(ISBLANK(A684),"""",GOOGLETRANSLATE(A684,""en"",""fr""))"),"")</f>
        <v/>
      </c>
    </row>
    <row r="685" spans="2:2">
      <c r="B685" s="3" t="str">
        <f ca="1">IFERROR(__xludf.DUMMYFUNCTION("IF(ISBLANK(A685),"""",GOOGLETRANSLATE(A685,""en"",""fr""))"),"")</f>
        <v/>
      </c>
    </row>
    <row r="686" spans="2:2">
      <c r="B686" s="3" t="str">
        <f ca="1">IFERROR(__xludf.DUMMYFUNCTION("IF(ISBLANK(A686),"""",GOOGLETRANSLATE(A686,""en"",""fr""))"),"")</f>
        <v/>
      </c>
    </row>
    <row r="687" spans="2:2">
      <c r="B687" s="3" t="str">
        <f ca="1">IFERROR(__xludf.DUMMYFUNCTION("IF(ISBLANK(A687),"""",GOOGLETRANSLATE(A687,""en"",""fr""))"),"")</f>
        <v/>
      </c>
    </row>
    <row r="688" spans="2:2">
      <c r="B688" s="3" t="str">
        <f ca="1">IFERROR(__xludf.DUMMYFUNCTION("IF(ISBLANK(A688),"""",GOOGLETRANSLATE(A688,""en"",""fr""))"),"")</f>
        <v/>
      </c>
    </row>
    <row r="689" spans="2:2">
      <c r="B689" s="3" t="str">
        <f ca="1">IFERROR(__xludf.DUMMYFUNCTION("IF(ISBLANK(A689),"""",GOOGLETRANSLATE(A689,""en"",""fr""))"),"")</f>
        <v/>
      </c>
    </row>
    <row r="690" spans="2:2">
      <c r="B690" s="3" t="str">
        <f ca="1">IFERROR(__xludf.DUMMYFUNCTION("IF(ISBLANK(A690),"""",GOOGLETRANSLATE(A690,""en"",""fr""))"),"")</f>
        <v/>
      </c>
    </row>
    <row r="691" spans="2:2">
      <c r="B691" s="3" t="str">
        <f ca="1">IFERROR(__xludf.DUMMYFUNCTION("IF(ISBLANK(A691),"""",GOOGLETRANSLATE(A691,""en"",""fr""))"),"")</f>
        <v/>
      </c>
    </row>
    <row r="692" spans="2:2">
      <c r="B692" s="3" t="str">
        <f ca="1">IFERROR(__xludf.DUMMYFUNCTION("IF(ISBLANK(A692),"""",GOOGLETRANSLATE(A692,""en"",""fr""))"),"")</f>
        <v/>
      </c>
    </row>
    <row r="693" spans="2:2">
      <c r="B693" s="3" t="str">
        <f ca="1">IFERROR(__xludf.DUMMYFUNCTION("IF(ISBLANK(A693),"""",GOOGLETRANSLATE(A693,""en"",""fr""))"),"")</f>
        <v/>
      </c>
    </row>
    <row r="694" spans="2:2">
      <c r="B694" s="3" t="str">
        <f ca="1">IFERROR(__xludf.DUMMYFUNCTION("IF(ISBLANK(A694),"""",GOOGLETRANSLATE(A694,""en"",""fr""))"),"")</f>
        <v/>
      </c>
    </row>
    <row r="695" spans="2:2">
      <c r="B695" s="3" t="str">
        <f ca="1">IFERROR(__xludf.DUMMYFUNCTION("IF(ISBLANK(A695),"""",GOOGLETRANSLATE(A695,""en"",""fr""))"),"")</f>
        <v/>
      </c>
    </row>
    <row r="696" spans="2:2">
      <c r="B696" s="3" t="str">
        <f ca="1">IFERROR(__xludf.DUMMYFUNCTION("IF(ISBLANK(A696),"""",GOOGLETRANSLATE(A696,""en"",""fr""))"),"")</f>
        <v/>
      </c>
    </row>
    <row r="697" spans="2:2">
      <c r="B697" s="3" t="str">
        <f ca="1">IFERROR(__xludf.DUMMYFUNCTION("IF(ISBLANK(A697),"""",GOOGLETRANSLATE(A697,""en"",""fr""))"),"")</f>
        <v/>
      </c>
    </row>
    <row r="698" spans="2:2">
      <c r="B698" s="3" t="str">
        <f ca="1">IFERROR(__xludf.DUMMYFUNCTION("IF(ISBLANK(A698),"""",GOOGLETRANSLATE(A698,""en"",""fr""))"),"")</f>
        <v/>
      </c>
    </row>
    <row r="699" spans="2:2">
      <c r="B699" s="3" t="str">
        <f ca="1">IFERROR(__xludf.DUMMYFUNCTION("IF(ISBLANK(A699),"""",GOOGLETRANSLATE(A699,""en"",""fr""))"),"")</f>
        <v/>
      </c>
    </row>
    <row r="700" spans="2:2">
      <c r="B700" s="3" t="str">
        <f ca="1">IFERROR(__xludf.DUMMYFUNCTION("IF(ISBLANK(A700),"""",GOOGLETRANSLATE(A700,""en"",""fr""))"),"")</f>
        <v/>
      </c>
    </row>
    <row r="701" spans="2:2">
      <c r="B701" s="3" t="str">
        <f ca="1">IFERROR(__xludf.DUMMYFUNCTION("IF(ISBLANK(A701),"""",GOOGLETRANSLATE(A701,""en"",""fr""))"),"")</f>
        <v/>
      </c>
    </row>
    <row r="702" spans="2:2">
      <c r="B702" s="3" t="str">
        <f ca="1">IFERROR(__xludf.DUMMYFUNCTION("IF(ISBLANK(A702),"""",GOOGLETRANSLATE(A702,""en"",""fr""))"),"")</f>
        <v/>
      </c>
    </row>
    <row r="703" spans="2:2">
      <c r="B703" s="3" t="str">
        <f ca="1">IFERROR(__xludf.DUMMYFUNCTION("IF(ISBLANK(A703),"""",GOOGLETRANSLATE(A703,""en"",""fr""))"),"")</f>
        <v/>
      </c>
    </row>
    <row r="704" spans="2:2">
      <c r="B704" s="3" t="str">
        <f ca="1">IFERROR(__xludf.DUMMYFUNCTION("IF(ISBLANK(A704),"""",GOOGLETRANSLATE(A704,""en"",""fr""))"),"")</f>
        <v/>
      </c>
    </row>
    <row r="705" spans="2:2">
      <c r="B705" s="3" t="str">
        <f ca="1">IFERROR(__xludf.DUMMYFUNCTION("IF(ISBLANK(A705),"""",GOOGLETRANSLATE(A705,""en"",""fr""))"),"")</f>
        <v/>
      </c>
    </row>
    <row r="706" spans="2:2">
      <c r="B706" s="3" t="str">
        <f ca="1">IFERROR(__xludf.DUMMYFUNCTION("IF(ISBLANK(A706),"""",GOOGLETRANSLATE(A706,""en"",""fr""))"),"")</f>
        <v/>
      </c>
    </row>
    <row r="707" spans="2:2">
      <c r="B707" s="3" t="str">
        <f ca="1">IFERROR(__xludf.DUMMYFUNCTION("IF(ISBLANK(A707),"""",GOOGLETRANSLATE(A707,""en"",""fr""))"),"")</f>
        <v/>
      </c>
    </row>
    <row r="708" spans="2:2">
      <c r="B708" s="3" t="str">
        <f ca="1">IFERROR(__xludf.DUMMYFUNCTION("IF(ISBLANK(A708),"""",GOOGLETRANSLATE(A708,""en"",""fr""))"),"")</f>
        <v/>
      </c>
    </row>
    <row r="709" spans="2:2">
      <c r="B709" s="3" t="str">
        <f ca="1">IFERROR(__xludf.DUMMYFUNCTION("IF(ISBLANK(A709),"""",GOOGLETRANSLATE(A709,""en"",""fr""))"),"")</f>
        <v/>
      </c>
    </row>
    <row r="710" spans="2:2">
      <c r="B710" s="3" t="str">
        <f ca="1">IFERROR(__xludf.DUMMYFUNCTION("IF(ISBLANK(A710),"""",GOOGLETRANSLATE(A710,""en"",""fr""))"),"")</f>
        <v/>
      </c>
    </row>
    <row r="711" spans="2:2">
      <c r="B711" s="3" t="str">
        <f ca="1">IFERROR(__xludf.DUMMYFUNCTION("IF(ISBLANK(A711),"""",GOOGLETRANSLATE(A711,""en"",""fr""))"),"")</f>
        <v/>
      </c>
    </row>
    <row r="712" spans="2:2">
      <c r="B712" s="3" t="str">
        <f ca="1">IFERROR(__xludf.DUMMYFUNCTION("IF(ISBLANK(A712),"""",GOOGLETRANSLATE(A712,""en"",""fr""))"),"")</f>
        <v/>
      </c>
    </row>
    <row r="713" spans="2:2">
      <c r="B713" s="3" t="str">
        <f ca="1">IFERROR(__xludf.DUMMYFUNCTION("IF(ISBLANK(A713),"""",GOOGLETRANSLATE(A713,""en"",""fr""))"),"")</f>
        <v/>
      </c>
    </row>
    <row r="714" spans="2:2">
      <c r="B714" s="3" t="str">
        <f ca="1">IFERROR(__xludf.DUMMYFUNCTION("IF(ISBLANK(A714),"""",GOOGLETRANSLATE(A714,""en"",""fr""))"),"")</f>
        <v/>
      </c>
    </row>
    <row r="715" spans="2:2">
      <c r="B715" s="3" t="str">
        <f ca="1">IFERROR(__xludf.DUMMYFUNCTION("IF(ISBLANK(A715),"""",GOOGLETRANSLATE(A715,""en"",""fr""))"),"")</f>
        <v/>
      </c>
    </row>
    <row r="716" spans="2:2">
      <c r="B716" s="3" t="str">
        <f ca="1">IFERROR(__xludf.DUMMYFUNCTION("IF(ISBLANK(A716),"""",GOOGLETRANSLATE(A716,""en"",""fr""))"),"")</f>
        <v/>
      </c>
    </row>
    <row r="717" spans="2:2">
      <c r="B717" s="3" t="str">
        <f ca="1">IFERROR(__xludf.DUMMYFUNCTION("IF(ISBLANK(A717),"""",GOOGLETRANSLATE(A717,""en"",""fr""))"),"")</f>
        <v/>
      </c>
    </row>
    <row r="718" spans="2:2">
      <c r="B718" s="3" t="str">
        <f ca="1">IFERROR(__xludf.DUMMYFUNCTION("IF(ISBLANK(A718),"""",GOOGLETRANSLATE(A718,""en"",""fr""))"),"")</f>
        <v/>
      </c>
    </row>
    <row r="719" spans="2:2">
      <c r="B719" s="3" t="str">
        <f ca="1">IFERROR(__xludf.DUMMYFUNCTION("IF(ISBLANK(A719),"""",GOOGLETRANSLATE(A719,""en"",""fr""))"),"")</f>
        <v/>
      </c>
    </row>
    <row r="720" spans="2:2">
      <c r="B720" s="3" t="str">
        <f ca="1">IFERROR(__xludf.DUMMYFUNCTION("IF(ISBLANK(A720),"""",GOOGLETRANSLATE(A720,""en"",""fr""))"),"")</f>
        <v/>
      </c>
    </row>
    <row r="721" spans="2:2">
      <c r="B721" s="3" t="str">
        <f ca="1">IFERROR(__xludf.DUMMYFUNCTION("IF(ISBLANK(A721),"""",GOOGLETRANSLATE(A721,""en"",""fr""))"),"")</f>
        <v/>
      </c>
    </row>
    <row r="722" spans="2:2">
      <c r="B722" s="3" t="str">
        <f ca="1">IFERROR(__xludf.DUMMYFUNCTION("IF(ISBLANK(A722),"""",GOOGLETRANSLATE(A722,""en"",""fr""))"),"")</f>
        <v/>
      </c>
    </row>
    <row r="723" spans="2:2">
      <c r="B723" s="3" t="str">
        <f ca="1">IFERROR(__xludf.DUMMYFUNCTION("IF(ISBLANK(A723),"""",GOOGLETRANSLATE(A723,""en"",""fr""))"),"")</f>
        <v/>
      </c>
    </row>
    <row r="724" spans="2:2">
      <c r="B724" s="3" t="str">
        <f ca="1">IFERROR(__xludf.DUMMYFUNCTION("IF(ISBLANK(A724),"""",GOOGLETRANSLATE(A724,""en"",""fr""))"),"")</f>
        <v/>
      </c>
    </row>
    <row r="725" spans="2:2">
      <c r="B725" s="3" t="str">
        <f ca="1">IFERROR(__xludf.DUMMYFUNCTION("IF(ISBLANK(A725),"""",GOOGLETRANSLATE(A725,""en"",""fr""))"),"")</f>
        <v/>
      </c>
    </row>
    <row r="726" spans="2:2">
      <c r="B726" s="3" t="str">
        <f ca="1">IFERROR(__xludf.DUMMYFUNCTION("IF(ISBLANK(A726),"""",GOOGLETRANSLATE(A726,""en"",""fr""))"),"")</f>
        <v/>
      </c>
    </row>
    <row r="727" spans="2:2">
      <c r="B727" s="3" t="str">
        <f ca="1">IFERROR(__xludf.DUMMYFUNCTION("IF(ISBLANK(A727),"""",GOOGLETRANSLATE(A727,""en"",""fr""))"),"")</f>
        <v/>
      </c>
    </row>
    <row r="728" spans="2:2">
      <c r="B728" s="3" t="str">
        <f ca="1">IFERROR(__xludf.DUMMYFUNCTION("IF(ISBLANK(A728),"""",GOOGLETRANSLATE(A728,""en"",""fr""))"),"")</f>
        <v/>
      </c>
    </row>
    <row r="729" spans="2:2">
      <c r="B729" s="3" t="str">
        <f ca="1">IFERROR(__xludf.DUMMYFUNCTION("IF(ISBLANK(A729),"""",GOOGLETRANSLATE(A729,""en"",""fr""))"),"")</f>
        <v/>
      </c>
    </row>
    <row r="730" spans="2:2">
      <c r="B730" s="3" t="str">
        <f ca="1">IFERROR(__xludf.DUMMYFUNCTION("IF(ISBLANK(A730),"""",GOOGLETRANSLATE(A730,""en"",""fr""))"),"")</f>
        <v/>
      </c>
    </row>
    <row r="731" spans="2:2">
      <c r="B731" s="3" t="str">
        <f ca="1">IFERROR(__xludf.DUMMYFUNCTION("IF(ISBLANK(A731),"""",GOOGLETRANSLATE(A731,""en"",""fr""))"),"")</f>
        <v/>
      </c>
    </row>
    <row r="732" spans="2:2">
      <c r="B732" s="3" t="str">
        <f ca="1">IFERROR(__xludf.DUMMYFUNCTION("IF(ISBLANK(A732),"""",GOOGLETRANSLATE(A732,""en"",""fr""))"),"")</f>
        <v/>
      </c>
    </row>
    <row r="733" spans="2:2">
      <c r="B733" s="3" t="str">
        <f ca="1">IFERROR(__xludf.DUMMYFUNCTION("IF(ISBLANK(A733),"""",GOOGLETRANSLATE(A733,""en"",""fr""))"),"")</f>
        <v/>
      </c>
    </row>
    <row r="734" spans="2:2">
      <c r="B734" s="3" t="str">
        <f ca="1">IFERROR(__xludf.DUMMYFUNCTION("IF(ISBLANK(A734),"""",GOOGLETRANSLATE(A734,""en"",""fr""))"),"")</f>
        <v/>
      </c>
    </row>
    <row r="735" spans="2:2">
      <c r="B735" s="3" t="str">
        <f ca="1">IFERROR(__xludf.DUMMYFUNCTION("IF(ISBLANK(A735),"""",GOOGLETRANSLATE(A735,""en"",""fr""))"),"")</f>
        <v/>
      </c>
    </row>
    <row r="736" spans="2:2">
      <c r="B736" s="3" t="str">
        <f ca="1">IFERROR(__xludf.DUMMYFUNCTION("IF(ISBLANK(A736),"""",GOOGLETRANSLATE(A736,""en"",""fr""))"),"")</f>
        <v/>
      </c>
    </row>
    <row r="737" spans="2:2">
      <c r="B737" s="3" t="str">
        <f ca="1">IFERROR(__xludf.DUMMYFUNCTION("IF(ISBLANK(A737),"""",GOOGLETRANSLATE(A737,""en"",""fr""))"),"")</f>
        <v/>
      </c>
    </row>
    <row r="738" spans="2:2">
      <c r="B738" s="3" t="str">
        <f ca="1">IFERROR(__xludf.DUMMYFUNCTION("IF(ISBLANK(A738),"""",GOOGLETRANSLATE(A738,""en"",""fr""))"),"")</f>
        <v/>
      </c>
    </row>
    <row r="739" spans="2:2">
      <c r="B739" s="3" t="str">
        <f ca="1">IFERROR(__xludf.DUMMYFUNCTION("IF(ISBLANK(A739),"""",GOOGLETRANSLATE(A739,""en"",""fr""))"),"")</f>
        <v/>
      </c>
    </row>
    <row r="740" spans="2:2">
      <c r="B740" s="3" t="str">
        <f ca="1">IFERROR(__xludf.DUMMYFUNCTION("IF(ISBLANK(A740),"""",GOOGLETRANSLATE(A740,""en"",""fr""))"),"")</f>
        <v/>
      </c>
    </row>
    <row r="741" spans="2:2">
      <c r="B741" s="3" t="str">
        <f ca="1">IFERROR(__xludf.DUMMYFUNCTION("IF(ISBLANK(A741),"""",GOOGLETRANSLATE(A741,""en"",""fr""))"),"")</f>
        <v/>
      </c>
    </row>
    <row r="742" spans="2:2">
      <c r="B742" s="3" t="str">
        <f ca="1">IFERROR(__xludf.DUMMYFUNCTION("IF(ISBLANK(A742),"""",GOOGLETRANSLATE(A742,""en"",""fr""))"),"")</f>
        <v/>
      </c>
    </row>
    <row r="743" spans="2:2">
      <c r="B743" s="3" t="str">
        <f ca="1">IFERROR(__xludf.DUMMYFUNCTION("IF(ISBLANK(A743),"""",GOOGLETRANSLATE(A743,""en"",""fr""))"),"")</f>
        <v/>
      </c>
    </row>
    <row r="744" spans="2:2">
      <c r="B744" s="3" t="str">
        <f ca="1">IFERROR(__xludf.DUMMYFUNCTION("IF(ISBLANK(A744),"""",GOOGLETRANSLATE(A744,""en"",""fr""))"),"")</f>
        <v/>
      </c>
    </row>
    <row r="745" spans="2:2">
      <c r="B745" s="3" t="str">
        <f ca="1">IFERROR(__xludf.DUMMYFUNCTION("IF(ISBLANK(A745),"""",GOOGLETRANSLATE(A745,""en"",""fr""))"),"")</f>
        <v/>
      </c>
    </row>
    <row r="746" spans="2:2">
      <c r="B746" s="3" t="str">
        <f ca="1">IFERROR(__xludf.DUMMYFUNCTION("IF(ISBLANK(A746),"""",GOOGLETRANSLATE(A746,""en"",""fr""))"),"")</f>
        <v/>
      </c>
    </row>
    <row r="747" spans="2:2">
      <c r="B747" s="3" t="str">
        <f ca="1">IFERROR(__xludf.DUMMYFUNCTION("IF(ISBLANK(A747),"""",GOOGLETRANSLATE(A747,""en"",""fr""))"),"")</f>
        <v/>
      </c>
    </row>
    <row r="748" spans="2:2">
      <c r="B748" s="3" t="str">
        <f ca="1">IFERROR(__xludf.DUMMYFUNCTION("IF(ISBLANK(A748),"""",GOOGLETRANSLATE(A748,""en"",""fr""))"),"")</f>
        <v/>
      </c>
    </row>
    <row r="749" spans="2:2">
      <c r="B749" s="3" t="str">
        <f ca="1">IFERROR(__xludf.DUMMYFUNCTION("IF(ISBLANK(A749),"""",GOOGLETRANSLATE(A749,""en"",""fr""))"),"")</f>
        <v/>
      </c>
    </row>
    <row r="750" spans="2:2">
      <c r="B750" s="3" t="str">
        <f ca="1">IFERROR(__xludf.DUMMYFUNCTION("IF(ISBLANK(A750),"""",GOOGLETRANSLATE(A750,""en"",""fr""))"),"")</f>
        <v/>
      </c>
    </row>
    <row r="751" spans="2:2">
      <c r="B751" s="3" t="str">
        <f ca="1">IFERROR(__xludf.DUMMYFUNCTION("IF(ISBLANK(A751),"""",GOOGLETRANSLATE(A751,""en"",""fr""))"),"")</f>
        <v/>
      </c>
    </row>
    <row r="752" spans="2:2">
      <c r="B752" s="3" t="str">
        <f ca="1">IFERROR(__xludf.DUMMYFUNCTION("IF(ISBLANK(A752),"""",GOOGLETRANSLATE(A752,""en"",""fr""))"),"")</f>
        <v/>
      </c>
    </row>
    <row r="753" spans="2:2">
      <c r="B753" s="3" t="str">
        <f ca="1">IFERROR(__xludf.DUMMYFUNCTION("IF(ISBLANK(A753),"""",GOOGLETRANSLATE(A753,""en"",""fr""))"),"")</f>
        <v/>
      </c>
    </row>
    <row r="754" spans="2:2">
      <c r="B754" s="3" t="str">
        <f ca="1">IFERROR(__xludf.DUMMYFUNCTION("IF(ISBLANK(A754),"""",GOOGLETRANSLATE(A754,""en"",""fr""))"),"")</f>
        <v/>
      </c>
    </row>
    <row r="755" spans="2:2">
      <c r="B755" s="3" t="str">
        <f ca="1">IFERROR(__xludf.DUMMYFUNCTION("IF(ISBLANK(A755),"""",GOOGLETRANSLATE(A755,""en"",""fr""))"),"")</f>
        <v/>
      </c>
    </row>
    <row r="756" spans="2:2">
      <c r="B756" s="3" t="str">
        <f ca="1">IFERROR(__xludf.DUMMYFUNCTION("IF(ISBLANK(A756),"""",GOOGLETRANSLATE(A756,""en"",""fr""))"),"")</f>
        <v/>
      </c>
    </row>
    <row r="757" spans="2:2">
      <c r="B757" s="3" t="str">
        <f ca="1">IFERROR(__xludf.DUMMYFUNCTION("IF(ISBLANK(A757),"""",GOOGLETRANSLATE(A757,""en"",""fr""))"),"")</f>
        <v/>
      </c>
    </row>
    <row r="758" spans="2:2">
      <c r="B758" s="3" t="str">
        <f ca="1">IFERROR(__xludf.DUMMYFUNCTION("IF(ISBLANK(A758),"""",GOOGLETRANSLATE(A758,""en"",""fr""))"),"")</f>
        <v/>
      </c>
    </row>
    <row r="759" spans="2:2">
      <c r="B759" s="3" t="str">
        <f ca="1">IFERROR(__xludf.DUMMYFUNCTION("IF(ISBLANK(A759),"""",GOOGLETRANSLATE(A759,""en"",""fr""))"),"")</f>
        <v/>
      </c>
    </row>
    <row r="760" spans="2:2">
      <c r="B760" s="3" t="str">
        <f ca="1">IFERROR(__xludf.DUMMYFUNCTION("IF(ISBLANK(A760),"""",GOOGLETRANSLATE(A760,""en"",""fr""))"),"")</f>
        <v/>
      </c>
    </row>
    <row r="761" spans="2:2">
      <c r="B761" s="3" t="str">
        <f ca="1">IFERROR(__xludf.DUMMYFUNCTION("IF(ISBLANK(A761),"""",GOOGLETRANSLATE(A761,""en"",""fr""))"),"")</f>
        <v/>
      </c>
    </row>
    <row r="762" spans="2:2">
      <c r="B762" s="3" t="str">
        <f ca="1">IFERROR(__xludf.DUMMYFUNCTION("IF(ISBLANK(A762),"""",GOOGLETRANSLATE(A762,""en"",""fr""))"),"")</f>
        <v/>
      </c>
    </row>
    <row r="763" spans="2:2">
      <c r="B763" s="3" t="str">
        <f ca="1">IFERROR(__xludf.DUMMYFUNCTION("IF(ISBLANK(A763),"""",GOOGLETRANSLATE(A763,""en"",""fr""))"),"")</f>
        <v/>
      </c>
    </row>
    <row r="764" spans="2:2">
      <c r="B764" s="3" t="str">
        <f ca="1">IFERROR(__xludf.DUMMYFUNCTION("IF(ISBLANK(A764),"""",GOOGLETRANSLATE(A764,""en"",""fr""))"),"")</f>
        <v/>
      </c>
    </row>
    <row r="765" spans="2:2">
      <c r="B765" s="3" t="str">
        <f ca="1">IFERROR(__xludf.DUMMYFUNCTION("IF(ISBLANK(A765),"""",GOOGLETRANSLATE(A765,""en"",""fr""))"),"")</f>
        <v/>
      </c>
    </row>
    <row r="766" spans="2:2">
      <c r="B766" s="3" t="str">
        <f ca="1">IFERROR(__xludf.DUMMYFUNCTION("IF(ISBLANK(A766),"""",GOOGLETRANSLATE(A766,""en"",""fr""))"),"")</f>
        <v/>
      </c>
    </row>
    <row r="767" spans="2:2">
      <c r="B767" s="3" t="str">
        <f ca="1">IFERROR(__xludf.DUMMYFUNCTION("IF(ISBLANK(A767),"""",GOOGLETRANSLATE(A767,""en"",""fr""))"),"")</f>
        <v/>
      </c>
    </row>
    <row r="768" spans="2:2">
      <c r="B768" s="3" t="str">
        <f ca="1">IFERROR(__xludf.DUMMYFUNCTION("IF(ISBLANK(A768),"""",GOOGLETRANSLATE(A768,""en"",""fr""))"),"")</f>
        <v/>
      </c>
    </row>
    <row r="769" spans="2:2">
      <c r="B769" s="3" t="str">
        <f ca="1">IFERROR(__xludf.DUMMYFUNCTION("IF(ISBLANK(A769),"""",GOOGLETRANSLATE(A769,""en"",""fr""))"),"")</f>
        <v/>
      </c>
    </row>
    <row r="770" spans="2:2">
      <c r="B770" s="3" t="str">
        <f ca="1">IFERROR(__xludf.DUMMYFUNCTION("IF(ISBLANK(A770),"""",GOOGLETRANSLATE(A770,""en"",""fr""))"),"")</f>
        <v/>
      </c>
    </row>
    <row r="771" spans="2:2">
      <c r="B771" s="3" t="str">
        <f ca="1">IFERROR(__xludf.DUMMYFUNCTION("IF(ISBLANK(A771),"""",GOOGLETRANSLATE(A771,""en"",""fr""))"),"")</f>
        <v/>
      </c>
    </row>
    <row r="772" spans="2:2">
      <c r="B772" s="3" t="str">
        <f ca="1">IFERROR(__xludf.DUMMYFUNCTION("IF(ISBLANK(A772),"""",GOOGLETRANSLATE(A772,""en"",""fr""))"),"")</f>
        <v/>
      </c>
    </row>
    <row r="773" spans="2:2">
      <c r="B773" s="3" t="str">
        <f ca="1">IFERROR(__xludf.DUMMYFUNCTION("IF(ISBLANK(A773),"""",GOOGLETRANSLATE(A773,""en"",""fr""))"),"")</f>
        <v/>
      </c>
    </row>
    <row r="774" spans="2:2">
      <c r="B774" s="3" t="str">
        <f ca="1">IFERROR(__xludf.DUMMYFUNCTION("IF(ISBLANK(A774),"""",GOOGLETRANSLATE(A774,""en"",""fr""))"),"")</f>
        <v/>
      </c>
    </row>
    <row r="775" spans="2:2">
      <c r="B775" s="3" t="str">
        <f ca="1">IFERROR(__xludf.DUMMYFUNCTION("IF(ISBLANK(A775),"""",GOOGLETRANSLATE(A775,""en"",""fr""))"),"")</f>
        <v/>
      </c>
    </row>
    <row r="776" spans="2:2">
      <c r="B776" s="3" t="str">
        <f ca="1">IFERROR(__xludf.DUMMYFUNCTION("IF(ISBLANK(A776),"""",GOOGLETRANSLATE(A776,""en"",""fr""))"),"")</f>
        <v/>
      </c>
    </row>
    <row r="777" spans="2:2">
      <c r="B777" s="3" t="str">
        <f ca="1">IFERROR(__xludf.DUMMYFUNCTION("IF(ISBLANK(A777),"""",GOOGLETRANSLATE(A777,""en"",""fr""))"),"")</f>
        <v/>
      </c>
    </row>
    <row r="778" spans="2:2">
      <c r="B778" s="3" t="str">
        <f ca="1">IFERROR(__xludf.DUMMYFUNCTION("IF(ISBLANK(A778),"""",GOOGLETRANSLATE(A778,""en"",""fr""))"),"")</f>
        <v/>
      </c>
    </row>
    <row r="779" spans="2:2">
      <c r="B779" s="3" t="str">
        <f ca="1">IFERROR(__xludf.DUMMYFUNCTION("IF(ISBLANK(A779),"""",GOOGLETRANSLATE(A779,""en"",""fr""))"),"")</f>
        <v/>
      </c>
    </row>
    <row r="780" spans="2:2">
      <c r="B780" s="3" t="str">
        <f ca="1">IFERROR(__xludf.DUMMYFUNCTION("IF(ISBLANK(A780),"""",GOOGLETRANSLATE(A780,""en"",""fr""))"),"")</f>
        <v/>
      </c>
    </row>
    <row r="781" spans="2:2">
      <c r="B781" s="3" t="str">
        <f ca="1">IFERROR(__xludf.DUMMYFUNCTION("IF(ISBLANK(A781),"""",GOOGLETRANSLATE(A781,""en"",""fr""))"),"")</f>
        <v/>
      </c>
    </row>
    <row r="782" spans="2:2">
      <c r="B782" s="3" t="str">
        <f ca="1">IFERROR(__xludf.DUMMYFUNCTION("IF(ISBLANK(A782),"""",GOOGLETRANSLATE(A782,""en"",""fr""))"),"")</f>
        <v/>
      </c>
    </row>
    <row r="783" spans="2:2">
      <c r="B783" s="3" t="str">
        <f ca="1">IFERROR(__xludf.DUMMYFUNCTION("IF(ISBLANK(A783),"""",GOOGLETRANSLATE(A783,""en"",""fr""))"),"")</f>
        <v/>
      </c>
    </row>
    <row r="784" spans="2:2">
      <c r="B784" s="3" t="str">
        <f ca="1">IFERROR(__xludf.DUMMYFUNCTION("IF(ISBLANK(A784),"""",GOOGLETRANSLATE(A784,""en"",""fr""))"),"")</f>
        <v/>
      </c>
    </row>
    <row r="785" spans="2:2">
      <c r="B785" s="3" t="str">
        <f ca="1">IFERROR(__xludf.DUMMYFUNCTION("IF(ISBLANK(A785),"""",GOOGLETRANSLATE(A785,""en"",""fr""))"),"")</f>
        <v/>
      </c>
    </row>
    <row r="786" spans="2:2">
      <c r="B786" s="3" t="str">
        <f ca="1">IFERROR(__xludf.DUMMYFUNCTION("IF(ISBLANK(A786),"""",GOOGLETRANSLATE(A786,""en"",""fr""))"),"")</f>
        <v/>
      </c>
    </row>
    <row r="787" spans="2:2">
      <c r="B787" s="3" t="str">
        <f ca="1">IFERROR(__xludf.DUMMYFUNCTION("IF(ISBLANK(A787),"""",GOOGLETRANSLATE(A787,""en"",""fr""))"),"")</f>
        <v/>
      </c>
    </row>
    <row r="788" spans="2:2">
      <c r="B788" s="3" t="str">
        <f ca="1">IFERROR(__xludf.DUMMYFUNCTION("IF(ISBLANK(A788),"""",GOOGLETRANSLATE(A788,""en"",""fr""))"),"")</f>
        <v/>
      </c>
    </row>
    <row r="789" spans="2:2">
      <c r="B789" s="3" t="str">
        <f ca="1">IFERROR(__xludf.DUMMYFUNCTION("IF(ISBLANK(A789),"""",GOOGLETRANSLATE(A789,""en"",""fr""))"),"")</f>
        <v/>
      </c>
    </row>
    <row r="790" spans="2:2">
      <c r="B790" s="3" t="str">
        <f ca="1">IFERROR(__xludf.DUMMYFUNCTION("IF(ISBLANK(A790),"""",GOOGLETRANSLATE(A790,""en"",""fr""))"),"")</f>
        <v/>
      </c>
    </row>
    <row r="791" spans="2:2">
      <c r="B791" s="3" t="str">
        <f ca="1">IFERROR(__xludf.DUMMYFUNCTION("IF(ISBLANK(A791),"""",GOOGLETRANSLATE(A791,""en"",""fr""))"),"")</f>
        <v/>
      </c>
    </row>
    <row r="792" spans="2:2">
      <c r="B792" s="3" t="str">
        <f ca="1">IFERROR(__xludf.DUMMYFUNCTION("IF(ISBLANK(A792),"""",GOOGLETRANSLATE(A792,""en"",""fr""))"),"")</f>
        <v/>
      </c>
    </row>
    <row r="793" spans="2:2">
      <c r="B793" s="3" t="str">
        <f ca="1">IFERROR(__xludf.DUMMYFUNCTION("IF(ISBLANK(A793),"""",GOOGLETRANSLATE(A793,""en"",""fr""))"),"")</f>
        <v/>
      </c>
    </row>
    <row r="794" spans="2:2">
      <c r="B794" s="3" t="str">
        <f ca="1">IFERROR(__xludf.DUMMYFUNCTION("IF(ISBLANK(A794),"""",GOOGLETRANSLATE(A794,""en"",""fr""))"),"")</f>
        <v/>
      </c>
    </row>
    <row r="795" spans="2:2">
      <c r="B795" s="3" t="str">
        <f ca="1">IFERROR(__xludf.DUMMYFUNCTION("IF(ISBLANK(A795),"""",GOOGLETRANSLATE(A795,""en"",""fr""))"),"")</f>
        <v/>
      </c>
    </row>
    <row r="796" spans="2:2">
      <c r="B796" s="3" t="str">
        <f ca="1">IFERROR(__xludf.DUMMYFUNCTION("IF(ISBLANK(A796),"""",GOOGLETRANSLATE(A796,""en"",""fr""))"),"")</f>
        <v/>
      </c>
    </row>
    <row r="797" spans="2:2">
      <c r="B797" s="3" t="str">
        <f ca="1">IFERROR(__xludf.DUMMYFUNCTION("IF(ISBLANK(A797),"""",GOOGLETRANSLATE(A797,""en"",""fr""))"),"")</f>
        <v/>
      </c>
    </row>
    <row r="798" spans="2:2">
      <c r="B798" s="3" t="str">
        <f ca="1">IFERROR(__xludf.DUMMYFUNCTION("IF(ISBLANK(A798),"""",GOOGLETRANSLATE(A798,""en"",""fr""))"),"")</f>
        <v/>
      </c>
    </row>
    <row r="799" spans="2:2">
      <c r="B799" s="3" t="str">
        <f ca="1">IFERROR(__xludf.DUMMYFUNCTION("IF(ISBLANK(A799),"""",GOOGLETRANSLATE(A799,""en"",""fr""))"),"")</f>
        <v/>
      </c>
    </row>
    <row r="800" spans="2:2">
      <c r="B800" s="3" t="str">
        <f ca="1">IFERROR(__xludf.DUMMYFUNCTION("IF(ISBLANK(A800),"""",GOOGLETRANSLATE(A800,""en"",""fr""))"),"")</f>
        <v/>
      </c>
    </row>
    <row r="801" spans="2:2">
      <c r="B801" s="3" t="str">
        <f ca="1">IFERROR(__xludf.DUMMYFUNCTION("IF(ISBLANK(A801),"""",GOOGLETRANSLATE(A801,""en"",""fr""))"),"")</f>
        <v/>
      </c>
    </row>
    <row r="802" spans="2:2">
      <c r="B802" s="3" t="str">
        <f ca="1">IFERROR(__xludf.DUMMYFUNCTION("IF(ISBLANK(A802),"""",GOOGLETRANSLATE(A802,""en"",""fr""))"),"")</f>
        <v/>
      </c>
    </row>
    <row r="803" spans="2:2">
      <c r="B803" s="3" t="str">
        <f ca="1">IFERROR(__xludf.DUMMYFUNCTION("IF(ISBLANK(A803),"""",GOOGLETRANSLATE(A803,""en"",""fr""))"),"")</f>
        <v/>
      </c>
    </row>
    <row r="804" spans="2:2">
      <c r="B804" s="3" t="str">
        <f ca="1">IFERROR(__xludf.DUMMYFUNCTION("IF(ISBLANK(A804),"""",GOOGLETRANSLATE(A804,""en"",""fr""))"),"")</f>
        <v/>
      </c>
    </row>
    <row r="805" spans="2:2">
      <c r="B805" s="3" t="str">
        <f ca="1">IFERROR(__xludf.DUMMYFUNCTION("IF(ISBLANK(A805),"""",GOOGLETRANSLATE(A805,""en"",""fr""))"),"")</f>
        <v/>
      </c>
    </row>
    <row r="806" spans="2:2">
      <c r="B806" s="3" t="str">
        <f ca="1">IFERROR(__xludf.DUMMYFUNCTION("IF(ISBLANK(A806),"""",GOOGLETRANSLATE(A806,""en"",""fr""))"),"")</f>
        <v/>
      </c>
    </row>
    <row r="807" spans="2:2">
      <c r="B807" s="3" t="str">
        <f ca="1">IFERROR(__xludf.DUMMYFUNCTION("IF(ISBLANK(A807),"""",GOOGLETRANSLATE(A807,""en"",""fr""))"),"")</f>
        <v/>
      </c>
    </row>
    <row r="808" spans="2:2">
      <c r="B808" s="3" t="str">
        <f ca="1">IFERROR(__xludf.DUMMYFUNCTION("IF(ISBLANK(A808),"""",GOOGLETRANSLATE(A808,""en"",""fr""))"),"")</f>
        <v/>
      </c>
    </row>
    <row r="809" spans="2:2">
      <c r="B809" s="3" t="str">
        <f ca="1">IFERROR(__xludf.DUMMYFUNCTION("IF(ISBLANK(A809),"""",GOOGLETRANSLATE(A809,""en"",""fr""))"),"")</f>
        <v/>
      </c>
    </row>
    <row r="810" spans="2:2">
      <c r="B810" s="3" t="str">
        <f ca="1">IFERROR(__xludf.DUMMYFUNCTION("IF(ISBLANK(A810),"""",GOOGLETRANSLATE(A810,""en"",""fr""))"),"")</f>
        <v/>
      </c>
    </row>
    <row r="811" spans="2:2">
      <c r="B811" s="3" t="str">
        <f ca="1">IFERROR(__xludf.DUMMYFUNCTION("IF(ISBLANK(A811),"""",GOOGLETRANSLATE(A811,""en"",""fr""))"),"")</f>
        <v/>
      </c>
    </row>
    <row r="812" spans="2:2">
      <c r="B812" s="3" t="str">
        <f ca="1">IFERROR(__xludf.DUMMYFUNCTION("IF(ISBLANK(A812),"""",GOOGLETRANSLATE(A812,""en"",""fr""))"),"")</f>
        <v/>
      </c>
    </row>
    <row r="813" spans="2:2">
      <c r="B813" s="3" t="str">
        <f ca="1">IFERROR(__xludf.DUMMYFUNCTION("IF(ISBLANK(A813),"""",GOOGLETRANSLATE(A813,""en"",""fr""))"),"")</f>
        <v/>
      </c>
    </row>
    <row r="814" spans="2:2">
      <c r="B814" s="3" t="str">
        <f ca="1">IFERROR(__xludf.DUMMYFUNCTION("IF(ISBLANK(A814),"""",GOOGLETRANSLATE(A814,""en"",""fr""))"),"")</f>
        <v/>
      </c>
    </row>
    <row r="815" spans="2:2">
      <c r="B815" s="3" t="str">
        <f ca="1">IFERROR(__xludf.DUMMYFUNCTION("IF(ISBLANK(A815),"""",GOOGLETRANSLATE(A815,""en"",""fr""))"),"")</f>
        <v/>
      </c>
    </row>
    <row r="816" spans="2:2">
      <c r="B816" s="3" t="str">
        <f ca="1">IFERROR(__xludf.DUMMYFUNCTION("IF(ISBLANK(A816),"""",GOOGLETRANSLATE(A816,""en"",""fr""))"),"")</f>
        <v/>
      </c>
    </row>
    <row r="817" spans="2:2">
      <c r="B817" s="3" t="str">
        <f ca="1">IFERROR(__xludf.DUMMYFUNCTION("IF(ISBLANK(A817),"""",GOOGLETRANSLATE(A817,""en"",""fr""))"),"")</f>
        <v/>
      </c>
    </row>
    <row r="818" spans="2:2">
      <c r="B818" s="3" t="str">
        <f ca="1">IFERROR(__xludf.DUMMYFUNCTION("IF(ISBLANK(A818),"""",GOOGLETRANSLATE(A818,""en"",""fr""))"),"")</f>
        <v/>
      </c>
    </row>
    <row r="819" spans="2:2">
      <c r="B819" s="3" t="str">
        <f ca="1">IFERROR(__xludf.DUMMYFUNCTION("IF(ISBLANK(A819),"""",GOOGLETRANSLATE(A819,""en"",""fr""))"),"")</f>
        <v/>
      </c>
    </row>
    <row r="820" spans="2:2">
      <c r="B820" s="3" t="str">
        <f ca="1">IFERROR(__xludf.DUMMYFUNCTION("IF(ISBLANK(A820),"""",GOOGLETRANSLATE(A820,""en"",""fr""))"),"")</f>
        <v/>
      </c>
    </row>
    <row r="821" spans="2:2">
      <c r="B821" s="3" t="str">
        <f ca="1">IFERROR(__xludf.DUMMYFUNCTION("IF(ISBLANK(A821),"""",GOOGLETRANSLATE(A821,""en"",""fr""))"),"")</f>
        <v/>
      </c>
    </row>
    <row r="822" spans="2:2">
      <c r="B822" s="3" t="str">
        <f ca="1">IFERROR(__xludf.DUMMYFUNCTION("IF(ISBLANK(A822),"""",GOOGLETRANSLATE(A822,""en"",""fr""))"),"")</f>
        <v/>
      </c>
    </row>
    <row r="823" spans="2:2">
      <c r="B823" s="3" t="str">
        <f ca="1">IFERROR(__xludf.DUMMYFUNCTION("IF(ISBLANK(A823),"""",GOOGLETRANSLATE(A823,""en"",""fr""))"),"")</f>
        <v/>
      </c>
    </row>
    <row r="824" spans="2:2">
      <c r="B824" s="3" t="str">
        <f ca="1">IFERROR(__xludf.DUMMYFUNCTION("IF(ISBLANK(A824),"""",GOOGLETRANSLATE(A824,""en"",""fr""))"),"")</f>
        <v/>
      </c>
    </row>
    <row r="825" spans="2:2">
      <c r="B825" s="3" t="str">
        <f ca="1">IFERROR(__xludf.DUMMYFUNCTION("IF(ISBLANK(A825),"""",GOOGLETRANSLATE(A825,""en"",""fr""))"),"")</f>
        <v/>
      </c>
    </row>
    <row r="826" spans="2:2">
      <c r="B826" s="3" t="str">
        <f ca="1">IFERROR(__xludf.DUMMYFUNCTION("IF(ISBLANK(A826),"""",GOOGLETRANSLATE(A826,""en"",""fr""))"),"")</f>
        <v/>
      </c>
    </row>
    <row r="827" spans="2:2">
      <c r="B827" s="3" t="str">
        <f ca="1">IFERROR(__xludf.DUMMYFUNCTION("IF(ISBLANK(A827),"""",GOOGLETRANSLATE(A827,""en"",""fr""))"),"")</f>
        <v/>
      </c>
    </row>
    <row r="828" spans="2:2">
      <c r="B828" s="3" t="str">
        <f ca="1">IFERROR(__xludf.DUMMYFUNCTION("IF(ISBLANK(A828),"""",GOOGLETRANSLATE(A828,""en"",""fr""))"),"")</f>
        <v/>
      </c>
    </row>
    <row r="829" spans="2:2">
      <c r="B829" s="3" t="str">
        <f ca="1">IFERROR(__xludf.DUMMYFUNCTION("IF(ISBLANK(A829),"""",GOOGLETRANSLATE(A829,""en"",""fr""))"),"")</f>
        <v/>
      </c>
    </row>
    <row r="830" spans="2:2">
      <c r="B830" s="3" t="str">
        <f ca="1">IFERROR(__xludf.DUMMYFUNCTION("IF(ISBLANK(A830),"""",GOOGLETRANSLATE(A830,""en"",""fr""))"),"")</f>
        <v/>
      </c>
    </row>
    <row r="831" spans="2:2">
      <c r="B831" s="3" t="str">
        <f ca="1">IFERROR(__xludf.DUMMYFUNCTION("IF(ISBLANK(A831),"""",GOOGLETRANSLATE(A831,""en"",""fr""))"),"")</f>
        <v/>
      </c>
    </row>
    <row r="832" spans="2:2">
      <c r="B832" s="3" t="str">
        <f ca="1">IFERROR(__xludf.DUMMYFUNCTION("IF(ISBLANK(A832),"""",GOOGLETRANSLATE(A832,""en"",""fr""))"),"")</f>
        <v/>
      </c>
    </row>
    <row r="833" spans="2:2">
      <c r="B833" s="3" t="str">
        <f ca="1">IFERROR(__xludf.DUMMYFUNCTION("IF(ISBLANK(A833),"""",GOOGLETRANSLATE(A833,""en"",""fr""))"),"")</f>
        <v/>
      </c>
    </row>
    <row r="834" spans="2:2">
      <c r="B834" s="3" t="str">
        <f ca="1">IFERROR(__xludf.DUMMYFUNCTION("IF(ISBLANK(A834),"""",GOOGLETRANSLATE(A834,""en"",""fr""))"),"")</f>
        <v/>
      </c>
    </row>
    <row r="835" spans="2:2">
      <c r="B835" s="3" t="str">
        <f ca="1">IFERROR(__xludf.DUMMYFUNCTION("IF(ISBLANK(A835),"""",GOOGLETRANSLATE(A835,""en"",""fr""))"),"")</f>
        <v/>
      </c>
    </row>
    <row r="836" spans="2:2">
      <c r="B836" s="3" t="str">
        <f ca="1">IFERROR(__xludf.DUMMYFUNCTION("IF(ISBLANK(A836),"""",GOOGLETRANSLATE(A836,""en"",""fr""))"),"")</f>
        <v/>
      </c>
    </row>
    <row r="837" spans="2:2">
      <c r="B837" s="3" t="str">
        <f ca="1">IFERROR(__xludf.DUMMYFUNCTION("IF(ISBLANK(A837),"""",GOOGLETRANSLATE(A837,""en"",""fr""))"),"")</f>
        <v/>
      </c>
    </row>
    <row r="838" spans="2:2">
      <c r="B838" s="3" t="str">
        <f ca="1">IFERROR(__xludf.DUMMYFUNCTION("IF(ISBLANK(A838),"""",GOOGLETRANSLATE(A838,""en"",""fr""))"),"")</f>
        <v/>
      </c>
    </row>
    <row r="839" spans="2:2">
      <c r="B839" s="3" t="str">
        <f ca="1">IFERROR(__xludf.DUMMYFUNCTION("IF(ISBLANK(A839),"""",GOOGLETRANSLATE(A839,""en"",""fr""))"),"")</f>
        <v/>
      </c>
    </row>
    <row r="840" spans="2:2">
      <c r="B840" s="3" t="str">
        <f ca="1">IFERROR(__xludf.DUMMYFUNCTION("IF(ISBLANK(A840),"""",GOOGLETRANSLATE(A840,""en"",""fr""))"),"")</f>
        <v/>
      </c>
    </row>
    <row r="841" spans="2:2">
      <c r="B841" s="3" t="str">
        <f ca="1">IFERROR(__xludf.DUMMYFUNCTION("IF(ISBLANK(A841),"""",GOOGLETRANSLATE(A841,""en"",""fr""))"),"")</f>
        <v/>
      </c>
    </row>
    <row r="842" spans="2:2">
      <c r="B842" s="3" t="str">
        <f ca="1">IFERROR(__xludf.DUMMYFUNCTION("IF(ISBLANK(A842),"""",GOOGLETRANSLATE(A842,""en"",""fr""))"),"")</f>
        <v/>
      </c>
    </row>
    <row r="843" spans="2:2">
      <c r="B843" s="3" t="str">
        <f ca="1">IFERROR(__xludf.DUMMYFUNCTION("IF(ISBLANK(A843),"""",GOOGLETRANSLATE(A843,""en"",""fr""))"),"")</f>
        <v/>
      </c>
    </row>
    <row r="844" spans="2:2">
      <c r="B844" s="3" t="str">
        <f ca="1">IFERROR(__xludf.DUMMYFUNCTION("IF(ISBLANK(A844),"""",GOOGLETRANSLATE(A844,""en"",""fr""))"),"")</f>
        <v/>
      </c>
    </row>
    <row r="845" spans="2:2">
      <c r="B845" s="3" t="str">
        <f ca="1">IFERROR(__xludf.DUMMYFUNCTION("IF(ISBLANK(A845),"""",GOOGLETRANSLATE(A845,""en"",""fr""))"),"")</f>
        <v/>
      </c>
    </row>
    <row r="846" spans="2:2">
      <c r="B846" s="3" t="str">
        <f ca="1">IFERROR(__xludf.DUMMYFUNCTION("IF(ISBLANK(A846),"""",GOOGLETRANSLATE(A846,""en"",""fr""))"),"")</f>
        <v/>
      </c>
    </row>
    <row r="847" spans="2:2">
      <c r="B847" s="3" t="str">
        <f ca="1">IFERROR(__xludf.DUMMYFUNCTION("IF(ISBLANK(A847),"""",GOOGLETRANSLATE(A847,""en"",""fr""))"),"")</f>
        <v/>
      </c>
    </row>
    <row r="848" spans="2:2">
      <c r="B848" s="3" t="str">
        <f ca="1">IFERROR(__xludf.DUMMYFUNCTION("IF(ISBLANK(A848),"""",GOOGLETRANSLATE(A848,""en"",""fr""))"),"")</f>
        <v/>
      </c>
    </row>
    <row r="849" spans="2:2">
      <c r="B849" s="3" t="str">
        <f ca="1">IFERROR(__xludf.DUMMYFUNCTION("IF(ISBLANK(A849),"""",GOOGLETRANSLATE(A849,""en"",""fr""))"),"")</f>
        <v/>
      </c>
    </row>
    <row r="850" spans="2:2">
      <c r="B850" s="3" t="str">
        <f ca="1">IFERROR(__xludf.DUMMYFUNCTION("IF(ISBLANK(A850),"""",GOOGLETRANSLATE(A850,""en"",""fr""))"),"")</f>
        <v/>
      </c>
    </row>
    <row r="851" spans="2:2">
      <c r="B851" s="3" t="str">
        <f ca="1">IFERROR(__xludf.DUMMYFUNCTION("IF(ISBLANK(A851),"""",GOOGLETRANSLATE(A851,""en"",""fr""))"),"")</f>
        <v/>
      </c>
    </row>
    <row r="852" spans="2:2">
      <c r="B852" s="3" t="str">
        <f ca="1">IFERROR(__xludf.DUMMYFUNCTION("IF(ISBLANK(A852),"""",GOOGLETRANSLATE(A852,""en"",""fr""))"),"")</f>
        <v/>
      </c>
    </row>
    <row r="853" spans="2:2">
      <c r="B853" s="3" t="str">
        <f ca="1">IFERROR(__xludf.DUMMYFUNCTION("IF(ISBLANK(A853),"""",GOOGLETRANSLATE(A853,""en"",""fr""))"),"")</f>
        <v/>
      </c>
    </row>
    <row r="854" spans="2:2">
      <c r="B854" s="3" t="str">
        <f ca="1">IFERROR(__xludf.DUMMYFUNCTION("IF(ISBLANK(A854),"""",GOOGLETRANSLATE(A854,""en"",""fr""))"),"")</f>
        <v/>
      </c>
    </row>
    <row r="855" spans="2:2">
      <c r="B855" s="3" t="str">
        <f ca="1">IFERROR(__xludf.DUMMYFUNCTION("IF(ISBLANK(A855),"""",GOOGLETRANSLATE(A855,""en"",""fr""))"),"")</f>
        <v/>
      </c>
    </row>
    <row r="856" spans="2:2">
      <c r="B856" s="3" t="str">
        <f ca="1">IFERROR(__xludf.DUMMYFUNCTION("IF(ISBLANK(A856),"""",GOOGLETRANSLATE(A856,""en"",""fr""))"),"")</f>
        <v/>
      </c>
    </row>
    <row r="857" spans="2:2">
      <c r="B857" s="3" t="str">
        <f ca="1">IFERROR(__xludf.DUMMYFUNCTION("IF(ISBLANK(A857),"""",GOOGLETRANSLATE(A857,""en"",""fr""))"),"")</f>
        <v/>
      </c>
    </row>
    <row r="858" spans="2:2">
      <c r="B858" s="3" t="str">
        <f ca="1">IFERROR(__xludf.DUMMYFUNCTION("IF(ISBLANK(A858),"""",GOOGLETRANSLATE(A858,""en"",""fr""))"),"")</f>
        <v/>
      </c>
    </row>
    <row r="859" spans="2:2">
      <c r="B859" s="3" t="str">
        <f ca="1">IFERROR(__xludf.DUMMYFUNCTION("IF(ISBLANK(A859),"""",GOOGLETRANSLATE(A859,""en"",""fr""))"),"")</f>
        <v/>
      </c>
    </row>
    <row r="860" spans="2:2">
      <c r="B860" s="3" t="str">
        <f ca="1">IFERROR(__xludf.DUMMYFUNCTION("IF(ISBLANK(A860),"""",GOOGLETRANSLATE(A860,""en"",""fr""))"),"")</f>
        <v/>
      </c>
    </row>
    <row r="861" spans="2:2">
      <c r="B861" s="3" t="str">
        <f ca="1">IFERROR(__xludf.DUMMYFUNCTION("IF(ISBLANK(A861),"""",GOOGLETRANSLATE(A861,""en"",""fr""))"),"")</f>
        <v/>
      </c>
    </row>
    <row r="862" spans="2:2">
      <c r="B862" s="3" t="str">
        <f ca="1">IFERROR(__xludf.DUMMYFUNCTION("IF(ISBLANK(A862),"""",GOOGLETRANSLATE(A862,""en"",""fr""))"),"")</f>
        <v/>
      </c>
    </row>
    <row r="863" spans="2:2">
      <c r="B863" s="3" t="str">
        <f ca="1">IFERROR(__xludf.DUMMYFUNCTION("IF(ISBLANK(A863),"""",GOOGLETRANSLATE(A863,""en"",""fr""))"),"")</f>
        <v/>
      </c>
    </row>
    <row r="864" spans="2:2">
      <c r="B864" s="3" t="str">
        <f ca="1">IFERROR(__xludf.DUMMYFUNCTION("IF(ISBLANK(A864),"""",GOOGLETRANSLATE(A864,""en"",""fr""))"),"")</f>
        <v/>
      </c>
    </row>
    <row r="865" spans="2:2">
      <c r="B865" s="3" t="str">
        <f ca="1">IFERROR(__xludf.DUMMYFUNCTION("IF(ISBLANK(A865),"""",GOOGLETRANSLATE(A865,""en"",""fr""))"),"")</f>
        <v/>
      </c>
    </row>
    <row r="866" spans="2:2">
      <c r="B866" s="3" t="str">
        <f ca="1">IFERROR(__xludf.DUMMYFUNCTION("IF(ISBLANK(A866),"""",GOOGLETRANSLATE(A866,""en"",""fr""))"),"")</f>
        <v/>
      </c>
    </row>
    <row r="867" spans="2:2">
      <c r="B867" s="3" t="str">
        <f ca="1">IFERROR(__xludf.DUMMYFUNCTION("IF(ISBLANK(A867),"""",GOOGLETRANSLATE(A867,""en"",""fr""))"),"")</f>
        <v/>
      </c>
    </row>
    <row r="868" spans="2:2">
      <c r="B868" s="3" t="str">
        <f ca="1">IFERROR(__xludf.DUMMYFUNCTION("IF(ISBLANK(A868),"""",GOOGLETRANSLATE(A868,""en"",""fr""))"),"")</f>
        <v/>
      </c>
    </row>
    <row r="869" spans="2:2">
      <c r="B869" s="3" t="str">
        <f ca="1">IFERROR(__xludf.DUMMYFUNCTION("IF(ISBLANK(A869),"""",GOOGLETRANSLATE(A869,""en"",""fr""))"),"")</f>
        <v/>
      </c>
    </row>
    <row r="870" spans="2:2">
      <c r="B870" s="3" t="str">
        <f ca="1">IFERROR(__xludf.DUMMYFUNCTION("IF(ISBLANK(A870),"""",GOOGLETRANSLATE(A870,""en"",""fr""))"),"")</f>
        <v/>
      </c>
    </row>
    <row r="871" spans="2:2">
      <c r="B871" s="3" t="str">
        <f ca="1">IFERROR(__xludf.DUMMYFUNCTION("IF(ISBLANK(A871),"""",GOOGLETRANSLATE(A871,""en"",""fr""))"),"")</f>
        <v/>
      </c>
    </row>
    <row r="872" spans="2:2">
      <c r="B872" s="3" t="str">
        <f ca="1">IFERROR(__xludf.DUMMYFUNCTION("IF(ISBLANK(A872),"""",GOOGLETRANSLATE(A872,""en"",""fr""))"),"")</f>
        <v/>
      </c>
    </row>
    <row r="873" spans="2:2">
      <c r="B873" s="3" t="str">
        <f ca="1">IFERROR(__xludf.DUMMYFUNCTION("IF(ISBLANK(A873),"""",GOOGLETRANSLATE(A873,""en"",""fr""))"),"")</f>
        <v/>
      </c>
    </row>
    <row r="874" spans="2:2">
      <c r="B874" s="3" t="str">
        <f ca="1">IFERROR(__xludf.DUMMYFUNCTION("IF(ISBLANK(A874),"""",GOOGLETRANSLATE(A874,""en"",""fr""))"),"")</f>
        <v/>
      </c>
    </row>
    <row r="875" spans="2:2">
      <c r="B875" s="3" t="str">
        <f ca="1">IFERROR(__xludf.DUMMYFUNCTION("IF(ISBLANK(A875),"""",GOOGLETRANSLATE(A875,""en"",""fr""))"),"")</f>
        <v/>
      </c>
    </row>
    <row r="876" spans="2:2">
      <c r="B876" s="3" t="str">
        <f ca="1">IFERROR(__xludf.DUMMYFUNCTION("IF(ISBLANK(A876),"""",GOOGLETRANSLATE(A876,""en"",""fr""))"),"")</f>
        <v/>
      </c>
    </row>
    <row r="877" spans="2:2">
      <c r="B877" s="3" t="str">
        <f ca="1">IFERROR(__xludf.DUMMYFUNCTION("IF(ISBLANK(A877),"""",GOOGLETRANSLATE(A877,""en"",""fr""))"),"")</f>
        <v/>
      </c>
    </row>
    <row r="878" spans="2:2">
      <c r="B878" s="3" t="str">
        <f ca="1">IFERROR(__xludf.DUMMYFUNCTION("IF(ISBLANK(A878),"""",GOOGLETRANSLATE(A878,""en"",""fr""))"),"")</f>
        <v/>
      </c>
    </row>
    <row r="879" spans="2:2">
      <c r="B879" s="3" t="str">
        <f ca="1">IFERROR(__xludf.DUMMYFUNCTION("IF(ISBLANK(A879),"""",GOOGLETRANSLATE(A879,""en"",""fr""))"),"")</f>
        <v/>
      </c>
    </row>
    <row r="880" spans="2:2">
      <c r="B880" s="3" t="str">
        <f ca="1">IFERROR(__xludf.DUMMYFUNCTION("IF(ISBLANK(A880),"""",GOOGLETRANSLATE(A880,""en"",""fr""))"),"")</f>
        <v/>
      </c>
    </row>
    <row r="881" spans="2:2">
      <c r="B881" s="3" t="str">
        <f ca="1">IFERROR(__xludf.DUMMYFUNCTION("IF(ISBLANK(A881),"""",GOOGLETRANSLATE(A881,""en"",""fr""))"),"")</f>
        <v/>
      </c>
    </row>
    <row r="882" spans="2:2">
      <c r="B882" s="3" t="str">
        <f ca="1">IFERROR(__xludf.DUMMYFUNCTION("IF(ISBLANK(A882),"""",GOOGLETRANSLATE(A882,""en"",""fr""))"),"")</f>
        <v/>
      </c>
    </row>
    <row r="883" spans="2:2">
      <c r="B883" s="3" t="str">
        <f ca="1">IFERROR(__xludf.DUMMYFUNCTION("IF(ISBLANK(A883),"""",GOOGLETRANSLATE(A883,""en"",""fr""))"),"")</f>
        <v/>
      </c>
    </row>
    <row r="884" spans="2:2">
      <c r="B884" s="3" t="str">
        <f ca="1">IFERROR(__xludf.DUMMYFUNCTION("IF(ISBLANK(A884),"""",GOOGLETRANSLATE(A884,""en"",""fr""))"),"")</f>
        <v/>
      </c>
    </row>
    <row r="885" spans="2:2">
      <c r="B885" s="3" t="str">
        <f ca="1">IFERROR(__xludf.DUMMYFUNCTION("IF(ISBLANK(A885),"""",GOOGLETRANSLATE(A885,""en"",""fr""))"),"")</f>
        <v/>
      </c>
    </row>
    <row r="886" spans="2:2">
      <c r="B886" s="3" t="str">
        <f ca="1">IFERROR(__xludf.DUMMYFUNCTION("IF(ISBLANK(A886),"""",GOOGLETRANSLATE(A886,""en"",""fr""))"),"")</f>
        <v/>
      </c>
    </row>
    <row r="887" spans="2:2">
      <c r="B887" s="3" t="str">
        <f ca="1">IFERROR(__xludf.DUMMYFUNCTION("IF(ISBLANK(A887),"""",GOOGLETRANSLATE(A887,""en"",""fr""))"),"")</f>
        <v/>
      </c>
    </row>
    <row r="888" spans="2:2">
      <c r="B888" s="3" t="str">
        <f ca="1">IFERROR(__xludf.DUMMYFUNCTION("IF(ISBLANK(A888),"""",GOOGLETRANSLATE(A888,""en"",""fr""))"),"")</f>
        <v/>
      </c>
    </row>
    <row r="889" spans="2:2">
      <c r="B889" s="3" t="str">
        <f ca="1">IFERROR(__xludf.DUMMYFUNCTION("IF(ISBLANK(A889),"""",GOOGLETRANSLATE(A889,""en"",""fr""))"),"")</f>
        <v/>
      </c>
    </row>
    <row r="890" spans="2:2">
      <c r="B890" s="3" t="str">
        <f ca="1">IFERROR(__xludf.DUMMYFUNCTION("IF(ISBLANK(A890),"""",GOOGLETRANSLATE(A890,""en"",""fr""))"),"")</f>
        <v/>
      </c>
    </row>
    <row r="891" spans="2:2">
      <c r="B891" s="3" t="str">
        <f ca="1">IFERROR(__xludf.DUMMYFUNCTION("IF(ISBLANK(A891),"""",GOOGLETRANSLATE(A891,""en"",""fr""))"),"")</f>
        <v/>
      </c>
    </row>
    <row r="892" spans="2:2">
      <c r="B892" s="3" t="str">
        <f ca="1">IFERROR(__xludf.DUMMYFUNCTION("IF(ISBLANK(A892),"""",GOOGLETRANSLATE(A892,""en"",""fr""))"),"")</f>
        <v/>
      </c>
    </row>
    <row r="893" spans="2:2">
      <c r="B893" s="3" t="str">
        <f ca="1">IFERROR(__xludf.DUMMYFUNCTION("IF(ISBLANK(A893),"""",GOOGLETRANSLATE(A893,""en"",""fr""))"),"")</f>
        <v/>
      </c>
    </row>
    <row r="894" spans="2:2">
      <c r="B894" s="3" t="str">
        <f ca="1">IFERROR(__xludf.DUMMYFUNCTION("IF(ISBLANK(A894),"""",GOOGLETRANSLATE(A894,""en"",""fr""))"),"")</f>
        <v/>
      </c>
    </row>
    <row r="895" spans="2:2">
      <c r="B895" s="3" t="str">
        <f ca="1">IFERROR(__xludf.DUMMYFUNCTION("IF(ISBLANK(A895),"""",GOOGLETRANSLATE(A895,""en"",""fr""))"),"")</f>
        <v/>
      </c>
    </row>
    <row r="896" spans="2:2">
      <c r="B896" s="3" t="str">
        <f ca="1">IFERROR(__xludf.DUMMYFUNCTION("IF(ISBLANK(A896),"""",GOOGLETRANSLATE(A896,""en"",""fr""))"),"")</f>
        <v/>
      </c>
    </row>
    <row r="897" spans="2:2">
      <c r="B897" s="3" t="str">
        <f ca="1">IFERROR(__xludf.DUMMYFUNCTION("IF(ISBLANK(A897),"""",GOOGLETRANSLATE(A897,""en"",""fr""))"),"")</f>
        <v/>
      </c>
    </row>
    <row r="898" spans="2:2">
      <c r="B898" s="3" t="str">
        <f ca="1">IFERROR(__xludf.DUMMYFUNCTION("IF(ISBLANK(A898),"""",GOOGLETRANSLATE(A898,""en"",""fr""))"),"")</f>
        <v/>
      </c>
    </row>
    <row r="899" spans="2:2">
      <c r="B899" s="3" t="str">
        <f ca="1">IFERROR(__xludf.DUMMYFUNCTION("IF(ISBLANK(A899),"""",GOOGLETRANSLATE(A899,""en"",""fr""))"),"")</f>
        <v/>
      </c>
    </row>
    <row r="900" spans="2:2">
      <c r="B900" s="3" t="str">
        <f ca="1">IFERROR(__xludf.DUMMYFUNCTION("IF(ISBLANK(A900),"""",GOOGLETRANSLATE(A900,""en"",""fr""))"),"")</f>
        <v/>
      </c>
    </row>
    <row r="901" spans="2:2">
      <c r="B901" s="3" t="str">
        <f ca="1">IFERROR(__xludf.DUMMYFUNCTION("IF(ISBLANK(A901),"""",GOOGLETRANSLATE(A901,""en"",""fr""))"),"")</f>
        <v/>
      </c>
    </row>
    <row r="902" spans="2:2">
      <c r="B902" s="3" t="str">
        <f ca="1">IFERROR(__xludf.DUMMYFUNCTION("IF(ISBLANK(A902),"""",GOOGLETRANSLATE(A902,""en"",""fr""))"),"")</f>
        <v/>
      </c>
    </row>
    <row r="903" spans="2:2">
      <c r="B903" s="3" t="str">
        <f ca="1">IFERROR(__xludf.DUMMYFUNCTION("IF(ISBLANK(A903),"""",GOOGLETRANSLATE(A903,""en"",""fr""))"),"")</f>
        <v/>
      </c>
    </row>
    <row r="904" spans="2:2">
      <c r="B904" s="3" t="str">
        <f ca="1">IFERROR(__xludf.DUMMYFUNCTION("IF(ISBLANK(A904),"""",GOOGLETRANSLATE(A904,""en"",""fr""))"),"")</f>
        <v/>
      </c>
    </row>
    <row r="905" spans="2:2">
      <c r="B905" s="3" t="str">
        <f ca="1">IFERROR(__xludf.DUMMYFUNCTION("IF(ISBLANK(A905),"""",GOOGLETRANSLATE(A905,""en"",""fr""))"),"")</f>
        <v/>
      </c>
    </row>
    <row r="906" spans="2:2">
      <c r="B906" s="3" t="str">
        <f ca="1">IFERROR(__xludf.DUMMYFUNCTION("IF(ISBLANK(A906),"""",GOOGLETRANSLATE(A906,""en"",""fr""))"),"")</f>
        <v/>
      </c>
    </row>
    <row r="907" spans="2:2">
      <c r="B907" s="3" t="str">
        <f ca="1">IFERROR(__xludf.DUMMYFUNCTION("IF(ISBLANK(A907),"""",GOOGLETRANSLATE(A907,""en"",""fr""))"),"")</f>
        <v/>
      </c>
    </row>
    <row r="908" spans="2:2">
      <c r="B908" s="3" t="str">
        <f ca="1">IFERROR(__xludf.DUMMYFUNCTION("IF(ISBLANK(A908),"""",GOOGLETRANSLATE(A908,""en"",""fr""))"),"")</f>
        <v/>
      </c>
    </row>
    <row r="909" spans="2:2">
      <c r="B909" s="3" t="str">
        <f ca="1">IFERROR(__xludf.DUMMYFUNCTION("IF(ISBLANK(A909),"""",GOOGLETRANSLATE(A909,""en"",""fr""))"),"")</f>
        <v/>
      </c>
    </row>
    <row r="910" spans="2:2">
      <c r="B910" s="3" t="str">
        <f ca="1">IFERROR(__xludf.DUMMYFUNCTION("IF(ISBLANK(A910),"""",GOOGLETRANSLATE(A910,""en"",""fr""))"),"")</f>
        <v/>
      </c>
    </row>
    <row r="911" spans="2:2">
      <c r="B911" s="3" t="str">
        <f ca="1">IFERROR(__xludf.DUMMYFUNCTION("IF(ISBLANK(A911),"""",GOOGLETRANSLATE(A911,""en"",""fr""))"),"")</f>
        <v/>
      </c>
    </row>
    <row r="912" spans="2:2">
      <c r="B912" s="3" t="str">
        <f ca="1">IFERROR(__xludf.DUMMYFUNCTION("IF(ISBLANK(A912),"""",GOOGLETRANSLATE(A912,""en"",""fr""))"),"")</f>
        <v/>
      </c>
    </row>
    <row r="913" spans="2:2">
      <c r="B913" s="3" t="str">
        <f ca="1">IFERROR(__xludf.DUMMYFUNCTION("IF(ISBLANK(A913),"""",GOOGLETRANSLATE(A913,""en"",""fr""))"),"")</f>
        <v/>
      </c>
    </row>
    <row r="914" spans="2:2">
      <c r="B914" s="3" t="str">
        <f ca="1">IFERROR(__xludf.DUMMYFUNCTION("IF(ISBLANK(A914),"""",GOOGLETRANSLATE(A914,""en"",""fr""))"),"")</f>
        <v/>
      </c>
    </row>
    <row r="915" spans="2:2">
      <c r="B915" s="3" t="str">
        <f ca="1">IFERROR(__xludf.DUMMYFUNCTION("IF(ISBLANK(A915),"""",GOOGLETRANSLATE(A915,""en"",""fr""))"),"")</f>
        <v/>
      </c>
    </row>
    <row r="916" spans="2:2">
      <c r="B916" s="3" t="str">
        <f ca="1">IFERROR(__xludf.DUMMYFUNCTION("IF(ISBLANK(A916),"""",GOOGLETRANSLATE(A916,""en"",""fr""))"),"")</f>
        <v/>
      </c>
    </row>
    <row r="917" spans="2:2">
      <c r="B917" s="3" t="str">
        <f ca="1">IFERROR(__xludf.DUMMYFUNCTION("IF(ISBLANK(A917),"""",GOOGLETRANSLATE(A917,""en"",""fr""))"),"")</f>
        <v/>
      </c>
    </row>
    <row r="918" spans="2:2">
      <c r="B918" s="3" t="str">
        <f ca="1">IFERROR(__xludf.DUMMYFUNCTION("IF(ISBLANK(A918),"""",GOOGLETRANSLATE(A918,""en"",""fr""))"),"")</f>
        <v/>
      </c>
    </row>
    <row r="919" spans="2:2">
      <c r="B919" s="3" t="str">
        <f ca="1">IFERROR(__xludf.DUMMYFUNCTION("IF(ISBLANK(A919),"""",GOOGLETRANSLATE(A919,""en"",""fr""))"),"")</f>
        <v/>
      </c>
    </row>
    <row r="920" spans="2:2">
      <c r="B920" s="3" t="str">
        <f ca="1">IFERROR(__xludf.DUMMYFUNCTION("IF(ISBLANK(A920),"""",GOOGLETRANSLATE(A920,""en"",""fr""))"),"")</f>
        <v/>
      </c>
    </row>
    <row r="921" spans="2:2">
      <c r="B921" s="3" t="str">
        <f ca="1">IFERROR(__xludf.DUMMYFUNCTION("IF(ISBLANK(A921),"""",GOOGLETRANSLATE(A921,""en"",""fr""))"),"")</f>
        <v/>
      </c>
    </row>
    <row r="922" spans="2:2">
      <c r="B922" s="3" t="str">
        <f ca="1">IFERROR(__xludf.DUMMYFUNCTION("IF(ISBLANK(A922),"""",GOOGLETRANSLATE(A922,""en"",""fr""))"),"")</f>
        <v/>
      </c>
    </row>
    <row r="923" spans="2:2">
      <c r="B923" s="3" t="str">
        <f ca="1">IFERROR(__xludf.DUMMYFUNCTION("IF(ISBLANK(A923),"""",GOOGLETRANSLATE(A923,""en"",""fr""))"),"")</f>
        <v/>
      </c>
    </row>
    <row r="924" spans="2:2">
      <c r="B924" s="3" t="str">
        <f ca="1">IFERROR(__xludf.DUMMYFUNCTION("IF(ISBLANK(A924),"""",GOOGLETRANSLATE(A924,""en"",""fr""))"),"")</f>
        <v/>
      </c>
    </row>
    <row r="925" spans="2:2">
      <c r="B925" s="3" t="str">
        <f ca="1">IFERROR(__xludf.DUMMYFUNCTION("IF(ISBLANK(A925),"""",GOOGLETRANSLATE(A925,""en"",""fr""))"),"")</f>
        <v/>
      </c>
    </row>
    <row r="926" spans="2:2">
      <c r="B926" s="3" t="str">
        <f ca="1">IFERROR(__xludf.DUMMYFUNCTION("IF(ISBLANK(A926),"""",GOOGLETRANSLATE(A926,""en"",""fr""))"),"")</f>
        <v/>
      </c>
    </row>
    <row r="927" spans="2:2">
      <c r="B927" s="3" t="str">
        <f ca="1">IFERROR(__xludf.DUMMYFUNCTION("IF(ISBLANK(A927),"""",GOOGLETRANSLATE(A927,""en"",""fr""))"),"")</f>
        <v/>
      </c>
    </row>
    <row r="928" spans="2:2">
      <c r="B928" s="3" t="str">
        <f ca="1">IFERROR(__xludf.DUMMYFUNCTION("IF(ISBLANK(A928),"""",GOOGLETRANSLATE(A928,""en"",""fr""))"),"")</f>
        <v/>
      </c>
    </row>
    <row r="929" spans="2:2">
      <c r="B929" s="3" t="str">
        <f ca="1">IFERROR(__xludf.DUMMYFUNCTION("IF(ISBLANK(A929),"""",GOOGLETRANSLATE(A929,""en"",""fr""))"),"")</f>
        <v/>
      </c>
    </row>
    <row r="930" spans="2:2">
      <c r="B930" s="3" t="str">
        <f ca="1">IFERROR(__xludf.DUMMYFUNCTION("IF(ISBLANK(A930),"""",GOOGLETRANSLATE(A930,""en"",""fr""))"),"")</f>
        <v/>
      </c>
    </row>
    <row r="931" spans="2:2">
      <c r="B931" s="3" t="str">
        <f ca="1">IFERROR(__xludf.DUMMYFUNCTION("IF(ISBLANK(A931),"""",GOOGLETRANSLATE(A931,""en"",""fr""))"),"")</f>
        <v/>
      </c>
    </row>
    <row r="932" spans="2:2">
      <c r="B932" s="3" t="str">
        <f ca="1">IFERROR(__xludf.DUMMYFUNCTION("IF(ISBLANK(A932),"""",GOOGLETRANSLATE(A932,""en"",""fr""))"),"")</f>
        <v/>
      </c>
    </row>
    <row r="933" spans="2:2">
      <c r="B933" s="3" t="str">
        <f ca="1">IFERROR(__xludf.DUMMYFUNCTION("IF(ISBLANK(A933),"""",GOOGLETRANSLATE(A933,""en"",""fr""))"),"")</f>
        <v/>
      </c>
    </row>
    <row r="934" spans="2:2">
      <c r="B934" s="3" t="str">
        <f ca="1">IFERROR(__xludf.DUMMYFUNCTION("IF(ISBLANK(A934),"""",GOOGLETRANSLATE(A934,""en"",""fr""))"),"")</f>
        <v/>
      </c>
    </row>
    <row r="935" spans="2:2">
      <c r="B935" s="3" t="str">
        <f ca="1">IFERROR(__xludf.DUMMYFUNCTION("IF(ISBLANK(A935),"""",GOOGLETRANSLATE(A935,""en"",""fr""))"),"")</f>
        <v/>
      </c>
    </row>
    <row r="936" spans="2:2">
      <c r="B936" s="3" t="str">
        <f ca="1">IFERROR(__xludf.DUMMYFUNCTION("IF(ISBLANK(A936),"""",GOOGLETRANSLATE(A936,""en"",""fr""))"),"")</f>
        <v/>
      </c>
    </row>
    <row r="937" spans="2:2">
      <c r="B937" s="3" t="str">
        <f ca="1">IFERROR(__xludf.DUMMYFUNCTION("IF(ISBLANK(A937),"""",GOOGLETRANSLATE(A937,""en"",""fr""))"),"")</f>
        <v/>
      </c>
    </row>
    <row r="938" spans="2:2">
      <c r="B938" s="3" t="str">
        <f ca="1">IFERROR(__xludf.DUMMYFUNCTION("IF(ISBLANK(A938),"""",GOOGLETRANSLATE(A938,""en"",""fr""))"),"")</f>
        <v/>
      </c>
    </row>
    <row r="939" spans="2:2">
      <c r="B939" s="3" t="str">
        <f ca="1">IFERROR(__xludf.DUMMYFUNCTION("IF(ISBLANK(A939),"""",GOOGLETRANSLATE(A939,""en"",""fr""))"),"")</f>
        <v/>
      </c>
    </row>
    <row r="940" spans="2:2">
      <c r="B940" s="3" t="str">
        <f ca="1">IFERROR(__xludf.DUMMYFUNCTION("IF(ISBLANK(A940),"""",GOOGLETRANSLATE(A940,""en"",""fr""))"),"")</f>
        <v/>
      </c>
    </row>
    <row r="941" spans="2:2">
      <c r="B941" s="3" t="str">
        <f ca="1">IFERROR(__xludf.DUMMYFUNCTION("IF(ISBLANK(A941),"""",GOOGLETRANSLATE(A941,""en"",""fr""))"),"")</f>
        <v/>
      </c>
    </row>
    <row r="942" spans="2:2">
      <c r="B942" s="3" t="str">
        <f ca="1">IFERROR(__xludf.DUMMYFUNCTION("IF(ISBLANK(A942),"""",GOOGLETRANSLATE(A942,""en"",""fr""))"),"")</f>
        <v/>
      </c>
    </row>
    <row r="943" spans="2:2">
      <c r="B943" s="3" t="str">
        <f ca="1">IFERROR(__xludf.DUMMYFUNCTION("IF(ISBLANK(A943),"""",GOOGLETRANSLATE(A943,""en"",""fr""))"),"")</f>
        <v/>
      </c>
    </row>
    <row r="944" spans="2:2">
      <c r="B944" s="3" t="str">
        <f ca="1">IFERROR(__xludf.DUMMYFUNCTION("IF(ISBLANK(A944),"""",GOOGLETRANSLATE(A944,""en"",""fr""))"),"")</f>
        <v/>
      </c>
    </row>
    <row r="945" spans="2:2">
      <c r="B945" s="3" t="str">
        <f ca="1">IFERROR(__xludf.DUMMYFUNCTION("IF(ISBLANK(A945),"""",GOOGLETRANSLATE(A945,""en"",""fr""))"),"")</f>
        <v/>
      </c>
    </row>
    <row r="946" spans="2:2">
      <c r="B946" s="3" t="str">
        <f ca="1">IFERROR(__xludf.DUMMYFUNCTION("IF(ISBLANK(A946),"""",GOOGLETRANSLATE(A946,""en"",""fr""))"),"")</f>
        <v/>
      </c>
    </row>
    <row r="947" spans="2:2">
      <c r="B947" s="3" t="str">
        <f ca="1">IFERROR(__xludf.DUMMYFUNCTION("IF(ISBLANK(A947),"""",GOOGLETRANSLATE(A947,""en"",""fr""))"),"")</f>
        <v/>
      </c>
    </row>
    <row r="948" spans="2:2">
      <c r="B948" s="3" t="str">
        <f ca="1">IFERROR(__xludf.DUMMYFUNCTION("IF(ISBLANK(A948),"""",GOOGLETRANSLATE(A948,""en"",""fr""))"),"")</f>
        <v/>
      </c>
    </row>
    <row r="949" spans="2:2">
      <c r="B949" s="3" t="str">
        <f ca="1">IFERROR(__xludf.DUMMYFUNCTION("IF(ISBLANK(A949),"""",GOOGLETRANSLATE(A949,""en"",""fr""))"),"")</f>
        <v/>
      </c>
    </row>
    <row r="950" spans="2:2">
      <c r="B950" s="3" t="str">
        <f ca="1">IFERROR(__xludf.DUMMYFUNCTION("IF(ISBLANK(A950),"""",GOOGLETRANSLATE(A950,""en"",""fr""))"),"")</f>
        <v/>
      </c>
    </row>
    <row r="951" spans="2:2">
      <c r="B951" s="3" t="str">
        <f ca="1">IFERROR(__xludf.DUMMYFUNCTION("IF(ISBLANK(A951),"""",GOOGLETRANSLATE(A951,""en"",""fr""))"),"")</f>
        <v/>
      </c>
    </row>
    <row r="952" spans="2:2">
      <c r="B952" s="3" t="str">
        <f ca="1">IFERROR(__xludf.DUMMYFUNCTION("IF(ISBLANK(A952),"""",GOOGLETRANSLATE(A952,""en"",""fr""))"),"")</f>
        <v/>
      </c>
    </row>
    <row r="953" spans="2:2">
      <c r="B953" s="3" t="str">
        <f ca="1">IFERROR(__xludf.DUMMYFUNCTION("IF(ISBLANK(A953),"""",GOOGLETRANSLATE(A953,""en"",""fr""))"),"")</f>
        <v/>
      </c>
    </row>
    <row r="954" spans="2:2">
      <c r="B954" s="3" t="str">
        <f ca="1">IFERROR(__xludf.DUMMYFUNCTION("IF(ISBLANK(A954),"""",GOOGLETRANSLATE(A954,""en"",""fr""))"),"")</f>
        <v/>
      </c>
    </row>
    <row r="955" spans="2:2">
      <c r="B955" s="3" t="str">
        <f ca="1">IFERROR(__xludf.DUMMYFUNCTION("IF(ISBLANK(A955),"""",GOOGLETRANSLATE(A955,""en"",""fr""))"),"")</f>
        <v/>
      </c>
    </row>
    <row r="956" spans="2:2">
      <c r="B956" s="3" t="str">
        <f ca="1">IFERROR(__xludf.DUMMYFUNCTION("IF(ISBLANK(A956),"""",GOOGLETRANSLATE(A956,""en"",""fr""))"),"")</f>
        <v/>
      </c>
    </row>
    <row r="957" spans="2:2">
      <c r="B957" s="3" t="str">
        <f ca="1">IFERROR(__xludf.DUMMYFUNCTION("IF(ISBLANK(A957),"""",GOOGLETRANSLATE(A957,""en"",""fr""))"),"")</f>
        <v/>
      </c>
    </row>
    <row r="958" spans="2:2">
      <c r="B958" s="3" t="str">
        <f ca="1">IFERROR(__xludf.DUMMYFUNCTION("IF(ISBLANK(A958),"""",GOOGLETRANSLATE(A958,""en"",""fr""))"),"")</f>
        <v/>
      </c>
    </row>
    <row r="959" spans="2:2">
      <c r="B959" s="3" t="str">
        <f ca="1">IFERROR(__xludf.DUMMYFUNCTION("IF(ISBLANK(A959),"""",GOOGLETRANSLATE(A959,""en"",""fr""))"),"")</f>
        <v/>
      </c>
    </row>
    <row r="960" spans="2:2">
      <c r="B960" s="3" t="str">
        <f ca="1">IFERROR(__xludf.DUMMYFUNCTION("IF(ISBLANK(A960),"""",GOOGLETRANSLATE(A960,""en"",""fr""))"),"")</f>
        <v/>
      </c>
    </row>
    <row r="961" spans="2:2">
      <c r="B961" s="3" t="str">
        <f ca="1">IFERROR(__xludf.DUMMYFUNCTION("IF(ISBLANK(A961),"""",GOOGLETRANSLATE(A961,""en"",""fr""))"),"")</f>
        <v/>
      </c>
    </row>
    <row r="962" spans="2:2">
      <c r="B962" s="3" t="str">
        <f ca="1">IFERROR(__xludf.DUMMYFUNCTION("IF(ISBLANK(A962),"""",GOOGLETRANSLATE(A962,""en"",""fr""))"),"")</f>
        <v/>
      </c>
    </row>
    <row r="963" spans="2:2">
      <c r="B963" s="3" t="str">
        <f ca="1">IFERROR(__xludf.DUMMYFUNCTION("IF(ISBLANK(A963),"""",GOOGLETRANSLATE(A963,""en"",""fr""))"),"")</f>
        <v/>
      </c>
    </row>
    <row r="964" spans="2:2">
      <c r="B964" s="3" t="str">
        <f ca="1">IFERROR(__xludf.DUMMYFUNCTION("IF(ISBLANK(A964),"""",GOOGLETRANSLATE(A964,""en"",""fr""))"),"")</f>
        <v/>
      </c>
    </row>
    <row r="965" spans="2:2">
      <c r="B965" s="3" t="str">
        <f ca="1">IFERROR(__xludf.DUMMYFUNCTION("IF(ISBLANK(A965),"""",GOOGLETRANSLATE(A965,""en"",""fr""))"),"")</f>
        <v/>
      </c>
    </row>
    <row r="966" spans="2:2">
      <c r="B966" s="3" t="str">
        <f ca="1">IFERROR(__xludf.DUMMYFUNCTION("IF(ISBLANK(A966),"""",GOOGLETRANSLATE(A966,""en"",""fr""))"),"")</f>
        <v/>
      </c>
    </row>
    <row r="967" spans="2:2">
      <c r="B967" s="3" t="str">
        <f ca="1">IFERROR(__xludf.DUMMYFUNCTION("IF(ISBLANK(A967),"""",GOOGLETRANSLATE(A967,""en"",""fr""))"),"")</f>
        <v/>
      </c>
    </row>
    <row r="968" spans="2:2">
      <c r="B968" s="3" t="str">
        <f ca="1">IFERROR(__xludf.DUMMYFUNCTION("IF(ISBLANK(A968),"""",GOOGLETRANSLATE(A968,""en"",""fr""))"),"")</f>
        <v/>
      </c>
    </row>
    <row r="969" spans="2:2">
      <c r="B969" s="3" t="str">
        <f ca="1">IFERROR(__xludf.DUMMYFUNCTION("IF(ISBLANK(A969),"""",GOOGLETRANSLATE(A969,""en"",""fr""))"),"")</f>
        <v/>
      </c>
    </row>
    <row r="970" spans="2:2">
      <c r="B970" s="3" t="str">
        <f ca="1">IFERROR(__xludf.DUMMYFUNCTION("IF(ISBLANK(A970),"""",GOOGLETRANSLATE(A970,""en"",""fr""))"),"")</f>
        <v/>
      </c>
    </row>
    <row r="971" spans="2:2">
      <c r="B971" s="3" t="str">
        <f ca="1">IFERROR(__xludf.DUMMYFUNCTION("IF(ISBLANK(A971),"""",GOOGLETRANSLATE(A971,""en"",""fr""))"),"")</f>
        <v/>
      </c>
    </row>
    <row r="972" spans="2:2">
      <c r="B972" s="3" t="str">
        <f ca="1">IFERROR(__xludf.DUMMYFUNCTION("IF(ISBLANK(A972),"""",GOOGLETRANSLATE(A972,""en"",""fr""))"),"")</f>
        <v/>
      </c>
    </row>
    <row r="973" spans="2:2">
      <c r="B973" s="3" t="str">
        <f ca="1">IFERROR(__xludf.DUMMYFUNCTION("IF(ISBLANK(A973),"""",GOOGLETRANSLATE(A973,""en"",""fr""))"),"")</f>
        <v/>
      </c>
    </row>
    <row r="974" spans="2:2">
      <c r="B974" s="3" t="str">
        <f ca="1">IFERROR(__xludf.DUMMYFUNCTION("IF(ISBLANK(A974),"""",GOOGLETRANSLATE(A974,""en"",""fr""))"),"")</f>
        <v/>
      </c>
    </row>
    <row r="975" spans="2:2">
      <c r="B975" s="3" t="str">
        <f ca="1">IFERROR(__xludf.DUMMYFUNCTION("IF(ISBLANK(A975),"""",GOOGLETRANSLATE(A975,""en"",""fr""))"),"")</f>
        <v/>
      </c>
    </row>
    <row r="976" spans="2:2">
      <c r="B976" s="3" t="str">
        <f ca="1">IFERROR(__xludf.DUMMYFUNCTION("IF(ISBLANK(A976),"""",GOOGLETRANSLATE(A976,""en"",""fr""))"),"")</f>
        <v/>
      </c>
    </row>
    <row r="977" spans="2:2">
      <c r="B977" s="3" t="str">
        <f ca="1">IFERROR(__xludf.DUMMYFUNCTION("IF(ISBLANK(A977),"""",GOOGLETRANSLATE(A977,""en"",""fr""))"),"")</f>
        <v/>
      </c>
    </row>
    <row r="978" spans="2:2">
      <c r="B978" s="3" t="str">
        <f ca="1">IFERROR(__xludf.DUMMYFUNCTION("IF(ISBLANK(A978),"""",GOOGLETRANSLATE(A978,""en"",""fr""))"),"")</f>
        <v/>
      </c>
    </row>
    <row r="979" spans="2:2">
      <c r="B979" s="3" t="str">
        <f ca="1">IFERROR(__xludf.DUMMYFUNCTION("IF(ISBLANK(A979),"""",GOOGLETRANSLATE(A979,""en"",""fr""))"),"")</f>
        <v/>
      </c>
    </row>
    <row r="980" spans="2:2">
      <c r="B980" s="3" t="str">
        <f ca="1">IFERROR(__xludf.DUMMYFUNCTION("IF(ISBLANK(A980),"""",GOOGLETRANSLATE(A980,""en"",""fr""))"),"")</f>
        <v/>
      </c>
    </row>
    <row r="981" spans="2:2">
      <c r="B981" s="3" t="str">
        <f ca="1">IFERROR(__xludf.DUMMYFUNCTION("IF(ISBLANK(A981),"""",GOOGLETRANSLATE(A981,""en"",""fr""))"),"")</f>
        <v/>
      </c>
    </row>
    <row r="982" spans="2:2">
      <c r="B982" s="3" t="str">
        <f ca="1">IFERROR(__xludf.DUMMYFUNCTION("IF(ISBLANK(A982),"""",GOOGLETRANSLATE(A982,""en"",""fr""))"),"")</f>
        <v/>
      </c>
    </row>
    <row r="983" spans="2:2">
      <c r="B983" s="3" t="str">
        <f ca="1">IFERROR(__xludf.DUMMYFUNCTION("IF(ISBLANK(A983),"""",GOOGLETRANSLATE(A983,""en"",""fr""))"),"")</f>
        <v/>
      </c>
    </row>
    <row r="984" spans="2:2">
      <c r="B984" s="3" t="str">
        <f ca="1">IFERROR(__xludf.DUMMYFUNCTION("IF(ISBLANK(A984),"""",GOOGLETRANSLATE(A984,""en"",""fr""))"),"")</f>
        <v/>
      </c>
    </row>
    <row r="985" spans="2:2">
      <c r="B985" s="3" t="str">
        <f ca="1">IFERROR(__xludf.DUMMYFUNCTION("IF(ISBLANK(A985),"""",GOOGLETRANSLATE(A985,""en"",""fr""))"),"")</f>
        <v/>
      </c>
    </row>
    <row r="986" spans="2:2">
      <c r="B986" s="3" t="str">
        <f ca="1">IFERROR(__xludf.DUMMYFUNCTION("IF(ISBLANK(A986),"""",GOOGLETRANSLATE(A986,""en"",""fr""))"),"")</f>
        <v/>
      </c>
    </row>
    <row r="987" spans="2:2">
      <c r="B987" s="3" t="str">
        <f ca="1">IFERROR(__xludf.DUMMYFUNCTION("IF(ISBLANK(A987),"""",GOOGLETRANSLATE(A987,""en"",""fr""))"),"")</f>
        <v/>
      </c>
    </row>
    <row r="988" spans="2:2">
      <c r="B988" s="3" t="str">
        <f ca="1">IFERROR(__xludf.DUMMYFUNCTION("IF(ISBLANK(A988),"""",GOOGLETRANSLATE(A988,""en"",""fr""))"),"")</f>
        <v/>
      </c>
    </row>
    <row r="989" spans="2:2">
      <c r="B989" s="3" t="str">
        <f ca="1">IFERROR(__xludf.DUMMYFUNCTION("IF(ISBLANK(A989),"""",GOOGLETRANSLATE(A989,""en"",""fr""))"),"")</f>
        <v/>
      </c>
    </row>
    <row r="990" spans="2:2">
      <c r="B990" s="3" t="str">
        <f ca="1">IFERROR(__xludf.DUMMYFUNCTION("IF(ISBLANK(A990),"""",GOOGLETRANSLATE(A990,""en"",""fr""))"),"")</f>
        <v/>
      </c>
    </row>
    <row r="991" spans="2:2">
      <c r="B991" s="3" t="str">
        <f ca="1">IFERROR(__xludf.DUMMYFUNCTION("IF(ISBLANK(A991),"""",GOOGLETRANSLATE(A991,""en"",""fr""))"),"")</f>
        <v/>
      </c>
    </row>
    <row r="992" spans="2:2">
      <c r="B992" s="3" t="str">
        <f ca="1">IFERROR(__xludf.DUMMYFUNCTION("IF(ISBLANK(A992),"""",GOOGLETRANSLATE(A992,""en"",""fr""))"),"")</f>
        <v/>
      </c>
    </row>
    <row r="993" spans="2:2">
      <c r="B993" s="3" t="str">
        <f ca="1">IFERROR(__xludf.DUMMYFUNCTION("IF(ISBLANK(A993),"""",GOOGLETRANSLATE(A993,""en"",""fr""))"),"")</f>
        <v/>
      </c>
    </row>
    <row r="994" spans="2:2">
      <c r="B994" s="3" t="str">
        <f ca="1">IFERROR(__xludf.DUMMYFUNCTION("IF(ISBLANK(A994),"""",GOOGLETRANSLATE(A994,""en"",""fr""))"),"")</f>
        <v/>
      </c>
    </row>
    <row r="995" spans="2:2">
      <c r="B995" s="3" t="str">
        <f ca="1">IFERROR(__xludf.DUMMYFUNCTION("IF(ISBLANK(A995),"""",GOOGLETRANSLATE(A995,""en"",""fr""))"),"")</f>
        <v/>
      </c>
    </row>
    <row r="996" spans="2:2">
      <c r="B996" s="3" t="str">
        <f ca="1">IFERROR(__xludf.DUMMYFUNCTION("IF(ISBLANK(A996),"""",GOOGLETRANSLATE(A996,""en"",""fr""))"),"")</f>
        <v/>
      </c>
    </row>
    <row r="997" spans="2:2">
      <c r="B997" s="3" t="str">
        <f ca="1">IFERROR(__xludf.DUMMYFUNCTION("IF(ISBLANK(A997),"""",GOOGLETRANSLATE(A997,""en"",""fr""))"),"")</f>
        <v/>
      </c>
    </row>
    <row r="998" spans="2:2">
      <c r="B998" s="3" t="str">
        <f ca="1">IFERROR(__xludf.DUMMYFUNCTION("IF(ISBLANK(A998),"""",GOOGLETRANSLATE(A998,""en"",""fr""))"),"")</f>
        <v/>
      </c>
    </row>
    <row r="999" spans="2:2">
      <c r="B999" s="3" t="str">
        <f ca="1">IFERROR(__xludf.DUMMYFUNCTION("IF(ISBLANK(A999),"""",GOOGLETRANSLATE(A999,""en"",""fr""))"),"")</f>
        <v/>
      </c>
    </row>
    <row r="1000" spans="2:2">
      <c r="B1000" s="3" t="str">
        <f ca="1">IFERROR(__xludf.DUMMYFUNCTION("IF(ISBLANK(A1000),"""",GOOGLETRANSLATE(A1000,""en"",""fr""))"),"")</f>
        <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B1000"/>
  <sheetViews>
    <sheetView tabSelected="1" workbookViewId="0"/>
  </sheetViews>
  <sheetFormatPr defaultColWidth="12.6640625" defaultRowHeight="15.75" customHeight="1"/>
  <cols>
    <col min="1" max="1" width="97.109375" customWidth="1"/>
  </cols>
  <sheetData>
    <row r="1" spans="1:2">
      <c r="A1" s="1" t="s">
        <v>0</v>
      </c>
      <c r="B1" s="1"/>
    </row>
    <row r="2" spans="1:2">
      <c r="B2" s="3" t="str">
        <f ca="1">IFERROR(__xludf.DUMMYFUNCTION("IF(ISBLANK(A2),"""",GOOGLETRANSLATE(A2,""en"",""fr""))"),"")</f>
        <v/>
      </c>
    </row>
    <row r="3" spans="1:2">
      <c r="B3" s="3" t="str">
        <f ca="1">IFERROR(__xludf.DUMMYFUNCTION("IF(ISBLANK(A3),"""",GOOGLETRANSLATE(A3,""en"",""fr""))"),"")</f>
        <v/>
      </c>
    </row>
    <row r="4" spans="1:2">
      <c r="B4" s="3" t="str">
        <f ca="1">IFERROR(__xludf.DUMMYFUNCTION("IF(ISBLANK(A4),"""",GOOGLETRANSLATE(A4,""en"",""fr""))"),"")</f>
        <v/>
      </c>
    </row>
    <row r="5" spans="1:2">
      <c r="B5" s="3" t="str">
        <f ca="1">IFERROR(__xludf.DUMMYFUNCTION("IF(ISBLANK(A5),"""",GOOGLETRANSLATE(A5,""en"",""fr""))"),"")</f>
        <v/>
      </c>
    </row>
    <row r="6" spans="1:2">
      <c r="B6" s="3" t="str">
        <f ca="1">IFERROR(__xludf.DUMMYFUNCTION("IF(ISBLANK(A6),"""",GOOGLETRANSLATE(A6,""en"",""fr""))"),"")</f>
        <v/>
      </c>
    </row>
    <row r="7" spans="1:2">
      <c r="B7" s="3" t="str">
        <f ca="1">IFERROR(__xludf.DUMMYFUNCTION("IF(ISBLANK(A7),"""",GOOGLETRANSLATE(A7,""en"",""fr""))"),"")</f>
        <v/>
      </c>
    </row>
    <row r="8" spans="1:2">
      <c r="B8" s="3" t="str">
        <f ca="1">IFERROR(__xludf.DUMMYFUNCTION("IF(ISBLANK(A8),"""",GOOGLETRANSLATE(A8,""en"",""fr""))"),"")</f>
        <v/>
      </c>
    </row>
    <row r="9" spans="1:2">
      <c r="B9" s="3" t="str">
        <f ca="1">IFERROR(__xludf.DUMMYFUNCTION("IF(ISBLANK(A9),"""",GOOGLETRANSLATE(A9,""en"",""fr""))"),"")</f>
        <v/>
      </c>
    </row>
    <row r="10" spans="1:2">
      <c r="B10" s="3" t="str">
        <f ca="1">IFERROR(__xludf.DUMMYFUNCTION("IF(ISBLANK(A10),"""",GOOGLETRANSLATE(A10,""en"",""fr""))"),"")</f>
        <v/>
      </c>
    </row>
    <row r="11" spans="1:2">
      <c r="B11" s="3" t="str">
        <f ca="1">IFERROR(__xludf.DUMMYFUNCTION("IF(ISBLANK(A11),"""",GOOGLETRANSLATE(A11,""en"",""fr""))"),"")</f>
        <v/>
      </c>
    </row>
    <row r="12" spans="1:2">
      <c r="B12" s="3" t="str">
        <f ca="1">IFERROR(__xludf.DUMMYFUNCTION("IF(ISBLANK(A12),"""",GOOGLETRANSLATE(A12,""en"",""fr""))"),"")</f>
        <v/>
      </c>
    </row>
    <row r="13" spans="1:2">
      <c r="B13" s="3" t="str">
        <f ca="1">IFERROR(__xludf.DUMMYFUNCTION("IF(ISBLANK(A13),"""",GOOGLETRANSLATE(A13,""en"",""fr""))"),"")</f>
        <v/>
      </c>
    </row>
    <row r="14" spans="1:2">
      <c r="B14" s="3" t="str">
        <f ca="1">IFERROR(__xludf.DUMMYFUNCTION("IF(ISBLANK(A14),"""",GOOGLETRANSLATE(A14,""en"",""fr""))"),"")</f>
        <v/>
      </c>
    </row>
    <row r="15" spans="1:2">
      <c r="B15" s="3" t="str">
        <f ca="1">IFERROR(__xludf.DUMMYFUNCTION("IF(ISBLANK(A15),"""",GOOGLETRANSLATE(A15,""en"",""fr""))"),"")</f>
        <v/>
      </c>
    </row>
    <row r="16" spans="1:2">
      <c r="B16" s="3" t="str">
        <f ca="1">IFERROR(__xludf.DUMMYFUNCTION("IF(ISBLANK(A16),"""",GOOGLETRANSLATE(A16,""en"",""fr""))"),"")</f>
        <v/>
      </c>
    </row>
    <row r="17" spans="2:2">
      <c r="B17" s="3" t="str">
        <f ca="1">IFERROR(__xludf.DUMMYFUNCTION("IF(ISBLANK(A17),"""",GOOGLETRANSLATE(A17,""en"",""fr""))"),"")</f>
        <v/>
      </c>
    </row>
    <row r="18" spans="2:2">
      <c r="B18" s="3" t="str">
        <f ca="1">IFERROR(__xludf.DUMMYFUNCTION("IF(ISBLANK(A18),"""",GOOGLETRANSLATE(A18,""en"",""fr""))"),"")</f>
        <v/>
      </c>
    </row>
    <row r="19" spans="2:2">
      <c r="B19" s="3" t="str">
        <f ca="1">IFERROR(__xludf.DUMMYFUNCTION("IF(ISBLANK(A19),"""",GOOGLETRANSLATE(A19,""en"",""fr""))"),"")</f>
        <v/>
      </c>
    </row>
    <row r="20" spans="2:2">
      <c r="B20" s="3" t="str">
        <f ca="1">IFERROR(__xludf.DUMMYFUNCTION("IF(ISBLANK(A20),"""",GOOGLETRANSLATE(A20,""en"",""fr""))"),"")</f>
        <v/>
      </c>
    </row>
    <row r="21" spans="2:2">
      <c r="B21" s="3" t="str">
        <f ca="1">IFERROR(__xludf.DUMMYFUNCTION("IF(ISBLANK(A21),"""",GOOGLETRANSLATE(A21,""en"",""fr""))"),"")</f>
        <v/>
      </c>
    </row>
    <row r="22" spans="2:2">
      <c r="B22" s="3" t="str">
        <f ca="1">IFERROR(__xludf.DUMMYFUNCTION("IF(ISBLANK(A22),"""",GOOGLETRANSLATE(A22,""en"",""fr""))"),"")</f>
        <v/>
      </c>
    </row>
    <row r="23" spans="2:2">
      <c r="B23" s="3" t="str">
        <f ca="1">IFERROR(__xludf.DUMMYFUNCTION("IF(ISBLANK(A23),"""",GOOGLETRANSLATE(A23,""en"",""fr""))"),"")</f>
        <v/>
      </c>
    </row>
    <row r="24" spans="2:2">
      <c r="B24" s="3" t="str">
        <f ca="1">IFERROR(__xludf.DUMMYFUNCTION("IF(ISBLANK(A24),"""",GOOGLETRANSLATE(A24,""en"",""fr""))"),"")</f>
        <v/>
      </c>
    </row>
    <row r="25" spans="2:2">
      <c r="B25" s="3" t="str">
        <f ca="1">IFERROR(__xludf.DUMMYFUNCTION("IF(ISBLANK(A25),"""",GOOGLETRANSLATE(A25,""en"",""fr""))"),"")</f>
        <v/>
      </c>
    </row>
    <row r="26" spans="2:2">
      <c r="B26" s="3" t="str">
        <f ca="1">IFERROR(__xludf.DUMMYFUNCTION("IF(ISBLANK(A26),"""",GOOGLETRANSLATE(A26,""en"",""fr""))"),"")</f>
        <v/>
      </c>
    </row>
    <row r="27" spans="2:2">
      <c r="B27" s="3" t="str">
        <f ca="1">IFERROR(__xludf.DUMMYFUNCTION("IF(ISBLANK(A27),"""",GOOGLETRANSLATE(A27,""en"",""fr""))"),"")</f>
        <v/>
      </c>
    </row>
    <row r="28" spans="2:2">
      <c r="B28" s="3" t="str">
        <f ca="1">IFERROR(__xludf.DUMMYFUNCTION("IF(ISBLANK(A28),"""",GOOGLETRANSLATE(A28,""en"",""fr""))"),"")</f>
        <v/>
      </c>
    </row>
    <row r="29" spans="2:2">
      <c r="B29" s="3" t="str">
        <f ca="1">IFERROR(__xludf.DUMMYFUNCTION("IF(ISBLANK(A29),"""",GOOGLETRANSLATE(A29,""en"",""fr""))"),"")</f>
        <v/>
      </c>
    </row>
    <row r="30" spans="2:2">
      <c r="B30" s="3" t="str">
        <f ca="1">IFERROR(__xludf.DUMMYFUNCTION("IF(ISBLANK(A30),"""",GOOGLETRANSLATE(A30,""en"",""fr""))"),"")</f>
        <v/>
      </c>
    </row>
    <row r="31" spans="2:2">
      <c r="B31" s="3" t="str">
        <f ca="1">IFERROR(__xludf.DUMMYFUNCTION("IF(ISBLANK(A31),"""",GOOGLETRANSLATE(A31,""en"",""fr""))"),"")</f>
        <v/>
      </c>
    </row>
    <row r="32" spans="2:2">
      <c r="B32" s="3" t="str">
        <f ca="1">IFERROR(__xludf.DUMMYFUNCTION("IF(ISBLANK(A32),"""",GOOGLETRANSLATE(A32,""en"",""fr""))"),"")</f>
        <v/>
      </c>
    </row>
    <row r="33" spans="2:2">
      <c r="B33" s="3" t="str">
        <f ca="1">IFERROR(__xludf.DUMMYFUNCTION("IF(ISBLANK(A33),"""",GOOGLETRANSLATE(A33,""en"",""fr""))"),"")</f>
        <v/>
      </c>
    </row>
    <row r="34" spans="2:2">
      <c r="B34" s="3" t="str">
        <f ca="1">IFERROR(__xludf.DUMMYFUNCTION("IF(ISBLANK(A34),"""",GOOGLETRANSLATE(A34,""en"",""fr""))"),"")</f>
        <v/>
      </c>
    </row>
    <row r="35" spans="2:2">
      <c r="B35" s="3" t="str">
        <f ca="1">IFERROR(__xludf.DUMMYFUNCTION("IF(ISBLANK(A35),"""",GOOGLETRANSLATE(A35,""en"",""fr""))"),"")</f>
        <v/>
      </c>
    </row>
    <row r="36" spans="2:2">
      <c r="B36" s="3" t="str">
        <f ca="1">IFERROR(__xludf.DUMMYFUNCTION("IF(ISBLANK(A36),"""",GOOGLETRANSLATE(A36,""en"",""fr""))"),"")</f>
        <v/>
      </c>
    </row>
    <row r="37" spans="2:2">
      <c r="B37" s="3" t="str">
        <f ca="1">IFERROR(__xludf.DUMMYFUNCTION("IF(ISBLANK(A37),"""",GOOGLETRANSLATE(A37,""en"",""fr""))"),"")</f>
        <v/>
      </c>
    </row>
    <row r="38" spans="2:2">
      <c r="B38" s="3" t="str">
        <f ca="1">IFERROR(__xludf.DUMMYFUNCTION("IF(ISBLANK(A38),"""",GOOGLETRANSLATE(A38,""en"",""fr""))"),"")</f>
        <v/>
      </c>
    </row>
    <row r="39" spans="2:2">
      <c r="B39" s="3" t="str">
        <f ca="1">IFERROR(__xludf.DUMMYFUNCTION("IF(ISBLANK(A39),"""",GOOGLETRANSLATE(A39,""en"",""fr""))"),"")</f>
        <v/>
      </c>
    </row>
    <row r="40" spans="2:2">
      <c r="B40" s="3" t="str">
        <f ca="1">IFERROR(__xludf.DUMMYFUNCTION("IF(ISBLANK(A40),"""",GOOGLETRANSLATE(A40,""en"",""fr""))"),"")</f>
        <v/>
      </c>
    </row>
    <row r="41" spans="2:2">
      <c r="B41" s="3" t="str">
        <f ca="1">IFERROR(__xludf.DUMMYFUNCTION("IF(ISBLANK(A41),"""",GOOGLETRANSLATE(A41,""en"",""fr""))"),"")</f>
        <v/>
      </c>
    </row>
    <row r="42" spans="2:2">
      <c r="B42" s="3" t="str">
        <f ca="1">IFERROR(__xludf.DUMMYFUNCTION("IF(ISBLANK(A42),"""",GOOGLETRANSLATE(A42,""en"",""fr""))"),"")</f>
        <v/>
      </c>
    </row>
    <row r="43" spans="2:2">
      <c r="B43" s="3" t="str">
        <f ca="1">IFERROR(__xludf.DUMMYFUNCTION("IF(ISBLANK(A43),"""",GOOGLETRANSLATE(A43,""en"",""fr""))"),"")</f>
        <v/>
      </c>
    </row>
    <row r="44" spans="2:2">
      <c r="B44" s="3" t="str">
        <f ca="1">IFERROR(__xludf.DUMMYFUNCTION("IF(ISBLANK(A44),"""",GOOGLETRANSLATE(A44,""en"",""fr""))"),"")</f>
        <v/>
      </c>
    </row>
    <row r="45" spans="2:2">
      <c r="B45" s="3" t="str">
        <f ca="1">IFERROR(__xludf.DUMMYFUNCTION("IF(ISBLANK(A45),"""",GOOGLETRANSLATE(A45,""en"",""fr""))"),"")</f>
        <v/>
      </c>
    </row>
    <row r="46" spans="2:2">
      <c r="B46" s="3" t="str">
        <f ca="1">IFERROR(__xludf.DUMMYFUNCTION("IF(ISBLANK(A46),"""",GOOGLETRANSLATE(A46,""en"",""fr""))"),"")</f>
        <v/>
      </c>
    </row>
    <row r="47" spans="2:2">
      <c r="B47" s="3" t="str">
        <f ca="1">IFERROR(__xludf.DUMMYFUNCTION("IF(ISBLANK(A47),"""",GOOGLETRANSLATE(A47,""en"",""fr""))"),"")</f>
        <v/>
      </c>
    </row>
    <row r="48" spans="2:2">
      <c r="B48" s="3" t="str">
        <f ca="1">IFERROR(__xludf.DUMMYFUNCTION("IF(ISBLANK(A48),"""",GOOGLETRANSLATE(A48,""en"",""fr""))"),"")</f>
        <v/>
      </c>
    </row>
    <row r="49" spans="2:2">
      <c r="B49" s="3" t="str">
        <f ca="1">IFERROR(__xludf.DUMMYFUNCTION("IF(ISBLANK(A49),"""",GOOGLETRANSLATE(A49,""en"",""fr""))"),"")</f>
        <v/>
      </c>
    </row>
    <row r="50" spans="2:2">
      <c r="B50" s="3" t="str">
        <f ca="1">IFERROR(__xludf.DUMMYFUNCTION("IF(ISBLANK(A50),"""",GOOGLETRANSLATE(A50,""en"",""fr""))"),"")</f>
        <v/>
      </c>
    </row>
    <row r="51" spans="2:2">
      <c r="B51" s="3" t="str">
        <f ca="1">IFERROR(__xludf.DUMMYFUNCTION("IF(ISBLANK(A51),"""",GOOGLETRANSLATE(A51,""en"",""fr""))"),"")</f>
        <v/>
      </c>
    </row>
    <row r="52" spans="2:2">
      <c r="B52" s="3" t="str">
        <f ca="1">IFERROR(__xludf.DUMMYFUNCTION("IF(ISBLANK(A52),"""",GOOGLETRANSLATE(A52,""en"",""fr""))"),"")</f>
        <v/>
      </c>
    </row>
    <row r="53" spans="2:2">
      <c r="B53" s="3" t="str">
        <f ca="1">IFERROR(__xludf.DUMMYFUNCTION("IF(ISBLANK(A53),"""",GOOGLETRANSLATE(A53,""en"",""fr""))"),"")</f>
        <v/>
      </c>
    </row>
    <row r="54" spans="2:2">
      <c r="B54" s="3" t="str">
        <f ca="1">IFERROR(__xludf.DUMMYFUNCTION("IF(ISBLANK(A54),"""",GOOGLETRANSLATE(A54,""en"",""fr""))"),"")</f>
        <v/>
      </c>
    </row>
    <row r="55" spans="2:2">
      <c r="B55" s="3" t="str">
        <f ca="1">IFERROR(__xludf.DUMMYFUNCTION("IF(ISBLANK(A55),"""",GOOGLETRANSLATE(A55,""en"",""fr""))"),"")</f>
        <v/>
      </c>
    </row>
    <row r="56" spans="2:2">
      <c r="B56" s="3" t="str">
        <f ca="1">IFERROR(__xludf.DUMMYFUNCTION("IF(ISBLANK(A56),"""",GOOGLETRANSLATE(A56,""en"",""fr""))"),"")</f>
        <v/>
      </c>
    </row>
    <row r="57" spans="2:2">
      <c r="B57" s="3" t="str">
        <f ca="1">IFERROR(__xludf.DUMMYFUNCTION("IF(ISBLANK(A57),"""",GOOGLETRANSLATE(A57,""en"",""fr""))"),"")</f>
        <v/>
      </c>
    </row>
    <row r="58" spans="2:2">
      <c r="B58" s="3" t="str">
        <f ca="1">IFERROR(__xludf.DUMMYFUNCTION("IF(ISBLANK(A58),"""",GOOGLETRANSLATE(A58,""en"",""fr""))"),"")</f>
        <v/>
      </c>
    </row>
    <row r="59" spans="2:2">
      <c r="B59" s="3" t="str">
        <f ca="1">IFERROR(__xludf.DUMMYFUNCTION("IF(ISBLANK(A59),"""",GOOGLETRANSLATE(A59,""en"",""fr""))"),"")</f>
        <v/>
      </c>
    </row>
    <row r="60" spans="2:2">
      <c r="B60" s="3" t="str">
        <f ca="1">IFERROR(__xludf.DUMMYFUNCTION("IF(ISBLANK(A60),"""",GOOGLETRANSLATE(A60,""en"",""fr""))"),"")</f>
        <v/>
      </c>
    </row>
    <row r="61" spans="2:2">
      <c r="B61" s="3" t="str">
        <f ca="1">IFERROR(__xludf.DUMMYFUNCTION("IF(ISBLANK(A61),"""",GOOGLETRANSLATE(A61,""en"",""fr""))"),"")</f>
        <v/>
      </c>
    </row>
    <row r="62" spans="2:2">
      <c r="B62" s="3" t="str">
        <f ca="1">IFERROR(__xludf.DUMMYFUNCTION("IF(ISBLANK(A62),"""",GOOGLETRANSLATE(A62,""en"",""fr""))"),"")</f>
        <v/>
      </c>
    </row>
    <row r="63" spans="2:2">
      <c r="B63" s="3" t="str">
        <f ca="1">IFERROR(__xludf.DUMMYFUNCTION("IF(ISBLANK(A63),"""",GOOGLETRANSLATE(A63,""en"",""fr""))"),"")</f>
        <v/>
      </c>
    </row>
    <row r="64" spans="2:2">
      <c r="B64" s="3" t="str">
        <f ca="1">IFERROR(__xludf.DUMMYFUNCTION("IF(ISBLANK(A64),"""",GOOGLETRANSLATE(A64,""en"",""fr""))"),"")</f>
        <v/>
      </c>
    </row>
    <row r="65" spans="2:2">
      <c r="B65" s="3" t="str">
        <f ca="1">IFERROR(__xludf.DUMMYFUNCTION("IF(ISBLANK(A65),"""",GOOGLETRANSLATE(A65,""en"",""fr""))"),"")</f>
        <v/>
      </c>
    </row>
    <row r="66" spans="2:2">
      <c r="B66" s="3" t="str">
        <f ca="1">IFERROR(__xludf.DUMMYFUNCTION("IF(ISBLANK(A66),"""",GOOGLETRANSLATE(A66,""en"",""fr""))"),"")</f>
        <v/>
      </c>
    </row>
    <row r="67" spans="2:2">
      <c r="B67" s="3" t="str">
        <f ca="1">IFERROR(__xludf.DUMMYFUNCTION("IF(ISBLANK(A67),"""",GOOGLETRANSLATE(A67,""en"",""fr""))"),"")</f>
        <v/>
      </c>
    </row>
    <row r="68" spans="2:2">
      <c r="B68" s="3" t="str">
        <f ca="1">IFERROR(__xludf.DUMMYFUNCTION("IF(ISBLANK(A68),"""",GOOGLETRANSLATE(A68,""en"",""fr""))"),"")</f>
        <v/>
      </c>
    </row>
    <row r="69" spans="2:2">
      <c r="B69" s="3" t="str">
        <f ca="1">IFERROR(__xludf.DUMMYFUNCTION("IF(ISBLANK(A69),"""",GOOGLETRANSLATE(A69,""en"",""fr""))"),"")</f>
        <v/>
      </c>
    </row>
    <row r="70" spans="2:2">
      <c r="B70" s="3" t="str">
        <f ca="1">IFERROR(__xludf.DUMMYFUNCTION("IF(ISBLANK(A70),"""",GOOGLETRANSLATE(A70,""en"",""fr""))"),"")</f>
        <v/>
      </c>
    </row>
    <row r="71" spans="2:2">
      <c r="B71" s="3" t="str">
        <f ca="1">IFERROR(__xludf.DUMMYFUNCTION("IF(ISBLANK(A71),"""",GOOGLETRANSLATE(A71,""en"",""fr""))"),"")</f>
        <v/>
      </c>
    </row>
    <row r="72" spans="2:2">
      <c r="B72" s="3" t="str">
        <f ca="1">IFERROR(__xludf.DUMMYFUNCTION("IF(ISBLANK(A72),"""",GOOGLETRANSLATE(A72,""en"",""fr""))"),"")</f>
        <v/>
      </c>
    </row>
    <row r="73" spans="2:2">
      <c r="B73" s="3" t="str">
        <f ca="1">IFERROR(__xludf.DUMMYFUNCTION("IF(ISBLANK(A73),"""",GOOGLETRANSLATE(A73,""en"",""fr""))"),"")</f>
        <v/>
      </c>
    </row>
    <row r="74" spans="2:2">
      <c r="B74" s="3" t="str">
        <f ca="1">IFERROR(__xludf.DUMMYFUNCTION("IF(ISBLANK(A74),"""",GOOGLETRANSLATE(A74,""en"",""fr""))"),"")</f>
        <v/>
      </c>
    </row>
    <row r="75" spans="2:2">
      <c r="B75" s="3" t="str">
        <f ca="1">IFERROR(__xludf.DUMMYFUNCTION("IF(ISBLANK(A75),"""",GOOGLETRANSLATE(A75,""en"",""fr""))"),"")</f>
        <v/>
      </c>
    </row>
    <row r="76" spans="2:2">
      <c r="B76" s="3" t="str">
        <f ca="1">IFERROR(__xludf.DUMMYFUNCTION("IF(ISBLANK(A76),"""",GOOGLETRANSLATE(A76,""en"",""fr""))"),"")</f>
        <v/>
      </c>
    </row>
    <row r="77" spans="2:2">
      <c r="B77" s="3" t="str">
        <f ca="1">IFERROR(__xludf.DUMMYFUNCTION("IF(ISBLANK(A77),"""",GOOGLETRANSLATE(A77,""en"",""fr""))"),"")</f>
        <v/>
      </c>
    </row>
    <row r="78" spans="2:2">
      <c r="B78" s="3" t="str">
        <f ca="1">IFERROR(__xludf.DUMMYFUNCTION("IF(ISBLANK(A78),"""",GOOGLETRANSLATE(A78,""en"",""fr""))"),"")</f>
        <v/>
      </c>
    </row>
    <row r="79" spans="2:2">
      <c r="B79" s="3" t="str">
        <f ca="1">IFERROR(__xludf.DUMMYFUNCTION("IF(ISBLANK(A79),"""",GOOGLETRANSLATE(A79,""en"",""fr""))"),"")</f>
        <v/>
      </c>
    </row>
    <row r="80" spans="2:2">
      <c r="B80" s="3" t="str">
        <f ca="1">IFERROR(__xludf.DUMMYFUNCTION("IF(ISBLANK(A80),"""",GOOGLETRANSLATE(A80,""en"",""fr""))"),"")</f>
        <v/>
      </c>
    </row>
    <row r="81" spans="2:2">
      <c r="B81" s="3" t="str">
        <f ca="1">IFERROR(__xludf.DUMMYFUNCTION("IF(ISBLANK(A81),"""",GOOGLETRANSLATE(A81,""en"",""fr""))"),"")</f>
        <v/>
      </c>
    </row>
    <row r="82" spans="2:2">
      <c r="B82" s="3" t="str">
        <f ca="1">IFERROR(__xludf.DUMMYFUNCTION("IF(ISBLANK(A82),"""",GOOGLETRANSLATE(A82,""en"",""fr""))"),"")</f>
        <v/>
      </c>
    </row>
    <row r="83" spans="2:2">
      <c r="B83" s="3" t="str">
        <f ca="1">IFERROR(__xludf.DUMMYFUNCTION("IF(ISBLANK(A83),"""",GOOGLETRANSLATE(A83,""en"",""fr""))"),"")</f>
        <v/>
      </c>
    </row>
    <row r="84" spans="2:2">
      <c r="B84" s="3" t="str">
        <f ca="1">IFERROR(__xludf.DUMMYFUNCTION("IF(ISBLANK(A84),"""",GOOGLETRANSLATE(A84,""en"",""fr""))"),"")</f>
        <v/>
      </c>
    </row>
    <row r="85" spans="2:2">
      <c r="B85" s="3" t="str">
        <f ca="1">IFERROR(__xludf.DUMMYFUNCTION("IF(ISBLANK(A85),"""",GOOGLETRANSLATE(A85,""en"",""fr""))"),"")</f>
        <v/>
      </c>
    </row>
    <row r="86" spans="2:2">
      <c r="B86" s="3" t="str">
        <f ca="1">IFERROR(__xludf.DUMMYFUNCTION("IF(ISBLANK(A86),"""",GOOGLETRANSLATE(A86,""en"",""fr""))"),"")</f>
        <v/>
      </c>
    </row>
    <row r="87" spans="2:2">
      <c r="B87" s="3" t="str">
        <f ca="1">IFERROR(__xludf.DUMMYFUNCTION("IF(ISBLANK(A87),"""",GOOGLETRANSLATE(A87,""en"",""fr""))"),"")</f>
        <v/>
      </c>
    </row>
    <row r="88" spans="2:2">
      <c r="B88" s="3" t="str">
        <f ca="1">IFERROR(__xludf.DUMMYFUNCTION("IF(ISBLANK(A88),"""",GOOGLETRANSLATE(A88,""en"",""fr""))"),"")</f>
        <v/>
      </c>
    </row>
    <row r="89" spans="2:2">
      <c r="B89" s="3" t="str">
        <f ca="1">IFERROR(__xludf.DUMMYFUNCTION("IF(ISBLANK(A89),"""",GOOGLETRANSLATE(A89,""en"",""fr""))"),"")</f>
        <v/>
      </c>
    </row>
    <row r="90" spans="2:2">
      <c r="B90" s="3" t="str">
        <f ca="1">IFERROR(__xludf.DUMMYFUNCTION("IF(ISBLANK(A90),"""",GOOGLETRANSLATE(A90,""en"",""fr""))"),"")</f>
        <v/>
      </c>
    </row>
    <row r="91" spans="2:2">
      <c r="B91" s="3" t="str">
        <f ca="1">IFERROR(__xludf.DUMMYFUNCTION("IF(ISBLANK(A91),"""",GOOGLETRANSLATE(A91,""en"",""fr""))"),"")</f>
        <v/>
      </c>
    </row>
    <row r="92" spans="2:2">
      <c r="B92" s="3" t="str">
        <f ca="1">IFERROR(__xludf.DUMMYFUNCTION("IF(ISBLANK(A92),"""",GOOGLETRANSLATE(A92,""en"",""fr""))"),"")</f>
        <v/>
      </c>
    </row>
    <row r="93" spans="2:2">
      <c r="B93" s="3" t="str">
        <f ca="1">IFERROR(__xludf.DUMMYFUNCTION("IF(ISBLANK(A93),"""",GOOGLETRANSLATE(A93,""en"",""fr""))"),"")</f>
        <v/>
      </c>
    </row>
    <row r="94" spans="2:2">
      <c r="B94" s="3" t="str">
        <f ca="1">IFERROR(__xludf.DUMMYFUNCTION("IF(ISBLANK(A94),"""",GOOGLETRANSLATE(A94,""en"",""fr""))"),"")</f>
        <v/>
      </c>
    </row>
    <row r="95" spans="2:2">
      <c r="B95" s="3" t="str">
        <f ca="1">IFERROR(__xludf.DUMMYFUNCTION("IF(ISBLANK(A95),"""",GOOGLETRANSLATE(A95,""en"",""fr""))"),"")</f>
        <v/>
      </c>
    </row>
    <row r="96" spans="2:2">
      <c r="B96" s="3" t="str">
        <f ca="1">IFERROR(__xludf.DUMMYFUNCTION("IF(ISBLANK(A96),"""",GOOGLETRANSLATE(A96,""en"",""fr""))"),"")</f>
        <v/>
      </c>
    </row>
    <row r="97" spans="2:2">
      <c r="B97" s="3" t="str">
        <f ca="1">IFERROR(__xludf.DUMMYFUNCTION("IF(ISBLANK(A97),"""",GOOGLETRANSLATE(A97,""en"",""fr""))"),"")</f>
        <v/>
      </c>
    </row>
    <row r="98" spans="2:2">
      <c r="B98" s="3" t="str">
        <f ca="1">IFERROR(__xludf.DUMMYFUNCTION("IF(ISBLANK(A98),"""",GOOGLETRANSLATE(A98,""en"",""fr""))"),"")</f>
        <v/>
      </c>
    </row>
    <row r="99" spans="2:2">
      <c r="B99" s="3" t="str">
        <f ca="1">IFERROR(__xludf.DUMMYFUNCTION("IF(ISBLANK(A99),"""",GOOGLETRANSLATE(A99,""en"",""fr""))"),"")</f>
        <v/>
      </c>
    </row>
    <row r="100" spans="2:2">
      <c r="B100" s="3" t="str">
        <f ca="1">IFERROR(__xludf.DUMMYFUNCTION("IF(ISBLANK(A100),"""",GOOGLETRANSLATE(A100,""en"",""fr""))"),"")</f>
        <v/>
      </c>
    </row>
    <row r="101" spans="2:2">
      <c r="B101" s="3" t="str">
        <f ca="1">IFERROR(__xludf.DUMMYFUNCTION("IF(ISBLANK(A101),"""",GOOGLETRANSLATE(A101,""en"",""fr""))"),"")</f>
        <v/>
      </c>
    </row>
    <row r="102" spans="2:2">
      <c r="B102" s="3" t="str">
        <f ca="1">IFERROR(__xludf.DUMMYFUNCTION("IF(ISBLANK(A102),"""",GOOGLETRANSLATE(A102,""en"",""fr""))"),"")</f>
        <v/>
      </c>
    </row>
    <row r="103" spans="2:2">
      <c r="B103" s="3" t="str">
        <f ca="1">IFERROR(__xludf.DUMMYFUNCTION("IF(ISBLANK(A103),"""",GOOGLETRANSLATE(A103,""en"",""fr""))"),"")</f>
        <v/>
      </c>
    </row>
    <row r="104" spans="2:2">
      <c r="B104" s="3" t="str">
        <f ca="1">IFERROR(__xludf.DUMMYFUNCTION("IF(ISBLANK(A104),"""",GOOGLETRANSLATE(A104,""en"",""fr""))"),"")</f>
        <v/>
      </c>
    </row>
    <row r="105" spans="2:2">
      <c r="B105" s="3" t="str">
        <f ca="1">IFERROR(__xludf.DUMMYFUNCTION("IF(ISBLANK(A105),"""",GOOGLETRANSLATE(A105,""en"",""fr""))"),"")</f>
        <v/>
      </c>
    </row>
    <row r="106" spans="2:2">
      <c r="B106" s="3" t="str">
        <f ca="1">IFERROR(__xludf.DUMMYFUNCTION("IF(ISBLANK(A106),"""",GOOGLETRANSLATE(A106,""en"",""fr""))"),"")</f>
        <v/>
      </c>
    </row>
    <row r="107" spans="2:2">
      <c r="B107" s="3" t="str">
        <f ca="1">IFERROR(__xludf.DUMMYFUNCTION("IF(ISBLANK(A107),"""",GOOGLETRANSLATE(A107,""en"",""fr""))"),"")</f>
        <v/>
      </c>
    </row>
    <row r="108" spans="2:2">
      <c r="B108" s="3" t="str">
        <f ca="1">IFERROR(__xludf.DUMMYFUNCTION("IF(ISBLANK(A108),"""",GOOGLETRANSLATE(A108,""en"",""fr""))"),"")</f>
        <v/>
      </c>
    </row>
    <row r="109" spans="2:2">
      <c r="B109" s="3" t="str">
        <f ca="1">IFERROR(__xludf.DUMMYFUNCTION("IF(ISBLANK(A109),"""",GOOGLETRANSLATE(A109,""en"",""fr""))"),"")</f>
        <v/>
      </c>
    </row>
    <row r="110" spans="2:2">
      <c r="B110" s="3" t="str">
        <f ca="1">IFERROR(__xludf.DUMMYFUNCTION("IF(ISBLANK(A110),"""",GOOGLETRANSLATE(A110,""en"",""fr""))"),"")</f>
        <v/>
      </c>
    </row>
    <row r="111" spans="2:2">
      <c r="B111" s="3" t="str">
        <f ca="1">IFERROR(__xludf.DUMMYFUNCTION("IF(ISBLANK(A111),"""",GOOGLETRANSLATE(A111,""en"",""fr""))"),"")</f>
        <v/>
      </c>
    </row>
    <row r="112" spans="2:2">
      <c r="B112" s="3" t="str">
        <f ca="1">IFERROR(__xludf.DUMMYFUNCTION("IF(ISBLANK(A112),"""",GOOGLETRANSLATE(A112,""en"",""fr""))"),"")</f>
        <v/>
      </c>
    </row>
    <row r="113" spans="2:2">
      <c r="B113" s="3" t="str">
        <f ca="1">IFERROR(__xludf.DUMMYFUNCTION("IF(ISBLANK(A113),"""",GOOGLETRANSLATE(A113,""en"",""fr""))"),"")</f>
        <v/>
      </c>
    </row>
    <row r="114" spans="2:2">
      <c r="B114" s="3" t="str">
        <f ca="1">IFERROR(__xludf.DUMMYFUNCTION("IF(ISBLANK(A114),"""",GOOGLETRANSLATE(A114,""en"",""fr""))"),"")</f>
        <v/>
      </c>
    </row>
    <row r="115" spans="2:2">
      <c r="B115" s="3" t="str">
        <f ca="1">IFERROR(__xludf.DUMMYFUNCTION("IF(ISBLANK(A115),"""",GOOGLETRANSLATE(A115,""en"",""fr""))"),"")</f>
        <v/>
      </c>
    </row>
    <row r="116" spans="2:2">
      <c r="B116" s="3" t="str">
        <f ca="1">IFERROR(__xludf.DUMMYFUNCTION("IF(ISBLANK(A116),"""",GOOGLETRANSLATE(A116,""en"",""fr""))"),"")</f>
        <v/>
      </c>
    </row>
    <row r="117" spans="2:2">
      <c r="B117" s="3" t="str">
        <f ca="1">IFERROR(__xludf.DUMMYFUNCTION("IF(ISBLANK(A117),"""",GOOGLETRANSLATE(A117,""en"",""fr""))"),"")</f>
        <v/>
      </c>
    </row>
    <row r="118" spans="2:2">
      <c r="B118" s="3" t="str">
        <f ca="1">IFERROR(__xludf.DUMMYFUNCTION("IF(ISBLANK(A118),"""",GOOGLETRANSLATE(A118,""en"",""fr""))"),"")</f>
        <v/>
      </c>
    </row>
    <row r="119" spans="2:2">
      <c r="B119" s="3" t="str">
        <f ca="1">IFERROR(__xludf.DUMMYFUNCTION("IF(ISBLANK(A119),"""",GOOGLETRANSLATE(A119,""en"",""fr""))"),"")</f>
        <v/>
      </c>
    </row>
    <row r="120" spans="2:2">
      <c r="B120" s="3" t="str">
        <f ca="1">IFERROR(__xludf.DUMMYFUNCTION("IF(ISBLANK(A120),"""",GOOGLETRANSLATE(A120,""en"",""fr""))"),"")</f>
        <v/>
      </c>
    </row>
    <row r="121" spans="2:2">
      <c r="B121" s="3" t="str">
        <f ca="1">IFERROR(__xludf.DUMMYFUNCTION("IF(ISBLANK(A121),"""",GOOGLETRANSLATE(A121,""en"",""fr""))"),"")</f>
        <v/>
      </c>
    </row>
    <row r="122" spans="2:2">
      <c r="B122" s="3" t="str">
        <f ca="1">IFERROR(__xludf.DUMMYFUNCTION("IF(ISBLANK(A122),"""",GOOGLETRANSLATE(A122,""en"",""fr""))"),"")</f>
        <v/>
      </c>
    </row>
    <row r="123" spans="2:2">
      <c r="B123" s="3" t="str">
        <f ca="1">IFERROR(__xludf.DUMMYFUNCTION("IF(ISBLANK(A123),"""",GOOGLETRANSLATE(A123,""en"",""fr""))"),"")</f>
        <v/>
      </c>
    </row>
    <row r="124" spans="2:2">
      <c r="B124" s="3" t="str">
        <f ca="1">IFERROR(__xludf.DUMMYFUNCTION("IF(ISBLANK(A124),"""",GOOGLETRANSLATE(A124,""en"",""fr""))"),"")</f>
        <v/>
      </c>
    </row>
    <row r="125" spans="2:2">
      <c r="B125" s="3" t="str">
        <f ca="1">IFERROR(__xludf.DUMMYFUNCTION("IF(ISBLANK(A125),"""",GOOGLETRANSLATE(A125,""en"",""fr""))"),"")</f>
        <v/>
      </c>
    </row>
    <row r="126" spans="2:2">
      <c r="B126" s="3" t="str">
        <f ca="1">IFERROR(__xludf.DUMMYFUNCTION("IF(ISBLANK(A126),"""",GOOGLETRANSLATE(A126,""en"",""fr""))"),"")</f>
        <v/>
      </c>
    </row>
    <row r="127" spans="2:2">
      <c r="B127" s="3" t="str">
        <f ca="1">IFERROR(__xludf.DUMMYFUNCTION("IF(ISBLANK(A127),"""",GOOGLETRANSLATE(A127,""en"",""fr""))"),"")</f>
        <v/>
      </c>
    </row>
    <row r="128" spans="2:2">
      <c r="B128" s="3" t="str">
        <f ca="1">IFERROR(__xludf.DUMMYFUNCTION("IF(ISBLANK(A128),"""",GOOGLETRANSLATE(A128,""en"",""fr""))"),"")</f>
        <v/>
      </c>
    </row>
    <row r="129" spans="2:2">
      <c r="B129" s="3" t="str">
        <f ca="1">IFERROR(__xludf.DUMMYFUNCTION("IF(ISBLANK(A129),"""",GOOGLETRANSLATE(A129,""en"",""fr""))"),"")</f>
        <v/>
      </c>
    </row>
    <row r="130" spans="2:2">
      <c r="B130" s="3" t="str">
        <f ca="1">IFERROR(__xludf.DUMMYFUNCTION("IF(ISBLANK(A130),"""",GOOGLETRANSLATE(A130,""en"",""fr""))"),"")</f>
        <v/>
      </c>
    </row>
    <row r="131" spans="2:2">
      <c r="B131" s="3" t="str">
        <f ca="1">IFERROR(__xludf.DUMMYFUNCTION("IF(ISBLANK(A131),"""",GOOGLETRANSLATE(A131,""en"",""fr""))"),"")</f>
        <v/>
      </c>
    </row>
    <row r="132" spans="2:2">
      <c r="B132" s="3" t="str">
        <f ca="1">IFERROR(__xludf.DUMMYFUNCTION("IF(ISBLANK(A132),"""",GOOGLETRANSLATE(A132,""en"",""fr""))"),"")</f>
        <v/>
      </c>
    </row>
    <row r="133" spans="2:2">
      <c r="B133" s="3" t="str">
        <f ca="1">IFERROR(__xludf.DUMMYFUNCTION("IF(ISBLANK(A133),"""",GOOGLETRANSLATE(A133,""en"",""fr""))"),"")</f>
        <v/>
      </c>
    </row>
    <row r="134" spans="2:2">
      <c r="B134" s="3" t="str">
        <f ca="1">IFERROR(__xludf.DUMMYFUNCTION("IF(ISBLANK(A134),"""",GOOGLETRANSLATE(A134,""en"",""fr""))"),"")</f>
        <v/>
      </c>
    </row>
    <row r="135" spans="2:2">
      <c r="B135" s="3" t="str">
        <f ca="1">IFERROR(__xludf.DUMMYFUNCTION("IF(ISBLANK(A135),"""",GOOGLETRANSLATE(A135,""en"",""fr""))"),"")</f>
        <v/>
      </c>
    </row>
    <row r="136" spans="2:2">
      <c r="B136" s="3" t="str">
        <f ca="1">IFERROR(__xludf.DUMMYFUNCTION("IF(ISBLANK(A136),"""",GOOGLETRANSLATE(A136,""en"",""fr""))"),"")</f>
        <v/>
      </c>
    </row>
    <row r="137" spans="2:2">
      <c r="B137" s="3" t="str">
        <f ca="1">IFERROR(__xludf.DUMMYFUNCTION("IF(ISBLANK(A137),"""",GOOGLETRANSLATE(A137,""en"",""fr""))"),"")</f>
        <v/>
      </c>
    </row>
    <row r="138" spans="2:2">
      <c r="B138" s="3" t="str">
        <f ca="1">IFERROR(__xludf.DUMMYFUNCTION("IF(ISBLANK(A138),"""",GOOGLETRANSLATE(A138,""en"",""fr""))"),"")</f>
        <v/>
      </c>
    </row>
    <row r="139" spans="2:2">
      <c r="B139" s="3" t="str">
        <f ca="1">IFERROR(__xludf.DUMMYFUNCTION("IF(ISBLANK(A139),"""",GOOGLETRANSLATE(A139,""en"",""fr""))"),"")</f>
        <v/>
      </c>
    </row>
    <row r="140" spans="2:2">
      <c r="B140" s="3" t="str">
        <f ca="1">IFERROR(__xludf.DUMMYFUNCTION("IF(ISBLANK(A140),"""",GOOGLETRANSLATE(A140,""en"",""fr""))"),"")</f>
        <v/>
      </c>
    </row>
    <row r="141" spans="2:2">
      <c r="B141" s="3" t="str">
        <f ca="1">IFERROR(__xludf.DUMMYFUNCTION("IF(ISBLANK(A141),"""",GOOGLETRANSLATE(A141,""en"",""fr""))"),"")</f>
        <v/>
      </c>
    </row>
    <row r="142" spans="2:2">
      <c r="B142" s="3" t="str">
        <f ca="1">IFERROR(__xludf.DUMMYFUNCTION("IF(ISBLANK(A142),"""",GOOGLETRANSLATE(A142,""en"",""fr""))"),"")</f>
        <v/>
      </c>
    </row>
    <row r="143" spans="2:2">
      <c r="B143" s="3" t="str">
        <f ca="1">IFERROR(__xludf.DUMMYFUNCTION("IF(ISBLANK(A143),"""",GOOGLETRANSLATE(A143,""en"",""fr""))"),"")</f>
        <v/>
      </c>
    </row>
    <row r="144" spans="2:2">
      <c r="B144" s="3" t="str">
        <f ca="1">IFERROR(__xludf.DUMMYFUNCTION("IF(ISBLANK(A144),"""",GOOGLETRANSLATE(A144,""en"",""fr""))"),"")</f>
        <v/>
      </c>
    </row>
    <row r="145" spans="2:2">
      <c r="B145" s="3" t="str">
        <f ca="1">IFERROR(__xludf.DUMMYFUNCTION("IF(ISBLANK(A145),"""",GOOGLETRANSLATE(A145,""en"",""fr""))"),"")</f>
        <v/>
      </c>
    </row>
    <row r="146" spans="2:2">
      <c r="B146" s="3" t="str">
        <f ca="1">IFERROR(__xludf.DUMMYFUNCTION("IF(ISBLANK(A146),"""",GOOGLETRANSLATE(A146,""en"",""fr""))"),"")</f>
        <v/>
      </c>
    </row>
    <row r="147" spans="2:2">
      <c r="B147" s="3" t="str">
        <f ca="1">IFERROR(__xludf.DUMMYFUNCTION("IF(ISBLANK(A147),"""",GOOGLETRANSLATE(A147,""en"",""fr""))"),"")</f>
        <v/>
      </c>
    </row>
    <row r="148" spans="2:2">
      <c r="B148" s="3" t="str">
        <f ca="1">IFERROR(__xludf.DUMMYFUNCTION("IF(ISBLANK(A148),"""",GOOGLETRANSLATE(A148,""en"",""fr""))"),"")</f>
        <v/>
      </c>
    </row>
    <row r="149" spans="2:2">
      <c r="B149" s="3" t="str">
        <f ca="1">IFERROR(__xludf.DUMMYFUNCTION("IF(ISBLANK(A149),"""",GOOGLETRANSLATE(A149,""en"",""fr""))"),"")</f>
        <v/>
      </c>
    </row>
    <row r="150" spans="2:2">
      <c r="B150" s="3" t="str">
        <f ca="1">IFERROR(__xludf.DUMMYFUNCTION("IF(ISBLANK(A150),"""",GOOGLETRANSLATE(A150,""en"",""fr""))"),"")</f>
        <v/>
      </c>
    </row>
    <row r="151" spans="2:2">
      <c r="B151" s="3" t="str">
        <f ca="1">IFERROR(__xludf.DUMMYFUNCTION("IF(ISBLANK(A151),"""",GOOGLETRANSLATE(A151,""en"",""fr""))"),"")</f>
        <v/>
      </c>
    </row>
    <row r="152" spans="2:2">
      <c r="B152" s="3" t="str">
        <f ca="1">IFERROR(__xludf.DUMMYFUNCTION("IF(ISBLANK(A152),"""",GOOGLETRANSLATE(A152,""en"",""fr""))"),"")</f>
        <v/>
      </c>
    </row>
    <row r="153" spans="2:2">
      <c r="B153" s="3" t="str">
        <f ca="1">IFERROR(__xludf.DUMMYFUNCTION("IF(ISBLANK(A153),"""",GOOGLETRANSLATE(A153,""en"",""fr""))"),"")</f>
        <v/>
      </c>
    </row>
    <row r="154" spans="2:2">
      <c r="B154" s="3" t="str">
        <f ca="1">IFERROR(__xludf.DUMMYFUNCTION("IF(ISBLANK(A154),"""",GOOGLETRANSLATE(A154,""en"",""fr""))"),"")</f>
        <v/>
      </c>
    </row>
    <row r="155" spans="2:2">
      <c r="B155" s="3" t="str">
        <f ca="1">IFERROR(__xludf.DUMMYFUNCTION("IF(ISBLANK(A155),"""",GOOGLETRANSLATE(A155,""en"",""fr""))"),"")</f>
        <v/>
      </c>
    </row>
    <row r="156" spans="2:2">
      <c r="B156" s="3" t="str">
        <f ca="1">IFERROR(__xludf.DUMMYFUNCTION("IF(ISBLANK(A156),"""",GOOGLETRANSLATE(A156,""en"",""fr""))"),"")</f>
        <v/>
      </c>
    </row>
    <row r="157" spans="2:2">
      <c r="B157" s="3" t="str">
        <f ca="1">IFERROR(__xludf.DUMMYFUNCTION("IF(ISBLANK(A157),"""",GOOGLETRANSLATE(A157,""en"",""fr""))"),"")</f>
        <v/>
      </c>
    </row>
    <row r="158" spans="2:2">
      <c r="B158" s="3" t="str">
        <f ca="1">IFERROR(__xludf.DUMMYFUNCTION("IF(ISBLANK(A158),"""",GOOGLETRANSLATE(A158,""en"",""fr""))"),"")</f>
        <v/>
      </c>
    </row>
    <row r="159" spans="2:2">
      <c r="B159" s="3" t="str">
        <f ca="1">IFERROR(__xludf.DUMMYFUNCTION("IF(ISBLANK(A159),"""",GOOGLETRANSLATE(A159,""en"",""fr""))"),"")</f>
        <v/>
      </c>
    </row>
    <row r="160" spans="2:2">
      <c r="B160" s="3" t="str">
        <f ca="1">IFERROR(__xludf.DUMMYFUNCTION("IF(ISBLANK(A160),"""",GOOGLETRANSLATE(A160,""en"",""fr""))"),"")</f>
        <v/>
      </c>
    </row>
    <row r="161" spans="2:2">
      <c r="B161" s="3" t="str">
        <f ca="1">IFERROR(__xludf.DUMMYFUNCTION("IF(ISBLANK(A161),"""",GOOGLETRANSLATE(A161,""en"",""fr""))"),"")</f>
        <v/>
      </c>
    </row>
    <row r="162" spans="2:2">
      <c r="B162" s="3" t="str">
        <f ca="1">IFERROR(__xludf.DUMMYFUNCTION("IF(ISBLANK(A162),"""",GOOGLETRANSLATE(A162,""en"",""fr""))"),"")</f>
        <v/>
      </c>
    </row>
    <row r="163" spans="2:2">
      <c r="B163" s="3" t="str">
        <f ca="1">IFERROR(__xludf.DUMMYFUNCTION("IF(ISBLANK(A163),"""",GOOGLETRANSLATE(A163,""en"",""fr""))"),"")</f>
        <v/>
      </c>
    </row>
    <row r="164" spans="2:2">
      <c r="B164" s="3" t="str">
        <f ca="1">IFERROR(__xludf.DUMMYFUNCTION("IF(ISBLANK(A164),"""",GOOGLETRANSLATE(A164,""en"",""fr""))"),"")</f>
        <v/>
      </c>
    </row>
    <row r="165" spans="2:2">
      <c r="B165" s="3" t="str">
        <f ca="1">IFERROR(__xludf.DUMMYFUNCTION("IF(ISBLANK(A165),"""",GOOGLETRANSLATE(A165,""en"",""fr""))"),"")</f>
        <v/>
      </c>
    </row>
    <row r="166" spans="2:2">
      <c r="B166" s="3" t="str">
        <f ca="1">IFERROR(__xludf.DUMMYFUNCTION("IF(ISBLANK(A166),"""",GOOGLETRANSLATE(A166,""en"",""fr""))"),"")</f>
        <v/>
      </c>
    </row>
    <row r="167" spans="2:2">
      <c r="B167" s="3" t="str">
        <f ca="1">IFERROR(__xludf.DUMMYFUNCTION("IF(ISBLANK(A167),"""",GOOGLETRANSLATE(A167,""en"",""fr""))"),"")</f>
        <v/>
      </c>
    </row>
    <row r="168" spans="2:2">
      <c r="B168" s="3" t="str">
        <f ca="1">IFERROR(__xludf.DUMMYFUNCTION("IF(ISBLANK(A168),"""",GOOGLETRANSLATE(A168,""en"",""fr""))"),"")</f>
        <v/>
      </c>
    </row>
    <row r="169" spans="2:2">
      <c r="B169" s="3" t="str">
        <f ca="1">IFERROR(__xludf.DUMMYFUNCTION("IF(ISBLANK(A169),"""",GOOGLETRANSLATE(A169,""en"",""fr""))"),"")</f>
        <v/>
      </c>
    </row>
    <row r="170" spans="2:2">
      <c r="B170" s="3" t="str">
        <f ca="1">IFERROR(__xludf.DUMMYFUNCTION("IF(ISBLANK(A170),"""",GOOGLETRANSLATE(A170,""en"",""fr""))"),"")</f>
        <v/>
      </c>
    </row>
    <row r="171" spans="2:2">
      <c r="B171" s="3" t="str">
        <f ca="1">IFERROR(__xludf.DUMMYFUNCTION("IF(ISBLANK(A171),"""",GOOGLETRANSLATE(A171,""en"",""fr""))"),"")</f>
        <v/>
      </c>
    </row>
    <row r="172" spans="2:2">
      <c r="B172" s="3" t="str">
        <f ca="1">IFERROR(__xludf.DUMMYFUNCTION("IF(ISBLANK(A172),"""",GOOGLETRANSLATE(A172,""en"",""fr""))"),"")</f>
        <v/>
      </c>
    </row>
    <row r="173" spans="2:2">
      <c r="B173" s="3" t="str">
        <f ca="1">IFERROR(__xludf.DUMMYFUNCTION("IF(ISBLANK(A173),"""",GOOGLETRANSLATE(A173,""en"",""fr""))"),"")</f>
        <v/>
      </c>
    </row>
    <row r="174" spans="2:2">
      <c r="B174" s="3" t="str">
        <f ca="1">IFERROR(__xludf.DUMMYFUNCTION("IF(ISBLANK(A174),"""",GOOGLETRANSLATE(A174,""en"",""fr""))"),"")</f>
        <v/>
      </c>
    </row>
    <row r="175" spans="2:2">
      <c r="B175" s="3" t="str">
        <f ca="1">IFERROR(__xludf.DUMMYFUNCTION("IF(ISBLANK(A175),"""",GOOGLETRANSLATE(A175,""en"",""fr""))"),"")</f>
        <v/>
      </c>
    </row>
    <row r="176" spans="2:2">
      <c r="B176" s="3" t="str">
        <f ca="1">IFERROR(__xludf.DUMMYFUNCTION("IF(ISBLANK(A176),"""",GOOGLETRANSLATE(A176,""en"",""fr""))"),"")</f>
        <v/>
      </c>
    </row>
    <row r="177" spans="2:2">
      <c r="B177" s="3" t="str">
        <f ca="1">IFERROR(__xludf.DUMMYFUNCTION("IF(ISBLANK(A177),"""",GOOGLETRANSLATE(A177,""en"",""fr""))"),"")</f>
        <v/>
      </c>
    </row>
    <row r="178" spans="2:2">
      <c r="B178" s="3" t="str">
        <f ca="1">IFERROR(__xludf.DUMMYFUNCTION("IF(ISBLANK(A178),"""",GOOGLETRANSLATE(A178,""en"",""fr""))"),"")</f>
        <v/>
      </c>
    </row>
    <row r="179" spans="2:2">
      <c r="B179" s="3" t="str">
        <f ca="1">IFERROR(__xludf.DUMMYFUNCTION("IF(ISBLANK(A179),"""",GOOGLETRANSLATE(A179,""en"",""fr""))"),"")</f>
        <v/>
      </c>
    </row>
    <row r="180" spans="2:2">
      <c r="B180" s="3" t="str">
        <f ca="1">IFERROR(__xludf.DUMMYFUNCTION("IF(ISBLANK(A180),"""",GOOGLETRANSLATE(A180,""en"",""fr""))"),"")</f>
        <v/>
      </c>
    </row>
    <row r="181" spans="2:2">
      <c r="B181" s="3" t="str">
        <f ca="1">IFERROR(__xludf.DUMMYFUNCTION("IF(ISBLANK(A181),"""",GOOGLETRANSLATE(A181,""en"",""fr""))"),"")</f>
        <v/>
      </c>
    </row>
    <row r="182" spans="2:2">
      <c r="B182" s="3" t="str">
        <f ca="1">IFERROR(__xludf.DUMMYFUNCTION("IF(ISBLANK(A182),"""",GOOGLETRANSLATE(A182,""en"",""fr""))"),"")</f>
        <v/>
      </c>
    </row>
    <row r="183" spans="2:2">
      <c r="B183" s="3" t="str">
        <f ca="1">IFERROR(__xludf.DUMMYFUNCTION("IF(ISBLANK(A183),"""",GOOGLETRANSLATE(A183,""en"",""fr""))"),"")</f>
        <v/>
      </c>
    </row>
    <row r="184" spans="2:2">
      <c r="B184" s="3" t="str">
        <f ca="1">IFERROR(__xludf.DUMMYFUNCTION("IF(ISBLANK(A184),"""",GOOGLETRANSLATE(A184,""en"",""fr""))"),"")</f>
        <v/>
      </c>
    </row>
    <row r="185" spans="2:2">
      <c r="B185" s="3" t="str">
        <f ca="1">IFERROR(__xludf.DUMMYFUNCTION("IF(ISBLANK(A185),"""",GOOGLETRANSLATE(A185,""en"",""fr""))"),"")</f>
        <v/>
      </c>
    </row>
    <row r="186" spans="2:2">
      <c r="B186" s="3" t="str">
        <f ca="1">IFERROR(__xludf.DUMMYFUNCTION("IF(ISBLANK(A186),"""",GOOGLETRANSLATE(A186,""en"",""fr""))"),"")</f>
        <v/>
      </c>
    </row>
    <row r="187" spans="2:2">
      <c r="B187" s="3" t="str">
        <f ca="1">IFERROR(__xludf.DUMMYFUNCTION("IF(ISBLANK(A187),"""",GOOGLETRANSLATE(A187,""en"",""fr""))"),"")</f>
        <v/>
      </c>
    </row>
    <row r="188" spans="2:2">
      <c r="B188" s="3" t="str">
        <f ca="1">IFERROR(__xludf.DUMMYFUNCTION("IF(ISBLANK(A188),"""",GOOGLETRANSLATE(A188,""en"",""fr""))"),"")</f>
        <v/>
      </c>
    </row>
    <row r="189" spans="2:2">
      <c r="B189" s="3" t="str">
        <f ca="1">IFERROR(__xludf.DUMMYFUNCTION("IF(ISBLANK(A189),"""",GOOGLETRANSLATE(A189,""en"",""fr""))"),"")</f>
        <v/>
      </c>
    </row>
    <row r="190" spans="2:2">
      <c r="B190" s="3" t="str">
        <f ca="1">IFERROR(__xludf.DUMMYFUNCTION("IF(ISBLANK(A190),"""",GOOGLETRANSLATE(A190,""en"",""fr""))"),"")</f>
        <v/>
      </c>
    </row>
    <row r="191" spans="2:2">
      <c r="B191" s="3" t="str">
        <f ca="1">IFERROR(__xludf.DUMMYFUNCTION("IF(ISBLANK(A191),"""",GOOGLETRANSLATE(A191,""en"",""fr""))"),"")</f>
        <v/>
      </c>
    </row>
    <row r="192" spans="2:2">
      <c r="B192" s="3" t="str">
        <f ca="1">IFERROR(__xludf.DUMMYFUNCTION("IF(ISBLANK(A192),"""",GOOGLETRANSLATE(A192,""en"",""fr""))"),"")</f>
        <v/>
      </c>
    </row>
    <row r="193" spans="2:2">
      <c r="B193" s="3" t="str">
        <f ca="1">IFERROR(__xludf.DUMMYFUNCTION("IF(ISBLANK(A193),"""",GOOGLETRANSLATE(A193,""en"",""fr""))"),"")</f>
        <v/>
      </c>
    </row>
    <row r="194" spans="2:2">
      <c r="B194" s="3" t="str">
        <f ca="1">IFERROR(__xludf.DUMMYFUNCTION("IF(ISBLANK(A194),"""",GOOGLETRANSLATE(A194,""en"",""fr""))"),"")</f>
        <v/>
      </c>
    </row>
    <row r="195" spans="2:2">
      <c r="B195" s="3" t="str">
        <f ca="1">IFERROR(__xludf.DUMMYFUNCTION("IF(ISBLANK(A195),"""",GOOGLETRANSLATE(A195,""en"",""fr""))"),"")</f>
        <v/>
      </c>
    </row>
    <row r="196" spans="2:2">
      <c r="B196" s="3" t="str">
        <f ca="1">IFERROR(__xludf.DUMMYFUNCTION("IF(ISBLANK(A196),"""",GOOGLETRANSLATE(A196,""en"",""fr""))"),"")</f>
        <v/>
      </c>
    </row>
    <row r="197" spans="2:2">
      <c r="B197" s="3" t="str">
        <f ca="1">IFERROR(__xludf.DUMMYFUNCTION("IF(ISBLANK(A197),"""",GOOGLETRANSLATE(A197,""en"",""fr""))"),"")</f>
        <v/>
      </c>
    </row>
    <row r="198" spans="2:2">
      <c r="B198" s="3" t="str">
        <f ca="1">IFERROR(__xludf.DUMMYFUNCTION("IF(ISBLANK(A198),"""",GOOGLETRANSLATE(A198,""en"",""fr""))"),"")</f>
        <v/>
      </c>
    </row>
    <row r="199" spans="2:2">
      <c r="B199" s="3" t="str">
        <f ca="1">IFERROR(__xludf.DUMMYFUNCTION("IF(ISBLANK(A199),"""",GOOGLETRANSLATE(A199,""en"",""fr""))"),"")</f>
        <v/>
      </c>
    </row>
    <row r="200" spans="2:2">
      <c r="B200" s="3" t="str">
        <f ca="1">IFERROR(__xludf.DUMMYFUNCTION("IF(ISBLANK(A200),"""",GOOGLETRANSLATE(A200,""en"",""fr""))"),"")</f>
        <v/>
      </c>
    </row>
    <row r="201" spans="2:2">
      <c r="B201" s="3" t="str">
        <f ca="1">IFERROR(__xludf.DUMMYFUNCTION("IF(ISBLANK(A201),"""",GOOGLETRANSLATE(A201,""en"",""fr""))"),"")</f>
        <v/>
      </c>
    </row>
    <row r="202" spans="2:2">
      <c r="B202" s="3" t="str">
        <f ca="1">IFERROR(__xludf.DUMMYFUNCTION("IF(ISBLANK(A202),"""",GOOGLETRANSLATE(A202,""en"",""fr""))"),"")</f>
        <v/>
      </c>
    </row>
    <row r="203" spans="2:2">
      <c r="B203" s="3" t="str">
        <f ca="1">IFERROR(__xludf.DUMMYFUNCTION("IF(ISBLANK(A203),"""",GOOGLETRANSLATE(A203,""en"",""fr""))"),"")</f>
        <v/>
      </c>
    </row>
    <row r="204" spans="2:2">
      <c r="B204" s="3" t="str">
        <f ca="1">IFERROR(__xludf.DUMMYFUNCTION("IF(ISBLANK(A204),"""",GOOGLETRANSLATE(A204,""en"",""fr""))"),"")</f>
        <v/>
      </c>
    </row>
    <row r="205" spans="2:2">
      <c r="B205" s="3" t="str">
        <f ca="1">IFERROR(__xludf.DUMMYFUNCTION("IF(ISBLANK(A205),"""",GOOGLETRANSLATE(A205,""en"",""fr""))"),"")</f>
        <v/>
      </c>
    </row>
    <row r="206" spans="2:2">
      <c r="B206" s="3" t="str">
        <f ca="1">IFERROR(__xludf.DUMMYFUNCTION("IF(ISBLANK(A206),"""",GOOGLETRANSLATE(A206,""en"",""fr""))"),"")</f>
        <v/>
      </c>
    </row>
    <row r="207" spans="2:2">
      <c r="B207" s="3" t="str">
        <f ca="1">IFERROR(__xludf.DUMMYFUNCTION("IF(ISBLANK(A207),"""",GOOGLETRANSLATE(A207,""en"",""fr""))"),"")</f>
        <v/>
      </c>
    </row>
    <row r="208" spans="2:2">
      <c r="B208" s="3" t="str">
        <f ca="1">IFERROR(__xludf.DUMMYFUNCTION("IF(ISBLANK(A208),"""",GOOGLETRANSLATE(A208,""en"",""fr""))"),"")</f>
        <v/>
      </c>
    </row>
    <row r="209" spans="2:2">
      <c r="B209" s="3" t="str">
        <f ca="1">IFERROR(__xludf.DUMMYFUNCTION("IF(ISBLANK(A209),"""",GOOGLETRANSLATE(A209,""en"",""fr""))"),"")</f>
        <v/>
      </c>
    </row>
    <row r="210" spans="2:2">
      <c r="B210" s="3" t="str">
        <f ca="1">IFERROR(__xludf.DUMMYFUNCTION("IF(ISBLANK(A210),"""",GOOGLETRANSLATE(A210,""en"",""fr""))"),"")</f>
        <v/>
      </c>
    </row>
    <row r="211" spans="2:2">
      <c r="B211" s="3" t="str">
        <f ca="1">IFERROR(__xludf.DUMMYFUNCTION("IF(ISBLANK(A211),"""",GOOGLETRANSLATE(A211,""en"",""fr""))"),"")</f>
        <v/>
      </c>
    </row>
    <row r="212" spans="2:2">
      <c r="B212" s="3" t="str">
        <f ca="1">IFERROR(__xludf.DUMMYFUNCTION("IF(ISBLANK(A212),"""",GOOGLETRANSLATE(A212,""en"",""fr""))"),"")</f>
        <v/>
      </c>
    </row>
    <row r="213" spans="2:2">
      <c r="B213" s="3" t="str">
        <f ca="1">IFERROR(__xludf.DUMMYFUNCTION("IF(ISBLANK(A213),"""",GOOGLETRANSLATE(A213,""en"",""fr""))"),"")</f>
        <v/>
      </c>
    </row>
    <row r="214" spans="2:2">
      <c r="B214" s="3" t="str">
        <f ca="1">IFERROR(__xludf.DUMMYFUNCTION("IF(ISBLANK(A214),"""",GOOGLETRANSLATE(A214,""en"",""fr""))"),"")</f>
        <v/>
      </c>
    </row>
    <row r="215" spans="2:2">
      <c r="B215" s="3" t="str">
        <f ca="1">IFERROR(__xludf.DUMMYFUNCTION("IF(ISBLANK(A215),"""",GOOGLETRANSLATE(A215,""en"",""fr""))"),"")</f>
        <v/>
      </c>
    </row>
    <row r="216" spans="2:2">
      <c r="B216" s="3" t="str">
        <f ca="1">IFERROR(__xludf.DUMMYFUNCTION("IF(ISBLANK(A216),"""",GOOGLETRANSLATE(A216,""en"",""fr""))"),"")</f>
        <v/>
      </c>
    </row>
    <row r="217" spans="2:2">
      <c r="B217" s="3" t="str">
        <f ca="1">IFERROR(__xludf.DUMMYFUNCTION("IF(ISBLANK(A217),"""",GOOGLETRANSLATE(A217,""en"",""fr""))"),"")</f>
        <v/>
      </c>
    </row>
    <row r="218" spans="2:2">
      <c r="B218" s="3" t="str">
        <f ca="1">IFERROR(__xludf.DUMMYFUNCTION("IF(ISBLANK(A218),"""",GOOGLETRANSLATE(A218,""en"",""fr""))"),"")</f>
        <v/>
      </c>
    </row>
    <row r="219" spans="2:2">
      <c r="B219" s="3" t="str">
        <f ca="1">IFERROR(__xludf.DUMMYFUNCTION("IF(ISBLANK(A219),"""",GOOGLETRANSLATE(A219,""en"",""fr""))"),"")</f>
        <v/>
      </c>
    </row>
    <row r="220" spans="2:2">
      <c r="B220" s="3" t="str">
        <f ca="1">IFERROR(__xludf.DUMMYFUNCTION("IF(ISBLANK(A220),"""",GOOGLETRANSLATE(A220,""en"",""fr""))"),"")</f>
        <v/>
      </c>
    </row>
    <row r="221" spans="2:2">
      <c r="B221" s="3" t="str">
        <f ca="1">IFERROR(__xludf.DUMMYFUNCTION("IF(ISBLANK(A221),"""",GOOGLETRANSLATE(A221,""en"",""fr""))"),"")</f>
        <v/>
      </c>
    </row>
    <row r="222" spans="2:2">
      <c r="B222" s="3" t="str">
        <f ca="1">IFERROR(__xludf.DUMMYFUNCTION("IF(ISBLANK(A222),"""",GOOGLETRANSLATE(A222,""en"",""fr""))"),"")</f>
        <v/>
      </c>
    </row>
    <row r="223" spans="2:2">
      <c r="B223" s="3" t="str">
        <f ca="1">IFERROR(__xludf.DUMMYFUNCTION("IF(ISBLANK(A223),"""",GOOGLETRANSLATE(A223,""en"",""fr""))"),"")</f>
        <v/>
      </c>
    </row>
    <row r="224" spans="2:2">
      <c r="B224" s="3" t="str">
        <f ca="1">IFERROR(__xludf.DUMMYFUNCTION("IF(ISBLANK(A224),"""",GOOGLETRANSLATE(A224,""en"",""fr""))"),"")</f>
        <v/>
      </c>
    </row>
    <row r="225" spans="2:2">
      <c r="B225" s="3" t="str">
        <f ca="1">IFERROR(__xludf.DUMMYFUNCTION("IF(ISBLANK(A225),"""",GOOGLETRANSLATE(A225,""en"",""fr""))"),"")</f>
        <v/>
      </c>
    </row>
    <row r="226" spans="2:2">
      <c r="B226" s="3" t="str">
        <f ca="1">IFERROR(__xludf.DUMMYFUNCTION("IF(ISBLANK(A226),"""",GOOGLETRANSLATE(A226,""en"",""fr""))"),"")</f>
        <v/>
      </c>
    </row>
    <row r="227" spans="2:2">
      <c r="B227" s="3" t="str">
        <f ca="1">IFERROR(__xludf.DUMMYFUNCTION("IF(ISBLANK(A227),"""",GOOGLETRANSLATE(A227,""en"",""fr""))"),"")</f>
        <v/>
      </c>
    </row>
    <row r="228" spans="2:2">
      <c r="B228" s="3" t="str">
        <f ca="1">IFERROR(__xludf.DUMMYFUNCTION("IF(ISBLANK(A228),"""",GOOGLETRANSLATE(A228,""en"",""fr""))"),"")</f>
        <v/>
      </c>
    </row>
    <row r="229" spans="2:2">
      <c r="B229" s="3" t="str">
        <f ca="1">IFERROR(__xludf.DUMMYFUNCTION("IF(ISBLANK(A229),"""",GOOGLETRANSLATE(A229,""en"",""fr""))"),"")</f>
        <v/>
      </c>
    </row>
    <row r="230" spans="2:2">
      <c r="B230" s="3" t="str">
        <f ca="1">IFERROR(__xludf.DUMMYFUNCTION("IF(ISBLANK(A230),"""",GOOGLETRANSLATE(A230,""en"",""fr""))"),"")</f>
        <v/>
      </c>
    </row>
    <row r="231" spans="2:2">
      <c r="B231" s="3" t="str">
        <f ca="1">IFERROR(__xludf.DUMMYFUNCTION("IF(ISBLANK(A231),"""",GOOGLETRANSLATE(A231,""en"",""fr""))"),"")</f>
        <v/>
      </c>
    </row>
    <row r="232" spans="2:2">
      <c r="B232" s="3" t="str">
        <f ca="1">IFERROR(__xludf.DUMMYFUNCTION("IF(ISBLANK(A232),"""",GOOGLETRANSLATE(A232,""en"",""fr""))"),"")</f>
        <v/>
      </c>
    </row>
    <row r="233" spans="2:2">
      <c r="B233" s="3" t="str">
        <f ca="1">IFERROR(__xludf.DUMMYFUNCTION("IF(ISBLANK(A233),"""",GOOGLETRANSLATE(A233,""en"",""fr""))"),"")</f>
        <v/>
      </c>
    </row>
    <row r="234" spans="2:2">
      <c r="B234" s="3" t="str">
        <f ca="1">IFERROR(__xludf.DUMMYFUNCTION("IF(ISBLANK(A234),"""",GOOGLETRANSLATE(A234,""en"",""fr""))"),"")</f>
        <v/>
      </c>
    </row>
    <row r="235" spans="2:2">
      <c r="B235" s="3" t="str">
        <f ca="1">IFERROR(__xludf.DUMMYFUNCTION("IF(ISBLANK(A235),"""",GOOGLETRANSLATE(A235,""en"",""fr""))"),"")</f>
        <v/>
      </c>
    </row>
    <row r="236" spans="2:2">
      <c r="B236" s="3" t="str">
        <f ca="1">IFERROR(__xludf.DUMMYFUNCTION("IF(ISBLANK(A236),"""",GOOGLETRANSLATE(A236,""en"",""fr""))"),"")</f>
        <v/>
      </c>
    </row>
    <row r="237" spans="2:2">
      <c r="B237" s="3" t="str">
        <f ca="1">IFERROR(__xludf.DUMMYFUNCTION("IF(ISBLANK(A237),"""",GOOGLETRANSLATE(A237,""en"",""fr""))"),"")</f>
        <v/>
      </c>
    </row>
    <row r="238" spans="2:2">
      <c r="B238" s="3" t="str">
        <f ca="1">IFERROR(__xludf.DUMMYFUNCTION("IF(ISBLANK(A238),"""",GOOGLETRANSLATE(A238,""en"",""fr""))"),"")</f>
        <v/>
      </c>
    </row>
    <row r="239" spans="2:2">
      <c r="B239" s="3" t="str">
        <f ca="1">IFERROR(__xludf.DUMMYFUNCTION("IF(ISBLANK(A239),"""",GOOGLETRANSLATE(A239,""en"",""fr""))"),"")</f>
        <v/>
      </c>
    </row>
    <row r="240" spans="2:2">
      <c r="B240" s="3" t="str">
        <f ca="1">IFERROR(__xludf.DUMMYFUNCTION("IF(ISBLANK(A240),"""",GOOGLETRANSLATE(A240,""en"",""fr""))"),"")</f>
        <v/>
      </c>
    </row>
    <row r="241" spans="2:2">
      <c r="B241" s="3" t="str">
        <f ca="1">IFERROR(__xludf.DUMMYFUNCTION("IF(ISBLANK(A241),"""",GOOGLETRANSLATE(A241,""en"",""fr""))"),"")</f>
        <v/>
      </c>
    </row>
    <row r="242" spans="2:2">
      <c r="B242" s="3" t="str">
        <f ca="1">IFERROR(__xludf.DUMMYFUNCTION("IF(ISBLANK(A242),"""",GOOGLETRANSLATE(A242,""en"",""fr""))"),"")</f>
        <v/>
      </c>
    </row>
    <row r="243" spans="2:2">
      <c r="B243" s="3" t="str">
        <f ca="1">IFERROR(__xludf.DUMMYFUNCTION("IF(ISBLANK(A243),"""",GOOGLETRANSLATE(A243,""en"",""fr""))"),"")</f>
        <v/>
      </c>
    </row>
    <row r="244" spans="2:2">
      <c r="B244" s="3" t="str">
        <f ca="1">IFERROR(__xludf.DUMMYFUNCTION("IF(ISBLANK(A244),"""",GOOGLETRANSLATE(A244,""en"",""fr""))"),"")</f>
        <v/>
      </c>
    </row>
    <row r="245" spans="2:2">
      <c r="B245" s="3" t="str">
        <f ca="1">IFERROR(__xludf.DUMMYFUNCTION("IF(ISBLANK(A245),"""",GOOGLETRANSLATE(A245,""en"",""fr""))"),"")</f>
        <v/>
      </c>
    </row>
    <row r="246" spans="2:2">
      <c r="B246" s="3" t="str">
        <f ca="1">IFERROR(__xludf.DUMMYFUNCTION("IF(ISBLANK(A246),"""",GOOGLETRANSLATE(A246,""en"",""fr""))"),"")</f>
        <v/>
      </c>
    </row>
    <row r="247" spans="2:2">
      <c r="B247" s="3" t="str">
        <f ca="1">IFERROR(__xludf.DUMMYFUNCTION("IF(ISBLANK(A247),"""",GOOGLETRANSLATE(A247,""en"",""fr""))"),"")</f>
        <v/>
      </c>
    </row>
    <row r="248" spans="2:2">
      <c r="B248" s="3" t="str">
        <f ca="1">IFERROR(__xludf.DUMMYFUNCTION("IF(ISBLANK(A248),"""",GOOGLETRANSLATE(A248,""en"",""fr""))"),"")</f>
        <v/>
      </c>
    </row>
    <row r="249" spans="2:2">
      <c r="B249" s="3" t="str">
        <f ca="1">IFERROR(__xludf.DUMMYFUNCTION("IF(ISBLANK(A249),"""",GOOGLETRANSLATE(A249,""en"",""fr""))"),"")</f>
        <v/>
      </c>
    </row>
    <row r="250" spans="2:2">
      <c r="B250" s="3" t="str">
        <f ca="1">IFERROR(__xludf.DUMMYFUNCTION("IF(ISBLANK(A250),"""",GOOGLETRANSLATE(A250,""en"",""fr""))"),"")</f>
        <v/>
      </c>
    </row>
    <row r="251" spans="2:2">
      <c r="B251" s="3" t="str">
        <f ca="1">IFERROR(__xludf.DUMMYFUNCTION("IF(ISBLANK(A251),"""",GOOGLETRANSLATE(A251,""en"",""fr""))"),"")</f>
        <v/>
      </c>
    </row>
    <row r="252" spans="2:2">
      <c r="B252" s="3" t="str">
        <f ca="1">IFERROR(__xludf.DUMMYFUNCTION("IF(ISBLANK(A252),"""",GOOGLETRANSLATE(A252,""en"",""fr""))"),"")</f>
        <v/>
      </c>
    </row>
    <row r="253" spans="2:2">
      <c r="B253" s="3" t="str">
        <f ca="1">IFERROR(__xludf.DUMMYFUNCTION("IF(ISBLANK(A253),"""",GOOGLETRANSLATE(A253,""en"",""fr""))"),"")</f>
        <v/>
      </c>
    </row>
    <row r="254" spans="2:2">
      <c r="B254" s="3" t="str">
        <f ca="1">IFERROR(__xludf.DUMMYFUNCTION("IF(ISBLANK(A254),"""",GOOGLETRANSLATE(A254,""en"",""fr""))"),"")</f>
        <v/>
      </c>
    </row>
    <row r="255" spans="2:2">
      <c r="B255" s="3" t="str">
        <f ca="1">IFERROR(__xludf.DUMMYFUNCTION("IF(ISBLANK(A255),"""",GOOGLETRANSLATE(A255,""en"",""fr""))"),"")</f>
        <v/>
      </c>
    </row>
    <row r="256" spans="2:2">
      <c r="B256" s="3" t="str">
        <f ca="1">IFERROR(__xludf.DUMMYFUNCTION("IF(ISBLANK(A256),"""",GOOGLETRANSLATE(A256,""en"",""fr""))"),"")</f>
        <v/>
      </c>
    </row>
    <row r="257" spans="2:2">
      <c r="B257" s="3" t="str">
        <f ca="1">IFERROR(__xludf.DUMMYFUNCTION("IF(ISBLANK(A257),"""",GOOGLETRANSLATE(A257,""en"",""fr""))"),"")</f>
        <v/>
      </c>
    </row>
    <row r="258" spans="2:2">
      <c r="B258" s="3" t="str">
        <f ca="1">IFERROR(__xludf.DUMMYFUNCTION("IF(ISBLANK(A258),"""",GOOGLETRANSLATE(A258,""en"",""fr""))"),"")</f>
        <v/>
      </c>
    </row>
    <row r="259" spans="2:2">
      <c r="B259" s="3" t="str">
        <f ca="1">IFERROR(__xludf.DUMMYFUNCTION("IF(ISBLANK(A259),"""",GOOGLETRANSLATE(A259,""en"",""fr""))"),"")</f>
        <v/>
      </c>
    </row>
    <row r="260" spans="2:2">
      <c r="B260" s="3" t="str">
        <f ca="1">IFERROR(__xludf.DUMMYFUNCTION("IF(ISBLANK(A260),"""",GOOGLETRANSLATE(A260,""en"",""fr""))"),"")</f>
        <v/>
      </c>
    </row>
    <row r="261" spans="2:2">
      <c r="B261" s="3" t="str">
        <f ca="1">IFERROR(__xludf.DUMMYFUNCTION("IF(ISBLANK(A261),"""",GOOGLETRANSLATE(A261,""en"",""fr""))"),"")</f>
        <v/>
      </c>
    </row>
    <row r="262" spans="2:2">
      <c r="B262" s="3" t="str">
        <f ca="1">IFERROR(__xludf.DUMMYFUNCTION("IF(ISBLANK(A262),"""",GOOGLETRANSLATE(A262,""en"",""fr""))"),"")</f>
        <v/>
      </c>
    </row>
    <row r="263" spans="2:2">
      <c r="B263" s="3" t="str">
        <f ca="1">IFERROR(__xludf.DUMMYFUNCTION("IF(ISBLANK(A263),"""",GOOGLETRANSLATE(A263,""en"",""fr""))"),"")</f>
        <v/>
      </c>
    </row>
    <row r="264" spans="2:2">
      <c r="B264" s="3" t="str">
        <f ca="1">IFERROR(__xludf.DUMMYFUNCTION("IF(ISBLANK(A264),"""",GOOGLETRANSLATE(A264,""en"",""fr""))"),"")</f>
        <v/>
      </c>
    </row>
    <row r="265" spans="2:2">
      <c r="B265" s="3" t="str">
        <f ca="1">IFERROR(__xludf.DUMMYFUNCTION("IF(ISBLANK(A265),"""",GOOGLETRANSLATE(A265,""en"",""fr""))"),"")</f>
        <v/>
      </c>
    </row>
    <row r="266" spans="2:2">
      <c r="B266" s="3" t="str">
        <f ca="1">IFERROR(__xludf.DUMMYFUNCTION("IF(ISBLANK(A266),"""",GOOGLETRANSLATE(A266,""en"",""fr""))"),"")</f>
        <v/>
      </c>
    </row>
    <row r="267" spans="2:2">
      <c r="B267" s="3" t="str">
        <f ca="1">IFERROR(__xludf.DUMMYFUNCTION("IF(ISBLANK(A267),"""",GOOGLETRANSLATE(A267,""en"",""fr""))"),"")</f>
        <v/>
      </c>
    </row>
    <row r="268" spans="2:2">
      <c r="B268" s="3" t="str">
        <f ca="1">IFERROR(__xludf.DUMMYFUNCTION("IF(ISBLANK(A268),"""",GOOGLETRANSLATE(A268,""en"",""fr""))"),"")</f>
        <v/>
      </c>
    </row>
    <row r="269" spans="2:2">
      <c r="B269" s="3" t="str">
        <f ca="1">IFERROR(__xludf.DUMMYFUNCTION("IF(ISBLANK(A269),"""",GOOGLETRANSLATE(A269,""en"",""fr""))"),"")</f>
        <v/>
      </c>
    </row>
    <row r="270" spans="2:2">
      <c r="B270" s="3" t="str">
        <f ca="1">IFERROR(__xludf.DUMMYFUNCTION("IF(ISBLANK(A270),"""",GOOGLETRANSLATE(A270,""en"",""fr""))"),"")</f>
        <v/>
      </c>
    </row>
    <row r="271" spans="2:2">
      <c r="B271" s="3" t="str">
        <f ca="1">IFERROR(__xludf.DUMMYFUNCTION("IF(ISBLANK(A271),"""",GOOGLETRANSLATE(A271,""en"",""fr""))"),"")</f>
        <v/>
      </c>
    </row>
    <row r="272" spans="2:2">
      <c r="B272" s="3" t="str">
        <f ca="1">IFERROR(__xludf.DUMMYFUNCTION("IF(ISBLANK(A272),"""",GOOGLETRANSLATE(A272,""en"",""fr""))"),"")</f>
        <v/>
      </c>
    </row>
    <row r="273" spans="2:2">
      <c r="B273" s="3" t="str">
        <f ca="1">IFERROR(__xludf.DUMMYFUNCTION("IF(ISBLANK(A273),"""",GOOGLETRANSLATE(A273,""en"",""fr""))"),"")</f>
        <v/>
      </c>
    </row>
    <row r="274" spans="2:2">
      <c r="B274" s="3" t="str">
        <f ca="1">IFERROR(__xludf.DUMMYFUNCTION("IF(ISBLANK(A274),"""",GOOGLETRANSLATE(A274,""en"",""fr""))"),"")</f>
        <v/>
      </c>
    </row>
    <row r="275" spans="2:2">
      <c r="B275" s="3" t="str">
        <f ca="1">IFERROR(__xludf.DUMMYFUNCTION("IF(ISBLANK(A275),"""",GOOGLETRANSLATE(A275,""en"",""fr""))"),"")</f>
        <v/>
      </c>
    </row>
    <row r="276" spans="2:2">
      <c r="B276" s="3" t="str">
        <f ca="1">IFERROR(__xludf.DUMMYFUNCTION("IF(ISBLANK(A276),"""",GOOGLETRANSLATE(A276,""en"",""fr""))"),"")</f>
        <v/>
      </c>
    </row>
    <row r="277" spans="2:2">
      <c r="B277" s="3" t="str">
        <f ca="1">IFERROR(__xludf.DUMMYFUNCTION("IF(ISBLANK(A277),"""",GOOGLETRANSLATE(A277,""en"",""fr""))"),"")</f>
        <v/>
      </c>
    </row>
    <row r="278" spans="2:2">
      <c r="B278" s="3" t="str">
        <f ca="1">IFERROR(__xludf.DUMMYFUNCTION("IF(ISBLANK(A278),"""",GOOGLETRANSLATE(A278,""en"",""fr""))"),"")</f>
        <v/>
      </c>
    </row>
    <row r="279" spans="2:2">
      <c r="B279" s="3" t="str">
        <f ca="1">IFERROR(__xludf.DUMMYFUNCTION("IF(ISBLANK(A279),"""",GOOGLETRANSLATE(A279,""en"",""fr""))"),"")</f>
        <v/>
      </c>
    </row>
    <row r="280" spans="2:2">
      <c r="B280" s="3" t="str">
        <f ca="1">IFERROR(__xludf.DUMMYFUNCTION("IF(ISBLANK(A280),"""",GOOGLETRANSLATE(A280,""en"",""fr""))"),"")</f>
        <v/>
      </c>
    </row>
    <row r="281" spans="2:2">
      <c r="B281" s="3" t="str">
        <f ca="1">IFERROR(__xludf.DUMMYFUNCTION("IF(ISBLANK(A281),"""",GOOGLETRANSLATE(A281,""en"",""fr""))"),"")</f>
        <v/>
      </c>
    </row>
    <row r="282" spans="2:2">
      <c r="B282" s="3" t="str">
        <f ca="1">IFERROR(__xludf.DUMMYFUNCTION("IF(ISBLANK(A282),"""",GOOGLETRANSLATE(A282,""en"",""fr""))"),"")</f>
        <v/>
      </c>
    </row>
    <row r="283" spans="2:2">
      <c r="B283" s="3" t="str">
        <f ca="1">IFERROR(__xludf.DUMMYFUNCTION("IF(ISBLANK(A283),"""",GOOGLETRANSLATE(A283,""en"",""fr""))"),"")</f>
        <v/>
      </c>
    </row>
    <row r="284" spans="2:2">
      <c r="B284" s="3" t="str">
        <f ca="1">IFERROR(__xludf.DUMMYFUNCTION("IF(ISBLANK(A284),"""",GOOGLETRANSLATE(A284,""en"",""fr""))"),"")</f>
        <v/>
      </c>
    </row>
    <row r="285" spans="2:2">
      <c r="B285" s="3" t="str">
        <f ca="1">IFERROR(__xludf.DUMMYFUNCTION("IF(ISBLANK(A285),"""",GOOGLETRANSLATE(A285,""en"",""fr""))"),"")</f>
        <v/>
      </c>
    </row>
    <row r="286" spans="2:2">
      <c r="B286" s="3" t="str">
        <f ca="1">IFERROR(__xludf.DUMMYFUNCTION("IF(ISBLANK(A286),"""",GOOGLETRANSLATE(A286,""en"",""fr""))"),"")</f>
        <v/>
      </c>
    </row>
    <row r="287" spans="2:2">
      <c r="B287" s="3" t="str">
        <f ca="1">IFERROR(__xludf.DUMMYFUNCTION("IF(ISBLANK(A287),"""",GOOGLETRANSLATE(A287,""en"",""fr""))"),"")</f>
        <v/>
      </c>
    </row>
    <row r="288" spans="2:2">
      <c r="B288" s="3" t="str">
        <f ca="1">IFERROR(__xludf.DUMMYFUNCTION("IF(ISBLANK(A288),"""",GOOGLETRANSLATE(A288,""en"",""fr""))"),"")</f>
        <v/>
      </c>
    </row>
    <row r="289" spans="2:2">
      <c r="B289" s="3" t="str">
        <f ca="1">IFERROR(__xludf.DUMMYFUNCTION("IF(ISBLANK(A289),"""",GOOGLETRANSLATE(A289,""en"",""fr""))"),"")</f>
        <v/>
      </c>
    </row>
    <row r="290" spans="2:2">
      <c r="B290" s="3" t="str">
        <f ca="1">IFERROR(__xludf.DUMMYFUNCTION("IF(ISBLANK(A290),"""",GOOGLETRANSLATE(A290,""en"",""fr""))"),"")</f>
        <v/>
      </c>
    </row>
    <row r="291" spans="2:2">
      <c r="B291" s="3" t="str">
        <f ca="1">IFERROR(__xludf.DUMMYFUNCTION("IF(ISBLANK(A291),"""",GOOGLETRANSLATE(A291,""en"",""fr""))"),"")</f>
        <v/>
      </c>
    </row>
    <row r="292" spans="2:2">
      <c r="B292" s="3" t="str">
        <f ca="1">IFERROR(__xludf.DUMMYFUNCTION("IF(ISBLANK(A292),"""",GOOGLETRANSLATE(A292,""en"",""fr""))"),"")</f>
        <v/>
      </c>
    </row>
    <row r="293" spans="2:2">
      <c r="B293" s="3" t="str">
        <f ca="1">IFERROR(__xludf.DUMMYFUNCTION("IF(ISBLANK(A293),"""",GOOGLETRANSLATE(A293,""en"",""fr""))"),"")</f>
        <v/>
      </c>
    </row>
    <row r="294" spans="2:2">
      <c r="B294" s="3" t="str">
        <f ca="1">IFERROR(__xludf.DUMMYFUNCTION("IF(ISBLANK(A294),"""",GOOGLETRANSLATE(A294,""en"",""fr""))"),"")</f>
        <v/>
      </c>
    </row>
    <row r="295" spans="2:2">
      <c r="B295" s="3" t="str">
        <f ca="1">IFERROR(__xludf.DUMMYFUNCTION("IF(ISBLANK(A295),"""",GOOGLETRANSLATE(A295,""en"",""fr""))"),"")</f>
        <v/>
      </c>
    </row>
    <row r="296" spans="2:2">
      <c r="B296" s="3" t="str">
        <f ca="1">IFERROR(__xludf.DUMMYFUNCTION("IF(ISBLANK(A296),"""",GOOGLETRANSLATE(A296,""en"",""fr""))"),"")</f>
        <v/>
      </c>
    </row>
    <row r="297" spans="2:2">
      <c r="B297" s="3" t="str">
        <f ca="1">IFERROR(__xludf.DUMMYFUNCTION("IF(ISBLANK(A297),"""",GOOGLETRANSLATE(A297,""en"",""fr""))"),"")</f>
        <v/>
      </c>
    </row>
    <row r="298" spans="2:2">
      <c r="B298" s="3" t="str">
        <f ca="1">IFERROR(__xludf.DUMMYFUNCTION("IF(ISBLANK(A298),"""",GOOGLETRANSLATE(A298,""en"",""fr""))"),"")</f>
        <v/>
      </c>
    </row>
    <row r="299" spans="2:2">
      <c r="B299" s="3" t="str">
        <f ca="1">IFERROR(__xludf.DUMMYFUNCTION("IF(ISBLANK(A299),"""",GOOGLETRANSLATE(A299,""en"",""fr""))"),"")</f>
        <v/>
      </c>
    </row>
    <row r="300" spans="2:2">
      <c r="B300" s="3" t="str">
        <f ca="1">IFERROR(__xludf.DUMMYFUNCTION("IF(ISBLANK(A300),"""",GOOGLETRANSLATE(A300,""en"",""fr""))"),"")</f>
        <v/>
      </c>
    </row>
    <row r="301" spans="2:2">
      <c r="B301" s="3" t="str">
        <f ca="1">IFERROR(__xludf.DUMMYFUNCTION("IF(ISBLANK(A301),"""",GOOGLETRANSLATE(A301,""en"",""fr""))"),"")</f>
        <v/>
      </c>
    </row>
    <row r="302" spans="2:2">
      <c r="B302" s="3" t="str">
        <f ca="1">IFERROR(__xludf.DUMMYFUNCTION("IF(ISBLANK(A302),"""",GOOGLETRANSLATE(A302,""en"",""fr""))"),"")</f>
        <v/>
      </c>
    </row>
    <row r="303" spans="2:2">
      <c r="B303" s="3" t="str">
        <f ca="1">IFERROR(__xludf.DUMMYFUNCTION("IF(ISBLANK(A303),"""",GOOGLETRANSLATE(A303,""en"",""fr""))"),"")</f>
        <v/>
      </c>
    </row>
    <row r="304" spans="2:2">
      <c r="B304" s="3" t="str">
        <f ca="1">IFERROR(__xludf.DUMMYFUNCTION("IF(ISBLANK(A304),"""",GOOGLETRANSLATE(A304,""en"",""fr""))"),"")</f>
        <v/>
      </c>
    </row>
    <row r="305" spans="2:2">
      <c r="B305" s="3" t="str">
        <f ca="1">IFERROR(__xludf.DUMMYFUNCTION("IF(ISBLANK(A305),"""",GOOGLETRANSLATE(A305,""en"",""fr""))"),"")</f>
        <v/>
      </c>
    </row>
    <row r="306" spans="2:2">
      <c r="B306" s="3" t="str">
        <f ca="1">IFERROR(__xludf.DUMMYFUNCTION("IF(ISBLANK(A306),"""",GOOGLETRANSLATE(A306,""en"",""fr""))"),"")</f>
        <v/>
      </c>
    </row>
    <row r="307" spans="2:2">
      <c r="B307" s="3" t="str">
        <f ca="1">IFERROR(__xludf.DUMMYFUNCTION("IF(ISBLANK(A307),"""",GOOGLETRANSLATE(A307,""en"",""fr""))"),"")</f>
        <v/>
      </c>
    </row>
    <row r="308" spans="2:2">
      <c r="B308" s="3" t="str">
        <f ca="1">IFERROR(__xludf.DUMMYFUNCTION("IF(ISBLANK(A308),"""",GOOGLETRANSLATE(A308,""en"",""fr""))"),"")</f>
        <v/>
      </c>
    </row>
    <row r="309" spans="2:2">
      <c r="B309" s="3" t="str">
        <f ca="1">IFERROR(__xludf.DUMMYFUNCTION("IF(ISBLANK(A309),"""",GOOGLETRANSLATE(A309,""en"",""fr""))"),"")</f>
        <v/>
      </c>
    </row>
    <row r="310" spans="2:2">
      <c r="B310" s="3" t="str">
        <f ca="1">IFERROR(__xludf.DUMMYFUNCTION("IF(ISBLANK(A310),"""",GOOGLETRANSLATE(A310,""en"",""fr""))"),"")</f>
        <v/>
      </c>
    </row>
    <row r="311" spans="2:2">
      <c r="B311" s="3" t="str">
        <f ca="1">IFERROR(__xludf.DUMMYFUNCTION("IF(ISBLANK(A311),"""",GOOGLETRANSLATE(A311,""en"",""fr""))"),"")</f>
        <v/>
      </c>
    </row>
    <row r="312" spans="2:2">
      <c r="B312" s="3" t="str">
        <f ca="1">IFERROR(__xludf.DUMMYFUNCTION("IF(ISBLANK(A312),"""",GOOGLETRANSLATE(A312,""en"",""fr""))"),"")</f>
        <v/>
      </c>
    </row>
    <row r="313" spans="2:2">
      <c r="B313" s="3" t="str">
        <f ca="1">IFERROR(__xludf.DUMMYFUNCTION("IF(ISBLANK(A313),"""",GOOGLETRANSLATE(A313,""en"",""fr""))"),"")</f>
        <v/>
      </c>
    </row>
    <row r="314" spans="2:2">
      <c r="B314" s="3" t="str">
        <f ca="1">IFERROR(__xludf.DUMMYFUNCTION("IF(ISBLANK(A314),"""",GOOGLETRANSLATE(A314,""en"",""fr""))"),"")</f>
        <v/>
      </c>
    </row>
    <row r="315" spans="2:2">
      <c r="B315" s="3" t="str">
        <f ca="1">IFERROR(__xludf.DUMMYFUNCTION("IF(ISBLANK(A315),"""",GOOGLETRANSLATE(A315,""en"",""fr""))"),"")</f>
        <v/>
      </c>
    </row>
    <row r="316" spans="2:2">
      <c r="B316" s="3" t="str">
        <f ca="1">IFERROR(__xludf.DUMMYFUNCTION("IF(ISBLANK(A316),"""",GOOGLETRANSLATE(A316,""en"",""fr""))"),"")</f>
        <v/>
      </c>
    </row>
    <row r="317" spans="2:2">
      <c r="B317" s="3" t="str">
        <f ca="1">IFERROR(__xludf.DUMMYFUNCTION("IF(ISBLANK(A317),"""",GOOGLETRANSLATE(A317,""en"",""fr""))"),"")</f>
        <v/>
      </c>
    </row>
    <row r="318" spans="2:2">
      <c r="B318" s="3" t="str">
        <f ca="1">IFERROR(__xludf.DUMMYFUNCTION("IF(ISBLANK(A318),"""",GOOGLETRANSLATE(A318,""en"",""fr""))"),"")</f>
        <v/>
      </c>
    </row>
    <row r="319" spans="2:2">
      <c r="B319" s="3" t="str">
        <f ca="1">IFERROR(__xludf.DUMMYFUNCTION("IF(ISBLANK(A319),"""",GOOGLETRANSLATE(A319,""en"",""fr""))"),"")</f>
        <v/>
      </c>
    </row>
    <row r="320" spans="2:2">
      <c r="B320" s="3" t="str">
        <f ca="1">IFERROR(__xludf.DUMMYFUNCTION("IF(ISBLANK(A320),"""",GOOGLETRANSLATE(A320,""en"",""fr""))"),"")</f>
        <v/>
      </c>
    </row>
    <row r="321" spans="2:2">
      <c r="B321" s="3" t="str">
        <f ca="1">IFERROR(__xludf.DUMMYFUNCTION("IF(ISBLANK(A321),"""",GOOGLETRANSLATE(A321,""en"",""fr""))"),"")</f>
        <v/>
      </c>
    </row>
    <row r="322" spans="2:2">
      <c r="B322" s="3" t="str">
        <f ca="1">IFERROR(__xludf.DUMMYFUNCTION("IF(ISBLANK(A322),"""",GOOGLETRANSLATE(A322,""en"",""fr""))"),"")</f>
        <v/>
      </c>
    </row>
    <row r="323" spans="2:2">
      <c r="B323" s="3" t="str">
        <f ca="1">IFERROR(__xludf.DUMMYFUNCTION("IF(ISBLANK(A323),"""",GOOGLETRANSLATE(A323,""en"",""fr""))"),"")</f>
        <v/>
      </c>
    </row>
    <row r="324" spans="2:2">
      <c r="B324" s="3" t="str">
        <f ca="1">IFERROR(__xludf.DUMMYFUNCTION("IF(ISBLANK(A324),"""",GOOGLETRANSLATE(A324,""en"",""fr""))"),"")</f>
        <v/>
      </c>
    </row>
    <row r="325" spans="2:2">
      <c r="B325" s="3" t="str">
        <f ca="1">IFERROR(__xludf.DUMMYFUNCTION("IF(ISBLANK(A325),"""",GOOGLETRANSLATE(A325,""en"",""fr""))"),"")</f>
        <v/>
      </c>
    </row>
    <row r="326" spans="2:2">
      <c r="B326" s="3" t="str">
        <f ca="1">IFERROR(__xludf.DUMMYFUNCTION("IF(ISBLANK(A326),"""",GOOGLETRANSLATE(A326,""en"",""fr""))"),"")</f>
        <v/>
      </c>
    </row>
    <row r="327" spans="2:2">
      <c r="B327" s="3" t="str">
        <f ca="1">IFERROR(__xludf.DUMMYFUNCTION("IF(ISBLANK(A327),"""",GOOGLETRANSLATE(A327,""en"",""fr""))"),"")</f>
        <v/>
      </c>
    </row>
    <row r="328" spans="2:2">
      <c r="B328" s="3" t="str">
        <f ca="1">IFERROR(__xludf.DUMMYFUNCTION("IF(ISBLANK(A328),"""",GOOGLETRANSLATE(A328,""en"",""fr""))"),"")</f>
        <v/>
      </c>
    </row>
    <row r="329" spans="2:2">
      <c r="B329" s="3" t="str">
        <f ca="1">IFERROR(__xludf.DUMMYFUNCTION("IF(ISBLANK(A329),"""",GOOGLETRANSLATE(A329,""en"",""fr""))"),"")</f>
        <v/>
      </c>
    </row>
    <row r="330" spans="2:2">
      <c r="B330" s="3" t="str">
        <f ca="1">IFERROR(__xludf.DUMMYFUNCTION("IF(ISBLANK(A330),"""",GOOGLETRANSLATE(A330,""en"",""fr""))"),"")</f>
        <v/>
      </c>
    </row>
    <row r="331" spans="2:2">
      <c r="B331" s="3" t="str">
        <f ca="1">IFERROR(__xludf.DUMMYFUNCTION("IF(ISBLANK(A331),"""",GOOGLETRANSLATE(A331,""en"",""fr""))"),"")</f>
        <v/>
      </c>
    </row>
    <row r="332" spans="2:2">
      <c r="B332" s="3" t="str">
        <f ca="1">IFERROR(__xludf.DUMMYFUNCTION("IF(ISBLANK(A332),"""",GOOGLETRANSLATE(A332,""en"",""fr""))"),"")</f>
        <v/>
      </c>
    </row>
    <row r="333" spans="2:2">
      <c r="B333" s="3" t="str">
        <f ca="1">IFERROR(__xludf.DUMMYFUNCTION("IF(ISBLANK(A333),"""",GOOGLETRANSLATE(A333,""en"",""fr""))"),"")</f>
        <v/>
      </c>
    </row>
    <row r="334" spans="2:2">
      <c r="B334" s="3" t="str">
        <f ca="1">IFERROR(__xludf.DUMMYFUNCTION("IF(ISBLANK(A334),"""",GOOGLETRANSLATE(A334,""en"",""fr""))"),"")</f>
        <v/>
      </c>
    </row>
    <row r="335" spans="2:2">
      <c r="B335" s="3" t="str">
        <f ca="1">IFERROR(__xludf.DUMMYFUNCTION("IF(ISBLANK(A335),"""",GOOGLETRANSLATE(A335,""en"",""fr""))"),"")</f>
        <v/>
      </c>
    </row>
    <row r="336" spans="2:2">
      <c r="B336" s="3" t="str">
        <f ca="1">IFERROR(__xludf.DUMMYFUNCTION("IF(ISBLANK(A336),"""",GOOGLETRANSLATE(A336,""en"",""fr""))"),"")</f>
        <v/>
      </c>
    </row>
    <row r="337" spans="2:2">
      <c r="B337" s="3" t="str">
        <f ca="1">IFERROR(__xludf.DUMMYFUNCTION("IF(ISBLANK(A337),"""",GOOGLETRANSLATE(A337,""en"",""fr""))"),"")</f>
        <v/>
      </c>
    </row>
    <row r="338" spans="2:2">
      <c r="B338" s="3" t="str">
        <f ca="1">IFERROR(__xludf.DUMMYFUNCTION("IF(ISBLANK(A338),"""",GOOGLETRANSLATE(A338,""en"",""fr""))"),"")</f>
        <v/>
      </c>
    </row>
    <row r="339" spans="2:2">
      <c r="B339" s="3" t="str">
        <f ca="1">IFERROR(__xludf.DUMMYFUNCTION("IF(ISBLANK(A339),"""",GOOGLETRANSLATE(A339,""en"",""fr""))"),"")</f>
        <v/>
      </c>
    </row>
    <row r="340" spans="2:2">
      <c r="B340" s="3" t="str">
        <f ca="1">IFERROR(__xludf.DUMMYFUNCTION("IF(ISBLANK(A340),"""",GOOGLETRANSLATE(A340,""en"",""fr""))"),"")</f>
        <v/>
      </c>
    </row>
    <row r="341" spans="2:2">
      <c r="B341" s="3" t="str">
        <f ca="1">IFERROR(__xludf.DUMMYFUNCTION("IF(ISBLANK(A341),"""",GOOGLETRANSLATE(A341,""en"",""fr""))"),"")</f>
        <v/>
      </c>
    </row>
    <row r="342" spans="2:2">
      <c r="B342" s="3" t="str">
        <f ca="1">IFERROR(__xludf.DUMMYFUNCTION("IF(ISBLANK(A342),"""",GOOGLETRANSLATE(A342,""en"",""fr""))"),"")</f>
        <v/>
      </c>
    </row>
    <row r="343" spans="2:2">
      <c r="B343" s="3" t="str">
        <f ca="1">IFERROR(__xludf.DUMMYFUNCTION("IF(ISBLANK(A343),"""",GOOGLETRANSLATE(A343,""en"",""fr""))"),"")</f>
        <v/>
      </c>
    </row>
    <row r="344" spans="2:2">
      <c r="B344" s="3" t="str">
        <f ca="1">IFERROR(__xludf.DUMMYFUNCTION("IF(ISBLANK(A344),"""",GOOGLETRANSLATE(A344,""en"",""fr""))"),"")</f>
        <v/>
      </c>
    </row>
    <row r="345" spans="2:2">
      <c r="B345" s="3" t="str">
        <f ca="1">IFERROR(__xludf.DUMMYFUNCTION("IF(ISBLANK(A345),"""",GOOGLETRANSLATE(A345,""en"",""fr""))"),"")</f>
        <v/>
      </c>
    </row>
    <row r="346" spans="2:2">
      <c r="B346" s="3" t="str">
        <f ca="1">IFERROR(__xludf.DUMMYFUNCTION("IF(ISBLANK(A346),"""",GOOGLETRANSLATE(A346,""en"",""fr""))"),"")</f>
        <v/>
      </c>
    </row>
    <row r="347" spans="2:2">
      <c r="B347" s="3" t="str">
        <f ca="1">IFERROR(__xludf.DUMMYFUNCTION("IF(ISBLANK(A347),"""",GOOGLETRANSLATE(A347,""en"",""fr""))"),"")</f>
        <v/>
      </c>
    </row>
    <row r="348" spans="2:2">
      <c r="B348" s="3" t="str">
        <f ca="1">IFERROR(__xludf.DUMMYFUNCTION("IF(ISBLANK(A348),"""",GOOGLETRANSLATE(A348,""en"",""fr""))"),"")</f>
        <v/>
      </c>
    </row>
    <row r="349" spans="2:2">
      <c r="B349" s="3" t="str">
        <f ca="1">IFERROR(__xludf.DUMMYFUNCTION("IF(ISBLANK(A349),"""",GOOGLETRANSLATE(A349,""en"",""fr""))"),"")</f>
        <v/>
      </c>
    </row>
    <row r="350" spans="2:2">
      <c r="B350" s="3" t="str">
        <f ca="1">IFERROR(__xludf.DUMMYFUNCTION("IF(ISBLANK(A350),"""",GOOGLETRANSLATE(A350,""en"",""fr""))"),"")</f>
        <v/>
      </c>
    </row>
    <row r="351" spans="2:2">
      <c r="B351" s="3" t="str">
        <f ca="1">IFERROR(__xludf.DUMMYFUNCTION("IF(ISBLANK(A351),"""",GOOGLETRANSLATE(A351,""en"",""fr""))"),"")</f>
        <v/>
      </c>
    </row>
    <row r="352" spans="2:2">
      <c r="B352" s="3" t="str">
        <f ca="1">IFERROR(__xludf.DUMMYFUNCTION("IF(ISBLANK(A352),"""",GOOGLETRANSLATE(A352,""en"",""fr""))"),"")</f>
        <v/>
      </c>
    </row>
    <row r="353" spans="2:2">
      <c r="B353" s="3" t="str">
        <f ca="1">IFERROR(__xludf.DUMMYFUNCTION("IF(ISBLANK(A353),"""",GOOGLETRANSLATE(A353,""en"",""fr""))"),"")</f>
        <v/>
      </c>
    </row>
    <row r="354" spans="2:2">
      <c r="B354" s="3" t="str">
        <f ca="1">IFERROR(__xludf.DUMMYFUNCTION("IF(ISBLANK(A354),"""",GOOGLETRANSLATE(A354,""en"",""fr""))"),"")</f>
        <v/>
      </c>
    </row>
    <row r="355" spans="2:2">
      <c r="B355" s="3" t="str">
        <f ca="1">IFERROR(__xludf.DUMMYFUNCTION("IF(ISBLANK(A355),"""",GOOGLETRANSLATE(A355,""en"",""fr""))"),"")</f>
        <v/>
      </c>
    </row>
    <row r="356" spans="2:2">
      <c r="B356" s="3" t="str">
        <f ca="1">IFERROR(__xludf.DUMMYFUNCTION("IF(ISBLANK(A356),"""",GOOGLETRANSLATE(A356,""en"",""fr""))"),"")</f>
        <v/>
      </c>
    </row>
    <row r="357" spans="2:2">
      <c r="B357" s="3" t="str">
        <f ca="1">IFERROR(__xludf.DUMMYFUNCTION("IF(ISBLANK(A357),"""",GOOGLETRANSLATE(A357,""en"",""fr""))"),"")</f>
        <v/>
      </c>
    </row>
    <row r="358" spans="2:2">
      <c r="B358" s="3" t="str">
        <f ca="1">IFERROR(__xludf.DUMMYFUNCTION("IF(ISBLANK(A358),"""",GOOGLETRANSLATE(A358,""en"",""fr""))"),"")</f>
        <v/>
      </c>
    </row>
    <row r="359" spans="2:2">
      <c r="B359" s="3" t="str">
        <f ca="1">IFERROR(__xludf.DUMMYFUNCTION("IF(ISBLANK(A359),"""",GOOGLETRANSLATE(A359,""en"",""fr""))"),"")</f>
        <v/>
      </c>
    </row>
    <row r="360" spans="2:2">
      <c r="B360" s="3" t="str">
        <f ca="1">IFERROR(__xludf.DUMMYFUNCTION("IF(ISBLANK(A360),"""",GOOGLETRANSLATE(A360,""en"",""fr""))"),"")</f>
        <v/>
      </c>
    </row>
    <row r="361" spans="2:2">
      <c r="B361" s="3" t="str">
        <f ca="1">IFERROR(__xludf.DUMMYFUNCTION("IF(ISBLANK(A361),"""",GOOGLETRANSLATE(A361,""en"",""fr""))"),"")</f>
        <v/>
      </c>
    </row>
    <row r="362" spans="2:2">
      <c r="B362" s="3" t="str">
        <f ca="1">IFERROR(__xludf.DUMMYFUNCTION("IF(ISBLANK(A362),"""",GOOGLETRANSLATE(A362,""en"",""fr""))"),"")</f>
        <v/>
      </c>
    </row>
    <row r="363" spans="2:2">
      <c r="B363" s="3" t="str">
        <f ca="1">IFERROR(__xludf.DUMMYFUNCTION("IF(ISBLANK(A363),"""",GOOGLETRANSLATE(A363,""en"",""fr""))"),"")</f>
        <v/>
      </c>
    </row>
    <row r="364" spans="2:2">
      <c r="B364" s="3" t="str">
        <f ca="1">IFERROR(__xludf.DUMMYFUNCTION("IF(ISBLANK(A364),"""",GOOGLETRANSLATE(A364,""en"",""fr""))"),"")</f>
        <v/>
      </c>
    </row>
    <row r="365" spans="2:2">
      <c r="B365" s="3" t="str">
        <f ca="1">IFERROR(__xludf.DUMMYFUNCTION("IF(ISBLANK(A365),"""",GOOGLETRANSLATE(A365,""en"",""fr""))"),"")</f>
        <v/>
      </c>
    </row>
    <row r="366" spans="2:2">
      <c r="B366" s="3" t="str">
        <f ca="1">IFERROR(__xludf.DUMMYFUNCTION("IF(ISBLANK(A366),"""",GOOGLETRANSLATE(A366,""en"",""fr""))"),"")</f>
        <v/>
      </c>
    </row>
    <row r="367" spans="2:2">
      <c r="B367" s="3" t="str">
        <f ca="1">IFERROR(__xludf.DUMMYFUNCTION("IF(ISBLANK(A367),"""",GOOGLETRANSLATE(A367,""en"",""fr""))"),"")</f>
        <v/>
      </c>
    </row>
    <row r="368" spans="2:2">
      <c r="B368" s="3" t="str">
        <f ca="1">IFERROR(__xludf.DUMMYFUNCTION("IF(ISBLANK(A368),"""",GOOGLETRANSLATE(A368,""en"",""fr""))"),"")</f>
        <v/>
      </c>
    </row>
    <row r="369" spans="2:2">
      <c r="B369" s="3" t="str">
        <f ca="1">IFERROR(__xludf.DUMMYFUNCTION("IF(ISBLANK(A369),"""",GOOGLETRANSLATE(A369,""en"",""fr""))"),"")</f>
        <v/>
      </c>
    </row>
    <row r="370" spans="2:2">
      <c r="B370" s="3" t="str">
        <f ca="1">IFERROR(__xludf.DUMMYFUNCTION("IF(ISBLANK(A370),"""",GOOGLETRANSLATE(A370,""en"",""fr""))"),"")</f>
        <v/>
      </c>
    </row>
    <row r="371" spans="2:2">
      <c r="B371" s="3" t="str">
        <f ca="1">IFERROR(__xludf.DUMMYFUNCTION("IF(ISBLANK(A371),"""",GOOGLETRANSLATE(A371,""en"",""fr""))"),"")</f>
        <v/>
      </c>
    </row>
    <row r="372" spans="2:2">
      <c r="B372" s="3" t="str">
        <f ca="1">IFERROR(__xludf.DUMMYFUNCTION("IF(ISBLANK(A372),"""",GOOGLETRANSLATE(A372,""en"",""fr""))"),"")</f>
        <v/>
      </c>
    </row>
    <row r="373" spans="2:2">
      <c r="B373" s="3" t="str">
        <f ca="1">IFERROR(__xludf.DUMMYFUNCTION("IF(ISBLANK(A373),"""",GOOGLETRANSLATE(A373,""en"",""fr""))"),"")</f>
        <v/>
      </c>
    </row>
    <row r="374" spans="2:2">
      <c r="B374" s="3" t="str">
        <f ca="1">IFERROR(__xludf.DUMMYFUNCTION("IF(ISBLANK(A374),"""",GOOGLETRANSLATE(A374,""en"",""fr""))"),"")</f>
        <v/>
      </c>
    </row>
    <row r="375" spans="2:2">
      <c r="B375" s="3" t="str">
        <f ca="1">IFERROR(__xludf.DUMMYFUNCTION("IF(ISBLANK(A375),"""",GOOGLETRANSLATE(A375,""en"",""fr""))"),"")</f>
        <v/>
      </c>
    </row>
    <row r="376" spans="2:2">
      <c r="B376" s="3" t="str">
        <f ca="1">IFERROR(__xludf.DUMMYFUNCTION("IF(ISBLANK(A376),"""",GOOGLETRANSLATE(A376,""en"",""fr""))"),"")</f>
        <v/>
      </c>
    </row>
    <row r="377" spans="2:2">
      <c r="B377" s="3" t="str">
        <f ca="1">IFERROR(__xludf.DUMMYFUNCTION("IF(ISBLANK(A377),"""",GOOGLETRANSLATE(A377,""en"",""fr""))"),"")</f>
        <v/>
      </c>
    </row>
    <row r="378" spans="2:2">
      <c r="B378" s="3" t="str">
        <f ca="1">IFERROR(__xludf.DUMMYFUNCTION("IF(ISBLANK(A378),"""",GOOGLETRANSLATE(A378,""en"",""fr""))"),"")</f>
        <v/>
      </c>
    </row>
    <row r="379" spans="2:2">
      <c r="B379" s="3" t="str">
        <f ca="1">IFERROR(__xludf.DUMMYFUNCTION("IF(ISBLANK(A379),"""",GOOGLETRANSLATE(A379,""en"",""fr""))"),"")</f>
        <v/>
      </c>
    </row>
    <row r="380" spans="2:2">
      <c r="B380" s="3" t="str">
        <f ca="1">IFERROR(__xludf.DUMMYFUNCTION("IF(ISBLANK(A380),"""",GOOGLETRANSLATE(A380,""en"",""fr""))"),"")</f>
        <v/>
      </c>
    </row>
    <row r="381" spans="2:2">
      <c r="B381" s="3" t="str">
        <f ca="1">IFERROR(__xludf.DUMMYFUNCTION("IF(ISBLANK(A381),"""",GOOGLETRANSLATE(A381,""en"",""fr""))"),"")</f>
        <v/>
      </c>
    </row>
    <row r="382" spans="2:2">
      <c r="B382" s="3" t="str">
        <f ca="1">IFERROR(__xludf.DUMMYFUNCTION("IF(ISBLANK(A382),"""",GOOGLETRANSLATE(A382,""en"",""fr""))"),"")</f>
        <v/>
      </c>
    </row>
    <row r="383" spans="2:2">
      <c r="B383" s="3" t="str">
        <f ca="1">IFERROR(__xludf.DUMMYFUNCTION("IF(ISBLANK(A383),"""",GOOGLETRANSLATE(A383,""en"",""fr""))"),"")</f>
        <v/>
      </c>
    </row>
    <row r="384" spans="2:2">
      <c r="B384" s="3" t="str">
        <f ca="1">IFERROR(__xludf.DUMMYFUNCTION("IF(ISBLANK(A384),"""",GOOGLETRANSLATE(A384,""en"",""fr""))"),"")</f>
        <v/>
      </c>
    </row>
    <row r="385" spans="2:2">
      <c r="B385" s="3" t="str">
        <f ca="1">IFERROR(__xludf.DUMMYFUNCTION("IF(ISBLANK(A385),"""",GOOGLETRANSLATE(A385,""en"",""fr""))"),"")</f>
        <v/>
      </c>
    </row>
    <row r="386" spans="2:2">
      <c r="B386" s="3" t="str">
        <f ca="1">IFERROR(__xludf.DUMMYFUNCTION("IF(ISBLANK(A386),"""",GOOGLETRANSLATE(A386,""en"",""fr""))"),"")</f>
        <v/>
      </c>
    </row>
    <row r="387" spans="2:2">
      <c r="B387" s="3" t="str">
        <f ca="1">IFERROR(__xludf.DUMMYFUNCTION("IF(ISBLANK(A387),"""",GOOGLETRANSLATE(A387,""en"",""fr""))"),"")</f>
        <v/>
      </c>
    </row>
    <row r="388" spans="2:2">
      <c r="B388" s="3" t="str">
        <f ca="1">IFERROR(__xludf.DUMMYFUNCTION("IF(ISBLANK(A388),"""",GOOGLETRANSLATE(A388,""en"",""fr""))"),"")</f>
        <v/>
      </c>
    </row>
    <row r="389" spans="2:2">
      <c r="B389" s="3" t="str">
        <f ca="1">IFERROR(__xludf.DUMMYFUNCTION("IF(ISBLANK(A389),"""",GOOGLETRANSLATE(A389,""en"",""fr""))"),"")</f>
        <v/>
      </c>
    </row>
    <row r="390" spans="2:2">
      <c r="B390" s="3" t="str">
        <f ca="1">IFERROR(__xludf.DUMMYFUNCTION("IF(ISBLANK(A390),"""",GOOGLETRANSLATE(A390,""en"",""fr""))"),"")</f>
        <v/>
      </c>
    </row>
    <row r="391" spans="2:2">
      <c r="B391" s="3" t="str">
        <f ca="1">IFERROR(__xludf.DUMMYFUNCTION("IF(ISBLANK(A391),"""",GOOGLETRANSLATE(A391,""en"",""fr""))"),"")</f>
        <v/>
      </c>
    </row>
    <row r="392" spans="2:2">
      <c r="B392" s="3" t="str">
        <f ca="1">IFERROR(__xludf.DUMMYFUNCTION("IF(ISBLANK(A392),"""",GOOGLETRANSLATE(A392,""en"",""fr""))"),"")</f>
        <v/>
      </c>
    </row>
    <row r="393" spans="2:2">
      <c r="B393" s="3" t="str">
        <f ca="1">IFERROR(__xludf.DUMMYFUNCTION("IF(ISBLANK(A393),"""",GOOGLETRANSLATE(A393,""en"",""fr""))"),"")</f>
        <v/>
      </c>
    </row>
    <row r="394" spans="2:2">
      <c r="B394" s="3" t="str">
        <f ca="1">IFERROR(__xludf.DUMMYFUNCTION("IF(ISBLANK(A394),"""",GOOGLETRANSLATE(A394,""en"",""fr""))"),"")</f>
        <v/>
      </c>
    </row>
    <row r="395" spans="2:2">
      <c r="B395" s="3" t="str">
        <f ca="1">IFERROR(__xludf.DUMMYFUNCTION("IF(ISBLANK(A395),"""",GOOGLETRANSLATE(A395,""en"",""fr""))"),"")</f>
        <v/>
      </c>
    </row>
    <row r="396" spans="2:2">
      <c r="B396" s="3" t="str">
        <f ca="1">IFERROR(__xludf.DUMMYFUNCTION("IF(ISBLANK(A396),"""",GOOGLETRANSLATE(A396,""en"",""fr""))"),"")</f>
        <v/>
      </c>
    </row>
    <row r="397" spans="2:2">
      <c r="B397" s="3" t="str">
        <f ca="1">IFERROR(__xludf.DUMMYFUNCTION("IF(ISBLANK(A397),"""",GOOGLETRANSLATE(A397,""en"",""fr""))"),"")</f>
        <v/>
      </c>
    </row>
    <row r="398" spans="2:2">
      <c r="B398" s="3" t="str">
        <f ca="1">IFERROR(__xludf.DUMMYFUNCTION("IF(ISBLANK(A398),"""",GOOGLETRANSLATE(A398,""en"",""fr""))"),"")</f>
        <v/>
      </c>
    </row>
    <row r="399" spans="2:2">
      <c r="B399" s="3" t="str">
        <f ca="1">IFERROR(__xludf.DUMMYFUNCTION("IF(ISBLANK(A399),"""",GOOGLETRANSLATE(A399,""en"",""fr""))"),"")</f>
        <v/>
      </c>
    </row>
    <row r="400" spans="2:2">
      <c r="B400" s="3" t="str">
        <f ca="1">IFERROR(__xludf.DUMMYFUNCTION("IF(ISBLANK(A400),"""",GOOGLETRANSLATE(A400,""en"",""fr""))"),"")</f>
        <v/>
      </c>
    </row>
    <row r="401" spans="2:2">
      <c r="B401" s="3" t="str">
        <f ca="1">IFERROR(__xludf.DUMMYFUNCTION("IF(ISBLANK(A401),"""",GOOGLETRANSLATE(A401,""en"",""fr""))"),"")</f>
        <v/>
      </c>
    </row>
    <row r="402" spans="2:2">
      <c r="B402" s="3" t="str">
        <f ca="1">IFERROR(__xludf.DUMMYFUNCTION("IF(ISBLANK(A402),"""",GOOGLETRANSLATE(A402,""en"",""fr""))"),"")</f>
        <v/>
      </c>
    </row>
    <row r="403" spans="2:2">
      <c r="B403" s="3" t="str">
        <f ca="1">IFERROR(__xludf.DUMMYFUNCTION("IF(ISBLANK(A403),"""",GOOGLETRANSLATE(A403,""en"",""fr""))"),"")</f>
        <v/>
      </c>
    </row>
    <row r="404" spans="2:2">
      <c r="B404" s="3" t="str">
        <f ca="1">IFERROR(__xludf.DUMMYFUNCTION("IF(ISBLANK(A404),"""",GOOGLETRANSLATE(A404,""en"",""fr""))"),"")</f>
        <v/>
      </c>
    </row>
    <row r="405" spans="2:2">
      <c r="B405" s="3" t="str">
        <f ca="1">IFERROR(__xludf.DUMMYFUNCTION("IF(ISBLANK(A405),"""",GOOGLETRANSLATE(A405,""en"",""fr""))"),"")</f>
        <v/>
      </c>
    </row>
    <row r="406" spans="2:2">
      <c r="B406" s="3" t="str">
        <f ca="1">IFERROR(__xludf.DUMMYFUNCTION("IF(ISBLANK(A406),"""",GOOGLETRANSLATE(A406,""en"",""fr""))"),"")</f>
        <v/>
      </c>
    </row>
    <row r="407" spans="2:2">
      <c r="B407" s="3" t="str">
        <f ca="1">IFERROR(__xludf.DUMMYFUNCTION("IF(ISBLANK(A407),"""",GOOGLETRANSLATE(A407,""en"",""fr""))"),"")</f>
        <v/>
      </c>
    </row>
    <row r="408" spans="2:2">
      <c r="B408" s="3" t="str">
        <f ca="1">IFERROR(__xludf.DUMMYFUNCTION("IF(ISBLANK(A408),"""",GOOGLETRANSLATE(A408,""en"",""fr""))"),"")</f>
        <v/>
      </c>
    </row>
    <row r="409" spans="2:2">
      <c r="B409" s="3" t="str">
        <f ca="1">IFERROR(__xludf.DUMMYFUNCTION("IF(ISBLANK(A409),"""",GOOGLETRANSLATE(A409,""en"",""fr""))"),"")</f>
        <v/>
      </c>
    </row>
    <row r="410" spans="2:2">
      <c r="B410" s="3" t="str">
        <f ca="1">IFERROR(__xludf.DUMMYFUNCTION("IF(ISBLANK(A410),"""",GOOGLETRANSLATE(A410,""en"",""fr""))"),"")</f>
        <v/>
      </c>
    </row>
    <row r="411" spans="2:2">
      <c r="B411" s="3" t="str">
        <f ca="1">IFERROR(__xludf.DUMMYFUNCTION("IF(ISBLANK(A411),"""",GOOGLETRANSLATE(A411,""en"",""fr""))"),"")</f>
        <v/>
      </c>
    </row>
    <row r="412" spans="2:2">
      <c r="B412" s="3" t="str">
        <f ca="1">IFERROR(__xludf.DUMMYFUNCTION("IF(ISBLANK(A412),"""",GOOGLETRANSLATE(A412,""en"",""fr""))"),"")</f>
        <v/>
      </c>
    </row>
    <row r="413" spans="2:2">
      <c r="B413" s="3" t="str">
        <f ca="1">IFERROR(__xludf.DUMMYFUNCTION("IF(ISBLANK(A413),"""",GOOGLETRANSLATE(A413,""en"",""fr""))"),"")</f>
        <v/>
      </c>
    </row>
    <row r="414" spans="2:2">
      <c r="B414" s="3" t="str">
        <f ca="1">IFERROR(__xludf.DUMMYFUNCTION("IF(ISBLANK(A414),"""",GOOGLETRANSLATE(A414,""en"",""fr""))"),"")</f>
        <v/>
      </c>
    </row>
    <row r="415" spans="2:2">
      <c r="B415" s="3" t="str">
        <f ca="1">IFERROR(__xludf.DUMMYFUNCTION("IF(ISBLANK(A415),"""",GOOGLETRANSLATE(A415,""en"",""fr""))"),"")</f>
        <v/>
      </c>
    </row>
    <row r="416" spans="2:2">
      <c r="B416" s="3" t="str">
        <f ca="1">IFERROR(__xludf.DUMMYFUNCTION("IF(ISBLANK(A416),"""",GOOGLETRANSLATE(A416,""en"",""fr""))"),"")</f>
        <v/>
      </c>
    </row>
    <row r="417" spans="2:2">
      <c r="B417" s="3" t="str">
        <f ca="1">IFERROR(__xludf.DUMMYFUNCTION("IF(ISBLANK(A417),"""",GOOGLETRANSLATE(A417,""en"",""fr""))"),"")</f>
        <v/>
      </c>
    </row>
    <row r="418" spans="2:2">
      <c r="B418" s="3" t="str">
        <f ca="1">IFERROR(__xludf.DUMMYFUNCTION("IF(ISBLANK(A418),"""",GOOGLETRANSLATE(A418,""en"",""fr""))"),"")</f>
        <v/>
      </c>
    </row>
    <row r="419" spans="2:2">
      <c r="B419" s="3" t="str">
        <f ca="1">IFERROR(__xludf.DUMMYFUNCTION("IF(ISBLANK(A419),"""",GOOGLETRANSLATE(A419,""en"",""fr""))"),"")</f>
        <v/>
      </c>
    </row>
    <row r="420" spans="2:2">
      <c r="B420" s="3" t="str">
        <f ca="1">IFERROR(__xludf.DUMMYFUNCTION("IF(ISBLANK(A420),"""",GOOGLETRANSLATE(A420,""en"",""fr""))"),"")</f>
        <v/>
      </c>
    </row>
    <row r="421" spans="2:2">
      <c r="B421" s="3" t="str">
        <f ca="1">IFERROR(__xludf.DUMMYFUNCTION("IF(ISBLANK(A421),"""",GOOGLETRANSLATE(A421,""en"",""fr""))"),"")</f>
        <v/>
      </c>
    </row>
    <row r="422" spans="2:2">
      <c r="B422" s="3" t="str">
        <f ca="1">IFERROR(__xludf.DUMMYFUNCTION("IF(ISBLANK(A422),"""",GOOGLETRANSLATE(A422,""en"",""fr""))"),"")</f>
        <v/>
      </c>
    </row>
    <row r="423" spans="2:2">
      <c r="B423" s="3" t="str">
        <f ca="1">IFERROR(__xludf.DUMMYFUNCTION("IF(ISBLANK(A423),"""",GOOGLETRANSLATE(A423,""en"",""fr""))"),"")</f>
        <v/>
      </c>
    </row>
    <row r="424" spans="2:2">
      <c r="B424" s="3" t="str">
        <f ca="1">IFERROR(__xludf.DUMMYFUNCTION("IF(ISBLANK(A424),"""",GOOGLETRANSLATE(A424,""en"",""fr""))"),"")</f>
        <v/>
      </c>
    </row>
    <row r="425" spans="2:2">
      <c r="B425" s="3" t="str">
        <f ca="1">IFERROR(__xludf.DUMMYFUNCTION("IF(ISBLANK(A425),"""",GOOGLETRANSLATE(A425,""en"",""fr""))"),"")</f>
        <v/>
      </c>
    </row>
    <row r="426" spans="2:2">
      <c r="B426" s="3" t="str">
        <f ca="1">IFERROR(__xludf.DUMMYFUNCTION("IF(ISBLANK(A426),"""",GOOGLETRANSLATE(A426,""en"",""fr""))"),"")</f>
        <v/>
      </c>
    </row>
    <row r="427" spans="2:2">
      <c r="B427" s="3" t="str">
        <f ca="1">IFERROR(__xludf.DUMMYFUNCTION("IF(ISBLANK(A427),"""",GOOGLETRANSLATE(A427,""en"",""fr""))"),"")</f>
        <v/>
      </c>
    </row>
    <row r="428" spans="2:2">
      <c r="B428" s="3" t="str">
        <f ca="1">IFERROR(__xludf.DUMMYFUNCTION("IF(ISBLANK(A428),"""",GOOGLETRANSLATE(A428,""en"",""fr""))"),"")</f>
        <v/>
      </c>
    </row>
    <row r="429" spans="2:2">
      <c r="B429" s="3" t="str">
        <f ca="1">IFERROR(__xludf.DUMMYFUNCTION("IF(ISBLANK(A429),"""",GOOGLETRANSLATE(A429,""en"",""fr""))"),"")</f>
        <v/>
      </c>
    </row>
    <row r="430" spans="2:2">
      <c r="B430" s="3" t="str">
        <f ca="1">IFERROR(__xludf.DUMMYFUNCTION("IF(ISBLANK(A430),"""",GOOGLETRANSLATE(A430,""en"",""fr""))"),"")</f>
        <v/>
      </c>
    </row>
    <row r="431" spans="2:2">
      <c r="B431" s="3" t="str">
        <f ca="1">IFERROR(__xludf.DUMMYFUNCTION("IF(ISBLANK(A431),"""",GOOGLETRANSLATE(A431,""en"",""fr""))"),"")</f>
        <v/>
      </c>
    </row>
    <row r="432" spans="2:2">
      <c r="B432" s="3" t="str">
        <f ca="1">IFERROR(__xludf.DUMMYFUNCTION("IF(ISBLANK(A432),"""",GOOGLETRANSLATE(A432,""en"",""fr""))"),"")</f>
        <v/>
      </c>
    </row>
    <row r="433" spans="2:2">
      <c r="B433" s="3" t="str">
        <f ca="1">IFERROR(__xludf.DUMMYFUNCTION("IF(ISBLANK(A433),"""",GOOGLETRANSLATE(A433,""en"",""fr""))"),"")</f>
        <v/>
      </c>
    </row>
    <row r="434" spans="2:2">
      <c r="B434" s="3" t="str">
        <f ca="1">IFERROR(__xludf.DUMMYFUNCTION("IF(ISBLANK(A434),"""",GOOGLETRANSLATE(A434,""en"",""fr""))"),"")</f>
        <v/>
      </c>
    </row>
    <row r="435" spans="2:2">
      <c r="B435" s="3" t="str">
        <f ca="1">IFERROR(__xludf.DUMMYFUNCTION("IF(ISBLANK(A435),"""",GOOGLETRANSLATE(A435,""en"",""fr""))"),"")</f>
        <v/>
      </c>
    </row>
    <row r="436" spans="2:2">
      <c r="B436" s="3" t="str">
        <f ca="1">IFERROR(__xludf.DUMMYFUNCTION("IF(ISBLANK(A436),"""",GOOGLETRANSLATE(A436,""en"",""fr""))"),"")</f>
        <v/>
      </c>
    </row>
    <row r="437" spans="2:2">
      <c r="B437" s="3" t="str">
        <f ca="1">IFERROR(__xludf.DUMMYFUNCTION("IF(ISBLANK(A437),"""",GOOGLETRANSLATE(A437,""en"",""fr""))"),"")</f>
        <v/>
      </c>
    </row>
    <row r="438" spans="2:2">
      <c r="B438" s="3" t="str">
        <f ca="1">IFERROR(__xludf.DUMMYFUNCTION("IF(ISBLANK(A438),"""",GOOGLETRANSLATE(A438,""en"",""fr""))"),"")</f>
        <v/>
      </c>
    </row>
    <row r="439" spans="2:2">
      <c r="B439" s="3" t="str">
        <f ca="1">IFERROR(__xludf.DUMMYFUNCTION("IF(ISBLANK(A439),"""",GOOGLETRANSLATE(A439,""en"",""fr""))"),"")</f>
        <v/>
      </c>
    </row>
    <row r="440" spans="2:2">
      <c r="B440" s="3" t="str">
        <f ca="1">IFERROR(__xludf.DUMMYFUNCTION("IF(ISBLANK(A440),"""",GOOGLETRANSLATE(A440,""en"",""fr""))"),"")</f>
        <v/>
      </c>
    </row>
    <row r="441" spans="2:2">
      <c r="B441" s="3" t="str">
        <f ca="1">IFERROR(__xludf.DUMMYFUNCTION("IF(ISBLANK(A441),"""",GOOGLETRANSLATE(A441,""en"",""fr""))"),"")</f>
        <v/>
      </c>
    </row>
    <row r="442" spans="2:2">
      <c r="B442" s="3" t="str">
        <f ca="1">IFERROR(__xludf.DUMMYFUNCTION("IF(ISBLANK(A442),"""",GOOGLETRANSLATE(A442,""en"",""fr""))"),"")</f>
        <v/>
      </c>
    </row>
    <row r="443" spans="2:2">
      <c r="B443" s="3" t="str">
        <f ca="1">IFERROR(__xludf.DUMMYFUNCTION("IF(ISBLANK(A443),"""",GOOGLETRANSLATE(A443,""en"",""fr""))"),"")</f>
        <v/>
      </c>
    </row>
    <row r="444" spans="2:2">
      <c r="B444" s="3" t="str">
        <f ca="1">IFERROR(__xludf.DUMMYFUNCTION("IF(ISBLANK(A444),"""",GOOGLETRANSLATE(A444,""en"",""fr""))"),"")</f>
        <v/>
      </c>
    </row>
    <row r="445" spans="2:2">
      <c r="B445" s="3" t="str">
        <f ca="1">IFERROR(__xludf.DUMMYFUNCTION("IF(ISBLANK(A445),"""",GOOGLETRANSLATE(A445,""en"",""fr""))"),"")</f>
        <v/>
      </c>
    </row>
    <row r="446" spans="2:2">
      <c r="B446" s="3" t="str">
        <f ca="1">IFERROR(__xludf.DUMMYFUNCTION("IF(ISBLANK(A446),"""",GOOGLETRANSLATE(A446,""en"",""fr""))"),"")</f>
        <v/>
      </c>
    </row>
    <row r="447" spans="2:2">
      <c r="B447" s="3" t="str">
        <f ca="1">IFERROR(__xludf.DUMMYFUNCTION("IF(ISBLANK(A447),"""",GOOGLETRANSLATE(A447,""en"",""fr""))"),"")</f>
        <v/>
      </c>
    </row>
    <row r="448" spans="2:2">
      <c r="B448" s="3" t="str">
        <f ca="1">IFERROR(__xludf.DUMMYFUNCTION("IF(ISBLANK(A448),"""",GOOGLETRANSLATE(A448,""en"",""fr""))"),"")</f>
        <v/>
      </c>
    </row>
    <row r="449" spans="2:2">
      <c r="B449" s="3" t="str">
        <f ca="1">IFERROR(__xludf.DUMMYFUNCTION("IF(ISBLANK(A449),"""",GOOGLETRANSLATE(A449,""en"",""fr""))"),"")</f>
        <v/>
      </c>
    </row>
    <row r="450" spans="2:2">
      <c r="B450" s="3" t="str">
        <f ca="1">IFERROR(__xludf.DUMMYFUNCTION("IF(ISBLANK(A450),"""",GOOGLETRANSLATE(A450,""en"",""fr""))"),"")</f>
        <v/>
      </c>
    </row>
    <row r="451" spans="2:2">
      <c r="B451" s="3" t="str">
        <f ca="1">IFERROR(__xludf.DUMMYFUNCTION("IF(ISBLANK(A451),"""",GOOGLETRANSLATE(A451,""en"",""fr""))"),"")</f>
        <v/>
      </c>
    </row>
    <row r="452" spans="2:2">
      <c r="B452" s="3" t="str">
        <f ca="1">IFERROR(__xludf.DUMMYFUNCTION("IF(ISBLANK(A452),"""",GOOGLETRANSLATE(A452,""en"",""fr""))"),"")</f>
        <v/>
      </c>
    </row>
    <row r="453" spans="2:2">
      <c r="B453" s="3" t="str">
        <f ca="1">IFERROR(__xludf.DUMMYFUNCTION("IF(ISBLANK(A453),"""",GOOGLETRANSLATE(A453,""en"",""fr""))"),"")</f>
        <v/>
      </c>
    </row>
    <row r="454" spans="2:2">
      <c r="B454" s="3" t="str">
        <f ca="1">IFERROR(__xludf.DUMMYFUNCTION("IF(ISBLANK(A454),"""",GOOGLETRANSLATE(A454,""en"",""fr""))"),"")</f>
        <v/>
      </c>
    </row>
    <row r="455" spans="2:2">
      <c r="B455" s="3" t="str">
        <f ca="1">IFERROR(__xludf.DUMMYFUNCTION("IF(ISBLANK(A455),"""",GOOGLETRANSLATE(A455,""en"",""fr""))"),"")</f>
        <v/>
      </c>
    </row>
    <row r="456" spans="2:2">
      <c r="B456" s="3" t="str">
        <f ca="1">IFERROR(__xludf.DUMMYFUNCTION("IF(ISBLANK(A456),"""",GOOGLETRANSLATE(A456,""en"",""fr""))"),"")</f>
        <v/>
      </c>
    </row>
    <row r="457" spans="2:2">
      <c r="B457" s="3" t="str">
        <f ca="1">IFERROR(__xludf.DUMMYFUNCTION("IF(ISBLANK(A457),"""",GOOGLETRANSLATE(A457,""en"",""fr""))"),"")</f>
        <v/>
      </c>
    </row>
    <row r="458" spans="2:2">
      <c r="B458" s="3" t="str">
        <f ca="1">IFERROR(__xludf.DUMMYFUNCTION("IF(ISBLANK(A458),"""",GOOGLETRANSLATE(A458,""en"",""fr""))"),"")</f>
        <v/>
      </c>
    </row>
    <row r="459" spans="2:2">
      <c r="B459" s="3" t="str">
        <f ca="1">IFERROR(__xludf.DUMMYFUNCTION("IF(ISBLANK(A459),"""",GOOGLETRANSLATE(A459,""en"",""fr""))"),"")</f>
        <v/>
      </c>
    </row>
    <row r="460" spans="2:2">
      <c r="B460" s="3" t="str">
        <f ca="1">IFERROR(__xludf.DUMMYFUNCTION("IF(ISBLANK(A460),"""",GOOGLETRANSLATE(A460,""en"",""fr""))"),"")</f>
        <v/>
      </c>
    </row>
    <row r="461" spans="2:2">
      <c r="B461" s="3" t="str">
        <f ca="1">IFERROR(__xludf.DUMMYFUNCTION("IF(ISBLANK(A461),"""",GOOGLETRANSLATE(A461,""en"",""fr""))"),"")</f>
        <v/>
      </c>
    </row>
    <row r="462" spans="2:2">
      <c r="B462" s="3" t="str">
        <f ca="1">IFERROR(__xludf.DUMMYFUNCTION("IF(ISBLANK(A462),"""",GOOGLETRANSLATE(A462,""en"",""fr""))"),"")</f>
        <v/>
      </c>
    </row>
    <row r="463" spans="2:2">
      <c r="B463" s="3" t="str">
        <f ca="1">IFERROR(__xludf.DUMMYFUNCTION("IF(ISBLANK(A463),"""",GOOGLETRANSLATE(A463,""en"",""fr""))"),"")</f>
        <v/>
      </c>
    </row>
    <row r="464" spans="2:2">
      <c r="B464" s="3" t="str">
        <f ca="1">IFERROR(__xludf.DUMMYFUNCTION("IF(ISBLANK(A464),"""",GOOGLETRANSLATE(A464,""en"",""fr""))"),"")</f>
        <v/>
      </c>
    </row>
    <row r="465" spans="2:2">
      <c r="B465" s="3" t="str">
        <f ca="1">IFERROR(__xludf.DUMMYFUNCTION("IF(ISBLANK(A465),"""",GOOGLETRANSLATE(A465,""en"",""fr""))"),"")</f>
        <v/>
      </c>
    </row>
    <row r="466" spans="2:2">
      <c r="B466" s="3" t="str">
        <f ca="1">IFERROR(__xludf.DUMMYFUNCTION("IF(ISBLANK(A466),"""",GOOGLETRANSLATE(A466,""en"",""fr""))"),"")</f>
        <v/>
      </c>
    </row>
    <row r="467" spans="2:2">
      <c r="B467" s="3" t="str">
        <f ca="1">IFERROR(__xludf.DUMMYFUNCTION("IF(ISBLANK(A467),"""",GOOGLETRANSLATE(A467,""en"",""fr""))"),"")</f>
        <v/>
      </c>
    </row>
    <row r="468" spans="2:2">
      <c r="B468" s="3" t="str">
        <f ca="1">IFERROR(__xludf.DUMMYFUNCTION("IF(ISBLANK(A468),"""",GOOGLETRANSLATE(A468,""en"",""fr""))"),"")</f>
        <v/>
      </c>
    </row>
    <row r="469" spans="2:2">
      <c r="B469" s="3" t="str">
        <f ca="1">IFERROR(__xludf.DUMMYFUNCTION("IF(ISBLANK(A469),"""",GOOGLETRANSLATE(A469,""en"",""fr""))"),"")</f>
        <v/>
      </c>
    </row>
    <row r="470" spans="2:2">
      <c r="B470" s="3" t="str">
        <f ca="1">IFERROR(__xludf.DUMMYFUNCTION("IF(ISBLANK(A470),"""",GOOGLETRANSLATE(A470,""en"",""fr""))"),"")</f>
        <v/>
      </c>
    </row>
    <row r="471" spans="2:2">
      <c r="B471" s="3" t="str">
        <f ca="1">IFERROR(__xludf.DUMMYFUNCTION("IF(ISBLANK(A471),"""",GOOGLETRANSLATE(A471,""en"",""fr""))"),"")</f>
        <v/>
      </c>
    </row>
    <row r="472" spans="2:2">
      <c r="B472" s="3" t="str">
        <f ca="1">IFERROR(__xludf.DUMMYFUNCTION("IF(ISBLANK(A472),"""",GOOGLETRANSLATE(A472,""en"",""fr""))"),"")</f>
        <v/>
      </c>
    </row>
    <row r="473" spans="2:2">
      <c r="B473" s="3" t="str">
        <f ca="1">IFERROR(__xludf.DUMMYFUNCTION("IF(ISBLANK(A473),"""",GOOGLETRANSLATE(A473,""en"",""fr""))"),"")</f>
        <v/>
      </c>
    </row>
    <row r="474" spans="2:2">
      <c r="B474" s="3" t="str">
        <f ca="1">IFERROR(__xludf.DUMMYFUNCTION("IF(ISBLANK(A474),"""",GOOGLETRANSLATE(A474,""en"",""fr""))"),"")</f>
        <v/>
      </c>
    </row>
    <row r="475" spans="2:2">
      <c r="B475" s="3" t="str">
        <f ca="1">IFERROR(__xludf.DUMMYFUNCTION("IF(ISBLANK(A475),"""",GOOGLETRANSLATE(A475,""en"",""fr""))"),"")</f>
        <v/>
      </c>
    </row>
    <row r="476" spans="2:2">
      <c r="B476" s="3" t="str">
        <f ca="1">IFERROR(__xludf.DUMMYFUNCTION("IF(ISBLANK(A476),"""",GOOGLETRANSLATE(A476,""en"",""fr""))"),"")</f>
        <v/>
      </c>
    </row>
    <row r="477" spans="2:2">
      <c r="B477" s="3" t="str">
        <f ca="1">IFERROR(__xludf.DUMMYFUNCTION("IF(ISBLANK(A477),"""",GOOGLETRANSLATE(A477,""en"",""fr""))"),"")</f>
        <v/>
      </c>
    </row>
    <row r="478" spans="2:2">
      <c r="B478" s="3" t="str">
        <f ca="1">IFERROR(__xludf.DUMMYFUNCTION("IF(ISBLANK(A478),"""",GOOGLETRANSLATE(A478,""en"",""fr""))"),"")</f>
        <v/>
      </c>
    </row>
    <row r="479" spans="2:2">
      <c r="B479" s="3" t="str">
        <f ca="1">IFERROR(__xludf.DUMMYFUNCTION("IF(ISBLANK(A479),"""",GOOGLETRANSLATE(A479,""en"",""fr""))"),"")</f>
        <v/>
      </c>
    </row>
    <row r="480" spans="2:2">
      <c r="B480" s="3" t="str">
        <f ca="1">IFERROR(__xludf.DUMMYFUNCTION("IF(ISBLANK(A480),"""",GOOGLETRANSLATE(A480,""en"",""fr""))"),"")</f>
        <v/>
      </c>
    </row>
    <row r="481" spans="2:2">
      <c r="B481" s="3" t="str">
        <f ca="1">IFERROR(__xludf.DUMMYFUNCTION("IF(ISBLANK(A481),"""",GOOGLETRANSLATE(A481,""en"",""fr""))"),"")</f>
        <v/>
      </c>
    </row>
    <row r="482" spans="2:2">
      <c r="B482" s="3" t="str">
        <f ca="1">IFERROR(__xludf.DUMMYFUNCTION("IF(ISBLANK(A482),"""",GOOGLETRANSLATE(A482,""en"",""fr""))"),"")</f>
        <v/>
      </c>
    </row>
    <row r="483" spans="2:2">
      <c r="B483" s="3" t="str">
        <f ca="1">IFERROR(__xludf.DUMMYFUNCTION("IF(ISBLANK(A483),"""",GOOGLETRANSLATE(A483,""en"",""fr""))"),"")</f>
        <v/>
      </c>
    </row>
    <row r="484" spans="2:2">
      <c r="B484" s="3" t="str">
        <f ca="1">IFERROR(__xludf.DUMMYFUNCTION("IF(ISBLANK(A484),"""",GOOGLETRANSLATE(A484,""en"",""fr""))"),"")</f>
        <v/>
      </c>
    </row>
    <row r="485" spans="2:2">
      <c r="B485" s="3" t="str">
        <f ca="1">IFERROR(__xludf.DUMMYFUNCTION("IF(ISBLANK(A485),"""",GOOGLETRANSLATE(A485,""en"",""fr""))"),"")</f>
        <v/>
      </c>
    </row>
    <row r="486" spans="2:2">
      <c r="B486" s="3" t="str">
        <f ca="1">IFERROR(__xludf.DUMMYFUNCTION("IF(ISBLANK(A486),"""",GOOGLETRANSLATE(A486,""en"",""fr""))"),"")</f>
        <v/>
      </c>
    </row>
    <row r="487" spans="2:2">
      <c r="B487" s="3" t="str">
        <f ca="1">IFERROR(__xludf.DUMMYFUNCTION("IF(ISBLANK(A487),"""",GOOGLETRANSLATE(A487,""en"",""fr""))"),"")</f>
        <v/>
      </c>
    </row>
    <row r="488" spans="2:2">
      <c r="B488" s="3" t="str">
        <f ca="1">IFERROR(__xludf.DUMMYFUNCTION("IF(ISBLANK(A488),"""",GOOGLETRANSLATE(A488,""en"",""fr""))"),"")</f>
        <v/>
      </c>
    </row>
    <row r="489" spans="2:2">
      <c r="B489" s="3" t="str">
        <f ca="1">IFERROR(__xludf.DUMMYFUNCTION("IF(ISBLANK(A489),"""",GOOGLETRANSLATE(A489,""en"",""fr""))"),"")</f>
        <v/>
      </c>
    </row>
    <row r="490" spans="2:2">
      <c r="B490" s="3" t="str">
        <f ca="1">IFERROR(__xludf.DUMMYFUNCTION("IF(ISBLANK(A490),"""",GOOGLETRANSLATE(A490,""en"",""fr""))"),"")</f>
        <v/>
      </c>
    </row>
    <row r="491" spans="2:2">
      <c r="B491" s="3" t="str">
        <f ca="1">IFERROR(__xludf.DUMMYFUNCTION("IF(ISBLANK(A491),"""",GOOGLETRANSLATE(A491,""en"",""fr""))"),"")</f>
        <v/>
      </c>
    </row>
    <row r="492" spans="2:2">
      <c r="B492" s="3" t="str">
        <f ca="1">IFERROR(__xludf.DUMMYFUNCTION("IF(ISBLANK(A492),"""",GOOGLETRANSLATE(A492,""en"",""fr""))"),"")</f>
        <v/>
      </c>
    </row>
    <row r="493" spans="2:2">
      <c r="B493" s="3" t="str">
        <f ca="1">IFERROR(__xludf.DUMMYFUNCTION("IF(ISBLANK(A493),"""",GOOGLETRANSLATE(A493,""en"",""fr""))"),"")</f>
        <v/>
      </c>
    </row>
    <row r="494" spans="2:2">
      <c r="B494" s="3" t="str">
        <f ca="1">IFERROR(__xludf.DUMMYFUNCTION("IF(ISBLANK(A494),"""",GOOGLETRANSLATE(A494,""en"",""fr""))"),"")</f>
        <v/>
      </c>
    </row>
    <row r="495" spans="2:2">
      <c r="B495" s="3" t="str">
        <f ca="1">IFERROR(__xludf.DUMMYFUNCTION("IF(ISBLANK(A495),"""",GOOGLETRANSLATE(A495,""en"",""fr""))"),"")</f>
        <v/>
      </c>
    </row>
    <row r="496" spans="2:2">
      <c r="B496" s="3" t="str">
        <f ca="1">IFERROR(__xludf.DUMMYFUNCTION("IF(ISBLANK(A496),"""",GOOGLETRANSLATE(A496,""en"",""fr""))"),"")</f>
        <v/>
      </c>
    </row>
    <row r="497" spans="2:2">
      <c r="B497" s="3" t="str">
        <f ca="1">IFERROR(__xludf.DUMMYFUNCTION("IF(ISBLANK(A497),"""",GOOGLETRANSLATE(A497,""en"",""fr""))"),"")</f>
        <v/>
      </c>
    </row>
    <row r="498" spans="2:2">
      <c r="B498" s="3" t="str">
        <f ca="1">IFERROR(__xludf.DUMMYFUNCTION("IF(ISBLANK(A498),"""",GOOGLETRANSLATE(A498,""en"",""fr""))"),"")</f>
        <v/>
      </c>
    </row>
    <row r="499" spans="2:2">
      <c r="B499" s="3" t="str">
        <f ca="1">IFERROR(__xludf.DUMMYFUNCTION("IF(ISBLANK(A499),"""",GOOGLETRANSLATE(A499,""en"",""fr""))"),"")</f>
        <v/>
      </c>
    </row>
    <row r="500" spans="2:2">
      <c r="B500" s="3" t="str">
        <f ca="1">IFERROR(__xludf.DUMMYFUNCTION("IF(ISBLANK(A500),"""",GOOGLETRANSLATE(A500,""en"",""fr""))"),"")</f>
        <v/>
      </c>
    </row>
    <row r="501" spans="2:2">
      <c r="B501" s="3" t="str">
        <f ca="1">IFERROR(__xludf.DUMMYFUNCTION("IF(ISBLANK(A501),"""",GOOGLETRANSLATE(A501,""en"",""fr""))"),"")</f>
        <v/>
      </c>
    </row>
    <row r="502" spans="2:2">
      <c r="B502" s="3" t="str">
        <f ca="1">IFERROR(__xludf.DUMMYFUNCTION("IF(ISBLANK(A502),"""",GOOGLETRANSLATE(A502,""en"",""fr""))"),"")</f>
        <v/>
      </c>
    </row>
    <row r="503" spans="2:2">
      <c r="B503" s="3" t="str">
        <f ca="1">IFERROR(__xludf.DUMMYFUNCTION("IF(ISBLANK(A503),"""",GOOGLETRANSLATE(A503,""en"",""fr""))"),"")</f>
        <v/>
      </c>
    </row>
    <row r="504" spans="2:2">
      <c r="B504" s="3" t="str">
        <f ca="1">IFERROR(__xludf.DUMMYFUNCTION("IF(ISBLANK(A504),"""",GOOGLETRANSLATE(A504,""en"",""fr""))"),"")</f>
        <v/>
      </c>
    </row>
    <row r="505" spans="2:2">
      <c r="B505" s="3" t="str">
        <f ca="1">IFERROR(__xludf.DUMMYFUNCTION("IF(ISBLANK(A505),"""",GOOGLETRANSLATE(A505,""en"",""fr""))"),"")</f>
        <v/>
      </c>
    </row>
    <row r="506" spans="2:2">
      <c r="B506" s="3" t="str">
        <f ca="1">IFERROR(__xludf.DUMMYFUNCTION("IF(ISBLANK(A506),"""",GOOGLETRANSLATE(A506,""en"",""fr""))"),"")</f>
        <v/>
      </c>
    </row>
    <row r="507" spans="2:2">
      <c r="B507" s="3" t="str">
        <f ca="1">IFERROR(__xludf.DUMMYFUNCTION("IF(ISBLANK(A507),"""",GOOGLETRANSLATE(A507,""en"",""fr""))"),"")</f>
        <v/>
      </c>
    </row>
    <row r="508" spans="2:2">
      <c r="B508" s="3" t="str">
        <f ca="1">IFERROR(__xludf.DUMMYFUNCTION("IF(ISBLANK(A508),"""",GOOGLETRANSLATE(A508,""en"",""fr""))"),"")</f>
        <v/>
      </c>
    </row>
    <row r="509" spans="2:2">
      <c r="B509" s="3" t="str">
        <f ca="1">IFERROR(__xludf.DUMMYFUNCTION("IF(ISBLANK(A509),"""",GOOGLETRANSLATE(A509,""en"",""fr""))"),"")</f>
        <v/>
      </c>
    </row>
    <row r="510" spans="2:2">
      <c r="B510" s="3" t="str">
        <f ca="1">IFERROR(__xludf.DUMMYFUNCTION("IF(ISBLANK(A510),"""",GOOGLETRANSLATE(A510,""en"",""fr""))"),"")</f>
        <v/>
      </c>
    </row>
    <row r="511" spans="2:2">
      <c r="B511" s="3" t="str">
        <f ca="1">IFERROR(__xludf.DUMMYFUNCTION("IF(ISBLANK(A511),"""",GOOGLETRANSLATE(A511,""en"",""fr""))"),"")</f>
        <v/>
      </c>
    </row>
    <row r="512" spans="2:2">
      <c r="B512" s="3" t="str">
        <f ca="1">IFERROR(__xludf.DUMMYFUNCTION("IF(ISBLANK(A512),"""",GOOGLETRANSLATE(A512,""en"",""fr""))"),"")</f>
        <v/>
      </c>
    </row>
    <row r="513" spans="2:2">
      <c r="B513" s="3" t="str">
        <f ca="1">IFERROR(__xludf.DUMMYFUNCTION("IF(ISBLANK(A513),"""",GOOGLETRANSLATE(A513,""en"",""fr""))"),"")</f>
        <v/>
      </c>
    </row>
    <row r="514" spans="2:2">
      <c r="B514" s="3" t="str">
        <f ca="1">IFERROR(__xludf.DUMMYFUNCTION("IF(ISBLANK(A514),"""",GOOGLETRANSLATE(A514,""en"",""fr""))"),"")</f>
        <v/>
      </c>
    </row>
    <row r="515" spans="2:2">
      <c r="B515" s="3" t="str">
        <f ca="1">IFERROR(__xludf.DUMMYFUNCTION("IF(ISBLANK(A515),"""",GOOGLETRANSLATE(A515,""en"",""fr""))"),"")</f>
        <v/>
      </c>
    </row>
    <row r="516" spans="2:2">
      <c r="B516" s="3" t="str">
        <f ca="1">IFERROR(__xludf.DUMMYFUNCTION("IF(ISBLANK(A516),"""",GOOGLETRANSLATE(A516,""en"",""fr""))"),"")</f>
        <v/>
      </c>
    </row>
    <row r="517" spans="2:2">
      <c r="B517" s="3" t="str">
        <f ca="1">IFERROR(__xludf.DUMMYFUNCTION("IF(ISBLANK(A517),"""",GOOGLETRANSLATE(A517,""en"",""fr""))"),"")</f>
        <v/>
      </c>
    </row>
    <row r="518" spans="2:2">
      <c r="B518" s="3" t="str">
        <f ca="1">IFERROR(__xludf.DUMMYFUNCTION("IF(ISBLANK(A518),"""",GOOGLETRANSLATE(A518,""en"",""fr""))"),"")</f>
        <v/>
      </c>
    </row>
    <row r="519" spans="2:2">
      <c r="B519" s="3" t="str">
        <f ca="1">IFERROR(__xludf.DUMMYFUNCTION("IF(ISBLANK(A519),"""",GOOGLETRANSLATE(A519,""en"",""fr""))"),"")</f>
        <v/>
      </c>
    </row>
    <row r="520" spans="2:2">
      <c r="B520" s="3" t="str">
        <f ca="1">IFERROR(__xludf.DUMMYFUNCTION("IF(ISBLANK(A520),"""",GOOGLETRANSLATE(A520,""en"",""fr""))"),"")</f>
        <v/>
      </c>
    </row>
    <row r="521" spans="2:2">
      <c r="B521" s="3" t="str">
        <f ca="1">IFERROR(__xludf.DUMMYFUNCTION("IF(ISBLANK(A521),"""",GOOGLETRANSLATE(A521,""en"",""fr""))"),"")</f>
        <v/>
      </c>
    </row>
    <row r="522" spans="2:2">
      <c r="B522" s="3" t="str">
        <f ca="1">IFERROR(__xludf.DUMMYFUNCTION("IF(ISBLANK(A522),"""",GOOGLETRANSLATE(A522,""en"",""fr""))"),"")</f>
        <v/>
      </c>
    </row>
    <row r="523" spans="2:2">
      <c r="B523" s="3" t="str">
        <f ca="1">IFERROR(__xludf.DUMMYFUNCTION("IF(ISBLANK(A523),"""",GOOGLETRANSLATE(A523,""en"",""fr""))"),"")</f>
        <v/>
      </c>
    </row>
    <row r="524" spans="2:2">
      <c r="B524" s="3" t="str">
        <f ca="1">IFERROR(__xludf.DUMMYFUNCTION("IF(ISBLANK(A524),"""",GOOGLETRANSLATE(A524,""en"",""fr""))"),"")</f>
        <v/>
      </c>
    </row>
    <row r="525" spans="2:2">
      <c r="B525" s="3" t="str">
        <f ca="1">IFERROR(__xludf.DUMMYFUNCTION("IF(ISBLANK(A525),"""",GOOGLETRANSLATE(A525,""en"",""fr""))"),"")</f>
        <v/>
      </c>
    </row>
    <row r="526" spans="2:2">
      <c r="B526" s="3" t="str">
        <f ca="1">IFERROR(__xludf.DUMMYFUNCTION("IF(ISBLANK(A526),"""",GOOGLETRANSLATE(A526,""en"",""fr""))"),"")</f>
        <v/>
      </c>
    </row>
    <row r="527" spans="2:2">
      <c r="B527" s="3" t="str">
        <f ca="1">IFERROR(__xludf.DUMMYFUNCTION("IF(ISBLANK(A527),"""",GOOGLETRANSLATE(A527,""en"",""fr""))"),"")</f>
        <v/>
      </c>
    </row>
    <row r="528" spans="2:2">
      <c r="B528" s="3" t="str">
        <f ca="1">IFERROR(__xludf.DUMMYFUNCTION("IF(ISBLANK(A528),"""",GOOGLETRANSLATE(A528,""en"",""fr""))"),"")</f>
        <v/>
      </c>
    </row>
    <row r="529" spans="2:2">
      <c r="B529" s="3" t="str">
        <f ca="1">IFERROR(__xludf.DUMMYFUNCTION("IF(ISBLANK(A529),"""",GOOGLETRANSLATE(A529,""en"",""fr""))"),"")</f>
        <v/>
      </c>
    </row>
    <row r="530" spans="2:2">
      <c r="B530" s="3" t="str">
        <f ca="1">IFERROR(__xludf.DUMMYFUNCTION("IF(ISBLANK(A530),"""",GOOGLETRANSLATE(A530,""en"",""fr""))"),"")</f>
        <v/>
      </c>
    </row>
    <row r="531" spans="2:2">
      <c r="B531" s="3" t="str">
        <f ca="1">IFERROR(__xludf.DUMMYFUNCTION("IF(ISBLANK(A531),"""",GOOGLETRANSLATE(A531,""en"",""fr""))"),"")</f>
        <v/>
      </c>
    </row>
    <row r="532" spans="2:2">
      <c r="B532" s="3" t="str">
        <f ca="1">IFERROR(__xludf.DUMMYFUNCTION("IF(ISBLANK(A532),"""",GOOGLETRANSLATE(A532,""en"",""fr""))"),"")</f>
        <v/>
      </c>
    </row>
    <row r="533" spans="2:2">
      <c r="B533" s="3" t="str">
        <f ca="1">IFERROR(__xludf.DUMMYFUNCTION("IF(ISBLANK(A533),"""",GOOGLETRANSLATE(A533,""en"",""fr""))"),"")</f>
        <v/>
      </c>
    </row>
    <row r="534" spans="2:2">
      <c r="B534" s="3" t="str">
        <f ca="1">IFERROR(__xludf.DUMMYFUNCTION("IF(ISBLANK(A534),"""",GOOGLETRANSLATE(A534,""en"",""fr""))"),"")</f>
        <v/>
      </c>
    </row>
    <row r="535" spans="2:2">
      <c r="B535" s="3" t="str">
        <f ca="1">IFERROR(__xludf.DUMMYFUNCTION("IF(ISBLANK(A535),"""",GOOGLETRANSLATE(A535,""en"",""fr""))"),"")</f>
        <v/>
      </c>
    </row>
    <row r="536" spans="2:2">
      <c r="B536" s="3" t="str">
        <f ca="1">IFERROR(__xludf.DUMMYFUNCTION("IF(ISBLANK(A536),"""",GOOGLETRANSLATE(A536,""en"",""fr""))"),"")</f>
        <v/>
      </c>
    </row>
    <row r="537" spans="2:2">
      <c r="B537" s="3" t="str">
        <f ca="1">IFERROR(__xludf.DUMMYFUNCTION("IF(ISBLANK(A537),"""",GOOGLETRANSLATE(A537,""en"",""fr""))"),"")</f>
        <v/>
      </c>
    </row>
    <row r="538" spans="2:2">
      <c r="B538" s="3" t="str">
        <f ca="1">IFERROR(__xludf.DUMMYFUNCTION("IF(ISBLANK(A538),"""",GOOGLETRANSLATE(A538,""en"",""fr""))"),"")</f>
        <v/>
      </c>
    </row>
    <row r="539" spans="2:2">
      <c r="B539" s="3" t="str">
        <f ca="1">IFERROR(__xludf.DUMMYFUNCTION("IF(ISBLANK(A539),"""",GOOGLETRANSLATE(A539,""en"",""fr""))"),"")</f>
        <v/>
      </c>
    </row>
    <row r="540" spans="2:2">
      <c r="B540" s="3" t="str">
        <f ca="1">IFERROR(__xludf.DUMMYFUNCTION("IF(ISBLANK(A540),"""",GOOGLETRANSLATE(A540,""en"",""fr""))"),"")</f>
        <v/>
      </c>
    </row>
    <row r="541" spans="2:2">
      <c r="B541" s="3" t="str">
        <f ca="1">IFERROR(__xludf.DUMMYFUNCTION("IF(ISBLANK(A541),"""",GOOGLETRANSLATE(A541,""en"",""fr""))"),"")</f>
        <v/>
      </c>
    </row>
    <row r="542" spans="2:2">
      <c r="B542" s="3" t="str">
        <f ca="1">IFERROR(__xludf.DUMMYFUNCTION("IF(ISBLANK(A542),"""",GOOGLETRANSLATE(A542,""en"",""fr""))"),"")</f>
        <v/>
      </c>
    </row>
    <row r="543" spans="2:2">
      <c r="B543" s="3" t="str">
        <f ca="1">IFERROR(__xludf.DUMMYFUNCTION("IF(ISBLANK(A543),"""",GOOGLETRANSLATE(A543,""en"",""fr""))"),"")</f>
        <v/>
      </c>
    </row>
    <row r="544" spans="2:2">
      <c r="B544" s="3" t="str">
        <f ca="1">IFERROR(__xludf.DUMMYFUNCTION("IF(ISBLANK(A544),"""",GOOGLETRANSLATE(A544,""en"",""fr""))"),"")</f>
        <v/>
      </c>
    </row>
    <row r="545" spans="2:2">
      <c r="B545" s="3" t="str">
        <f ca="1">IFERROR(__xludf.DUMMYFUNCTION("IF(ISBLANK(A545),"""",GOOGLETRANSLATE(A545,""en"",""fr""))"),"")</f>
        <v/>
      </c>
    </row>
    <row r="546" spans="2:2">
      <c r="B546" s="3" t="str">
        <f ca="1">IFERROR(__xludf.DUMMYFUNCTION("IF(ISBLANK(A546),"""",GOOGLETRANSLATE(A546,""en"",""fr""))"),"")</f>
        <v/>
      </c>
    </row>
    <row r="547" spans="2:2">
      <c r="B547" s="3" t="str">
        <f ca="1">IFERROR(__xludf.DUMMYFUNCTION("IF(ISBLANK(A547),"""",GOOGLETRANSLATE(A547,""en"",""fr""))"),"")</f>
        <v/>
      </c>
    </row>
    <row r="548" spans="2:2">
      <c r="B548" s="3" t="str">
        <f ca="1">IFERROR(__xludf.DUMMYFUNCTION("IF(ISBLANK(A548),"""",GOOGLETRANSLATE(A548,""en"",""fr""))"),"")</f>
        <v/>
      </c>
    </row>
    <row r="549" spans="2:2">
      <c r="B549" s="3" t="str">
        <f ca="1">IFERROR(__xludf.DUMMYFUNCTION("IF(ISBLANK(A549),"""",GOOGLETRANSLATE(A549,""en"",""fr""))"),"")</f>
        <v/>
      </c>
    </row>
    <row r="550" spans="2:2">
      <c r="B550" s="3" t="str">
        <f ca="1">IFERROR(__xludf.DUMMYFUNCTION("IF(ISBLANK(A550),"""",GOOGLETRANSLATE(A550,""en"",""fr""))"),"")</f>
        <v/>
      </c>
    </row>
    <row r="551" spans="2:2">
      <c r="B551" s="3" t="str">
        <f ca="1">IFERROR(__xludf.DUMMYFUNCTION("IF(ISBLANK(A551),"""",GOOGLETRANSLATE(A551,""en"",""fr""))"),"")</f>
        <v/>
      </c>
    </row>
    <row r="552" spans="2:2">
      <c r="B552" s="3" t="str">
        <f ca="1">IFERROR(__xludf.DUMMYFUNCTION("IF(ISBLANK(A552),"""",GOOGLETRANSLATE(A552,""en"",""fr""))"),"")</f>
        <v/>
      </c>
    </row>
    <row r="553" spans="2:2">
      <c r="B553" s="3" t="str">
        <f ca="1">IFERROR(__xludf.DUMMYFUNCTION("IF(ISBLANK(A553),"""",GOOGLETRANSLATE(A553,""en"",""fr""))"),"")</f>
        <v/>
      </c>
    </row>
    <row r="554" spans="2:2">
      <c r="B554" s="3" t="str">
        <f ca="1">IFERROR(__xludf.DUMMYFUNCTION("IF(ISBLANK(A554),"""",GOOGLETRANSLATE(A554,""en"",""fr""))"),"")</f>
        <v/>
      </c>
    </row>
    <row r="555" spans="2:2">
      <c r="B555" s="3" t="str">
        <f ca="1">IFERROR(__xludf.DUMMYFUNCTION("IF(ISBLANK(A555),"""",GOOGLETRANSLATE(A555,""en"",""fr""))"),"")</f>
        <v/>
      </c>
    </row>
    <row r="556" spans="2:2">
      <c r="B556" s="3" t="str">
        <f ca="1">IFERROR(__xludf.DUMMYFUNCTION("IF(ISBLANK(A556),"""",GOOGLETRANSLATE(A556,""en"",""fr""))"),"")</f>
        <v/>
      </c>
    </row>
    <row r="557" spans="2:2">
      <c r="B557" s="3" t="str">
        <f ca="1">IFERROR(__xludf.DUMMYFUNCTION("IF(ISBLANK(A557),"""",GOOGLETRANSLATE(A557,""en"",""fr""))"),"")</f>
        <v/>
      </c>
    </row>
    <row r="558" spans="2:2">
      <c r="B558" s="3" t="str">
        <f ca="1">IFERROR(__xludf.DUMMYFUNCTION("IF(ISBLANK(A558),"""",GOOGLETRANSLATE(A558,""en"",""fr""))"),"")</f>
        <v/>
      </c>
    </row>
    <row r="559" spans="2:2">
      <c r="B559" s="3" t="str">
        <f ca="1">IFERROR(__xludf.DUMMYFUNCTION("IF(ISBLANK(A559),"""",GOOGLETRANSLATE(A559,""en"",""fr""))"),"")</f>
        <v/>
      </c>
    </row>
    <row r="560" spans="2:2">
      <c r="B560" s="3" t="str">
        <f ca="1">IFERROR(__xludf.DUMMYFUNCTION("IF(ISBLANK(A560),"""",GOOGLETRANSLATE(A560,""en"",""fr""))"),"")</f>
        <v/>
      </c>
    </row>
    <row r="561" spans="2:2">
      <c r="B561" s="3" t="str">
        <f ca="1">IFERROR(__xludf.DUMMYFUNCTION("IF(ISBLANK(A561),"""",GOOGLETRANSLATE(A561,""en"",""fr""))"),"")</f>
        <v/>
      </c>
    </row>
    <row r="562" spans="2:2">
      <c r="B562" s="3" t="str">
        <f ca="1">IFERROR(__xludf.DUMMYFUNCTION("IF(ISBLANK(A562),"""",GOOGLETRANSLATE(A562,""en"",""fr""))"),"")</f>
        <v/>
      </c>
    </row>
    <row r="563" spans="2:2">
      <c r="B563" s="3" t="str">
        <f ca="1">IFERROR(__xludf.DUMMYFUNCTION("IF(ISBLANK(A563),"""",GOOGLETRANSLATE(A563,""en"",""fr""))"),"")</f>
        <v/>
      </c>
    </row>
    <row r="564" spans="2:2">
      <c r="B564" s="3" t="str">
        <f ca="1">IFERROR(__xludf.DUMMYFUNCTION("IF(ISBLANK(A564),"""",GOOGLETRANSLATE(A564,""en"",""fr""))"),"")</f>
        <v/>
      </c>
    </row>
    <row r="565" spans="2:2">
      <c r="B565" s="3" t="str">
        <f ca="1">IFERROR(__xludf.DUMMYFUNCTION("IF(ISBLANK(A565),"""",GOOGLETRANSLATE(A565,""en"",""fr""))"),"")</f>
        <v/>
      </c>
    </row>
    <row r="566" spans="2:2">
      <c r="B566" s="3" t="str">
        <f ca="1">IFERROR(__xludf.DUMMYFUNCTION("IF(ISBLANK(A566),"""",GOOGLETRANSLATE(A566,""en"",""fr""))"),"")</f>
        <v/>
      </c>
    </row>
    <row r="567" spans="2:2">
      <c r="B567" s="3" t="str">
        <f ca="1">IFERROR(__xludf.DUMMYFUNCTION("IF(ISBLANK(A567),"""",GOOGLETRANSLATE(A567,""en"",""fr""))"),"")</f>
        <v/>
      </c>
    </row>
    <row r="568" spans="2:2">
      <c r="B568" s="3" t="str">
        <f ca="1">IFERROR(__xludf.DUMMYFUNCTION("IF(ISBLANK(A568),"""",GOOGLETRANSLATE(A568,""en"",""fr""))"),"")</f>
        <v/>
      </c>
    </row>
    <row r="569" spans="2:2">
      <c r="B569" s="3" t="str">
        <f ca="1">IFERROR(__xludf.DUMMYFUNCTION("IF(ISBLANK(A569),"""",GOOGLETRANSLATE(A569,""en"",""fr""))"),"")</f>
        <v/>
      </c>
    </row>
    <row r="570" spans="2:2">
      <c r="B570" s="3" t="str">
        <f ca="1">IFERROR(__xludf.DUMMYFUNCTION("IF(ISBLANK(A570),"""",GOOGLETRANSLATE(A570,""en"",""fr""))"),"")</f>
        <v/>
      </c>
    </row>
    <row r="571" spans="2:2">
      <c r="B571" s="3" t="str">
        <f ca="1">IFERROR(__xludf.DUMMYFUNCTION("IF(ISBLANK(A571),"""",GOOGLETRANSLATE(A571,""en"",""fr""))"),"")</f>
        <v/>
      </c>
    </row>
    <row r="572" spans="2:2">
      <c r="B572" s="3" t="str">
        <f ca="1">IFERROR(__xludf.DUMMYFUNCTION("IF(ISBLANK(A572),"""",GOOGLETRANSLATE(A572,""en"",""fr""))"),"")</f>
        <v/>
      </c>
    </row>
    <row r="573" spans="2:2">
      <c r="B573" s="3" t="str">
        <f ca="1">IFERROR(__xludf.DUMMYFUNCTION("IF(ISBLANK(A573),"""",GOOGLETRANSLATE(A573,""en"",""fr""))"),"")</f>
        <v/>
      </c>
    </row>
    <row r="574" spans="2:2">
      <c r="B574" s="3" t="str">
        <f ca="1">IFERROR(__xludf.DUMMYFUNCTION("IF(ISBLANK(A574),"""",GOOGLETRANSLATE(A574,""en"",""fr""))"),"")</f>
        <v/>
      </c>
    </row>
    <row r="575" spans="2:2">
      <c r="B575" s="3" t="str">
        <f ca="1">IFERROR(__xludf.DUMMYFUNCTION("IF(ISBLANK(A575),"""",GOOGLETRANSLATE(A575,""en"",""fr""))"),"")</f>
        <v/>
      </c>
    </row>
    <row r="576" spans="2:2">
      <c r="B576" s="3" t="str">
        <f ca="1">IFERROR(__xludf.DUMMYFUNCTION("IF(ISBLANK(A576),"""",GOOGLETRANSLATE(A576,""en"",""fr""))"),"")</f>
        <v/>
      </c>
    </row>
    <row r="577" spans="2:2">
      <c r="B577" s="3" t="str">
        <f ca="1">IFERROR(__xludf.DUMMYFUNCTION("IF(ISBLANK(A577),"""",GOOGLETRANSLATE(A577,""en"",""fr""))"),"")</f>
        <v/>
      </c>
    </row>
    <row r="578" spans="2:2">
      <c r="B578" s="3" t="str">
        <f ca="1">IFERROR(__xludf.DUMMYFUNCTION("IF(ISBLANK(A578),"""",GOOGLETRANSLATE(A578,""en"",""fr""))"),"")</f>
        <v/>
      </c>
    </row>
    <row r="579" spans="2:2">
      <c r="B579" s="3" t="str">
        <f ca="1">IFERROR(__xludf.DUMMYFUNCTION("IF(ISBLANK(A579),"""",GOOGLETRANSLATE(A579,""en"",""fr""))"),"")</f>
        <v/>
      </c>
    </row>
    <row r="580" spans="2:2">
      <c r="B580" s="3" t="str">
        <f ca="1">IFERROR(__xludf.DUMMYFUNCTION("IF(ISBLANK(A580),"""",GOOGLETRANSLATE(A580,""en"",""fr""))"),"")</f>
        <v/>
      </c>
    </row>
    <row r="581" spans="2:2">
      <c r="B581" s="3" t="str">
        <f ca="1">IFERROR(__xludf.DUMMYFUNCTION("IF(ISBLANK(A581),"""",GOOGLETRANSLATE(A581,""en"",""fr""))"),"")</f>
        <v/>
      </c>
    </row>
    <row r="582" spans="2:2">
      <c r="B582" s="3" t="str">
        <f ca="1">IFERROR(__xludf.DUMMYFUNCTION("IF(ISBLANK(A582),"""",GOOGLETRANSLATE(A582,""en"",""fr""))"),"")</f>
        <v/>
      </c>
    </row>
    <row r="583" spans="2:2">
      <c r="B583" s="3" t="str">
        <f ca="1">IFERROR(__xludf.DUMMYFUNCTION("IF(ISBLANK(A583),"""",GOOGLETRANSLATE(A583,""en"",""fr""))"),"")</f>
        <v/>
      </c>
    </row>
    <row r="584" spans="2:2">
      <c r="B584" s="3" t="str">
        <f ca="1">IFERROR(__xludf.DUMMYFUNCTION("IF(ISBLANK(A584),"""",GOOGLETRANSLATE(A584,""en"",""fr""))"),"")</f>
        <v/>
      </c>
    </row>
    <row r="585" spans="2:2">
      <c r="B585" s="3" t="str">
        <f ca="1">IFERROR(__xludf.DUMMYFUNCTION("IF(ISBLANK(A585),"""",GOOGLETRANSLATE(A585,""en"",""fr""))"),"")</f>
        <v/>
      </c>
    </row>
    <row r="586" spans="2:2">
      <c r="B586" s="3" t="str">
        <f ca="1">IFERROR(__xludf.DUMMYFUNCTION("IF(ISBLANK(A586),"""",GOOGLETRANSLATE(A586,""en"",""fr""))"),"")</f>
        <v/>
      </c>
    </row>
    <row r="587" spans="2:2">
      <c r="B587" s="3" t="str">
        <f ca="1">IFERROR(__xludf.DUMMYFUNCTION("IF(ISBLANK(A587),"""",GOOGLETRANSLATE(A587,""en"",""fr""))"),"")</f>
        <v/>
      </c>
    </row>
    <row r="588" spans="2:2">
      <c r="B588" s="3" t="str">
        <f ca="1">IFERROR(__xludf.DUMMYFUNCTION("IF(ISBLANK(A588),"""",GOOGLETRANSLATE(A588,""en"",""fr""))"),"")</f>
        <v/>
      </c>
    </row>
    <row r="589" spans="2:2">
      <c r="B589" s="3" t="str">
        <f ca="1">IFERROR(__xludf.DUMMYFUNCTION("IF(ISBLANK(A589),"""",GOOGLETRANSLATE(A589,""en"",""fr""))"),"")</f>
        <v/>
      </c>
    </row>
    <row r="590" spans="2:2">
      <c r="B590" s="3" t="str">
        <f ca="1">IFERROR(__xludf.DUMMYFUNCTION("IF(ISBLANK(A590),"""",GOOGLETRANSLATE(A590,""en"",""fr""))"),"")</f>
        <v/>
      </c>
    </row>
    <row r="591" spans="2:2">
      <c r="B591" s="3" t="str">
        <f ca="1">IFERROR(__xludf.DUMMYFUNCTION("IF(ISBLANK(A591),"""",GOOGLETRANSLATE(A591,""en"",""fr""))"),"")</f>
        <v/>
      </c>
    </row>
    <row r="592" spans="2:2">
      <c r="B592" s="3" t="str">
        <f ca="1">IFERROR(__xludf.DUMMYFUNCTION("IF(ISBLANK(A592),"""",GOOGLETRANSLATE(A592,""en"",""fr""))"),"")</f>
        <v/>
      </c>
    </row>
    <row r="593" spans="2:2">
      <c r="B593" s="3" t="str">
        <f ca="1">IFERROR(__xludf.DUMMYFUNCTION("IF(ISBLANK(A593),"""",GOOGLETRANSLATE(A593,""en"",""fr""))"),"")</f>
        <v/>
      </c>
    </row>
    <row r="594" spans="2:2">
      <c r="B594" s="3" t="str">
        <f ca="1">IFERROR(__xludf.DUMMYFUNCTION("IF(ISBLANK(A594),"""",GOOGLETRANSLATE(A594,""en"",""fr""))"),"")</f>
        <v/>
      </c>
    </row>
    <row r="595" spans="2:2">
      <c r="B595" s="3" t="str">
        <f ca="1">IFERROR(__xludf.DUMMYFUNCTION("IF(ISBLANK(A595),"""",GOOGLETRANSLATE(A595,""en"",""fr""))"),"")</f>
        <v/>
      </c>
    </row>
    <row r="596" spans="2:2">
      <c r="B596" s="3" t="str">
        <f ca="1">IFERROR(__xludf.DUMMYFUNCTION("IF(ISBLANK(A596),"""",GOOGLETRANSLATE(A596,""en"",""fr""))"),"")</f>
        <v/>
      </c>
    </row>
    <row r="597" spans="2:2">
      <c r="B597" s="3" t="str">
        <f ca="1">IFERROR(__xludf.DUMMYFUNCTION("IF(ISBLANK(A597),"""",GOOGLETRANSLATE(A597,""en"",""fr""))"),"")</f>
        <v/>
      </c>
    </row>
    <row r="598" spans="2:2">
      <c r="B598" s="3" t="str">
        <f ca="1">IFERROR(__xludf.DUMMYFUNCTION("IF(ISBLANK(A598),"""",GOOGLETRANSLATE(A598,""en"",""fr""))"),"")</f>
        <v/>
      </c>
    </row>
    <row r="599" spans="2:2">
      <c r="B599" s="3" t="str">
        <f ca="1">IFERROR(__xludf.DUMMYFUNCTION("IF(ISBLANK(A599),"""",GOOGLETRANSLATE(A599,""en"",""fr""))"),"")</f>
        <v/>
      </c>
    </row>
    <row r="600" spans="2:2">
      <c r="B600" s="3" t="str">
        <f ca="1">IFERROR(__xludf.DUMMYFUNCTION("IF(ISBLANK(A600),"""",GOOGLETRANSLATE(A600,""en"",""fr""))"),"")</f>
        <v/>
      </c>
    </row>
    <row r="601" spans="2:2">
      <c r="B601" s="3" t="str">
        <f ca="1">IFERROR(__xludf.DUMMYFUNCTION("IF(ISBLANK(A601),"""",GOOGLETRANSLATE(A601,""en"",""fr""))"),"")</f>
        <v/>
      </c>
    </row>
    <row r="602" spans="2:2">
      <c r="B602" s="3" t="str">
        <f ca="1">IFERROR(__xludf.DUMMYFUNCTION("IF(ISBLANK(A602),"""",GOOGLETRANSLATE(A602,""en"",""fr""))"),"")</f>
        <v/>
      </c>
    </row>
    <row r="603" spans="2:2">
      <c r="B603" s="3" t="str">
        <f ca="1">IFERROR(__xludf.DUMMYFUNCTION("IF(ISBLANK(A603),"""",GOOGLETRANSLATE(A603,""en"",""fr""))"),"")</f>
        <v/>
      </c>
    </row>
    <row r="604" spans="2:2">
      <c r="B604" s="3" t="str">
        <f ca="1">IFERROR(__xludf.DUMMYFUNCTION("IF(ISBLANK(A604),"""",GOOGLETRANSLATE(A604,""en"",""fr""))"),"")</f>
        <v/>
      </c>
    </row>
    <row r="605" spans="2:2">
      <c r="B605" s="3" t="str">
        <f ca="1">IFERROR(__xludf.DUMMYFUNCTION("IF(ISBLANK(A605),"""",GOOGLETRANSLATE(A605,""en"",""fr""))"),"")</f>
        <v/>
      </c>
    </row>
    <row r="606" spans="2:2">
      <c r="B606" s="3" t="str">
        <f ca="1">IFERROR(__xludf.DUMMYFUNCTION("IF(ISBLANK(A606),"""",GOOGLETRANSLATE(A606,""en"",""fr""))"),"")</f>
        <v/>
      </c>
    </row>
    <row r="607" spans="2:2">
      <c r="B607" s="3" t="str">
        <f ca="1">IFERROR(__xludf.DUMMYFUNCTION("IF(ISBLANK(A607),"""",GOOGLETRANSLATE(A607,""en"",""fr""))"),"")</f>
        <v/>
      </c>
    </row>
    <row r="608" spans="2:2">
      <c r="B608" s="3" t="str">
        <f ca="1">IFERROR(__xludf.DUMMYFUNCTION("IF(ISBLANK(A608),"""",GOOGLETRANSLATE(A608,""en"",""fr""))"),"")</f>
        <v/>
      </c>
    </row>
    <row r="609" spans="2:2">
      <c r="B609" s="3" t="str">
        <f ca="1">IFERROR(__xludf.DUMMYFUNCTION("IF(ISBLANK(A609),"""",GOOGLETRANSLATE(A609,""en"",""fr""))"),"")</f>
        <v/>
      </c>
    </row>
    <row r="610" spans="2:2">
      <c r="B610" s="3" t="str">
        <f ca="1">IFERROR(__xludf.DUMMYFUNCTION("IF(ISBLANK(A610),"""",GOOGLETRANSLATE(A610,""en"",""fr""))"),"")</f>
        <v/>
      </c>
    </row>
    <row r="611" spans="2:2">
      <c r="B611" s="3" t="str">
        <f ca="1">IFERROR(__xludf.DUMMYFUNCTION("IF(ISBLANK(A611),"""",GOOGLETRANSLATE(A611,""en"",""fr""))"),"")</f>
        <v/>
      </c>
    </row>
    <row r="612" spans="2:2">
      <c r="B612" s="3" t="str">
        <f ca="1">IFERROR(__xludf.DUMMYFUNCTION("IF(ISBLANK(A612),"""",GOOGLETRANSLATE(A612,""en"",""fr""))"),"")</f>
        <v/>
      </c>
    </row>
    <row r="613" spans="2:2">
      <c r="B613" s="3" t="str">
        <f ca="1">IFERROR(__xludf.DUMMYFUNCTION("IF(ISBLANK(A613),"""",GOOGLETRANSLATE(A613,""en"",""fr""))"),"")</f>
        <v/>
      </c>
    </row>
    <row r="614" spans="2:2">
      <c r="B614" s="3" t="str">
        <f ca="1">IFERROR(__xludf.DUMMYFUNCTION("IF(ISBLANK(A614),"""",GOOGLETRANSLATE(A614,""en"",""fr""))"),"")</f>
        <v/>
      </c>
    </row>
    <row r="615" spans="2:2">
      <c r="B615" s="3" t="str">
        <f ca="1">IFERROR(__xludf.DUMMYFUNCTION("IF(ISBLANK(A615),"""",GOOGLETRANSLATE(A615,""en"",""fr""))"),"")</f>
        <v/>
      </c>
    </row>
    <row r="616" spans="2:2">
      <c r="B616" s="3" t="str">
        <f ca="1">IFERROR(__xludf.DUMMYFUNCTION("IF(ISBLANK(A616),"""",GOOGLETRANSLATE(A616,""en"",""fr""))"),"")</f>
        <v/>
      </c>
    </row>
    <row r="617" spans="2:2">
      <c r="B617" s="3" t="str">
        <f ca="1">IFERROR(__xludf.DUMMYFUNCTION("IF(ISBLANK(A617),"""",GOOGLETRANSLATE(A617,""en"",""fr""))"),"")</f>
        <v/>
      </c>
    </row>
    <row r="618" spans="2:2">
      <c r="B618" s="3" t="str">
        <f ca="1">IFERROR(__xludf.DUMMYFUNCTION("IF(ISBLANK(A618),"""",GOOGLETRANSLATE(A618,""en"",""fr""))"),"")</f>
        <v/>
      </c>
    </row>
    <row r="619" spans="2:2">
      <c r="B619" s="3" t="str">
        <f ca="1">IFERROR(__xludf.DUMMYFUNCTION("IF(ISBLANK(A619),"""",GOOGLETRANSLATE(A619,""en"",""fr""))"),"")</f>
        <v/>
      </c>
    </row>
    <row r="620" spans="2:2">
      <c r="B620" s="3" t="str">
        <f ca="1">IFERROR(__xludf.DUMMYFUNCTION("IF(ISBLANK(A620),"""",GOOGLETRANSLATE(A620,""en"",""fr""))"),"")</f>
        <v/>
      </c>
    </row>
    <row r="621" spans="2:2">
      <c r="B621" s="3" t="str">
        <f ca="1">IFERROR(__xludf.DUMMYFUNCTION("IF(ISBLANK(A621),"""",GOOGLETRANSLATE(A621,""en"",""fr""))"),"")</f>
        <v/>
      </c>
    </row>
    <row r="622" spans="2:2">
      <c r="B622" s="3" t="str">
        <f ca="1">IFERROR(__xludf.DUMMYFUNCTION("IF(ISBLANK(A622),"""",GOOGLETRANSLATE(A622,""en"",""fr""))"),"")</f>
        <v/>
      </c>
    </row>
    <row r="623" spans="2:2">
      <c r="B623" s="3" t="str">
        <f ca="1">IFERROR(__xludf.DUMMYFUNCTION("IF(ISBLANK(A623),"""",GOOGLETRANSLATE(A623,""en"",""fr""))"),"")</f>
        <v/>
      </c>
    </row>
    <row r="624" spans="2:2">
      <c r="B624" s="3" t="str">
        <f ca="1">IFERROR(__xludf.DUMMYFUNCTION("IF(ISBLANK(A624),"""",GOOGLETRANSLATE(A624,""en"",""fr""))"),"")</f>
        <v/>
      </c>
    </row>
    <row r="625" spans="2:2">
      <c r="B625" s="3" t="str">
        <f ca="1">IFERROR(__xludf.DUMMYFUNCTION("IF(ISBLANK(A625),"""",GOOGLETRANSLATE(A625,""en"",""fr""))"),"")</f>
        <v/>
      </c>
    </row>
    <row r="626" spans="2:2">
      <c r="B626" s="3" t="str">
        <f ca="1">IFERROR(__xludf.DUMMYFUNCTION("IF(ISBLANK(A626),"""",GOOGLETRANSLATE(A626,""en"",""fr""))"),"")</f>
        <v/>
      </c>
    </row>
    <row r="627" spans="2:2">
      <c r="B627" s="3" t="str">
        <f ca="1">IFERROR(__xludf.DUMMYFUNCTION("IF(ISBLANK(A627),"""",GOOGLETRANSLATE(A627,""en"",""fr""))"),"")</f>
        <v/>
      </c>
    </row>
    <row r="628" spans="2:2">
      <c r="B628" s="3" t="str">
        <f ca="1">IFERROR(__xludf.DUMMYFUNCTION("IF(ISBLANK(A628),"""",GOOGLETRANSLATE(A628,""en"",""fr""))"),"")</f>
        <v/>
      </c>
    </row>
    <row r="629" spans="2:2">
      <c r="B629" s="3" t="str">
        <f ca="1">IFERROR(__xludf.DUMMYFUNCTION("IF(ISBLANK(A629),"""",GOOGLETRANSLATE(A629,""en"",""fr""))"),"")</f>
        <v/>
      </c>
    </row>
    <row r="630" spans="2:2">
      <c r="B630" s="3" t="str">
        <f ca="1">IFERROR(__xludf.DUMMYFUNCTION("IF(ISBLANK(A630),"""",GOOGLETRANSLATE(A630,""en"",""fr""))"),"")</f>
        <v/>
      </c>
    </row>
    <row r="631" spans="2:2">
      <c r="B631" s="3" t="str">
        <f ca="1">IFERROR(__xludf.DUMMYFUNCTION("IF(ISBLANK(A631),"""",GOOGLETRANSLATE(A631,""en"",""fr""))"),"")</f>
        <v/>
      </c>
    </row>
    <row r="632" spans="2:2">
      <c r="B632" s="3" t="str">
        <f ca="1">IFERROR(__xludf.DUMMYFUNCTION("IF(ISBLANK(A632),"""",GOOGLETRANSLATE(A632,""en"",""fr""))"),"")</f>
        <v/>
      </c>
    </row>
    <row r="633" spans="2:2">
      <c r="B633" s="3" t="str">
        <f ca="1">IFERROR(__xludf.DUMMYFUNCTION("IF(ISBLANK(A633),"""",GOOGLETRANSLATE(A633,""en"",""fr""))"),"")</f>
        <v/>
      </c>
    </row>
    <row r="634" spans="2:2">
      <c r="B634" s="3" t="str">
        <f ca="1">IFERROR(__xludf.DUMMYFUNCTION("IF(ISBLANK(A634),"""",GOOGLETRANSLATE(A634,""en"",""fr""))"),"")</f>
        <v/>
      </c>
    </row>
    <row r="635" spans="2:2">
      <c r="B635" s="3" t="str">
        <f ca="1">IFERROR(__xludf.DUMMYFUNCTION("IF(ISBLANK(A635),"""",GOOGLETRANSLATE(A635,""en"",""fr""))"),"")</f>
        <v/>
      </c>
    </row>
    <row r="636" spans="2:2">
      <c r="B636" s="3" t="str">
        <f ca="1">IFERROR(__xludf.DUMMYFUNCTION("IF(ISBLANK(A636),"""",GOOGLETRANSLATE(A636,""en"",""fr""))"),"")</f>
        <v/>
      </c>
    </row>
    <row r="637" spans="2:2">
      <c r="B637" s="3" t="str">
        <f ca="1">IFERROR(__xludf.DUMMYFUNCTION("IF(ISBLANK(A637),"""",GOOGLETRANSLATE(A637,""en"",""fr""))"),"")</f>
        <v/>
      </c>
    </row>
    <row r="638" spans="2:2">
      <c r="B638" s="3" t="str">
        <f ca="1">IFERROR(__xludf.DUMMYFUNCTION("IF(ISBLANK(A638),"""",GOOGLETRANSLATE(A638,""en"",""fr""))"),"")</f>
        <v/>
      </c>
    </row>
    <row r="639" spans="2:2">
      <c r="B639" s="3" t="str">
        <f ca="1">IFERROR(__xludf.DUMMYFUNCTION("IF(ISBLANK(A639),"""",GOOGLETRANSLATE(A639,""en"",""fr""))"),"")</f>
        <v/>
      </c>
    </row>
    <row r="640" spans="2:2">
      <c r="B640" s="3" t="str">
        <f ca="1">IFERROR(__xludf.DUMMYFUNCTION("IF(ISBLANK(A640),"""",GOOGLETRANSLATE(A640,""en"",""fr""))"),"")</f>
        <v/>
      </c>
    </row>
    <row r="641" spans="2:2">
      <c r="B641" s="3" t="str">
        <f ca="1">IFERROR(__xludf.DUMMYFUNCTION("IF(ISBLANK(A641),"""",GOOGLETRANSLATE(A641,""en"",""fr""))"),"")</f>
        <v/>
      </c>
    </row>
    <row r="642" spans="2:2">
      <c r="B642" s="3" t="str">
        <f ca="1">IFERROR(__xludf.DUMMYFUNCTION("IF(ISBLANK(A642),"""",GOOGLETRANSLATE(A642,""en"",""fr""))"),"")</f>
        <v/>
      </c>
    </row>
    <row r="643" spans="2:2">
      <c r="B643" s="3" t="str">
        <f ca="1">IFERROR(__xludf.DUMMYFUNCTION("IF(ISBLANK(A643),"""",GOOGLETRANSLATE(A643,""en"",""fr""))"),"")</f>
        <v/>
      </c>
    </row>
    <row r="644" spans="2:2">
      <c r="B644" s="3" t="str">
        <f ca="1">IFERROR(__xludf.DUMMYFUNCTION("IF(ISBLANK(A644),"""",GOOGLETRANSLATE(A644,""en"",""fr""))"),"")</f>
        <v/>
      </c>
    </row>
    <row r="645" spans="2:2">
      <c r="B645" s="3" t="str">
        <f ca="1">IFERROR(__xludf.DUMMYFUNCTION("IF(ISBLANK(A645),"""",GOOGLETRANSLATE(A645,""en"",""fr""))"),"")</f>
        <v/>
      </c>
    </row>
    <row r="646" spans="2:2">
      <c r="B646" s="3" t="str">
        <f ca="1">IFERROR(__xludf.DUMMYFUNCTION("IF(ISBLANK(A646),"""",GOOGLETRANSLATE(A646,""en"",""fr""))"),"")</f>
        <v/>
      </c>
    </row>
    <row r="647" spans="2:2">
      <c r="B647" s="3" t="str">
        <f ca="1">IFERROR(__xludf.DUMMYFUNCTION("IF(ISBLANK(A647),"""",GOOGLETRANSLATE(A647,""en"",""fr""))"),"")</f>
        <v/>
      </c>
    </row>
    <row r="648" spans="2:2">
      <c r="B648" s="3" t="str">
        <f ca="1">IFERROR(__xludf.DUMMYFUNCTION("IF(ISBLANK(A648),"""",GOOGLETRANSLATE(A648,""en"",""fr""))"),"")</f>
        <v/>
      </c>
    </row>
    <row r="649" spans="2:2">
      <c r="B649" s="3" t="str">
        <f ca="1">IFERROR(__xludf.DUMMYFUNCTION("IF(ISBLANK(A649),"""",GOOGLETRANSLATE(A649,""en"",""fr""))"),"")</f>
        <v/>
      </c>
    </row>
    <row r="650" spans="2:2">
      <c r="B650" s="3" t="str">
        <f ca="1">IFERROR(__xludf.DUMMYFUNCTION("IF(ISBLANK(A650),"""",GOOGLETRANSLATE(A650,""en"",""fr""))"),"")</f>
        <v/>
      </c>
    </row>
    <row r="651" spans="2:2">
      <c r="B651" s="3" t="str">
        <f ca="1">IFERROR(__xludf.DUMMYFUNCTION("IF(ISBLANK(A651),"""",GOOGLETRANSLATE(A651,""en"",""fr""))"),"")</f>
        <v/>
      </c>
    </row>
    <row r="652" spans="2:2">
      <c r="B652" s="3" t="str">
        <f ca="1">IFERROR(__xludf.DUMMYFUNCTION("IF(ISBLANK(A652),"""",GOOGLETRANSLATE(A652,""en"",""fr""))"),"")</f>
        <v/>
      </c>
    </row>
    <row r="653" spans="2:2">
      <c r="B653" s="3" t="str">
        <f ca="1">IFERROR(__xludf.DUMMYFUNCTION("IF(ISBLANK(A653),"""",GOOGLETRANSLATE(A653,""en"",""fr""))"),"")</f>
        <v/>
      </c>
    </row>
    <row r="654" spans="2:2">
      <c r="B654" s="3" t="str">
        <f ca="1">IFERROR(__xludf.DUMMYFUNCTION("IF(ISBLANK(A654),"""",GOOGLETRANSLATE(A654,""en"",""fr""))"),"")</f>
        <v/>
      </c>
    </row>
    <row r="655" spans="2:2">
      <c r="B655" s="3" t="str">
        <f ca="1">IFERROR(__xludf.DUMMYFUNCTION("IF(ISBLANK(A655),"""",GOOGLETRANSLATE(A655,""en"",""fr""))"),"")</f>
        <v/>
      </c>
    </row>
    <row r="656" spans="2:2">
      <c r="B656" s="3" t="str">
        <f ca="1">IFERROR(__xludf.DUMMYFUNCTION("IF(ISBLANK(A656),"""",GOOGLETRANSLATE(A656,""en"",""fr""))"),"")</f>
        <v/>
      </c>
    </row>
    <row r="657" spans="2:2">
      <c r="B657" s="3" t="str">
        <f ca="1">IFERROR(__xludf.DUMMYFUNCTION("IF(ISBLANK(A657),"""",GOOGLETRANSLATE(A657,""en"",""fr""))"),"")</f>
        <v/>
      </c>
    </row>
    <row r="658" spans="2:2">
      <c r="B658" s="3" t="str">
        <f ca="1">IFERROR(__xludf.DUMMYFUNCTION("IF(ISBLANK(A658),"""",GOOGLETRANSLATE(A658,""en"",""fr""))"),"")</f>
        <v/>
      </c>
    </row>
    <row r="659" spans="2:2">
      <c r="B659" s="3" t="str">
        <f ca="1">IFERROR(__xludf.DUMMYFUNCTION("IF(ISBLANK(A659),"""",GOOGLETRANSLATE(A659,""en"",""fr""))"),"")</f>
        <v/>
      </c>
    </row>
    <row r="660" spans="2:2">
      <c r="B660" s="3" t="str">
        <f ca="1">IFERROR(__xludf.DUMMYFUNCTION("IF(ISBLANK(A660),"""",GOOGLETRANSLATE(A660,""en"",""fr""))"),"")</f>
        <v/>
      </c>
    </row>
    <row r="661" spans="2:2">
      <c r="B661" s="3" t="str">
        <f ca="1">IFERROR(__xludf.DUMMYFUNCTION("IF(ISBLANK(A661),"""",GOOGLETRANSLATE(A661,""en"",""fr""))"),"")</f>
        <v/>
      </c>
    </row>
    <row r="662" spans="2:2">
      <c r="B662" s="3" t="str">
        <f ca="1">IFERROR(__xludf.DUMMYFUNCTION("IF(ISBLANK(A662),"""",GOOGLETRANSLATE(A662,""en"",""fr""))"),"")</f>
        <v/>
      </c>
    </row>
    <row r="663" spans="2:2">
      <c r="B663" s="3" t="str">
        <f ca="1">IFERROR(__xludf.DUMMYFUNCTION("IF(ISBLANK(A663),"""",GOOGLETRANSLATE(A663,""en"",""fr""))"),"")</f>
        <v/>
      </c>
    </row>
    <row r="664" spans="2:2">
      <c r="B664" s="3" t="str">
        <f ca="1">IFERROR(__xludf.DUMMYFUNCTION("IF(ISBLANK(A664),"""",GOOGLETRANSLATE(A664,""en"",""fr""))"),"")</f>
        <v/>
      </c>
    </row>
    <row r="665" spans="2:2">
      <c r="B665" s="3" t="str">
        <f ca="1">IFERROR(__xludf.DUMMYFUNCTION("IF(ISBLANK(A665),"""",GOOGLETRANSLATE(A665,""en"",""fr""))"),"")</f>
        <v/>
      </c>
    </row>
    <row r="666" spans="2:2">
      <c r="B666" s="3" t="str">
        <f ca="1">IFERROR(__xludf.DUMMYFUNCTION("IF(ISBLANK(A666),"""",GOOGLETRANSLATE(A666,""en"",""fr""))"),"")</f>
        <v/>
      </c>
    </row>
    <row r="667" spans="2:2">
      <c r="B667" s="3" t="str">
        <f ca="1">IFERROR(__xludf.DUMMYFUNCTION("IF(ISBLANK(A667),"""",GOOGLETRANSLATE(A667,""en"",""fr""))"),"")</f>
        <v/>
      </c>
    </row>
    <row r="668" spans="2:2">
      <c r="B668" s="3" t="str">
        <f ca="1">IFERROR(__xludf.DUMMYFUNCTION("IF(ISBLANK(A668),"""",GOOGLETRANSLATE(A668,""en"",""fr""))"),"")</f>
        <v/>
      </c>
    </row>
    <row r="669" spans="2:2">
      <c r="B669" s="3" t="str">
        <f ca="1">IFERROR(__xludf.DUMMYFUNCTION("IF(ISBLANK(A669),"""",GOOGLETRANSLATE(A669,""en"",""fr""))"),"")</f>
        <v/>
      </c>
    </row>
    <row r="670" spans="2:2">
      <c r="B670" s="3" t="str">
        <f ca="1">IFERROR(__xludf.DUMMYFUNCTION("IF(ISBLANK(A670),"""",GOOGLETRANSLATE(A670,""en"",""fr""))"),"")</f>
        <v/>
      </c>
    </row>
    <row r="671" spans="2:2">
      <c r="B671" s="3" t="str">
        <f ca="1">IFERROR(__xludf.DUMMYFUNCTION("IF(ISBLANK(A671),"""",GOOGLETRANSLATE(A671,""en"",""fr""))"),"")</f>
        <v/>
      </c>
    </row>
    <row r="672" spans="2:2">
      <c r="B672" s="3" t="str">
        <f ca="1">IFERROR(__xludf.DUMMYFUNCTION("IF(ISBLANK(A672),"""",GOOGLETRANSLATE(A672,""en"",""fr""))"),"")</f>
        <v/>
      </c>
    </row>
    <row r="673" spans="2:2">
      <c r="B673" s="3" t="str">
        <f ca="1">IFERROR(__xludf.DUMMYFUNCTION("IF(ISBLANK(A673),"""",GOOGLETRANSLATE(A673,""en"",""fr""))"),"")</f>
        <v/>
      </c>
    </row>
    <row r="674" spans="2:2">
      <c r="B674" s="3" t="str">
        <f ca="1">IFERROR(__xludf.DUMMYFUNCTION("IF(ISBLANK(A674),"""",GOOGLETRANSLATE(A674,""en"",""fr""))"),"")</f>
        <v/>
      </c>
    </row>
    <row r="675" spans="2:2">
      <c r="B675" s="3" t="str">
        <f ca="1">IFERROR(__xludf.DUMMYFUNCTION("IF(ISBLANK(A675),"""",GOOGLETRANSLATE(A675,""en"",""fr""))"),"")</f>
        <v/>
      </c>
    </row>
    <row r="676" spans="2:2">
      <c r="B676" s="3" t="str">
        <f ca="1">IFERROR(__xludf.DUMMYFUNCTION("IF(ISBLANK(A676),"""",GOOGLETRANSLATE(A676,""en"",""fr""))"),"")</f>
        <v/>
      </c>
    </row>
    <row r="677" spans="2:2">
      <c r="B677" s="3" t="str">
        <f ca="1">IFERROR(__xludf.DUMMYFUNCTION("IF(ISBLANK(A677),"""",GOOGLETRANSLATE(A677,""en"",""fr""))"),"")</f>
        <v/>
      </c>
    </row>
    <row r="678" spans="2:2">
      <c r="B678" s="3" t="str">
        <f ca="1">IFERROR(__xludf.DUMMYFUNCTION("IF(ISBLANK(A678),"""",GOOGLETRANSLATE(A678,""en"",""fr""))"),"")</f>
        <v/>
      </c>
    </row>
    <row r="679" spans="2:2">
      <c r="B679" s="3" t="str">
        <f ca="1">IFERROR(__xludf.DUMMYFUNCTION("IF(ISBLANK(A679),"""",GOOGLETRANSLATE(A679,""en"",""fr""))"),"")</f>
        <v/>
      </c>
    </row>
    <row r="680" spans="2:2">
      <c r="B680" s="3" t="str">
        <f ca="1">IFERROR(__xludf.DUMMYFUNCTION("IF(ISBLANK(A680),"""",GOOGLETRANSLATE(A680,""en"",""fr""))"),"")</f>
        <v/>
      </c>
    </row>
    <row r="681" spans="2:2">
      <c r="B681" s="3" t="str">
        <f ca="1">IFERROR(__xludf.DUMMYFUNCTION("IF(ISBLANK(A681),"""",GOOGLETRANSLATE(A681,""en"",""fr""))"),"")</f>
        <v/>
      </c>
    </row>
    <row r="682" spans="2:2">
      <c r="B682" s="3" t="str">
        <f ca="1">IFERROR(__xludf.DUMMYFUNCTION("IF(ISBLANK(A682),"""",GOOGLETRANSLATE(A682,""en"",""fr""))"),"")</f>
        <v/>
      </c>
    </row>
    <row r="683" spans="2:2">
      <c r="B683" s="3" t="str">
        <f ca="1">IFERROR(__xludf.DUMMYFUNCTION("IF(ISBLANK(A683),"""",GOOGLETRANSLATE(A683,""en"",""fr""))"),"")</f>
        <v/>
      </c>
    </row>
    <row r="684" spans="2:2">
      <c r="B684" s="3" t="str">
        <f ca="1">IFERROR(__xludf.DUMMYFUNCTION("IF(ISBLANK(A684),"""",GOOGLETRANSLATE(A684,""en"",""fr""))"),"")</f>
        <v/>
      </c>
    </row>
    <row r="685" spans="2:2">
      <c r="B685" s="3" t="str">
        <f ca="1">IFERROR(__xludf.DUMMYFUNCTION("IF(ISBLANK(A685),"""",GOOGLETRANSLATE(A685,""en"",""fr""))"),"")</f>
        <v/>
      </c>
    </row>
    <row r="686" spans="2:2">
      <c r="B686" s="3" t="str">
        <f ca="1">IFERROR(__xludf.DUMMYFUNCTION("IF(ISBLANK(A686),"""",GOOGLETRANSLATE(A686,""en"",""fr""))"),"")</f>
        <v/>
      </c>
    </row>
    <row r="687" spans="2:2">
      <c r="B687" s="3" t="str">
        <f ca="1">IFERROR(__xludf.DUMMYFUNCTION("IF(ISBLANK(A687),"""",GOOGLETRANSLATE(A687,""en"",""fr""))"),"")</f>
        <v/>
      </c>
    </row>
    <row r="688" spans="2:2">
      <c r="B688" s="3" t="str">
        <f ca="1">IFERROR(__xludf.DUMMYFUNCTION("IF(ISBLANK(A688),"""",GOOGLETRANSLATE(A688,""en"",""fr""))"),"")</f>
        <v/>
      </c>
    </row>
    <row r="689" spans="2:2">
      <c r="B689" s="3" t="str">
        <f ca="1">IFERROR(__xludf.DUMMYFUNCTION("IF(ISBLANK(A689),"""",GOOGLETRANSLATE(A689,""en"",""fr""))"),"")</f>
        <v/>
      </c>
    </row>
    <row r="690" spans="2:2">
      <c r="B690" s="3" t="str">
        <f ca="1">IFERROR(__xludf.DUMMYFUNCTION("IF(ISBLANK(A690),"""",GOOGLETRANSLATE(A690,""en"",""fr""))"),"")</f>
        <v/>
      </c>
    </row>
    <row r="691" spans="2:2">
      <c r="B691" s="3" t="str">
        <f ca="1">IFERROR(__xludf.DUMMYFUNCTION("IF(ISBLANK(A691),"""",GOOGLETRANSLATE(A691,""en"",""fr""))"),"")</f>
        <v/>
      </c>
    </row>
    <row r="692" spans="2:2">
      <c r="B692" s="3" t="str">
        <f ca="1">IFERROR(__xludf.DUMMYFUNCTION("IF(ISBLANK(A692),"""",GOOGLETRANSLATE(A692,""en"",""fr""))"),"")</f>
        <v/>
      </c>
    </row>
    <row r="693" spans="2:2">
      <c r="B693" s="3" t="str">
        <f ca="1">IFERROR(__xludf.DUMMYFUNCTION("IF(ISBLANK(A693),"""",GOOGLETRANSLATE(A693,""en"",""fr""))"),"")</f>
        <v/>
      </c>
    </row>
    <row r="694" spans="2:2">
      <c r="B694" s="3" t="str">
        <f ca="1">IFERROR(__xludf.DUMMYFUNCTION("IF(ISBLANK(A694),"""",GOOGLETRANSLATE(A694,""en"",""fr""))"),"")</f>
        <v/>
      </c>
    </row>
    <row r="695" spans="2:2">
      <c r="B695" s="3" t="str">
        <f ca="1">IFERROR(__xludf.DUMMYFUNCTION("IF(ISBLANK(A695),"""",GOOGLETRANSLATE(A695,""en"",""fr""))"),"")</f>
        <v/>
      </c>
    </row>
    <row r="696" spans="2:2">
      <c r="B696" s="3" t="str">
        <f ca="1">IFERROR(__xludf.DUMMYFUNCTION("IF(ISBLANK(A696),"""",GOOGLETRANSLATE(A696,""en"",""fr""))"),"")</f>
        <v/>
      </c>
    </row>
    <row r="697" spans="2:2">
      <c r="B697" s="3" t="str">
        <f ca="1">IFERROR(__xludf.DUMMYFUNCTION("IF(ISBLANK(A697),"""",GOOGLETRANSLATE(A697,""en"",""fr""))"),"")</f>
        <v/>
      </c>
    </row>
    <row r="698" spans="2:2">
      <c r="B698" s="3" t="str">
        <f ca="1">IFERROR(__xludf.DUMMYFUNCTION("IF(ISBLANK(A698),"""",GOOGLETRANSLATE(A698,""en"",""fr""))"),"")</f>
        <v/>
      </c>
    </row>
    <row r="699" spans="2:2">
      <c r="B699" s="3" t="str">
        <f ca="1">IFERROR(__xludf.DUMMYFUNCTION("IF(ISBLANK(A699),"""",GOOGLETRANSLATE(A699,""en"",""fr""))"),"")</f>
        <v/>
      </c>
    </row>
    <row r="700" spans="2:2">
      <c r="B700" s="3" t="str">
        <f ca="1">IFERROR(__xludf.DUMMYFUNCTION("IF(ISBLANK(A700),"""",GOOGLETRANSLATE(A700,""en"",""fr""))"),"")</f>
        <v/>
      </c>
    </row>
    <row r="701" spans="2:2">
      <c r="B701" s="3" t="str">
        <f ca="1">IFERROR(__xludf.DUMMYFUNCTION("IF(ISBLANK(A701),"""",GOOGLETRANSLATE(A701,""en"",""fr""))"),"")</f>
        <v/>
      </c>
    </row>
    <row r="702" spans="2:2">
      <c r="B702" s="3" t="str">
        <f ca="1">IFERROR(__xludf.DUMMYFUNCTION("IF(ISBLANK(A702),"""",GOOGLETRANSLATE(A702,""en"",""fr""))"),"")</f>
        <v/>
      </c>
    </row>
    <row r="703" spans="2:2">
      <c r="B703" s="3" t="str">
        <f ca="1">IFERROR(__xludf.DUMMYFUNCTION("IF(ISBLANK(A703),"""",GOOGLETRANSLATE(A703,""en"",""fr""))"),"")</f>
        <v/>
      </c>
    </row>
    <row r="704" spans="2:2">
      <c r="B704" s="3" t="str">
        <f ca="1">IFERROR(__xludf.DUMMYFUNCTION("IF(ISBLANK(A704),"""",GOOGLETRANSLATE(A704,""en"",""fr""))"),"")</f>
        <v/>
      </c>
    </row>
    <row r="705" spans="2:2">
      <c r="B705" s="3" t="str">
        <f ca="1">IFERROR(__xludf.DUMMYFUNCTION("IF(ISBLANK(A705),"""",GOOGLETRANSLATE(A705,""en"",""fr""))"),"")</f>
        <v/>
      </c>
    </row>
    <row r="706" spans="2:2">
      <c r="B706" s="3" t="str">
        <f ca="1">IFERROR(__xludf.DUMMYFUNCTION("IF(ISBLANK(A706),"""",GOOGLETRANSLATE(A706,""en"",""fr""))"),"")</f>
        <v/>
      </c>
    </row>
    <row r="707" spans="2:2">
      <c r="B707" s="3" t="str">
        <f ca="1">IFERROR(__xludf.DUMMYFUNCTION("IF(ISBLANK(A707),"""",GOOGLETRANSLATE(A707,""en"",""fr""))"),"")</f>
        <v/>
      </c>
    </row>
    <row r="708" spans="2:2">
      <c r="B708" s="3" t="str">
        <f ca="1">IFERROR(__xludf.DUMMYFUNCTION("IF(ISBLANK(A708),"""",GOOGLETRANSLATE(A708,""en"",""fr""))"),"")</f>
        <v/>
      </c>
    </row>
    <row r="709" spans="2:2">
      <c r="B709" s="3" t="str">
        <f ca="1">IFERROR(__xludf.DUMMYFUNCTION("IF(ISBLANK(A709),"""",GOOGLETRANSLATE(A709,""en"",""fr""))"),"")</f>
        <v/>
      </c>
    </row>
    <row r="710" spans="2:2">
      <c r="B710" s="3" t="str">
        <f ca="1">IFERROR(__xludf.DUMMYFUNCTION("IF(ISBLANK(A710),"""",GOOGLETRANSLATE(A710,""en"",""fr""))"),"")</f>
        <v/>
      </c>
    </row>
    <row r="711" spans="2:2">
      <c r="B711" s="3" t="str">
        <f ca="1">IFERROR(__xludf.DUMMYFUNCTION("IF(ISBLANK(A711),"""",GOOGLETRANSLATE(A711,""en"",""fr""))"),"")</f>
        <v/>
      </c>
    </row>
    <row r="712" spans="2:2">
      <c r="B712" s="3" t="str">
        <f ca="1">IFERROR(__xludf.DUMMYFUNCTION("IF(ISBLANK(A712),"""",GOOGLETRANSLATE(A712,""en"",""fr""))"),"")</f>
        <v/>
      </c>
    </row>
    <row r="713" spans="2:2">
      <c r="B713" s="3" t="str">
        <f ca="1">IFERROR(__xludf.DUMMYFUNCTION("IF(ISBLANK(A713),"""",GOOGLETRANSLATE(A713,""en"",""fr""))"),"")</f>
        <v/>
      </c>
    </row>
    <row r="714" spans="2:2">
      <c r="B714" s="3" t="str">
        <f ca="1">IFERROR(__xludf.DUMMYFUNCTION("IF(ISBLANK(A714),"""",GOOGLETRANSLATE(A714,""en"",""fr""))"),"")</f>
        <v/>
      </c>
    </row>
    <row r="715" spans="2:2">
      <c r="B715" s="3" t="str">
        <f ca="1">IFERROR(__xludf.DUMMYFUNCTION("IF(ISBLANK(A715),"""",GOOGLETRANSLATE(A715,""en"",""fr""))"),"")</f>
        <v/>
      </c>
    </row>
    <row r="716" spans="2:2">
      <c r="B716" s="3" t="str">
        <f ca="1">IFERROR(__xludf.DUMMYFUNCTION("IF(ISBLANK(A716),"""",GOOGLETRANSLATE(A716,""en"",""fr""))"),"")</f>
        <v/>
      </c>
    </row>
    <row r="717" spans="2:2">
      <c r="B717" s="3" t="str">
        <f ca="1">IFERROR(__xludf.DUMMYFUNCTION("IF(ISBLANK(A717),"""",GOOGLETRANSLATE(A717,""en"",""fr""))"),"")</f>
        <v/>
      </c>
    </row>
    <row r="718" spans="2:2">
      <c r="B718" s="3" t="str">
        <f ca="1">IFERROR(__xludf.DUMMYFUNCTION("IF(ISBLANK(A718),"""",GOOGLETRANSLATE(A718,""en"",""fr""))"),"")</f>
        <v/>
      </c>
    </row>
    <row r="719" spans="2:2">
      <c r="B719" s="3" t="str">
        <f ca="1">IFERROR(__xludf.DUMMYFUNCTION("IF(ISBLANK(A719),"""",GOOGLETRANSLATE(A719,""en"",""fr""))"),"")</f>
        <v/>
      </c>
    </row>
    <row r="720" spans="2:2">
      <c r="B720" s="3" t="str">
        <f ca="1">IFERROR(__xludf.DUMMYFUNCTION("IF(ISBLANK(A720),"""",GOOGLETRANSLATE(A720,""en"",""fr""))"),"")</f>
        <v/>
      </c>
    </row>
    <row r="721" spans="2:2">
      <c r="B721" s="3" t="str">
        <f ca="1">IFERROR(__xludf.DUMMYFUNCTION("IF(ISBLANK(A721),"""",GOOGLETRANSLATE(A721,""en"",""fr""))"),"")</f>
        <v/>
      </c>
    </row>
    <row r="722" spans="2:2">
      <c r="B722" s="3" t="str">
        <f ca="1">IFERROR(__xludf.DUMMYFUNCTION("IF(ISBLANK(A722),"""",GOOGLETRANSLATE(A722,""en"",""fr""))"),"")</f>
        <v/>
      </c>
    </row>
    <row r="723" spans="2:2">
      <c r="B723" s="3" t="str">
        <f ca="1">IFERROR(__xludf.DUMMYFUNCTION("IF(ISBLANK(A723),"""",GOOGLETRANSLATE(A723,""en"",""fr""))"),"")</f>
        <v/>
      </c>
    </row>
    <row r="724" spans="2:2">
      <c r="B724" s="3" t="str">
        <f ca="1">IFERROR(__xludf.DUMMYFUNCTION("IF(ISBLANK(A724),"""",GOOGLETRANSLATE(A724,""en"",""fr""))"),"")</f>
        <v/>
      </c>
    </row>
    <row r="725" spans="2:2">
      <c r="B725" s="3" t="str">
        <f ca="1">IFERROR(__xludf.DUMMYFUNCTION("IF(ISBLANK(A725),"""",GOOGLETRANSLATE(A725,""en"",""fr""))"),"")</f>
        <v/>
      </c>
    </row>
    <row r="726" spans="2:2">
      <c r="B726" s="3" t="str">
        <f ca="1">IFERROR(__xludf.DUMMYFUNCTION("IF(ISBLANK(A726),"""",GOOGLETRANSLATE(A726,""en"",""fr""))"),"")</f>
        <v/>
      </c>
    </row>
    <row r="727" spans="2:2">
      <c r="B727" s="3" t="str">
        <f ca="1">IFERROR(__xludf.DUMMYFUNCTION("IF(ISBLANK(A727),"""",GOOGLETRANSLATE(A727,""en"",""fr""))"),"")</f>
        <v/>
      </c>
    </row>
    <row r="728" spans="2:2">
      <c r="B728" s="3" t="str">
        <f ca="1">IFERROR(__xludf.DUMMYFUNCTION("IF(ISBLANK(A728),"""",GOOGLETRANSLATE(A728,""en"",""fr""))"),"")</f>
        <v/>
      </c>
    </row>
    <row r="729" spans="2:2">
      <c r="B729" s="3" t="str">
        <f ca="1">IFERROR(__xludf.DUMMYFUNCTION("IF(ISBLANK(A729),"""",GOOGLETRANSLATE(A729,""en"",""fr""))"),"")</f>
        <v/>
      </c>
    </row>
    <row r="730" spans="2:2">
      <c r="B730" s="3" t="str">
        <f ca="1">IFERROR(__xludf.DUMMYFUNCTION("IF(ISBLANK(A730),"""",GOOGLETRANSLATE(A730,""en"",""fr""))"),"")</f>
        <v/>
      </c>
    </row>
    <row r="731" spans="2:2">
      <c r="B731" s="3" t="str">
        <f ca="1">IFERROR(__xludf.DUMMYFUNCTION("IF(ISBLANK(A731),"""",GOOGLETRANSLATE(A731,""en"",""fr""))"),"")</f>
        <v/>
      </c>
    </row>
    <row r="732" spans="2:2">
      <c r="B732" s="3" t="str">
        <f ca="1">IFERROR(__xludf.DUMMYFUNCTION("IF(ISBLANK(A732),"""",GOOGLETRANSLATE(A732,""en"",""fr""))"),"")</f>
        <v/>
      </c>
    </row>
    <row r="733" spans="2:2">
      <c r="B733" s="3" t="str">
        <f ca="1">IFERROR(__xludf.DUMMYFUNCTION("IF(ISBLANK(A733),"""",GOOGLETRANSLATE(A733,""en"",""fr""))"),"")</f>
        <v/>
      </c>
    </row>
    <row r="734" spans="2:2">
      <c r="B734" s="3" t="str">
        <f ca="1">IFERROR(__xludf.DUMMYFUNCTION("IF(ISBLANK(A734),"""",GOOGLETRANSLATE(A734,""en"",""fr""))"),"")</f>
        <v/>
      </c>
    </row>
    <row r="735" spans="2:2">
      <c r="B735" s="3" t="str">
        <f ca="1">IFERROR(__xludf.DUMMYFUNCTION("IF(ISBLANK(A735),"""",GOOGLETRANSLATE(A735,""en"",""fr""))"),"")</f>
        <v/>
      </c>
    </row>
    <row r="736" spans="2:2">
      <c r="B736" s="3" t="str">
        <f ca="1">IFERROR(__xludf.DUMMYFUNCTION("IF(ISBLANK(A736),"""",GOOGLETRANSLATE(A736,""en"",""fr""))"),"")</f>
        <v/>
      </c>
    </row>
    <row r="737" spans="2:2">
      <c r="B737" s="3" t="str">
        <f ca="1">IFERROR(__xludf.DUMMYFUNCTION("IF(ISBLANK(A737),"""",GOOGLETRANSLATE(A737,""en"",""fr""))"),"")</f>
        <v/>
      </c>
    </row>
    <row r="738" spans="2:2">
      <c r="B738" s="3" t="str">
        <f ca="1">IFERROR(__xludf.DUMMYFUNCTION("IF(ISBLANK(A738),"""",GOOGLETRANSLATE(A738,""en"",""fr""))"),"")</f>
        <v/>
      </c>
    </row>
    <row r="739" spans="2:2">
      <c r="B739" s="3" t="str">
        <f ca="1">IFERROR(__xludf.DUMMYFUNCTION("IF(ISBLANK(A739),"""",GOOGLETRANSLATE(A739,""en"",""fr""))"),"")</f>
        <v/>
      </c>
    </row>
    <row r="740" spans="2:2">
      <c r="B740" s="3" t="str">
        <f ca="1">IFERROR(__xludf.DUMMYFUNCTION("IF(ISBLANK(A740),"""",GOOGLETRANSLATE(A740,""en"",""fr""))"),"")</f>
        <v/>
      </c>
    </row>
    <row r="741" spans="2:2">
      <c r="B741" s="3" t="str">
        <f ca="1">IFERROR(__xludf.DUMMYFUNCTION("IF(ISBLANK(A741),"""",GOOGLETRANSLATE(A741,""en"",""fr""))"),"")</f>
        <v/>
      </c>
    </row>
    <row r="742" spans="2:2">
      <c r="B742" s="3" t="str">
        <f ca="1">IFERROR(__xludf.DUMMYFUNCTION("IF(ISBLANK(A742),"""",GOOGLETRANSLATE(A742,""en"",""fr""))"),"")</f>
        <v/>
      </c>
    </row>
    <row r="743" spans="2:2">
      <c r="B743" s="3" t="str">
        <f ca="1">IFERROR(__xludf.DUMMYFUNCTION("IF(ISBLANK(A743),"""",GOOGLETRANSLATE(A743,""en"",""fr""))"),"")</f>
        <v/>
      </c>
    </row>
    <row r="744" spans="2:2">
      <c r="B744" s="3" t="str">
        <f ca="1">IFERROR(__xludf.DUMMYFUNCTION("IF(ISBLANK(A744),"""",GOOGLETRANSLATE(A744,""en"",""fr""))"),"")</f>
        <v/>
      </c>
    </row>
    <row r="745" spans="2:2">
      <c r="B745" s="3" t="str">
        <f ca="1">IFERROR(__xludf.DUMMYFUNCTION("IF(ISBLANK(A745),"""",GOOGLETRANSLATE(A745,""en"",""fr""))"),"")</f>
        <v/>
      </c>
    </row>
    <row r="746" spans="2:2">
      <c r="B746" s="3" t="str">
        <f ca="1">IFERROR(__xludf.DUMMYFUNCTION("IF(ISBLANK(A746),"""",GOOGLETRANSLATE(A746,""en"",""fr""))"),"")</f>
        <v/>
      </c>
    </row>
    <row r="747" spans="2:2">
      <c r="B747" s="3" t="str">
        <f ca="1">IFERROR(__xludf.DUMMYFUNCTION("IF(ISBLANK(A747),"""",GOOGLETRANSLATE(A747,""en"",""fr""))"),"")</f>
        <v/>
      </c>
    </row>
    <row r="748" spans="2:2">
      <c r="B748" s="3" t="str">
        <f ca="1">IFERROR(__xludf.DUMMYFUNCTION("IF(ISBLANK(A748),"""",GOOGLETRANSLATE(A748,""en"",""fr""))"),"")</f>
        <v/>
      </c>
    </row>
    <row r="749" spans="2:2">
      <c r="B749" s="3" t="str">
        <f ca="1">IFERROR(__xludf.DUMMYFUNCTION("IF(ISBLANK(A749),"""",GOOGLETRANSLATE(A749,""en"",""fr""))"),"")</f>
        <v/>
      </c>
    </row>
    <row r="750" spans="2:2">
      <c r="B750" s="3" t="str">
        <f ca="1">IFERROR(__xludf.DUMMYFUNCTION("IF(ISBLANK(A750),"""",GOOGLETRANSLATE(A750,""en"",""fr""))"),"")</f>
        <v/>
      </c>
    </row>
    <row r="751" spans="2:2">
      <c r="B751" s="3" t="str">
        <f ca="1">IFERROR(__xludf.DUMMYFUNCTION("IF(ISBLANK(A751),"""",GOOGLETRANSLATE(A751,""en"",""fr""))"),"")</f>
        <v/>
      </c>
    </row>
    <row r="752" spans="2:2">
      <c r="B752" s="3" t="str">
        <f ca="1">IFERROR(__xludf.DUMMYFUNCTION("IF(ISBLANK(A752),"""",GOOGLETRANSLATE(A752,""en"",""fr""))"),"")</f>
        <v/>
      </c>
    </row>
    <row r="753" spans="2:2">
      <c r="B753" s="3" t="str">
        <f ca="1">IFERROR(__xludf.DUMMYFUNCTION("IF(ISBLANK(A753),"""",GOOGLETRANSLATE(A753,""en"",""fr""))"),"")</f>
        <v/>
      </c>
    </row>
    <row r="754" spans="2:2">
      <c r="B754" s="3" t="str">
        <f ca="1">IFERROR(__xludf.DUMMYFUNCTION("IF(ISBLANK(A754),"""",GOOGLETRANSLATE(A754,""en"",""fr""))"),"")</f>
        <v/>
      </c>
    </row>
    <row r="755" spans="2:2">
      <c r="B755" s="3" t="str">
        <f ca="1">IFERROR(__xludf.DUMMYFUNCTION("IF(ISBLANK(A755),"""",GOOGLETRANSLATE(A755,""en"",""fr""))"),"")</f>
        <v/>
      </c>
    </row>
    <row r="756" spans="2:2">
      <c r="B756" s="3" t="str">
        <f ca="1">IFERROR(__xludf.DUMMYFUNCTION("IF(ISBLANK(A756),"""",GOOGLETRANSLATE(A756,""en"",""fr""))"),"")</f>
        <v/>
      </c>
    </row>
    <row r="757" spans="2:2">
      <c r="B757" s="3" t="str">
        <f ca="1">IFERROR(__xludf.DUMMYFUNCTION("IF(ISBLANK(A757),"""",GOOGLETRANSLATE(A757,""en"",""fr""))"),"")</f>
        <v/>
      </c>
    </row>
    <row r="758" spans="2:2">
      <c r="B758" s="3" t="str">
        <f ca="1">IFERROR(__xludf.DUMMYFUNCTION("IF(ISBLANK(A758),"""",GOOGLETRANSLATE(A758,""en"",""fr""))"),"")</f>
        <v/>
      </c>
    </row>
    <row r="759" spans="2:2">
      <c r="B759" s="3" t="str">
        <f ca="1">IFERROR(__xludf.DUMMYFUNCTION("IF(ISBLANK(A759),"""",GOOGLETRANSLATE(A759,""en"",""fr""))"),"")</f>
        <v/>
      </c>
    </row>
    <row r="760" spans="2:2">
      <c r="B760" s="3" t="str">
        <f ca="1">IFERROR(__xludf.DUMMYFUNCTION("IF(ISBLANK(A760),"""",GOOGLETRANSLATE(A760,""en"",""fr""))"),"")</f>
        <v/>
      </c>
    </row>
    <row r="761" spans="2:2">
      <c r="B761" s="3" t="str">
        <f ca="1">IFERROR(__xludf.DUMMYFUNCTION("IF(ISBLANK(A761),"""",GOOGLETRANSLATE(A761,""en"",""fr""))"),"")</f>
        <v/>
      </c>
    </row>
    <row r="762" spans="2:2">
      <c r="B762" s="3" t="str">
        <f ca="1">IFERROR(__xludf.DUMMYFUNCTION("IF(ISBLANK(A762),"""",GOOGLETRANSLATE(A762,""en"",""fr""))"),"")</f>
        <v/>
      </c>
    </row>
    <row r="763" spans="2:2">
      <c r="B763" s="3" t="str">
        <f ca="1">IFERROR(__xludf.DUMMYFUNCTION("IF(ISBLANK(A763),"""",GOOGLETRANSLATE(A763,""en"",""fr""))"),"")</f>
        <v/>
      </c>
    </row>
    <row r="764" spans="2:2">
      <c r="B764" s="3" t="str">
        <f ca="1">IFERROR(__xludf.DUMMYFUNCTION("IF(ISBLANK(A764),"""",GOOGLETRANSLATE(A764,""en"",""fr""))"),"")</f>
        <v/>
      </c>
    </row>
    <row r="765" spans="2:2">
      <c r="B765" s="3" t="str">
        <f ca="1">IFERROR(__xludf.DUMMYFUNCTION("IF(ISBLANK(A765),"""",GOOGLETRANSLATE(A765,""en"",""fr""))"),"")</f>
        <v/>
      </c>
    </row>
    <row r="766" spans="2:2">
      <c r="B766" s="3" t="str">
        <f ca="1">IFERROR(__xludf.DUMMYFUNCTION("IF(ISBLANK(A766),"""",GOOGLETRANSLATE(A766,""en"",""fr""))"),"")</f>
        <v/>
      </c>
    </row>
    <row r="767" spans="2:2">
      <c r="B767" s="3" t="str">
        <f ca="1">IFERROR(__xludf.DUMMYFUNCTION("IF(ISBLANK(A767),"""",GOOGLETRANSLATE(A767,""en"",""fr""))"),"")</f>
        <v/>
      </c>
    </row>
    <row r="768" spans="2:2">
      <c r="B768" s="3" t="str">
        <f ca="1">IFERROR(__xludf.DUMMYFUNCTION("IF(ISBLANK(A768),"""",GOOGLETRANSLATE(A768,""en"",""fr""))"),"")</f>
        <v/>
      </c>
    </row>
    <row r="769" spans="2:2">
      <c r="B769" s="3" t="str">
        <f ca="1">IFERROR(__xludf.DUMMYFUNCTION("IF(ISBLANK(A769),"""",GOOGLETRANSLATE(A769,""en"",""fr""))"),"")</f>
        <v/>
      </c>
    </row>
    <row r="770" spans="2:2">
      <c r="B770" s="3" t="str">
        <f ca="1">IFERROR(__xludf.DUMMYFUNCTION("IF(ISBLANK(A770),"""",GOOGLETRANSLATE(A770,""en"",""fr""))"),"")</f>
        <v/>
      </c>
    </row>
    <row r="771" spans="2:2">
      <c r="B771" s="3" t="str">
        <f ca="1">IFERROR(__xludf.DUMMYFUNCTION("IF(ISBLANK(A771),"""",GOOGLETRANSLATE(A771,""en"",""fr""))"),"")</f>
        <v/>
      </c>
    </row>
    <row r="772" spans="2:2">
      <c r="B772" s="3" t="str">
        <f ca="1">IFERROR(__xludf.DUMMYFUNCTION("IF(ISBLANK(A772),"""",GOOGLETRANSLATE(A772,""en"",""fr""))"),"")</f>
        <v/>
      </c>
    </row>
    <row r="773" spans="2:2">
      <c r="B773" s="3" t="str">
        <f ca="1">IFERROR(__xludf.DUMMYFUNCTION("IF(ISBLANK(A773),"""",GOOGLETRANSLATE(A773,""en"",""fr""))"),"")</f>
        <v/>
      </c>
    </row>
    <row r="774" spans="2:2">
      <c r="B774" s="3" t="str">
        <f ca="1">IFERROR(__xludf.DUMMYFUNCTION("IF(ISBLANK(A774),"""",GOOGLETRANSLATE(A774,""en"",""fr""))"),"")</f>
        <v/>
      </c>
    </row>
    <row r="775" spans="2:2">
      <c r="B775" s="3" t="str">
        <f ca="1">IFERROR(__xludf.DUMMYFUNCTION("IF(ISBLANK(A775),"""",GOOGLETRANSLATE(A775,""en"",""fr""))"),"")</f>
        <v/>
      </c>
    </row>
    <row r="776" spans="2:2">
      <c r="B776" s="3" t="str">
        <f ca="1">IFERROR(__xludf.DUMMYFUNCTION("IF(ISBLANK(A776),"""",GOOGLETRANSLATE(A776,""en"",""fr""))"),"")</f>
        <v/>
      </c>
    </row>
    <row r="777" spans="2:2">
      <c r="B777" s="3" t="str">
        <f ca="1">IFERROR(__xludf.DUMMYFUNCTION("IF(ISBLANK(A777),"""",GOOGLETRANSLATE(A777,""en"",""fr""))"),"")</f>
        <v/>
      </c>
    </row>
    <row r="778" spans="2:2">
      <c r="B778" s="3" t="str">
        <f ca="1">IFERROR(__xludf.DUMMYFUNCTION("IF(ISBLANK(A778),"""",GOOGLETRANSLATE(A778,""en"",""fr""))"),"")</f>
        <v/>
      </c>
    </row>
    <row r="779" spans="2:2">
      <c r="B779" s="3" t="str">
        <f ca="1">IFERROR(__xludf.DUMMYFUNCTION("IF(ISBLANK(A779),"""",GOOGLETRANSLATE(A779,""en"",""fr""))"),"")</f>
        <v/>
      </c>
    </row>
    <row r="780" spans="2:2">
      <c r="B780" s="3" t="str">
        <f ca="1">IFERROR(__xludf.DUMMYFUNCTION("IF(ISBLANK(A780),"""",GOOGLETRANSLATE(A780,""en"",""fr""))"),"")</f>
        <v/>
      </c>
    </row>
    <row r="781" spans="2:2">
      <c r="B781" s="3" t="str">
        <f ca="1">IFERROR(__xludf.DUMMYFUNCTION("IF(ISBLANK(A781),"""",GOOGLETRANSLATE(A781,""en"",""fr""))"),"")</f>
        <v/>
      </c>
    </row>
    <row r="782" spans="2:2">
      <c r="B782" s="3" t="str">
        <f ca="1">IFERROR(__xludf.DUMMYFUNCTION("IF(ISBLANK(A782),"""",GOOGLETRANSLATE(A782,""en"",""fr""))"),"")</f>
        <v/>
      </c>
    </row>
    <row r="783" spans="2:2">
      <c r="B783" s="3" t="str">
        <f ca="1">IFERROR(__xludf.DUMMYFUNCTION("IF(ISBLANK(A783),"""",GOOGLETRANSLATE(A783,""en"",""fr""))"),"")</f>
        <v/>
      </c>
    </row>
    <row r="784" spans="2:2">
      <c r="B784" s="3" t="str">
        <f ca="1">IFERROR(__xludf.DUMMYFUNCTION("IF(ISBLANK(A784),"""",GOOGLETRANSLATE(A784,""en"",""fr""))"),"")</f>
        <v/>
      </c>
    </row>
    <row r="785" spans="2:2">
      <c r="B785" s="3" t="str">
        <f ca="1">IFERROR(__xludf.DUMMYFUNCTION("IF(ISBLANK(A785),"""",GOOGLETRANSLATE(A785,""en"",""fr""))"),"")</f>
        <v/>
      </c>
    </row>
    <row r="786" spans="2:2">
      <c r="B786" s="3" t="str">
        <f ca="1">IFERROR(__xludf.DUMMYFUNCTION("IF(ISBLANK(A786),"""",GOOGLETRANSLATE(A786,""en"",""fr""))"),"")</f>
        <v/>
      </c>
    </row>
    <row r="787" spans="2:2">
      <c r="B787" s="3" t="str">
        <f ca="1">IFERROR(__xludf.DUMMYFUNCTION("IF(ISBLANK(A787),"""",GOOGLETRANSLATE(A787,""en"",""fr""))"),"")</f>
        <v/>
      </c>
    </row>
    <row r="788" spans="2:2">
      <c r="B788" s="3" t="str">
        <f ca="1">IFERROR(__xludf.DUMMYFUNCTION("IF(ISBLANK(A788),"""",GOOGLETRANSLATE(A788,""en"",""fr""))"),"")</f>
        <v/>
      </c>
    </row>
    <row r="789" spans="2:2">
      <c r="B789" s="3" t="str">
        <f ca="1">IFERROR(__xludf.DUMMYFUNCTION("IF(ISBLANK(A789),"""",GOOGLETRANSLATE(A789,""en"",""fr""))"),"")</f>
        <v/>
      </c>
    </row>
    <row r="790" spans="2:2">
      <c r="B790" s="3" t="str">
        <f ca="1">IFERROR(__xludf.DUMMYFUNCTION("IF(ISBLANK(A790),"""",GOOGLETRANSLATE(A790,""en"",""fr""))"),"")</f>
        <v/>
      </c>
    </row>
    <row r="791" spans="2:2">
      <c r="B791" s="3" t="str">
        <f ca="1">IFERROR(__xludf.DUMMYFUNCTION("IF(ISBLANK(A791),"""",GOOGLETRANSLATE(A791,""en"",""fr""))"),"")</f>
        <v/>
      </c>
    </row>
    <row r="792" spans="2:2">
      <c r="B792" s="3" t="str">
        <f ca="1">IFERROR(__xludf.DUMMYFUNCTION("IF(ISBLANK(A792),"""",GOOGLETRANSLATE(A792,""en"",""fr""))"),"")</f>
        <v/>
      </c>
    </row>
    <row r="793" spans="2:2">
      <c r="B793" s="3" t="str">
        <f ca="1">IFERROR(__xludf.DUMMYFUNCTION("IF(ISBLANK(A793),"""",GOOGLETRANSLATE(A793,""en"",""fr""))"),"")</f>
        <v/>
      </c>
    </row>
    <row r="794" spans="2:2">
      <c r="B794" s="3" t="str">
        <f ca="1">IFERROR(__xludf.DUMMYFUNCTION("IF(ISBLANK(A794),"""",GOOGLETRANSLATE(A794,""en"",""fr""))"),"")</f>
        <v/>
      </c>
    </row>
    <row r="795" spans="2:2">
      <c r="B795" s="3" t="str">
        <f ca="1">IFERROR(__xludf.DUMMYFUNCTION("IF(ISBLANK(A795),"""",GOOGLETRANSLATE(A795,""en"",""fr""))"),"")</f>
        <v/>
      </c>
    </row>
    <row r="796" spans="2:2">
      <c r="B796" s="3" t="str">
        <f ca="1">IFERROR(__xludf.DUMMYFUNCTION("IF(ISBLANK(A796),"""",GOOGLETRANSLATE(A796,""en"",""fr""))"),"")</f>
        <v/>
      </c>
    </row>
    <row r="797" spans="2:2">
      <c r="B797" s="3" t="str">
        <f ca="1">IFERROR(__xludf.DUMMYFUNCTION("IF(ISBLANK(A797),"""",GOOGLETRANSLATE(A797,""en"",""fr""))"),"")</f>
        <v/>
      </c>
    </row>
    <row r="798" spans="2:2">
      <c r="B798" s="3" t="str">
        <f ca="1">IFERROR(__xludf.DUMMYFUNCTION("IF(ISBLANK(A798),"""",GOOGLETRANSLATE(A798,""en"",""fr""))"),"")</f>
        <v/>
      </c>
    </row>
    <row r="799" spans="2:2">
      <c r="B799" s="3" t="str">
        <f ca="1">IFERROR(__xludf.DUMMYFUNCTION("IF(ISBLANK(A799),"""",GOOGLETRANSLATE(A799,""en"",""fr""))"),"")</f>
        <v/>
      </c>
    </row>
    <row r="800" spans="2:2">
      <c r="B800" s="3" t="str">
        <f ca="1">IFERROR(__xludf.DUMMYFUNCTION("IF(ISBLANK(A800),"""",GOOGLETRANSLATE(A800,""en"",""fr""))"),"")</f>
        <v/>
      </c>
    </row>
    <row r="801" spans="2:2">
      <c r="B801" s="3" t="str">
        <f ca="1">IFERROR(__xludf.DUMMYFUNCTION("IF(ISBLANK(A801),"""",GOOGLETRANSLATE(A801,""en"",""fr""))"),"")</f>
        <v/>
      </c>
    </row>
    <row r="802" spans="2:2">
      <c r="B802" s="3" t="str">
        <f ca="1">IFERROR(__xludf.DUMMYFUNCTION("IF(ISBLANK(A802),"""",GOOGLETRANSLATE(A802,""en"",""fr""))"),"")</f>
        <v/>
      </c>
    </row>
    <row r="803" spans="2:2">
      <c r="B803" s="3" t="str">
        <f ca="1">IFERROR(__xludf.DUMMYFUNCTION("IF(ISBLANK(A803),"""",GOOGLETRANSLATE(A803,""en"",""fr""))"),"")</f>
        <v/>
      </c>
    </row>
    <row r="804" spans="2:2">
      <c r="B804" s="3" t="str">
        <f ca="1">IFERROR(__xludf.DUMMYFUNCTION("IF(ISBLANK(A804),"""",GOOGLETRANSLATE(A804,""en"",""fr""))"),"")</f>
        <v/>
      </c>
    </row>
    <row r="805" spans="2:2">
      <c r="B805" s="3" t="str">
        <f ca="1">IFERROR(__xludf.DUMMYFUNCTION("IF(ISBLANK(A805),"""",GOOGLETRANSLATE(A805,""en"",""fr""))"),"")</f>
        <v/>
      </c>
    </row>
    <row r="806" spans="2:2">
      <c r="B806" s="3" t="str">
        <f ca="1">IFERROR(__xludf.DUMMYFUNCTION("IF(ISBLANK(A806),"""",GOOGLETRANSLATE(A806,""en"",""fr""))"),"")</f>
        <v/>
      </c>
    </row>
    <row r="807" spans="2:2">
      <c r="B807" s="3" t="str">
        <f ca="1">IFERROR(__xludf.DUMMYFUNCTION("IF(ISBLANK(A807),"""",GOOGLETRANSLATE(A807,""en"",""fr""))"),"")</f>
        <v/>
      </c>
    </row>
    <row r="808" spans="2:2">
      <c r="B808" s="3" t="str">
        <f ca="1">IFERROR(__xludf.DUMMYFUNCTION("IF(ISBLANK(A808),"""",GOOGLETRANSLATE(A808,""en"",""fr""))"),"")</f>
        <v/>
      </c>
    </row>
    <row r="809" spans="2:2">
      <c r="B809" s="3" t="str">
        <f ca="1">IFERROR(__xludf.DUMMYFUNCTION("IF(ISBLANK(A809),"""",GOOGLETRANSLATE(A809,""en"",""fr""))"),"")</f>
        <v/>
      </c>
    </row>
    <row r="810" spans="2:2">
      <c r="B810" s="3" t="str">
        <f ca="1">IFERROR(__xludf.DUMMYFUNCTION("IF(ISBLANK(A810),"""",GOOGLETRANSLATE(A810,""en"",""fr""))"),"")</f>
        <v/>
      </c>
    </row>
    <row r="811" spans="2:2">
      <c r="B811" s="3" t="str">
        <f ca="1">IFERROR(__xludf.DUMMYFUNCTION("IF(ISBLANK(A811),"""",GOOGLETRANSLATE(A811,""en"",""fr""))"),"")</f>
        <v/>
      </c>
    </row>
    <row r="812" spans="2:2">
      <c r="B812" s="3" t="str">
        <f ca="1">IFERROR(__xludf.DUMMYFUNCTION("IF(ISBLANK(A812),"""",GOOGLETRANSLATE(A812,""en"",""fr""))"),"")</f>
        <v/>
      </c>
    </row>
    <row r="813" spans="2:2">
      <c r="B813" s="3" t="str">
        <f ca="1">IFERROR(__xludf.DUMMYFUNCTION("IF(ISBLANK(A813),"""",GOOGLETRANSLATE(A813,""en"",""fr""))"),"")</f>
        <v/>
      </c>
    </row>
    <row r="814" spans="2:2">
      <c r="B814" s="3" t="str">
        <f ca="1">IFERROR(__xludf.DUMMYFUNCTION("IF(ISBLANK(A814),"""",GOOGLETRANSLATE(A814,""en"",""fr""))"),"")</f>
        <v/>
      </c>
    </row>
    <row r="815" spans="2:2">
      <c r="B815" s="3" t="str">
        <f ca="1">IFERROR(__xludf.DUMMYFUNCTION("IF(ISBLANK(A815),"""",GOOGLETRANSLATE(A815,""en"",""fr""))"),"")</f>
        <v/>
      </c>
    </row>
    <row r="816" spans="2:2">
      <c r="B816" s="3" t="str">
        <f ca="1">IFERROR(__xludf.DUMMYFUNCTION("IF(ISBLANK(A816),"""",GOOGLETRANSLATE(A816,""en"",""fr""))"),"")</f>
        <v/>
      </c>
    </row>
    <row r="817" spans="2:2">
      <c r="B817" s="3" t="str">
        <f ca="1">IFERROR(__xludf.DUMMYFUNCTION("IF(ISBLANK(A817),"""",GOOGLETRANSLATE(A817,""en"",""fr""))"),"")</f>
        <v/>
      </c>
    </row>
    <row r="818" spans="2:2">
      <c r="B818" s="3" t="str">
        <f ca="1">IFERROR(__xludf.DUMMYFUNCTION("IF(ISBLANK(A818),"""",GOOGLETRANSLATE(A818,""en"",""fr""))"),"")</f>
        <v/>
      </c>
    </row>
    <row r="819" spans="2:2">
      <c r="B819" s="3" t="str">
        <f ca="1">IFERROR(__xludf.DUMMYFUNCTION("IF(ISBLANK(A819),"""",GOOGLETRANSLATE(A819,""en"",""fr""))"),"")</f>
        <v/>
      </c>
    </row>
    <row r="820" spans="2:2">
      <c r="B820" s="3" t="str">
        <f ca="1">IFERROR(__xludf.DUMMYFUNCTION("IF(ISBLANK(A820),"""",GOOGLETRANSLATE(A820,""en"",""fr""))"),"")</f>
        <v/>
      </c>
    </row>
    <row r="821" spans="2:2">
      <c r="B821" s="3" t="str">
        <f ca="1">IFERROR(__xludf.DUMMYFUNCTION("IF(ISBLANK(A821),"""",GOOGLETRANSLATE(A821,""en"",""fr""))"),"")</f>
        <v/>
      </c>
    </row>
    <row r="822" spans="2:2">
      <c r="B822" s="3" t="str">
        <f ca="1">IFERROR(__xludf.DUMMYFUNCTION("IF(ISBLANK(A822),"""",GOOGLETRANSLATE(A822,""en"",""fr""))"),"")</f>
        <v/>
      </c>
    </row>
    <row r="823" spans="2:2">
      <c r="B823" s="3" t="str">
        <f ca="1">IFERROR(__xludf.DUMMYFUNCTION("IF(ISBLANK(A823),"""",GOOGLETRANSLATE(A823,""en"",""fr""))"),"")</f>
        <v/>
      </c>
    </row>
    <row r="824" spans="2:2">
      <c r="B824" s="3" t="str">
        <f ca="1">IFERROR(__xludf.DUMMYFUNCTION("IF(ISBLANK(A824),"""",GOOGLETRANSLATE(A824,""en"",""fr""))"),"")</f>
        <v/>
      </c>
    </row>
    <row r="825" spans="2:2">
      <c r="B825" s="3" t="str">
        <f ca="1">IFERROR(__xludf.DUMMYFUNCTION("IF(ISBLANK(A825),"""",GOOGLETRANSLATE(A825,""en"",""fr""))"),"")</f>
        <v/>
      </c>
    </row>
    <row r="826" spans="2:2">
      <c r="B826" s="3" t="str">
        <f ca="1">IFERROR(__xludf.DUMMYFUNCTION("IF(ISBLANK(A826),"""",GOOGLETRANSLATE(A826,""en"",""fr""))"),"")</f>
        <v/>
      </c>
    </row>
    <row r="827" spans="2:2">
      <c r="B827" s="3" t="str">
        <f ca="1">IFERROR(__xludf.DUMMYFUNCTION("IF(ISBLANK(A827),"""",GOOGLETRANSLATE(A827,""en"",""fr""))"),"")</f>
        <v/>
      </c>
    </row>
    <row r="828" spans="2:2">
      <c r="B828" s="3" t="str">
        <f ca="1">IFERROR(__xludf.DUMMYFUNCTION("IF(ISBLANK(A828),"""",GOOGLETRANSLATE(A828,""en"",""fr""))"),"")</f>
        <v/>
      </c>
    </row>
    <row r="829" spans="2:2">
      <c r="B829" s="3" t="str">
        <f ca="1">IFERROR(__xludf.DUMMYFUNCTION("IF(ISBLANK(A829),"""",GOOGLETRANSLATE(A829,""en"",""fr""))"),"")</f>
        <v/>
      </c>
    </row>
    <row r="830" spans="2:2">
      <c r="B830" s="3" t="str">
        <f ca="1">IFERROR(__xludf.DUMMYFUNCTION("IF(ISBLANK(A830),"""",GOOGLETRANSLATE(A830,""en"",""fr""))"),"")</f>
        <v/>
      </c>
    </row>
    <row r="831" spans="2:2">
      <c r="B831" s="3" t="str">
        <f ca="1">IFERROR(__xludf.DUMMYFUNCTION("IF(ISBLANK(A831),"""",GOOGLETRANSLATE(A831,""en"",""fr""))"),"")</f>
        <v/>
      </c>
    </row>
    <row r="832" spans="2:2">
      <c r="B832" s="3" t="str">
        <f ca="1">IFERROR(__xludf.DUMMYFUNCTION("IF(ISBLANK(A832),"""",GOOGLETRANSLATE(A832,""en"",""fr""))"),"")</f>
        <v/>
      </c>
    </row>
    <row r="833" spans="2:2">
      <c r="B833" s="3" t="str">
        <f ca="1">IFERROR(__xludf.DUMMYFUNCTION("IF(ISBLANK(A833),"""",GOOGLETRANSLATE(A833,""en"",""fr""))"),"")</f>
        <v/>
      </c>
    </row>
    <row r="834" spans="2:2">
      <c r="B834" s="3" t="str">
        <f ca="1">IFERROR(__xludf.DUMMYFUNCTION("IF(ISBLANK(A834),"""",GOOGLETRANSLATE(A834,""en"",""fr""))"),"")</f>
        <v/>
      </c>
    </row>
    <row r="835" spans="2:2">
      <c r="B835" s="3" t="str">
        <f ca="1">IFERROR(__xludf.DUMMYFUNCTION("IF(ISBLANK(A835),"""",GOOGLETRANSLATE(A835,""en"",""fr""))"),"")</f>
        <v/>
      </c>
    </row>
    <row r="836" spans="2:2">
      <c r="B836" s="3" t="str">
        <f ca="1">IFERROR(__xludf.DUMMYFUNCTION("IF(ISBLANK(A836),"""",GOOGLETRANSLATE(A836,""en"",""fr""))"),"")</f>
        <v/>
      </c>
    </row>
    <row r="837" spans="2:2">
      <c r="B837" s="3" t="str">
        <f ca="1">IFERROR(__xludf.DUMMYFUNCTION("IF(ISBLANK(A837),"""",GOOGLETRANSLATE(A837,""en"",""fr""))"),"")</f>
        <v/>
      </c>
    </row>
    <row r="838" spans="2:2">
      <c r="B838" s="3" t="str">
        <f ca="1">IFERROR(__xludf.DUMMYFUNCTION("IF(ISBLANK(A838),"""",GOOGLETRANSLATE(A838,""en"",""fr""))"),"")</f>
        <v/>
      </c>
    </row>
    <row r="839" spans="2:2">
      <c r="B839" s="3" t="str">
        <f ca="1">IFERROR(__xludf.DUMMYFUNCTION("IF(ISBLANK(A839),"""",GOOGLETRANSLATE(A839,""en"",""fr""))"),"")</f>
        <v/>
      </c>
    </row>
    <row r="840" spans="2:2">
      <c r="B840" s="3" t="str">
        <f ca="1">IFERROR(__xludf.DUMMYFUNCTION("IF(ISBLANK(A840),"""",GOOGLETRANSLATE(A840,""en"",""fr""))"),"")</f>
        <v/>
      </c>
    </row>
    <row r="841" spans="2:2">
      <c r="B841" s="3" t="str">
        <f ca="1">IFERROR(__xludf.DUMMYFUNCTION("IF(ISBLANK(A841),"""",GOOGLETRANSLATE(A841,""en"",""fr""))"),"")</f>
        <v/>
      </c>
    </row>
    <row r="842" spans="2:2">
      <c r="B842" s="3" t="str">
        <f ca="1">IFERROR(__xludf.DUMMYFUNCTION("IF(ISBLANK(A842),"""",GOOGLETRANSLATE(A842,""en"",""fr""))"),"")</f>
        <v/>
      </c>
    </row>
    <row r="843" spans="2:2">
      <c r="B843" s="3" t="str">
        <f ca="1">IFERROR(__xludf.DUMMYFUNCTION("IF(ISBLANK(A843),"""",GOOGLETRANSLATE(A843,""en"",""fr""))"),"")</f>
        <v/>
      </c>
    </row>
    <row r="844" spans="2:2">
      <c r="B844" s="3" t="str">
        <f ca="1">IFERROR(__xludf.DUMMYFUNCTION("IF(ISBLANK(A844),"""",GOOGLETRANSLATE(A844,""en"",""fr""))"),"")</f>
        <v/>
      </c>
    </row>
    <row r="845" spans="2:2">
      <c r="B845" s="3" t="str">
        <f ca="1">IFERROR(__xludf.DUMMYFUNCTION("IF(ISBLANK(A845),"""",GOOGLETRANSLATE(A845,""en"",""fr""))"),"")</f>
        <v/>
      </c>
    </row>
    <row r="846" spans="2:2">
      <c r="B846" s="3" t="str">
        <f ca="1">IFERROR(__xludf.DUMMYFUNCTION("IF(ISBLANK(A846),"""",GOOGLETRANSLATE(A846,""en"",""fr""))"),"")</f>
        <v/>
      </c>
    </row>
    <row r="847" spans="2:2">
      <c r="B847" s="3" t="str">
        <f ca="1">IFERROR(__xludf.DUMMYFUNCTION("IF(ISBLANK(A847),"""",GOOGLETRANSLATE(A847,""en"",""fr""))"),"")</f>
        <v/>
      </c>
    </row>
    <row r="848" spans="2:2">
      <c r="B848" s="3" t="str">
        <f ca="1">IFERROR(__xludf.DUMMYFUNCTION("IF(ISBLANK(A848),"""",GOOGLETRANSLATE(A848,""en"",""fr""))"),"")</f>
        <v/>
      </c>
    </row>
    <row r="849" spans="2:2">
      <c r="B849" s="3" t="str">
        <f ca="1">IFERROR(__xludf.DUMMYFUNCTION("IF(ISBLANK(A849),"""",GOOGLETRANSLATE(A849,""en"",""fr""))"),"")</f>
        <v/>
      </c>
    </row>
    <row r="850" spans="2:2">
      <c r="B850" s="3" t="str">
        <f ca="1">IFERROR(__xludf.DUMMYFUNCTION("IF(ISBLANK(A850),"""",GOOGLETRANSLATE(A850,""en"",""fr""))"),"")</f>
        <v/>
      </c>
    </row>
    <row r="851" spans="2:2">
      <c r="B851" s="3" t="str">
        <f ca="1">IFERROR(__xludf.DUMMYFUNCTION("IF(ISBLANK(A851),"""",GOOGLETRANSLATE(A851,""en"",""fr""))"),"")</f>
        <v/>
      </c>
    </row>
    <row r="852" spans="2:2">
      <c r="B852" s="3" t="str">
        <f ca="1">IFERROR(__xludf.DUMMYFUNCTION("IF(ISBLANK(A852),"""",GOOGLETRANSLATE(A852,""en"",""fr""))"),"")</f>
        <v/>
      </c>
    </row>
    <row r="853" spans="2:2">
      <c r="B853" s="3" t="str">
        <f ca="1">IFERROR(__xludf.DUMMYFUNCTION("IF(ISBLANK(A853),"""",GOOGLETRANSLATE(A853,""en"",""fr""))"),"")</f>
        <v/>
      </c>
    </row>
    <row r="854" spans="2:2">
      <c r="B854" s="3" t="str">
        <f ca="1">IFERROR(__xludf.DUMMYFUNCTION("IF(ISBLANK(A854),"""",GOOGLETRANSLATE(A854,""en"",""fr""))"),"")</f>
        <v/>
      </c>
    </row>
    <row r="855" spans="2:2">
      <c r="B855" s="3" t="str">
        <f ca="1">IFERROR(__xludf.DUMMYFUNCTION("IF(ISBLANK(A855),"""",GOOGLETRANSLATE(A855,""en"",""fr""))"),"")</f>
        <v/>
      </c>
    </row>
    <row r="856" spans="2:2">
      <c r="B856" s="3" t="str">
        <f ca="1">IFERROR(__xludf.DUMMYFUNCTION("IF(ISBLANK(A856),"""",GOOGLETRANSLATE(A856,""en"",""fr""))"),"")</f>
        <v/>
      </c>
    </row>
    <row r="857" spans="2:2">
      <c r="B857" s="3" t="str">
        <f ca="1">IFERROR(__xludf.DUMMYFUNCTION("IF(ISBLANK(A857),"""",GOOGLETRANSLATE(A857,""en"",""fr""))"),"")</f>
        <v/>
      </c>
    </row>
    <row r="858" spans="2:2">
      <c r="B858" s="3" t="str">
        <f ca="1">IFERROR(__xludf.DUMMYFUNCTION("IF(ISBLANK(A858),"""",GOOGLETRANSLATE(A858,""en"",""fr""))"),"")</f>
        <v/>
      </c>
    </row>
    <row r="859" spans="2:2">
      <c r="B859" s="3" t="str">
        <f ca="1">IFERROR(__xludf.DUMMYFUNCTION("IF(ISBLANK(A859),"""",GOOGLETRANSLATE(A859,""en"",""fr""))"),"")</f>
        <v/>
      </c>
    </row>
    <row r="860" spans="2:2">
      <c r="B860" s="3" t="str">
        <f ca="1">IFERROR(__xludf.DUMMYFUNCTION("IF(ISBLANK(A860),"""",GOOGLETRANSLATE(A860,""en"",""fr""))"),"")</f>
        <v/>
      </c>
    </row>
    <row r="861" spans="2:2">
      <c r="B861" s="3" t="str">
        <f ca="1">IFERROR(__xludf.DUMMYFUNCTION("IF(ISBLANK(A861),"""",GOOGLETRANSLATE(A861,""en"",""fr""))"),"")</f>
        <v/>
      </c>
    </row>
    <row r="862" spans="2:2">
      <c r="B862" s="3" t="str">
        <f ca="1">IFERROR(__xludf.DUMMYFUNCTION("IF(ISBLANK(A862),"""",GOOGLETRANSLATE(A862,""en"",""fr""))"),"")</f>
        <v/>
      </c>
    </row>
    <row r="863" spans="2:2">
      <c r="B863" s="3" t="str">
        <f ca="1">IFERROR(__xludf.DUMMYFUNCTION("IF(ISBLANK(A863),"""",GOOGLETRANSLATE(A863,""en"",""fr""))"),"")</f>
        <v/>
      </c>
    </row>
    <row r="864" spans="2:2">
      <c r="B864" s="3" t="str">
        <f ca="1">IFERROR(__xludf.DUMMYFUNCTION("IF(ISBLANK(A864),"""",GOOGLETRANSLATE(A864,""en"",""fr""))"),"")</f>
        <v/>
      </c>
    </row>
    <row r="865" spans="2:2">
      <c r="B865" s="3" t="str">
        <f ca="1">IFERROR(__xludf.DUMMYFUNCTION("IF(ISBLANK(A865),"""",GOOGLETRANSLATE(A865,""en"",""fr""))"),"")</f>
        <v/>
      </c>
    </row>
    <row r="866" spans="2:2">
      <c r="B866" s="3" t="str">
        <f ca="1">IFERROR(__xludf.DUMMYFUNCTION("IF(ISBLANK(A866),"""",GOOGLETRANSLATE(A866,""en"",""fr""))"),"")</f>
        <v/>
      </c>
    </row>
    <row r="867" spans="2:2">
      <c r="B867" s="3" t="str">
        <f ca="1">IFERROR(__xludf.DUMMYFUNCTION("IF(ISBLANK(A867),"""",GOOGLETRANSLATE(A867,""en"",""fr""))"),"")</f>
        <v/>
      </c>
    </row>
    <row r="868" spans="2:2">
      <c r="B868" s="3" t="str">
        <f ca="1">IFERROR(__xludf.DUMMYFUNCTION("IF(ISBLANK(A868),"""",GOOGLETRANSLATE(A868,""en"",""fr""))"),"")</f>
        <v/>
      </c>
    </row>
    <row r="869" spans="2:2">
      <c r="B869" s="3" t="str">
        <f ca="1">IFERROR(__xludf.DUMMYFUNCTION("IF(ISBLANK(A869),"""",GOOGLETRANSLATE(A869,""en"",""fr""))"),"")</f>
        <v/>
      </c>
    </row>
    <row r="870" spans="2:2">
      <c r="B870" s="3" t="str">
        <f ca="1">IFERROR(__xludf.DUMMYFUNCTION("IF(ISBLANK(A870),"""",GOOGLETRANSLATE(A870,""en"",""fr""))"),"")</f>
        <v/>
      </c>
    </row>
    <row r="871" spans="2:2">
      <c r="B871" s="3" t="str">
        <f ca="1">IFERROR(__xludf.DUMMYFUNCTION("IF(ISBLANK(A871),"""",GOOGLETRANSLATE(A871,""en"",""fr""))"),"")</f>
        <v/>
      </c>
    </row>
    <row r="872" spans="2:2">
      <c r="B872" s="3" t="str">
        <f ca="1">IFERROR(__xludf.DUMMYFUNCTION("IF(ISBLANK(A872),"""",GOOGLETRANSLATE(A872,""en"",""fr""))"),"")</f>
        <v/>
      </c>
    </row>
    <row r="873" spans="2:2">
      <c r="B873" s="3" t="str">
        <f ca="1">IFERROR(__xludf.DUMMYFUNCTION("IF(ISBLANK(A873),"""",GOOGLETRANSLATE(A873,""en"",""fr""))"),"")</f>
        <v/>
      </c>
    </row>
    <row r="874" spans="2:2">
      <c r="B874" s="3" t="str">
        <f ca="1">IFERROR(__xludf.DUMMYFUNCTION("IF(ISBLANK(A874),"""",GOOGLETRANSLATE(A874,""en"",""fr""))"),"")</f>
        <v/>
      </c>
    </row>
    <row r="875" spans="2:2">
      <c r="B875" s="3" t="str">
        <f ca="1">IFERROR(__xludf.DUMMYFUNCTION("IF(ISBLANK(A875),"""",GOOGLETRANSLATE(A875,""en"",""fr""))"),"")</f>
        <v/>
      </c>
    </row>
    <row r="876" spans="2:2">
      <c r="B876" s="3" t="str">
        <f ca="1">IFERROR(__xludf.DUMMYFUNCTION("IF(ISBLANK(A876),"""",GOOGLETRANSLATE(A876,""en"",""fr""))"),"")</f>
        <v/>
      </c>
    </row>
    <row r="877" spans="2:2">
      <c r="B877" s="3" t="str">
        <f ca="1">IFERROR(__xludf.DUMMYFUNCTION("IF(ISBLANK(A877),"""",GOOGLETRANSLATE(A877,""en"",""fr""))"),"")</f>
        <v/>
      </c>
    </row>
    <row r="878" spans="2:2">
      <c r="B878" s="3" t="str">
        <f ca="1">IFERROR(__xludf.DUMMYFUNCTION("IF(ISBLANK(A878),"""",GOOGLETRANSLATE(A878,""en"",""fr""))"),"")</f>
        <v/>
      </c>
    </row>
    <row r="879" spans="2:2">
      <c r="B879" s="3" t="str">
        <f ca="1">IFERROR(__xludf.DUMMYFUNCTION("IF(ISBLANK(A879),"""",GOOGLETRANSLATE(A879,""en"",""fr""))"),"")</f>
        <v/>
      </c>
    </row>
    <row r="880" spans="2:2">
      <c r="B880" s="3" t="str">
        <f ca="1">IFERROR(__xludf.DUMMYFUNCTION("IF(ISBLANK(A880),"""",GOOGLETRANSLATE(A880,""en"",""fr""))"),"")</f>
        <v/>
      </c>
    </row>
    <row r="881" spans="2:2">
      <c r="B881" s="3" t="str">
        <f ca="1">IFERROR(__xludf.DUMMYFUNCTION("IF(ISBLANK(A881),"""",GOOGLETRANSLATE(A881,""en"",""fr""))"),"")</f>
        <v/>
      </c>
    </row>
    <row r="882" spans="2:2">
      <c r="B882" s="3" t="str">
        <f ca="1">IFERROR(__xludf.DUMMYFUNCTION("IF(ISBLANK(A882),"""",GOOGLETRANSLATE(A882,""en"",""fr""))"),"")</f>
        <v/>
      </c>
    </row>
    <row r="883" spans="2:2">
      <c r="B883" s="3" t="str">
        <f ca="1">IFERROR(__xludf.DUMMYFUNCTION("IF(ISBLANK(A883),"""",GOOGLETRANSLATE(A883,""en"",""fr""))"),"")</f>
        <v/>
      </c>
    </row>
    <row r="884" spans="2:2">
      <c r="B884" s="3" t="str">
        <f ca="1">IFERROR(__xludf.DUMMYFUNCTION("IF(ISBLANK(A884),"""",GOOGLETRANSLATE(A884,""en"",""fr""))"),"")</f>
        <v/>
      </c>
    </row>
    <row r="885" spans="2:2">
      <c r="B885" s="3" t="str">
        <f ca="1">IFERROR(__xludf.DUMMYFUNCTION("IF(ISBLANK(A885),"""",GOOGLETRANSLATE(A885,""en"",""fr""))"),"")</f>
        <v/>
      </c>
    </row>
    <row r="886" spans="2:2">
      <c r="B886" s="3" t="str">
        <f ca="1">IFERROR(__xludf.DUMMYFUNCTION("IF(ISBLANK(A886),"""",GOOGLETRANSLATE(A886,""en"",""fr""))"),"")</f>
        <v/>
      </c>
    </row>
    <row r="887" spans="2:2">
      <c r="B887" s="3" t="str">
        <f ca="1">IFERROR(__xludf.DUMMYFUNCTION("IF(ISBLANK(A887),"""",GOOGLETRANSLATE(A887,""en"",""fr""))"),"")</f>
        <v/>
      </c>
    </row>
    <row r="888" spans="2:2">
      <c r="B888" s="3" t="str">
        <f ca="1">IFERROR(__xludf.DUMMYFUNCTION("IF(ISBLANK(A888),"""",GOOGLETRANSLATE(A888,""en"",""fr""))"),"")</f>
        <v/>
      </c>
    </row>
    <row r="889" spans="2:2">
      <c r="B889" s="3" t="str">
        <f ca="1">IFERROR(__xludf.DUMMYFUNCTION("IF(ISBLANK(A889),"""",GOOGLETRANSLATE(A889,""en"",""fr""))"),"")</f>
        <v/>
      </c>
    </row>
    <row r="890" spans="2:2">
      <c r="B890" s="3" t="str">
        <f ca="1">IFERROR(__xludf.DUMMYFUNCTION("IF(ISBLANK(A890),"""",GOOGLETRANSLATE(A890,""en"",""fr""))"),"")</f>
        <v/>
      </c>
    </row>
    <row r="891" spans="2:2">
      <c r="B891" s="3" t="str">
        <f ca="1">IFERROR(__xludf.DUMMYFUNCTION("IF(ISBLANK(A891),"""",GOOGLETRANSLATE(A891,""en"",""fr""))"),"")</f>
        <v/>
      </c>
    </row>
    <row r="892" spans="2:2">
      <c r="B892" s="3" t="str">
        <f ca="1">IFERROR(__xludf.DUMMYFUNCTION("IF(ISBLANK(A892),"""",GOOGLETRANSLATE(A892,""en"",""fr""))"),"")</f>
        <v/>
      </c>
    </row>
    <row r="893" spans="2:2">
      <c r="B893" s="3" t="str">
        <f ca="1">IFERROR(__xludf.DUMMYFUNCTION("IF(ISBLANK(A893),"""",GOOGLETRANSLATE(A893,""en"",""fr""))"),"")</f>
        <v/>
      </c>
    </row>
    <row r="894" spans="2:2">
      <c r="B894" s="3" t="str">
        <f ca="1">IFERROR(__xludf.DUMMYFUNCTION("IF(ISBLANK(A894),"""",GOOGLETRANSLATE(A894,""en"",""fr""))"),"")</f>
        <v/>
      </c>
    </row>
    <row r="895" spans="2:2">
      <c r="B895" s="3" t="str">
        <f ca="1">IFERROR(__xludf.DUMMYFUNCTION("IF(ISBLANK(A895),"""",GOOGLETRANSLATE(A895,""en"",""fr""))"),"")</f>
        <v/>
      </c>
    </row>
    <row r="896" spans="2:2">
      <c r="B896" s="3" t="str">
        <f ca="1">IFERROR(__xludf.DUMMYFUNCTION("IF(ISBLANK(A896),"""",GOOGLETRANSLATE(A896,""en"",""fr""))"),"")</f>
        <v/>
      </c>
    </row>
    <row r="897" spans="2:2">
      <c r="B897" s="3" t="str">
        <f ca="1">IFERROR(__xludf.DUMMYFUNCTION("IF(ISBLANK(A897),"""",GOOGLETRANSLATE(A897,""en"",""fr""))"),"")</f>
        <v/>
      </c>
    </row>
    <row r="898" spans="2:2">
      <c r="B898" s="3" t="str">
        <f ca="1">IFERROR(__xludf.DUMMYFUNCTION("IF(ISBLANK(A898),"""",GOOGLETRANSLATE(A898,""en"",""fr""))"),"")</f>
        <v/>
      </c>
    </row>
    <row r="899" spans="2:2">
      <c r="B899" s="3" t="str">
        <f ca="1">IFERROR(__xludf.DUMMYFUNCTION("IF(ISBLANK(A899),"""",GOOGLETRANSLATE(A899,""en"",""fr""))"),"")</f>
        <v/>
      </c>
    </row>
    <row r="900" spans="2:2">
      <c r="B900" s="3" t="str">
        <f ca="1">IFERROR(__xludf.DUMMYFUNCTION("IF(ISBLANK(A900),"""",GOOGLETRANSLATE(A900,""en"",""fr""))"),"")</f>
        <v/>
      </c>
    </row>
    <row r="901" spans="2:2">
      <c r="B901" s="3" t="str">
        <f ca="1">IFERROR(__xludf.DUMMYFUNCTION("IF(ISBLANK(A901),"""",GOOGLETRANSLATE(A901,""en"",""fr""))"),"")</f>
        <v/>
      </c>
    </row>
    <row r="902" spans="2:2">
      <c r="B902" s="3" t="str">
        <f ca="1">IFERROR(__xludf.DUMMYFUNCTION("IF(ISBLANK(A902),"""",GOOGLETRANSLATE(A902,""en"",""fr""))"),"")</f>
        <v/>
      </c>
    </row>
    <row r="903" spans="2:2">
      <c r="B903" s="3" t="str">
        <f ca="1">IFERROR(__xludf.DUMMYFUNCTION("IF(ISBLANK(A903),"""",GOOGLETRANSLATE(A903,""en"",""fr""))"),"")</f>
        <v/>
      </c>
    </row>
    <row r="904" spans="2:2">
      <c r="B904" s="3" t="str">
        <f ca="1">IFERROR(__xludf.DUMMYFUNCTION("IF(ISBLANK(A904),"""",GOOGLETRANSLATE(A904,""en"",""fr""))"),"")</f>
        <v/>
      </c>
    </row>
    <row r="905" spans="2:2">
      <c r="B905" s="3" t="str">
        <f ca="1">IFERROR(__xludf.DUMMYFUNCTION("IF(ISBLANK(A905),"""",GOOGLETRANSLATE(A905,""en"",""fr""))"),"")</f>
        <v/>
      </c>
    </row>
    <row r="906" spans="2:2">
      <c r="B906" s="3" t="str">
        <f ca="1">IFERROR(__xludf.DUMMYFUNCTION("IF(ISBLANK(A906),"""",GOOGLETRANSLATE(A906,""en"",""fr""))"),"")</f>
        <v/>
      </c>
    </row>
    <row r="907" spans="2:2">
      <c r="B907" s="3" t="str">
        <f ca="1">IFERROR(__xludf.DUMMYFUNCTION("IF(ISBLANK(A907),"""",GOOGLETRANSLATE(A907,""en"",""fr""))"),"")</f>
        <v/>
      </c>
    </row>
    <row r="908" spans="2:2">
      <c r="B908" s="3" t="str">
        <f ca="1">IFERROR(__xludf.DUMMYFUNCTION("IF(ISBLANK(A908),"""",GOOGLETRANSLATE(A908,""en"",""fr""))"),"")</f>
        <v/>
      </c>
    </row>
    <row r="909" spans="2:2">
      <c r="B909" s="3" t="str">
        <f ca="1">IFERROR(__xludf.DUMMYFUNCTION("IF(ISBLANK(A909),"""",GOOGLETRANSLATE(A909,""en"",""fr""))"),"")</f>
        <v/>
      </c>
    </row>
    <row r="910" spans="2:2">
      <c r="B910" s="3" t="str">
        <f ca="1">IFERROR(__xludf.DUMMYFUNCTION("IF(ISBLANK(A910),"""",GOOGLETRANSLATE(A910,""en"",""fr""))"),"")</f>
        <v/>
      </c>
    </row>
    <row r="911" spans="2:2">
      <c r="B911" s="3" t="str">
        <f ca="1">IFERROR(__xludf.DUMMYFUNCTION("IF(ISBLANK(A911),"""",GOOGLETRANSLATE(A911,""en"",""fr""))"),"")</f>
        <v/>
      </c>
    </row>
    <row r="912" spans="2:2">
      <c r="B912" s="3" t="str">
        <f ca="1">IFERROR(__xludf.DUMMYFUNCTION("IF(ISBLANK(A912),"""",GOOGLETRANSLATE(A912,""en"",""fr""))"),"")</f>
        <v/>
      </c>
    </row>
    <row r="913" spans="2:2">
      <c r="B913" s="3" t="str">
        <f ca="1">IFERROR(__xludf.DUMMYFUNCTION("IF(ISBLANK(A913),"""",GOOGLETRANSLATE(A913,""en"",""fr""))"),"")</f>
        <v/>
      </c>
    </row>
    <row r="914" spans="2:2">
      <c r="B914" s="3" t="str">
        <f ca="1">IFERROR(__xludf.DUMMYFUNCTION("IF(ISBLANK(A914),"""",GOOGLETRANSLATE(A914,""en"",""fr""))"),"")</f>
        <v/>
      </c>
    </row>
    <row r="915" spans="2:2">
      <c r="B915" s="3" t="str">
        <f ca="1">IFERROR(__xludf.DUMMYFUNCTION("IF(ISBLANK(A915),"""",GOOGLETRANSLATE(A915,""en"",""fr""))"),"")</f>
        <v/>
      </c>
    </row>
    <row r="916" spans="2:2">
      <c r="B916" s="3" t="str">
        <f ca="1">IFERROR(__xludf.DUMMYFUNCTION("IF(ISBLANK(A916),"""",GOOGLETRANSLATE(A916,""en"",""fr""))"),"")</f>
        <v/>
      </c>
    </row>
    <row r="917" spans="2:2">
      <c r="B917" s="3" t="str">
        <f ca="1">IFERROR(__xludf.DUMMYFUNCTION("IF(ISBLANK(A917),"""",GOOGLETRANSLATE(A917,""en"",""fr""))"),"")</f>
        <v/>
      </c>
    </row>
    <row r="918" spans="2:2">
      <c r="B918" s="3" t="str">
        <f ca="1">IFERROR(__xludf.DUMMYFUNCTION("IF(ISBLANK(A918),"""",GOOGLETRANSLATE(A918,""en"",""fr""))"),"")</f>
        <v/>
      </c>
    </row>
    <row r="919" spans="2:2">
      <c r="B919" s="3" t="str">
        <f ca="1">IFERROR(__xludf.DUMMYFUNCTION("IF(ISBLANK(A919),"""",GOOGLETRANSLATE(A919,""en"",""fr""))"),"")</f>
        <v/>
      </c>
    </row>
    <row r="920" spans="2:2">
      <c r="B920" s="3" t="str">
        <f ca="1">IFERROR(__xludf.DUMMYFUNCTION("IF(ISBLANK(A920),"""",GOOGLETRANSLATE(A920,""en"",""fr""))"),"")</f>
        <v/>
      </c>
    </row>
    <row r="921" spans="2:2">
      <c r="B921" s="3" t="str">
        <f ca="1">IFERROR(__xludf.DUMMYFUNCTION("IF(ISBLANK(A921),"""",GOOGLETRANSLATE(A921,""en"",""fr""))"),"")</f>
        <v/>
      </c>
    </row>
    <row r="922" spans="2:2">
      <c r="B922" s="3" t="str">
        <f ca="1">IFERROR(__xludf.DUMMYFUNCTION("IF(ISBLANK(A922),"""",GOOGLETRANSLATE(A922,""en"",""fr""))"),"")</f>
        <v/>
      </c>
    </row>
    <row r="923" spans="2:2">
      <c r="B923" s="3" t="str">
        <f ca="1">IFERROR(__xludf.DUMMYFUNCTION("IF(ISBLANK(A923),"""",GOOGLETRANSLATE(A923,""en"",""fr""))"),"")</f>
        <v/>
      </c>
    </row>
    <row r="924" spans="2:2">
      <c r="B924" s="3" t="str">
        <f ca="1">IFERROR(__xludf.DUMMYFUNCTION("IF(ISBLANK(A924),"""",GOOGLETRANSLATE(A924,""en"",""fr""))"),"")</f>
        <v/>
      </c>
    </row>
    <row r="925" spans="2:2">
      <c r="B925" s="3" t="str">
        <f ca="1">IFERROR(__xludf.DUMMYFUNCTION("IF(ISBLANK(A925),"""",GOOGLETRANSLATE(A925,""en"",""fr""))"),"")</f>
        <v/>
      </c>
    </row>
    <row r="926" spans="2:2">
      <c r="B926" s="3" t="str">
        <f ca="1">IFERROR(__xludf.DUMMYFUNCTION("IF(ISBLANK(A926),"""",GOOGLETRANSLATE(A926,""en"",""fr""))"),"")</f>
        <v/>
      </c>
    </row>
    <row r="927" spans="2:2">
      <c r="B927" s="3" t="str">
        <f ca="1">IFERROR(__xludf.DUMMYFUNCTION("IF(ISBLANK(A927),"""",GOOGLETRANSLATE(A927,""en"",""fr""))"),"")</f>
        <v/>
      </c>
    </row>
    <row r="928" spans="2:2">
      <c r="B928" s="3" t="str">
        <f ca="1">IFERROR(__xludf.DUMMYFUNCTION("IF(ISBLANK(A928),"""",GOOGLETRANSLATE(A928,""en"",""fr""))"),"")</f>
        <v/>
      </c>
    </row>
    <row r="929" spans="2:2">
      <c r="B929" s="3" t="str">
        <f ca="1">IFERROR(__xludf.DUMMYFUNCTION("IF(ISBLANK(A929),"""",GOOGLETRANSLATE(A929,""en"",""fr""))"),"")</f>
        <v/>
      </c>
    </row>
    <row r="930" spans="2:2">
      <c r="B930" s="3" t="str">
        <f ca="1">IFERROR(__xludf.DUMMYFUNCTION("IF(ISBLANK(A930),"""",GOOGLETRANSLATE(A930,""en"",""fr""))"),"")</f>
        <v/>
      </c>
    </row>
    <row r="931" spans="2:2">
      <c r="B931" s="3" t="str">
        <f ca="1">IFERROR(__xludf.DUMMYFUNCTION("IF(ISBLANK(A931),"""",GOOGLETRANSLATE(A931,""en"",""fr""))"),"")</f>
        <v/>
      </c>
    </row>
    <row r="932" spans="2:2">
      <c r="B932" s="3" t="str">
        <f ca="1">IFERROR(__xludf.DUMMYFUNCTION("IF(ISBLANK(A932),"""",GOOGLETRANSLATE(A932,""en"",""fr""))"),"")</f>
        <v/>
      </c>
    </row>
    <row r="933" spans="2:2">
      <c r="B933" s="3" t="str">
        <f ca="1">IFERROR(__xludf.DUMMYFUNCTION("IF(ISBLANK(A933),"""",GOOGLETRANSLATE(A933,""en"",""fr""))"),"")</f>
        <v/>
      </c>
    </row>
    <row r="934" spans="2:2">
      <c r="B934" s="3" t="str">
        <f ca="1">IFERROR(__xludf.DUMMYFUNCTION("IF(ISBLANK(A934),"""",GOOGLETRANSLATE(A934,""en"",""fr""))"),"")</f>
        <v/>
      </c>
    </row>
    <row r="935" spans="2:2">
      <c r="B935" s="3" t="str">
        <f ca="1">IFERROR(__xludf.DUMMYFUNCTION("IF(ISBLANK(A935),"""",GOOGLETRANSLATE(A935,""en"",""fr""))"),"")</f>
        <v/>
      </c>
    </row>
    <row r="936" spans="2:2">
      <c r="B936" s="3" t="str">
        <f ca="1">IFERROR(__xludf.DUMMYFUNCTION("IF(ISBLANK(A936),"""",GOOGLETRANSLATE(A936,""en"",""fr""))"),"")</f>
        <v/>
      </c>
    </row>
    <row r="937" spans="2:2">
      <c r="B937" s="3" t="str">
        <f ca="1">IFERROR(__xludf.DUMMYFUNCTION("IF(ISBLANK(A937),"""",GOOGLETRANSLATE(A937,""en"",""fr""))"),"")</f>
        <v/>
      </c>
    </row>
    <row r="938" spans="2:2">
      <c r="B938" s="3" t="str">
        <f ca="1">IFERROR(__xludf.DUMMYFUNCTION("IF(ISBLANK(A938),"""",GOOGLETRANSLATE(A938,""en"",""fr""))"),"")</f>
        <v/>
      </c>
    </row>
    <row r="939" spans="2:2">
      <c r="B939" s="3" t="str">
        <f ca="1">IFERROR(__xludf.DUMMYFUNCTION("IF(ISBLANK(A939),"""",GOOGLETRANSLATE(A939,""en"",""fr""))"),"")</f>
        <v/>
      </c>
    </row>
    <row r="940" spans="2:2">
      <c r="B940" s="3" t="str">
        <f ca="1">IFERROR(__xludf.DUMMYFUNCTION("IF(ISBLANK(A940),"""",GOOGLETRANSLATE(A940,""en"",""fr""))"),"")</f>
        <v/>
      </c>
    </row>
    <row r="941" spans="2:2">
      <c r="B941" s="3" t="str">
        <f ca="1">IFERROR(__xludf.DUMMYFUNCTION("IF(ISBLANK(A941),"""",GOOGLETRANSLATE(A941,""en"",""fr""))"),"")</f>
        <v/>
      </c>
    </row>
    <row r="942" spans="2:2">
      <c r="B942" s="3" t="str">
        <f ca="1">IFERROR(__xludf.DUMMYFUNCTION("IF(ISBLANK(A942),"""",GOOGLETRANSLATE(A942,""en"",""fr""))"),"")</f>
        <v/>
      </c>
    </row>
    <row r="943" spans="2:2">
      <c r="B943" s="3" t="str">
        <f ca="1">IFERROR(__xludf.DUMMYFUNCTION("IF(ISBLANK(A943),"""",GOOGLETRANSLATE(A943,""en"",""fr""))"),"")</f>
        <v/>
      </c>
    </row>
    <row r="944" spans="2:2">
      <c r="B944" s="3" t="str">
        <f ca="1">IFERROR(__xludf.DUMMYFUNCTION("IF(ISBLANK(A944),"""",GOOGLETRANSLATE(A944,""en"",""fr""))"),"")</f>
        <v/>
      </c>
    </row>
    <row r="945" spans="2:2">
      <c r="B945" s="3" t="str">
        <f ca="1">IFERROR(__xludf.DUMMYFUNCTION("IF(ISBLANK(A945),"""",GOOGLETRANSLATE(A945,""en"",""fr""))"),"")</f>
        <v/>
      </c>
    </row>
    <row r="946" spans="2:2">
      <c r="B946" s="3" t="str">
        <f ca="1">IFERROR(__xludf.DUMMYFUNCTION("IF(ISBLANK(A946),"""",GOOGLETRANSLATE(A946,""en"",""fr""))"),"")</f>
        <v/>
      </c>
    </row>
    <row r="947" spans="2:2">
      <c r="B947" s="3" t="str">
        <f ca="1">IFERROR(__xludf.DUMMYFUNCTION("IF(ISBLANK(A947),"""",GOOGLETRANSLATE(A947,""en"",""fr""))"),"")</f>
        <v/>
      </c>
    </row>
    <row r="948" spans="2:2">
      <c r="B948" s="3" t="str">
        <f ca="1">IFERROR(__xludf.DUMMYFUNCTION("IF(ISBLANK(A948),"""",GOOGLETRANSLATE(A948,""en"",""fr""))"),"")</f>
        <v/>
      </c>
    </row>
    <row r="949" spans="2:2">
      <c r="B949" s="3" t="str">
        <f ca="1">IFERROR(__xludf.DUMMYFUNCTION("IF(ISBLANK(A949),"""",GOOGLETRANSLATE(A949,""en"",""fr""))"),"")</f>
        <v/>
      </c>
    </row>
    <row r="950" spans="2:2">
      <c r="B950" s="3" t="str">
        <f ca="1">IFERROR(__xludf.DUMMYFUNCTION("IF(ISBLANK(A950),"""",GOOGLETRANSLATE(A950,""en"",""fr""))"),"")</f>
        <v/>
      </c>
    </row>
    <row r="951" spans="2:2">
      <c r="B951" s="3" t="str">
        <f ca="1">IFERROR(__xludf.DUMMYFUNCTION("IF(ISBLANK(A951),"""",GOOGLETRANSLATE(A951,""en"",""fr""))"),"")</f>
        <v/>
      </c>
    </row>
    <row r="952" spans="2:2">
      <c r="B952" s="3" t="str">
        <f ca="1">IFERROR(__xludf.DUMMYFUNCTION("IF(ISBLANK(A952),"""",GOOGLETRANSLATE(A952,""en"",""fr""))"),"")</f>
        <v/>
      </c>
    </row>
    <row r="953" spans="2:2">
      <c r="B953" s="3" t="str">
        <f ca="1">IFERROR(__xludf.DUMMYFUNCTION("IF(ISBLANK(A953),"""",GOOGLETRANSLATE(A953,""en"",""fr""))"),"")</f>
        <v/>
      </c>
    </row>
    <row r="954" spans="2:2">
      <c r="B954" s="3" t="str">
        <f ca="1">IFERROR(__xludf.DUMMYFUNCTION("IF(ISBLANK(A954),"""",GOOGLETRANSLATE(A954,""en"",""fr""))"),"")</f>
        <v/>
      </c>
    </row>
    <row r="955" spans="2:2">
      <c r="B955" s="3" t="str">
        <f ca="1">IFERROR(__xludf.DUMMYFUNCTION("IF(ISBLANK(A955),"""",GOOGLETRANSLATE(A955,""en"",""fr""))"),"")</f>
        <v/>
      </c>
    </row>
    <row r="956" spans="2:2">
      <c r="B956" s="3" t="str">
        <f ca="1">IFERROR(__xludf.DUMMYFUNCTION("IF(ISBLANK(A956),"""",GOOGLETRANSLATE(A956,""en"",""fr""))"),"")</f>
        <v/>
      </c>
    </row>
    <row r="957" spans="2:2">
      <c r="B957" s="3" t="str">
        <f ca="1">IFERROR(__xludf.DUMMYFUNCTION("IF(ISBLANK(A957),"""",GOOGLETRANSLATE(A957,""en"",""fr""))"),"")</f>
        <v/>
      </c>
    </row>
    <row r="958" spans="2:2">
      <c r="B958" s="3" t="str">
        <f ca="1">IFERROR(__xludf.DUMMYFUNCTION("IF(ISBLANK(A958),"""",GOOGLETRANSLATE(A958,""en"",""fr""))"),"")</f>
        <v/>
      </c>
    </row>
    <row r="959" spans="2:2">
      <c r="B959" s="3" t="str">
        <f ca="1">IFERROR(__xludf.DUMMYFUNCTION("IF(ISBLANK(A959),"""",GOOGLETRANSLATE(A959,""en"",""fr""))"),"")</f>
        <v/>
      </c>
    </row>
    <row r="960" spans="2:2">
      <c r="B960" s="3" t="str">
        <f ca="1">IFERROR(__xludf.DUMMYFUNCTION("IF(ISBLANK(A960),"""",GOOGLETRANSLATE(A960,""en"",""fr""))"),"")</f>
        <v/>
      </c>
    </row>
    <row r="961" spans="2:2">
      <c r="B961" s="3" t="str">
        <f ca="1">IFERROR(__xludf.DUMMYFUNCTION("IF(ISBLANK(A961),"""",GOOGLETRANSLATE(A961,""en"",""fr""))"),"")</f>
        <v/>
      </c>
    </row>
    <row r="962" spans="2:2">
      <c r="B962" s="3" t="str">
        <f ca="1">IFERROR(__xludf.DUMMYFUNCTION("IF(ISBLANK(A962),"""",GOOGLETRANSLATE(A962,""en"",""fr""))"),"")</f>
        <v/>
      </c>
    </row>
    <row r="963" spans="2:2">
      <c r="B963" s="3" t="str">
        <f ca="1">IFERROR(__xludf.DUMMYFUNCTION("IF(ISBLANK(A963),"""",GOOGLETRANSLATE(A963,""en"",""fr""))"),"")</f>
        <v/>
      </c>
    </row>
    <row r="964" spans="2:2">
      <c r="B964" s="3" t="str">
        <f ca="1">IFERROR(__xludf.DUMMYFUNCTION("IF(ISBLANK(A964),"""",GOOGLETRANSLATE(A964,""en"",""fr""))"),"")</f>
        <v/>
      </c>
    </row>
    <row r="965" spans="2:2">
      <c r="B965" s="3" t="str">
        <f ca="1">IFERROR(__xludf.DUMMYFUNCTION("IF(ISBLANK(A965),"""",GOOGLETRANSLATE(A965,""en"",""fr""))"),"")</f>
        <v/>
      </c>
    </row>
    <row r="966" spans="2:2">
      <c r="B966" s="3" t="str">
        <f ca="1">IFERROR(__xludf.DUMMYFUNCTION("IF(ISBLANK(A966),"""",GOOGLETRANSLATE(A966,""en"",""fr""))"),"")</f>
        <v/>
      </c>
    </row>
    <row r="967" spans="2:2">
      <c r="B967" s="3" t="str">
        <f ca="1">IFERROR(__xludf.DUMMYFUNCTION("IF(ISBLANK(A967),"""",GOOGLETRANSLATE(A967,""en"",""fr""))"),"")</f>
        <v/>
      </c>
    </row>
    <row r="968" spans="2:2">
      <c r="B968" s="3" t="str">
        <f ca="1">IFERROR(__xludf.DUMMYFUNCTION("IF(ISBLANK(A968),"""",GOOGLETRANSLATE(A968,""en"",""fr""))"),"")</f>
        <v/>
      </c>
    </row>
    <row r="969" spans="2:2">
      <c r="B969" s="3" t="str">
        <f ca="1">IFERROR(__xludf.DUMMYFUNCTION("IF(ISBLANK(A969),"""",GOOGLETRANSLATE(A969,""en"",""fr""))"),"")</f>
        <v/>
      </c>
    </row>
    <row r="970" spans="2:2">
      <c r="B970" s="3" t="str">
        <f ca="1">IFERROR(__xludf.DUMMYFUNCTION("IF(ISBLANK(A970),"""",GOOGLETRANSLATE(A970,""en"",""fr""))"),"")</f>
        <v/>
      </c>
    </row>
    <row r="971" spans="2:2">
      <c r="B971" s="3" t="str">
        <f ca="1">IFERROR(__xludf.DUMMYFUNCTION("IF(ISBLANK(A971),"""",GOOGLETRANSLATE(A971,""en"",""fr""))"),"")</f>
        <v/>
      </c>
    </row>
    <row r="972" spans="2:2">
      <c r="B972" s="3" t="str">
        <f ca="1">IFERROR(__xludf.DUMMYFUNCTION("IF(ISBLANK(A972),"""",GOOGLETRANSLATE(A972,""en"",""fr""))"),"")</f>
        <v/>
      </c>
    </row>
    <row r="973" spans="2:2">
      <c r="B973" s="3" t="str">
        <f ca="1">IFERROR(__xludf.DUMMYFUNCTION("IF(ISBLANK(A973),"""",GOOGLETRANSLATE(A973,""en"",""fr""))"),"")</f>
        <v/>
      </c>
    </row>
    <row r="974" spans="2:2">
      <c r="B974" s="3" t="str">
        <f ca="1">IFERROR(__xludf.DUMMYFUNCTION("IF(ISBLANK(A974),"""",GOOGLETRANSLATE(A974,""en"",""fr""))"),"")</f>
        <v/>
      </c>
    </row>
    <row r="975" spans="2:2">
      <c r="B975" s="3" t="str">
        <f ca="1">IFERROR(__xludf.DUMMYFUNCTION("IF(ISBLANK(A975),"""",GOOGLETRANSLATE(A975,""en"",""fr""))"),"")</f>
        <v/>
      </c>
    </row>
    <row r="976" spans="2:2">
      <c r="B976" s="3" t="str">
        <f ca="1">IFERROR(__xludf.DUMMYFUNCTION("IF(ISBLANK(A976),"""",GOOGLETRANSLATE(A976,""en"",""fr""))"),"")</f>
        <v/>
      </c>
    </row>
    <row r="977" spans="2:2">
      <c r="B977" s="3" t="str">
        <f ca="1">IFERROR(__xludf.DUMMYFUNCTION("IF(ISBLANK(A977),"""",GOOGLETRANSLATE(A977,""en"",""fr""))"),"")</f>
        <v/>
      </c>
    </row>
    <row r="978" spans="2:2">
      <c r="B978" s="3" t="str">
        <f ca="1">IFERROR(__xludf.DUMMYFUNCTION("IF(ISBLANK(A978),"""",GOOGLETRANSLATE(A978,""en"",""fr""))"),"")</f>
        <v/>
      </c>
    </row>
    <row r="979" spans="2:2">
      <c r="B979" s="3" t="str">
        <f ca="1">IFERROR(__xludf.DUMMYFUNCTION("IF(ISBLANK(A979),"""",GOOGLETRANSLATE(A979,""en"",""fr""))"),"")</f>
        <v/>
      </c>
    </row>
    <row r="980" spans="2:2">
      <c r="B980" s="3" t="str">
        <f ca="1">IFERROR(__xludf.DUMMYFUNCTION("IF(ISBLANK(A980),"""",GOOGLETRANSLATE(A980,""en"",""fr""))"),"")</f>
        <v/>
      </c>
    </row>
    <row r="981" spans="2:2">
      <c r="B981" s="3" t="str">
        <f ca="1">IFERROR(__xludf.DUMMYFUNCTION("IF(ISBLANK(A981),"""",GOOGLETRANSLATE(A981,""en"",""fr""))"),"")</f>
        <v/>
      </c>
    </row>
    <row r="982" spans="2:2">
      <c r="B982" s="3" t="str">
        <f ca="1">IFERROR(__xludf.DUMMYFUNCTION("IF(ISBLANK(A982),"""",GOOGLETRANSLATE(A982,""en"",""fr""))"),"")</f>
        <v/>
      </c>
    </row>
    <row r="983" spans="2:2">
      <c r="B983" s="3" t="str">
        <f ca="1">IFERROR(__xludf.DUMMYFUNCTION("IF(ISBLANK(A983),"""",GOOGLETRANSLATE(A983,""en"",""fr""))"),"")</f>
        <v/>
      </c>
    </row>
    <row r="984" spans="2:2">
      <c r="B984" s="3" t="str">
        <f ca="1">IFERROR(__xludf.DUMMYFUNCTION("IF(ISBLANK(A984),"""",GOOGLETRANSLATE(A984,""en"",""fr""))"),"")</f>
        <v/>
      </c>
    </row>
    <row r="985" spans="2:2">
      <c r="B985" s="3" t="str">
        <f ca="1">IFERROR(__xludf.DUMMYFUNCTION("IF(ISBLANK(A985),"""",GOOGLETRANSLATE(A985,""en"",""fr""))"),"")</f>
        <v/>
      </c>
    </row>
    <row r="986" spans="2:2">
      <c r="B986" s="3" t="str">
        <f ca="1">IFERROR(__xludf.DUMMYFUNCTION("IF(ISBLANK(A986),"""",GOOGLETRANSLATE(A986,""en"",""fr""))"),"")</f>
        <v/>
      </c>
    </row>
    <row r="987" spans="2:2">
      <c r="B987" s="3" t="str">
        <f ca="1">IFERROR(__xludf.DUMMYFUNCTION("IF(ISBLANK(A987),"""",GOOGLETRANSLATE(A987,""en"",""fr""))"),"")</f>
        <v/>
      </c>
    </row>
    <row r="988" spans="2:2">
      <c r="B988" s="3" t="str">
        <f ca="1">IFERROR(__xludf.DUMMYFUNCTION("IF(ISBLANK(A988),"""",GOOGLETRANSLATE(A988,""en"",""fr""))"),"")</f>
        <v/>
      </c>
    </row>
    <row r="989" spans="2:2">
      <c r="B989" s="3" t="str">
        <f ca="1">IFERROR(__xludf.DUMMYFUNCTION("IF(ISBLANK(A989),"""",GOOGLETRANSLATE(A989,""en"",""fr""))"),"")</f>
        <v/>
      </c>
    </row>
    <row r="990" spans="2:2">
      <c r="B990" s="3" t="str">
        <f ca="1">IFERROR(__xludf.DUMMYFUNCTION("IF(ISBLANK(A990),"""",GOOGLETRANSLATE(A990,""en"",""fr""))"),"")</f>
        <v/>
      </c>
    </row>
    <row r="991" spans="2:2">
      <c r="B991" s="3" t="str">
        <f ca="1">IFERROR(__xludf.DUMMYFUNCTION("IF(ISBLANK(A991),"""",GOOGLETRANSLATE(A991,""en"",""fr""))"),"")</f>
        <v/>
      </c>
    </row>
    <row r="992" spans="2:2">
      <c r="B992" s="3" t="str">
        <f ca="1">IFERROR(__xludf.DUMMYFUNCTION("IF(ISBLANK(A992),"""",GOOGLETRANSLATE(A992,""en"",""fr""))"),"")</f>
        <v/>
      </c>
    </row>
    <row r="993" spans="2:2">
      <c r="B993" s="3" t="str">
        <f ca="1">IFERROR(__xludf.DUMMYFUNCTION("IF(ISBLANK(A993),"""",GOOGLETRANSLATE(A993,""en"",""fr""))"),"")</f>
        <v/>
      </c>
    </row>
    <row r="994" spans="2:2">
      <c r="B994" s="3" t="str">
        <f ca="1">IFERROR(__xludf.DUMMYFUNCTION("IF(ISBLANK(A994),"""",GOOGLETRANSLATE(A994,""en"",""fr""))"),"")</f>
        <v/>
      </c>
    </row>
    <row r="995" spans="2:2">
      <c r="B995" s="3" t="str">
        <f ca="1">IFERROR(__xludf.DUMMYFUNCTION("IF(ISBLANK(A995),"""",GOOGLETRANSLATE(A995,""en"",""fr""))"),"")</f>
        <v/>
      </c>
    </row>
    <row r="996" spans="2:2">
      <c r="B996" s="3" t="str">
        <f ca="1">IFERROR(__xludf.DUMMYFUNCTION("IF(ISBLANK(A996),"""",GOOGLETRANSLATE(A996,""en"",""fr""))"),"")</f>
        <v/>
      </c>
    </row>
    <row r="997" spans="2:2">
      <c r="B997" s="3" t="str">
        <f ca="1">IFERROR(__xludf.DUMMYFUNCTION("IF(ISBLANK(A997),"""",GOOGLETRANSLATE(A997,""en"",""fr""))"),"")</f>
        <v/>
      </c>
    </row>
    <row r="998" spans="2:2">
      <c r="B998" s="3" t="str">
        <f ca="1">IFERROR(__xludf.DUMMYFUNCTION("IF(ISBLANK(A998),"""",GOOGLETRANSLATE(A998,""en"",""fr""))"),"")</f>
        <v/>
      </c>
    </row>
    <row r="999" spans="2:2">
      <c r="B999" s="3" t="str">
        <f ca="1">IFERROR(__xludf.DUMMYFUNCTION("IF(ISBLANK(A999),"""",GOOGLETRANSLATE(A999,""en"",""fr""))"),"")</f>
        <v/>
      </c>
    </row>
    <row r="1000" spans="2:2">
      <c r="B1000" s="3" t="str">
        <f ca="1">IFERROR(__xludf.DUMMYFUNCTION("IF(ISBLANK(A1000),"""",GOOGLETRANSLATE(A1000,""en"",""fr""))"),"")</f>
        <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B2:B1000"/>
  <sheetViews>
    <sheetView workbookViewId="0"/>
  </sheetViews>
  <sheetFormatPr defaultColWidth="12.6640625" defaultRowHeight="15.75" customHeight="1"/>
  <sheetData>
    <row r="2" spans="2:2">
      <c r="B2" s="3" t="str">
        <f ca="1">IFERROR(__xludf.DUMMYFUNCTION("IF(ISBLANK(A2),"""",GOOGLETRANSLATE(A2,""en"",""fr""))"),"")</f>
        <v/>
      </c>
    </row>
    <row r="3" spans="2:2">
      <c r="B3" s="3" t="str">
        <f ca="1">IFERROR(__xludf.DUMMYFUNCTION("IF(ISBLANK(A3),"""",GOOGLETRANSLATE(A3,""en"",""fr""))"),"")</f>
        <v/>
      </c>
    </row>
    <row r="4" spans="2:2">
      <c r="B4" s="3" t="str">
        <f ca="1">IFERROR(__xludf.DUMMYFUNCTION("IF(ISBLANK(A4),"""",GOOGLETRANSLATE(A4,""en"",""fr""))"),"")</f>
        <v/>
      </c>
    </row>
    <row r="5" spans="2:2">
      <c r="B5" s="3" t="str">
        <f ca="1">IFERROR(__xludf.DUMMYFUNCTION("IF(ISBLANK(A5),"""",GOOGLETRANSLATE(A5,""en"",""fr""))"),"")</f>
        <v/>
      </c>
    </row>
    <row r="6" spans="2:2">
      <c r="B6" s="3" t="str">
        <f ca="1">IFERROR(__xludf.DUMMYFUNCTION("IF(ISBLANK(A6),"""",GOOGLETRANSLATE(A6,""en"",""fr""))"),"")</f>
        <v/>
      </c>
    </row>
    <row r="7" spans="2:2">
      <c r="B7" s="3" t="str">
        <f ca="1">IFERROR(__xludf.DUMMYFUNCTION("IF(ISBLANK(A7),"""",GOOGLETRANSLATE(A7,""en"",""fr""))"),"")</f>
        <v/>
      </c>
    </row>
    <row r="8" spans="2:2">
      <c r="B8" s="3" t="str">
        <f ca="1">IFERROR(__xludf.DUMMYFUNCTION("IF(ISBLANK(A8),"""",GOOGLETRANSLATE(A8,""en"",""fr""))"),"")</f>
        <v/>
      </c>
    </row>
    <row r="9" spans="2:2">
      <c r="B9" s="3" t="str">
        <f ca="1">IFERROR(__xludf.DUMMYFUNCTION("IF(ISBLANK(A9),"""",GOOGLETRANSLATE(A9,""en"",""fr""))"),"")</f>
        <v/>
      </c>
    </row>
    <row r="10" spans="2:2">
      <c r="B10" s="3" t="str">
        <f ca="1">IFERROR(__xludf.DUMMYFUNCTION("IF(ISBLANK(A10),"""",GOOGLETRANSLATE(A10,""en"",""fr""))"),"")</f>
        <v/>
      </c>
    </row>
    <row r="11" spans="2:2">
      <c r="B11" s="3" t="str">
        <f ca="1">IFERROR(__xludf.DUMMYFUNCTION("IF(ISBLANK(A11),"""",GOOGLETRANSLATE(A11,""en"",""fr""))"),"")</f>
        <v/>
      </c>
    </row>
    <row r="12" spans="2:2">
      <c r="B12" s="3" t="str">
        <f ca="1">IFERROR(__xludf.DUMMYFUNCTION("IF(ISBLANK(A12),"""",GOOGLETRANSLATE(A12,""en"",""fr""))"),"")</f>
        <v/>
      </c>
    </row>
    <row r="13" spans="2:2">
      <c r="B13" s="3" t="str">
        <f ca="1">IFERROR(__xludf.DUMMYFUNCTION("IF(ISBLANK(A13),"""",GOOGLETRANSLATE(A13,""en"",""fr""))"),"")</f>
        <v/>
      </c>
    </row>
    <row r="14" spans="2:2">
      <c r="B14" s="3" t="str">
        <f ca="1">IFERROR(__xludf.DUMMYFUNCTION("IF(ISBLANK(A14),"""",GOOGLETRANSLATE(A14,""en"",""fr""))"),"")</f>
        <v/>
      </c>
    </row>
    <row r="15" spans="2:2">
      <c r="B15" s="3" t="str">
        <f ca="1">IFERROR(__xludf.DUMMYFUNCTION("IF(ISBLANK(A15),"""",GOOGLETRANSLATE(A15,""en"",""fr""))"),"")</f>
        <v/>
      </c>
    </row>
    <row r="16" spans="2:2">
      <c r="B16" s="3" t="str">
        <f ca="1">IFERROR(__xludf.DUMMYFUNCTION("IF(ISBLANK(A16),"""",GOOGLETRANSLATE(A16,""en"",""fr""))"),"")</f>
        <v/>
      </c>
    </row>
    <row r="17" spans="2:2">
      <c r="B17" s="3" t="str">
        <f ca="1">IFERROR(__xludf.DUMMYFUNCTION("IF(ISBLANK(A17),"""",GOOGLETRANSLATE(A17,""en"",""fr""))"),"")</f>
        <v/>
      </c>
    </row>
    <row r="18" spans="2:2">
      <c r="B18" s="3" t="str">
        <f ca="1">IFERROR(__xludf.DUMMYFUNCTION("IF(ISBLANK(A18),"""",GOOGLETRANSLATE(A18,""en"",""fr""))"),"")</f>
        <v/>
      </c>
    </row>
    <row r="19" spans="2:2">
      <c r="B19" s="3" t="str">
        <f ca="1">IFERROR(__xludf.DUMMYFUNCTION("IF(ISBLANK(A19),"""",GOOGLETRANSLATE(A19,""en"",""fr""))"),"")</f>
        <v/>
      </c>
    </row>
    <row r="20" spans="2:2">
      <c r="B20" s="3" t="str">
        <f ca="1">IFERROR(__xludf.DUMMYFUNCTION("IF(ISBLANK(A20),"""",GOOGLETRANSLATE(A20,""en"",""fr""))"),"")</f>
        <v/>
      </c>
    </row>
    <row r="21" spans="2:2">
      <c r="B21" s="3" t="str">
        <f ca="1">IFERROR(__xludf.DUMMYFUNCTION("IF(ISBLANK(A21),"""",GOOGLETRANSLATE(A21,""en"",""fr""))"),"")</f>
        <v/>
      </c>
    </row>
    <row r="22" spans="2:2">
      <c r="B22" s="3" t="str">
        <f ca="1">IFERROR(__xludf.DUMMYFUNCTION("IF(ISBLANK(A22),"""",GOOGLETRANSLATE(A22,""en"",""fr""))"),"")</f>
        <v/>
      </c>
    </row>
    <row r="23" spans="2:2">
      <c r="B23" s="3" t="str">
        <f ca="1">IFERROR(__xludf.DUMMYFUNCTION("IF(ISBLANK(A23),"""",GOOGLETRANSLATE(A23,""en"",""fr""))"),"")</f>
        <v/>
      </c>
    </row>
    <row r="24" spans="2:2">
      <c r="B24" s="3" t="str">
        <f ca="1">IFERROR(__xludf.DUMMYFUNCTION("IF(ISBLANK(A24),"""",GOOGLETRANSLATE(A24,""en"",""fr""))"),"")</f>
        <v/>
      </c>
    </row>
    <row r="25" spans="2:2">
      <c r="B25" s="3" t="str">
        <f ca="1">IFERROR(__xludf.DUMMYFUNCTION("IF(ISBLANK(A25),"""",GOOGLETRANSLATE(A25,""en"",""fr""))"),"")</f>
        <v/>
      </c>
    </row>
    <row r="26" spans="2:2">
      <c r="B26" s="3" t="str">
        <f ca="1">IFERROR(__xludf.DUMMYFUNCTION("IF(ISBLANK(A26),"""",GOOGLETRANSLATE(A26,""en"",""fr""))"),"")</f>
        <v/>
      </c>
    </row>
    <row r="27" spans="2:2">
      <c r="B27" s="3" t="str">
        <f ca="1">IFERROR(__xludf.DUMMYFUNCTION("IF(ISBLANK(A27),"""",GOOGLETRANSLATE(A27,""en"",""fr""))"),"")</f>
        <v/>
      </c>
    </row>
    <row r="28" spans="2:2">
      <c r="B28" s="3" t="str">
        <f ca="1">IFERROR(__xludf.DUMMYFUNCTION("IF(ISBLANK(A28),"""",GOOGLETRANSLATE(A28,""en"",""fr""))"),"")</f>
        <v/>
      </c>
    </row>
    <row r="29" spans="2:2">
      <c r="B29" s="3" t="str">
        <f ca="1">IFERROR(__xludf.DUMMYFUNCTION("IF(ISBLANK(A29),"""",GOOGLETRANSLATE(A29,""en"",""fr""))"),"")</f>
        <v/>
      </c>
    </row>
    <row r="30" spans="2:2">
      <c r="B30" s="3" t="str">
        <f ca="1">IFERROR(__xludf.DUMMYFUNCTION("IF(ISBLANK(A30),"""",GOOGLETRANSLATE(A30,""en"",""fr""))"),"")</f>
        <v/>
      </c>
    </row>
    <row r="31" spans="2:2">
      <c r="B31" s="3" t="str">
        <f ca="1">IFERROR(__xludf.DUMMYFUNCTION("IF(ISBLANK(A31),"""",GOOGLETRANSLATE(A31,""en"",""fr""))"),"")</f>
        <v/>
      </c>
    </row>
    <row r="32" spans="2:2">
      <c r="B32" s="3" t="str">
        <f ca="1">IFERROR(__xludf.DUMMYFUNCTION("IF(ISBLANK(A32),"""",GOOGLETRANSLATE(A32,""en"",""fr""))"),"")</f>
        <v/>
      </c>
    </row>
    <row r="33" spans="2:2">
      <c r="B33" s="3" t="str">
        <f ca="1">IFERROR(__xludf.DUMMYFUNCTION("IF(ISBLANK(A33),"""",GOOGLETRANSLATE(A33,""en"",""fr""))"),"")</f>
        <v/>
      </c>
    </row>
    <row r="34" spans="2:2">
      <c r="B34" s="3" t="str">
        <f ca="1">IFERROR(__xludf.DUMMYFUNCTION("IF(ISBLANK(A34),"""",GOOGLETRANSLATE(A34,""en"",""fr""))"),"")</f>
        <v/>
      </c>
    </row>
    <row r="35" spans="2:2">
      <c r="B35" s="3" t="str">
        <f ca="1">IFERROR(__xludf.DUMMYFUNCTION("IF(ISBLANK(A35),"""",GOOGLETRANSLATE(A35,""en"",""fr""))"),"")</f>
        <v/>
      </c>
    </row>
    <row r="36" spans="2:2">
      <c r="B36" s="3" t="str">
        <f ca="1">IFERROR(__xludf.DUMMYFUNCTION("IF(ISBLANK(A36),"""",GOOGLETRANSLATE(A36,""en"",""fr""))"),"")</f>
        <v/>
      </c>
    </row>
    <row r="37" spans="2:2">
      <c r="B37" s="3" t="str">
        <f ca="1">IFERROR(__xludf.DUMMYFUNCTION("IF(ISBLANK(A37),"""",GOOGLETRANSLATE(A37,""en"",""fr""))"),"")</f>
        <v/>
      </c>
    </row>
    <row r="38" spans="2:2">
      <c r="B38" s="3" t="str">
        <f ca="1">IFERROR(__xludf.DUMMYFUNCTION("IF(ISBLANK(A38),"""",GOOGLETRANSLATE(A38,""en"",""fr""))"),"")</f>
        <v/>
      </c>
    </row>
    <row r="39" spans="2:2">
      <c r="B39" s="3" t="str">
        <f ca="1">IFERROR(__xludf.DUMMYFUNCTION("IF(ISBLANK(A39),"""",GOOGLETRANSLATE(A39,""en"",""fr""))"),"")</f>
        <v/>
      </c>
    </row>
    <row r="40" spans="2:2">
      <c r="B40" s="3" t="str">
        <f ca="1">IFERROR(__xludf.DUMMYFUNCTION("IF(ISBLANK(A40),"""",GOOGLETRANSLATE(A40,""en"",""fr""))"),"")</f>
        <v/>
      </c>
    </row>
    <row r="41" spans="2:2">
      <c r="B41" s="3" t="str">
        <f ca="1">IFERROR(__xludf.DUMMYFUNCTION("IF(ISBLANK(A41),"""",GOOGLETRANSLATE(A41,""en"",""fr""))"),"")</f>
        <v/>
      </c>
    </row>
    <row r="42" spans="2:2">
      <c r="B42" s="3" t="str">
        <f ca="1">IFERROR(__xludf.DUMMYFUNCTION("IF(ISBLANK(A42),"""",GOOGLETRANSLATE(A42,""en"",""fr""))"),"")</f>
        <v/>
      </c>
    </row>
    <row r="43" spans="2:2">
      <c r="B43" s="3" t="str">
        <f ca="1">IFERROR(__xludf.DUMMYFUNCTION("IF(ISBLANK(A43),"""",GOOGLETRANSLATE(A43,""en"",""fr""))"),"")</f>
        <v/>
      </c>
    </row>
    <row r="44" spans="2:2">
      <c r="B44" s="3" t="str">
        <f ca="1">IFERROR(__xludf.DUMMYFUNCTION("IF(ISBLANK(A44),"""",GOOGLETRANSLATE(A44,""en"",""fr""))"),"")</f>
        <v/>
      </c>
    </row>
    <row r="45" spans="2:2">
      <c r="B45" s="3" t="str">
        <f ca="1">IFERROR(__xludf.DUMMYFUNCTION("IF(ISBLANK(A45),"""",GOOGLETRANSLATE(A45,""en"",""fr""))"),"")</f>
        <v/>
      </c>
    </row>
    <row r="46" spans="2:2">
      <c r="B46" s="3" t="str">
        <f ca="1">IFERROR(__xludf.DUMMYFUNCTION("IF(ISBLANK(A46),"""",GOOGLETRANSLATE(A46,""en"",""fr""))"),"")</f>
        <v/>
      </c>
    </row>
    <row r="47" spans="2:2">
      <c r="B47" s="3" t="str">
        <f ca="1">IFERROR(__xludf.DUMMYFUNCTION("IF(ISBLANK(A47),"""",GOOGLETRANSLATE(A47,""en"",""fr""))"),"")</f>
        <v/>
      </c>
    </row>
    <row r="48" spans="2:2">
      <c r="B48" s="3" t="str">
        <f ca="1">IFERROR(__xludf.DUMMYFUNCTION("IF(ISBLANK(A48),"""",GOOGLETRANSLATE(A48,""en"",""fr""))"),"")</f>
        <v/>
      </c>
    </row>
    <row r="49" spans="2:2">
      <c r="B49" s="3" t="str">
        <f ca="1">IFERROR(__xludf.DUMMYFUNCTION("IF(ISBLANK(A49),"""",GOOGLETRANSLATE(A49,""en"",""fr""))"),"")</f>
        <v/>
      </c>
    </row>
    <row r="50" spans="2:2">
      <c r="B50" s="3" t="str">
        <f ca="1">IFERROR(__xludf.DUMMYFUNCTION("IF(ISBLANK(A50),"""",GOOGLETRANSLATE(A50,""en"",""fr""))"),"")</f>
        <v/>
      </c>
    </row>
    <row r="51" spans="2:2">
      <c r="B51" s="3" t="str">
        <f ca="1">IFERROR(__xludf.DUMMYFUNCTION("IF(ISBLANK(A51),"""",GOOGLETRANSLATE(A51,""en"",""fr""))"),"")</f>
        <v/>
      </c>
    </row>
    <row r="52" spans="2:2">
      <c r="B52" s="3" t="str">
        <f ca="1">IFERROR(__xludf.DUMMYFUNCTION("IF(ISBLANK(A52),"""",GOOGLETRANSLATE(A52,""en"",""fr""))"),"")</f>
        <v/>
      </c>
    </row>
    <row r="53" spans="2:2">
      <c r="B53" s="3" t="str">
        <f ca="1">IFERROR(__xludf.DUMMYFUNCTION("IF(ISBLANK(A53),"""",GOOGLETRANSLATE(A53,""en"",""fr""))"),"")</f>
        <v/>
      </c>
    </row>
    <row r="54" spans="2:2">
      <c r="B54" s="3" t="str">
        <f ca="1">IFERROR(__xludf.DUMMYFUNCTION("IF(ISBLANK(A54),"""",GOOGLETRANSLATE(A54,""en"",""fr""))"),"")</f>
        <v/>
      </c>
    </row>
    <row r="55" spans="2:2">
      <c r="B55" s="3" t="str">
        <f ca="1">IFERROR(__xludf.DUMMYFUNCTION("IF(ISBLANK(A55),"""",GOOGLETRANSLATE(A55,""en"",""fr""))"),"")</f>
        <v/>
      </c>
    </row>
    <row r="56" spans="2:2">
      <c r="B56" s="3" t="str">
        <f ca="1">IFERROR(__xludf.DUMMYFUNCTION("IF(ISBLANK(A56),"""",GOOGLETRANSLATE(A56,""en"",""fr""))"),"")</f>
        <v/>
      </c>
    </row>
    <row r="57" spans="2:2">
      <c r="B57" s="3" t="str">
        <f ca="1">IFERROR(__xludf.DUMMYFUNCTION("IF(ISBLANK(A57),"""",GOOGLETRANSLATE(A57,""en"",""fr""))"),"")</f>
        <v/>
      </c>
    </row>
    <row r="58" spans="2:2">
      <c r="B58" s="3" t="str">
        <f ca="1">IFERROR(__xludf.DUMMYFUNCTION("IF(ISBLANK(A58),"""",GOOGLETRANSLATE(A58,""en"",""fr""))"),"")</f>
        <v/>
      </c>
    </row>
    <row r="59" spans="2:2">
      <c r="B59" s="3" t="str">
        <f ca="1">IFERROR(__xludf.DUMMYFUNCTION("IF(ISBLANK(A59),"""",GOOGLETRANSLATE(A59,""en"",""fr""))"),"")</f>
        <v/>
      </c>
    </row>
    <row r="60" spans="2:2">
      <c r="B60" s="3" t="str">
        <f ca="1">IFERROR(__xludf.DUMMYFUNCTION("IF(ISBLANK(A60),"""",GOOGLETRANSLATE(A60,""en"",""fr""))"),"")</f>
        <v/>
      </c>
    </row>
    <row r="61" spans="2:2">
      <c r="B61" s="3" t="str">
        <f ca="1">IFERROR(__xludf.DUMMYFUNCTION("IF(ISBLANK(A61),"""",GOOGLETRANSLATE(A61,""en"",""fr""))"),"")</f>
        <v/>
      </c>
    </row>
    <row r="62" spans="2:2">
      <c r="B62" s="3" t="str">
        <f ca="1">IFERROR(__xludf.DUMMYFUNCTION("IF(ISBLANK(A62),"""",GOOGLETRANSLATE(A62,""en"",""fr""))"),"")</f>
        <v/>
      </c>
    </row>
    <row r="63" spans="2:2">
      <c r="B63" s="3" t="str">
        <f ca="1">IFERROR(__xludf.DUMMYFUNCTION("IF(ISBLANK(A63),"""",GOOGLETRANSLATE(A63,""en"",""fr""))"),"")</f>
        <v/>
      </c>
    </row>
    <row r="64" spans="2:2">
      <c r="B64" s="3" t="str">
        <f ca="1">IFERROR(__xludf.DUMMYFUNCTION("IF(ISBLANK(A64),"""",GOOGLETRANSLATE(A64,""en"",""fr""))"),"")</f>
        <v/>
      </c>
    </row>
    <row r="65" spans="2:2">
      <c r="B65" s="3" t="str">
        <f ca="1">IFERROR(__xludf.DUMMYFUNCTION("IF(ISBLANK(A65),"""",GOOGLETRANSLATE(A65,""en"",""fr""))"),"")</f>
        <v/>
      </c>
    </row>
    <row r="66" spans="2:2">
      <c r="B66" s="3" t="str">
        <f ca="1">IFERROR(__xludf.DUMMYFUNCTION("IF(ISBLANK(A66),"""",GOOGLETRANSLATE(A66,""en"",""fr""))"),"")</f>
        <v/>
      </c>
    </row>
    <row r="67" spans="2:2">
      <c r="B67" s="3" t="str">
        <f ca="1">IFERROR(__xludf.DUMMYFUNCTION("IF(ISBLANK(A67),"""",GOOGLETRANSLATE(A67,""en"",""fr""))"),"")</f>
        <v/>
      </c>
    </row>
    <row r="68" spans="2:2">
      <c r="B68" s="3" t="str">
        <f ca="1">IFERROR(__xludf.DUMMYFUNCTION("IF(ISBLANK(A68),"""",GOOGLETRANSLATE(A68,""en"",""fr""))"),"")</f>
        <v/>
      </c>
    </row>
    <row r="69" spans="2:2">
      <c r="B69" s="3" t="str">
        <f ca="1">IFERROR(__xludf.DUMMYFUNCTION("IF(ISBLANK(A69),"""",GOOGLETRANSLATE(A69,""en"",""fr""))"),"")</f>
        <v/>
      </c>
    </row>
    <row r="70" spans="2:2">
      <c r="B70" s="3" t="str">
        <f ca="1">IFERROR(__xludf.DUMMYFUNCTION("IF(ISBLANK(A70),"""",GOOGLETRANSLATE(A70,""en"",""fr""))"),"")</f>
        <v/>
      </c>
    </row>
    <row r="71" spans="2:2">
      <c r="B71" s="3" t="str">
        <f ca="1">IFERROR(__xludf.DUMMYFUNCTION("IF(ISBLANK(A71),"""",GOOGLETRANSLATE(A71,""en"",""fr""))"),"")</f>
        <v/>
      </c>
    </row>
    <row r="72" spans="2:2">
      <c r="B72" s="3" t="str">
        <f ca="1">IFERROR(__xludf.DUMMYFUNCTION("IF(ISBLANK(A72),"""",GOOGLETRANSLATE(A72,""en"",""fr""))"),"")</f>
        <v/>
      </c>
    </row>
    <row r="73" spans="2:2">
      <c r="B73" s="3" t="str">
        <f ca="1">IFERROR(__xludf.DUMMYFUNCTION("IF(ISBLANK(A73),"""",GOOGLETRANSLATE(A73,""en"",""fr""))"),"")</f>
        <v/>
      </c>
    </row>
    <row r="74" spans="2:2">
      <c r="B74" s="3" t="str">
        <f ca="1">IFERROR(__xludf.DUMMYFUNCTION("IF(ISBLANK(A74),"""",GOOGLETRANSLATE(A74,""en"",""fr""))"),"")</f>
        <v/>
      </c>
    </row>
    <row r="75" spans="2:2">
      <c r="B75" s="3" t="str">
        <f ca="1">IFERROR(__xludf.DUMMYFUNCTION("IF(ISBLANK(A75),"""",GOOGLETRANSLATE(A75,""en"",""fr""))"),"")</f>
        <v/>
      </c>
    </row>
    <row r="76" spans="2:2">
      <c r="B76" s="3" t="str">
        <f ca="1">IFERROR(__xludf.DUMMYFUNCTION("IF(ISBLANK(A76),"""",GOOGLETRANSLATE(A76,""en"",""fr""))"),"")</f>
        <v/>
      </c>
    </row>
    <row r="77" spans="2:2">
      <c r="B77" s="3" t="str">
        <f ca="1">IFERROR(__xludf.DUMMYFUNCTION("IF(ISBLANK(A77),"""",GOOGLETRANSLATE(A77,""en"",""fr""))"),"")</f>
        <v/>
      </c>
    </row>
    <row r="78" spans="2:2">
      <c r="B78" s="3" t="str">
        <f ca="1">IFERROR(__xludf.DUMMYFUNCTION("IF(ISBLANK(A78),"""",GOOGLETRANSLATE(A78,""en"",""fr""))"),"")</f>
        <v/>
      </c>
    </row>
    <row r="79" spans="2:2">
      <c r="B79" s="3" t="str">
        <f ca="1">IFERROR(__xludf.DUMMYFUNCTION("IF(ISBLANK(A79),"""",GOOGLETRANSLATE(A79,""en"",""fr""))"),"")</f>
        <v/>
      </c>
    </row>
    <row r="80" spans="2:2">
      <c r="B80" s="3" t="str">
        <f ca="1">IFERROR(__xludf.DUMMYFUNCTION("IF(ISBLANK(A80),"""",GOOGLETRANSLATE(A80,""en"",""fr""))"),"")</f>
        <v/>
      </c>
    </row>
    <row r="81" spans="2:2">
      <c r="B81" s="3" t="str">
        <f ca="1">IFERROR(__xludf.DUMMYFUNCTION("IF(ISBLANK(A81),"""",GOOGLETRANSLATE(A81,""en"",""fr""))"),"")</f>
        <v/>
      </c>
    </row>
    <row r="82" spans="2:2">
      <c r="B82" s="3" t="str">
        <f ca="1">IFERROR(__xludf.DUMMYFUNCTION("IF(ISBLANK(A82),"""",GOOGLETRANSLATE(A82,""en"",""fr""))"),"")</f>
        <v/>
      </c>
    </row>
    <row r="83" spans="2:2">
      <c r="B83" s="3" t="str">
        <f ca="1">IFERROR(__xludf.DUMMYFUNCTION("IF(ISBLANK(A83),"""",GOOGLETRANSLATE(A83,""en"",""fr""))"),"")</f>
        <v/>
      </c>
    </row>
    <row r="84" spans="2:2">
      <c r="B84" s="3" t="str">
        <f ca="1">IFERROR(__xludf.DUMMYFUNCTION("IF(ISBLANK(A84),"""",GOOGLETRANSLATE(A84,""en"",""fr""))"),"")</f>
        <v/>
      </c>
    </row>
    <row r="85" spans="2:2">
      <c r="B85" s="3" t="str">
        <f ca="1">IFERROR(__xludf.DUMMYFUNCTION("IF(ISBLANK(A85),"""",GOOGLETRANSLATE(A85,""en"",""fr""))"),"")</f>
        <v/>
      </c>
    </row>
    <row r="86" spans="2:2">
      <c r="B86" s="3" t="str">
        <f ca="1">IFERROR(__xludf.DUMMYFUNCTION("IF(ISBLANK(A86),"""",GOOGLETRANSLATE(A86,""en"",""fr""))"),"")</f>
        <v/>
      </c>
    </row>
    <row r="87" spans="2:2">
      <c r="B87" s="3" t="str">
        <f ca="1">IFERROR(__xludf.DUMMYFUNCTION("IF(ISBLANK(A87),"""",GOOGLETRANSLATE(A87,""en"",""fr""))"),"")</f>
        <v/>
      </c>
    </row>
    <row r="88" spans="2:2">
      <c r="B88" s="3" t="str">
        <f ca="1">IFERROR(__xludf.DUMMYFUNCTION("IF(ISBLANK(A88),"""",GOOGLETRANSLATE(A88,""en"",""fr""))"),"")</f>
        <v/>
      </c>
    </row>
    <row r="89" spans="2:2">
      <c r="B89" s="3" t="str">
        <f ca="1">IFERROR(__xludf.DUMMYFUNCTION("IF(ISBLANK(A89),"""",GOOGLETRANSLATE(A89,""en"",""fr""))"),"")</f>
        <v/>
      </c>
    </row>
    <row r="90" spans="2:2">
      <c r="B90" s="3" t="str">
        <f ca="1">IFERROR(__xludf.DUMMYFUNCTION("IF(ISBLANK(A90),"""",GOOGLETRANSLATE(A90,""en"",""fr""))"),"")</f>
        <v/>
      </c>
    </row>
    <row r="91" spans="2:2">
      <c r="B91" s="3" t="str">
        <f ca="1">IFERROR(__xludf.DUMMYFUNCTION("IF(ISBLANK(A91),"""",GOOGLETRANSLATE(A91,""en"",""fr""))"),"")</f>
        <v/>
      </c>
    </row>
    <row r="92" spans="2:2">
      <c r="B92" s="3" t="str">
        <f ca="1">IFERROR(__xludf.DUMMYFUNCTION("IF(ISBLANK(A92),"""",GOOGLETRANSLATE(A92,""en"",""fr""))"),"")</f>
        <v/>
      </c>
    </row>
    <row r="93" spans="2:2">
      <c r="B93" s="3" t="str">
        <f ca="1">IFERROR(__xludf.DUMMYFUNCTION("IF(ISBLANK(A93),"""",GOOGLETRANSLATE(A93,""en"",""fr""))"),"")</f>
        <v/>
      </c>
    </row>
    <row r="94" spans="2:2">
      <c r="B94" s="3" t="str">
        <f ca="1">IFERROR(__xludf.DUMMYFUNCTION("IF(ISBLANK(A94),"""",GOOGLETRANSLATE(A94,""en"",""fr""))"),"")</f>
        <v/>
      </c>
    </row>
    <row r="95" spans="2:2">
      <c r="B95" s="3" t="str">
        <f ca="1">IFERROR(__xludf.DUMMYFUNCTION("IF(ISBLANK(A95),"""",GOOGLETRANSLATE(A95,""en"",""fr""))"),"")</f>
        <v/>
      </c>
    </row>
    <row r="96" spans="2:2">
      <c r="B96" s="3" t="str">
        <f ca="1">IFERROR(__xludf.DUMMYFUNCTION("IF(ISBLANK(A96),"""",GOOGLETRANSLATE(A96,""en"",""fr""))"),"")</f>
        <v/>
      </c>
    </row>
    <row r="97" spans="2:2">
      <c r="B97" s="3" t="str">
        <f ca="1">IFERROR(__xludf.DUMMYFUNCTION("IF(ISBLANK(A97),"""",GOOGLETRANSLATE(A97,""en"",""fr""))"),"")</f>
        <v/>
      </c>
    </row>
    <row r="98" spans="2:2">
      <c r="B98" s="3" t="str">
        <f ca="1">IFERROR(__xludf.DUMMYFUNCTION("IF(ISBLANK(A98),"""",GOOGLETRANSLATE(A98,""en"",""fr""))"),"")</f>
        <v/>
      </c>
    </row>
    <row r="99" spans="2:2">
      <c r="B99" s="3" t="str">
        <f ca="1">IFERROR(__xludf.DUMMYFUNCTION("IF(ISBLANK(A99),"""",GOOGLETRANSLATE(A99,""en"",""fr""))"),"")</f>
        <v/>
      </c>
    </row>
    <row r="100" spans="2:2">
      <c r="B100" s="3" t="str">
        <f ca="1">IFERROR(__xludf.DUMMYFUNCTION("IF(ISBLANK(A100),"""",GOOGLETRANSLATE(A100,""en"",""fr""))"),"")</f>
        <v/>
      </c>
    </row>
    <row r="101" spans="2:2">
      <c r="B101" s="3" t="str">
        <f ca="1">IFERROR(__xludf.DUMMYFUNCTION("IF(ISBLANK(A101),"""",GOOGLETRANSLATE(A101,""en"",""fr""))"),"")</f>
        <v/>
      </c>
    </row>
    <row r="102" spans="2:2">
      <c r="B102" s="3" t="str">
        <f ca="1">IFERROR(__xludf.DUMMYFUNCTION("IF(ISBLANK(A102),"""",GOOGLETRANSLATE(A102,""en"",""fr""))"),"")</f>
        <v/>
      </c>
    </row>
    <row r="103" spans="2:2">
      <c r="B103" s="3" t="str">
        <f ca="1">IFERROR(__xludf.DUMMYFUNCTION("IF(ISBLANK(A103),"""",GOOGLETRANSLATE(A103,""en"",""fr""))"),"")</f>
        <v/>
      </c>
    </row>
    <row r="104" spans="2:2">
      <c r="B104" s="3" t="str">
        <f ca="1">IFERROR(__xludf.DUMMYFUNCTION("IF(ISBLANK(A104),"""",GOOGLETRANSLATE(A104,""en"",""fr""))"),"")</f>
        <v/>
      </c>
    </row>
    <row r="105" spans="2:2">
      <c r="B105" s="3" t="str">
        <f ca="1">IFERROR(__xludf.DUMMYFUNCTION("IF(ISBLANK(A105),"""",GOOGLETRANSLATE(A105,""en"",""fr""))"),"")</f>
        <v/>
      </c>
    </row>
    <row r="106" spans="2:2">
      <c r="B106" s="3" t="str">
        <f ca="1">IFERROR(__xludf.DUMMYFUNCTION("IF(ISBLANK(A106),"""",GOOGLETRANSLATE(A106,""en"",""fr""))"),"")</f>
        <v/>
      </c>
    </row>
    <row r="107" spans="2:2">
      <c r="B107" s="3" t="str">
        <f ca="1">IFERROR(__xludf.DUMMYFUNCTION("IF(ISBLANK(A107),"""",GOOGLETRANSLATE(A107,""en"",""fr""))"),"")</f>
        <v/>
      </c>
    </row>
    <row r="108" spans="2:2">
      <c r="B108" s="3" t="str">
        <f ca="1">IFERROR(__xludf.DUMMYFUNCTION("IF(ISBLANK(A108),"""",GOOGLETRANSLATE(A108,""en"",""fr""))"),"")</f>
        <v/>
      </c>
    </row>
    <row r="109" spans="2:2">
      <c r="B109" s="3" t="str">
        <f ca="1">IFERROR(__xludf.DUMMYFUNCTION("IF(ISBLANK(A109),"""",GOOGLETRANSLATE(A109,""en"",""fr""))"),"")</f>
        <v/>
      </c>
    </row>
    <row r="110" spans="2:2">
      <c r="B110" s="3" t="str">
        <f ca="1">IFERROR(__xludf.DUMMYFUNCTION("IF(ISBLANK(A110),"""",GOOGLETRANSLATE(A110,""en"",""fr""))"),"")</f>
        <v/>
      </c>
    </row>
    <row r="111" spans="2:2">
      <c r="B111" s="3" t="str">
        <f ca="1">IFERROR(__xludf.DUMMYFUNCTION("IF(ISBLANK(A111),"""",GOOGLETRANSLATE(A111,""en"",""fr""))"),"")</f>
        <v/>
      </c>
    </row>
    <row r="112" spans="2:2">
      <c r="B112" s="3" t="str">
        <f ca="1">IFERROR(__xludf.DUMMYFUNCTION("IF(ISBLANK(A112),"""",GOOGLETRANSLATE(A112,""en"",""fr""))"),"")</f>
        <v/>
      </c>
    </row>
    <row r="113" spans="2:2">
      <c r="B113" s="3" t="str">
        <f ca="1">IFERROR(__xludf.DUMMYFUNCTION("IF(ISBLANK(A113),"""",GOOGLETRANSLATE(A113,""en"",""fr""))"),"")</f>
        <v/>
      </c>
    </row>
    <row r="114" spans="2:2">
      <c r="B114" s="3" t="str">
        <f ca="1">IFERROR(__xludf.DUMMYFUNCTION("IF(ISBLANK(A114),"""",GOOGLETRANSLATE(A114,""en"",""fr""))"),"")</f>
        <v/>
      </c>
    </row>
    <row r="115" spans="2:2">
      <c r="B115" s="3" t="str">
        <f ca="1">IFERROR(__xludf.DUMMYFUNCTION("IF(ISBLANK(A115),"""",GOOGLETRANSLATE(A115,""en"",""fr""))"),"")</f>
        <v/>
      </c>
    </row>
    <row r="116" spans="2:2">
      <c r="B116" s="3" t="str">
        <f ca="1">IFERROR(__xludf.DUMMYFUNCTION("IF(ISBLANK(A116),"""",GOOGLETRANSLATE(A116,""en"",""fr""))"),"")</f>
        <v/>
      </c>
    </row>
    <row r="117" spans="2:2">
      <c r="B117" s="3" t="str">
        <f ca="1">IFERROR(__xludf.DUMMYFUNCTION("IF(ISBLANK(A117),"""",GOOGLETRANSLATE(A117,""en"",""fr""))"),"")</f>
        <v/>
      </c>
    </row>
    <row r="118" spans="2:2">
      <c r="B118" s="3" t="str">
        <f ca="1">IFERROR(__xludf.DUMMYFUNCTION("IF(ISBLANK(A118),"""",GOOGLETRANSLATE(A118,""en"",""fr""))"),"")</f>
        <v/>
      </c>
    </row>
    <row r="119" spans="2:2">
      <c r="B119" s="3" t="str">
        <f ca="1">IFERROR(__xludf.DUMMYFUNCTION("IF(ISBLANK(A119),"""",GOOGLETRANSLATE(A119,""en"",""fr""))"),"")</f>
        <v/>
      </c>
    </row>
    <row r="120" spans="2:2">
      <c r="B120" s="3" t="str">
        <f ca="1">IFERROR(__xludf.DUMMYFUNCTION("IF(ISBLANK(A120),"""",GOOGLETRANSLATE(A120,""en"",""fr""))"),"")</f>
        <v/>
      </c>
    </row>
    <row r="121" spans="2:2">
      <c r="B121" s="3" t="str">
        <f ca="1">IFERROR(__xludf.DUMMYFUNCTION("IF(ISBLANK(A121),"""",GOOGLETRANSLATE(A121,""en"",""fr""))"),"")</f>
        <v/>
      </c>
    </row>
    <row r="122" spans="2:2">
      <c r="B122" s="3" t="str">
        <f ca="1">IFERROR(__xludf.DUMMYFUNCTION("IF(ISBLANK(A122),"""",GOOGLETRANSLATE(A122,""en"",""fr""))"),"")</f>
        <v/>
      </c>
    </row>
    <row r="123" spans="2:2">
      <c r="B123" s="3" t="str">
        <f ca="1">IFERROR(__xludf.DUMMYFUNCTION("IF(ISBLANK(A123),"""",GOOGLETRANSLATE(A123,""en"",""fr""))"),"")</f>
        <v/>
      </c>
    </row>
    <row r="124" spans="2:2">
      <c r="B124" s="3" t="str">
        <f ca="1">IFERROR(__xludf.DUMMYFUNCTION("IF(ISBLANK(A124),"""",GOOGLETRANSLATE(A124,""en"",""fr""))"),"")</f>
        <v/>
      </c>
    </row>
    <row r="125" spans="2:2">
      <c r="B125" s="3" t="str">
        <f ca="1">IFERROR(__xludf.DUMMYFUNCTION("IF(ISBLANK(A125),"""",GOOGLETRANSLATE(A125,""en"",""fr""))"),"")</f>
        <v/>
      </c>
    </row>
    <row r="126" spans="2:2">
      <c r="B126" s="3" t="str">
        <f ca="1">IFERROR(__xludf.DUMMYFUNCTION("IF(ISBLANK(A126),"""",GOOGLETRANSLATE(A126,""en"",""fr""))"),"")</f>
        <v/>
      </c>
    </row>
    <row r="127" spans="2:2">
      <c r="B127" s="3" t="str">
        <f ca="1">IFERROR(__xludf.DUMMYFUNCTION("IF(ISBLANK(A127),"""",GOOGLETRANSLATE(A127,""en"",""fr""))"),"")</f>
        <v/>
      </c>
    </row>
    <row r="128" spans="2:2">
      <c r="B128" s="3" t="str">
        <f ca="1">IFERROR(__xludf.DUMMYFUNCTION("IF(ISBLANK(A128),"""",GOOGLETRANSLATE(A128,""en"",""fr""))"),"")</f>
        <v/>
      </c>
    </row>
    <row r="129" spans="2:2">
      <c r="B129" s="3" t="str">
        <f ca="1">IFERROR(__xludf.DUMMYFUNCTION("IF(ISBLANK(A129),"""",GOOGLETRANSLATE(A129,""en"",""fr""))"),"")</f>
        <v/>
      </c>
    </row>
    <row r="130" spans="2:2">
      <c r="B130" s="3" t="str">
        <f ca="1">IFERROR(__xludf.DUMMYFUNCTION("IF(ISBLANK(A130),"""",GOOGLETRANSLATE(A130,""en"",""fr""))"),"")</f>
        <v/>
      </c>
    </row>
    <row r="131" spans="2:2">
      <c r="B131" s="3" t="str">
        <f ca="1">IFERROR(__xludf.DUMMYFUNCTION("IF(ISBLANK(A131),"""",GOOGLETRANSLATE(A131,""en"",""fr""))"),"")</f>
        <v/>
      </c>
    </row>
    <row r="132" spans="2:2">
      <c r="B132" s="3" t="str">
        <f ca="1">IFERROR(__xludf.DUMMYFUNCTION("IF(ISBLANK(A132),"""",GOOGLETRANSLATE(A132,""en"",""fr""))"),"")</f>
        <v/>
      </c>
    </row>
    <row r="133" spans="2:2">
      <c r="B133" s="3" t="str">
        <f ca="1">IFERROR(__xludf.DUMMYFUNCTION("IF(ISBLANK(A133),"""",GOOGLETRANSLATE(A133,""en"",""fr""))"),"")</f>
        <v/>
      </c>
    </row>
    <row r="134" spans="2:2">
      <c r="B134" s="3" t="str">
        <f ca="1">IFERROR(__xludf.DUMMYFUNCTION("IF(ISBLANK(A134),"""",GOOGLETRANSLATE(A134,""en"",""fr""))"),"")</f>
        <v/>
      </c>
    </row>
    <row r="135" spans="2:2">
      <c r="B135" s="3" t="str">
        <f ca="1">IFERROR(__xludf.DUMMYFUNCTION("IF(ISBLANK(A135),"""",GOOGLETRANSLATE(A135,""en"",""fr""))"),"")</f>
        <v/>
      </c>
    </row>
    <row r="136" spans="2:2">
      <c r="B136" s="3" t="str">
        <f ca="1">IFERROR(__xludf.DUMMYFUNCTION("IF(ISBLANK(A136),"""",GOOGLETRANSLATE(A136,""en"",""fr""))"),"")</f>
        <v/>
      </c>
    </row>
    <row r="137" spans="2:2">
      <c r="B137" s="3" t="str">
        <f ca="1">IFERROR(__xludf.DUMMYFUNCTION("IF(ISBLANK(A137),"""",GOOGLETRANSLATE(A137,""en"",""fr""))"),"")</f>
        <v/>
      </c>
    </row>
    <row r="138" spans="2:2">
      <c r="B138" s="3" t="str">
        <f ca="1">IFERROR(__xludf.DUMMYFUNCTION("IF(ISBLANK(A138),"""",GOOGLETRANSLATE(A138,""en"",""fr""))"),"")</f>
        <v/>
      </c>
    </row>
    <row r="139" spans="2:2">
      <c r="B139" s="3" t="str">
        <f ca="1">IFERROR(__xludf.DUMMYFUNCTION("IF(ISBLANK(A139),"""",GOOGLETRANSLATE(A139,""en"",""fr""))"),"")</f>
        <v/>
      </c>
    </row>
    <row r="140" spans="2:2">
      <c r="B140" s="3" t="str">
        <f ca="1">IFERROR(__xludf.DUMMYFUNCTION("IF(ISBLANK(A140),"""",GOOGLETRANSLATE(A140,""en"",""fr""))"),"")</f>
        <v/>
      </c>
    </row>
    <row r="141" spans="2:2">
      <c r="B141" s="3" t="str">
        <f ca="1">IFERROR(__xludf.DUMMYFUNCTION("IF(ISBLANK(A141),"""",GOOGLETRANSLATE(A141,""en"",""fr""))"),"")</f>
        <v/>
      </c>
    </row>
    <row r="142" spans="2:2">
      <c r="B142" s="3" t="str">
        <f ca="1">IFERROR(__xludf.DUMMYFUNCTION("IF(ISBLANK(A142),"""",GOOGLETRANSLATE(A142,""en"",""fr""))"),"")</f>
        <v/>
      </c>
    </row>
    <row r="143" spans="2:2">
      <c r="B143" s="3" t="str">
        <f ca="1">IFERROR(__xludf.DUMMYFUNCTION("IF(ISBLANK(A143),"""",GOOGLETRANSLATE(A143,""en"",""fr""))"),"")</f>
        <v/>
      </c>
    </row>
    <row r="144" spans="2:2">
      <c r="B144" s="3" t="str">
        <f ca="1">IFERROR(__xludf.DUMMYFUNCTION("IF(ISBLANK(A144),"""",GOOGLETRANSLATE(A144,""en"",""fr""))"),"")</f>
        <v/>
      </c>
    </row>
    <row r="145" spans="2:2">
      <c r="B145" s="3" t="str">
        <f ca="1">IFERROR(__xludf.DUMMYFUNCTION("IF(ISBLANK(A145),"""",GOOGLETRANSLATE(A145,""en"",""fr""))"),"")</f>
        <v/>
      </c>
    </row>
    <row r="146" spans="2:2">
      <c r="B146" s="3" t="str">
        <f ca="1">IFERROR(__xludf.DUMMYFUNCTION("IF(ISBLANK(A146),"""",GOOGLETRANSLATE(A146,""en"",""fr""))"),"")</f>
        <v/>
      </c>
    </row>
    <row r="147" spans="2:2">
      <c r="B147" s="3" t="str">
        <f ca="1">IFERROR(__xludf.DUMMYFUNCTION("IF(ISBLANK(A147),"""",GOOGLETRANSLATE(A147,""en"",""fr""))"),"")</f>
        <v/>
      </c>
    </row>
    <row r="148" spans="2:2">
      <c r="B148" s="3" t="str">
        <f ca="1">IFERROR(__xludf.DUMMYFUNCTION("IF(ISBLANK(A148),"""",GOOGLETRANSLATE(A148,""en"",""fr""))"),"")</f>
        <v/>
      </c>
    </row>
    <row r="149" spans="2:2">
      <c r="B149" s="3" t="str">
        <f ca="1">IFERROR(__xludf.DUMMYFUNCTION("IF(ISBLANK(A149),"""",GOOGLETRANSLATE(A149,""en"",""fr""))"),"")</f>
        <v/>
      </c>
    </row>
    <row r="150" spans="2:2">
      <c r="B150" s="3" t="str">
        <f ca="1">IFERROR(__xludf.DUMMYFUNCTION("IF(ISBLANK(A150),"""",GOOGLETRANSLATE(A150,""en"",""fr""))"),"")</f>
        <v/>
      </c>
    </row>
    <row r="151" spans="2:2">
      <c r="B151" s="3" t="str">
        <f ca="1">IFERROR(__xludf.DUMMYFUNCTION("IF(ISBLANK(A151),"""",GOOGLETRANSLATE(A151,""en"",""fr""))"),"")</f>
        <v/>
      </c>
    </row>
    <row r="152" spans="2:2">
      <c r="B152" s="3" t="str">
        <f ca="1">IFERROR(__xludf.DUMMYFUNCTION("IF(ISBLANK(A152),"""",GOOGLETRANSLATE(A152,""en"",""fr""))"),"")</f>
        <v/>
      </c>
    </row>
    <row r="153" spans="2:2">
      <c r="B153" s="3" t="str">
        <f ca="1">IFERROR(__xludf.DUMMYFUNCTION("IF(ISBLANK(A153),"""",GOOGLETRANSLATE(A153,""en"",""fr""))"),"")</f>
        <v/>
      </c>
    </row>
    <row r="154" spans="2:2">
      <c r="B154" s="3" t="str">
        <f ca="1">IFERROR(__xludf.DUMMYFUNCTION("IF(ISBLANK(A154),"""",GOOGLETRANSLATE(A154,""en"",""fr""))"),"")</f>
        <v/>
      </c>
    </row>
    <row r="155" spans="2:2">
      <c r="B155" s="3" t="str">
        <f ca="1">IFERROR(__xludf.DUMMYFUNCTION("IF(ISBLANK(A155),"""",GOOGLETRANSLATE(A155,""en"",""fr""))"),"")</f>
        <v/>
      </c>
    </row>
    <row r="156" spans="2:2">
      <c r="B156" s="3" t="str">
        <f ca="1">IFERROR(__xludf.DUMMYFUNCTION("IF(ISBLANK(A156),"""",GOOGLETRANSLATE(A156,""en"",""fr""))"),"")</f>
        <v/>
      </c>
    </row>
    <row r="157" spans="2:2">
      <c r="B157" s="3" t="str">
        <f ca="1">IFERROR(__xludf.DUMMYFUNCTION("IF(ISBLANK(A157),"""",GOOGLETRANSLATE(A157,""en"",""fr""))"),"")</f>
        <v/>
      </c>
    </row>
    <row r="158" spans="2:2">
      <c r="B158" s="3" t="str">
        <f ca="1">IFERROR(__xludf.DUMMYFUNCTION("IF(ISBLANK(A158),"""",GOOGLETRANSLATE(A158,""en"",""fr""))"),"")</f>
        <v/>
      </c>
    </row>
    <row r="159" spans="2:2">
      <c r="B159" s="3" t="str">
        <f ca="1">IFERROR(__xludf.DUMMYFUNCTION("IF(ISBLANK(A159),"""",GOOGLETRANSLATE(A159,""en"",""fr""))"),"")</f>
        <v/>
      </c>
    </row>
    <row r="160" spans="2:2">
      <c r="B160" s="3" t="str">
        <f ca="1">IFERROR(__xludf.DUMMYFUNCTION("IF(ISBLANK(A160),"""",GOOGLETRANSLATE(A160,""en"",""fr""))"),"")</f>
        <v/>
      </c>
    </row>
    <row r="161" spans="2:2">
      <c r="B161" s="3" t="str">
        <f ca="1">IFERROR(__xludf.DUMMYFUNCTION("IF(ISBLANK(A161),"""",GOOGLETRANSLATE(A161,""en"",""fr""))"),"")</f>
        <v/>
      </c>
    </row>
    <row r="162" spans="2:2">
      <c r="B162" s="3" t="str">
        <f ca="1">IFERROR(__xludf.DUMMYFUNCTION("IF(ISBLANK(A162),"""",GOOGLETRANSLATE(A162,""en"",""fr""))"),"")</f>
        <v/>
      </c>
    </row>
    <row r="163" spans="2:2">
      <c r="B163" s="3" t="str">
        <f ca="1">IFERROR(__xludf.DUMMYFUNCTION("IF(ISBLANK(A163),"""",GOOGLETRANSLATE(A163,""en"",""fr""))"),"")</f>
        <v/>
      </c>
    </row>
    <row r="164" spans="2:2">
      <c r="B164" s="3" t="str">
        <f ca="1">IFERROR(__xludf.DUMMYFUNCTION("IF(ISBLANK(A164),"""",GOOGLETRANSLATE(A164,""en"",""fr""))"),"")</f>
        <v/>
      </c>
    </row>
    <row r="165" spans="2:2">
      <c r="B165" s="3" t="str">
        <f ca="1">IFERROR(__xludf.DUMMYFUNCTION("IF(ISBLANK(A165),"""",GOOGLETRANSLATE(A165,""en"",""fr""))"),"")</f>
        <v/>
      </c>
    </row>
    <row r="166" spans="2:2">
      <c r="B166" s="3" t="str">
        <f ca="1">IFERROR(__xludf.DUMMYFUNCTION("IF(ISBLANK(A166),"""",GOOGLETRANSLATE(A166,""en"",""fr""))"),"")</f>
        <v/>
      </c>
    </row>
    <row r="167" spans="2:2">
      <c r="B167" s="3" t="str">
        <f ca="1">IFERROR(__xludf.DUMMYFUNCTION("IF(ISBLANK(A167),"""",GOOGLETRANSLATE(A167,""en"",""fr""))"),"")</f>
        <v/>
      </c>
    </row>
    <row r="168" spans="2:2">
      <c r="B168" s="3" t="str">
        <f ca="1">IFERROR(__xludf.DUMMYFUNCTION("IF(ISBLANK(A168),"""",GOOGLETRANSLATE(A168,""en"",""fr""))"),"")</f>
        <v/>
      </c>
    </row>
    <row r="169" spans="2:2">
      <c r="B169" s="3" t="str">
        <f ca="1">IFERROR(__xludf.DUMMYFUNCTION("IF(ISBLANK(A169),"""",GOOGLETRANSLATE(A169,""en"",""fr""))"),"")</f>
        <v/>
      </c>
    </row>
    <row r="170" spans="2:2">
      <c r="B170" s="3" t="str">
        <f ca="1">IFERROR(__xludf.DUMMYFUNCTION("IF(ISBLANK(A170),"""",GOOGLETRANSLATE(A170,""en"",""fr""))"),"")</f>
        <v/>
      </c>
    </row>
    <row r="171" spans="2:2">
      <c r="B171" s="3" t="str">
        <f ca="1">IFERROR(__xludf.DUMMYFUNCTION("IF(ISBLANK(A171),"""",GOOGLETRANSLATE(A171,""en"",""fr""))"),"")</f>
        <v/>
      </c>
    </row>
    <row r="172" spans="2:2">
      <c r="B172" s="3" t="str">
        <f ca="1">IFERROR(__xludf.DUMMYFUNCTION("IF(ISBLANK(A172),"""",GOOGLETRANSLATE(A172,""en"",""fr""))"),"")</f>
        <v/>
      </c>
    </row>
    <row r="173" spans="2:2">
      <c r="B173" s="3" t="str">
        <f ca="1">IFERROR(__xludf.DUMMYFUNCTION("IF(ISBLANK(A173),"""",GOOGLETRANSLATE(A173,""en"",""fr""))"),"")</f>
        <v/>
      </c>
    </row>
    <row r="174" spans="2:2">
      <c r="B174" s="3" t="str">
        <f ca="1">IFERROR(__xludf.DUMMYFUNCTION("IF(ISBLANK(A174),"""",GOOGLETRANSLATE(A174,""en"",""fr""))"),"")</f>
        <v/>
      </c>
    </row>
    <row r="175" spans="2:2">
      <c r="B175" s="3" t="str">
        <f ca="1">IFERROR(__xludf.DUMMYFUNCTION("IF(ISBLANK(A175),"""",GOOGLETRANSLATE(A175,""en"",""fr""))"),"")</f>
        <v/>
      </c>
    </row>
    <row r="176" spans="2:2">
      <c r="B176" s="3" t="str">
        <f ca="1">IFERROR(__xludf.DUMMYFUNCTION("IF(ISBLANK(A176),"""",GOOGLETRANSLATE(A176,""en"",""fr""))"),"")</f>
        <v/>
      </c>
    </row>
    <row r="177" spans="2:2">
      <c r="B177" s="3" t="str">
        <f ca="1">IFERROR(__xludf.DUMMYFUNCTION("IF(ISBLANK(A177),"""",GOOGLETRANSLATE(A177,""en"",""fr""))"),"")</f>
        <v/>
      </c>
    </row>
    <row r="178" spans="2:2">
      <c r="B178" s="3" t="str">
        <f ca="1">IFERROR(__xludf.DUMMYFUNCTION("IF(ISBLANK(A178),"""",GOOGLETRANSLATE(A178,""en"",""fr""))"),"")</f>
        <v/>
      </c>
    </row>
    <row r="179" spans="2:2">
      <c r="B179" s="3" t="str">
        <f ca="1">IFERROR(__xludf.DUMMYFUNCTION("IF(ISBLANK(A179),"""",GOOGLETRANSLATE(A179,""en"",""fr""))"),"")</f>
        <v/>
      </c>
    </row>
    <row r="180" spans="2:2">
      <c r="B180" s="3" t="str">
        <f ca="1">IFERROR(__xludf.DUMMYFUNCTION("IF(ISBLANK(A180),"""",GOOGLETRANSLATE(A180,""en"",""fr""))"),"")</f>
        <v/>
      </c>
    </row>
    <row r="181" spans="2:2">
      <c r="B181" s="3" t="str">
        <f ca="1">IFERROR(__xludf.DUMMYFUNCTION("IF(ISBLANK(A181),"""",GOOGLETRANSLATE(A181,""en"",""fr""))"),"")</f>
        <v/>
      </c>
    </row>
    <row r="182" spans="2:2">
      <c r="B182" s="3" t="str">
        <f ca="1">IFERROR(__xludf.DUMMYFUNCTION("IF(ISBLANK(A182),"""",GOOGLETRANSLATE(A182,""en"",""fr""))"),"")</f>
        <v/>
      </c>
    </row>
    <row r="183" spans="2:2">
      <c r="B183" s="3" t="str">
        <f ca="1">IFERROR(__xludf.DUMMYFUNCTION("IF(ISBLANK(A183),"""",GOOGLETRANSLATE(A183,""en"",""fr""))"),"")</f>
        <v/>
      </c>
    </row>
    <row r="184" spans="2:2">
      <c r="B184" s="3" t="str">
        <f ca="1">IFERROR(__xludf.DUMMYFUNCTION("IF(ISBLANK(A184),"""",GOOGLETRANSLATE(A184,""en"",""fr""))"),"")</f>
        <v/>
      </c>
    </row>
    <row r="185" spans="2:2">
      <c r="B185" s="3" t="str">
        <f ca="1">IFERROR(__xludf.DUMMYFUNCTION("IF(ISBLANK(A185),"""",GOOGLETRANSLATE(A185,""en"",""fr""))"),"")</f>
        <v/>
      </c>
    </row>
    <row r="186" spans="2:2">
      <c r="B186" s="3" t="str">
        <f ca="1">IFERROR(__xludf.DUMMYFUNCTION("IF(ISBLANK(A186),"""",GOOGLETRANSLATE(A186,""en"",""fr""))"),"")</f>
        <v/>
      </c>
    </row>
    <row r="187" spans="2:2">
      <c r="B187" s="3" t="str">
        <f ca="1">IFERROR(__xludf.DUMMYFUNCTION("IF(ISBLANK(A187),"""",GOOGLETRANSLATE(A187,""en"",""fr""))"),"")</f>
        <v/>
      </c>
    </row>
    <row r="188" spans="2:2">
      <c r="B188" s="3" t="str">
        <f ca="1">IFERROR(__xludf.DUMMYFUNCTION("IF(ISBLANK(A188),"""",GOOGLETRANSLATE(A188,""en"",""fr""))"),"")</f>
        <v/>
      </c>
    </row>
    <row r="189" spans="2:2">
      <c r="B189" s="3" t="str">
        <f ca="1">IFERROR(__xludf.DUMMYFUNCTION("IF(ISBLANK(A189),"""",GOOGLETRANSLATE(A189,""en"",""fr""))"),"")</f>
        <v/>
      </c>
    </row>
    <row r="190" spans="2:2">
      <c r="B190" s="3" t="str">
        <f ca="1">IFERROR(__xludf.DUMMYFUNCTION("IF(ISBLANK(A190),"""",GOOGLETRANSLATE(A190,""en"",""fr""))"),"")</f>
        <v/>
      </c>
    </row>
    <row r="191" spans="2:2">
      <c r="B191" s="3" t="str">
        <f ca="1">IFERROR(__xludf.DUMMYFUNCTION("IF(ISBLANK(A191),"""",GOOGLETRANSLATE(A191,""en"",""fr""))"),"")</f>
        <v/>
      </c>
    </row>
    <row r="192" spans="2:2">
      <c r="B192" s="3" t="str">
        <f ca="1">IFERROR(__xludf.DUMMYFUNCTION("IF(ISBLANK(A192),"""",GOOGLETRANSLATE(A192,""en"",""fr""))"),"")</f>
        <v/>
      </c>
    </row>
    <row r="193" spans="2:2">
      <c r="B193" s="3" t="str">
        <f ca="1">IFERROR(__xludf.DUMMYFUNCTION("IF(ISBLANK(A193),"""",GOOGLETRANSLATE(A193,""en"",""fr""))"),"")</f>
        <v/>
      </c>
    </row>
    <row r="194" spans="2:2">
      <c r="B194" s="3" t="str">
        <f ca="1">IFERROR(__xludf.DUMMYFUNCTION("IF(ISBLANK(A194),"""",GOOGLETRANSLATE(A194,""en"",""fr""))"),"")</f>
        <v/>
      </c>
    </row>
    <row r="195" spans="2:2">
      <c r="B195" s="3" t="str">
        <f ca="1">IFERROR(__xludf.DUMMYFUNCTION("IF(ISBLANK(A195),"""",GOOGLETRANSLATE(A195,""en"",""fr""))"),"")</f>
        <v/>
      </c>
    </row>
    <row r="196" spans="2:2">
      <c r="B196" s="3" t="str">
        <f ca="1">IFERROR(__xludf.DUMMYFUNCTION("IF(ISBLANK(A196),"""",GOOGLETRANSLATE(A196,""en"",""fr""))"),"")</f>
        <v/>
      </c>
    </row>
    <row r="197" spans="2:2">
      <c r="B197" s="3" t="str">
        <f ca="1">IFERROR(__xludf.DUMMYFUNCTION("IF(ISBLANK(A197),"""",GOOGLETRANSLATE(A197,""en"",""fr""))"),"")</f>
        <v/>
      </c>
    </row>
    <row r="198" spans="2:2">
      <c r="B198" s="3" t="str">
        <f ca="1">IFERROR(__xludf.DUMMYFUNCTION("IF(ISBLANK(A198),"""",GOOGLETRANSLATE(A198,""en"",""fr""))"),"")</f>
        <v/>
      </c>
    </row>
    <row r="199" spans="2:2">
      <c r="B199" s="3" t="str">
        <f ca="1">IFERROR(__xludf.DUMMYFUNCTION("IF(ISBLANK(A199),"""",GOOGLETRANSLATE(A199,""en"",""fr""))"),"")</f>
        <v/>
      </c>
    </row>
    <row r="200" spans="2:2">
      <c r="B200" s="3" t="str">
        <f ca="1">IFERROR(__xludf.DUMMYFUNCTION("IF(ISBLANK(A200),"""",GOOGLETRANSLATE(A200,""en"",""fr""))"),"")</f>
        <v/>
      </c>
    </row>
    <row r="201" spans="2:2">
      <c r="B201" s="3" t="str">
        <f ca="1">IFERROR(__xludf.DUMMYFUNCTION("IF(ISBLANK(A201),"""",GOOGLETRANSLATE(A201,""en"",""fr""))"),"")</f>
        <v/>
      </c>
    </row>
    <row r="202" spans="2:2">
      <c r="B202" s="3" t="str">
        <f ca="1">IFERROR(__xludf.DUMMYFUNCTION("IF(ISBLANK(A202),"""",GOOGLETRANSLATE(A202,""en"",""fr""))"),"")</f>
        <v/>
      </c>
    </row>
    <row r="203" spans="2:2">
      <c r="B203" s="3" t="str">
        <f ca="1">IFERROR(__xludf.DUMMYFUNCTION("IF(ISBLANK(A203),"""",GOOGLETRANSLATE(A203,""en"",""fr""))"),"")</f>
        <v/>
      </c>
    </row>
    <row r="204" spans="2:2">
      <c r="B204" s="3" t="str">
        <f ca="1">IFERROR(__xludf.DUMMYFUNCTION("IF(ISBLANK(A204),"""",GOOGLETRANSLATE(A204,""en"",""fr""))"),"")</f>
        <v/>
      </c>
    </row>
    <row r="205" spans="2:2">
      <c r="B205" s="3" t="str">
        <f ca="1">IFERROR(__xludf.DUMMYFUNCTION("IF(ISBLANK(A205),"""",GOOGLETRANSLATE(A205,""en"",""fr""))"),"")</f>
        <v/>
      </c>
    </row>
    <row r="206" spans="2:2">
      <c r="B206" s="3" t="str">
        <f ca="1">IFERROR(__xludf.DUMMYFUNCTION("IF(ISBLANK(A206),"""",GOOGLETRANSLATE(A206,""en"",""fr""))"),"")</f>
        <v/>
      </c>
    </row>
    <row r="207" spans="2:2">
      <c r="B207" s="3" t="str">
        <f ca="1">IFERROR(__xludf.DUMMYFUNCTION("IF(ISBLANK(A207),"""",GOOGLETRANSLATE(A207,""en"",""fr""))"),"")</f>
        <v/>
      </c>
    </row>
    <row r="208" spans="2:2">
      <c r="B208" s="3" t="str">
        <f ca="1">IFERROR(__xludf.DUMMYFUNCTION("IF(ISBLANK(A208),"""",GOOGLETRANSLATE(A208,""en"",""fr""))"),"")</f>
        <v/>
      </c>
    </row>
    <row r="209" spans="2:2">
      <c r="B209" s="3" t="str">
        <f ca="1">IFERROR(__xludf.DUMMYFUNCTION("IF(ISBLANK(A209),"""",GOOGLETRANSLATE(A209,""en"",""fr""))"),"")</f>
        <v/>
      </c>
    </row>
    <row r="210" spans="2:2">
      <c r="B210" s="3" t="str">
        <f ca="1">IFERROR(__xludf.DUMMYFUNCTION("IF(ISBLANK(A210),"""",GOOGLETRANSLATE(A210,""en"",""fr""))"),"")</f>
        <v/>
      </c>
    </row>
    <row r="211" spans="2:2">
      <c r="B211" s="3" t="str">
        <f ca="1">IFERROR(__xludf.DUMMYFUNCTION("IF(ISBLANK(A211),"""",GOOGLETRANSLATE(A211,""en"",""fr""))"),"")</f>
        <v/>
      </c>
    </row>
    <row r="212" spans="2:2">
      <c r="B212" s="3" t="str">
        <f ca="1">IFERROR(__xludf.DUMMYFUNCTION("IF(ISBLANK(A212),"""",GOOGLETRANSLATE(A212,""en"",""fr""))"),"")</f>
        <v/>
      </c>
    </row>
    <row r="213" spans="2:2">
      <c r="B213" s="3" t="str">
        <f ca="1">IFERROR(__xludf.DUMMYFUNCTION("IF(ISBLANK(A213),"""",GOOGLETRANSLATE(A213,""en"",""fr""))"),"")</f>
        <v/>
      </c>
    </row>
    <row r="214" spans="2:2">
      <c r="B214" s="3" t="str">
        <f ca="1">IFERROR(__xludf.DUMMYFUNCTION("IF(ISBLANK(A214),"""",GOOGLETRANSLATE(A214,""en"",""fr""))"),"")</f>
        <v/>
      </c>
    </row>
    <row r="215" spans="2:2">
      <c r="B215" s="3" t="str">
        <f ca="1">IFERROR(__xludf.DUMMYFUNCTION("IF(ISBLANK(A215),"""",GOOGLETRANSLATE(A215,""en"",""fr""))"),"")</f>
        <v/>
      </c>
    </row>
    <row r="216" spans="2:2">
      <c r="B216" s="3" t="str">
        <f ca="1">IFERROR(__xludf.DUMMYFUNCTION("IF(ISBLANK(A216),"""",GOOGLETRANSLATE(A216,""en"",""fr""))"),"")</f>
        <v/>
      </c>
    </row>
    <row r="217" spans="2:2">
      <c r="B217" s="3" t="str">
        <f ca="1">IFERROR(__xludf.DUMMYFUNCTION("IF(ISBLANK(A217),"""",GOOGLETRANSLATE(A217,""en"",""fr""))"),"")</f>
        <v/>
      </c>
    </row>
    <row r="218" spans="2:2">
      <c r="B218" s="3" t="str">
        <f ca="1">IFERROR(__xludf.DUMMYFUNCTION("IF(ISBLANK(A218),"""",GOOGLETRANSLATE(A218,""en"",""fr""))"),"")</f>
        <v/>
      </c>
    </row>
    <row r="219" spans="2:2">
      <c r="B219" s="3" t="str">
        <f ca="1">IFERROR(__xludf.DUMMYFUNCTION("IF(ISBLANK(A219),"""",GOOGLETRANSLATE(A219,""en"",""fr""))"),"")</f>
        <v/>
      </c>
    </row>
    <row r="220" spans="2:2">
      <c r="B220" s="3" t="str">
        <f ca="1">IFERROR(__xludf.DUMMYFUNCTION("IF(ISBLANK(A220),"""",GOOGLETRANSLATE(A220,""en"",""fr""))"),"")</f>
        <v/>
      </c>
    </row>
    <row r="221" spans="2:2">
      <c r="B221" s="3" t="str">
        <f ca="1">IFERROR(__xludf.DUMMYFUNCTION("IF(ISBLANK(A221),"""",GOOGLETRANSLATE(A221,""en"",""fr""))"),"")</f>
        <v/>
      </c>
    </row>
    <row r="222" spans="2:2">
      <c r="B222" s="3" t="str">
        <f ca="1">IFERROR(__xludf.DUMMYFUNCTION("IF(ISBLANK(A222),"""",GOOGLETRANSLATE(A222,""en"",""fr""))"),"")</f>
        <v/>
      </c>
    </row>
    <row r="223" spans="2:2">
      <c r="B223" s="3" t="str">
        <f ca="1">IFERROR(__xludf.DUMMYFUNCTION("IF(ISBLANK(A223),"""",GOOGLETRANSLATE(A223,""en"",""fr""))"),"")</f>
        <v/>
      </c>
    </row>
    <row r="224" spans="2:2">
      <c r="B224" s="3" t="str">
        <f ca="1">IFERROR(__xludf.DUMMYFUNCTION("IF(ISBLANK(A224),"""",GOOGLETRANSLATE(A224,""en"",""fr""))"),"")</f>
        <v/>
      </c>
    </row>
    <row r="225" spans="2:2">
      <c r="B225" s="3" t="str">
        <f ca="1">IFERROR(__xludf.DUMMYFUNCTION("IF(ISBLANK(A225),"""",GOOGLETRANSLATE(A225,""en"",""fr""))"),"")</f>
        <v/>
      </c>
    </row>
    <row r="226" spans="2:2">
      <c r="B226" s="3" t="str">
        <f ca="1">IFERROR(__xludf.DUMMYFUNCTION("IF(ISBLANK(A226),"""",GOOGLETRANSLATE(A226,""en"",""fr""))"),"")</f>
        <v/>
      </c>
    </row>
    <row r="227" spans="2:2">
      <c r="B227" s="3" t="str">
        <f ca="1">IFERROR(__xludf.DUMMYFUNCTION("IF(ISBLANK(A227),"""",GOOGLETRANSLATE(A227,""en"",""fr""))"),"")</f>
        <v/>
      </c>
    </row>
    <row r="228" spans="2:2">
      <c r="B228" s="3" t="str">
        <f ca="1">IFERROR(__xludf.DUMMYFUNCTION("IF(ISBLANK(A228),"""",GOOGLETRANSLATE(A228,""en"",""fr""))"),"")</f>
        <v/>
      </c>
    </row>
    <row r="229" spans="2:2">
      <c r="B229" s="3" t="str">
        <f ca="1">IFERROR(__xludf.DUMMYFUNCTION("IF(ISBLANK(A229),"""",GOOGLETRANSLATE(A229,""en"",""fr""))"),"")</f>
        <v/>
      </c>
    </row>
    <row r="230" spans="2:2">
      <c r="B230" s="3" t="str">
        <f ca="1">IFERROR(__xludf.DUMMYFUNCTION("IF(ISBLANK(A230),"""",GOOGLETRANSLATE(A230,""en"",""fr""))"),"")</f>
        <v/>
      </c>
    </row>
    <row r="231" spans="2:2">
      <c r="B231" s="3" t="str">
        <f ca="1">IFERROR(__xludf.DUMMYFUNCTION("IF(ISBLANK(A231),"""",GOOGLETRANSLATE(A231,""en"",""fr""))"),"")</f>
        <v/>
      </c>
    </row>
    <row r="232" spans="2:2">
      <c r="B232" s="3" t="str">
        <f ca="1">IFERROR(__xludf.DUMMYFUNCTION("IF(ISBLANK(A232),"""",GOOGLETRANSLATE(A232,""en"",""fr""))"),"")</f>
        <v/>
      </c>
    </row>
    <row r="233" spans="2:2">
      <c r="B233" s="3" t="str">
        <f ca="1">IFERROR(__xludf.DUMMYFUNCTION("IF(ISBLANK(A233),"""",GOOGLETRANSLATE(A233,""en"",""fr""))"),"")</f>
        <v/>
      </c>
    </row>
    <row r="234" spans="2:2">
      <c r="B234" s="3" t="str">
        <f ca="1">IFERROR(__xludf.DUMMYFUNCTION("IF(ISBLANK(A234),"""",GOOGLETRANSLATE(A234,""en"",""fr""))"),"")</f>
        <v/>
      </c>
    </row>
    <row r="235" spans="2:2">
      <c r="B235" s="3" t="str">
        <f ca="1">IFERROR(__xludf.DUMMYFUNCTION("IF(ISBLANK(A235),"""",GOOGLETRANSLATE(A235,""en"",""fr""))"),"")</f>
        <v/>
      </c>
    </row>
    <row r="236" spans="2:2">
      <c r="B236" s="3" t="str">
        <f ca="1">IFERROR(__xludf.DUMMYFUNCTION("IF(ISBLANK(A236),"""",GOOGLETRANSLATE(A236,""en"",""fr""))"),"")</f>
        <v/>
      </c>
    </row>
    <row r="237" spans="2:2">
      <c r="B237" s="3" t="str">
        <f ca="1">IFERROR(__xludf.DUMMYFUNCTION("IF(ISBLANK(A237),"""",GOOGLETRANSLATE(A237,""en"",""fr""))"),"")</f>
        <v/>
      </c>
    </row>
    <row r="238" spans="2:2">
      <c r="B238" s="3" t="str">
        <f ca="1">IFERROR(__xludf.DUMMYFUNCTION("IF(ISBLANK(A238),"""",GOOGLETRANSLATE(A238,""en"",""fr""))"),"")</f>
        <v/>
      </c>
    </row>
    <row r="239" spans="2:2">
      <c r="B239" s="3" t="str">
        <f ca="1">IFERROR(__xludf.DUMMYFUNCTION("IF(ISBLANK(A239),"""",GOOGLETRANSLATE(A239,""en"",""fr""))"),"")</f>
        <v/>
      </c>
    </row>
    <row r="240" spans="2:2">
      <c r="B240" s="3" t="str">
        <f ca="1">IFERROR(__xludf.DUMMYFUNCTION("IF(ISBLANK(A240),"""",GOOGLETRANSLATE(A240,""en"",""fr""))"),"")</f>
        <v/>
      </c>
    </row>
    <row r="241" spans="2:2">
      <c r="B241" s="3" t="str">
        <f ca="1">IFERROR(__xludf.DUMMYFUNCTION("IF(ISBLANK(A241),"""",GOOGLETRANSLATE(A241,""en"",""fr""))"),"")</f>
        <v/>
      </c>
    </row>
    <row r="242" spans="2:2">
      <c r="B242" s="3" t="str">
        <f ca="1">IFERROR(__xludf.DUMMYFUNCTION("IF(ISBLANK(A242),"""",GOOGLETRANSLATE(A242,""en"",""fr""))"),"")</f>
        <v/>
      </c>
    </row>
    <row r="243" spans="2:2">
      <c r="B243" s="3" t="str">
        <f ca="1">IFERROR(__xludf.DUMMYFUNCTION("IF(ISBLANK(A243),"""",GOOGLETRANSLATE(A243,""en"",""fr""))"),"")</f>
        <v/>
      </c>
    </row>
    <row r="244" spans="2:2">
      <c r="B244" s="3" t="str">
        <f ca="1">IFERROR(__xludf.DUMMYFUNCTION("IF(ISBLANK(A244),"""",GOOGLETRANSLATE(A244,""en"",""fr""))"),"")</f>
        <v/>
      </c>
    </row>
    <row r="245" spans="2:2">
      <c r="B245" s="3" t="str">
        <f ca="1">IFERROR(__xludf.DUMMYFUNCTION("IF(ISBLANK(A245),"""",GOOGLETRANSLATE(A245,""en"",""fr""))"),"")</f>
        <v/>
      </c>
    </row>
    <row r="246" spans="2:2">
      <c r="B246" s="3" t="str">
        <f ca="1">IFERROR(__xludf.DUMMYFUNCTION("IF(ISBLANK(A246),"""",GOOGLETRANSLATE(A246,""en"",""fr""))"),"")</f>
        <v/>
      </c>
    </row>
    <row r="247" spans="2:2">
      <c r="B247" s="3" t="str">
        <f ca="1">IFERROR(__xludf.DUMMYFUNCTION("IF(ISBLANK(A247),"""",GOOGLETRANSLATE(A247,""en"",""fr""))"),"")</f>
        <v/>
      </c>
    </row>
    <row r="248" spans="2:2">
      <c r="B248" s="3" t="str">
        <f ca="1">IFERROR(__xludf.DUMMYFUNCTION("IF(ISBLANK(A248),"""",GOOGLETRANSLATE(A248,""en"",""fr""))"),"")</f>
        <v/>
      </c>
    </row>
    <row r="249" spans="2:2">
      <c r="B249" s="3" t="str">
        <f ca="1">IFERROR(__xludf.DUMMYFUNCTION("IF(ISBLANK(A249),"""",GOOGLETRANSLATE(A249,""en"",""fr""))"),"")</f>
        <v/>
      </c>
    </row>
    <row r="250" spans="2:2">
      <c r="B250" s="3" t="str">
        <f ca="1">IFERROR(__xludf.DUMMYFUNCTION("IF(ISBLANK(A250),"""",GOOGLETRANSLATE(A250,""en"",""fr""))"),"")</f>
        <v/>
      </c>
    </row>
    <row r="251" spans="2:2">
      <c r="B251" s="3" t="str">
        <f ca="1">IFERROR(__xludf.DUMMYFUNCTION("IF(ISBLANK(A251),"""",GOOGLETRANSLATE(A251,""en"",""fr""))"),"")</f>
        <v/>
      </c>
    </row>
    <row r="252" spans="2:2">
      <c r="B252" s="3" t="str">
        <f ca="1">IFERROR(__xludf.DUMMYFUNCTION("IF(ISBLANK(A252),"""",GOOGLETRANSLATE(A252,""en"",""fr""))"),"")</f>
        <v/>
      </c>
    </row>
    <row r="253" spans="2:2">
      <c r="B253" s="3" t="str">
        <f ca="1">IFERROR(__xludf.DUMMYFUNCTION("IF(ISBLANK(A253),"""",GOOGLETRANSLATE(A253,""en"",""fr""))"),"")</f>
        <v/>
      </c>
    </row>
    <row r="254" spans="2:2">
      <c r="B254" s="3" t="str">
        <f ca="1">IFERROR(__xludf.DUMMYFUNCTION("IF(ISBLANK(A254),"""",GOOGLETRANSLATE(A254,""en"",""fr""))"),"")</f>
        <v/>
      </c>
    </row>
    <row r="255" spans="2:2">
      <c r="B255" s="3" t="str">
        <f ca="1">IFERROR(__xludf.DUMMYFUNCTION("IF(ISBLANK(A255),"""",GOOGLETRANSLATE(A255,""en"",""fr""))"),"")</f>
        <v/>
      </c>
    </row>
    <row r="256" spans="2:2">
      <c r="B256" s="3" t="str">
        <f ca="1">IFERROR(__xludf.DUMMYFUNCTION("IF(ISBLANK(A256),"""",GOOGLETRANSLATE(A256,""en"",""fr""))"),"")</f>
        <v/>
      </c>
    </row>
    <row r="257" spans="2:2">
      <c r="B257" s="3" t="str">
        <f ca="1">IFERROR(__xludf.DUMMYFUNCTION("IF(ISBLANK(A257),"""",GOOGLETRANSLATE(A257,""en"",""fr""))"),"")</f>
        <v/>
      </c>
    </row>
    <row r="258" spans="2:2">
      <c r="B258" s="3" t="str">
        <f ca="1">IFERROR(__xludf.DUMMYFUNCTION("IF(ISBLANK(A258),"""",GOOGLETRANSLATE(A258,""en"",""fr""))"),"")</f>
        <v/>
      </c>
    </row>
    <row r="259" spans="2:2">
      <c r="B259" s="3" t="str">
        <f ca="1">IFERROR(__xludf.DUMMYFUNCTION("IF(ISBLANK(A259),"""",GOOGLETRANSLATE(A259,""en"",""fr""))"),"")</f>
        <v/>
      </c>
    </row>
    <row r="260" spans="2:2">
      <c r="B260" s="3" t="str">
        <f ca="1">IFERROR(__xludf.DUMMYFUNCTION("IF(ISBLANK(A260),"""",GOOGLETRANSLATE(A260,""en"",""fr""))"),"")</f>
        <v/>
      </c>
    </row>
    <row r="261" spans="2:2">
      <c r="B261" s="3" t="str">
        <f ca="1">IFERROR(__xludf.DUMMYFUNCTION("IF(ISBLANK(A261),"""",GOOGLETRANSLATE(A261,""en"",""fr""))"),"")</f>
        <v/>
      </c>
    </row>
    <row r="262" spans="2:2">
      <c r="B262" s="3" t="str">
        <f ca="1">IFERROR(__xludf.DUMMYFUNCTION("IF(ISBLANK(A262),"""",GOOGLETRANSLATE(A262,""en"",""fr""))"),"")</f>
        <v/>
      </c>
    </row>
    <row r="263" spans="2:2">
      <c r="B263" s="3" t="str">
        <f ca="1">IFERROR(__xludf.DUMMYFUNCTION("IF(ISBLANK(A263),"""",GOOGLETRANSLATE(A263,""en"",""fr""))"),"")</f>
        <v/>
      </c>
    </row>
    <row r="264" spans="2:2">
      <c r="B264" s="3" t="str">
        <f ca="1">IFERROR(__xludf.DUMMYFUNCTION("IF(ISBLANK(A264),"""",GOOGLETRANSLATE(A264,""en"",""fr""))"),"")</f>
        <v/>
      </c>
    </row>
    <row r="265" spans="2:2">
      <c r="B265" s="3" t="str">
        <f ca="1">IFERROR(__xludf.DUMMYFUNCTION("IF(ISBLANK(A265),"""",GOOGLETRANSLATE(A265,""en"",""fr""))"),"")</f>
        <v/>
      </c>
    </row>
    <row r="266" spans="2:2">
      <c r="B266" s="3" t="str">
        <f ca="1">IFERROR(__xludf.DUMMYFUNCTION("IF(ISBLANK(A266),"""",GOOGLETRANSLATE(A266,""en"",""fr""))"),"")</f>
        <v/>
      </c>
    </row>
    <row r="267" spans="2:2">
      <c r="B267" s="3" t="str">
        <f ca="1">IFERROR(__xludf.DUMMYFUNCTION("IF(ISBLANK(A267),"""",GOOGLETRANSLATE(A267,""en"",""fr""))"),"")</f>
        <v/>
      </c>
    </row>
    <row r="268" spans="2:2">
      <c r="B268" s="3" t="str">
        <f ca="1">IFERROR(__xludf.DUMMYFUNCTION("IF(ISBLANK(A268),"""",GOOGLETRANSLATE(A268,""en"",""fr""))"),"")</f>
        <v/>
      </c>
    </row>
    <row r="269" spans="2:2">
      <c r="B269" s="3" t="str">
        <f ca="1">IFERROR(__xludf.DUMMYFUNCTION("IF(ISBLANK(A269),"""",GOOGLETRANSLATE(A269,""en"",""fr""))"),"")</f>
        <v/>
      </c>
    </row>
    <row r="270" spans="2:2">
      <c r="B270" s="3" t="str">
        <f ca="1">IFERROR(__xludf.DUMMYFUNCTION("IF(ISBLANK(A270),"""",GOOGLETRANSLATE(A270,""en"",""fr""))"),"")</f>
        <v/>
      </c>
    </row>
    <row r="271" spans="2:2">
      <c r="B271" s="3" t="str">
        <f ca="1">IFERROR(__xludf.DUMMYFUNCTION("IF(ISBLANK(A271),"""",GOOGLETRANSLATE(A271,""en"",""fr""))"),"")</f>
        <v/>
      </c>
    </row>
    <row r="272" spans="2:2">
      <c r="B272" s="3" t="str">
        <f ca="1">IFERROR(__xludf.DUMMYFUNCTION("IF(ISBLANK(A272),"""",GOOGLETRANSLATE(A272,""en"",""fr""))"),"")</f>
        <v/>
      </c>
    </row>
    <row r="273" spans="2:2">
      <c r="B273" s="3" t="str">
        <f ca="1">IFERROR(__xludf.DUMMYFUNCTION("IF(ISBLANK(A273),"""",GOOGLETRANSLATE(A273,""en"",""fr""))"),"")</f>
        <v/>
      </c>
    </row>
    <row r="274" spans="2:2">
      <c r="B274" s="3" t="str">
        <f ca="1">IFERROR(__xludf.DUMMYFUNCTION("IF(ISBLANK(A274),"""",GOOGLETRANSLATE(A274,""en"",""fr""))"),"")</f>
        <v/>
      </c>
    </row>
    <row r="275" spans="2:2">
      <c r="B275" s="3" t="str">
        <f ca="1">IFERROR(__xludf.DUMMYFUNCTION("IF(ISBLANK(A275),"""",GOOGLETRANSLATE(A275,""en"",""fr""))"),"")</f>
        <v/>
      </c>
    </row>
    <row r="276" spans="2:2">
      <c r="B276" s="3" t="str">
        <f ca="1">IFERROR(__xludf.DUMMYFUNCTION("IF(ISBLANK(A276),"""",GOOGLETRANSLATE(A276,""en"",""fr""))"),"")</f>
        <v/>
      </c>
    </row>
    <row r="277" spans="2:2">
      <c r="B277" s="3" t="str">
        <f ca="1">IFERROR(__xludf.DUMMYFUNCTION("IF(ISBLANK(A277),"""",GOOGLETRANSLATE(A277,""en"",""fr""))"),"")</f>
        <v/>
      </c>
    </row>
    <row r="278" spans="2:2">
      <c r="B278" s="3" t="str">
        <f ca="1">IFERROR(__xludf.DUMMYFUNCTION("IF(ISBLANK(A278),"""",GOOGLETRANSLATE(A278,""en"",""fr""))"),"")</f>
        <v/>
      </c>
    </row>
    <row r="279" spans="2:2">
      <c r="B279" s="3" t="str">
        <f ca="1">IFERROR(__xludf.DUMMYFUNCTION("IF(ISBLANK(A279),"""",GOOGLETRANSLATE(A279,""en"",""fr""))"),"")</f>
        <v/>
      </c>
    </row>
    <row r="280" spans="2:2">
      <c r="B280" s="3" t="str">
        <f ca="1">IFERROR(__xludf.DUMMYFUNCTION("IF(ISBLANK(A280),"""",GOOGLETRANSLATE(A280,""en"",""fr""))"),"")</f>
        <v/>
      </c>
    </row>
    <row r="281" spans="2:2">
      <c r="B281" s="3" t="str">
        <f ca="1">IFERROR(__xludf.DUMMYFUNCTION("IF(ISBLANK(A281),"""",GOOGLETRANSLATE(A281,""en"",""fr""))"),"")</f>
        <v/>
      </c>
    </row>
    <row r="282" spans="2:2">
      <c r="B282" s="3" t="str">
        <f ca="1">IFERROR(__xludf.DUMMYFUNCTION("IF(ISBLANK(A282),"""",GOOGLETRANSLATE(A282,""en"",""fr""))"),"")</f>
        <v/>
      </c>
    </row>
    <row r="283" spans="2:2">
      <c r="B283" s="3" t="str">
        <f ca="1">IFERROR(__xludf.DUMMYFUNCTION("IF(ISBLANK(A283),"""",GOOGLETRANSLATE(A283,""en"",""fr""))"),"")</f>
        <v/>
      </c>
    </row>
    <row r="284" spans="2:2">
      <c r="B284" s="3" t="str">
        <f ca="1">IFERROR(__xludf.DUMMYFUNCTION("IF(ISBLANK(A284),"""",GOOGLETRANSLATE(A284,""en"",""fr""))"),"")</f>
        <v/>
      </c>
    </row>
    <row r="285" spans="2:2">
      <c r="B285" s="3" t="str">
        <f ca="1">IFERROR(__xludf.DUMMYFUNCTION("IF(ISBLANK(A285),"""",GOOGLETRANSLATE(A285,""en"",""fr""))"),"")</f>
        <v/>
      </c>
    </row>
    <row r="286" spans="2:2">
      <c r="B286" s="3" t="str">
        <f ca="1">IFERROR(__xludf.DUMMYFUNCTION("IF(ISBLANK(A286),"""",GOOGLETRANSLATE(A286,""en"",""fr""))"),"")</f>
        <v/>
      </c>
    </row>
    <row r="287" spans="2:2">
      <c r="B287" s="3" t="str">
        <f ca="1">IFERROR(__xludf.DUMMYFUNCTION("IF(ISBLANK(A287),"""",GOOGLETRANSLATE(A287,""en"",""fr""))"),"")</f>
        <v/>
      </c>
    </row>
    <row r="288" spans="2:2">
      <c r="B288" s="3" t="str">
        <f ca="1">IFERROR(__xludf.DUMMYFUNCTION("IF(ISBLANK(A288),"""",GOOGLETRANSLATE(A288,""en"",""fr""))"),"")</f>
        <v/>
      </c>
    </row>
    <row r="289" spans="2:2">
      <c r="B289" s="3" t="str">
        <f ca="1">IFERROR(__xludf.DUMMYFUNCTION("IF(ISBLANK(A289),"""",GOOGLETRANSLATE(A289,""en"",""fr""))"),"")</f>
        <v/>
      </c>
    </row>
    <row r="290" spans="2:2">
      <c r="B290" s="3" t="str">
        <f ca="1">IFERROR(__xludf.DUMMYFUNCTION("IF(ISBLANK(A290),"""",GOOGLETRANSLATE(A290,""en"",""fr""))"),"")</f>
        <v/>
      </c>
    </row>
    <row r="291" spans="2:2">
      <c r="B291" s="3" t="str">
        <f ca="1">IFERROR(__xludf.DUMMYFUNCTION("IF(ISBLANK(A291),"""",GOOGLETRANSLATE(A291,""en"",""fr""))"),"")</f>
        <v/>
      </c>
    </row>
    <row r="292" spans="2:2">
      <c r="B292" s="3" t="str">
        <f ca="1">IFERROR(__xludf.DUMMYFUNCTION("IF(ISBLANK(A292),"""",GOOGLETRANSLATE(A292,""en"",""fr""))"),"")</f>
        <v/>
      </c>
    </row>
    <row r="293" spans="2:2">
      <c r="B293" s="3" t="str">
        <f ca="1">IFERROR(__xludf.DUMMYFUNCTION("IF(ISBLANK(A293),"""",GOOGLETRANSLATE(A293,""en"",""fr""))"),"")</f>
        <v/>
      </c>
    </row>
    <row r="294" spans="2:2">
      <c r="B294" s="3" t="str">
        <f ca="1">IFERROR(__xludf.DUMMYFUNCTION("IF(ISBLANK(A294),"""",GOOGLETRANSLATE(A294,""en"",""fr""))"),"")</f>
        <v/>
      </c>
    </row>
    <row r="295" spans="2:2">
      <c r="B295" s="3" t="str">
        <f ca="1">IFERROR(__xludf.DUMMYFUNCTION("IF(ISBLANK(A295),"""",GOOGLETRANSLATE(A295,""en"",""fr""))"),"")</f>
        <v/>
      </c>
    </row>
    <row r="296" spans="2:2">
      <c r="B296" s="3" t="str">
        <f ca="1">IFERROR(__xludf.DUMMYFUNCTION("IF(ISBLANK(A296),"""",GOOGLETRANSLATE(A296,""en"",""fr""))"),"")</f>
        <v/>
      </c>
    </row>
    <row r="297" spans="2:2">
      <c r="B297" s="3" t="str">
        <f ca="1">IFERROR(__xludf.DUMMYFUNCTION("IF(ISBLANK(A297),"""",GOOGLETRANSLATE(A297,""en"",""fr""))"),"")</f>
        <v/>
      </c>
    </row>
    <row r="298" spans="2:2">
      <c r="B298" s="3" t="str">
        <f ca="1">IFERROR(__xludf.DUMMYFUNCTION("IF(ISBLANK(A298),"""",GOOGLETRANSLATE(A298,""en"",""fr""))"),"")</f>
        <v/>
      </c>
    </row>
    <row r="299" spans="2:2">
      <c r="B299" s="3" t="str">
        <f ca="1">IFERROR(__xludf.DUMMYFUNCTION("IF(ISBLANK(A299),"""",GOOGLETRANSLATE(A299,""en"",""fr""))"),"")</f>
        <v/>
      </c>
    </row>
    <row r="300" spans="2:2">
      <c r="B300" s="3" t="str">
        <f ca="1">IFERROR(__xludf.DUMMYFUNCTION("IF(ISBLANK(A300),"""",GOOGLETRANSLATE(A300,""en"",""fr""))"),"")</f>
        <v/>
      </c>
    </row>
    <row r="301" spans="2:2">
      <c r="B301" s="3" t="str">
        <f ca="1">IFERROR(__xludf.DUMMYFUNCTION("IF(ISBLANK(A301),"""",GOOGLETRANSLATE(A301,""en"",""fr""))"),"")</f>
        <v/>
      </c>
    </row>
    <row r="302" spans="2:2">
      <c r="B302" s="3" t="str">
        <f ca="1">IFERROR(__xludf.DUMMYFUNCTION("IF(ISBLANK(A302),"""",GOOGLETRANSLATE(A302,""en"",""fr""))"),"")</f>
        <v/>
      </c>
    </row>
    <row r="303" spans="2:2">
      <c r="B303" s="3" t="str">
        <f ca="1">IFERROR(__xludf.DUMMYFUNCTION("IF(ISBLANK(A303),"""",GOOGLETRANSLATE(A303,""en"",""fr""))"),"")</f>
        <v/>
      </c>
    </row>
    <row r="304" spans="2:2">
      <c r="B304" s="3" t="str">
        <f ca="1">IFERROR(__xludf.DUMMYFUNCTION("IF(ISBLANK(A304),"""",GOOGLETRANSLATE(A304,""en"",""fr""))"),"")</f>
        <v/>
      </c>
    </row>
    <row r="305" spans="2:2">
      <c r="B305" s="3" t="str">
        <f ca="1">IFERROR(__xludf.DUMMYFUNCTION("IF(ISBLANK(A305),"""",GOOGLETRANSLATE(A305,""en"",""fr""))"),"")</f>
        <v/>
      </c>
    </row>
    <row r="306" spans="2:2">
      <c r="B306" s="3" t="str">
        <f ca="1">IFERROR(__xludf.DUMMYFUNCTION("IF(ISBLANK(A306),"""",GOOGLETRANSLATE(A306,""en"",""fr""))"),"")</f>
        <v/>
      </c>
    </row>
    <row r="307" spans="2:2">
      <c r="B307" s="3" t="str">
        <f ca="1">IFERROR(__xludf.DUMMYFUNCTION("IF(ISBLANK(A307),"""",GOOGLETRANSLATE(A307,""en"",""fr""))"),"")</f>
        <v/>
      </c>
    </row>
    <row r="308" spans="2:2">
      <c r="B308" s="3" t="str">
        <f ca="1">IFERROR(__xludf.DUMMYFUNCTION("IF(ISBLANK(A308),"""",GOOGLETRANSLATE(A308,""en"",""fr""))"),"")</f>
        <v/>
      </c>
    </row>
    <row r="309" spans="2:2">
      <c r="B309" s="3" t="str">
        <f ca="1">IFERROR(__xludf.DUMMYFUNCTION("IF(ISBLANK(A309),"""",GOOGLETRANSLATE(A309,""en"",""fr""))"),"")</f>
        <v/>
      </c>
    </row>
    <row r="310" spans="2:2">
      <c r="B310" s="3" t="str">
        <f ca="1">IFERROR(__xludf.DUMMYFUNCTION("IF(ISBLANK(A310),"""",GOOGLETRANSLATE(A310,""en"",""fr""))"),"")</f>
        <v/>
      </c>
    </row>
    <row r="311" spans="2:2">
      <c r="B311" s="3" t="str">
        <f ca="1">IFERROR(__xludf.DUMMYFUNCTION("IF(ISBLANK(A311),"""",GOOGLETRANSLATE(A311,""en"",""fr""))"),"")</f>
        <v/>
      </c>
    </row>
    <row r="312" spans="2:2">
      <c r="B312" s="3" t="str">
        <f ca="1">IFERROR(__xludf.DUMMYFUNCTION("IF(ISBLANK(A312),"""",GOOGLETRANSLATE(A312,""en"",""fr""))"),"")</f>
        <v/>
      </c>
    </row>
    <row r="313" spans="2:2">
      <c r="B313" s="3" t="str">
        <f ca="1">IFERROR(__xludf.DUMMYFUNCTION("IF(ISBLANK(A313),"""",GOOGLETRANSLATE(A313,""en"",""fr""))"),"")</f>
        <v/>
      </c>
    </row>
    <row r="314" spans="2:2">
      <c r="B314" s="3" t="str">
        <f ca="1">IFERROR(__xludf.DUMMYFUNCTION("IF(ISBLANK(A314),"""",GOOGLETRANSLATE(A314,""en"",""fr""))"),"")</f>
        <v/>
      </c>
    </row>
    <row r="315" spans="2:2">
      <c r="B315" s="3" t="str">
        <f ca="1">IFERROR(__xludf.DUMMYFUNCTION("IF(ISBLANK(A315),"""",GOOGLETRANSLATE(A315,""en"",""fr""))"),"")</f>
        <v/>
      </c>
    </row>
    <row r="316" spans="2:2">
      <c r="B316" s="3" t="str">
        <f ca="1">IFERROR(__xludf.DUMMYFUNCTION("IF(ISBLANK(A316),"""",GOOGLETRANSLATE(A316,""en"",""fr""))"),"")</f>
        <v/>
      </c>
    </row>
    <row r="317" spans="2:2">
      <c r="B317" s="3" t="str">
        <f ca="1">IFERROR(__xludf.DUMMYFUNCTION("IF(ISBLANK(A317),"""",GOOGLETRANSLATE(A317,""en"",""fr""))"),"")</f>
        <v/>
      </c>
    </row>
    <row r="318" spans="2:2">
      <c r="B318" s="3" t="str">
        <f ca="1">IFERROR(__xludf.DUMMYFUNCTION("IF(ISBLANK(A318),"""",GOOGLETRANSLATE(A318,""en"",""fr""))"),"")</f>
        <v/>
      </c>
    </row>
    <row r="319" spans="2:2">
      <c r="B319" s="3" t="str">
        <f ca="1">IFERROR(__xludf.DUMMYFUNCTION("IF(ISBLANK(A319),"""",GOOGLETRANSLATE(A319,""en"",""fr""))"),"")</f>
        <v/>
      </c>
    </row>
    <row r="320" spans="2:2">
      <c r="B320" s="3" t="str">
        <f ca="1">IFERROR(__xludf.DUMMYFUNCTION("IF(ISBLANK(A320),"""",GOOGLETRANSLATE(A320,""en"",""fr""))"),"")</f>
        <v/>
      </c>
    </row>
    <row r="321" spans="2:2">
      <c r="B321" s="3" t="str">
        <f ca="1">IFERROR(__xludf.DUMMYFUNCTION("IF(ISBLANK(A321),"""",GOOGLETRANSLATE(A321,""en"",""fr""))"),"")</f>
        <v/>
      </c>
    </row>
    <row r="322" spans="2:2">
      <c r="B322" s="3" t="str">
        <f ca="1">IFERROR(__xludf.DUMMYFUNCTION("IF(ISBLANK(A322),"""",GOOGLETRANSLATE(A322,""en"",""fr""))"),"")</f>
        <v/>
      </c>
    </row>
    <row r="323" spans="2:2">
      <c r="B323" s="3" t="str">
        <f ca="1">IFERROR(__xludf.DUMMYFUNCTION("IF(ISBLANK(A323),"""",GOOGLETRANSLATE(A323,""en"",""fr""))"),"")</f>
        <v/>
      </c>
    </row>
    <row r="324" spans="2:2">
      <c r="B324" s="3" t="str">
        <f ca="1">IFERROR(__xludf.DUMMYFUNCTION("IF(ISBLANK(A324),"""",GOOGLETRANSLATE(A324,""en"",""fr""))"),"")</f>
        <v/>
      </c>
    </row>
    <row r="325" spans="2:2">
      <c r="B325" s="3" t="str">
        <f ca="1">IFERROR(__xludf.DUMMYFUNCTION("IF(ISBLANK(A325),"""",GOOGLETRANSLATE(A325,""en"",""fr""))"),"")</f>
        <v/>
      </c>
    </row>
    <row r="326" spans="2:2">
      <c r="B326" s="3" t="str">
        <f ca="1">IFERROR(__xludf.DUMMYFUNCTION("IF(ISBLANK(A326),"""",GOOGLETRANSLATE(A326,""en"",""fr""))"),"")</f>
        <v/>
      </c>
    </row>
    <row r="327" spans="2:2">
      <c r="B327" s="3" t="str">
        <f ca="1">IFERROR(__xludf.DUMMYFUNCTION("IF(ISBLANK(A327),"""",GOOGLETRANSLATE(A327,""en"",""fr""))"),"")</f>
        <v/>
      </c>
    </row>
    <row r="328" spans="2:2">
      <c r="B328" s="3" t="str">
        <f ca="1">IFERROR(__xludf.DUMMYFUNCTION("IF(ISBLANK(A328),"""",GOOGLETRANSLATE(A328,""en"",""fr""))"),"")</f>
        <v/>
      </c>
    </row>
    <row r="329" spans="2:2">
      <c r="B329" s="3" t="str">
        <f ca="1">IFERROR(__xludf.DUMMYFUNCTION("IF(ISBLANK(A329),"""",GOOGLETRANSLATE(A329,""en"",""fr""))"),"")</f>
        <v/>
      </c>
    </row>
    <row r="330" spans="2:2">
      <c r="B330" s="3" t="str">
        <f ca="1">IFERROR(__xludf.DUMMYFUNCTION("IF(ISBLANK(A330),"""",GOOGLETRANSLATE(A330,""en"",""fr""))"),"")</f>
        <v/>
      </c>
    </row>
    <row r="331" spans="2:2">
      <c r="B331" s="3" t="str">
        <f ca="1">IFERROR(__xludf.DUMMYFUNCTION("IF(ISBLANK(A331),"""",GOOGLETRANSLATE(A331,""en"",""fr""))"),"")</f>
        <v/>
      </c>
    </row>
    <row r="332" spans="2:2">
      <c r="B332" s="3" t="str">
        <f ca="1">IFERROR(__xludf.DUMMYFUNCTION("IF(ISBLANK(A332),"""",GOOGLETRANSLATE(A332,""en"",""fr""))"),"")</f>
        <v/>
      </c>
    </row>
    <row r="333" spans="2:2">
      <c r="B333" s="3" t="str">
        <f ca="1">IFERROR(__xludf.DUMMYFUNCTION("IF(ISBLANK(A333),"""",GOOGLETRANSLATE(A333,""en"",""fr""))"),"")</f>
        <v/>
      </c>
    </row>
    <row r="334" spans="2:2">
      <c r="B334" s="3" t="str">
        <f ca="1">IFERROR(__xludf.DUMMYFUNCTION("IF(ISBLANK(A334),"""",GOOGLETRANSLATE(A334,""en"",""fr""))"),"")</f>
        <v/>
      </c>
    </row>
    <row r="335" spans="2:2">
      <c r="B335" s="3" t="str">
        <f ca="1">IFERROR(__xludf.DUMMYFUNCTION("IF(ISBLANK(A335),"""",GOOGLETRANSLATE(A335,""en"",""fr""))"),"")</f>
        <v/>
      </c>
    </row>
    <row r="336" spans="2:2">
      <c r="B336" s="3" t="str">
        <f ca="1">IFERROR(__xludf.DUMMYFUNCTION("IF(ISBLANK(A336),"""",GOOGLETRANSLATE(A336,""en"",""fr""))"),"")</f>
        <v/>
      </c>
    </row>
    <row r="337" spans="2:2">
      <c r="B337" s="3" t="str">
        <f ca="1">IFERROR(__xludf.DUMMYFUNCTION("IF(ISBLANK(A337),"""",GOOGLETRANSLATE(A337,""en"",""fr""))"),"")</f>
        <v/>
      </c>
    </row>
    <row r="338" spans="2:2">
      <c r="B338" s="3" t="str">
        <f ca="1">IFERROR(__xludf.DUMMYFUNCTION("IF(ISBLANK(A338),"""",GOOGLETRANSLATE(A338,""en"",""fr""))"),"")</f>
        <v/>
      </c>
    </row>
    <row r="339" spans="2:2">
      <c r="B339" s="3" t="str">
        <f ca="1">IFERROR(__xludf.DUMMYFUNCTION("IF(ISBLANK(A339),"""",GOOGLETRANSLATE(A339,""en"",""fr""))"),"")</f>
        <v/>
      </c>
    </row>
    <row r="340" spans="2:2">
      <c r="B340" s="3" t="str">
        <f ca="1">IFERROR(__xludf.DUMMYFUNCTION("IF(ISBLANK(A340),"""",GOOGLETRANSLATE(A340,""en"",""fr""))"),"")</f>
        <v/>
      </c>
    </row>
    <row r="341" spans="2:2">
      <c r="B341" s="3" t="str">
        <f ca="1">IFERROR(__xludf.DUMMYFUNCTION("IF(ISBLANK(A341),"""",GOOGLETRANSLATE(A341,""en"",""fr""))"),"")</f>
        <v/>
      </c>
    </row>
    <row r="342" spans="2:2">
      <c r="B342" s="3" t="str">
        <f ca="1">IFERROR(__xludf.DUMMYFUNCTION("IF(ISBLANK(A342),"""",GOOGLETRANSLATE(A342,""en"",""fr""))"),"")</f>
        <v/>
      </c>
    </row>
    <row r="343" spans="2:2">
      <c r="B343" s="3" t="str">
        <f ca="1">IFERROR(__xludf.DUMMYFUNCTION("IF(ISBLANK(A343),"""",GOOGLETRANSLATE(A343,""en"",""fr""))"),"")</f>
        <v/>
      </c>
    </row>
    <row r="344" spans="2:2">
      <c r="B344" s="3" t="str">
        <f ca="1">IFERROR(__xludf.DUMMYFUNCTION("IF(ISBLANK(A344),"""",GOOGLETRANSLATE(A344,""en"",""fr""))"),"")</f>
        <v/>
      </c>
    </row>
    <row r="345" spans="2:2">
      <c r="B345" s="3" t="str">
        <f ca="1">IFERROR(__xludf.DUMMYFUNCTION("IF(ISBLANK(A345),"""",GOOGLETRANSLATE(A345,""en"",""fr""))"),"")</f>
        <v/>
      </c>
    </row>
    <row r="346" spans="2:2">
      <c r="B346" s="3" t="str">
        <f ca="1">IFERROR(__xludf.DUMMYFUNCTION("IF(ISBLANK(A346),"""",GOOGLETRANSLATE(A346,""en"",""fr""))"),"")</f>
        <v/>
      </c>
    </row>
    <row r="347" spans="2:2">
      <c r="B347" s="3" t="str">
        <f ca="1">IFERROR(__xludf.DUMMYFUNCTION("IF(ISBLANK(A347),"""",GOOGLETRANSLATE(A347,""en"",""fr""))"),"")</f>
        <v/>
      </c>
    </row>
    <row r="348" spans="2:2">
      <c r="B348" s="3" t="str">
        <f ca="1">IFERROR(__xludf.DUMMYFUNCTION("IF(ISBLANK(A348),"""",GOOGLETRANSLATE(A348,""en"",""fr""))"),"")</f>
        <v/>
      </c>
    </row>
    <row r="349" spans="2:2">
      <c r="B349" s="3" t="str">
        <f ca="1">IFERROR(__xludf.DUMMYFUNCTION("IF(ISBLANK(A349),"""",GOOGLETRANSLATE(A349,""en"",""fr""))"),"")</f>
        <v/>
      </c>
    </row>
    <row r="350" spans="2:2">
      <c r="B350" s="3" t="str">
        <f ca="1">IFERROR(__xludf.DUMMYFUNCTION("IF(ISBLANK(A350),"""",GOOGLETRANSLATE(A350,""en"",""fr""))"),"")</f>
        <v/>
      </c>
    </row>
    <row r="351" spans="2:2">
      <c r="B351" s="3" t="str">
        <f ca="1">IFERROR(__xludf.DUMMYFUNCTION("IF(ISBLANK(A351),"""",GOOGLETRANSLATE(A351,""en"",""fr""))"),"")</f>
        <v/>
      </c>
    </row>
    <row r="352" spans="2:2">
      <c r="B352" s="3" t="str">
        <f ca="1">IFERROR(__xludf.DUMMYFUNCTION("IF(ISBLANK(A352),"""",GOOGLETRANSLATE(A352,""en"",""fr""))"),"")</f>
        <v/>
      </c>
    </row>
    <row r="353" spans="2:2">
      <c r="B353" s="3" t="str">
        <f ca="1">IFERROR(__xludf.DUMMYFUNCTION("IF(ISBLANK(A353),"""",GOOGLETRANSLATE(A353,""en"",""fr""))"),"")</f>
        <v/>
      </c>
    </row>
    <row r="354" spans="2:2">
      <c r="B354" s="3" t="str">
        <f ca="1">IFERROR(__xludf.DUMMYFUNCTION("IF(ISBLANK(A354),"""",GOOGLETRANSLATE(A354,""en"",""fr""))"),"")</f>
        <v/>
      </c>
    </row>
    <row r="355" spans="2:2">
      <c r="B355" s="3" t="str">
        <f ca="1">IFERROR(__xludf.DUMMYFUNCTION("IF(ISBLANK(A355),"""",GOOGLETRANSLATE(A355,""en"",""fr""))"),"")</f>
        <v/>
      </c>
    </row>
    <row r="356" spans="2:2">
      <c r="B356" s="3" t="str">
        <f ca="1">IFERROR(__xludf.DUMMYFUNCTION("IF(ISBLANK(A356),"""",GOOGLETRANSLATE(A356,""en"",""fr""))"),"")</f>
        <v/>
      </c>
    </row>
    <row r="357" spans="2:2">
      <c r="B357" s="3" t="str">
        <f ca="1">IFERROR(__xludf.DUMMYFUNCTION("IF(ISBLANK(A357),"""",GOOGLETRANSLATE(A357,""en"",""fr""))"),"")</f>
        <v/>
      </c>
    </row>
    <row r="358" spans="2:2">
      <c r="B358" s="3" t="str">
        <f ca="1">IFERROR(__xludf.DUMMYFUNCTION("IF(ISBLANK(A358),"""",GOOGLETRANSLATE(A358,""en"",""fr""))"),"")</f>
        <v/>
      </c>
    </row>
    <row r="359" spans="2:2">
      <c r="B359" s="3" t="str">
        <f ca="1">IFERROR(__xludf.DUMMYFUNCTION("IF(ISBLANK(A359),"""",GOOGLETRANSLATE(A359,""en"",""fr""))"),"")</f>
        <v/>
      </c>
    </row>
    <row r="360" spans="2:2">
      <c r="B360" s="3" t="str">
        <f ca="1">IFERROR(__xludf.DUMMYFUNCTION("IF(ISBLANK(A360),"""",GOOGLETRANSLATE(A360,""en"",""fr""))"),"")</f>
        <v/>
      </c>
    </row>
    <row r="361" spans="2:2">
      <c r="B361" s="3" t="str">
        <f ca="1">IFERROR(__xludf.DUMMYFUNCTION("IF(ISBLANK(A361),"""",GOOGLETRANSLATE(A361,""en"",""fr""))"),"")</f>
        <v/>
      </c>
    </row>
    <row r="362" spans="2:2">
      <c r="B362" s="3" t="str">
        <f ca="1">IFERROR(__xludf.DUMMYFUNCTION("IF(ISBLANK(A362),"""",GOOGLETRANSLATE(A362,""en"",""fr""))"),"")</f>
        <v/>
      </c>
    </row>
    <row r="363" spans="2:2">
      <c r="B363" s="3" t="str">
        <f ca="1">IFERROR(__xludf.DUMMYFUNCTION("IF(ISBLANK(A363),"""",GOOGLETRANSLATE(A363,""en"",""fr""))"),"")</f>
        <v/>
      </c>
    </row>
    <row r="364" spans="2:2">
      <c r="B364" s="3" t="str">
        <f ca="1">IFERROR(__xludf.DUMMYFUNCTION("IF(ISBLANK(A364),"""",GOOGLETRANSLATE(A364,""en"",""fr""))"),"")</f>
        <v/>
      </c>
    </row>
    <row r="365" spans="2:2">
      <c r="B365" s="3" t="str">
        <f ca="1">IFERROR(__xludf.DUMMYFUNCTION("IF(ISBLANK(A365),"""",GOOGLETRANSLATE(A365,""en"",""fr""))"),"")</f>
        <v/>
      </c>
    </row>
    <row r="366" spans="2:2">
      <c r="B366" s="3" t="str">
        <f ca="1">IFERROR(__xludf.DUMMYFUNCTION("IF(ISBLANK(A366),"""",GOOGLETRANSLATE(A366,""en"",""fr""))"),"")</f>
        <v/>
      </c>
    </row>
    <row r="367" spans="2:2">
      <c r="B367" s="3" t="str">
        <f ca="1">IFERROR(__xludf.DUMMYFUNCTION("IF(ISBLANK(A367),"""",GOOGLETRANSLATE(A367,""en"",""fr""))"),"")</f>
        <v/>
      </c>
    </row>
    <row r="368" spans="2:2">
      <c r="B368" s="3" t="str">
        <f ca="1">IFERROR(__xludf.DUMMYFUNCTION("IF(ISBLANK(A368),"""",GOOGLETRANSLATE(A368,""en"",""fr""))"),"")</f>
        <v/>
      </c>
    </row>
    <row r="369" spans="2:2">
      <c r="B369" s="3" t="str">
        <f ca="1">IFERROR(__xludf.DUMMYFUNCTION("IF(ISBLANK(A369),"""",GOOGLETRANSLATE(A369,""en"",""fr""))"),"")</f>
        <v/>
      </c>
    </row>
    <row r="370" spans="2:2">
      <c r="B370" s="3" t="str">
        <f ca="1">IFERROR(__xludf.DUMMYFUNCTION("IF(ISBLANK(A370),"""",GOOGLETRANSLATE(A370,""en"",""fr""))"),"")</f>
        <v/>
      </c>
    </row>
    <row r="371" spans="2:2">
      <c r="B371" s="3" t="str">
        <f ca="1">IFERROR(__xludf.DUMMYFUNCTION("IF(ISBLANK(A371),"""",GOOGLETRANSLATE(A371,""en"",""fr""))"),"")</f>
        <v/>
      </c>
    </row>
    <row r="372" spans="2:2">
      <c r="B372" s="3" t="str">
        <f ca="1">IFERROR(__xludf.DUMMYFUNCTION("IF(ISBLANK(A372),"""",GOOGLETRANSLATE(A372,""en"",""fr""))"),"")</f>
        <v/>
      </c>
    </row>
    <row r="373" spans="2:2">
      <c r="B373" s="3" t="str">
        <f ca="1">IFERROR(__xludf.DUMMYFUNCTION("IF(ISBLANK(A373),"""",GOOGLETRANSLATE(A373,""en"",""fr""))"),"")</f>
        <v/>
      </c>
    </row>
    <row r="374" spans="2:2">
      <c r="B374" s="3" t="str">
        <f ca="1">IFERROR(__xludf.DUMMYFUNCTION("IF(ISBLANK(A374),"""",GOOGLETRANSLATE(A374,""en"",""fr""))"),"")</f>
        <v/>
      </c>
    </row>
    <row r="375" spans="2:2">
      <c r="B375" s="3" t="str">
        <f ca="1">IFERROR(__xludf.DUMMYFUNCTION("IF(ISBLANK(A375),"""",GOOGLETRANSLATE(A375,""en"",""fr""))"),"")</f>
        <v/>
      </c>
    </row>
    <row r="376" spans="2:2">
      <c r="B376" s="3" t="str">
        <f ca="1">IFERROR(__xludf.DUMMYFUNCTION("IF(ISBLANK(A376),"""",GOOGLETRANSLATE(A376,""en"",""fr""))"),"")</f>
        <v/>
      </c>
    </row>
    <row r="377" spans="2:2">
      <c r="B377" s="3" t="str">
        <f ca="1">IFERROR(__xludf.DUMMYFUNCTION("IF(ISBLANK(A377),"""",GOOGLETRANSLATE(A377,""en"",""fr""))"),"")</f>
        <v/>
      </c>
    </row>
    <row r="378" spans="2:2">
      <c r="B378" s="3" t="str">
        <f ca="1">IFERROR(__xludf.DUMMYFUNCTION("IF(ISBLANK(A378),"""",GOOGLETRANSLATE(A378,""en"",""fr""))"),"")</f>
        <v/>
      </c>
    </row>
    <row r="379" spans="2:2">
      <c r="B379" s="3" t="str">
        <f ca="1">IFERROR(__xludf.DUMMYFUNCTION("IF(ISBLANK(A379),"""",GOOGLETRANSLATE(A379,""en"",""fr""))"),"")</f>
        <v/>
      </c>
    </row>
    <row r="380" spans="2:2">
      <c r="B380" s="3" t="str">
        <f ca="1">IFERROR(__xludf.DUMMYFUNCTION("IF(ISBLANK(A380),"""",GOOGLETRANSLATE(A380,""en"",""fr""))"),"")</f>
        <v/>
      </c>
    </row>
    <row r="381" spans="2:2">
      <c r="B381" s="3" t="str">
        <f ca="1">IFERROR(__xludf.DUMMYFUNCTION("IF(ISBLANK(A381),"""",GOOGLETRANSLATE(A381,""en"",""fr""))"),"")</f>
        <v/>
      </c>
    </row>
    <row r="382" spans="2:2">
      <c r="B382" s="3" t="str">
        <f ca="1">IFERROR(__xludf.DUMMYFUNCTION("IF(ISBLANK(A382),"""",GOOGLETRANSLATE(A382,""en"",""fr""))"),"")</f>
        <v/>
      </c>
    </row>
    <row r="383" spans="2:2">
      <c r="B383" s="3" t="str">
        <f ca="1">IFERROR(__xludf.DUMMYFUNCTION("IF(ISBLANK(A383),"""",GOOGLETRANSLATE(A383,""en"",""fr""))"),"")</f>
        <v/>
      </c>
    </row>
    <row r="384" spans="2:2">
      <c r="B384" s="3" t="str">
        <f ca="1">IFERROR(__xludf.DUMMYFUNCTION("IF(ISBLANK(A384),"""",GOOGLETRANSLATE(A384,""en"",""fr""))"),"")</f>
        <v/>
      </c>
    </row>
    <row r="385" spans="2:2">
      <c r="B385" s="3" t="str">
        <f ca="1">IFERROR(__xludf.DUMMYFUNCTION("IF(ISBLANK(A385),"""",GOOGLETRANSLATE(A385,""en"",""fr""))"),"")</f>
        <v/>
      </c>
    </row>
    <row r="386" spans="2:2">
      <c r="B386" s="3" t="str">
        <f ca="1">IFERROR(__xludf.DUMMYFUNCTION("IF(ISBLANK(A386),"""",GOOGLETRANSLATE(A386,""en"",""fr""))"),"")</f>
        <v/>
      </c>
    </row>
    <row r="387" spans="2:2">
      <c r="B387" s="3" t="str">
        <f ca="1">IFERROR(__xludf.DUMMYFUNCTION("IF(ISBLANK(A387),"""",GOOGLETRANSLATE(A387,""en"",""fr""))"),"")</f>
        <v/>
      </c>
    </row>
    <row r="388" spans="2:2">
      <c r="B388" s="3" t="str">
        <f ca="1">IFERROR(__xludf.DUMMYFUNCTION("IF(ISBLANK(A388),"""",GOOGLETRANSLATE(A388,""en"",""fr""))"),"")</f>
        <v/>
      </c>
    </row>
    <row r="389" spans="2:2">
      <c r="B389" s="3" t="str">
        <f ca="1">IFERROR(__xludf.DUMMYFUNCTION("IF(ISBLANK(A389),"""",GOOGLETRANSLATE(A389,""en"",""fr""))"),"")</f>
        <v/>
      </c>
    </row>
    <row r="390" spans="2:2">
      <c r="B390" s="3" t="str">
        <f ca="1">IFERROR(__xludf.DUMMYFUNCTION("IF(ISBLANK(A390),"""",GOOGLETRANSLATE(A390,""en"",""fr""))"),"")</f>
        <v/>
      </c>
    </row>
    <row r="391" spans="2:2">
      <c r="B391" s="3" t="str">
        <f ca="1">IFERROR(__xludf.DUMMYFUNCTION("IF(ISBLANK(A391),"""",GOOGLETRANSLATE(A391,""en"",""fr""))"),"")</f>
        <v/>
      </c>
    </row>
    <row r="392" spans="2:2">
      <c r="B392" s="3" t="str">
        <f ca="1">IFERROR(__xludf.DUMMYFUNCTION("IF(ISBLANK(A392),"""",GOOGLETRANSLATE(A392,""en"",""fr""))"),"")</f>
        <v/>
      </c>
    </row>
    <row r="393" spans="2:2">
      <c r="B393" s="3" t="str">
        <f ca="1">IFERROR(__xludf.DUMMYFUNCTION("IF(ISBLANK(A393),"""",GOOGLETRANSLATE(A393,""en"",""fr""))"),"")</f>
        <v/>
      </c>
    </row>
    <row r="394" spans="2:2">
      <c r="B394" s="3" t="str">
        <f ca="1">IFERROR(__xludf.DUMMYFUNCTION("IF(ISBLANK(A394),"""",GOOGLETRANSLATE(A394,""en"",""fr""))"),"")</f>
        <v/>
      </c>
    </row>
    <row r="395" spans="2:2">
      <c r="B395" s="3" t="str">
        <f ca="1">IFERROR(__xludf.DUMMYFUNCTION("IF(ISBLANK(A395),"""",GOOGLETRANSLATE(A395,""en"",""fr""))"),"")</f>
        <v/>
      </c>
    </row>
    <row r="396" spans="2:2">
      <c r="B396" s="3" t="str">
        <f ca="1">IFERROR(__xludf.DUMMYFUNCTION("IF(ISBLANK(A396),"""",GOOGLETRANSLATE(A396,""en"",""fr""))"),"")</f>
        <v/>
      </c>
    </row>
    <row r="397" spans="2:2">
      <c r="B397" s="3" t="str">
        <f ca="1">IFERROR(__xludf.DUMMYFUNCTION("IF(ISBLANK(A397),"""",GOOGLETRANSLATE(A397,""en"",""fr""))"),"")</f>
        <v/>
      </c>
    </row>
    <row r="398" spans="2:2">
      <c r="B398" s="3" t="str">
        <f ca="1">IFERROR(__xludf.DUMMYFUNCTION("IF(ISBLANK(A398),"""",GOOGLETRANSLATE(A398,""en"",""fr""))"),"")</f>
        <v/>
      </c>
    </row>
    <row r="399" spans="2:2">
      <c r="B399" s="3" t="str">
        <f ca="1">IFERROR(__xludf.DUMMYFUNCTION("IF(ISBLANK(A399),"""",GOOGLETRANSLATE(A399,""en"",""fr""))"),"")</f>
        <v/>
      </c>
    </row>
    <row r="400" spans="2:2">
      <c r="B400" s="3" t="str">
        <f ca="1">IFERROR(__xludf.DUMMYFUNCTION("IF(ISBLANK(A400),"""",GOOGLETRANSLATE(A400,""en"",""fr""))"),"")</f>
        <v/>
      </c>
    </row>
    <row r="401" spans="2:2">
      <c r="B401" s="3" t="str">
        <f ca="1">IFERROR(__xludf.DUMMYFUNCTION("IF(ISBLANK(A401),"""",GOOGLETRANSLATE(A401,""en"",""fr""))"),"")</f>
        <v/>
      </c>
    </row>
    <row r="402" spans="2:2">
      <c r="B402" s="3" t="str">
        <f ca="1">IFERROR(__xludf.DUMMYFUNCTION("IF(ISBLANK(A402),"""",GOOGLETRANSLATE(A402,""en"",""fr""))"),"")</f>
        <v/>
      </c>
    </row>
    <row r="403" spans="2:2">
      <c r="B403" s="3" t="str">
        <f ca="1">IFERROR(__xludf.DUMMYFUNCTION("IF(ISBLANK(A403),"""",GOOGLETRANSLATE(A403,""en"",""fr""))"),"")</f>
        <v/>
      </c>
    </row>
    <row r="404" spans="2:2">
      <c r="B404" s="3" t="str">
        <f ca="1">IFERROR(__xludf.DUMMYFUNCTION("IF(ISBLANK(A404),"""",GOOGLETRANSLATE(A404,""en"",""fr""))"),"")</f>
        <v/>
      </c>
    </row>
    <row r="405" spans="2:2">
      <c r="B405" s="3" t="str">
        <f ca="1">IFERROR(__xludf.DUMMYFUNCTION("IF(ISBLANK(A405),"""",GOOGLETRANSLATE(A405,""en"",""fr""))"),"")</f>
        <v/>
      </c>
    </row>
    <row r="406" spans="2:2">
      <c r="B406" s="3" t="str">
        <f ca="1">IFERROR(__xludf.DUMMYFUNCTION("IF(ISBLANK(A406),"""",GOOGLETRANSLATE(A406,""en"",""fr""))"),"")</f>
        <v/>
      </c>
    </row>
    <row r="407" spans="2:2">
      <c r="B407" s="3" t="str">
        <f ca="1">IFERROR(__xludf.DUMMYFUNCTION("IF(ISBLANK(A407),"""",GOOGLETRANSLATE(A407,""en"",""fr""))"),"")</f>
        <v/>
      </c>
    </row>
    <row r="408" spans="2:2">
      <c r="B408" s="3" t="str">
        <f ca="1">IFERROR(__xludf.DUMMYFUNCTION("IF(ISBLANK(A408),"""",GOOGLETRANSLATE(A408,""en"",""fr""))"),"")</f>
        <v/>
      </c>
    </row>
    <row r="409" spans="2:2">
      <c r="B409" s="3" t="str">
        <f ca="1">IFERROR(__xludf.DUMMYFUNCTION("IF(ISBLANK(A409),"""",GOOGLETRANSLATE(A409,""en"",""fr""))"),"")</f>
        <v/>
      </c>
    </row>
    <row r="410" spans="2:2">
      <c r="B410" s="3" t="str">
        <f ca="1">IFERROR(__xludf.DUMMYFUNCTION("IF(ISBLANK(A410),"""",GOOGLETRANSLATE(A410,""en"",""fr""))"),"")</f>
        <v/>
      </c>
    </row>
    <row r="411" spans="2:2">
      <c r="B411" s="3" t="str">
        <f ca="1">IFERROR(__xludf.DUMMYFUNCTION("IF(ISBLANK(A411),"""",GOOGLETRANSLATE(A411,""en"",""fr""))"),"")</f>
        <v/>
      </c>
    </row>
    <row r="412" spans="2:2">
      <c r="B412" s="3" t="str">
        <f ca="1">IFERROR(__xludf.DUMMYFUNCTION("IF(ISBLANK(A412),"""",GOOGLETRANSLATE(A412,""en"",""fr""))"),"")</f>
        <v/>
      </c>
    </row>
    <row r="413" spans="2:2">
      <c r="B413" s="3" t="str">
        <f ca="1">IFERROR(__xludf.DUMMYFUNCTION("IF(ISBLANK(A413),"""",GOOGLETRANSLATE(A413,""en"",""fr""))"),"")</f>
        <v/>
      </c>
    </row>
    <row r="414" spans="2:2">
      <c r="B414" s="3" t="str">
        <f ca="1">IFERROR(__xludf.DUMMYFUNCTION("IF(ISBLANK(A414),"""",GOOGLETRANSLATE(A414,""en"",""fr""))"),"")</f>
        <v/>
      </c>
    </row>
    <row r="415" spans="2:2">
      <c r="B415" s="3" t="str">
        <f ca="1">IFERROR(__xludf.DUMMYFUNCTION("IF(ISBLANK(A415),"""",GOOGLETRANSLATE(A415,""en"",""fr""))"),"")</f>
        <v/>
      </c>
    </row>
    <row r="416" spans="2:2">
      <c r="B416" s="3" t="str">
        <f ca="1">IFERROR(__xludf.DUMMYFUNCTION("IF(ISBLANK(A416),"""",GOOGLETRANSLATE(A416,""en"",""fr""))"),"")</f>
        <v/>
      </c>
    </row>
    <row r="417" spans="2:2">
      <c r="B417" s="3" t="str">
        <f ca="1">IFERROR(__xludf.DUMMYFUNCTION("IF(ISBLANK(A417),"""",GOOGLETRANSLATE(A417,""en"",""fr""))"),"")</f>
        <v/>
      </c>
    </row>
    <row r="418" spans="2:2">
      <c r="B418" s="3" t="str">
        <f ca="1">IFERROR(__xludf.DUMMYFUNCTION("IF(ISBLANK(A418),"""",GOOGLETRANSLATE(A418,""en"",""fr""))"),"")</f>
        <v/>
      </c>
    </row>
    <row r="419" spans="2:2">
      <c r="B419" s="3" t="str">
        <f ca="1">IFERROR(__xludf.DUMMYFUNCTION("IF(ISBLANK(A419),"""",GOOGLETRANSLATE(A419,""en"",""fr""))"),"")</f>
        <v/>
      </c>
    </row>
    <row r="420" spans="2:2">
      <c r="B420" s="3" t="str">
        <f ca="1">IFERROR(__xludf.DUMMYFUNCTION("IF(ISBLANK(A420),"""",GOOGLETRANSLATE(A420,""en"",""fr""))"),"")</f>
        <v/>
      </c>
    </row>
    <row r="421" spans="2:2">
      <c r="B421" s="3" t="str">
        <f ca="1">IFERROR(__xludf.DUMMYFUNCTION("IF(ISBLANK(A421),"""",GOOGLETRANSLATE(A421,""en"",""fr""))"),"")</f>
        <v/>
      </c>
    </row>
    <row r="422" spans="2:2">
      <c r="B422" s="3" t="str">
        <f ca="1">IFERROR(__xludf.DUMMYFUNCTION("IF(ISBLANK(A422),"""",GOOGLETRANSLATE(A422,""en"",""fr""))"),"")</f>
        <v/>
      </c>
    </row>
    <row r="423" spans="2:2">
      <c r="B423" s="3" t="str">
        <f ca="1">IFERROR(__xludf.DUMMYFUNCTION("IF(ISBLANK(A423),"""",GOOGLETRANSLATE(A423,""en"",""fr""))"),"")</f>
        <v/>
      </c>
    </row>
    <row r="424" spans="2:2">
      <c r="B424" s="3" t="str">
        <f ca="1">IFERROR(__xludf.DUMMYFUNCTION("IF(ISBLANK(A424),"""",GOOGLETRANSLATE(A424,""en"",""fr""))"),"")</f>
        <v/>
      </c>
    </row>
    <row r="425" spans="2:2">
      <c r="B425" s="3" t="str">
        <f ca="1">IFERROR(__xludf.DUMMYFUNCTION("IF(ISBLANK(A425),"""",GOOGLETRANSLATE(A425,""en"",""fr""))"),"")</f>
        <v/>
      </c>
    </row>
    <row r="426" spans="2:2">
      <c r="B426" s="3" t="str">
        <f ca="1">IFERROR(__xludf.DUMMYFUNCTION("IF(ISBLANK(A426),"""",GOOGLETRANSLATE(A426,""en"",""fr""))"),"")</f>
        <v/>
      </c>
    </row>
    <row r="427" spans="2:2">
      <c r="B427" s="3" t="str">
        <f ca="1">IFERROR(__xludf.DUMMYFUNCTION("IF(ISBLANK(A427),"""",GOOGLETRANSLATE(A427,""en"",""fr""))"),"")</f>
        <v/>
      </c>
    </row>
    <row r="428" spans="2:2">
      <c r="B428" s="3" t="str">
        <f ca="1">IFERROR(__xludf.DUMMYFUNCTION("IF(ISBLANK(A428),"""",GOOGLETRANSLATE(A428,""en"",""fr""))"),"")</f>
        <v/>
      </c>
    </row>
    <row r="429" spans="2:2">
      <c r="B429" s="3" t="str">
        <f ca="1">IFERROR(__xludf.DUMMYFUNCTION("IF(ISBLANK(A429),"""",GOOGLETRANSLATE(A429,""en"",""fr""))"),"")</f>
        <v/>
      </c>
    </row>
    <row r="430" spans="2:2">
      <c r="B430" s="3" t="str">
        <f ca="1">IFERROR(__xludf.DUMMYFUNCTION("IF(ISBLANK(A430),"""",GOOGLETRANSLATE(A430,""en"",""fr""))"),"")</f>
        <v/>
      </c>
    </row>
    <row r="431" spans="2:2">
      <c r="B431" s="3" t="str">
        <f ca="1">IFERROR(__xludf.DUMMYFUNCTION("IF(ISBLANK(A431),"""",GOOGLETRANSLATE(A431,""en"",""fr""))"),"")</f>
        <v/>
      </c>
    </row>
    <row r="432" spans="2:2">
      <c r="B432" s="3" t="str">
        <f ca="1">IFERROR(__xludf.DUMMYFUNCTION("IF(ISBLANK(A432),"""",GOOGLETRANSLATE(A432,""en"",""fr""))"),"")</f>
        <v/>
      </c>
    </row>
    <row r="433" spans="2:2">
      <c r="B433" s="3" t="str">
        <f ca="1">IFERROR(__xludf.DUMMYFUNCTION("IF(ISBLANK(A433),"""",GOOGLETRANSLATE(A433,""en"",""fr""))"),"")</f>
        <v/>
      </c>
    </row>
    <row r="434" spans="2:2">
      <c r="B434" s="3" t="str">
        <f ca="1">IFERROR(__xludf.DUMMYFUNCTION("IF(ISBLANK(A434),"""",GOOGLETRANSLATE(A434,""en"",""fr""))"),"")</f>
        <v/>
      </c>
    </row>
    <row r="435" spans="2:2">
      <c r="B435" s="3" t="str">
        <f ca="1">IFERROR(__xludf.DUMMYFUNCTION("IF(ISBLANK(A435),"""",GOOGLETRANSLATE(A435,""en"",""fr""))"),"")</f>
        <v/>
      </c>
    </row>
    <row r="436" spans="2:2">
      <c r="B436" s="3" t="str">
        <f ca="1">IFERROR(__xludf.DUMMYFUNCTION("IF(ISBLANK(A436),"""",GOOGLETRANSLATE(A436,""en"",""fr""))"),"")</f>
        <v/>
      </c>
    </row>
    <row r="437" spans="2:2">
      <c r="B437" s="3" t="str">
        <f ca="1">IFERROR(__xludf.DUMMYFUNCTION("IF(ISBLANK(A437),"""",GOOGLETRANSLATE(A437,""en"",""fr""))"),"")</f>
        <v/>
      </c>
    </row>
    <row r="438" spans="2:2">
      <c r="B438" s="3" t="str">
        <f ca="1">IFERROR(__xludf.DUMMYFUNCTION("IF(ISBLANK(A438),"""",GOOGLETRANSLATE(A438,""en"",""fr""))"),"")</f>
        <v/>
      </c>
    </row>
    <row r="439" spans="2:2">
      <c r="B439" s="3" t="str">
        <f ca="1">IFERROR(__xludf.DUMMYFUNCTION("IF(ISBLANK(A439),"""",GOOGLETRANSLATE(A439,""en"",""fr""))"),"")</f>
        <v/>
      </c>
    </row>
    <row r="440" spans="2:2">
      <c r="B440" s="3" t="str">
        <f ca="1">IFERROR(__xludf.DUMMYFUNCTION("IF(ISBLANK(A440),"""",GOOGLETRANSLATE(A440,""en"",""fr""))"),"")</f>
        <v/>
      </c>
    </row>
    <row r="441" spans="2:2">
      <c r="B441" s="3" t="str">
        <f ca="1">IFERROR(__xludf.DUMMYFUNCTION("IF(ISBLANK(A441),"""",GOOGLETRANSLATE(A441,""en"",""fr""))"),"")</f>
        <v/>
      </c>
    </row>
    <row r="442" spans="2:2">
      <c r="B442" s="3" t="str">
        <f ca="1">IFERROR(__xludf.DUMMYFUNCTION("IF(ISBLANK(A442),"""",GOOGLETRANSLATE(A442,""en"",""fr""))"),"")</f>
        <v/>
      </c>
    </row>
    <row r="443" spans="2:2">
      <c r="B443" s="3" t="str">
        <f ca="1">IFERROR(__xludf.DUMMYFUNCTION("IF(ISBLANK(A443),"""",GOOGLETRANSLATE(A443,""en"",""fr""))"),"")</f>
        <v/>
      </c>
    </row>
    <row r="444" spans="2:2">
      <c r="B444" s="3" t="str">
        <f ca="1">IFERROR(__xludf.DUMMYFUNCTION("IF(ISBLANK(A444),"""",GOOGLETRANSLATE(A444,""en"",""fr""))"),"")</f>
        <v/>
      </c>
    </row>
    <row r="445" spans="2:2">
      <c r="B445" s="3" t="str">
        <f ca="1">IFERROR(__xludf.DUMMYFUNCTION("IF(ISBLANK(A445),"""",GOOGLETRANSLATE(A445,""en"",""fr""))"),"")</f>
        <v/>
      </c>
    </row>
    <row r="446" spans="2:2">
      <c r="B446" s="3" t="str">
        <f ca="1">IFERROR(__xludf.DUMMYFUNCTION("IF(ISBLANK(A446),"""",GOOGLETRANSLATE(A446,""en"",""fr""))"),"")</f>
        <v/>
      </c>
    </row>
    <row r="447" spans="2:2">
      <c r="B447" s="3" t="str">
        <f ca="1">IFERROR(__xludf.DUMMYFUNCTION("IF(ISBLANK(A447),"""",GOOGLETRANSLATE(A447,""en"",""fr""))"),"")</f>
        <v/>
      </c>
    </row>
    <row r="448" spans="2:2">
      <c r="B448" s="3" t="str">
        <f ca="1">IFERROR(__xludf.DUMMYFUNCTION("IF(ISBLANK(A448),"""",GOOGLETRANSLATE(A448,""en"",""fr""))"),"")</f>
        <v/>
      </c>
    </row>
    <row r="449" spans="2:2">
      <c r="B449" s="3" t="str">
        <f ca="1">IFERROR(__xludf.DUMMYFUNCTION("IF(ISBLANK(A449),"""",GOOGLETRANSLATE(A449,""en"",""fr""))"),"")</f>
        <v/>
      </c>
    </row>
    <row r="450" spans="2:2">
      <c r="B450" s="3" t="str">
        <f ca="1">IFERROR(__xludf.DUMMYFUNCTION("IF(ISBLANK(A450),"""",GOOGLETRANSLATE(A450,""en"",""fr""))"),"")</f>
        <v/>
      </c>
    </row>
    <row r="451" spans="2:2">
      <c r="B451" s="3" t="str">
        <f ca="1">IFERROR(__xludf.DUMMYFUNCTION("IF(ISBLANK(A451),"""",GOOGLETRANSLATE(A451,""en"",""fr""))"),"")</f>
        <v/>
      </c>
    </row>
    <row r="452" spans="2:2">
      <c r="B452" s="3" t="str">
        <f ca="1">IFERROR(__xludf.DUMMYFUNCTION("IF(ISBLANK(A452),"""",GOOGLETRANSLATE(A452,""en"",""fr""))"),"")</f>
        <v/>
      </c>
    </row>
    <row r="453" spans="2:2">
      <c r="B453" s="3" t="str">
        <f ca="1">IFERROR(__xludf.DUMMYFUNCTION("IF(ISBLANK(A453),"""",GOOGLETRANSLATE(A453,""en"",""fr""))"),"")</f>
        <v/>
      </c>
    </row>
    <row r="454" spans="2:2">
      <c r="B454" s="3" t="str">
        <f ca="1">IFERROR(__xludf.DUMMYFUNCTION("IF(ISBLANK(A454),"""",GOOGLETRANSLATE(A454,""en"",""fr""))"),"")</f>
        <v/>
      </c>
    </row>
    <row r="455" spans="2:2">
      <c r="B455" s="3" t="str">
        <f ca="1">IFERROR(__xludf.DUMMYFUNCTION("IF(ISBLANK(A455),"""",GOOGLETRANSLATE(A455,""en"",""fr""))"),"")</f>
        <v/>
      </c>
    </row>
    <row r="456" spans="2:2">
      <c r="B456" s="3" t="str">
        <f ca="1">IFERROR(__xludf.DUMMYFUNCTION("IF(ISBLANK(A456),"""",GOOGLETRANSLATE(A456,""en"",""fr""))"),"")</f>
        <v/>
      </c>
    </row>
    <row r="457" spans="2:2">
      <c r="B457" s="3" t="str">
        <f ca="1">IFERROR(__xludf.DUMMYFUNCTION("IF(ISBLANK(A457),"""",GOOGLETRANSLATE(A457,""en"",""fr""))"),"")</f>
        <v/>
      </c>
    </row>
    <row r="458" spans="2:2">
      <c r="B458" s="3" t="str">
        <f ca="1">IFERROR(__xludf.DUMMYFUNCTION("IF(ISBLANK(A458),"""",GOOGLETRANSLATE(A458,""en"",""fr""))"),"")</f>
        <v/>
      </c>
    </row>
    <row r="459" spans="2:2">
      <c r="B459" s="3" t="str">
        <f ca="1">IFERROR(__xludf.DUMMYFUNCTION("IF(ISBLANK(A459),"""",GOOGLETRANSLATE(A459,""en"",""fr""))"),"")</f>
        <v/>
      </c>
    </row>
    <row r="460" spans="2:2">
      <c r="B460" s="3" t="str">
        <f ca="1">IFERROR(__xludf.DUMMYFUNCTION("IF(ISBLANK(A460),"""",GOOGLETRANSLATE(A460,""en"",""fr""))"),"")</f>
        <v/>
      </c>
    </row>
    <row r="461" spans="2:2">
      <c r="B461" s="3" t="str">
        <f ca="1">IFERROR(__xludf.DUMMYFUNCTION("IF(ISBLANK(A461),"""",GOOGLETRANSLATE(A461,""en"",""fr""))"),"")</f>
        <v/>
      </c>
    </row>
    <row r="462" spans="2:2">
      <c r="B462" s="3" t="str">
        <f ca="1">IFERROR(__xludf.DUMMYFUNCTION("IF(ISBLANK(A462),"""",GOOGLETRANSLATE(A462,""en"",""fr""))"),"")</f>
        <v/>
      </c>
    </row>
    <row r="463" spans="2:2">
      <c r="B463" s="3" t="str">
        <f ca="1">IFERROR(__xludf.DUMMYFUNCTION("IF(ISBLANK(A463),"""",GOOGLETRANSLATE(A463,""en"",""fr""))"),"")</f>
        <v/>
      </c>
    </row>
    <row r="464" spans="2:2">
      <c r="B464" s="3" t="str">
        <f ca="1">IFERROR(__xludf.DUMMYFUNCTION("IF(ISBLANK(A464),"""",GOOGLETRANSLATE(A464,""en"",""fr""))"),"")</f>
        <v/>
      </c>
    </row>
    <row r="465" spans="2:2">
      <c r="B465" s="3" t="str">
        <f ca="1">IFERROR(__xludf.DUMMYFUNCTION("IF(ISBLANK(A465),"""",GOOGLETRANSLATE(A465,""en"",""fr""))"),"")</f>
        <v/>
      </c>
    </row>
    <row r="466" spans="2:2">
      <c r="B466" s="3" t="str">
        <f ca="1">IFERROR(__xludf.DUMMYFUNCTION("IF(ISBLANK(A466),"""",GOOGLETRANSLATE(A466,""en"",""fr""))"),"")</f>
        <v/>
      </c>
    </row>
    <row r="467" spans="2:2">
      <c r="B467" s="3" t="str">
        <f ca="1">IFERROR(__xludf.DUMMYFUNCTION("IF(ISBLANK(A467),"""",GOOGLETRANSLATE(A467,""en"",""fr""))"),"")</f>
        <v/>
      </c>
    </row>
    <row r="468" spans="2:2">
      <c r="B468" s="3" t="str">
        <f ca="1">IFERROR(__xludf.DUMMYFUNCTION("IF(ISBLANK(A468),"""",GOOGLETRANSLATE(A468,""en"",""fr""))"),"")</f>
        <v/>
      </c>
    </row>
    <row r="469" spans="2:2">
      <c r="B469" s="3" t="str">
        <f ca="1">IFERROR(__xludf.DUMMYFUNCTION("IF(ISBLANK(A469),"""",GOOGLETRANSLATE(A469,""en"",""fr""))"),"")</f>
        <v/>
      </c>
    </row>
    <row r="470" spans="2:2">
      <c r="B470" s="3" t="str">
        <f ca="1">IFERROR(__xludf.DUMMYFUNCTION("IF(ISBLANK(A470),"""",GOOGLETRANSLATE(A470,""en"",""fr""))"),"")</f>
        <v/>
      </c>
    </row>
    <row r="471" spans="2:2">
      <c r="B471" s="3" t="str">
        <f ca="1">IFERROR(__xludf.DUMMYFUNCTION("IF(ISBLANK(A471),"""",GOOGLETRANSLATE(A471,""en"",""fr""))"),"")</f>
        <v/>
      </c>
    </row>
    <row r="472" spans="2:2">
      <c r="B472" s="3" t="str">
        <f ca="1">IFERROR(__xludf.DUMMYFUNCTION("IF(ISBLANK(A472),"""",GOOGLETRANSLATE(A472,""en"",""fr""))"),"")</f>
        <v/>
      </c>
    </row>
    <row r="473" spans="2:2">
      <c r="B473" s="3" t="str">
        <f ca="1">IFERROR(__xludf.DUMMYFUNCTION("IF(ISBLANK(A473),"""",GOOGLETRANSLATE(A473,""en"",""fr""))"),"")</f>
        <v/>
      </c>
    </row>
    <row r="474" spans="2:2">
      <c r="B474" s="3" t="str">
        <f ca="1">IFERROR(__xludf.DUMMYFUNCTION("IF(ISBLANK(A474),"""",GOOGLETRANSLATE(A474,""en"",""fr""))"),"")</f>
        <v/>
      </c>
    </row>
    <row r="475" spans="2:2">
      <c r="B475" s="3" t="str">
        <f ca="1">IFERROR(__xludf.DUMMYFUNCTION("IF(ISBLANK(A475),"""",GOOGLETRANSLATE(A475,""en"",""fr""))"),"")</f>
        <v/>
      </c>
    </row>
    <row r="476" spans="2:2">
      <c r="B476" s="3" t="str">
        <f ca="1">IFERROR(__xludf.DUMMYFUNCTION("IF(ISBLANK(A476),"""",GOOGLETRANSLATE(A476,""en"",""fr""))"),"")</f>
        <v/>
      </c>
    </row>
    <row r="477" spans="2:2">
      <c r="B477" s="3" t="str">
        <f ca="1">IFERROR(__xludf.DUMMYFUNCTION("IF(ISBLANK(A477),"""",GOOGLETRANSLATE(A477,""en"",""fr""))"),"")</f>
        <v/>
      </c>
    </row>
    <row r="478" spans="2:2">
      <c r="B478" s="3" t="str">
        <f ca="1">IFERROR(__xludf.DUMMYFUNCTION("IF(ISBLANK(A478),"""",GOOGLETRANSLATE(A478,""en"",""fr""))"),"")</f>
        <v/>
      </c>
    </row>
    <row r="479" spans="2:2">
      <c r="B479" s="3" t="str">
        <f ca="1">IFERROR(__xludf.DUMMYFUNCTION("IF(ISBLANK(A479),"""",GOOGLETRANSLATE(A479,""en"",""fr""))"),"")</f>
        <v/>
      </c>
    </row>
    <row r="480" spans="2:2">
      <c r="B480" s="3" t="str">
        <f ca="1">IFERROR(__xludf.DUMMYFUNCTION("IF(ISBLANK(A480),"""",GOOGLETRANSLATE(A480,""en"",""fr""))"),"")</f>
        <v/>
      </c>
    </row>
    <row r="481" spans="2:2">
      <c r="B481" s="3" t="str">
        <f ca="1">IFERROR(__xludf.DUMMYFUNCTION("IF(ISBLANK(A481),"""",GOOGLETRANSLATE(A481,""en"",""fr""))"),"")</f>
        <v/>
      </c>
    </row>
    <row r="482" spans="2:2">
      <c r="B482" s="3" t="str">
        <f ca="1">IFERROR(__xludf.DUMMYFUNCTION("IF(ISBLANK(A482),"""",GOOGLETRANSLATE(A482,""en"",""fr""))"),"")</f>
        <v/>
      </c>
    </row>
    <row r="483" spans="2:2">
      <c r="B483" s="3" t="str">
        <f ca="1">IFERROR(__xludf.DUMMYFUNCTION("IF(ISBLANK(A483),"""",GOOGLETRANSLATE(A483,""en"",""fr""))"),"")</f>
        <v/>
      </c>
    </row>
    <row r="484" spans="2:2">
      <c r="B484" s="3" t="str">
        <f ca="1">IFERROR(__xludf.DUMMYFUNCTION("IF(ISBLANK(A484),"""",GOOGLETRANSLATE(A484,""en"",""fr""))"),"")</f>
        <v/>
      </c>
    </row>
    <row r="485" spans="2:2">
      <c r="B485" s="3" t="str">
        <f ca="1">IFERROR(__xludf.DUMMYFUNCTION("IF(ISBLANK(A485),"""",GOOGLETRANSLATE(A485,""en"",""fr""))"),"")</f>
        <v/>
      </c>
    </row>
    <row r="486" spans="2:2">
      <c r="B486" s="3" t="str">
        <f ca="1">IFERROR(__xludf.DUMMYFUNCTION("IF(ISBLANK(A486),"""",GOOGLETRANSLATE(A486,""en"",""fr""))"),"")</f>
        <v/>
      </c>
    </row>
    <row r="487" spans="2:2">
      <c r="B487" s="3" t="str">
        <f ca="1">IFERROR(__xludf.DUMMYFUNCTION("IF(ISBLANK(A487),"""",GOOGLETRANSLATE(A487,""en"",""fr""))"),"")</f>
        <v/>
      </c>
    </row>
    <row r="488" spans="2:2">
      <c r="B488" s="3" t="str">
        <f ca="1">IFERROR(__xludf.DUMMYFUNCTION("IF(ISBLANK(A488),"""",GOOGLETRANSLATE(A488,""en"",""fr""))"),"")</f>
        <v/>
      </c>
    </row>
    <row r="489" spans="2:2">
      <c r="B489" s="3" t="str">
        <f ca="1">IFERROR(__xludf.DUMMYFUNCTION("IF(ISBLANK(A489),"""",GOOGLETRANSLATE(A489,""en"",""fr""))"),"")</f>
        <v/>
      </c>
    </row>
    <row r="490" spans="2:2">
      <c r="B490" s="3" t="str">
        <f ca="1">IFERROR(__xludf.DUMMYFUNCTION("IF(ISBLANK(A490),"""",GOOGLETRANSLATE(A490,""en"",""fr""))"),"")</f>
        <v/>
      </c>
    </row>
    <row r="491" spans="2:2">
      <c r="B491" s="3" t="str">
        <f ca="1">IFERROR(__xludf.DUMMYFUNCTION("IF(ISBLANK(A491),"""",GOOGLETRANSLATE(A491,""en"",""fr""))"),"")</f>
        <v/>
      </c>
    </row>
    <row r="492" spans="2:2">
      <c r="B492" s="3" t="str">
        <f ca="1">IFERROR(__xludf.DUMMYFUNCTION("IF(ISBLANK(A492),"""",GOOGLETRANSLATE(A492,""en"",""fr""))"),"")</f>
        <v/>
      </c>
    </row>
    <row r="493" spans="2:2">
      <c r="B493" s="3" t="str">
        <f ca="1">IFERROR(__xludf.DUMMYFUNCTION("IF(ISBLANK(A493),"""",GOOGLETRANSLATE(A493,""en"",""fr""))"),"")</f>
        <v/>
      </c>
    </row>
    <row r="494" spans="2:2">
      <c r="B494" s="3" t="str">
        <f ca="1">IFERROR(__xludf.DUMMYFUNCTION("IF(ISBLANK(A494),"""",GOOGLETRANSLATE(A494,""en"",""fr""))"),"")</f>
        <v/>
      </c>
    </row>
    <row r="495" spans="2:2">
      <c r="B495" s="3" t="str">
        <f ca="1">IFERROR(__xludf.DUMMYFUNCTION("IF(ISBLANK(A495),"""",GOOGLETRANSLATE(A495,""en"",""fr""))"),"")</f>
        <v/>
      </c>
    </row>
    <row r="496" spans="2:2">
      <c r="B496" s="3" t="str">
        <f ca="1">IFERROR(__xludf.DUMMYFUNCTION("IF(ISBLANK(A496),"""",GOOGLETRANSLATE(A496,""en"",""fr""))"),"")</f>
        <v/>
      </c>
    </row>
    <row r="497" spans="2:2">
      <c r="B497" s="3" t="str">
        <f ca="1">IFERROR(__xludf.DUMMYFUNCTION("IF(ISBLANK(A497),"""",GOOGLETRANSLATE(A497,""en"",""fr""))"),"")</f>
        <v/>
      </c>
    </row>
    <row r="498" spans="2:2">
      <c r="B498" s="3" t="str">
        <f ca="1">IFERROR(__xludf.DUMMYFUNCTION("IF(ISBLANK(A498),"""",GOOGLETRANSLATE(A498,""en"",""fr""))"),"")</f>
        <v/>
      </c>
    </row>
    <row r="499" spans="2:2">
      <c r="B499" s="3" t="str">
        <f ca="1">IFERROR(__xludf.DUMMYFUNCTION("IF(ISBLANK(A499),"""",GOOGLETRANSLATE(A499,""en"",""fr""))"),"")</f>
        <v/>
      </c>
    </row>
    <row r="500" spans="2:2">
      <c r="B500" s="3" t="str">
        <f ca="1">IFERROR(__xludf.DUMMYFUNCTION("IF(ISBLANK(A500),"""",GOOGLETRANSLATE(A500,""en"",""fr""))"),"")</f>
        <v/>
      </c>
    </row>
    <row r="501" spans="2:2">
      <c r="B501" s="3" t="str">
        <f ca="1">IFERROR(__xludf.DUMMYFUNCTION("IF(ISBLANK(A501),"""",GOOGLETRANSLATE(A501,""en"",""fr""))"),"")</f>
        <v/>
      </c>
    </row>
    <row r="502" spans="2:2">
      <c r="B502" s="3" t="str">
        <f ca="1">IFERROR(__xludf.DUMMYFUNCTION("IF(ISBLANK(A502),"""",GOOGLETRANSLATE(A502,""en"",""fr""))"),"")</f>
        <v/>
      </c>
    </row>
    <row r="503" spans="2:2">
      <c r="B503" s="3" t="str">
        <f ca="1">IFERROR(__xludf.DUMMYFUNCTION("IF(ISBLANK(A503),"""",GOOGLETRANSLATE(A503,""en"",""fr""))"),"")</f>
        <v/>
      </c>
    </row>
    <row r="504" spans="2:2">
      <c r="B504" s="3" t="str">
        <f ca="1">IFERROR(__xludf.DUMMYFUNCTION("IF(ISBLANK(A504),"""",GOOGLETRANSLATE(A504,""en"",""fr""))"),"")</f>
        <v/>
      </c>
    </row>
    <row r="505" spans="2:2">
      <c r="B505" s="3" t="str">
        <f ca="1">IFERROR(__xludf.DUMMYFUNCTION("IF(ISBLANK(A505),"""",GOOGLETRANSLATE(A505,""en"",""fr""))"),"")</f>
        <v/>
      </c>
    </row>
    <row r="506" spans="2:2">
      <c r="B506" s="3" t="str">
        <f ca="1">IFERROR(__xludf.DUMMYFUNCTION("IF(ISBLANK(A506),"""",GOOGLETRANSLATE(A506,""en"",""fr""))"),"")</f>
        <v/>
      </c>
    </row>
    <row r="507" spans="2:2">
      <c r="B507" s="3" t="str">
        <f ca="1">IFERROR(__xludf.DUMMYFUNCTION("IF(ISBLANK(A507),"""",GOOGLETRANSLATE(A507,""en"",""fr""))"),"")</f>
        <v/>
      </c>
    </row>
    <row r="508" spans="2:2">
      <c r="B508" s="3" t="str">
        <f ca="1">IFERROR(__xludf.DUMMYFUNCTION("IF(ISBLANK(A508),"""",GOOGLETRANSLATE(A508,""en"",""fr""))"),"")</f>
        <v/>
      </c>
    </row>
    <row r="509" spans="2:2">
      <c r="B509" s="3" t="str">
        <f ca="1">IFERROR(__xludf.DUMMYFUNCTION("IF(ISBLANK(A509),"""",GOOGLETRANSLATE(A509,""en"",""fr""))"),"")</f>
        <v/>
      </c>
    </row>
    <row r="510" spans="2:2">
      <c r="B510" s="3" t="str">
        <f ca="1">IFERROR(__xludf.DUMMYFUNCTION("IF(ISBLANK(A510),"""",GOOGLETRANSLATE(A510,""en"",""fr""))"),"")</f>
        <v/>
      </c>
    </row>
    <row r="511" spans="2:2">
      <c r="B511" s="3" t="str">
        <f ca="1">IFERROR(__xludf.DUMMYFUNCTION("IF(ISBLANK(A511),"""",GOOGLETRANSLATE(A511,""en"",""fr""))"),"")</f>
        <v/>
      </c>
    </row>
    <row r="512" spans="2:2">
      <c r="B512" s="3" t="str">
        <f ca="1">IFERROR(__xludf.DUMMYFUNCTION("IF(ISBLANK(A512),"""",GOOGLETRANSLATE(A512,""en"",""fr""))"),"")</f>
        <v/>
      </c>
    </row>
    <row r="513" spans="2:2">
      <c r="B513" s="3" t="str">
        <f ca="1">IFERROR(__xludf.DUMMYFUNCTION("IF(ISBLANK(A513),"""",GOOGLETRANSLATE(A513,""en"",""fr""))"),"")</f>
        <v/>
      </c>
    </row>
    <row r="514" spans="2:2">
      <c r="B514" s="3" t="str">
        <f ca="1">IFERROR(__xludf.DUMMYFUNCTION("IF(ISBLANK(A514),"""",GOOGLETRANSLATE(A514,""en"",""fr""))"),"")</f>
        <v/>
      </c>
    </row>
    <row r="515" spans="2:2">
      <c r="B515" s="3" t="str">
        <f ca="1">IFERROR(__xludf.DUMMYFUNCTION("IF(ISBLANK(A515),"""",GOOGLETRANSLATE(A515,""en"",""fr""))"),"")</f>
        <v/>
      </c>
    </row>
    <row r="516" spans="2:2">
      <c r="B516" s="3" t="str">
        <f ca="1">IFERROR(__xludf.DUMMYFUNCTION("IF(ISBLANK(A516),"""",GOOGLETRANSLATE(A516,""en"",""fr""))"),"")</f>
        <v/>
      </c>
    </row>
    <row r="517" spans="2:2">
      <c r="B517" s="3" t="str">
        <f ca="1">IFERROR(__xludf.DUMMYFUNCTION("IF(ISBLANK(A517),"""",GOOGLETRANSLATE(A517,""en"",""fr""))"),"")</f>
        <v/>
      </c>
    </row>
    <row r="518" spans="2:2">
      <c r="B518" s="3" t="str">
        <f ca="1">IFERROR(__xludf.DUMMYFUNCTION("IF(ISBLANK(A518),"""",GOOGLETRANSLATE(A518,""en"",""fr""))"),"")</f>
        <v/>
      </c>
    </row>
    <row r="519" spans="2:2">
      <c r="B519" s="3" t="str">
        <f ca="1">IFERROR(__xludf.DUMMYFUNCTION("IF(ISBLANK(A519),"""",GOOGLETRANSLATE(A519,""en"",""fr""))"),"")</f>
        <v/>
      </c>
    </row>
    <row r="520" spans="2:2">
      <c r="B520" s="3" t="str">
        <f ca="1">IFERROR(__xludf.DUMMYFUNCTION("IF(ISBLANK(A520),"""",GOOGLETRANSLATE(A520,""en"",""fr""))"),"")</f>
        <v/>
      </c>
    </row>
    <row r="521" spans="2:2">
      <c r="B521" s="3" t="str">
        <f ca="1">IFERROR(__xludf.DUMMYFUNCTION("IF(ISBLANK(A521),"""",GOOGLETRANSLATE(A521,""en"",""fr""))"),"")</f>
        <v/>
      </c>
    </row>
    <row r="522" spans="2:2">
      <c r="B522" s="3" t="str">
        <f ca="1">IFERROR(__xludf.DUMMYFUNCTION("IF(ISBLANK(A522),"""",GOOGLETRANSLATE(A522,""en"",""fr""))"),"")</f>
        <v/>
      </c>
    </row>
    <row r="523" spans="2:2">
      <c r="B523" s="3" t="str">
        <f ca="1">IFERROR(__xludf.DUMMYFUNCTION("IF(ISBLANK(A523),"""",GOOGLETRANSLATE(A523,""en"",""fr""))"),"")</f>
        <v/>
      </c>
    </row>
    <row r="524" spans="2:2">
      <c r="B524" s="3" t="str">
        <f ca="1">IFERROR(__xludf.DUMMYFUNCTION("IF(ISBLANK(A524),"""",GOOGLETRANSLATE(A524,""en"",""fr""))"),"")</f>
        <v/>
      </c>
    </row>
    <row r="525" spans="2:2">
      <c r="B525" s="3" t="str">
        <f ca="1">IFERROR(__xludf.DUMMYFUNCTION("IF(ISBLANK(A525),"""",GOOGLETRANSLATE(A525,""en"",""fr""))"),"")</f>
        <v/>
      </c>
    </row>
    <row r="526" spans="2:2">
      <c r="B526" s="3" t="str">
        <f ca="1">IFERROR(__xludf.DUMMYFUNCTION("IF(ISBLANK(A526),"""",GOOGLETRANSLATE(A526,""en"",""fr""))"),"")</f>
        <v/>
      </c>
    </row>
    <row r="527" spans="2:2">
      <c r="B527" s="3" t="str">
        <f ca="1">IFERROR(__xludf.DUMMYFUNCTION("IF(ISBLANK(A527),"""",GOOGLETRANSLATE(A527,""en"",""fr""))"),"")</f>
        <v/>
      </c>
    </row>
    <row r="528" spans="2:2">
      <c r="B528" s="3" t="str">
        <f ca="1">IFERROR(__xludf.DUMMYFUNCTION("IF(ISBLANK(A528),"""",GOOGLETRANSLATE(A528,""en"",""fr""))"),"")</f>
        <v/>
      </c>
    </row>
    <row r="529" spans="2:2">
      <c r="B529" s="3" t="str">
        <f ca="1">IFERROR(__xludf.DUMMYFUNCTION("IF(ISBLANK(A529),"""",GOOGLETRANSLATE(A529,""en"",""fr""))"),"")</f>
        <v/>
      </c>
    </row>
    <row r="530" spans="2:2">
      <c r="B530" s="3" t="str">
        <f ca="1">IFERROR(__xludf.DUMMYFUNCTION("IF(ISBLANK(A530),"""",GOOGLETRANSLATE(A530,""en"",""fr""))"),"")</f>
        <v/>
      </c>
    </row>
    <row r="531" spans="2:2">
      <c r="B531" s="3" t="str">
        <f ca="1">IFERROR(__xludf.DUMMYFUNCTION("IF(ISBLANK(A531),"""",GOOGLETRANSLATE(A531,""en"",""fr""))"),"")</f>
        <v/>
      </c>
    </row>
    <row r="532" spans="2:2">
      <c r="B532" s="3" t="str">
        <f ca="1">IFERROR(__xludf.DUMMYFUNCTION("IF(ISBLANK(A532),"""",GOOGLETRANSLATE(A532,""en"",""fr""))"),"")</f>
        <v/>
      </c>
    </row>
    <row r="533" spans="2:2">
      <c r="B533" s="3" t="str">
        <f ca="1">IFERROR(__xludf.DUMMYFUNCTION("IF(ISBLANK(A533),"""",GOOGLETRANSLATE(A533,""en"",""fr""))"),"")</f>
        <v/>
      </c>
    </row>
    <row r="534" spans="2:2">
      <c r="B534" s="3" t="str">
        <f ca="1">IFERROR(__xludf.DUMMYFUNCTION("IF(ISBLANK(A534),"""",GOOGLETRANSLATE(A534,""en"",""fr""))"),"")</f>
        <v/>
      </c>
    </row>
    <row r="535" spans="2:2">
      <c r="B535" s="3" t="str">
        <f ca="1">IFERROR(__xludf.DUMMYFUNCTION("IF(ISBLANK(A535),"""",GOOGLETRANSLATE(A535,""en"",""fr""))"),"")</f>
        <v/>
      </c>
    </row>
    <row r="536" spans="2:2">
      <c r="B536" s="3" t="str">
        <f ca="1">IFERROR(__xludf.DUMMYFUNCTION("IF(ISBLANK(A536),"""",GOOGLETRANSLATE(A536,""en"",""fr""))"),"")</f>
        <v/>
      </c>
    </row>
    <row r="537" spans="2:2">
      <c r="B537" s="3" t="str">
        <f ca="1">IFERROR(__xludf.DUMMYFUNCTION("IF(ISBLANK(A537),"""",GOOGLETRANSLATE(A537,""en"",""fr""))"),"")</f>
        <v/>
      </c>
    </row>
    <row r="538" spans="2:2">
      <c r="B538" s="3" t="str">
        <f ca="1">IFERROR(__xludf.DUMMYFUNCTION("IF(ISBLANK(A538),"""",GOOGLETRANSLATE(A538,""en"",""fr""))"),"")</f>
        <v/>
      </c>
    </row>
    <row r="539" spans="2:2">
      <c r="B539" s="3" t="str">
        <f ca="1">IFERROR(__xludf.DUMMYFUNCTION("IF(ISBLANK(A539),"""",GOOGLETRANSLATE(A539,""en"",""fr""))"),"")</f>
        <v/>
      </c>
    </row>
    <row r="540" spans="2:2">
      <c r="B540" s="3" t="str">
        <f ca="1">IFERROR(__xludf.DUMMYFUNCTION("IF(ISBLANK(A540),"""",GOOGLETRANSLATE(A540,""en"",""fr""))"),"")</f>
        <v/>
      </c>
    </row>
    <row r="541" spans="2:2">
      <c r="B541" s="3" t="str">
        <f ca="1">IFERROR(__xludf.DUMMYFUNCTION("IF(ISBLANK(A541),"""",GOOGLETRANSLATE(A541,""en"",""fr""))"),"")</f>
        <v/>
      </c>
    </row>
    <row r="542" spans="2:2">
      <c r="B542" s="3" t="str">
        <f ca="1">IFERROR(__xludf.DUMMYFUNCTION("IF(ISBLANK(A542),"""",GOOGLETRANSLATE(A542,""en"",""fr""))"),"")</f>
        <v/>
      </c>
    </row>
    <row r="543" spans="2:2">
      <c r="B543" s="3" t="str">
        <f ca="1">IFERROR(__xludf.DUMMYFUNCTION("IF(ISBLANK(A543),"""",GOOGLETRANSLATE(A543,""en"",""fr""))"),"")</f>
        <v/>
      </c>
    </row>
    <row r="544" spans="2:2">
      <c r="B544" s="3" t="str">
        <f ca="1">IFERROR(__xludf.DUMMYFUNCTION("IF(ISBLANK(A544),"""",GOOGLETRANSLATE(A544,""en"",""fr""))"),"")</f>
        <v/>
      </c>
    </row>
    <row r="545" spans="2:2">
      <c r="B545" s="3" t="str">
        <f ca="1">IFERROR(__xludf.DUMMYFUNCTION("IF(ISBLANK(A545),"""",GOOGLETRANSLATE(A545,""en"",""fr""))"),"")</f>
        <v/>
      </c>
    </row>
    <row r="546" spans="2:2">
      <c r="B546" s="3" t="str">
        <f ca="1">IFERROR(__xludf.DUMMYFUNCTION("IF(ISBLANK(A546),"""",GOOGLETRANSLATE(A546,""en"",""fr""))"),"")</f>
        <v/>
      </c>
    </row>
    <row r="547" spans="2:2">
      <c r="B547" s="3" t="str">
        <f ca="1">IFERROR(__xludf.DUMMYFUNCTION("IF(ISBLANK(A547),"""",GOOGLETRANSLATE(A547,""en"",""fr""))"),"")</f>
        <v/>
      </c>
    </row>
    <row r="548" spans="2:2">
      <c r="B548" s="3" t="str">
        <f ca="1">IFERROR(__xludf.DUMMYFUNCTION("IF(ISBLANK(A548),"""",GOOGLETRANSLATE(A548,""en"",""fr""))"),"")</f>
        <v/>
      </c>
    </row>
    <row r="549" spans="2:2">
      <c r="B549" s="3" t="str">
        <f ca="1">IFERROR(__xludf.DUMMYFUNCTION("IF(ISBLANK(A549),"""",GOOGLETRANSLATE(A549,""en"",""fr""))"),"")</f>
        <v/>
      </c>
    </row>
    <row r="550" spans="2:2">
      <c r="B550" s="3" t="str">
        <f ca="1">IFERROR(__xludf.DUMMYFUNCTION("IF(ISBLANK(A550),"""",GOOGLETRANSLATE(A550,""en"",""fr""))"),"")</f>
        <v/>
      </c>
    </row>
    <row r="551" spans="2:2">
      <c r="B551" s="3" t="str">
        <f ca="1">IFERROR(__xludf.DUMMYFUNCTION("IF(ISBLANK(A551),"""",GOOGLETRANSLATE(A551,""en"",""fr""))"),"")</f>
        <v/>
      </c>
    </row>
    <row r="552" spans="2:2">
      <c r="B552" s="3" t="str">
        <f ca="1">IFERROR(__xludf.DUMMYFUNCTION("IF(ISBLANK(A552),"""",GOOGLETRANSLATE(A552,""en"",""fr""))"),"")</f>
        <v/>
      </c>
    </row>
    <row r="553" spans="2:2">
      <c r="B553" s="3" t="str">
        <f ca="1">IFERROR(__xludf.DUMMYFUNCTION("IF(ISBLANK(A553),"""",GOOGLETRANSLATE(A553,""en"",""fr""))"),"")</f>
        <v/>
      </c>
    </row>
    <row r="554" spans="2:2">
      <c r="B554" s="3" t="str">
        <f ca="1">IFERROR(__xludf.DUMMYFUNCTION("IF(ISBLANK(A554),"""",GOOGLETRANSLATE(A554,""en"",""fr""))"),"")</f>
        <v/>
      </c>
    </row>
    <row r="555" spans="2:2">
      <c r="B555" s="3" t="str">
        <f ca="1">IFERROR(__xludf.DUMMYFUNCTION("IF(ISBLANK(A555),"""",GOOGLETRANSLATE(A555,""en"",""fr""))"),"")</f>
        <v/>
      </c>
    </row>
    <row r="556" spans="2:2">
      <c r="B556" s="3" t="str">
        <f ca="1">IFERROR(__xludf.DUMMYFUNCTION("IF(ISBLANK(A556),"""",GOOGLETRANSLATE(A556,""en"",""fr""))"),"")</f>
        <v/>
      </c>
    </row>
    <row r="557" spans="2:2">
      <c r="B557" s="3" t="str">
        <f ca="1">IFERROR(__xludf.DUMMYFUNCTION("IF(ISBLANK(A557),"""",GOOGLETRANSLATE(A557,""en"",""fr""))"),"")</f>
        <v/>
      </c>
    </row>
    <row r="558" spans="2:2">
      <c r="B558" s="3" t="str">
        <f ca="1">IFERROR(__xludf.DUMMYFUNCTION("IF(ISBLANK(A558),"""",GOOGLETRANSLATE(A558,""en"",""fr""))"),"")</f>
        <v/>
      </c>
    </row>
    <row r="559" spans="2:2">
      <c r="B559" s="3" t="str">
        <f ca="1">IFERROR(__xludf.DUMMYFUNCTION("IF(ISBLANK(A559),"""",GOOGLETRANSLATE(A559,""en"",""fr""))"),"")</f>
        <v/>
      </c>
    </row>
    <row r="560" spans="2:2">
      <c r="B560" s="3" t="str">
        <f ca="1">IFERROR(__xludf.DUMMYFUNCTION("IF(ISBLANK(A560),"""",GOOGLETRANSLATE(A560,""en"",""fr""))"),"")</f>
        <v/>
      </c>
    </row>
    <row r="561" spans="2:2">
      <c r="B561" s="3" t="str">
        <f ca="1">IFERROR(__xludf.DUMMYFUNCTION("IF(ISBLANK(A561),"""",GOOGLETRANSLATE(A561,""en"",""fr""))"),"")</f>
        <v/>
      </c>
    </row>
    <row r="562" spans="2:2">
      <c r="B562" s="3" t="str">
        <f ca="1">IFERROR(__xludf.DUMMYFUNCTION("IF(ISBLANK(A562),"""",GOOGLETRANSLATE(A562,""en"",""fr""))"),"")</f>
        <v/>
      </c>
    </row>
    <row r="563" spans="2:2">
      <c r="B563" s="3" t="str">
        <f ca="1">IFERROR(__xludf.DUMMYFUNCTION("IF(ISBLANK(A563),"""",GOOGLETRANSLATE(A563,""en"",""fr""))"),"")</f>
        <v/>
      </c>
    </row>
    <row r="564" spans="2:2">
      <c r="B564" s="3" t="str">
        <f ca="1">IFERROR(__xludf.DUMMYFUNCTION("IF(ISBLANK(A564),"""",GOOGLETRANSLATE(A564,""en"",""fr""))"),"")</f>
        <v/>
      </c>
    </row>
    <row r="565" spans="2:2">
      <c r="B565" s="3" t="str">
        <f ca="1">IFERROR(__xludf.DUMMYFUNCTION("IF(ISBLANK(A565),"""",GOOGLETRANSLATE(A565,""en"",""fr""))"),"")</f>
        <v/>
      </c>
    </row>
    <row r="566" spans="2:2">
      <c r="B566" s="3" t="str">
        <f ca="1">IFERROR(__xludf.DUMMYFUNCTION("IF(ISBLANK(A566),"""",GOOGLETRANSLATE(A566,""en"",""fr""))"),"")</f>
        <v/>
      </c>
    </row>
    <row r="567" spans="2:2">
      <c r="B567" s="3" t="str">
        <f ca="1">IFERROR(__xludf.DUMMYFUNCTION("IF(ISBLANK(A567),"""",GOOGLETRANSLATE(A567,""en"",""fr""))"),"")</f>
        <v/>
      </c>
    </row>
    <row r="568" spans="2:2">
      <c r="B568" s="3" t="str">
        <f ca="1">IFERROR(__xludf.DUMMYFUNCTION("IF(ISBLANK(A568),"""",GOOGLETRANSLATE(A568,""en"",""fr""))"),"")</f>
        <v/>
      </c>
    </row>
    <row r="569" spans="2:2">
      <c r="B569" s="3" t="str">
        <f ca="1">IFERROR(__xludf.DUMMYFUNCTION("IF(ISBLANK(A569),"""",GOOGLETRANSLATE(A569,""en"",""fr""))"),"")</f>
        <v/>
      </c>
    </row>
    <row r="570" spans="2:2">
      <c r="B570" s="3" t="str">
        <f ca="1">IFERROR(__xludf.DUMMYFUNCTION("IF(ISBLANK(A570),"""",GOOGLETRANSLATE(A570,""en"",""fr""))"),"")</f>
        <v/>
      </c>
    </row>
    <row r="571" spans="2:2">
      <c r="B571" s="3" t="str">
        <f ca="1">IFERROR(__xludf.DUMMYFUNCTION("IF(ISBLANK(A571),"""",GOOGLETRANSLATE(A571,""en"",""fr""))"),"")</f>
        <v/>
      </c>
    </row>
    <row r="572" spans="2:2">
      <c r="B572" s="3" t="str">
        <f ca="1">IFERROR(__xludf.DUMMYFUNCTION("IF(ISBLANK(A572),"""",GOOGLETRANSLATE(A572,""en"",""fr""))"),"")</f>
        <v/>
      </c>
    </row>
    <row r="573" spans="2:2">
      <c r="B573" s="3" t="str">
        <f ca="1">IFERROR(__xludf.DUMMYFUNCTION("IF(ISBLANK(A573),"""",GOOGLETRANSLATE(A573,""en"",""fr""))"),"")</f>
        <v/>
      </c>
    </row>
    <row r="574" spans="2:2">
      <c r="B574" s="3" t="str">
        <f ca="1">IFERROR(__xludf.DUMMYFUNCTION("IF(ISBLANK(A574),"""",GOOGLETRANSLATE(A574,""en"",""fr""))"),"")</f>
        <v/>
      </c>
    </row>
    <row r="575" spans="2:2">
      <c r="B575" s="3" t="str">
        <f ca="1">IFERROR(__xludf.DUMMYFUNCTION("IF(ISBLANK(A575),"""",GOOGLETRANSLATE(A575,""en"",""fr""))"),"")</f>
        <v/>
      </c>
    </row>
    <row r="576" spans="2:2">
      <c r="B576" s="3" t="str">
        <f ca="1">IFERROR(__xludf.DUMMYFUNCTION("IF(ISBLANK(A576),"""",GOOGLETRANSLATE(A576,""en"",""fr""))"),"")</f>
        <v/>
      </c>
    </row>
    <row r="577" spans="2:2">
      <c r="B577" s="3" t="str">
        <f ca="1">IFERROR(__xludf.DUMMYFUNCTION("IF(ISBLANK(A577),"""",GOOGLETRANSLATE(A577,""en"",""fr""))"),"")</f>
        <v/>
      </c>
    </row>
    <row r="578" spans="2:2">
      <c r="B578" s="3" t="str">
        <f ca="1">IFERROR(__xludf.DUMMYFUNCTION("IF(ISBLANK(A578),"""",GOOGLETRANSLATE(A578,""en"",""fr""))"),"")</f>
        <v/>
      </c>
    </row>
    <row r="579" spans="2:2">
      <c r="B579" s="3" t="str">
        <f ca="1">IFERROR(__xludf.DUMMYFUNCTION("IF(ISBLANK(A579),"""",GOOGLETRANSLATE(A579,""en"",""fr""))"),"")</f>
        <v/>
      </c>
    </row>
    <row r="580" spans="2:2">
      <c r="B580" s="3" t="str">
        <f ca="1">IFERROR(__xludf.DUMMYFUNCTION("IF(ISBLANK(A580),"""",GOOGLETRANSLATE(A580,""en"",""fr""))"),"")</f>
        <v/>
      </c>
    </row>
    <row r="581" spans="2:2">
      <c r="B581" s="3" t="str">
        <f ca="1">IFERROR(__xludf.DUMMYFUNCTION("IF(ISBLANK(A581),"""",GOOGLETRANSLATE(A581,""en"",""fr""))"),"")</f>
        <v/>
      </c>
    </row>
    <row r="582" spans="2:2">
      <c r="B582" s="3" t="str">
        <f ca="1">IFERROR(__xludf.DUMMYFUNCTION("IF(ISBLANK(A582),"""",GOOGLETRANSLATE(A582,""en"",""fr""))"),"")</f>
        <v/>
      </c>
    </row>
    <row r="583" spans="2:2">
      <c r="B583" s="3" t="str">
        <f ca="1">IFERROR(__xludf.DUMMYFUNCTION("IF(ISBLANK(A583),"""",GOOGLETRANSLATE(A583,""en"",""fr""))"),"")</f>
        <v/>
      </c>
    </row>
    <row r="584" spans="2:2">
      <c r="B584" s="3" t="str">
        <f ca="1">IFERROR(__xludf.DUMMYFUNCTION("IF(ISBLANK(A584),"""",GOOGLETRANSLATE(A584,""en"",""fr""))"),"")</f>
        <v/>
      </c>
    </row>
    <row r="585" spans="2:2">
      <c r="B585" s="3" t="str">
        <f ca="1">IFERROR(__xludf.DUMMYFUNCTION("IF(ISBLANK(A585),"""",GOOGLETRANSLATE(A585,""en"",""fr""))"),"")</f>
        <v/>
      </c>
    </row>
    <row r="586" spans="2:2">
      <c r="B586" s="3" t="str">
        <f ca="1">IFERROR(__xludf.DUMMYFUNCTION("IF(ISBLANK(A586),"""",GOOGLETRANSLATE(A586,""en"",""fr""))"),"")</f>
        <v/>
      </c>
    </row>
    <row r="587" spans="2:2">
      <c r="B587" s="3" t="str">
        <f ca="1">IFERROR(__xludf.DUMMYFUNCTION("IF(ISBLANK(A587),"""",GOOGLETRANSLATE(A587,""en"",""fr""))"),"")</f>
        <v/>
      </c>
    </row>
    <row r="588" spans="2:2">
      <c r="B588" s="3" t="str">
        <f ca="1">IFERROR(__xludf.DUMMYFUNCTION("IF(ISBLANK(A588),"""",GOOGLETRANSLATE(A588,""en"",""fr""))"),"")</f>
        <v/>
      </c>
    </row>
    <row r="589" spans="2:2">
      <c r="B589" s="3" t="str">
        <f ca="1">IFERROR(__xludf.DUMMYFUNCTION("IF(ISBLANK(A589),"""",GOOGLETRANSLATE(A589,""en"",""fr""))"),"")</f>
        <v/>
      </c>
    </row>
    <row r="590" spans="2:2">
      <c r="B590" s="3" t="str">
        <f ca="1">IFERROR(__xludf.DUMMYFUNCTION("IF(ISBLANK(A590),"""",GOOGLETRANSLATE(A590,""en"",""fr""))"),"")</f>
        <v/>
      </c>
    </row>
    <row r="591" spans="2:2">
      <c r="B591" s="3" t="str">
        <f ca="1">IFERROR(__xludf.DUMMYFUNCTION("IF(ISBLANK(A591),"""",GOOGLETRANSLATE(A591,""en"",""fr""))"),"")</f>
        <v/>
      </c>
    </row>
    <row r="592" spans="2:2">
      <c r="B592" s="3" t="str">
        <f ca="1">IFERROR(__xludf.DUMMYFUNCTION("IF(ISBLANK(A592),"""",GOOGLETRANSLATE(A592,""en"",""fr""))"),"")</f>
        <v/>
      </c>
    </row>
    <row r="593" spans="2:2">
      <c r="B593" s="3" t="str">
        <f ca="1">IFERROR(__xludf.DUMMYFUNCTION("IF(ISBLANK(A593),"""",GOOGLETRANSLATE(A593,""en"",""fr""))"),"")</f>
        <v/>
      </c>
    </row>
    <row r="594" spans="2:2">
      <c r="B594" s="3" t="str">
        <f ca="1">IFERROR(__xludf.DUMMYFUNCTION("IF(ISBLANK(A594),"""",GOOGLETRANSLATE(A594,""en"",""fr""))"),"")</f>
        <v/>
      </c>
    </row>
    <row r="595" spans="2:2">
      <c r="B595" s="3" t="str">
        <f ca="1">IFERROR(__xludf.DUMMYFUNCTION("IF(ISBLANK(A595),"""",GOOGLETRANSLATE(A595,""en"",""fr""))"),"")</f>
        <v/>
      </c>
    </row>
    <row r="596" spans="2:2">
      <c r="B596" s="3" t="str">
        <f ca="1">IFERROR(__xludf.DUMMYFUNCTION("IF(ISBLANK(A596),"""",GOOGLETRANSLATE(A596,""en"",""fr""))"),"")</f>
        <v/>
      </c>
    </row>
    <row r="597" spans="2:2">
      <c r="B597" s="3" t="str">
        <f ca="1">IFERROR(__xludf.DUMMYFUNCTION("IF(ISBLANK(A597),"""",GOOGLETRANSLATE(A597,""en"",""fr""))"),"")</f>
        <v/>
      </c>
    </row>
    <row r="598" spans="2:2">
      <c r="B598" s="3" t="str">
        <f ca="1">IFERROR(__xludf.DUMMYFUNCTION("IF(ISBLANK(A598),"""",GOOGLETRANSLATE(A598,""en"",""fr""))"),"")</f>
        <v/>
      </c>
    </row>
    <row r="599" spans="2:2">
      <c r="B599" s="3" t="str">
        <f ca="1">IFERROR(__xludf.DUMMYFUNCTION("IF(ISBLANK(A599),"""",GOOGLETRANSLATE(A599,""en"",""fr""))"),"")</f>
        <v/>
      </c>
    </row>
    <row r="600" spans="2:2">
      <c r="B600" s="3" t="str">
        <f ca="1">IFERROR(__xludf.DUMMYFUNCTION("IF(ISBLANK(A600),"""",GOOGLETRANSLATE(A600,""en"",""fr""))"),"")</f>
        <v/>
      </c>
    </row>
    <row r="601" spans="2:2">
      <c r="B601" s="3" t="str">
        <f ca="1">IFERROR(__xludf.DUMMYFUNCTION("IF(ISBLANK(A601),"""",GOOGLETRANSLATE(A601,""en"",""fr""))"),"")</f>
        <v/>
      </c>
    </row>
    <row r="602" spans="2:2">
      <c r="B602" s="3" t="str">
        <f ca="1">IFERROR(__xludf.DUMMYFUNCTION("IF(ISBLANK(A602),"""",GOOGLETRANSLATE(A602,""en"",""fr""))"),"")</f>
        <v/>
      </c>
    </row>
    <row r="603" spans="2:2">
      <c r="B603" s="3" t="str">
        <f ca="1">IFERROR(__xludf.DUMMYFUNCTION("IF(ISBLANK(A603),"""",GOOGLETRANSLATE(A603,""en"",""fr""))"),"")</f>
        <v/>
      </c>
    </row>
    <row r="604" spans="2:2">
      <c r="B604" s="3" t="str">
        <f ca="1">IFERROR(__xludf.DUMMYFUNCTION("IF(ISBLANK(A604),"""",GOOGLETRANSLATE(A604,""en"",""fr""))"),"")</f>
        <v/>
      </c>
    </row>
    <row r="605" spans="2:2">
      <c r="B605" s="3" t="str">
        <f ca="1">IFERROR(__xludf.DUMMYFUNCTION("IF(ISBLANK(A605),"""",GOOGLETRANSLATE(A605,""en"",""fr""))"),"")</f>
        <v/>
      </c>
    </row>
    <row r="606" spans="2:2">
      <c r="B606" s="3" t="str">
        <f ca="1">IFERROR(__xludf.DUMMYFUNCTION("IF(ISBLANK(A606),"""",GOOGLETRANSLATE(A606,""en"",""fr""))"),"")</f>
        <v/>
      </c>
    </row>
    <row r="607" spans="2:2">
      <c r="B607" s="3" t="str">
        <f ca="1">IFERROR(__xludf.DUMMYFUNCTION("IF(ISBLANK(A607),"""",GOOGLETRANSLATE(A607,""en"",""fr""))"),"")</f>
        <v/>
      </c>
    </row>
    <row r="608" spans="2:2">
      <c r="B608" s="3" t="str">
        <f ca="1">IFERROR(__xludf.DUMMYFUNCTION("IF(ISBLANK(A608),"""",GOOGLETRANSLATE(A608,""en"",""fr""))"),"")</f>
        <v/>
      </c>
    </row>
    <row r="609" spans="2:2">
      <c r="B609" s="3" t="str">
        <f ca="1">IFERROR(__xludf.DUMMYFUNCTION("IF(ISBLANK(A609),"""",GOOGLETRANSLATE(A609,""en"",""fr""))"),"")</f>
        <v/>
      </c>
    </row>
    <row r="610" spans="2:2">
      <c r="B610" s="3" t="str">
        <f ca="1">IFERROR(__xludf.DUMMYFUNCTION("IF(ISBLANK(A610),"""",GOOGLETRANSLATE(A610,""en"",""fr""))"),"")</f>
        <v/>
      </c>
    </row>
    <row r="611" spans="2:2">
      <c r="B611" s="3" t="str">
        <f ca="1">IFERROR(__xludf.DUMMYFUNCTION("IF(ISBLANK(A611),"""",GOOGLETRANSLATE(A611,""en"",""fr""))"),"")</f>
        <v/>
      </c>
    </row>
    <row r="612" spans="2:2">
      <c r="B612" s="3" t="str">
        <f ca="1">IFERROR(__xludf.DUMMYFUNCTION("IF(ISBLANK(A612),"""",GOOGLETRANSLATE(A612,""en"",""fr""))"),"")</f>
        <v/>
      </c>
    </row>
    <row r="613" spans="2:2">
      <c r="B613" s="3" t="str">
        <f ca="1">IFERROR(__xludf.DUMMYFUNCTION("IF(ISBLANK(A613),"""",GOOGLETRANSLATE(A613,""en"",""fr""))"),"")</f>
        <v/>
      </c>
    </row>
    <row r="614" spans="2:2">
      <c r="B614" s="3" t="str">
        <f ca="1">IFERROR(__xludf.DUMMYFUNCTION("IF(ISBLANK(A614),"""",GOOGLETRANSLATE(A614,""en"",""fr""))"),"")</f>
        <v/>
      </c>
    </row>
    <row r="615" spans="2:2">
      <c r="B615" s="3" t="str">
        <f ca="1">IFERROR(__xludf.DUMMYFUNCTION("IF(ISBLANK(A615),"""",GOOGLETRANSLATE(A615,""en"",""fr""))"),"")</f>
        <v/>
      </c>
    </row>
    <row r="616" spans="2:2">
      <c r="B616" s="3" t="str">
        <f ca="1">IFERROR(__xludf.DUMMYFUNCTION("IF(ISBLANK(A616),"""",GOOGLETRANSLATE(A616,""en"",""fr""))"),"")</f>
        <v/>
      </c>
    </row>
    <row r="617" spans="2:2">
      <c r="B617" s="3" t="str">
        <f ca="1">IFERROR(__xludf.DUMMYFUNCTION("IF(ISBLANK(A617),"""",GOOGLETRANSLATE(A617,""en"",""fr""))"),"")</f>
        <v/>
      </c>
    </row>
    <row r="618" spans="2:2">
      <c r="B618" s="3" t="str">
        <f ca="1">IFERROR(__xludf.DUMMYFUNCTION("IF(ISBLANK(A618),"""",GOOGLETRANSLATE(A618,""en"",""fr""))"),"")</f>
        <v/>
      </c>
    </row>
    <row r="619" spans="2:2">
      <c r="B619" s="3" t="str">
        <f ca="1">IFERROR(__xludf.DUMMYFUNCTION("IF(ISBLANK(A619),"""",GOOGLETRANSLATE(A619,""en"",""fr""))"),"")</f>
        <v/>
      </c>
    </row>
    <row r="620" spans="2:2">
      <c r="B620" s="3" t="str">
        <f ca="1">IFERROR(__xludf.DUMMYFUNCTION("IF(ISBLANK(A620),"""",GOOGLETRANSLATE(A620,""en"",""fr""))"),"")</f>
        <v/>
      </c>
    </row>
    <row r="621" spans="2:2">
      <c r="B621" s="3" t="str">
        <f ca="1">IFERROR(__xludf.DUMMYFUNCTION("IF(ISBLANK(A621),"""",GOOGLETRANSLATE(A621,""en"",""fr""))"),"")</f>
        <v/>
      </c>
    </row>
    <row r="622" spans="2:2">
      <c r="B622" s="3" t="str">
        <f ca="1">IFERROR(__xludf.DUMMYFUNCTION("IF(ISBLANK(A622),"""",GOOGLETRANSLATE(A622,""en"",""fr""))"),"")</f>
        <v/>
      </c>
    </row>
    <row r="623" spans="2:2">
      <c r="B623" s="3" t="str">
        <f ca="1">IFERROR(__xludf.DUMMYFUNCTION("IF(ISBLANK(A623),"""",GOOGLETRANSLATE(A623,""en"",""fr""))"),"")</f>
        <v/>
      </c>
    </row>
    <row r="624" spans="2:2">
      <c r="B624" s="3" t="str">
        <f ca="1">IFERROR(__xludf.DUMMYFUNCTION("IF(ISBLANK(A624),"""",GOOGLETRANSLATE(A624,""en"",""fr""))"),"")</f>
        <v/>
      </c>
    </row>
    <row r="625" spans="2:2">
      <c r="B625" s="3" t="str">
        <f ca="1">IFERROR(__xludf.DUMMYFUNCTION("IF(ISBLANK(A625),"""",GOOGLETRANSLATE(A625,""en"",""fr""))"),"")</f>
        <v/>
      </c>
    </row>
    <row r="626" spans="2:2">
      <c r="B626" s="3" t="str">
        <f ca="1">IFERROR(__xludf.DUMMYFUNCTION("IF(ISBLANK(A626),"""",GOOGLETRANSLATE(A626,""en"",""fr""))"),"")</f>
        <v/>
      </c>
    </row>
    <row r="627" spans="2:2">
      <c r="B627" s="3" t="str">
        <f ca="1">IFERROR(__xludf.DUMMYFUNCTION("IF(ISBLANK(A627),"""",GOOGLETRANSLATE(A627,""en"",""fr""))"),"")</f>
        <v/>
      </c>
    </row>
    <row r="628" spans="2:2">
      <c r="B628" s="3" t="str">
        <f ca="1">IFERROR(__xludf.DUMMYFUNCTION("IF(ISBLANK(A628),"""",GOOGLETRANSLATE(A628,""en"",""fr""))"),"")</f>
        <v/>
      </c>
    </row>
    <row r="629" spans="2:2">
      <c r="B629" s="3" t="str">
        <f ca="1">IFERROR(__xludf.DUMMYFUNCTION("IF(ISBLANK(A629),"""",GOOGLETRANSLATE(A629,""en"",""fr""))"),"")</f>
        <v/>
      </c>
    </row>
    <row r="630" spans="2:2">
      <c r="B630" s="3" t="str">
        <f ca="1">IFERROR(__xludf.DUMMYFUNCTION("IF(ISBLANK(A630),"""",GOOGLETRANSLATE(A630,""en"",""fr""))"),"")</f>
        <v/>
      </c>
    </row>
    <row r="631" spans="2:2">
      <c r="B631" s="3" t="str">
        <f ca="1">IFERROR(__xludf.DUMMYFUNCTION("IF(ISBLANK(A631),"""",GOOGLETRANSLATE(A631,""en"",""fr""))"),"")</f>
        <v/>
      </c>
    </row>
    <row r="632" spans="2:2">
      <c r="B632" s="3" t="str">
        <f ca="1">IFERROR(__xludf.DUMMYFUNCTION("IF(ISBLANK(A632),"""",GOOGLETRANSLATE(A632,""en"",""fr""))"),"")</f>
        <v/>
      </c>
    </row>
    <row r="633" spans="2:2">
      <c r="B633" s="3" t="str">
        <f ca="1">IFERROR(__xludf.DUMMYFUNCTION("IF(ISBLANK(A633),"""",GOOGLETRANSLATE(A633,""en"",""fr""))"),"")</f>
        <v/>
      </c>
    </row>
    <row r="634" spans="2:2">
      <c r="B634" s="3" t="str">
        <f ca="1">IFERROR(__xludf.DUMMYFUNCTION("IF(ISBLANK(A634),"""",GOOGLETRANSLATE(A634,""en"",""fr""))"),"")</f>
        <v/>
      </c>
    </row>
    <row r="635" spans="2:2">
      <c r="B635" s="3" t="str">
        <f ca="1">IFERROR(__xludf.DUMMYFUNCTION("IF(ISBLANK(A635),"""",GOOGLETRANSLATE(A635,""en"",""fr""))"),"")</f>
        <v/>
      </c>
    </row>
    <row r="636" spans="2:2">
      <c r="B636" s="3" t="str">
        <f ca="1">IFERROR(__xludf.DUMMYFUNCTION("IF(ISBLANK(A636),"""",GOOGLETRANSLATE(A636,""en"",""fr""))"),"")</f>
        <v/>
      </c>
    </row>
    <row r="637" spans="2:2">
      <c r="B637" s="3" t="str">
        <f ca="1">IFERROR(__xludf.DUMMYFUNCTION("IF(ISBLANK(A637),"""",GOOGLETRANSLATE(A637,""en"",""fr""))"),"")</f>
        <v/>
      </c>
    </row>
    <row r="638" spans="2:2">
      <c r="B638" s="3" t="str">
        <f ca="1">IFERROR(__xludf.DUMMYFUNCTION("IF(ISBLANK(A638),"""",GOOGLETRANSLATE(A638,""en"",""fr""))"),"")</f>
        <v/>
      </c>
    </row>
    <row r="639" spans="2:2">
      <c r="B639" s="3" t="str">
        <f ca="1">IFERROR(__xludf.DUMMYFUNCTION("IF(ISBLANK(A639),"""",GOOGLETRANSLATE(A639,""en"",""fr""))"),"")</f>
        <v/>
      </c>
    </row>
    <row r="640" spans="2:2">
      <c r="B640" s="3" t="str">
        <f ca="1">IFERROR(__xludf.DUMMYFUNCTION("IF(ISBLANK(A640),"""",GOOGLETRANSLATE(A640,""en"",""fr""))"),"")</f>
        <v/>
      </c>
    </row>
    <row r="641" spans="2:2">
      <c r="B641" s="3" t="str">
        <f ca="1">IFERROR(__xludf.DUMMYFUNCTION("IF(ISBLANK(A641),"""",GOOGLETRANSLATE(A641,""en"",""fr""))"),"")</f>
        <v/>
      </c>
    </row>
    <row r="642" spans="2:2">
      <c r="B642" s="3" t="str">
        <f ca="1">IFERROR(__xludf.DUMMYFUNCTION("IF(ISBLANK(A642),"""",GOOGLETRANSLATE(A642,""en"",""fr""))"),"")</f>
        <v/>
      </c>
    </row>
    <row r="643" spans="2:2">
      <c r="B643" s="3" t="str">
        <f ca="1">IFERROR(__xludf.DUMMYFUNCTION("IF(ISBLANK(A643),"""",GOOGLETRANSLATE(A643,""en"",""fr""))"),"")</f>
        <v/>
      </c>
    </row>
    <row r="644" spans="2:2">
      <c r="B644" s="3" t="str">
        <f ca="1">IFERROR(__xludf.DUMMYFUNCTION("IF(ISBLANK(A644),"""",GOOGLETRANSLATE(A644,""en"",""fr""))"),"")</f>
        <v/>
      </c>
    </row>
    <row r="645" spans="2:2">
      <c r="B645" s="3" t="str">
        <f ca="1">IFERROR(__xludf.DUMMYFUNCTION("IF(ISBLANK(A645),"""",GOOGLETRANSLATE(A645,""en"",""fr""))"),"")</f>
        <v/>
      </c>
    </row>
    <row r="646" spans="2:2">
      <c r="B646" s="3" t="str">
        <f ca="1">IFERROR(__xludf.DUMMYFUNCTION("IF(ISBLANK(A646),"""",GOOGLETRANSLATE(A646,""en"",""fr""))"),"")</f>
        <v/>
      </c>
    </row>
    <row r="647" spans="2:2">
      <c r="B647" s="3" t="str">
        <f ca="1">IFERROR(__xludf.DUMMYFUNCTION("IF(ISBLANK(A647),"""",GOOGLETRANSLATE(A647,""en"",""fr""))"),"")</f>
        <v/>
      </c>
    </row>
    <row r="648" spans="2:2">
      <c r="B648" s="3" t="str">
        <f ca="1">IFERROR(__xludf.DUMMYFUNCTION("IF(ISBLANK(A648),"""",GOOGLETRANSLATE(A648,""en"",""fr""))"),"")</f>
        <v/>
      </c>
    </row>
    <row r="649" spans="2:2">
      <c r="B649" s="3" t="str">
        <f ca="1">IFERROR(__xludf.DUMMYFUNCTION("IF(ISBLANK(A649),"""",GOOGLETRANSLATE(A649,""en"",""fr""))"),"")</f>
        <v/>
      </c>
    </row>
    <row r="650" spans="2:2">
      <c r="B650" s="3" t="str">
        <f ca="1">IFERROR(__xludf.DUMMYFUNCTION("IF(ISBLANK(A650),"""",GOOGLETRANSLATE(A650,""en"",""fr""))"),"")</f>
        <v/>
      </c>
    </row>
    <row r="651" spans="2:2">
      <c r="B651" s="3" t="str">
        <f ca="1">IFERROR(__xludf.DUMMYFUNCTION("IF(ISBLANK(A651),"""",GOOGLETRANSLATE(A651,""en"",""fr""))"),"")</f>
        <v/>
      </c>
    </row>
    <row r="652" spans="2:2">
      <c r="B652" s="3" t="str">
        <f ca="1">IFERROR(__xludf.DUMMYFUNCTION("IF(ISBLANK(A652),"""",GOOGLETRANSLATE(A652,""en"",""fr""))"),"")</f>
        <v/>
      </c>
    </row>
    <row r="653" spans="2:2">
      <c r="B653" s="3" t="str">
        <f ca="1">IFERROR(__xludf.DUMMYFUNCTION("IF(ISBLANK(A653),"""",GOOGLETRANSLATE(A653,""en"",""fr""))"),"")</f>
        <v/>
      </c>
    </row>
    <row r="654" spans="2:2">
      <c r="B654" s="3" t="str">
        <f ca="1">IFERROR(__xludf.DUMMYFUNCTION("IF(ISBLANK(A654),"""",GOOGLETRANSLATE(A654,""en"",""fr""))"),"")</f>
        <v/>
      </c>
    </row>
    <row r="655" spans="2:2">
      <c r="B655" s="3" t="str">
        <f ca="1">IFERROR(__xludf.DUMMYFUNCTION("IF(ISBLANK(A655),"""",GOOGLETRANSLATE(A655,""en"",""fr""))"),"")</f>
        <v/>
      </c>
    </row>
    <row r="656" spans="2:2">
      <c r="B656" s="3" t="str">
        <f ca="1">IFERROR(__xludf.DUMMYFUNCTION("IF(ISBLANK(A656),"""",GOOGLETRANSLATE(A656,""en"",""fr""))"),"")</f>
        <v/>
      </c>
    </row>
    <row r="657" spans="2:2">
      <c r="B657" s="3" t="str">
        <f ca="1">IFERROR(__xludf.DUMMYFUNCTION("IF(ISBLANK(A657),"""",GOOGLETRANSLATE(A657,""en"",""fr""))"),"")</f>
        <v/>
      </c>
    </row>
    <row r="658" spans="2:2">
      <c r="B658" s="3" t="str">
        <f ca="1">IFERROR(__xludf.DUMMYFUNCTION("IF(ISBLANK(A658),"""",GOOGLETRANSLATE(A658,""en"",""fr""))"),"")</f>
        <v/>
      </c>
    </row>
    <row r="659" spans="2:2">
      <c r="B659" s="3" t="str">
        <f ca="1">IFERROR(__xludf.DUMMYFUNCTION("IF(ISBLANK(A659),"""",GOOGLETRANSLATE(A659,""en"",""fr""))"),"")</f>
        <v/>
      </c>
    </row>
    <row r="660" spans="2:2">
      <c r="B660" s="3" t="str">
        <f ca="1">IFERROR(__xludf.DUMMYFUNCTION("IF(ISBLANK(A660),"""",GOOGLETRANSLATE(A660,""en"",""fr""))"),"")</f>
        <v/>
      </c>
    </row>
    <row r="661" spans="2:2">
      <c r="B661" s="3" t="str">
        <f ca="1">IFERROR(__xludf.DUMMYFUNCTION("IF(ISBLANK(A661),"""",GOOGLETRANSLATE(A661,""en"",""fr""))"),"")</f>
        <v/>
      </c>
    </row>
    <row r="662" spans="2:2">
      <c r="B662" s="3" t="str">
        <f ca="1">IFERROR(__xludf.DUMMYFUNCTION("IF(ISBLANK(A662),"""",GOOGLETRANSLATE(A662,""en"",""fr""))"),"")</f>
        <v/>
      </c>
    </row>
    <row r="663" spans="2:2">
      <c r="B663" s="3" t="str">
        <f ca="1">IFERROR(__xludf.DUMMYFUNCTION("IF(ISBLANK(A663),"""",GOOGLETRANSLATE(A663,""en"",""fr""))"),"")</f>
        <v/>
      </c>
    </row>
    <row r="664" spans="2:2">
      <c r="B664" s="3" t="str">
        <f ca="1">IFERROR(__xludf.DUMMYFUNCTION("IF(ISBLANK(A664),"""",GOOGLETRANSLATE(A664,""en"",""fr""))"),"")</f>
        <v/>
      </c>
    </row>
    <row r="665" spans="2:2">
      <c r="B665" s="3" t="str">
        <f ca="1">IFERROR(__xludf.DUMMYFUNCTION("IF(ISBLANK(A665),"""",GOOGLETRANSLATE(A665,""en"",""fr""))"),"")</f>
        <v/>
      </c>
    </row>
    <row r="666" spans="2:2">
      <c r="B666" s="3" t="str">
        <f ca="1">IFERROR(__xludf.DUMMYFUNCTION("IF(ISBLANK(A666),"""",GOOGLETRANSLATE(A666,""en"",""fr""))"),"")</f>
        <v/>
      </c>
    </row>
    <row r="667" spans="2:2">
      <c r="B667" s="3" t="str">
        <f ca="1">IFERROR(__xludf.DUMMYFUNCTION("IF(ISBLANK(A667),"""",GOOGLETRANSLATE(A667,""en"",""fr""))"),"")</f>
        <v/>
      </c>
    </row>
    <row r="668" spans="2:2">
      <c r="B668" s="3" t="str">
        <f ca="1">IFERROR(__xludf.DUMMYFUNCTION("IF(ISBLANK(A668),"""",GOOGLETRANSLATE(A668,""en"",""fr""))"),"")</f>
        <v/>
      </c>
    </row>
    <row r="669" spans="2:2">
      <c r="B669" s="3" t="str">
        <f ca="1">IFERROR(__xludf.DUMMYFUNCTION("IF(ISBLANK(A669),"""",GOOGLETRANSLATE(A669,""en"",""fr""))"),"")</f>
        <v/>
      </c>
    </row>
    <row r="670" spans="2:2">
      <c r="B670" s="3" t="str">
        <f ca="1">IFERROR(__xludf.DUMMYFUNCTION("IF(ISBLANK(A670),"""",GOOGLETRANSLATE(A670,""en"",""fr""))"),"")</f>
        <v/>
      </c>
    </row>
    <row r="671" spans="2:2">
      <c r="B671" s="3" t="str">
        <f ca="1">IFERROR(__xludf.DUMMYFUNCTION("IF(ISBLANK(A671),"""",GOOGLETRANSLATE(A671,""en"",""fr""))"),"")</f>
        <v/>
      </c>
    </row>
    <row r="672" spans="2:2">
      <c r="B672" s="3" t="str">
        <f ca="1">IFERROR(__xludf.DUMMYFUNCTION("IF(ISBLANK(A672),"""",GOOGLETRANSLATE(A672,""en"",""fr""))"),"")</f>
        <v/>
      </c>
    </row>
    <row r="673" spans="2:2">
      <c r="B673" s="3" t="str">
        <f ca="1">IFERROR(__xludf.DUMMYFUNCTION("IF(ISBLANK(A673),"""",GOOGLETRANSLATE(A673,""en"",""fr""))"),"")</f>
        <v/>
      </c>
    </row>
    <row r="674" spans="2:2">
      <c r="B674" s="3" t="str">
        <f ca="1">IFERROR(__xludf.DUMMYFUNCTION("IF(ISBLANK(A674),"""",GOOGLETRANSLATE(A674,""en"",""fr""))"),"")</f>
        <v/>
      </c>
    </row>
    <row r="675" spans="2:2">
      <c r="B675" s="3" t="str">
        <f ca="1">IFERROR(__xludf.DUMMYFUNCTION("IF(ISBLANK(A675),"""",GOOGLETRANSLATE(A675,""en"",""fr""))"),"")</f>
        <v/>
      </c>
    </row>
    <row r="676" spans="2:2">
      <c r="B676" s="3" t="str">
        <f ca="1">IFERROR(__xludf.DUMMYFUNCTION("IF(ISBLANK(A676),"""",GOOGLETRANSLATE(A676,""en"",""fr""))"),"")</f>
        <v/>
      </c>
    </row>
    <row r="677" spans="2:2">
      <c r="B677" s="3" t="str">
        <f ca="1">IFERROR(__xludf.DUMMYFUNCTION("IF(ISBLANK(A677),"""",GOOGLETRANSLATE(A677,""en"",""fr""))"),"")</f>
        <v/>
      </c>
    </row>
    <row r="678" spans="2:2">
      <c r="B678" s="3" t="str">
        <f ca="1">IFERROR(__xludf.DUMMYFUNCTION("IF(ISBLANK(A678),"""",GOOGLETRANSLATE(A678,""en"",""fr""))"),"")</f>
        <v/>
      </c>
    </row>
    <row r="679" spans="2:2">
      <c r="B679" s="3" t="str">
        <f ca="1">IFERROR(__xludf.DUMMYFUNCTION("IF(ISBLANK(A679),"""",GOOGLETRANSLATE(A679,""en"",""fr""))"),"")</f>
        <v/>
      </c>
    </row>
    <row r="680" spans="2:2">
      <c r="B680" s="3" t="str">
        <f ca="1">IFERROR(__xludf.DUMMYFUNCTION("IF(ISBLANK(A680),"""",GOOGLETRANSLATE(A680,""en"",""fr""))"),"")</f>
        <v/>
      </c>
    </row>
    <row r="681" spans="2:2">
      <c r="B681" s="3" t="str">
        <f ca="1">IFERROR(__xludf.DUMMYFUNCTION("IF(ISBLANK(A681),"""",GOOGLETRANSLATE(A681,""en"",""fr""))"),"")</f>
        <v/>
      </c>
    </row>
    <row r="682" spans="2:2">
      <c r="B682" s="3" t="str">
        <f ca="1">IFERROR(__xludf.DUMMYFUNCTION("IF(ISBLANK(A682),"""",GOOGLETRANSLATE(A682,""en"",""fr""))"),"")</f>
        <v/>
      </c>
    </row>
    <row r="683" spans="2:2">
      <c r="B683" s="3" t="str">
        <f ca="1">IFERROR(__xludf.DUMMYFUNCTION("IF(ISBLANK(A683),"""",GOOGLETRANSLATE(A683,""en"",""fr""))"),"")</f>
        <v/>
      </c>
    </row>
    <row r="684" spans="2:2">
      <c r="B684" s="3" t="str">
        <f ca="1">IFERROR(__xludf.DUMMYFUNCTION("IF(ISBLANK(A684),"""",GOOGLETRANSLATE(A684,""en"",""fr""))"),"")</f>
        <v/>
      </c>
    </row>
    <row r="685" spans="2:2">
      <c r="B685" s="3" t="str">
        <f ca="1">IFERROR(__xludf.DUMMYFUNCTION("IF(ISBLANK(A685),"""",GOOGLETRANSLATE(A685,""en"",""fr""))"),"")</f>
        <v/>
      </c>
    </row>
    <row r="686" spans="2:2">
      <c r="B686" s="3" t="str">
        <f ca="1">IFERROR(__xludf.DUMMYFUNCTION("IF(ISBLANK(A686),"""",GOOGLETRANSLATE(A686,""en"",""fr""))"),"")</f>
        <v/>
      </c>
    </row>
    <row r="687" spans="2:2">
      <c r="B687" s="3" t="str">
        <f ca="1">IFERROR(__xludf.DUMMYFUNCTION("IF(ISBLANK(A687),"""",GOOGLETRANSLATE(A687,""en"",""fr""))"),"")</f>
        <v/>
      </c>
    </row>
    <row r="688" spans="2:2">
      <c r="B688" s="3" t="str">
        <f ca="1">IFERROR(__xludf.DUMMYFUNCTION("IF(ISBLANK(A688),"""",GOOGLETRANSLATE(A688,""en"",""fr""))"),"")</f>
        <v/>
      </c>
    </row>
    <row r="689" spans="2:2">
      <c r="B689" s="3" t="str">
        <f ca="1">IFERROR(__xludf.DUMMYFUNCTION("IF(ISBLANK(A689),"""",GOOGLETRANSLATE(A689,""en"",""fr""))"),"")</f>
        <v/>
      </c>
    </row>
    <row r="690" spans="2:2">
      <c r="B690" s="3" t="str">
        <f ca="1">IFERROR(__xludf.DUMMYFUNCTION("IF(ISBLANK(A690),"""",GOOGLETRANSLATE(A690,""en"",""fr""))"),"")</f>
        <v/>
      </c>
    </row>
    <row r="691" spans="2:2">
      <c r="B691" s="3" t="str">
        <f ca="1">IFERROR(__xludf.DUMMYFUNCTION("IF(ISBLANK(A691),"""",GOOGLETRANSLATE(A691,""en"",""fr""))"),"")</f>
        <v/>
      </c>
    </row>
    <row r="692" spans="2:2">
      <c r="B692" s="3" t="str">
        <f ca="1">IFERROR(__xludf.DUMMYFUNCTION("IF(ISBLANK(A692),"""",GOOGLETRANSLATE(A692,""en"",""fr""))"),"")</f>
        <v/>
      </c>
    </row>
    <row r="693" spans="2:2">
      <c r="B693" s="3" t="str">
        <f ca="1">IFERROR(__xludf.DUMMYFUNCTION("IF(ISBLANK(A693),"""",GOOGLETRANSLATE(A693,""en"",""fr""))"),"")</f>
        <v/>
      </c>
    </row>
    <row r="694" spans="2:2">
      <c r="B694" s="3" t="str">
        <f ca="1">IFERROR(__xludf.DUMMYFUNCTION("IF(ISBLANK(A694),"""",GOOGLETRANSLATE(A694,""en"",""fr""))"),"")</f>
        <v/>
      </c>
    </row>
    <row r="695" spans="2:2">
      <c r="B695" s="3" t="str">
        <f ca="1">IFERROR(__xludf.DUMMYFUNCTION("IF(ISBLANK(A695),"""",GOOGLETRANSLATE(A695,""en"",""fr""))"),"")</f>
        <v/>
      </c>
    </row>
    <row r="696" spans="2:2">
      <c r="B696" s="3" t="str">
        <f ca="1">IFERROR(__xludf.DUMMYFUNCTION("IF(ISBLANK(A696),"""",GOOGLETRANSLATE(A696,""en"",""fr""))"),"")</f>
        <v/>
      </c>
    </row>
    <row r="697" spans="2:2">
      <c r="B697" s="3" t="str">
        <f ca="1">IFERROR(__xludf.DUMMYFUNCTION("IF(ISBLANK(A697),"""",GOOGLETRANSLATE(A697,""en"",""fr""))"),"")</f>
        <v/>
      </c>
    </row>
    <row r="698" spans="2:2">
      <c r="B698" s="3" t="str">
        <f ca="1">IFERROR(__xludf.DUMMYFUNCTION("IF(ISBLANK(A698),"""",GOOGLETRANSLATE(A698,""en"",""fr""))"),"")</f>
        <v/>
      </c>
    </row>
    <row r="699" spans="2:2">
      <c r="B699" s="3" t="str">
        <f ca="1">IFERROR(__xludf.DUMMYFUNCTION("IF(ISBLANK(A699),"""",GOOGLETRANSLATE(A699,""en"",""fr""))"),"")</f>
        <v/>
      </c>
    </row>
    <row r="700" spans="2:2">
      <c r="B700" s="3" t="str">
        <f ca="1">IFERROR(__xludf.DUMMYFUNCTION("IF(ISBLANK(A700),"""",GOOGLETRANSLATE(A700,""en"",""fr""))"),"")</f>
        <v/>
      </c>
    </row>
    <row r="701" spans="2:2">
      <c r="B701" s="3" t="str">
        <f ca="1">IFERROR(__xludf.DUMMYFUNCTION("IF(ISBLANK(A701),"""",GOOGLETRANSLATE(A701,""en"",""fr""))"),"")</f>
        <v/>
      </c>
    </row>
    <row r="702" spans="2:2">
      <c r="B702" s="3" t="str">
        <f ca="1">IFERROR(__xludf.DUMMYFUNCTION("IF(ISBLANK(A702),"""",GOOGLETRANSLATE(A702,""en"",""fr""))"),"")</f>
        <v/>
      </c>
    </row>
    <row r="703" spans="2:2">
      <c r="B703" s="3" t="str">
        <f ca="1">IFERROR(__xludf.DUMMYFUNCTION("IF(ISBLANK(A703),"""",GOOGLETRANSLATE(A703,""en"",""fr""))"),"")</f>
        <v/>
      </c>
    </row>
    <row r="704" spans="2:2">
      <c r="B704" s="3" t="str">
        <f ca="1">IFERROR(__xludf.DUMMYFUNCTION("IF(ISBLANK(A704),"""",GOOGLETRANSLATE(A704,""en"",""fr""))"),"")</f>
        <v/>
      </c>
    </row>
    <row r="705" spans="2:2">
      <c r="B705" s="3" t="str">
        <f ca="1">IFERROR(__xludf.DUMMYFUNCTION("IF(ISBLANK(A705),"""",GOOGLETRANSLATE(A705,""en"",""fr""))"),"")</f>
        <v/>
      </c>
    </row>
    <row r="706" spans="2:2">
      <c r="B706" s="3" t="str">
        <f ca="1">IFERROR(__xludf.DUMMYFUNCTION("IF(ISBLANK(A706),"""",GOOGLETRANSLATE(A706,""en"",""fr""))"),"")</f>
        <v/>
      </c>
    </row>
    <row r="707" spans="2:2">
      <c r="B707" s="3" t="str">
        <f ca="1">IFERROR(__xludf.DUMMYFUNCTION("IF(ISBLANK(A707),"""",GOOGLETRANSLATE(A707,""en"",""fr""))"),"")</f>
        <v/>
      </c>
    </row>
    <row r="708" spans="2:2">
      <c r="B708" s="3" t="str">
        <f ca="1">IFERROR(__xludf.DUMMYFUNCTION("IF(ISBLANK(A708),"""",GOOGLETRANSLATE(A708,""en"",""fr""))"),"")</f>
        <v/>
      </c>
    </row>
    <row r="709" spans="2:2">
      <c r="B709" s="3" t="str">
        <f ca="1">IFERROR(__xludf.DUMMYFUNCTION("IF(ISBLANK(A709),"""",GOOGLETRANSLATE(A709,""en"",""fr""))"),"")</f>
        <v/>
      </c>
    </row>
    <row r="710" spans="2:2">
      <c r="B710" s="3" t="str">
        <f ca="1">IFERROR(__xludf.DUMMYFUNCTION("IF(ISBLANK(A710),"""",GOOGLETRANSLATE(A710,""en"",""fr""))"),"")</f>
        <v/>
      </c>
    </row>
    <row r="711" spans="2:2">
      <c r="B711" s="3" t="str">
        <f ca="1">IFERROR(__xludf.DUMMYFUNCTION("IF(ISBLANK(A711),"""",GOOGLETRANSLATE(A711,""en"",""fr""))"),"")</f>
        <v/>
      </c>
    </row>
    <row r="712" spans="2:2">
      <c r="B712" s="3" t="str">
        <f ca="1">IFERROR(__xludf.DUMMYFUNCTION("IF(ISBLANK(A712),"""",GOOGLETRANSLATE(A712,""en"",""fr""))"),"")</f>
        <v/>
      </c>
    </row>
    <row r="713" spans="2:2">
      <c r="B713" s="3" t="str">
        <f ca="1">IFERROR(__xludf.DUMMYFUNCTION("IF(ISBLANK(A713),"""",GOOGLETRANSLATE(A713,""en"",""fr""))"),"")</f>
        <v/>
      </c>
    </row>
    <row r="714" spans="2:2">
      <c r="B714" s="3" t="str">
        <f ca="1">IFERROR(__xludf.DUMMYFUNCTION("IF(ISBLANK(A714),"""",GOOGLETRANSLATE(A714,""en"",""fr""))"),"")</f>
        <v/>
      </c>
    </row>
    <row r="715" spans="2:2">
      <c r="B715" s="3" t="str">
        <f ca="1">IFERROR(__xludf.DUMMYFUNCTION("IF(ISBLANK(A715),"""",GOOGLETRANSLATE(A715,""en"",""fr""))"),"")</f>
        <v/>
      </c>
    </row>
    <row r="716" spans="2:2">
      <c r="B716" s="3" t="str">
        <f ca="1">IFERROR(__xludf.DUMMYFUNCTION("IF(ISBLANK(A716),"""",GOOGLETRANSLATE(A716,""en"",""fr""))"),"")</f>
        <v/>
      </c>
    </row>
    <row r="717" spans="2:2">
      <c r="B717" s="3" t="str">
        <f ca="1">IFERROR(__xludf.DUMMYFUNCTION("IF(ISBLANK(A717),"""",GOOGLETRANSLATE(A717,""en"",""fr""))"),"")</f>
        <v/>
      </c>
    </row>
    <row r="718" spans="2:2">
      <c r="B718" s="3" t="str">
        <f ca="1">IFERROR(__xludf.DUMMYFUNCTION("IF(ISBLANK(A718),"""",GOOGLETRANSLATE(A718,""en"",""fr""))"),"")</f>
        <v/>
      </c>
    </row>
    <row r="719" spans="2:2">
      <c r="B719" s="3" t="str">
        <f ca="1">IFERROR(__xludf.DUMMYFUNCTION("IF(ISBLANK(A719),"""",GOOGLETRANSLATE(A719,""en"",""fr""))"),"")</f>
        <v/>
      </c>
    </row>
    <row r="720" spans="2:2">
      <c r="B720" s="3" t="str">
        <f ca="1">IFERROR(__xludf.DUMMYFUNCTION("IF(ISBLANK(A720),"""",GOOGLETRANSLATE(A720,""en"",""fr""))"),"")</f>
        <v/>
      </c>
    </row>
    <row r="721" spans="2:2">
      <c r="B721" s="3" t="str">
        <f ca="1">IFERROR(__xludf.DUMMYFUNCTION("IF(ISBLANK(A721),"""",GOOGLETRANSLATE(A721,""en"",""fr""))"),"")</f>
        <v/>
      </c>
    </row>
    <row r="722" spans="2:2">
      <c r="B722" s="3" t="str">
        <f ca="1">IFERROR(__xludf.DUMMYFUNCTION("IF(ISBLANK(A722),"""",GOOGLETRANSLATE(A722,""en"",""fr""))"),"")</f>
        <v/>
      </c>
    </row>
    <row r="723" spans="2:2">
      <c r="B723" s="3" t="str">
        <f ca="1">IFERROR(__xludf.DUMMYFUNCTION("IF(ISBLANK(A723),"""",GOOGLETRANSLATE(A723,""en"",""fr""))"),"")</f>
        <v/>
      </c>
    </row>
    <row r="724" spans="2:2">
      <c r="B724" s="3" t="str">
        <f ca="1">IFERROR(__xludf.DUMMYFUNCTION("IF(ISBLANK(A724),"""",GOOGLETRANSLATE(A724,""en"",""fr""))"),"")</f>
        <v/>
      </c>
    </row>
    <row r="725" spans="2:2">
      <c r="B725" s="3" t="str">
        <f ca="1">IFERROR(__xludf.DUMMYFUNCTION("IF(ISBLANK(A725),"""",GOOGLETRANSLATE(A725,""en"",""fr""))"),"")</f>
        <v/>
      </c>
    </row>
    <row r="726" spans="2:2">
      <c r="B726" s="3" t="str">
        <f ca="1">IFERROR(__xludf.DUMMYFUNCTION("IF(ISBLANK(A726),"""",GOOGLETRANSLATE(A726,""en"",""fr""))"),"")</f>
        <v/>
      </c>
    </row>
    <row r="727" spans="2:2">
      <c r="B727" s="3" t="str">
        <f ca="1">IFERROR(__xludf.DUMMYFUNCTION("IF(ISBLANK(A727),"""",GOOGLETRANSLATE(A727,""en"",""fr""))"),"")</f>
        <v/>
      </c>
    </row>
    <row r="728" spans="2:2">
      <c r="B728" s="3" t="str">
        <f ca="1">IFERROR(__xludf.DUMMYFUNCTION("IF(ISBLANK(A728),"""",GOOGLETRANSLATE(A728,""en"",""fr""))"),"")</f>
        <v/>
      </c>
    </row>
    <row r="729" spans="2:2">
      <c r="B729" s="3" t="str">
        <f ca="1">IFERROR(__xludf.DUMMYFUNCTION("IF(ISBLANK(A729),"""",GOOGLETRANSLATE(A729,""en"",""fr""))"),"")</f>
        <v/>
      </c>
    </row>
    <row r="730" spans="2:2">
      <c r="B730" s="3" t="str">
        <f ca="1">IFERROR(__xludf.DUMMYFUNCTION("IF(ISBLANK(A730),"""",GOOGLETRANSLATE(A730,""en"",""fr""))"),"")</f>
        <v/>
      </c>
    </row>
    <row r="731" spans="2:2">
      <c r="B731" s="3" t="str">
        <f ca="1">IFERROR(__xludf.DUMMYFUNCTION("IF(ISBLANK(A731),"""",GOOGLETRANSLATE(A731,""en"",""fr""))"),"")</f>
        <v/>
      </c>
    </row>
    <row r="732" spans="2:2">
      <c r="B732" s="3" t="str">
        <f ca="1">IFERROR(__xludf.DUMMYFUNCTION("IF(ISBLANK(A732),"""",GOOGLETRANSLATE(A732,""en"",""fr""))"),"")</f>
        <v/>
      </c>
    </row>
    <row r="733" spans="2:2">
      <c r="B733" s="3" t="str">
        <f ca="1">IFERROR(__xludf.DUMMYFUNCTION("IF(ISBLANK(A733),"""",GOOGLETRANSLATE(A733,""en"",""fr""))"),"")</f>
        <v/>
      </c>
    </row>
    <row r="734" spans="2:2">
      <c r="B734" s="3" t="str">
        <f ca="1">IFERROR(__xludf.DUMMYFUNCTION("IF(ISBLANK(A734),"""",GOOGLETRANSLATE(A734,""en"",""fr""))"),"")</f>
        <v/>
      </c>
    </row>
    <row r="735" spans="2:2">
      <c r="B735" s="3" t="str">
        <f ca="1">IFERROR(__xludf.DUMMYFUNCTION("IF(ISBLANK(A735),"""",GOOGLETRANSLATE(A735,""en"",""fr""))"),"")</f>
        <v/>
      </c>
    </row>
    <row r="736" spans="2:2">
      <c r="B736" s="3" t="str">
        <f ca="1">IFERROR(__xludf.DUMMYFUNCTION("IF(ISBLANK(A736),"""",GOOGLETRANSLATE(A736,""en"",""fr""))"),"")</f>
        <v/>
      </c>
    </row>
    <row r="737" spans="2:2">
      <c r="B737" s="3" t="str">
        <f ca="1">IFERROR(__xludf.DUMMYFUNCTION("IF(ISBLANK(A737),"""",GOOGLETRANSLATE(A737,""en"",""fr""))"),"")</f>
        <v/>
      </c>
    </row>
    <row r="738" spans="2:2">
      <c r="B738" s="3" t="str">
        <f ca="1">IFERROR(__xludf.DUMMYFUNCTION("IF(ISBLANK(A738),"""",GOOGLETRANSLATE(A738,""en"",""fr""))"),"")</f>
        <v/>
      </c>
    </row>
    <row r="739" spans="2:2">
      <c r="B739" s="3" t="str">
        <f ca="1">IFERROR(__xludf.DUMMYFUNCTION("IF(ISBLANK(A739),"""",GOOGLETRANSLATE(A739,""en"",""fr""))"),"")</f>
        <v/>
      </c>
    </row>
    <row r="740" spans="2:2">
      <c r="B740" s="3" t="str">
        <f ca="1">IFERROR(__xludf.DUMMYFUNCTION("IF(ISBLANK(A740),"""",GOOGLETRANSLATE(A740,""en"",""fr""))"),"")</f>
        <v/>
      </c>
    </row>
    <row r="741" spans="2:2">
      <c r="B741" s="3" t="str">
        <f ca="1">IFERROR(__xludf.DUMMYFUNCTION("IF(ISBLANK(A741),"""",GOOGLETRANSLATE(A741,""en"",""fr""))"),"")</f>
        <v/>
      </c>
    </row>
    <row r="742" spans="2:2">
      <c r="B742" s="3" t="str">
        <f ca="1">IFERROR(__xludf.DUMMYFUNCTION("IF(ISBLANK(A742),"""",GOOGLETRANSLATE(A742,""en"",""fr""))"),"")</f>
        <v/>
      </c>
    </row>
    <row r="743" spans="2:2">
      <c r="B743" s="3" t="str">
        <f ca="1">IFERROR(__xludf.DUMMYFUNCTION("IF(ISBLANK(A743),"""",GOOGLETRANSLATE(A743,""en"",""fr""))"),"")</f>
        <v/>
      </c>
    </row>
    <row r="744" spans="2:2">
      <c r="B744" s="3" t="str">
        <f ca="1">IFERROR(__xludf.DUMMYFUNCTION("IF(ISBLANK(A744),"""",GOOGLETRANSLATE(A744,""en"",""fr""))"),"")</f>
        <v/>
      </c>
    </row>
    <row r="745" spans="2:2">
      <c r="B745" s="3" t="str">
        <f ca="1">IFERROR(__xludf.DUMMYFUNCTION("IF(ISBLANK(A745),"""",GOOGLETRANSLATE(A745,""en"",""fr""))"),"")</f>
        <v/>
      </c>
    </row>
    <row r="746" spans="2:2">
      <c r="B746" s="3" t="str">
        <f ca="1">IFERROR(__xludf.DUMMYFUNCTION("IF(ISBLANK(A746),"""",GOOGLETRANSLATE(A746,""en"",""fr""))"),"")</f>
        <v/>
      </c>
    </row>
    <row r="747" spans="2:2">
      <c r="B747" s="3" t="str">
        <f ca="1">IFERROR(__xludf.DUMMYFUNCTION("IF(ISBLANK(A747),"""",GOOGLETRANSLATE(A747,""en"",""fr""))"),"")</f>
        <v/>
      </c>
    </row>
    <row r="748" spans="2:2">
      <c r="B748" s="3" t="str">
        <f ca="1">IFERROR(__xludf.DUMMYFUNCTION("IF(ISBLANK(A748),"""",GOOGLETRANSLATE(A748,""en"",""fr""))"),"")</f>
        <v/>
      </c>
    </row>
    <row r="749" spans="2:2">
      <c r="B749" s="3" t="str">
        <f ca="1">IFERROR(__xludf.DUMMYFUNCTION("IF(ISBLANK(A749),"""",GOOGLETRANSLATE(A749,""en"",""fr""))"),"")</f>
        <v/>
      </c>
    </row>
    <row r="750" spans="2:2">
      <c r="B750" s="3" t="str">
        <f ca="1">IFERROR(__xludf.DUMMYFUNCTION("IF(ISBLANK(A750),"""",GOOGLETRANSLATE(A750,""en"",""fr""))"),"")</f>
        <v/>
      </c>
    </row>
    <row r="751" spans="2:2">
      <c r="B751" s="3" t="str">
        <f ca="1">IFERROR(__xludf.DUMMYFUNCTION("IF(ISBLANK(A751),"""",GOOGLETRANSLATE(A751,""en"",""fr""))"),"")</f>
        <v/>
      </c>
    </row>
    <row r="752" spans="2:2">
      <c r="B752" s="3" t="str">
        <f ca="1">IFERROR(__xludf.DUMMYFUNCTION("IF(ISBLANK(A752),"""",GOOGLETRANSLATE(A752,""en"",""fr""))"),"")</f>
        <v/>
      </c>
    </row>
    <row r="753" spans="2:2">
      <c r="B753" s="3" t="str">
        <f ca="1">IFERROR(__xludf.DUMMYFUNCTION("IF(ISBLANK(A753),"""",GOOGLETRANSLATE(A753,""en"",""fr""))"),"")</f>
        <v/>
      </c>
    </row>
    <row r="754" spans="2:2">
      <c r="B754" s="3" t="str">
        <f ca="1">IFERROR(__xludf.DUMMYFUNCTION("IF(ISBLANK(A754),"""",GOOGLETRANSLATE(A754,""en"",""fr""))"),"")</f>
        <v/>
      </c>
    </row>
    <row r="755" spans="2:2">
      <c r="B755" s="3" t="str">
        <f ca="1">IFERROR(__xludf.DUMMYFUNCTION("IF(ISBLANK(A755),"""",GOOGLETRANSLATE(A755,""en"",""fr""))"),"")</f>
        <v/>
      </c>
    </row>
    <row r="756" spans="2:2">
      <c r="B756" s="3" t="str">
        <f ca="1">IFERROR(__xludf.DUMMYFUNCTION("IF(ISBLANK(A756),"""",GOOGLETRANSLATE(A756,""en"",""fr""))"),"")</f>
        <v/>
      </c>
    </row>
    <row r="757" spans="2:2">
      <c r="B757" s="3" t="str">
        <f ca="1">IFERROR(__xludf.DUMMYFUNCTION("IF(ISBLANK(A757),"""",GOOGLETRANSLATE(A757,""en"",""fr""))"),"")</f>
        <v/>
      </c>
    </row>
    <row r="758" spans="2:2">
      <c r="B758" s="3" t="str">
        <f ca="1">IFERROR(__xludf.DUMMYFUNCTION("IF(ISBLANK(A758),"""",GOOGLETRANSLATE(A758,""en"",""fr""))"),"")</f>
        <v/>
      </c>
    </row>
    <row r="759" spans="2:2">
      <c r="B759" s="3" t="str">
        <f ca="1">IFERROR(__xludf.DUMMYFUNCTION("IF(ISBLANK(A759),"""",GOOGLETRANSLATE(A759,""en"",""fr""))"),"")</f>
        <v/>
      </c>
    </row>
    <row r="760" spans="2:2">
      <c r="B760" s="3" t="str">
        <f ca="1">IFERROR(__xludf.DUMMYFUNCTION("IF(ISBLANK(A760),"""",GOOGLETRANSLATE(A760,""en"",""fr""))"),"")</f>
        <v/>
      </c>
    </row>
    <row r="761" spans="2:2">
      <c r="B761" s="3" t="str">
        <f ca="1">IFERROR(__xludf.DUMMYFUNCTION("IF(ISBLANK(A761),"""",GOOGLETRANSLATE(A761,""en"",""fr""))"),"")</f>
        <v/>
      </c>
    </row>
    <row r="762" spans="2:2">
      <c r="B762" s="3" t="str">
        <f ca="1">IFERROR(__xludf.DUMMYFUNCTION("IF(ISBLANK(A762),"""",GOOGLETRANSLATE(A762,""en"",""fr""))"),"")</f>
        <v/>
      </c>
    </row>
    <row r="763" spans="2:2">
      <c r="B763" s="3" t="str">
        <f ca="1">IFERROR(__xludf.DUMMYFUNCTION("IF(ISBLANK(A763),"""",GOOGLETRANSLATE(A763,""en"",""fr""))"),"")</f>
        <v/>
      </c>
    </row>
    <row r="764" spans="2:2">
      <c r="B764" s="3" t="str">
        <f ca="1">IFERROR(__xludf.DUMMYFUNCTION("IF(ISBLANK(A764),"""",GOOGLETRANSLATE(A764,""en"",""fr""))"),"")</f>
        <v/>
      </c>
    </row>
    <row r="765" spans="2:2">
      <c r="B765" s="3" t="str">
        <f ca="1">IFERROR(__xludf.DUMMYFUNCTION("IF(ISBLANK(A765),"""",GOOGLETRANSLATE(A765,""en"",""fr""))"),"")</f>
        <v/>
      </c>
    </row>
    <row r="766" spans="2:2">
      <c r="B766" s="3" t="str">
        <f ca="1">IFERROR(__xludf.DUMMYFUNCTION("IF(ISBLANK(A766),"""",GOOGLETRANSLATE(A766,""en"",""fr""))"),"")</f>
        <v/>
      </c>
    </row>
    <row r="767" spans="2:2">
      <c r="B767" s="3" t="str">
        <f ca="1">IFERROR(__xludf.DUMMYFUNCTION("IF(ISBLANK(A767),"""",GOOGLETRANSLATE(A767,""en"",""fr""))"),"")</f>
        <v/>
      </c>
    </row>
    <row r="768" spans="2:2">
      <c r="B768" s="3" t="str">
        <f ca="1">IFERROR(__xludf.DUMMYFUNCTION("IF(ISBLANK(A768),"""",GOOGLETRANSLATE(A768,""en"",""fr""))"),"")</f>
        <v/>
      </c>
    </row>
    <row r="769" spans="2:2">
      <c r="B769" s="3" t="str">
        <f ca="1">IFERROR(__xludf.DUMMYFUNCTION("IF(ISBLANK(A769),"""",GOOGLETRANSLATE(A769,""en"",""fr""))"),"")</f>
        <v/>
      </c>
    </row>
    <row r="770" spans="2:2">
      <c r="B770" s="3" t="str">
        <f ca="1">IFERROR(__xludf.DUMMYFUNCTION("IF(ISBLANK(A770),"""",GOOGLETRANSLATE(A770,""en"",""fr""))"),"")</f>
        <v/>
      </c>
    </row>
    <row r="771" spans="2:2">
      <c r="B771" s="3" t="str">
        <f ca="1">IFERROR(__xludf.DUMMYFUNCTION("IF(ISBLANK(A771),"""",GOOGLETRANSLATE(A771,""en"",""fr""))"),"")</f>
        <v/>
      </c>
    </row>
    <row r="772" spans="2:2">
      <c r="B772" s="3" t="str">
        <f ca="1">IFERROR(__xludf.DUMMYFUNCTION("IF(ISBLANK(A772),"""",GOOGLETRANSLATE(A772,""en"",""fr""))"),"")</f>
        <v/>
      </c>
    </row>
    <row r="773" spans="2:2">
      <c r="B773" s="3" t="str">
        <f ca="1">IFERROR(__xludf.DUMMYFUNCTION("IF(ISBLANK(A773),"""",GOOGLETRANSLATE(A773,""en"",""fr""))"),"")</f>
        <v/>
      </c>
    </row>
    <row r="774" spans="2:2">
      <c r="B774" s="3" t="str">
        <f ca="1">IFERROR(__xludf.DUMMYFUNCTION("IF(ISBLANK(A774),"""",GOOGLETRANSLATE(A774,""en"",""fr""))"),"")</f>
        <v/>
      </c>
    </row>
    <row r="775" spans="2:2">
      <c r="B775" s="3" t="str">
        <f ca="1">IFERROR(__xludf.DUMMYFUNCTION("IF(ISBLANK(A775),"""",GOOGLETRANSLATE(A775,""en"",""fr""))"),"")</f>
        <v/>
      </c>
    </row>
    <row r="776" spans="2:2">
      <c r="B776" s="3" t="str">
        <f ca="1">IFERROR(__xludf.DUMMYFUNCTION("IF(ISBLANK(A776),"""",GOOGLETRANSLATE(A776,""en"",""fr""))"),"")</f>
        <v/>
      </c>
    </row>
    <row r="777" spans="2:2">
      <c r="B777" s="3" t="str">
        <f ca="1">IFERROR(__xludf.DUMMYFUNCTION("IF(ISBLANK(A777),"""",GOOGLETRANSLATE(A777,""en"",""fr""))"),"")</f>
        <v/>
      </c>
    </row>
    <row r="778" spans="2:2">
      <c r="B778" s="3" t="str">
        <f ca="1">IFERROR(__xludf.DUMMYFUNCTION("IF(ISBLANK(A778),"""",GOOGLETRANSLATE(A778,""en"",""fr""))"),"")</f>
        <v/>
      </c>
    </row>
    <row r="779" spans="2:2">
      <c r="B779" s="3" t="str">
        <f ca="1">IFERROR(__xludf.DUMMYFUNCTION("IF(ISBLANK(A779),"""",GOOGLETRANSLATE(A779,""en"",""fr""))"),"")</f>
        <v/>
      </c>
    </row>
    <row r="780" spans="2:2">
      <c r="B780" s="3" t="str">
        <f ca="1">IFERROR(__xludf.DUMMYFUNCTION("IF(ISBLANK(A780),"""",GOOGLETRANSLATE(A780,""en"",""fr""))"),"")</f>
        <v/>
      </c>
    </row>
    <row r="781" spans="2:2">
      <c r="B781" s="3" t="str">
        <f ca="1">IFERROR(__xludf.DUMMYFUNCTION("IF(ISBLANK(A781),"""",GOOGLETRANSLATE(A781,""en"",""fr""))"),"")</f>
        <v/>
      </c>
    </row>
    <row r="782" spans="2:2">
      <c r="B782" s="3" t="str">
        <f ca="1">IFERROR(__xludf.DUMMYFUNCTION("IF(ISBLANK(A782),"""",GOOGLETRANSLATE(A782,""en"",""fr""))"),"")</f>
        <v/>
      </c>
    </row>
    <row r="783" spans="2:2">
      <c r="B783" s="3" t="str">
        <f ca="1">IFERROR(__xludf.DUMMYFUNCTION("IF(ISBLANK(A783),"""",GOOGLETRANSLATE(A783,""en"",""fr""))"),"")</f>
        <v/>
      </c>
    </row>
    <row r="784" spans="2:2">
      <c r="B784" s="3" t="str">
        <f ca="1">IFERROR(__xludf.DUMMYFUNCTION("IF(ISBLANK(A784),"""",GOOGLETRANSLATE(A784,""en"",""fr""))"),"")</f>
        <v/>
      </c>
    </row>
    <row r="785" spans="2:2">
      <c r="B785" s="3" t="str">
        <f ca="1">IFERROR(__xludf.DUMMYFUNCTION("IF(ISBLANK(A785),"""",GOOGLETRANSLATE(A785,""en"",""fr""))"),"")</f>
        <v/>
      </c>
    </row>
    <row r="786" spans="2:2">
      <c r="B786" s="3" t="str">
        <f ca="1">IFERROR(__xludf.DUMMYFUNCTION("IF(ISBLANK(A786),"""",GOOGLETRANSLATE(A786,""en"",""fr""))"),"")</f>
        <v/>
      </c>
    </row>
    <row r="787" spans="2:2">
      <c r="B787" s="3" t="str">
        <f ca="1">IFERROR(__xludf.DUMMYFUNCTION("IF(ISBLANK(A787),"""",GOOGLETRANSLATE(A787,""en"",""fr""))"),"")</f>
        <v/>
      </c>
    </row>
    <row r="788" spans="2:2">
      <c r="B788" s="3" t="str">
        <f ca="1">IFERROR(__xludf.DUMMYFUNCTION("IF(ISBLANK(A788),"""",GOOGLETRANSLATE(A788,""en"",""fr""))"),"")</f>
        <v/>
      </c>
    </row>
    <row r="789" spans="2:2">
      <c r="B789" s="3" t="str">
        <f ca="1">IFERROR(__xludf.DUMMYFUNCTION("IF(ISBLANK(A789),"""",GOOGLETRANSLATE(A789,""en"",""fr""))"),"")</f>
        <v/>
      </c>
    </row>
    <row r="790" spans="2:2">
      <c r="B790" s="3" t="str">
        <f ca="1">IFERROR(__xludf.DUMMYFUNCTION("IF(ISBLANK(A790),"""",GOOGLETRANSLATE(A790,""en"",""fr""))"),"")</f>
        <v/>
      </c>
    </row>
    <row r="791" spans="2:2">
      <c r="B791" s="3" t="str">
        <f ca="1">IFERROR(__xludf.DUMMYFUNCTION("IF(ISBLANK(A791),"""",GOOGLETRANSLATE(A791,""en"",""fr""))"),"")</f>
        <v/>
      </c>
    </row>
    <row r="792" spans="2:2">
      <c r="B792" s="3" t="str">
        <f ca="1">IFERROR(__xludf.DUMMYFUNCTION("IF(ISBLANK(A792),"""",GOOGLETRANSLATE(A792,""en"",""fr""))"),"")</f>
        <v/>
      </c>
    </row>
    <row r="793" spans="2:2">
      <c r="B793" s="3" t="str">
        <f ca="1">IFERROR(__xludf.DUMMYFUNCTION("IF(ISBLANK(A793),"""",GOOGLETRANSLATE(A793,""en"",""fr""))"),"")</f>
        <v/>
      </c>
    </row>
    <row r="794" spans="2:2">
      <c r="B794" s="3" t="str">
        <f ca="1">IFERROR(__xludf.DUMMYFUNCTION("IF(ISBLANK(A794),"""",GOOGLETRANSLATE(A794,""en"",""fr""))"),"")</f>
        <v/>
      </c>
    </row>
    <row r="795" spans="2:2">
      <c r="B795" s="3" t="str">
        <f ca="1">IFERROR(__xludf.DUMMYFUNCTION("IF(ISBLANK(A795),"""",GOOGLETRANSLATE(A795,""en"",""fr""))"),"")</f>
        <v/>
      </c>
    </row>
    <row r="796" spans="2:2">
      <c r="B796" s="3" t="str">
        <f ca="1">IFERROR(__xludf.DUMMYFUNCTION("IF(ISBLANK(A796),"""",GOOGLETRANSLATE(A796,""en"",""fr""))"),"")</f>
        <v/>
      </c>
    </row>
    <row r="797" spans="2:2">
      <c r="B797" s="3" t="str">
        <f ca="1">IFERROR(__xludf.DUMMYFUNCTION("IF(ISBLANK(A797),"""",GOOGLETRANSLATE(A797,""en"",""fr""))"),"")</f>
        <v/>
      </c>
    </row>
    <row r="798" spans="2:2">
      <c r="B798" s="3" t="str">
        <f ca="1">IFERROR(__xludf.DUMMYFUNCTION("IF(ISBLANK(A798),"""",GOOGLETRANSLATE(A798,""en"",""fr""))"),"")</f>
        <v/>
      </c>
    </row>
    <row r="799" spans="2:2">
      <c r="B799" s="3" t="str">
        <f ca="1">IFERROR(__xludf.DUMMYFUNCTION("IF(ISBLANK(A799),"""",GOOGLETRANSLATE(A799,""en"",""fr""))"),"")</f>
        <v/>
      </c>
    </row>
    <row r="800" spans="2:2">
      <c r="B800" s="3" t="str">
        <f ca="1">IFERROR(__xludf.DUMMYFUNCTION("IF(ISBLANK(A800),"""",GOOGLETRANSLATE(A800,""en"",""fr""))"),"")</f>
        <v/>
      </c>
    </row>
    <row r="801" spans="2:2">
      <c r="B801" s="3" t="str">
        <f ca="1">IFERROR(__xludf.DUMMYFUNCTION("IF(ISBLANK(A801),"""",GOOGLETRANSLATE(A801,""en"",""fr""))"),"")</f>
        <v/>
      </c>
    </row>
    <row r="802" spans="2:2">
      <c r="B802" s="3" t="str">
        <f ca="1">IFERROR(__xludf.DUMMYFUNCTION("IF(ISBLANK(A802),"""",GOOGLETRANSLATE(A802,""en"",""fr""))"),"")</f>
        <v/>
      </c>
    </row>
    <row r="803" spans="2:2">
      <c r="B803" s="3" t="str">
        <f ca="1">IFERROR(__xludf.DUMMYFUNCTION("IF(ISBLANK(A803),"""",GOOGLETRANSLATE(A803,""en"",""fr""))"),"")</f>
        <v/>
      </c>
    </row>
    <row r="804" spans="2:2">
      <c r="B804" s="3" t="str">
        <f ca="1">IFERROR(__xludf.DUMMYFUNCTION("IF(ISBLANK(A804),"""",GOOGLETRANSLATE(A804,""en"",""fr""))"),"")</f>
        <v/>
      </c>
    </row>
    <row r="805" spans="2:2">
      <c r="B805" s="3" t="str">
        <f ca="1">IFERROR(__xludf.DUMMYFUNCTION("IF(ISBLANK(A805),"""",GOOGLETRANSLATE(A805,""en"",""fr""))"),"")</f>
        <v/>
      </c>
    </row>
    <row r="806" spans="2:2">
      <c r="B806" s="3" t="str">
        <f ca="1">IFERROR(__xludf.DUMMYFUNCTION("IF(ISBLANK(A806),"""",GOOGLETRANSLATE(A806,""en"",""fr""))"),"")</f>
        <v/>
      </c>
    </row>
    <row r="807" spans="2:2">
      <c r="B807" s="3" t="str">
        <f ca="1">IFERROR(__xludf.DUMMYFUNCTION("IF(ISBLANK(A807),"""",GOOGLETRANSLATE(A807,""en"",""fr""))"),"")</f>
        <v/>
      </c>
    </row>
    <row r="808" spans="2:2">
      <c r="B808" s="3" t="str">
        <f ca="1">IFERROR(__xludf.DUMMYFUNCTION("IF(ISBLANK(A808),"""",GOOGLETRANSLATE(A808,""en"",""fr""))"),"")</f>
        <v/>
      </c>
    </row>
    <row r="809" spans="2:2">
      <c r="B809" s="3" t="str">
        <f ca="1">IFERROR(__xludf.DUMMYFUNCTION("IF(ISBLANK(A809),"""",GOOGLETRANSLATE(A809,""en"",""fr""))"),"")</f>
        <v/>
      </c>
    </row>
    <row r="810" spans="2:2">
      <c r="B810" s="3" t="str">
        <f ca="1">IFERROR(__xludf.DUMMYFUNCTION("IF(ISBLANK(A810),"""",GOOGLETRANSLATE(A810,""en"",""fr""))"),"")</f>
        <v/>
      </c>
    </row>
    <row r="811" spans="2:2">
      <c r="B811" s="3" t="str">
        <f ca="1">IFERROR(__xludf.DUMMYFUNCTION("IF(ISBLANK(A811),"""",GOOGLETRANSLATE(A811,""en"",""fr""))"),"")</f>
        <v/>
      </c>
    </row>
    <row r="812" spans="2:2">
      <c r="B812" s="3" t="str">
        <f ca="1">IFERROR(__xludf.DUMMYFUNCTION("IF(ISBLANK(A812),"""",GOOGLETRANSLATE(A812,""en"",""fr""))"),"")</f>
        <v/>
      </c>
    </row>
    <row r="813" spans="2:2">
      <c r="B813" s="3" t="str">
        <f ca="1">IFERROR(__xludf.DUMMYFUNCTION("IF(ISBLANK(A813),"""",GOOGLETRANSLATE(A813,""en"",""fr""))"),"")</f>
        <v/>
      </c>
    </row>
    <row r="814" spans="2:2">
      <c r="B814" s="3" t="str">
        <f ca="1">IFERROR(__xludf.DUMMYFUNCTION("IF(ISBLANK(A814),"""",GOOGLETRANSLATE(A814,""en"",""fr""))"),"")</f>
        <v/>
      </c>
    </row>
    <row r="815" spans="2:2">
      <c r="B815" s="3" t="str">
        <f ca="1">IFERROR(__xludf.DUMMYFUNCTION("IF(ISBLANK(A815),"""",GOOGLETRANSLATE(A815,""en"",""fr""))"),"")</f>
        <v/>
      </c>
    </row>
    <row r="816" spans="2:2">
      <c r="B816" s="3" t="str">
        <f ca="1">IFERROR(__xludf.DUMMYFUNCTION("IF(ISBLANK(A816),"""",GOOGLETRANSLATE(A816,""en"",""fr""))"),"")</f>
        <v/>
      </c>
    </row>
    <row r="817" spans="2:2">
      <c r="B817" s="3" t="str">
        <f ca="1">IFERROR(__xludf.DUMMYFUNCTION("IF(ISBLANK(A817),"""",GOOGLETRANSLATE(A817,""en"",""fr""))"),"")</f>
        <v/>
      </c>
    </row>
    <row r="818" spans="2:2">
      <c r="B818" s="3" t="str">
        <f ca="1">IFERROR(__xludf.DUMMYFUNCTION("IF(ISBLANK(A818),"""",GOOGLETRANSLATE(A818,""en"",""fr""))"),"")</f>
        <v/>
      </c>
    </row>
    <row r="819" spans="2:2">
      <c r="B819" s="3" t="str">
        <f ca="1">IFERROR(__xludf.DUMMYFUNCTION("IF(ISBLANK(A819),"""",GOOGLETRANSLATE(A819,""en"",""fr""))"),"")</f>
        <v/>
      </c>
    </row>
    <row r="820" spans="2:2">
      <c r="B820" s="3" t="str">
        <f ca="1">IFERROR(__xludf.DUMMYFUNCTION("IF(ISBLANK(A820),"""",GOOGLETRANSLATE(A820,""en"",""fr""))"),"")</f>
        <v/>
      </c>
    </row>
    <row r="821" spans="2:2">
      <c r="B821" s="3" t="str">
        <f ca="1">IFERROR(__xludf.DUMMYFUNCTION("IF(ISBLANK(A821),"""",GOOGLETRANSLATE(A821,""en"",""fr""))"),"")</f>
        <v/>
      </c>
    </row>
    <row r="822" spans="2:2">
      <c r="B822" s="3" t="str">
        <f ca="1">IFERROR(__xludf.DUMMYFUNCTION("IF(ISBLANK(A822),"""",GOOGLETRANSLATE(A822,""en"",""fr""))"),"")</f>
        <v/>
      </c>
    </row>
    <row r="823" spans="2:2">
      <c r="B823" s="3" t="str">
        <f ca="1">IFERROR(__xludf.DUMMYFUNCTION("IF(ISBLANK(A823),"""",GOOGLETRANSLATE(A823,""en"",""fr""))"),"")</f>
        <v/>
      </c>
    </row>
    <row r="824" spans="2:2">
      <c r="B824" s="3" t="str">
        <f ca="1">IFERROR(__xludf.DUMMYFUNCTION("IF(ISBLANK(A824),"""",GOOGLETRANSLATE(A824,""en"",""fr""))"),"")</f>
        <v/>
      </c>
    </row>
    <row r="825" spans="2:2">
      <c r="B825" s="3" t="str">
        <f ca="1">IFERROR(__xludf.DUMMYFUNCTION("IF(ISBLANK(A825),"""",GOOGLETRANSLATE(A825,""en"",""fr""))"),"")</f>
        <v/>
      </c>
    </row>
    <row r="826" spans="2:2">
      <c r="B826" s="3" t="str">
        <f ca="1">IFERROR(__xludf.DUMMYFUNCTION("IF(ISBLANK(A826),"""",GOOGLETRANSLATE(A826,""en"",""fr""))"),"")</f>
        <v/>
      </c>
    </row>
    <row r="827" spans="2:2">
      <c r="B827" s="3" t="str">
        <f ca="1">IFERROR(__xludf.DUMMYFUNCTION("IF(ISBLANK(A827),"""",GOOGLETRANSLATE(A827,""en"",""fr""))"),"")</f>
        <v/>
      </c>
    </row>
    <row r="828" spans="2:2">
      <c r="B828" s="3" t="str">
        <f ca="1">IFERROR(__xludf.DUMMYFUNCTION("IF(ISBLANK(A828),"""",GOOGLETRANSLATE(A828,""en"",""fr""))"),"")</f>
        <v/>
      </c>
    </row>
    <row r="829" spans="2:2">
      <c r="B829" s="3" t="str">
        <f ca="1">IFERROR(__xludf.DUMMYFUNCTION("IF(ISBLANK(A829),"""",GOOGLETRANSLATE(A829,""en"",""fr""))"),"")</f>
        <v/>
      </c>
    </row>
    <row r="830" spans="2:2">
      <c r="B830" s="3" t="str">
        <f ca="1">IFERROR(__xludf.DUMMYFUNCTION("IF(ISBLANK(A830),"""",GOOGLETRANSLATE(A830,""en"",""fr""))"),"")</f>
        <v/>
      </c>
    </row>
    <row r="831" spans="2:2">
      <c r="B831" s="3" t="str">
        <f ca="1">IFERROR(__xludf.DUMMYFUNCTION("IF(ISBLANK(A831),"""",GOOGLETRANSLATE(A831,""en"",""fr""))"),"")</f>
        <v/>
      </c>
    </row>
    <row r="832" spans="2:2">
      <c r="B832" s="3" t="str">
        <f ca="1">IFERROR(__xludf.DUMMYFUNCTION("IF(ISBLANK(A832),"""",GOOGLETRANSLATE(A832,""en"",""fr""))"),"")</f>
        <v/>
      </c>
    </row>
    <row r="833" spans="2:2">
      <c r="B833" s="3" t="str">
        <f ca="1">IFERROR(__xludf.DUMMYFUNCTION("IF(ISBLANK(A833),"""",GOOGLETRANSLATE(A833,""en"",""fr""))"),"")</f>
        <v/>
      </c>
    </row>
    <row r="834" spans="2:2">
      <c r="B834" s="3" t="str">
        <f ca="1">IFERROR(__xludf.DUMMYFUNCTION("IF(ISBLANK(A834),"""",GOOGLETRANSLATE(A834,""en"",""fr""))"),"")</f>
        <v/>
      </c>
    </row>
    <row r="835" spans="2:2">
      <c r="B835" s="3" t="str">
        <f ca="1">IFERROR(__xludf.DUMMYFUNCTION("IF(ISBLANK(A835),"""",GOOGLETRANSLATE(A835,""en"",""fr""))"),"")</f>
        <v/>
      </c>
    </row>
    <row r="836" spans="2:2">
      <c r="B836" s="3" t="str">
        <f ca="1">IFERROR(__xludf.DUMMYFUNCTION("IF(ISBLANK(A836),"""",GOOGLETRANSLATE(A836,""en"",""fr""))"),"")</f>
        <v/>
      </c>
    </row>
    <row r="837" spans="2:2">
      <c r="B837" s="3" t="str">
        <f ca="1">IFERROR(__xludf.DUMMYFUNCTION("IF(ISBLANK(A837),"""",GOOGLETRANSLATE(A837,""en"",""fr""))"),"")</f>
        <v/>
      </c>
    </row>
    <row r="838" spans="2:2">
      <c r="B838" s="3" t="str">
        <f ca="1">IFERROR(__xludf.DUMMYFUNCTION("IF(ISBLANK(A838),"""",GOOGLETRANSLATE(A838,""en"",""fr""))"),"")</f>
        <v/>
      </c>
    </row>
    <row r="839" spans="2:2">
      <c r="B839" s="3" t="str">
        <f ca="1">IFERROR(__xludf.DUMMYFUNCTION("IF(ISBLANK(A839),"""",GOOGLETRANSLATE(A839,""en"",""fr""))"),"")</f>
        <v/>
      </c>
    </row>
    <row r="840" spans="2:2">
      <c r="B840" s="3" t="str">
        <f ca="1">IFERROR(__xludf.DUMMYFUNCTION("IF(ISBLANK(A840),"""",GOOGLETRANSLATE(A840,""en"",""fr""))"),"")</f>
        <v/>
      </c>
    </row>
    <row r="841" spans="2:2">
      <c r="B841" s="3" t="str">
        <f ca="1">IFERROR(__xludf.DUMMYFUNCTION("IF(ISBLANK(A841),"""",GOOGLETRANSLATE(A841,""en"",""fr""))"),"")</f>
        <v/>
      </c>
    </row>
    <row r="842" spans="2:2">
      <c r="B842" s="3" t="str">
        <f ca="1">IFERROR(__xludf.DUMMYFUNCTION("IF(ISBLANK(A842),"""",GOOGLETRANSLATE(A842,""en"",""fr""))"),"")</f>
        <v/>
      </c>
    </row>
    <row r="843" spans="2:2">
      <c r="B843" s="3" t="str">
        <f ca="1">IFERROR(__xludf.DUMMYFUNCTION("IF(ISBLANK(A843),"""",GOOGLETRANSLATE(A843,""en"",""fr""))"),"")</f>
        <v/>
      </c>
    </row>
    <row r="844" spans="2:2">
      <c r="B844" s="3" t="str">
        <f ca="1">IFERROR(__xludf.DUMMYFUNCTION("IF(ISBLANK(A844),"""",GOOGLETRANSLATE(A844,""en"",""fr""))"),"")</f>
        <v/>
      </c>
    </row>
    <row r="845" spans="2:2">
      <c r="B845" s="3" t="str">
        <f ca="1">IFERROR(__xludf.DUMMYFUNCTION("IF(ISBLANK(A845),"""",GOOGLETRANSLATE(A845,""en"",""fr""))"),"")</f>
        <v/>
      </c>
    </row>
    <row r="846" spans="2:2">
      <c r="B846" s="3" t="str">
        <f ca="1">IFERROR(__xludf.DUMMYFUNCTION("IF(ISBLANK(A846),"""",GOOGLETRANSLATE(A846,""en"",""fr""))"),"")</f>
        <v/>
      </c>
    </row>
    <row r="847" spans="2:2">
      <c r="B847" s="3" t="str">
        <f ca="1">IFERROR(__xludf.DUMMYFUNCTION("IF(ISBLANK(A847),"""",GOOGLETRANSLATE(A847,""en"",""fr""))"),"")</f>
        <v/>
      </c>
    </row>
    <row r="848" spans="2:2">
      <c r="B848" s="3" t="str">
        <f ca="1">IFERROR(__xludf.DUMMYFUNCTION("IF(ISBLANK(A848),"""",GOOGLETRANSLATE(A848,""en"",""fr""))"),"")</f>
        <v/>
      </c>
    </row>
    <row r="849" spans="2:2">
      <c r="B849" s="3" t="str">
        <f ca="1">IFERROR(__xludf.DUMMYFUNCTION("IF(ISBLANK(A849),"""",GOOGLETRANSLATE(A849,""en"",""fr""))"),"")</f>
        <v/>
      </c>
    </row>
    <row r="850" spans="2:2">
      <c r="B850" s="3" t="str">
        <f ca="1">IFERROR(__xludf.DUMMYFUNCTION("IF(ISBLANK(A850),"""",GOOGLETRANSLATE(A850,""en"",""fr""))"),"")</f>
        <v/>
      </c>
    </row>
    <row r="851" spans="2:2">
      <c r="B851" s="3" t="str">
        <f ca="1">IFERROR(__xludf.DUMMYFUNCTION("IF(ISBLANK(A851),"""",GOOGLETRANSLATE(A851,""en"",""fr""))"),"")</f>
        <v/>
      </c>
    </row>
    <row r="852" spans="2:2">
      <c r="B852" s="3" t="str">
        <f ca="1">IFERROR(__xludf.DUMMYFUNCTION("IF(ISBLANK(A852),"""",GOOGLETRANSLATE(A852,""en"",""fr""))"),"")</f>
        <v/>
      </c>
    </row>
    <row r="853" spans="2:2">
      <c r="B853" s="3" t="str">
        <f ca="1">IFERROR(__xludf.DUMMYFUNCTION("IF(ISBLANK(A853),"""",GOOGLETRANSLATE(A853,""en"",""fr""))"),"")</f>
        <v/>
      </c>
    </row>
    <row r="854" spans="2:2">
      <c r="B854" s="3" t="str">
        <f ca="1">IFERROR(__xludf.DUMMYFUNCTION("IF(ISBLANK(A854),"""",GOOGLETRANSLATE(A854,""en"",""fr""))"),"")</f>
        <v/>
      </c>
    </row>
    <row r="855" spans="2:2">
      <c r="B855" s="3" t="str">
        <f ca="1">IFERROR(__xludf.DUMMYFUNCTION("IF(ISBLANK(A855),"""",GOOGLETRANSLATE(A855,""en"",""fr""))"),"")</f>
        <v/>
      </c>
    </row>
    <row r="856" spans="2:2">
      <c r="B856" s="3" t="str">
        <f ca="1">IFERROR(__xludf.DUMMYFUNCTION("IF(ISBLANK(A856),"""",GOOGLETRANSLATE(A856,""en"",""fr""))"),"")</f>
        <v/>
      </c>
    </row>
    <row r="857" spans="2:2">
      <c r="B857" s="3" t="str">
        <f ca="1">IFERROR(__xludf.DUMMYFUNCTION("IF(ISBLANK(A857),"""",GOOGLETRANSLATE(A857,""en"",""fr""))"),"")</f>
        <v/>
      </c>
    </row>
    <row r="858" spans="2:2">
      <c r="B858" s="3" t="str">
        <f ca="1">IFERROR(__xludf.DUMMYFUNCTION("IF(ISBLANK(A858),"""",GOOGLETRANSLATE(A858,""en"",""fr""))"),"")</f>
        <v/>
      </c>
    </row>
    <row r="859" spans="2:2">
      <c r="B859" s="3" t="str">
        <f ca="1">IFERROR(__xludf.DUMMYFUNCTION("IF(ISBLANK(A859),"""",GOOGLETRANSLATE(A859,""en"",""fr""))"),"")</f>
        <v/>
      </c>
    </row>
    <row r="860" spans="2:2">
      <c r="B860" s="3" t="str">
        <f ca="1">IFERROR(__xludf.DUMMYFUNCTION("IF(ISBLANK(A860),"""",GOOGLETRANSLATE(A860,""en"",""fr""))"),"")</f>
        <v/>
      </c>
    </row>
    <row r="861" spans="2:2">
      <c r="B861" s="3" t="str">
        <f ca="1">IFERROR(__xludf.DUMMYFUNCTION("IF(ISBLANK(A861),"""",GOOGLETRANSLATE(A861,""en"",""fr""))"),"")</f>
        <v/>
      </c>
    </row>
    <row r="862" spans="2:2">
      <c r="B862" s="3" t="str">
        <f ca="1">IFERROR(__xludf.DUMMYFUNCTION("IF(ISBLANK(A862),"""",GOOGLETRANSLATE(A862,""en"",""fr""))"),"")</f>
        <v/>
      </c>
    </row>
    <row r="863" spans="2:2">
      <c r="B863" s="3" t="str">
        <f ca="1">IFERROR(__xludf.DUMMYFUNCTION("IF(ISBLANK(A863),"""",GOOGLETRANSLATE(A863,""en"",""fr""))"),"")</f>
        <v/>
      </c>
    </row>
    <row r="864" spans="2:2">
      <c r="B864" s="3" t="str">
        <f ca="1">IFERROR(__xludf.DUMMYFUNCTION("IF(ISBLANK(A864),"""",GOOGLETRANSLATE(A864,""en"",""fr""))"),"")</f>
        <v/>
      </c>
    </row>
    <row r="865" spans="2:2">
      <c r="B865" s="3" t="str">
        <f ca="1">IFERROR(__xludf.DUMMYFUNCTION("IF(ISBLANK(A865),"""",GOOGLETRANSLATE(A865,""en"",""fr""))"),"")</f>
        <v/>
      </c>
    </row>
    <row r="866" spans="2:2">
      <c r="B866" s="3" t="str">
        <f ca="1">IFERROR(__xludf.DUMMYFUNCTION("IF(ISBLANK(A866),"""",GOOGLETRANSLATE(A866,""en"",""fr""))"),"")</f>
        <v/>
      </c>
    </row>
    <row r="867" spans="2:2">
      <c r="B867" s="3" t="str">
        <f ca="1">IFERROR(__xludf.DUMMYFUNCTION("IF(ISBLANK(A867),"""",GOOGLETRANSLATE(A867,""en"",""fr""))"),"")</f>
        <v/>
      </c>
    </row>
    <row r="868" spans="2:2">
      <c r="B868" s="3" t="str">
        <f ca="1">IFERROR(__xludf.DUMMYFUNCTION("IF(ISBLANK(A868),"""",GOOGLETRANSLATE(A868,""en"",""fr""))"),"")</f>
        <v/>
      </c>
    </row>
    <row r="869" spans="2:2">
      <c r="B869" s="3" t="str">
        <f ca="1">IFERROR(__xludf.DUMMYFUNCTION("IF(ISBLANK(A869),"""",GOOGLETRANSLATE(A869,""en"",""fr""))"),"")</f>
        <v/>
      </c>
    </row>
    <row r="870" spans="2:2">
      <c r="B870" s="3" t="str">
        <f ca="1">IFERROR(__xludf.DUMMYFUNCTION("IF(ISBLANK(A870),"""",GOOGLETRANSLATE(A870,""en"",""fr""))"),"")</f>
        <v/>
      </c>
    </row>
    <row r="871" spans="2:2">
      <c r="B871" s="3" t="str">
        <f ca="1">IFERROR(__xludf.DUMMYFUNCTION("IF(ISBLANK(A871),"""",GOOGLETRANSLATE(A871,""en"",""fr""))"),"")</f>
        <v/>
      </c>
    </row>
    <row r="872" spans="2:2">
      <c r="B872" s="3" t="str">
        <f ca="1">IFERROR(__xludf.DUMMYFUNCTION("IF(ISBLANK(A872),"""",GOOGLETRANSLATE(A872,""en"",""fr""))"),"")</f>
        <v/>
      </c>
    </row>
    <row r="873" spans="2:2">
      <c r="B873" s="3" t="str">
        <f ca="1">IFERROR(__xludf.DUMMYFUNCTION("IF(ISBLANK(A873),"""",GOOGLETRANSLATE(A873,""en"",""fr""))"),"")</f>
        <v/>
      </c>
    </row>
    <row r="874" spans="2:2">
      <c r="B874" s="3" t="str">
        <f ca="1">IFERROR(__xludf.DUMMYFUNCTION("IF(ISBLANK(A874),"""",GOOGLETRANSLATE(A874,""en"",""fr""))"),"")</f>
        <v/>
      </c>
    </row>
    <row r="875" spans="2:2">
      <c r="B875" s="3" t="str">
        <f ca="1">IFERROR(__xludf.DUMMYFUNCTION("IF(ISBLANK(A875),"""",GOOGLETRANSLATE(A875,""en"",""fr""))"),"")</f>
        <v/>
      </c>
    </row>
    <row r="876" spans="2:2">
      <c r="B876" s="3" t="str">
        <f ca="1">IFERROR(__xludf.DUMMYFUNCTION("IF(ISBLANK(A876),"""",GOOGLETRANSLATE(A876,""en"",""fr""))"),"")</f>
        <v/>
      </c>
    </row>
    <row r="877" spans="2:2">
      <c r="B877" s="3" t="str">
        <f ca="1">IFERROR(__xludf.DUMMYFUNCTION("IF(ISBLANK(A877),"""",GOOGLETRANSLATE(A877,""en"",""fr""))"),"")</f>
        <v/>
      </c>
    </row>
    <row r="878" spans="2:2">
      <c r="B878" s="3" t="str">
        <f ca="1">IFERROR(__xludf.DUMMYFUNCTION("IF(ISBLANK(A878),"""",GOOGLETRANSLATE(A878,""en"",""fr""))"),"")</f>
        <v/>
      </c>
    </row>
    <row r="879" spans="2:2">
      <c r="B879" s="3" t="str">
        <f ca="1">IFERROR(__xludf.DUMMYFUNCTION("IF(ISBLANK(A879),"""",GOOGLETRANSLATE(A879,""en"",""fr""))"),"")</f>
        <v/>
      </c>
    </row>
    <row r="880" spans="2:2">
      <c r="B880" s="3" t="str">
        <f ca="1">IFERROR(__xludf.DUMMYFUNCTION("IF(ISBLANK(A880),"""",GOOGLETRANSLATE(A880,""en"",""fr""))"),"")</f>
        <v/>
      </c>
    </row>
    <row r="881" spans="2:2">
      <c r="B881" s="3" t="str">
        <f ca="1">IFERROR(__xludf.DUMMYFUNCTION("IF(ISBLANK(A881),"""",GOOGLETRANSLATE(A881,""en"",""fr""))"),"")</f>
        <v/>
      </c>
    </row>
    <row r="882" spans="2:2">
      <c r="B882" s="3" t="str">
        <f ca="1">IFERROR(__xludf.DUMMYFUNCTION("IF(ISBLANK(A882),"""",GOOGLETRANSLATE(A882,""en"",""fr""))"),"")</f>
        <v/>
      </c>
    </row>
    <row r="883" spans="2:2">
      <c r="B883" s="3" t="str">
        <f ca="1">IFERROR(__xludf.DUMMYFUNCTION("IF(ISBLANK(A883),"""",GOOGLETRANSLATE(A883,""en"",""fr""))"),"")</f>
        <v/>
      </c>
    </row>
    <row r="884" spans="2:2">
      <c r="B884" s="3" t="str">
        <f ca="1">IFERROR(__xludf.DUMMYFUNCTION("IF(ISBLANK(A884),"""",GOOGLETRANSLATE(A884,""en"",""fr""))"),"")</f>
        <v/>
      </c>
    </row>
    <row r="885" spans="2:2">
      <c r="B885" s="3" t="str">
        <f ca="1">IFERROR(__xludf.DUMMYFUNCTION("IF(ISBLANK(A885),"""",GOOGLETRANSLATE(A885,""en"",""fr""))"),"")</f>
        <v/>
      </c>
    </row>
    <row r="886" spans="2:2">
      <c r="B886" s="3" t="str">
        <f ca="1">IFERROR(__xludf.DUMMYFUNCTION("IF(ISBLANK(A886),"""",GOOGLETRANSLATE(A886,""en"",""fr""))"),"")</f>
        <v/>
      </c>
    </row>
    <row r="887" spans="2:2">
      <c r="B887" s="3" t="str">
        <f ca="1">IFERROR(__xludf.DUMMYFUNCTION("IF(ISBLANK(A887),"""",GOOGLETRANSLATE(A887,""en"",""fr""))"),"")</f>
        <v/>
      </c>
    </row>
    <row r="888" spans="2:2">
      <c r="B888" s="3" t="str">
        <f ca="1">IFERROR(__xludf.DUMMYFUNCTION("IF(ISBLANK(A888),"""",GOOGLETRANSLATE(A888,""en"",""fr""))"),"")</f>
        <v/>
      </c>
    </row>
    <row r="889" spans="2:2">
      <c r="B889" s="3" t="str">
        <f ca="1">IFERROR(__xludf.DUMMYFUNCTION("IF(ISBLANK(A889),"""",GOOGLETRANSLATE(A889,""en"",""fr""))"),"")</f>
        <v/>
      </c>
    </row>
    <row r="890" spans="2:2">
      <c r="B890" s="3" t="str">
        <f ca="1">IFERROR(__xludf.DUMMYFUNCTION("IF(ISBLANK(A890),"""",GOOGLETRANSLATE(A890,""en"",""fr""))"),"")</f>
        <v/>
      </c>
    </row>
    <row r="891" spans="2:2">
      <c r="B891" s="3" t="str">
        <f ca="1">IFERROR(__xludf.DUMMYFUNCTION("IF(ISBLANK(A891),"""",GOOGLETRANSLATE(A891,""en"",""fr""))"),"")</f>
        <v/>
      </c>
    </row>
    <row r="892" spans="2:2">
      <c r="B892" s="3" t="str">
        <f ca="1">IFERROR(__xludf.DUMMYFUNCTION("IF(ISBLANK(A892),"""",GOOGLETRANSLATE(A892,""en"",""fr""))"),"")</f>
        <v/>
      </c>
    </row>
    <row r="893" spans="2:2">
      <c r="B893" s="3" t="str">
        <f ca="1">IFERROR(__xludf.DUMMYFUNCTION("IF(ISBLANK(A893),"""",GOOGLETRANSLATE(A893,""en"",""fr""))"),"")</f>
        <v/>
      </c>
    </row>
    <row r="894" spans="2:2">
      <c r="B894" s="3" t="str">
        <f ca="1">IFERROR(__xludf.DUMMYFUNCTION("IF(ISBLANK(A894),"""",GOOGLETRANSLATE(A894,""en"",""fr""))"),"")</f>
        <v/>
      </c>
    </row>
    <row r="895" spans="2:2">
      <c r="B895" s="3" t="str">
        <f ca="1">IFERROR(__xludf.DUMMYFUNCTION("IF(ISBLANK(A895),"""",GOOGLETRANSLATE(A895,""en"",""fr""))"),"")</f>
        <v/>
      </c>
    </row>
    <row r="896" spans="2:2">
      <c r="B896" s="3" t="str">
        <f ca="1">IFERROR(__xludf.DUMMYFUNCTION("IF(ISBLANK(A896),"""",GOOGLETRANSLATE(A896,""en"",""fr""))"),"")</f>
        <v/>
      </c>
    </row>
    <row r="897" spans="2:2">
      <c r="B897" s="3" t="str">
        <f ca="1">IFERROR(__xludf.DUMMYFUNCTION("IF(ISBLANK(A897),"""",GOOGLETRANSLATE(A897,""en"",""fr""))"),"")</f>
        <v/>
      </c>
    </row>
    <row r="898" spans="2:2">
      <c r="B898" s="3" t="str">
        <f ca="1">IFERROR(__xludf.DUMMYFUNCTION("IF(ISBLANK(A898),"""",GOOGLETRANSLATE(A898,""en"",""fr""))"),"")</f>
        <v/>
      </c>
    </row>
    <row r="899" spans="2:2">
      <c r="B899" s="3" t="str">
        <f ca="1">IFERROR(__xludf.DUMMYFUNCTION("IF(ISBLANK(A899),"""",GOOGLETRANSLATE(A899,""en"",""fr""))"),"")</f>
        <v/>
      </c>
    </row>
    <row r="900" spans="2:2">
      <c r="B900" s="3" t="str">
        <f ca="1">IFERROR(__xludf.DUMMYFUNCTION("IF(ISBLANK(A900),"""",GOOGLETRANSLATE(A900,""en"",""fr""))"),"")</f>
        <v/>
      </c>
    </row>
    <row r="901" spans="2:2">
      <c r="B901" s="3" t="str">
        <f ca="1">IFERROR(__xludf.DUMMYFUNCTION("IF(ISBLANK(A901),"""",GOOGLETRANSLATE(A901,""en"",""fr""))"),"")</f>
        <v/>
      </c>
    </row>
    <row r="902" spans="2:2">
      <c r="B902" s="3" t="str">
        <f ca="1">IFERROR(__xludf.DUMMYFUNCTION("IF(ISBLANK(A902),"""",GOOGLETRANSLATE(A902,""en"",""fr""))"),"")</f>
        <v/>
      </c>
    </row>
    <row r="903" spans="2:2">
      <c r="B903" s="3" t="str">
        <f ca="1">IFERROR(__xludf.DUMMYFUNCTION("IF(ISBLANK(A903),"""",GOOGLETRANSLATE(A903,""en"",""fr""))"),"")</f>
        <v/>
      </c>
    </row>
    <row r="904" spans="2:2">
      <c r="B904" s="3" t="str">
        <f ca="1">IFERROR(__xludf.DUMMYFUNCTION("IF(ISBLANK(A904),"""",GOOGLETRANSLATE(A904,""en"",""fr""))"),"")</f>
        <v/>
      </c>
    </row>
    <row r="905" spans="2:2">
      <c r="B905" s="3" t="str">
        <f ca="1">IFERROR(__xludf.DUMMYFUNCTION("IF(ISBLANK(A905),"""",GOOGLETRANSLATE(A905,""en"",""fr""))"),"")</f>
        <v/>
      </c>
    </row>
    <row r="906" spans="2:2">
      <c r="B906" s="3" t="str">
        <f ca="1">IFERROR(__xludf.DUMMYFUNCTION("IF(ISBLANK(A906),"""",GOOGLETRANSLATE(A906,""en"",""fr""))"),"")</f>
        <v/>
      </c>
    </row>
    <row r="907" spans="2:2">
      <c r="B907" s="3" t="str">
        <f ca="1">IFERROR(__xludf.DUMMYFUNCTION("IF(ISBLANK(A907),"""",GOOGLETRANSLATE(A907,""en"",""fr""))"),"")</f>
        <v/>
      </c>
    </row>
    <row r="908" spans="2:2">
      <c r="B908" s="3" t="str">
        <f ca="1">IFERROR(__xludf.DUMMYFUNCTION("IF(ISBLANK(A908),"""",GOOGLETRANSLATE(A908,""en"",""fr""))"),"")</f>
        <v/>
      </c>
    </row>
    <row r="909" spans="2:2">
      <c r="B909" s="3" t="str">
        <f ca="1">IFERROR(__xludf.DUMMYFUNCTION("IF(ISBLANK(A909),"""",GOOGLETRANSLATE(A909,""en"",""fr""))"),"")</f>
        <v/>
      </c>
    </row>
    <row r="910" spans="2:2">
      <c r="B910" s="3" t="str">
        <f ca="1">IFERROR(__xludf.DUMMYFUNCTION("IF(ISBLANK(A910),"""",GOOGLETRANSLATE(A910,""en"",""fr""))"),"")</f>
        <v/>
      </c>
    </row>
    <row r="911" spans="2:2">
      <c r="B911" s="3" t="str">
        <f ca="1">IFERROR(__xludf.DUMMYFUNCTION("IF(ISBLANK(A911),"""",GOOGLETRANSLATE(A911,""en"",""fr""))"),"")</f>
        <v/>
      </c>
    </row>
    <row r="912" spans="2:2">
      <c r="B912" s="3" t="str">
        <f ca="1">IFERROR(__xludf.DUMMYFUNCTION("IF(ISBLANK(A912),"""",GOOGLETRANSLATE(A912,""en"",""fr""))"),"")</f>
        <v/>
      </c>
    </row>
    <row r="913" spans="2:2">
      <c r="B913" s="3" t="str">
        <f ca="1">IFERROR(__xludf.DUMMYFUNCTION("IF(ISBLANK(A913),"""",GOOGLETRANSLATE(A913,""en"",""fr""))"),"")</f>
        <v/>
      </c>
    </row>
    <row r="914" spans="2:2">
      <c r="B914" s="3" t="str">
        <f ca="1">IFERROR(__xludf.DUMMYFUNCTION("IF(ISBLANK(A914),"""",GOOGLETRANSLATE(A914,""en"",""fr""))"),"")</f>
        <v/>
      </c>
    </row>
    <row r="915" spans="2:2">
      <c r="B915" s="3" t="str">
        <f ca="1">IFERROR(__xludf.DUMMYFUNCTION("IF(ISBLANK(A915),"""",GOOGLETRANSLATE(A915,""en"",""fr""))"),"")</f>
        <v/>
      </c>
    </row>
    <row r="916" spans="2:2">
      <c r="B916" s="3" t="str">
        <f ca="1">IFERROR(__xludf.DUMMYFUNCTION("IF(ISBLANK(A916),"""",GOOGLETRANSLATE(A916,""en"",""fr""))"),"")</f>
        <v/>
      </c>
    </row>
    <row r="917" spans="2:2">
      <c r="B917" s="3" t="str">
        <f ca="1">IFERROR(__xludf.DUMMYFUNCTION("IF(ISBLANK(A917),"""",GOOGLETRANSLATE(A917,""en"",""fr""))"),"")</f>
        <v/>
      </c>
    </row>
    <row r="918" spans="2:2">
      <c r="B918" s="3" t="str">
        <f ca="1">IFERROR(__xludf.DUMMYFUNCTION("IF(ISBLANK(A918),"""",GOOGLETRANSLATE(A918,""en"",""fr""))"),"")</f>
        <v/>
      </c>
    </row>
    <row r="919" spans="2:2">
      <c r="B919" s="3" t="str">
        <f ca="1">IFERROR(__xludf.DUMMYFUNCTION("IF(ISBLANK(A919),"""",GOOGLETRANSLATE(A919,""en"",""fr""))"),"")</f>
        <v/>
      </c>
    </row>
    <row r="920" spans="2:2">
      <c r="B920" s="3" t="str">
        <f ca="1">IFERROR(__xludf.DUMMYFUNCTION("IF(ISBLANK(A920),"""",GOOGLETRANSLATE(A920,""en"",""fr""))"),"")</f>
        <v/>
      </c>
    </row>
    <row r="921" spans="2:2">
      <c r="B921" s="3" t="str">
        <f ca="1">IFERROR(__xludf.DUMMYFUNCTION("IF(ISBLANK(A921),"""",GOOGLETRANSLATE(A921,""en"",""fr""))"),"")</f>
        <v/>
      </c>
    </row>
    <row r="922" spans="2:2">
      <c r="B922" s="3" t="str">
        <f ca="1">IFERROR(__xludf.DUMMYFUNCTION("IF(ISBLANK(A922),"""",GOOGLETRANSLATE(A922,""en"",""fr""))"),"")</f>
        <v/>
      </c>
    </row>
    <row r="923" spans="2:2">
      <c r="B923" s="3" t="str">
        <f ca="1">IFERROR(__xludf.DUMMYFUNCTION("IF(ISBLANK(A923),"""",GOOGLETRANSLATE(A923,""en"",""fr""))"),"")</f>
        <v/>
      </c>
    </row>
    <row r="924" spans="2:2">
      <c r="B924" s="3" t="str">
        <f ca="1">IFERROR(__xludf.DUMMYFUNCTION("IF(ISBLANK(A924),"""",GOOGLETRANSLATE(A924,""en"",""fr""))"),"")</f>
        <v/>
      </c>
    </row>
    <row r="925" spans="2:2">
      <c r="B925" s="3" t="str">
        <f ca="1">IFERROR(__xludf.DUMMYFUNCTION("IF(ISBLANK(A925),"""",GOOGLETRANSLATE(A925,""en"",""fr""))"),"")</f>
        <v/>
      </c>
    </row>
    <row r="926" spans="2:2">
      <c r="B926" s="3" t="str">
        <f ca="1">IFERROR(__xludf.DUMMYFUNCTION("IF(ISBLANK(A926),"""",GOOGLETRANSLATE(A926,""en"",""fr""))"),"")</f>
        <v/>
      </c>
    </row>
    <row r="927" spans="2:2">
      <c r="B927" s="3" t="str">
        <f ca="1">IFERROR(__xludf.DUMMYFUNCTION("IF(ISBLANK(A927),"""",GOOGLETRANSLATE(A927,""en"",""fr""))"),"")</f>
        <v/>
      </c>
    </row>
    <row r="928" spans="2:2">
      <c r="B928" s="3" t="str">
        <f ca="1">IFERROR(__xludf.DUMMYFUNCTION("IF(ISBLANK(A928),"""",GOOGLETRANSLATE(A928,""en"",""fr""))"),"")</f>
        <v/>
      </c>
    </row>
    <row r="929" spans="2:2">
      <c r="B929" s="3" t="str">
        <f ca="1">IFERROR(__xludf.DUMMYFUNCTION("IF(ISBLANK(A929),"""",GOOGLETRANSLATE(A929,""en"",""fr""))"),"")</f>
        <v/>
      </c>
    </row>
    <row r="930" spans="2:2">
      <c r="B930" s="3" t="str">
        <f ca="1">IFERROR(__xludf.DUMMYFUNCTION("IF(ISBLANK(A930),"""",GOOGLETRANSLATE(A930,""en"",""fr""))"),"")</f>
        <v/>
      </c>
    </row>
    <row r="931" spans="2:2">
      <c r="B931" s="3" t="str">
        <f ca="1">IFERROR(__xludf.DUMMYFUNCTION("IF(ISBLANK(A931),"""",GOOGLETRANSLATE(A931,""en"",""fr""))"),"")</f>
        <v/>
      </c>
    </row>
    <row r="932" spans="2:2">
      <c r="B932" s="3" t="str">
        <f ca="1">IFERROR(__xludf.DUMMYFUNCTION("IF(ISBLANK(A932),"""",GOOGLETRANSLATE(A932,""en"",""fr""))"),"")</f>
        <v/>
      </c>
    </row>
    <row r="933" spans="2:2">
      <c r="B933" s="3" t="str">
        <f ca="1">IFERROR(__xludf.DUMMYFUNCTION("IF(ISBLANK(A933),"""",GOOGLETRANSLATE(A933,""en"",""fr""))"),"")</f>
        <v/>
      </c>
    </row>
    <row r="934" spans="2:2">
      <c r="B934" s="3" t="str">
        <f ca="1">IFERROR(__xludf.DUMMYFUNCTION("IF(ISBLANK(A934),"""",GOOGLETRANSLATE(A934,""en"",""fr""))"),"")</f>
        <v/>
      </c>
    </row>
    <row r="935" spans="2:2">
      <c r="B935" s="3" t="str">
        <f ca="1">IFERROR(__xludf.DUMMYFUNCTION("IF(ISBLANK(A935),"""",GOOGLETRANSLATE(A935,""en"",""fr""))"),"")</f>
        <v/>
      </c>
    </row>
    <row r="936" spans="2:2">
      <c r="B936" s="3" t="str">
        <f ca="1">IFERROR(__xludf.DUMMYFUNCTION("IF(ISBLANK(A936),"""",GOOGLETRANSLATE(A936,""en"",""fr""))"),"")</f>
        <v/>
      </c>
    </row>
    <row r="937" spans="2:2">
      <c r="B937" s="3" t="str">
        <f ca="1">IFERROR(__xludf.DUMMYFUNCTION("IF(ISBLANK(A937),"""",GOOGLETRANSLATE(A937,""en"",""fr""))"),"")</f>
        <v/>
      </c>
    </row>
    <row r="938" spans="2:2">
      <c r="B938" s="3" t="str">
        <f ca="1">IFERROR(__xludf.DUMMYFUNCTION("IF(ISBLANK(A938),"""",GOOGLETRANSLATE(A938,""en"",""fr""))"),"")</f>
        <v/>
      </c>
    </row>
    <row r="939" spans="2:2">
      <c r="B939" s="3" t="str">
        <f ca="1">IFERROR(__xludf.DUMMYFUNCTION("IF(ISBLANK(A939),"""",GOOGLETRANSLATE(A939,""en"",""fr""))"),"")</f>
        <v/>
      </c>
    </row>
    <row r="940" spans="2:2">
      <c r="B940" s="3" t="str">
        <f ca="1">IFERROR(__xludf.DUMMYFUNCTION("IF(ISBLANK(A940),"""",GOOGLETRANSLATE(A940,""en"",""fr""))"),"")</f>
        <v/>
      </c>
    </row>
    <row r="941" spans="2:2">
      <c r="B941" s="3" t="str">
        <f ca="1">IFERROR(__xludf.DUMMYFUNCTION("IF(ISBLANK(A941),"""",GOOGLETRANSLATE(A941,""en"",""fr""))"),"")</f>
        <v/>
      </c>
    </row>
    <row r="942" spans="2:2">
      <c r="B942" s="3" t="str">
        <f ca="1">IFERROR(__xludf.DUMMYFUNCTION("IF(ISBLANK(A942),"""",GOOGLETRANSLATE(A942,""en"",""fr""))"),"")</f>
        <v/>
      </c>
    </row>
    <row r="943" spans="2:2">
      <c r="B943" s="3" t="str">
        <f ca="1">IFERROR(__xludf.DUMMYFUNCTION("IF(ISBLANK(A943),"""",GOOGLETRANSLATE(A943,""en"",""fr""))"),"")</f>
        <v/>
      </c>
    </row>
    <row r="944" spans="2:2">
      <c r="B944" s="3" t="str">
        <f ca="1">IFERROR(__xludf.DUMMYFUNCTION("IF(ISBLANK(A944),"""",GOOGLETRANSLATE(A944,""en"",""fr""))"),"")</f>
        <v/>
      </c>
    </row>
    <row r="945" spans="2:2">
      <c r="B945" s="3" t="str">
        <f ca="1">IFERROR(__xludf.DUMMYFUNCTION("IF(ISBLANK(A945),"""",GOOGLETRANSLATE(A945,""en"",""fr""))"),"")</f>
        <v/>
      </c>
    </row>
    <row r="946" spans="2:2">
      <c r="B946" s="3" t="str">
        <f ca="1">IFERROR(__xludf.DUMMYFUNCTION("IF(ISBLANK(A946),"""",GOOGLETRANSLATE(A946,""en"",""fr""))"),"")</f>
        <v/>
      </c>
    </row>
    <row r="947" spans="2:2">
      <c r="B947" s="3" t="str">
        <f ca="1">IFERROR(__xludf.DUMMYFUNCTION("IF(ISBLANK(A947),"""",GOOGLETRANSLATE(A947,""en"",""fr""))"),"")</f>
        <v/>
      </c>
    </row>
    <row r="948" spans="2:2">
      <c r="B948" s="3" t="str">
        <f ca="1">IFERROR(__xludf.DUMMYFUNCTION("IF(ISBLANK(A948),"""",GOOGLETRANSLATE(A948,""en"",""fr""))"),"")</f>
        <v/>
      </c>
    </row>
    <row r="949" spans="2:2">
      <c r="B949" s="3" t="str">
        <f ca="1">IFERROR(__xludf.DUMMYFUNCTION("IF(ISBLANK(A949),"""",GOOGLETRANSLATE(A949,""en"",""fr""))"),"")</f>
        <v/>
      </c>
    </row>
    <row r="950" spans="2:2">
      <c r="B950" s="3" t="str">
        <f ca="1">IFERROR(__xludf.DUMMYFUNCTION("IF(ISBLANK(A950),"""",GOOGLETRANSLATE(A950,""en"",""fr""))"),"")</f>
        <v/>
      </c>
    </row>
    <row r="951" spans="2:2">
      <c r="B951" s="3" t="str">
        <f ca="1">IFERROR(__xludf.DUMMYFUNCTION("IF(ISBLANK(A951),"""",GOOGLETRANSLATE(A951,""en"",""fr""))"),"")</f>
        <v/>
      </c>
    </row>
    <row r="952" spans="2:2">
      <c r="B952" s="3" t="str">
        <f ca="1">IFERROR(__xludf.DUMMYFUNCTION("IF(ISBLANK(A952),"""",GOOGLETRANSLATE(A952,""en"",""fr""))"),"")</f>
        <v/>
      </c>
    </row>
    <row r="953" spans="2:2">
      <c r="B953" s="3" t="str">
        <f ca="1">IFERROR(__xludf.DUMMYFUNCTION("IF(ISBLANK(A953),"""",GOOGLETRANSLATE(A953,""en"",""fr""))"),"")</f>
        <v/>
      </c>
    </row>
    <row r="954" spans="2:2">
      <c r="B954" s="3" t="str">
        <f ca="1">IFERROR(__xludf.DUMMYFUNCTION("IF(ISBLANK(A954),"""",GOOGLETRANSLATE(A954,""en"",""fr""))"),"")</f>
        <v/>
      </c>
    </row>
    <row r="955" spans="2:2">
      <c r="B955" s="3" t="str">
        <f ca="1">IFERROR(__xludf.DUMMYFUNCTION("IF(ISBLANK(A955),"""",GOOGLETRANSLATE(A955,""en"",""fr""))"),"")</f>
        <v/>
      </c>
    </row>
    <row r="956" spans="2:2">
      <c r="B956" s="3" t="str">
        <f ca="1">IFERROR(__xludf.DUMMYFUNCTION("IF(ISBLANK(A956),"""",GOOGLETRANSLATE(A956,""en"",""fr""))"),"")</f>
        <v/>
      </c>
    </row>
    <row r="957" spans="2:2">
      <c r="B957" s="3" t="str">
        <f ca="1">IFERROR(__xludf.DUMMYFUNCTION("IF(ISBLANK(A957),"""",GOOGLETRANSLATE(A957,""en"",""fr""))"),"")</f>
        <v/>
      </c>
    </row>
    <row r="958" spans="2:2">
      <c r="B958" s="3" t="str">
        <f ca="1">IFERROR(__xludf.DUMMYFUNCTION("IF(ISBLANK(A958),"""",GOOGLETRANSLATE(A958,""en"",""fr""))"),"")</f>
        <v/>
      </c>
    </row>
    <row r="959" spans="2:2">
      <c r="B959" s="3" t="str">
        <f ca="1">IFERROR(__xludf.DUMMYFUNCTION("IF(ISBLANK(A959),"""",GOOGLETRANSLATE(A959,""en"",""fr""))"),"")</f>
        <v/>
      </c>
    </row>
    <row r="960" spans="2:2">
      <c r="B960" s="3" t="str">
        <f ca="1">IFERROR(__xludf.DUMMYFUNCTION("IF(ISBLANK(A960),"""",GOOGLETRANSLATE(A960,""en"",""fr""))"),"")</f>
        <v/>
      </c>
    </row>
    <row r="961" spans="2:2">
      <c r="B961" s="3" t="str">
        <f ca="1">IFERROR(__xludf.DUMMYFUNCTION("IF(ISBLANK(A961),"""",GOOGLETRANSLATE(A961,""en"",""fr""))"),"")</f>
        <v/>
      </c>
    </row>
    <row r="962" spans="2:2">
      <c r="B962" s="3" t="str">
        <f ca="1">IFERROR(__xludf.DUMMYFUNCTION("IF(ISBLANK(A962),"""",GOOGLETRANSLATE(A962,""en"",""fr""))"),"")</f>
        <v/>
      </c>
    </row>
    <row r="963" spans="2:2">
      <c r="B963" s="3" t="str">
        <f ca="1">IFERROR(__xludf.DUMMYFUNCTION("IF(ISBLANK(A963),"""",GOOGLETRANSLATE(A963,""en"",""fr""))"),"")</f>
        <v/>
      </c>
    </row>
    <row r="964" spans="2:2">
      <c r="B964" s="3" t="str">
        <f ca="1">IFERROR(__xludf.DUMMYFUNCTION("IF(ISBLANK(A964),"""",GOOGLETRANSLATE(A964,""en"",""fr""))"),"")</f>
        <v/>
      </c>
    </row>
    <row r="965" spans="2:2">
      <c r="B965" s="3" t="str">
        <f ca="1">IFERROR(__xludf.DUMMYFUNCTION("IF(ISBLANK(A965),"""",GOOGLETRANSLATE(A965,""en"",""fr""))"),"")</f>
        <v/>
      </c>
    </row>
    <row r="966" spans="2:2">
      <c r="B966" s="3" t="str">
        <f ca="1">IFERROR(__xludf.DUMMYFUNCTION("IF(ISBLANK(A966),"""",GOOGLETRANSLATE(A966,""en"",""fr""))"),"")</f>
        <v/>
      </c>
    </row>
    <row r="967" spans="2:2">
      <c r="B967" s="3" t="str">
        <f ca="1">IFERROR(__xludf.DUMMYFUNCTION("IF(ISBLANK(A967),"""",GOOGLETRANSLATE(A967,""en"",""fr""))"),"")</f>
        <v/>
      </c>
    </row>
    <row r="968" spans="2:2">
      <c r="B968" s="3" t="str">
        <f ca="1">IFERROR(__xludf.DUMMYFUNCTION("IF(ISBLANK(A968),"""",GOOGLETRANSLATE(A968,""en"",""fr""))"),"")</f>
        <v/>
      </c>
    </row>
    <row r="969" spans="2:2">
      <c r="B969" s="3" t="str">
        <f ca="1">IFERROR(__xludf.DUMMYFUNCTION("IF(ISBLANK(A969),"""",GOOGLETRANSLATE(A969,""en"",""fr""))"),"")</f>
        <v/>
      </c>
    </row>
    <row r="970" spans="2:2">
      <c r="B970" s="3" t="str">
        <f ca="1">IFERROR(__xludf.DUMMYFUNCTION("IF(ISBLANK(A970),"""",GOOGLETRANSLATE(A970,""en"",""fr""))"),"")</f>
        <v/>
      </c>
    </row>
    <row r="971" spans="2:2">
      <c r="B971" s="3" t="str">
        <f ca="1">IFERROR(__xludf.DUMMYFUNCTION("IF(ISBLANK(A971),"""",GOOGLETRANSLATE(A971,""en"",""fr""))"),"")</f>
        <v/>
      </c>
    </row>
    <row r="972" spans="2:2">
      <c r="B972" s="3" t="str">
        <f ca="1">IFERROR(__xludf.DUMMYFUNCTION("IF(ISBLANK(A972),"""",GOOGLETRANSLATE(A972,""en"",""fr""))"),"")</f>
        <v/>
      </c>
    </row>
    <row r="973" spans="2:2">
      <c r="B973" s="3" t="str">
        <f ca="1">IFERROR(__xludf.DUMMYFUNCTION("IF(ISBLANK(A973),"""",GOOGLETRANSLATE(A973,""en"",""fr""))"),"")</f>
        <v/>
      </c>
    </row>
    <row r="974" spans="2:2">
      <c r="B974" s="3" t="str">
        <f ca="1">IFERROR(__xludf.DUMMYFUNCTION("IF(ISBLANK(A974),"""",GOOGLETRANSLATE(A974,""en"",""fr""))"),"")</f>
        <v/>
      </c>
    </row>
    <row r="975" spans="2:2">
      <c r="B975" s="3" t="str">
        <f ca="1">IFERROR(__xludf.DUMMYFUNCTION("IF(ISBLANK(A975),"""",GOOGLETRANSLATE(A975,""en"",""fr""))"),"")</f>
        <v/>
      </c>
    </row>
    <row r="976" spans="2:2">
      <c r="B976" s="3" t="str">
        <f ca="1">IFERROR(__xludf.DUMMYFUNCTION("IF(ISBLANK(A976),"""",GOOGLETRANSLATE(A976,""en"",""fr""))"),"")</f>
        <v/>
      </c>
    </row>
    <row r="977" spans="2:2">
      <c r="B977" s="3" t="str">
        <f ca="1">IFERROR(__xludf.DUMMYFUNCTION("IF(ISBLANK(A977),"""",GOOGLETRANSLATE(A977,""en"",""fr""))"),"")</f>
        <v/>
      </c>
    </row>
    <row r="978" spans="2:2">
      <c r="B978" s="3" t="str">
        <f ca="1">IFERROR(__xludf.DUMMYFUNCTION("IF(ISBLANK(A978),"""",GOOGLETRANSLATE(A978,""en"",""fr""))"),"")</f>
        <v/>
      </c>
    </row>
    <row r="979" spans="2:2">
      <c r="B979" s="3" t="str">
        <f ca="1">IFERROR(__xludf.DUMMYFUNCTION("IF(ISBLANK(A979),"""",GOOGLETRANSLATE(A979,""en"",""fr""))"),"")</f>
        <v/>
      </c>
    </row>
    <row r="980" spans="2:2">
      <c r="B980" s="3" t="str">
        <f ca="1">IFERROR(__xludf.DUMMYFUNCTION("IF(ISBLANK(A980),"""",GOOGLETRANSLATE(A980,""en"",""fr""))"),"")</f>
        <v/>
      </c>
    </row>
    <row r="981" spans="2:2">
      <c r="B981" s="3" t="str">
        <f ca="1">IFERROR(__xludf.DUMMYFUNCTION("IF(ISBLANK(A981),"""",GOOGLETRANSLATE(A981,""en"",""fr""))"),"")</f>
        <v/>
      </c>
    </row>
    <row r="982" spans="2:2">
      <c r="B982" s="3" t="str">
        <f ca="1">IFERROR(__xludf.DUMMYFUNCTION("IF(ISBLANK(A982),"""",GOOGLETRANSLATE(A982,""en"",""fr""))"),"")</f>
        <v/>
      </c>
    </row>
    <row r="983" spans="2:2">
      <c r="B983" s="3" t="str">
        <f ca="1">IFERROR(__xludf.DUMMYFUNCTION("IF(ISBLANK(A983),"""",GOOGLETRANSLATE(A983,""en"",""fr""))"),"")</f>
        <v/>
      </c>
    </row>
    <row r="984" spans="2:2">
      <c r="B984" s="3" t="str">
        <f ca="1">IFERROR(__xludf.DUMMYFUNCTION("IF(ISBLANK(A984),"""",GOOGLETRANSLATE(A984,""en"",""fr""))"),"")</f>
        <v/>
      </c>
    </row>
    <row r="985" spans="2:2">
      <c r="B985" s="3" t="str">
        <f ca="1">IFERROR(__xludf.DUMMYFUNCTION("IF(ISBLANK(A985),"""",GOOGLETRANSLATE(A985,""en"",""fr""))"),"")</f>
        <v/>
      </c>
    </row>
    <row r="986" spans="2:2">
      <c r="B986" s="3" t="str">
        <f ca="1">IFERROR(__xludf.DUMMYFUNCTION("IF(ISBLANK(A986),"""",GOOGLETRANSLATE(A986,""en"",""fr""))"),"")</f>
        <v/>
      </c>
    </row>
    <row r="987" spans="2:2">
      <c r="B987" s="3" t="str">
        <f ca="1">IFERROR(__xludf.DUMMYFUNCTION("IF(ISBLANK(A987),"""",GOOGLETRANSLATE(A987,""en"",""fr""))"),"")</f>
        <v/>
      </c>
    </row>
    <row r="988" spans="2:2">
      <c r="B988" s="3" t="str">
        <f ca="1">IFERROR(__xludf.DUMMYFUNCTION("IF(ISBLANK(A988),"""",GOOGLETRANSLATE(A988,""en"",""fr""))"),"")</f>
        <v/>
      </c>
    </row>
    <row r="989" spans="2:2">
      <c r="B989" s="3" t="str">
        <f ca="1">IFERROR(__xludf.DUMMYFUNCTION("IF(ISBLANK(A989),"""",GOOGLETRANSLATE(A989,""en"",""fr""))"),"")</f>
        <v/>
      </c>
    </row>
    <row r="990" spans="2:2">
      <c r="B990" s="3" t="str">
        <f ca="1">IFERROR(__xludf.DUMMYFUNCTION("IF(ISBLANK(A990),"""",GOOGLETRANSLATE(A990,""en"",""fr""))"),"")</f>
        <v/>
      </c>
    </row>
    <row r="991" spans="2:2">
      <c r="B991" s="3" t="str">
        <f ca="1">IFERROR(__xludf.DUMMYFUNCTION("IF(ISBLANK(A991),"""",GOOGLETRANSLATE(A991,""en"",""fr""))"),"")</f>
        <v/>
      </c>
    </row>
    <row r="992" spans="2:2">
      <c r="B992" s="3" t="str">
        <f ca="1">IFERROR(__xludf.DUMMYFUNCTION("IF(ISBLANK(A992),"""",GOOGLETRANSLATE(A992,""en"",""fr""))"),"")</f>
        <v/>
      </c>
    </row>
    <row r="993" spans="2:2">
      <c r="B993" s="3" t="str">
        <f ca="1">IFERROR(__xludf.DUMMYFUNCTION("IF(ISBLANK(A993),"""",GOOGLETRANSLATE(A993,""en"",""fr""))"),"")</f>
        <v/>
      </c>
    </row>
    <row r="994" spans="2:2">
      <c r="B994" s="3" t="str">
        <f ca="1">IFERROR(__xludf.DUMMYFUNCTION("IF(ISBLANK(A994),"""",GOOGLETRANSLATE(A994,""en"",""fr""))"),"")</f>
        <v/>
      </c>
    </row>
    <row r="995" spans="2:2">
      <c r="B995" s="3" t="str">
        <f ca="1">IFERROR(__xludf.DUMMYFUNCTION("IF(ISBLANK(A995),"""",GOOGLETRANSLATE(A995,""en"",""fr""))"),"")</f>
        <v/>
      </c>
    </row>
    <row r="996" spans="2:2">
      <c r="B996" s="3" t="str">
        <f ca="1">IFERROR(__xludf.DUMMYFUNCTION("IF(ISBLANK(A996),"""",GOOGLETRANSLATE(A996,""en"",""fr""))"),"")</f>
        <v/>
      </c>
    </row>
    <row r="997" spans="2:2">
      <c r="B997" s="3" t="str">
        <f ca="1">IFERROR(__xludf.DUMMYFUNCTION("IF(ISBLANK(A997),"""",GOOGLETRANSLATE(A997,""en"",""fr""))"),"")</f>
        <v/>
      </c>
    </row>
    <row r="998" spans="2:2">
      <c r="B998" s="3" t="str">
        <f ca="1">IFERROR(__xludf.DUMMYFUNCTION("IF(ISBLANK(A998),"""",GOOGLETRANSLATE(A998,""en"",""fr""))"),"")</f>
        <v/>
      </c>
    </row>
    <row r="999" spans="2:2">
      <c r="B999" s="3" t="str">
        <f ca="1">IFERROR(__xludf.DUMMYFUNCTION("IF(ISBLANK(A999),"""",GOOGLETRANSLATE(A999,""en"",""fr""))"),"")</f>
        <v/>
      </c>
    </row>
    <row r="1000" spans="2:2">
      <c r="B1000" s="3" t="str">
        <f ca="1">IFERROR(__xludf.DUMMYFUNCTION("IF(ISBLANK(A1000),"""",GOOGLETRANSLATE(A1000,""en"",""fr""))"),"")</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Main Page</vt:lpstr>
      <vt:lpstr>Menu</vt:lpstr>
      <vt:lpstr>Footer</vt:lpstr>
      <vt:lpstr>Digital Retail</vt:lpstr>
      <vt:lpstr>Portals</vt:lpstr>
      <vt:lpstr>Loan Origination</vt:lpstr>
      <vt:lpstr>Lease Servicing</vt:lpstr>
      <vt:lpstr>Wholesale Finance</vt:lpstr>
      <vt:lpstr>Mobility Solutions</vt:lpstr>
      <vt:lpstr>Transcend Ai Labs</vt:lpstr>
      <vt:lpstr>Marketplace</vt:lpstr>
      <vt:lpstr>Information Security</vt:lpstr>
      <vt:lpstr>Digital Solutions</vt:lpstr>
      <vt:lpstr>Ai Ml Services</vt:lpstr>
      <vt:lpstr>Generative Ai</vt:lpstr>
      <vt:lpstr>Policy Strategy Consulting</vt:lpstr>
      <vt:lpstr>Emerging Technologies</vt:lpstr>
      <vt:lpstr>Data Engineering</vt:lpstr>
      <vt:lpstr>Cloud Services</vt:lpstr>
      <vt:lpstr>Automotive Finance</vt:lpstr>
      <vt:lpstr>Equipment Finance</vt:lpstr>
      <vt:lpstr>Insights</vt:lpstr>
      <vt:lpstr>Board of Directors</vt:lpstr>
      <vt:lpstr>Management Team</vt:lpstr>
      <vt:lpstr>Contact Us</vt:lpstr>
      <vt:lpstr>Transcend</vt:lpstr>
      <vt:lpstr>Terms of Use</vt:lpstr>
      <vt:lpstr>Privacy Policy</vt:lpstr>
      <vt:lpstr>Human Rights Policy</vt:lpstr>
      <vt:lpstr>Modern Slavery Act</vt:lpstr>
      <vt:lpstr>Cookies</vt:lpstr>
      <vt:lpstr>Privacy Policy Ccpa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2025-11-23T11:47:59Z</dcterms:modified>
</cp:coreProperties>
</file>