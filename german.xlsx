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automationScripts\translation\"/>
    </mc:Choice>
  </mc:AlternateContent>
  <bookViews>
    <workbookView xWindow="0" yWindow="0" windowWidth="23040" windowHeight="9072" tabRatio="842" firstSheet="3" activeTab="4"/>
  </bookViews>
  <sheets>
    <sheet name="Main Page" sheetId="1" r:id="rId1"/>
    <sheet name="Menu" sheetId="2" r:id="rId2"/>
    <sheet name="Footer" sheetId="3" r:id="rId3"/>
    <sheet name="Digital Retail" sheetId="4" r:id="rId4"/>
    <sheet name="Portals" sheetId="5" r:id="rId5"/>
    <sheet name="Loan Origination" sheetId="6" r:id="rId6"/>
    <sheet name="Lease Servicing" sheetId="7" r:id="rId7"/>
    <sheet name="Wholesale Finance" sheetId="8" r:id="rId8"/>
    <sheet name="Mobility Solutions" sheetId="9" r:id="rId9"/>
    <sheet name="Transcend Ai Labs" sheetId="10" r:id="rId10"/>
    <sheet name="Marketplace" sheetId="11" r:id="rId11"/>
    <sheet name="Information Security" sheetId="12" r:id="rId12"/>
    <sheet name="Digital Solutions" sheetId="13" r:id="rId13"/>
    <sheet name="Ai Ml Services" sheetId="14" r:id="rId14"/>
    <sheet name="Generative Ai" sheetId="15" r:id="rId15"/>
    <sheet name="Policy Strategy Consulting" sheetId="16" r:id="rId16"/>
    <sheet name="Emerging Technologies" sheetId="17" r:id="rId17"/>
    <sheet name="Cloud Services" sheetId="18" r:id="rId18"/>
    <sheet name="Data Engineering" sheetId="19" r:id="rId19"/>
    <sheet name="Automotive Finance" sheetId="20" r:id="rId20"/>
    <sheet name="Equipment Finance" sheetId="21" r:id="rId21"/>
    <sheet name="Insights" sheetId="22" r:id="rId22"/>
    <sheet name="Board of Directors" sheetId="23" r:id="rId23"/>
    <sheet name="Management Team" sheetId="24" r:id="rId24"/>
    <sheet name="Contact Us" sheetId="25" r:id="rId25"/>
    <sheet name="Transcend" sheetId="26" r:id="rId26"/>
    <sheet name="Terms of Use" sheetId="27" r:id="rId27"/>
    <sheet name="Privacy Policy" sheetId="28" r:id="rId28"/>
    <sheet name="Human Rights Policy" sheetId="29" r:id="rId29"/>
    <sheet name="Modern Slavery Act" sheetId="30" r:id="rId30"/>
    <sheet name="Cookies" sheetId="31" r:id="rId31"/>
    <sheet name="Privacy Policy Ccpa" sheetId="32" r:id="rId3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5" l="1"/>
  <c r="B83" i="4"/>
  <c r="B63" i="4"/>
  <c r="B47" i="4"/>
  <c r="B31" i="4"/>
  <c r="B6" i="4"/>
  <c r="B10" i="3"/>
  <c r="B39" i="2"/>
  <c r="B9" i="2"/>
  <c r="B38" i="3"/>
  <c r="B44" i="2"/>
  <c r="B98" i="1"/>
  <c r="B78" i="1"/>
  <c r="B54" i="1"/>
  <c r="B32" i="1"/>
  <c r="B8" i="1"/>
  <c r="B8" i="21"/>
  <c r="B5" i="14"/>
  <c r="B3" i="7"/>
  <c r="B7" i="30"/>
  <c r="B2" i="29"/>
  <c r="B55" i="28"/>
  <c r="B39" i="28"/>
  <c r="B23" i="28"/>
  <c r="B7" i="28"/>
  <c r="B47" i="27"/>
  <c r="B31" i="27"/>
  <c r="B15" i="27"/>
  <c r="B151" i="26"/>
  <c r="B135" i="26"/>
  <c r="B119" i="26"/>
  <c r="B103" i="26"/>
  <c r="B87" i="26"/>
  <c r="B71" i="26"/>
  <c r="B55" i="26"/>
  <c r="B39" i="26"/>
  <c r="B23" i="26"/>
  <c r="B2" i="26"/>
  <c r="B28" i="25"/>
  <c r="B9" i="25"/>
  <c r="B48" i="24"/>
  <c r="B32" i="24"/>
  <c r="B16" i="24"/>
  <c r="B21" i="23"/>
  <c r="B4" i="23"/>
  <c r="B62" i="22"/>
  <c r="B46" i="22"/>
  <c r="B30" i="22"/>
  <c r="B14" i="22"/>
  <c r="B70" i="21"/>
  <c r="B54" i="21"/>
  <c r="B38" i="21"/>
  <c r="B21" i="21"/>
  <c r="B2" i="21"/>
  <c r="B58" i="20"/>
  <c r="B42" i="20"/>
  <c r="B25" i="20"/>
  <c r="B9" i="20"/>
  <c r="B63" i="19"/>
  <c r="B47" i="19"/>
  <c r="B31" i="19"/>
  <c r="B15" i="19"/>
  <c r="B74" i="18"/>
  <c r="B58" i="18"/>
  <c r="B42" i="18"/>
  <c r="B26" i="18"/>
  <c r="B9" i="18"/>
  <c r="B55" i="17"/>
  <c r="B39" i="17"/>
  <c r="B23" i="17"/>
  <c r="B7" i="17"/>
  <c r="B57" i="16"/>
  <c r="B41" i="16"/>
  <c r="B25" i="16"/>
  <c r="B7" i="16"/>
  <c r="B52" i="15"/>
  <c r="B36" i="15"/>
  <c r="B20" i="15"/>
  <c r="B3" i="15"/>
  <c r="B55" i="14"/>
  <c r="B39" i="14"/>
  <c r="B22" i="14"/>
  <c r="B4" i="14"/>
  <c r="B62" i="13"/>
  <c r="B46" i="13"/>
  <c r="B30" i="13"/>
  <c r="B13" i="13"/>
  <c r="B67" i="12"/>
  <c r="B51" i="12"/>
  <c r="B35" i="12"/>
  <c r="B19" i="12"/>
  <c r="B2" i="12"/>
  <c r="B44" i="11"/>
  <c r="B28" i="11"/>
  <c r="B12" i="11"/>
  <c r="B109" i="10"/>
  <c r="B93" i="10"/>
  <c r="B77" i="10"/>
  <c r="B61" i="10"/>
  <c r="B44" i="10"/>
  <c r="B28" i="10"/>
  <c r="B12" i="10"/>
  <c r="B65" i="9"/>
  <c r="B49" i="9"/>
  <c r="B32" i="9"/>
  <c r="B16" i="9"/>
  <c r="B77" i="8"/>
  <c r="B61" i="8"/>
  <c r="B45" i="8"/>
  <c r="B29" i="8"/>
  <c r="B13" i="8"/>
  <c r="B76" i="7"/>
  <c r="B60" i="7"/>
  <c r="B44" i="7"/>
  <c r="B27" i="7"/>
  <c r="B11" i="7"/>
  <c r="B59" i="6"/>
  <c r="B43" i="6"/>
  <c r="B27" i="6"/>
  <c r="B11" i="6"/>
  <c r="B62" i="5"/>
  <c r="B46" i="5"/>
  <c r="B29" i="5"/>
  <c r="B73" i="4"/>
  <c r="B39" i="3"/>
  <c r="B55" i="2"/>
  <c r="B138" i="1"/>
  <c r="B25" i="5"/>
  <c r="B80" i="4"/>
  <c r="B62" i="4"/>
  <c r="B46" i="4"/>
  <c r="B29" i="4"/>
  <c r="B4" i="4"/>
  <c r="B8" i="3"/>
  <c r="B35" i="2"/>
  <c r="B12" i="2"/>
  <c r="B37" i="3"/>
  <c r="B144" i="1"/>
  <c r="B97" i="1"/>
  <c r="B77" i="1"/>
  <c r="B53" i="1"/>
  <c r="B31" i="1"/>
  <c r="B6" i="1"/>
  <c r="B30" i="20"/>
  <c r="B22" i="13"/>
  <c r="B2" i="7"/>
  <c r="B6" i="30"/>
  <c r="B70" i="28"/>
  <c r="B54" i="28"/>
  <c r="B38" i="28"/>
  <c r="B22" i="28"/>
  <c r="B6" i="28"/>
  <c r="B46" i="27"/>
  <c r="B30" i="27"/>
  <c r="B14" i="27"/>
  <c r="B150" i="26"/>
  <c r="B134" i="26"/>
  <c r="B118" i="26"/>
  <c r="B102" i="26"/>
  <c r="B86" i="26"/>
  <c r="B70" i="26"/>
  <c r="B54" i="26"/>
  <c r="B38" i="26"/>
  <c r="B22" i="26"/>
  <c r="B43" i="25"/>
  <c r="B26" i="25"/>
  <c r="B8" i="25"/>
  <c r="B47" i="24"/>
  <c r="B31" i="24"/>
  <c r="B15" i="24"/>
  <c r="B20" i="23"/>
  <c r="B3" i="23"/>
  <c r="B61" i="22"/>
  <c r="B45" i="22"/>
  <c r="B29" i="22"/>
  <c r="B13" i="22"/>
  <c r="B69" i="21"/>
  <c r="B53" i="21"/>
  <c r="B37" i="21"/>
  <c r="B20" i="21"/>
  <c r="B73" i="20"/>
  <c r="B57" i="20"/>
  <c r="B41" i="20"/>
  <c r="B24" i="20"/>
  <c r="B7" i="20"/>
  <c r="B62" i="19"/>
  <c r="B46" i="19"/>
  <c r="B30" i="19"/>
  <c r="B14" i="19"/>
  <c r="B73" i="18"/>
  <c r="B57" i="18"/>
  <c r="B41" i="18"/>
  <c r="B25" i="18"/>
  <c r="B8" i="18"/>
  <c r="B54" i="17"/>
  <c r="B38" i="17"/>
  <c r="B22" i="17"/>
  <c r="B6" i="17"/>
  <c r="B56" i="16"/>
  <c r="B40" i="16"/>
  <c r="B24" i="16"/>
  <c r="B6" i="16"/>
  <c r="B51" i="15"/>
  <c r="B35" i="15"/>
  <c r="B19" i="15"/>
  <c r="B2" i="15"/>
  <c r="B54" i="14"/>
  <c r="B38" i="14"/>
  <c r="B21" i="14"/>
  <c r="B3" i="14"/>
  <c r="B61" i="13"/>
  <c r="B45" i="13"/>
  <c r="B29" i="13"/>
  <c r="B12" i="13"/>
  <c r="B66" i="12"/>
  <c r="B50" i="12"/>
  <c r="B34" i="12"/>
  <c r="B18" i="12"/>
  <c r="B61" i="11"/>
  <c r="B43" i="11"/>
  <c r="B27" i="11"/>
  <c r="B11" i="11"/>
  <c r="B108" i="10"/>
  <c r="B92" i="10"/>
  <c r="B76" i="10"/>
  <c r="B60" i="10"/>
  <c r="B43" i="10"/>
  <c r="B27" i="10"/>
  <c r="B11" i="10"/>
  <c r="B64" i="9"/>
  <c r="B48" i="9"/>
  <c r="B31" i="9"/>
  <c r="B15" i="9"/>
  <c r="B76" i="8"/>
  <c r="B60" i="8"/>
  <c r="B44" i="8"/>
  <c r="B28" i="8"/>
  <c r="B12" i="8"/>
  <c r="B75" i="7"/>
  <c r="B59" i="7"/>
  <c r="B43" i="7"/>
  <c r="B26" i="7"/>
  <c r="B10" i="7"/>
  <c r="B58" i="6"/>
  <c r="B42" i="6"/>
  <c r="B26" i="6"/>
  <c r="B10" i="6"/>
  <c r="B61" i="5"/>
  <c r="B45" i="5"/>
  <c r="B28" i="5"/>
  <c r="B25" i="4"/>
  <c r="B16" i="5"/>
  <c r="B79" i="4"/>
  <c r="B61" i="4"/>
  <c r="B45" i="4"/>
  <c r="B28" i="4"/>
  <c r="B3" i="4"/>
  <c r="B7" i="3"/>
  <c r="B34" i="2"/>
  <c r="B10" i="2"/>
  <c r="B63" i="2"/>
  <c r="B142" i="1"/>
  <c r="B95" i="1"/>
  <c r="B76" i="1"/>
  <c r="B51" i="1"/>
  <c r="B29" i="1"/>
  <c r="B5" i="1"/>
  <c r="B8" i="20"/>
  <c r="B11" i="13"/>
  <c r="B5" i="6"/>
  <c r="B5" i="30"/>
  <c r="B69" i="28"/>
  <c r="B53" i="28"/>
  <c r="B37" i="28"/>
  <c r="B21" i="28"/>
  <c r="B5" i="28"/>
  <c r="B45" i="27"/>
  <c r="B29" i="27"/>
  <c r="B13" i="27"/>
  <c r="B149" i="26"/>
  <c r="B133" i="26"/>
  <c r="B117" i="26"/>
  <c r="B101" i="26"/>
  <c r="B85" i="26"/>
  <c r="B69" i="26"/>
  <c r="B53" i="26"/>
  <c r="B37" i="26"/>
  <c r="B21" i="26"/>
  <c r="B42" i="25"/>
  <c r="B25" i="25"/>
  <c r="B7" i="25"/>
  <c r="B46" i="24"/>
  <c r="B30" i="24"/>
  <c r="B14" i="24"/>
  <c r="B19" i="23"/>
  <c r="B2" i="23"/>
  <c r="B60" i="22"/>
  <c r="B44" i="22"/>
  <c r="B28" i="22"/>
  <c r="B12" i="22"/>
  <c r="B68" i="21"/>
  <c r="B52" i="21"/>
  <c r="B36" i="21"/>
  <c r="B19" i="21"/>
  <c r="B72" i="20"/>
  <c r="B56" i="20"/>
  <c r="B40" i="20"/>
  <c r="B23" i="20"/>
  <c r="B6" i="20"/>
  <c r="B61" i="19"/>
  <c r="B45" i="19"/>
  <c r="B29" i="19"/>
  <c r="B13" i="19"/>
  <c r="B72" i="18"/>
  <c r="B56" i="18"/>
  <c r="B40" i="18"/>
  <c r="B24" i="18"/>
  <c r="B7" i="18"/>
  <c r="B53" i="17"/>
  <c r="B37" i="17"/>
  <c r="B21" i="17"/>
  <c r="B4" i="17"/>
  <c r="B55" i="16"/>
  <c r="B39" i="16"/>
  <c r="B23" i="16"/>
  <c r="B4" i="16"/>
  <c r="B50" i="15"/>
  <c r="B34" i="15"/>
  <c r="B18" i="15"/>
  <c r="B69" i="14"/>
  <c r="B53" i="14"/>
  <c r="B37" i="14"/>
  <c r="B20" i="14"/>
  <c r="B2" i="14"/>
  <c r="B60" i="13"/>
  <c r="B44" i="13"/>
  <c r="B28" i="13"/>
  <c r="B10" i="13"/>
  <c r="B65" i="12"/>
  <c r="B49" i="12"/>
  <c r="B33" i="12"/>
  <c r="B17" i="12"/>
  <c r="B60" i="11"/>
  <c r="B42" i="11"/>
  <c r="B26" i="11"/>
  <c r="B10" i="11"/>
  <c r="B107" i="10"/>
  <c r="B91" i="10"/>
  <c r="B75" i="10"/>
  <c r="B59" i="10"/>
  <c r="B42" i="10"/>
  <c r="B26" i="10"/>
  <c r="B10" i="10"/>
  <c r="B63" i="9"/>
  <c r="B47" i="9"/>
  <c r="B30" i="9"/>
  <c r="B14" i="9"/>
  <c r="B75" i="8"/>
  <c r="B59" i="8"/>
  <c r="B43" i="8"/>
  <c r="B27" i="8"/>
  <c r="B11" i="8"/>
  <c r="B74" i="7"/>
  <c r="B58" i="7"/>
  <c r="B42" i="7"/>
  <c r="B25" i="7"/>
  <c r="B9" i="7"/>
  <c r="B57" i="6"/>
  <c r="B41" i="6"/>
  <c r="B25" i="6"/>
  <c r="B9" i="6"/>
  <c r="B60" i="5"/>
  <c r="B44" i="5"/>
  <c r="B27" i="5"/>
  <c r="B24" i="4"/>
  <c r="B35" i="3"/>
  <c r="B46" i="2"/>
  <c r="B136" i="1"/>
  <c r="B15" i="5"/>
  <c r="B78" i="4"/>
  <c r="B60" i="4"/>
  <c r="B44" i="4"/>
  <c r="B27" i="4"/>
  <c r="B57" i="3"/>
  <c r="B6" i="3"/>
  <c r="B32" i="2"/>
  <c r="B8" i="2"/>
  <c r="B62" i="2"/>
  <c r="B140" i="1"/>
  <c r="B93" i="1"/>
  <c r="B75" i="1"/>
  <c r="B50" i="1"/>
  <c r="B28" i="1"/>
  <c r="B4" i="1"/>
  <c r="B23" i="18"/>
  <c r="B5" i="13"/>
  <c r="B36" i="5"/>
  <c r="B4" i="30"/>
  <c r="B68" i="28"/>
  <c r="B52" i="28"/>
  <c r="B36" i="28"/>
  <c r="B20" i="28"/>
  <c r="B4" i="28"/>
  <c r="B44" i="27"/>
  <c r="B28" i="27"/>
  <c r="B12" i="27"/>
  <c r="B148" i="26"/>
  <c r="B132" i="26"/>
  <c r="B116" i="26"/>
  <c r="B100" i="26"/>
  <c r="B84" i="26"/>
  <c r="B68" i="26"/>
  <c r="B52" i="26"/>
  <c r="B36" i="26"/>
  <c r="B20" i="26"/>
  <c r="B41" i="25"/>
  <c r="B24" i="25"/>
  <c r="B6" i="25"/>
  <c r="B45" i="24"/>
  <c r="B29" i="24"/>
  <c r="B13" i="24"/>
  <c r="B17" i="23"/>
  <c r="B75" i="22"/>
  <c r="B59" i="22"/>
  <c r="B43" i="22"/>
  <c r="B27" i="22"/>
  <c r="B11" i="22"/>
  <c r="B67" i="21"/>
  <c r="B51" i="21"/>
  <c r="B35" i="21"/>
  <c r="B18" i="21"/>
  <c r="B71" i="20"/>
  <c r="B55" i="20"/>
  <c r="B39" i="20"/>
  <c r="B22" i="20"/>
  <c r="B4" i="20"/>
  <c r="B60" i="19"/>
  <c r="B44" i="19"/>
  <c r="B28" i="19"/>
  <c r="B12" i="19"/>
  <c r="B71" i="18"/>
  <c r="B55" i="18"/>
  <c r="B39" i="18"/>
  <c r="B22" i="18"/>
  <c r="B6" i="18"/>
  <c r="B52" i="17"/>
  <c r="B36" i="17"/>
  <c r="B20" i="17"/>
  <c r="B3" i="17"/>
  <c r="B54" i="16"/>
  <c r="B38" i="16"/>
  <c r="B22" i="16"/>
  <c r="B3" i="16"/>
  <c r="B49" i="15"/>
  <c r="B33" i="15"/>
  <c r="B17" i="15"/>
  <c r="B68" i="14"/>
  <c r="B52" i="14"/>
  <c r="B36" i="14"/>
  <c r="B19" i="14"/>
  <c r="B14" i="5"/>
  <c r="B77" i="4"/>
  <c r="B59" i="4"/>
  <c r="B43" i="4"/>
  <c r="B26" i="4"/>
  <c r="B28" i="3"/>
  <c r="B3" i="3"/>
  <c r="B30" i="2"/>
  <c r="B7" i="2"/>
  <c r="B61" i="2"/>
  <c r="B139" i="1"/>
  <c r="B91" i="1"/>
  <c r="B74" i="1"/>
  <c r="B49" i="1"/>
  <c r="B27" i="1"/>
  <c r="B3" i="1"/>
  <c r="B20" i="16"/>
  <c r="B5" i="12"/>
  <c r="B5" i="5"/>
  <c r="B3" i="30"/>
  <c r="B67" i="28"/>
  <c r="B51" i="28"/>
  <c r="B35" i="28"/>
  <c r="B19" i="28"/>
  <c r="B3" i="28"/>
  <c r="B43" i="27"/>
  <c r="B27" i="27"/>
  <c r="B11" i="27"/>
  <c r="B147" i="26"/>
  <c r="B131" i="26"/>
  <c r="B115" i="26"/>
  <c r="B99" i="26"/>
  <c r="B83" i="26"/>
  <c r="B67" i="26"/>
  <c r="B51" i="26"/>
  <c r="B35" i="26"/>
  <c r="B19" i="26"/>
  <c r="B40" i="25"/>
  <c r="B23" i="25"/>
  <c r="B5" i="25"/>
  <c r="B44" i="24"/>
  <c r="B28" i="24"/>
  <c r="B12" i="24"/>
  <c r="B16" i="23"/>
  <c r="B74" i="22"/>
  <c r="B58" i="22"/>
  <c r="B42" i="22"/>
  <c r="B26" i="22"/>
  <c r="B10" i="22"/>
  <c r="B66" i="21"/>
  <c r="B50" i="21"/>
  <c r="B34" i="21"/>
  <c r="B17" i="21"/>
  <c r="B70" i="20"/>
  <c r="B54" i="20"/>
  <c r="B38" i="20"/>
  <c r="B21" i="20"/>
  <c r="B3" i="20"/>
  <c r="B59" i="19"/>
  <c r="B43" i="19"/>
  <c r="B27" i="19"/>
  <c r="B11" i="19"/>
  <c r="B70" i="18"/>
  <c r="B54" i="18"/>
  <c r="B38" i="18"/>
  <c r="B21" i="18"/>
  <c r="B4" i="18"/>
  <c r="B51" i="17"/>
  <c r="B35" i="17"/>
  <c r="B19" i="17"/>
  <c r="B2" i="17"/>
  <c r="B53" i="16"/>
  <c r="B37" i="16"/>
  <c r="B21" i="16"/>
  <c r="B2" i="16"/>
  <c r="B48" i="15"/>
  <c r="B32" i="15"/>
  <c r="B16" i="15"/>
  <c r="B67" i="14"/>
  <c r="B51" i="14"/>
  <c r="B35" i="14"/>
  <c r="B18" i="14"/>
  <c r="B74" i="13"/>
  <c r="B58" i="13"/>
  <c r="B42" i="13"/>
  <c r="B26" i="13"/>
  <c r="B8" i="13"/>
  <c r="B63" i="12"/>
  <c r="B47" i="12"/>
  <c r="B31" i="12"/>
  <c r="B15" i="12"/>
  <c r="B58" i="11"/>
  <c r="B40" i="11"/>
  <c r="B24" i="11"/>
  <c r="B8" i="11"/>
  <c r="B105" i="10"/>
  <c r="B89" i="10"/>
  <c r="B73" i="10"/>
  <c r="B57" i="10"/>
  <c r="B40" i="10"/>
  <c r="B24" i="10"/>
  <c r="B8" i="10"/>
  <c r="B61" i="9"/>
  <c r="B45" i="9"/>
  <c r="B28" i="9"/>
  <c r="B12" i="9"/>
  <c r="B73" i="8"/>
  <c r="B57" i="8"/>
  <c r="B41" i="8"/>
  <c r="B25" i="8"/>
  <c r="B9" i="8"/>
  <c r="B72" i="7"/>
  <c r="B56" i="7"/>
  <c r="B40" i="7"/>
  <c r="B23" i="7"/>
  <c r="B7" i="7"/>
  <c r="B55" i="6"/>
  <c r="B39" i="6"/>
  <c r="B23" i="6"/>
  <c r="B7" i="6"/>
  <c r="B58" i="5"/>
  <c r="B42" i="5"/>
  <c r="B23" i="5"/>
  <c r="B21" i="4"/>
  <c r="B33" i="3"/>
  <c r="B13" i="5"/>
  <c r="B76" i="4"/>
  <c r="B58" i="4"/>
  <c r="B42" i="4"/>
  <c r="B20" i="4"/>
  <c r="B27" i="3"/>
  <c r="B47" i="2"/>
  <c r="B28" i="2"/>
  <c r="B6" i="2"/>
  <c r="B60" i="2"/>
  <c r="B112" i="1"/>
  <c r="B89" i="1"/>
  <c r="B73" i="1"/>
  <c r="B48" i="1"/>
  <c r="B26" i="1"/>
  <c r="B6" i="26"/>
  <c r="B19" i="16"/>
  <c r="B55" i="11"/>
  <c r="B22" i="4"/>
  <c r="B2" i="30"/>
  <c r="B66" i="28"/>
  <c r="B50" i="28"/>
  <c r="B34" i="28"/>
  <c r="B18" i="28"/>
  <c r="B2" i="28"/>
  <c r="B42" i="27"/>
  <c r="B26" i="27"/>
  <c r="B10" i="27"/>
  <c r="B146" i="26"/>
  <c r="B130" i="26"/>
  <c r="B114" i="26"/>
  <c r="B98" i="26"/>
  <c r="B82" i="26"/>
  <c r="B66" i="26"/>
  <c r="B50" i="26"/>
  <c r="B34" i="26"/>
  <c r="B18" i="26"/>
  <c r="B39" i="25"/>
  <c r="B22" i="25"/>
  <c r="B4" i="25"/>
  <c r="B43" i="24"/>
  <c r="B27" i="24"/>
  <c r="B11" i="24"/>
  <c r="B15" i="23"/>
  <c r="B73" i="22"/>
  <c r="B57" i="22"/>
  <c r="B41" i="22"/>
  <c r="B25" i="22"/>
  <c r="B9" i="22"/>
  <c r="B65" i="21"/>
  <c r="B49" i="21"/>
  <c r="B33" i="21"/>
  <c r="B15" i="21"/>
  <c r="B69" i="20"/>
  <c r="B53" i="20"/>
  <c r="B37" i="20"/>
  <c r="B20" i="20"/>
  <c r="B2" i="20"/>
  <c r="B58" i="19"/>
  <c r="B42" i="19"/>
  <c r="B26" i="19"/>
  <c r="B10" i="19"/>
  <c r="B69" i="18"/>
  <c r="B53" i="18"/>
  <c r="B37" i="18"/>
  <c r="B20" i="18"/>
  <c r="B3" i="18"/>
  <c r="B50" i="17"/>
  <c r="B34" i="17"/>
  <c r="B18" i="17"/>
  <c r="B68" i="16"/>
  <c r="B52" i="16"/>
  <c r="B36" i="16"/>
  <c r="B18" i="16"/>
  <c r="B63" i="15"/>
  <c r="B47" i="15"/>
  <c r="B31" i="15"/>
  <c r="B15" i="15"/>
  <c r="B66" i="14"/>
  <c r="B50" i="14"/>
  <c r="B34" i="14"/>
  <c r="B12" i="5"/>
  <c r="B11" i="5"/>
  <c r="B72" i="4"/>
  <c r="B56" i="4"/>
  <c r="B40" i="4"/>
  <c r="B17" i="4"/>
  <c r="B25" i="3"/>
  <c r="B43" i="2"/>
  <c r="B24" i="2"/>
  <c r="B55" i="3"/>
  <c r="B58" i="2"/>
  <c r="B110" i="1"/>
  <c r="B87" i="1"/>
  <c r="B67" i="1"/>
  <c r="B45" i="1"/>
  <c r="B23" i="1"/>
  <c r="B4" i="26"/>
  <c r="B5" i="21"/>
  <c r="B5" i="11"/>
  <c r="B17" i="3"/>
  <c r="B11" i="29"/>
  <c r="B64" i="28"/>
  <c r="B48" i="28"/>
  <c r="B32" i="28"/>
  <c r="B16" i="28"/>
  <c r="B56" i="27"/>
  <c r="B40" i="27"/>
  <c r="B24" i="27"/>
  <c r="B8" i="27"/>
  <c r="B144" i="26"/>
  <c r="B128" i="26"/>
  <c r="B112" i="26"/>
  <c r="B96" i="26"/>
  <c r="B80" i="26"/>
  <c r="B64" i="26"/>
  <c r="B48" i="26"/>
  <c r="B32" i="26"/>
  <c r="B16" i="26"/>
  <c r="B37" i="25"/>
  <c r="B20" i="25"/>
  <c r="B57" i="24"/>
  <c r="B41" i="24"/>
  <c r="B25" i="24"/>
  <c r="B9" i="24"/>
  <c r="B13" i="23"/>
  <c r="B71" i="22"/>
  <c r="B55" i="22"/>
  <c r="B39" i="22"/>
  <c r="B23" i="22"/>
  <c r="B7" i="22"/>
  <c r="B63" i="21"/>
  <c r="B47" i="21"/>
  <c r="B31" i="21"/>
  <c r="B13" i="21"/>
  <c r="B67" i="20"/>
  <c r="B51" i="20"/>
  <c r="B35" i="20"/>
  <c r="B18" i="20"/>
  <c r="B72" i="19"/>
  <c r="B56" i="19"/>
  <c r="B40" i="19"/>
  <c r="B24" i="19"/>
  <c r="B8" i="19"/>
  <c r="B67" i="18"/>
  <c r="B51" i="18"/>
  <c r="B35" i="18"/>
  <c r="B18" i="18"/>
  <c r="B64" i="17"/>
  <c r="B48" i="17"/>
  <c r="B32" i="17"/>
  <c r="B16" i="17"/>
  <c r="B66" i="16"/>
  <c r="B50" i="16"/>
  <c r="B34" i="16"/>
  <c r="B16" i="16"/>
  <c r="B61" i="15"/>
  <c r="B45" i="15"/>
  <c r="B29" i="15"/>
  <c r="B13" i="15"/>
  <c r="B64" i="14"/>
  <c r="B48" i="14"/>
  <c r="B32" i="14"/>
  <c r="B15" i="14"/>
  <c r="B71" i="13"/>
  <c r="B55" i="13"/>
  <c r="B39" i="13"/>
  <c r="B23" i="13"/>
  <c r="B4" i="13"/>
  <c r="B60" i="12"/>
  <c r="B44" i="12"/>
  <c r="B28" i="12"/>
  <c r="B12" i="12"/>
  <c r="B54" i="11"/>
  <c r="B37" i="11"/>
  <c r="B21" i="11"/>
  <c r="B3" i="11"/>
  <c r="B102" i="10"/>
  <c r="B86" i="10"/>
  <c r="B70" i="10"/>
  <c r="B54" i="10"/>
  <c r="B37" i="10"/>
  <c r="B21" i="10"/>
  <c r="B4" i="10"/>
  <c r="B58" i="9"/>
  <c r="B42" i="9"/>
  <c r="B25" i="9"/>
  <c r="B9" i="9"/>
  <c r="B70" i="8"/>
  <c r="B54" i="8"/>
  <c r="B38" i="8"/>
  <c r="B22" i="8"/>
  <c r="B6" i="8"/>
  <c r="B69" i="7"/>
  <c r="B53" i="7"/>
  <c r="B37" i="7"/>
  <c r="B20" i="7"/>
  <c r="B68" i="6"/>
  <c r="B52" i="6"/>
  <c r="B36" i="6"/>
  <c r="B20" i="6"/>
  <c r="B3" i="6"/>
  <c r="B55" i="5"/>
  <c r="B39" i="5"/>
  <c r="B20" i="5"/>
  <c r="B8" i="4"/>
  <c r="B30" i="3"/>
  <c r="B22" i="2"/>
  <c r="B10" i="5"/>
  <c r="B71" i="4"/>
  <c r="B55" i="4"/>
  <c r="B39" i="4"/>
  <c r="B15" i="4"/>
  <c r="B24" i="3"/>
  <c r="B40" i="2"/>
  <c r="B20" i="2"/>
  <c r="B54" i="3"/>
  <c r="B57" i="2"/>
  <c r="B108" i="1"/>
  <c r="B86" i="1"/>
  <c r="B65" i="1"/>
  <c r="B44" i="1"/>
  <c r="B22" i="1"/>
  <c r="B3" i="26"/>
  <c r="B5" i="20"/>
  <c r="B4" i="11"/>
  <c r="B16" i="3"/>
  <c r="B10" i="29"/>
  <c r="B63" i="28"/>
  <c r="B47" i="28"/>
  <c r="B31" i="28"/>
  <c r="B15" i="28"/>
  <c r="B55" i="27"/>
  <c r="B39" i="27"/>
  <c r="B23" i="27"/>
  <c r="B7" i="27"/>
  <c r="B143" i="26"/>
  <c r="B127" i="26"/>
  <c r="B111" i="26"/>
  <c r="B95" i="26"/>
  <c r="B79" i="26"/>
  <c r="B63" i="26"/>
  <c r="B47" i="26"/>
  <c r="B31" i="26"/>
  <c r="B15" i="26"/>
  <c r="B36" i="25"/>
  <c r="B19" i="25"/>
  <c r="B56" i="24"/>
  <c r="B40" i="24"/>
  <c r="B24" i="24"/>
  <c r="B8" i="24"/>
  <c r="B12" i="23"/>
  <c r="B70" i="22"/>
  <c r="B54" i="22"/>
  <c r="B38" i="22"/>
  <c r="B22" i="22"/>
  <c r="B6" i="22"/>
  <c r="B62" i="21"/>
  <c r="B46" i="21"/>
  <c r="B29" i="21"/>
  <c r="B12" i="21"/>
  <c r="B66" i="20"/>
  <c r="B50" i="20"/>
  <c r="B34" i="20"/>
  <c r="B17" i="20"/>
  <c r="B71" i="19"/>
  <c r="B55" i="19"/>
  <c r="B39" i="19"/>
  <c r="B23" i="19"/>
  <c r="B7" i="19"/>
  <c r="B66" i="18"/>
  <c r="B50" i="18"/>
  <c r="B34" i="18"/>
  <c r="B17" i="18"/>
  <c r="B63" i="17"/>
  <c r="B47" i="17"/>
  <c r="B31" i="17"/>
  <c r="B15" i="17"/>
  <c r="B65" i="16"/>
  <c r="B49" i="16"/>
  <c r="B33" i="16"/>
  <c r="B15" i="16"/>
  <c r="B60" i="15"/>
  <c r="B44" i="15"/>
  <c r="B28" i="15"/>
  <c r="B12" i="15"/>
  <c r="B63" i="14"/>
  <c r="B47" i="14"/>
  <c r="B31" i="14"/>
  <c r="B14" i="14"/>
  <c r="B70" i="13"/>
  <c r="B54" i="13"/>
  <c r="B38" i="13"/>
  <c r="B21" i="13"/>
  <c r="B3" i="13"/>
  <c r="B59" i="12"/>
  <c r="B43" i="12"/>
  <c r="B27" i="12"/>
  <c r="B11" i="12"/>
  <c r="B53" i="11"/>
  <c r="B36" i="11"/>
  <c r="B20" i="11"/>
  <c r="B2" i="11"/>
  <c r="B101" i="10"/>
  <c r="B85" i="10"/>
  <c r="B69" i="10"/>
  <c r="B53" i="10"/>
  <c r="B36" i="10"/>
  <c r="B20" i="10"/>
  <c r="B3" i="10"/>
  <c r="B57" i="9"/>
  <c r="B41" i="9"/>
  <c r="B24" i="9"/>
  <c r="B8" i="9"/>
  <c r="B69" i="8"/>
  <c r="B53" i="8"/>
  <c r="B37" i="8"/>
  <c r="B21" i="8"/>
  <c r="B4" i="8"/>
  <c r="B68" i="7"/>
  <c r="B52" i="7"/>
  <c r="B36" i="7"/>
  <c r="B19" i="7"/>
  <c r="B67" i="6"/>
  <c r="B51" i="6"/>
  <c r="B35" i="6"/>
  <c r="B19" i="6"/>
  <c r="B2" i="6"/>
  <c r="B54" i="5"/>
  <c r="B38" i="5"/>
  <c r="B19" i="5"/>
  <c r="B2" i="4"/>
  <c r="B29" i="3"/>
  <c r="B21" i="2"/>
  <c r="B130" i="1"/>
  <c r="B9" i="5"/>
  <c r="B8" i="5"/>
  <c r="B69" i="4"/>
  <c r="B53" i="4"/>
  <c r="B37" i="4"/>
  <c r="B13" i="4"/>
  <c r="B22" i="3"/>
  <c r="B36" i="2"/>
  <c r="B16" i="2"/>
  <c r="B52" i="3"/>
  <c r="B54" i="2"/>
  <c r="B106" i="1"/>
  <c r="B84" i="1"/>
  <c r="B63" i="1"/>
  <c r="B42" i="1"/>
  <c r="B18" i="1"/>
  <c r="B27" i="25"/>
  <c r="B5" i="18"/>
  <c r="B5" i="10"/>
  <c r="B100" i="1"/>
  <c r="B8" i="29"/>
  <c r="B61" i="28"/>
  <c r="B45" i="28"/>
  <c r="B29" i="28"/>
  <c r="B13" i="28"/>
  <c r="B53" i="27"/>
  <c r="B37" i="27"/>
  <c r="B21" i="27"/>
  <c r="B5" i="27"/>
  <c r="B141" i="26"/>
  <c r="B125" i="26"/>
  <c r="B109" i="26"/>
  <c r="B93" i="26"/>
  <c r="B77" i="26"/>
  <c r="B61" i="26"/>
  <c r="B45" i="26"/>
  <c r="B29" i="26"/>
  <c r="B13" i="26"/>
  <c r="B34" i="25"/>
  <c r="B17" i="25"/>
  <c r="B54" i="24"/>
  <c r="B38" i="24"/>
  <c r="B22" i="24"/>
  <c r="B6" i="24"/>
  <c r="B10" i="23"/>
  <c r="B68" i="22"/>
  <c r="B52" i="22"/>
  <c r="B36" i="22"/>
  <c r="B20" i="22"/>
  <c r="B4" i="22"/>
  <c r="B60" i="21"/>
  <c r="B44" i="21"/>
  <c r="B27" i="21"/>
  <c r="B10" i="21"/>
  <c r="B64" i="20"/>
  <c r="B48" i="20"/>
  <c r="B32" i="20"/>
  <c r="B15" i="20"/>
  <c r="B69" i="19"/>
  <c r="B53" i="19"/>
  <c r="B37" i="19"/>
  <c r="B21" i="19"/>
  <c r="B4" i="19"/>
  <c r="B64" i="18"/>
  <c r="B48" i="18"/>
  <c r="B32" i="18"/>
  <c r="B15" i="18"/>
  <c r="B61" i="17"/>
  <c r="B45" i="17"/>
  <c r="B29" i="17"/>
  <c r="B13" i="17"/>
  <c r="B63" i="16"/>
  <c r="B47" i="16"/>
  <c r="B31" i="16"/>
  <c r="B13" i="16"/>
  <c r="B58" i="15"/>
  <c r="B42" i="15"/>
  <c r="B26" i="15"/>
  <c r="B10" i="15"/>
  <c r="B61" i="14"/>
  <c r="B45" i="14"/>
  <c r="B29" i="14"/>
  <c r="B12" i="14"/>
  <c r="B68" i="13"/>
  <c r="B52" i="13"/>
  <c r="B36" i="13"/>
  <c r="B19" i="13"/>
  <c r="B73" i="12"/>
  <c r="B57" i="12"/>
  <c r="B41" i="12"/>
  <c r="B25" i="12"/>
  <c r="B9" i="12"/>
  <c r="B50" i="11"/>
  <c r="B34" i="11"/>
  <c r="B18" i="11"/>
  <c r="B115" i="10"/>
  <c r="B99" i="10"/>
  <c r="B83" i="10"/>
  <c r="B67" i="10"/>
  <c r="B50" i="10"/>
  <c r="B34" i="10"/>
  <c r="B18" i="10"/>
  <c r="B71" i="9"/>
  <c r="B55" i="9"/>
  <c r="B39" i="9"/>
  <c r="B22" i="9"/>
  <c r="B7" i="5"/>
  <c r="B68" i="4"/>
  <c r="B52" i="4"/>
  <c r="B36" i="4"/>
  <c r="B12" i="4"/>
  <c r="B21" i="3"/>
  <c r="B33" i="2"/>
  <c r="B14" i="2"/>
  <c r="B50" i="3"/>
  <c r="B53" i="2"/>
  <c r="B105" i="1"/>
  <c r="B83" i="1"/>
  <c r="B60" i="1"/>
  <c r="B41" i="1"/>
  <c r="B16" i="1"/>
  <c r="B15" i="25"/>
  <c r="B5" i="17"/>
  <c r="B37" i="9"/>
  <c r="B12" i="30"/>
  <c r="B7" i="29"/>
  <c r="B60" i="28"/>
  <c r="B44" i="28"/>
  <c r="B28" i="28"/>
  <c r="B12" i="28"/>
  <c r="B52" i="27"/>
  <c r="B36" i="27"/>
  <c r="B20" i="27"/>
  <c r="B4" i="27"/>
  <c r="B140" i="26"/>
  <c r="B124" i="26"/>
  <c r="B108" i="26"/>
  <c r="B92" i="26"/>
  <c r="B76" i="26"/>
  <c r="B60" i="26"/>
  <c r="B44" i="26"/>
  <c r="B28" i="26"/>
  <c r="B12" i="26"/>
  <c r="B33" i="25"/>
  <c r="B16" i="25"/>
  <c r="B53" i="24"/>
  <c r="B37" i="24"/>
  <c r="B21" i="24"/>
  <c r="B5" i="24"/>
  <c r="B9" i="23"/>
  <c r="B67" i="22"/>
  <c r="B51" i="22"/>
  <c r="B35" i="22"/>
  <c r="B19" i="22"/>
  <c r="B3" i="22"/>
  <c r="B59" i="21"/>
  <c r="B43" i="21"/>
  <c r="B26" i="21"/>
  <c r="B9" i="21"/>
  <c r="B63" i="20"/>
  <c r="B47" i="20"/>
  <c r="B31" i="20"/>
  <c r="B14" i="20"/>
  <c r="B68" i="19"/>
  <c r="B52" i="19"/>
  <c r="B36" i="19"/>
  <c r="B20" i="19"/>
  <c r="B3" i="19"/>
  <c r="B63" i="18"/>
  <c r="B47" i="18"/>
  <c r="B31" i="18"/>
  <c r="B14" i="18"/>
  <c r="B60" i="17"/>
  <c r="B44" i="17"/>
  <c r="B28" i="17"/>
  <c r="B12" i="17"/>
  <c r="B62" i="16"/>
  <c r="B46" i="16"/>
  <c r="B30" i="16"/>
  <c r="B12" i="16"/>
  <c r="B57" i="15"/>
  <c r="B41" i="15"/>
  <c r="B25" i="15"/>
  <c r="B9" i="15"/>
  <c r="B60" i="14"/>
  <c r="B44" i="14"/>
  <c r="B28" i="14"/>
  <c r="B11" i="14"/>
  <c r="B67" i="13"/>
  <c r="B51" i="13"/>
  <c r="B35" i="13"/>
  <c r="B18" i="13"/>
  <c r="B72" i="12"/>
  <c r="B56" i="12"/>
  <c r="B40" i="12"/>
  <c r="B24" i="12"/>
  <c r="B8" i="12"/>
  <c r="B49" i="11"/>
  <c r="B33" i="11"/>
  <c r="B17" i="11"/>
  <c r="B114" i="10"/>
  <c r="B98" i="10"/>
  <c r="B82" i="10"/>
  <c r="B66" i="10"/>
  <c r="B49" i="10"/>
  <c r="B33" i="10"/>
  <c r="B17" i="10"/>
  <c r="B70" i="9"/>
  <c r="B54" i="9"/>
  <c r="B38" i="9"/>
  <c r="B21" i="9"/>
  <c r="B4" i="9"/>
  <c r="B66" i="8"/>
  <c r="B50" i="8"/>
  <c r="B34" i="8"/>
  <c r="B18" i="8"/>
  <c r="B81" i="7"/>
  <c r="B65" i="7"/>
  <c r="B49" i="7"/>
  <c r="B32" i="7"/>
  <c r="B16" i="7"/>
  <c r="B64" i="6"/>
  <c r="B48" i="6"/>
  <c r="B32" i="6"/>
  <c r="B16" i="6"/>
  <c r="B67" i="5"/>
  <c r="B51" i="5"/>
  <c r="B34" i="5"/>
  <c r="B6" i="5"/>
  <c r="B48" i="3"/>
  <c r="B4" i="5"/>
  <c r="B3" i="5"/>
  <c r="B66" i="4"/>
  <c r="B50" i="4"/>
  <c r="B34" i="4"/>
  <c r="B10" i="4"/>
  <c r="B15" i="3"/>
  <c r="B29" i="2"/>
  <c r="B15" i="2"/>
  <c r="B45" i="3"/>
  <c r="B51" i="2"/>
  <c r="B103" i="1"/>
  <c r="B81" i="1"/>
  <c r="B57" i="1"/>
  <c r="B38" i="1"/>
  <c r="B14" i="1"/>
  <c r="B18" i="23"/>
  <c r="B5" i="15"/>
  <c r="B5" i="8"/>
  <c r="B10" i="30"/>
  <c r="B5" i="29"/>
  <c r="B58" i="28"/>
  <c r="B42" i="28"/>
  <c r="B26" i="28"/>
  <c r="B10" i="28"/>
  <c r="B50" i="27"/>
  <c r="B34" i="27"/>
  <c r="B18" i="27"/>
  <c r="B2" i="27"/>
  <c r="B138" i="26"/>
  <c r="B122" i="26"/>
  <c r="B106" i="26"/>
  <c r="B90" i="26"/>
  <c r="B74" i="26"/>
  <c r="B58" i="26"/>
  <c r="B42" i="26"/>
  <c r="B26" i="26"/>
  <c r="B2" i="5"/>
  <c r="B65" i="4"/>
  <c r="B49" i="4"/>
  <c r="B33" i="4"/>
  <c r="B9" i="4"/>
  <c r="B12" i="3"/>
  <c r="B27" i="2"/>
  <c r="B13" i="2"/>
  <c r="B41" i="3"/>
  <c r="B50" i="2"/>
  <c r="B101" i="1"/>
  <c r="B80" i="1"/>
  <c r="B56" i="1"/>
  <c r="B33" i="1"/>
  <c r="B11" i="1"/>
  <c r="B16" i="21"/>
  <c r="B24" i="14"/>
  <c r="B5" i="7"/>
  <c r="B9" i="30"/>
  <c r="B4" i="29"/>
  <c r="B57" i="28"/>
  <c r="B41" i="28"/>
  <c r="B25" i="28"/>
  <c r="B9" i="28"/>
  <c r="B49" i="27"/>
  <c r="B33" i="27"/>
  <c r="B17" i="27"/>
  <c r="B153" i="26"/>
  <c r="B137" i="26"/>
  <c r="B121" i="26"/>
  <c r="B105" i="26"/>
  <c r="B89" i="26"/>
  <c r="B73" i="26"/>
  <c r="B57" i="26"/>
  <c r="B41" i="26"/>
  <c r="B25" i="26"/>
  <c r="B8" i="26"/>
  <c r="B30" i="25"/>
  <c r="B11" i="25"/>
  <c r="B50" i="24"/>
  <c r="B34" i="24"/>
  <c r="B18" i="24"/>
  <c r="B2" i="24"/>
  <c r="B6" i="23"/>
  <c r="B64" i="22"/>
  <c r="B48" i="22"/>
  <c r="B32" i="22"/>
  <c r="B16" i="22"/>
  <c r="B72" i="21"/>
  <c r="B56" i="21"/>
  <c r="B40" i="21"/>
  <c r="B23" i="21"/>
  <c r="B4" i="21"/>
  <c r="B60" i="20"/>
  <c r="B44" i="20"/>
  <c r="B85" i="4"/>
  <c r="B64" i="4"/>
  <c r="B48" i="4"/>
  <c r="B32" i="4"/>
  <c r="B7" i="4"/>
  <c r="B11" i="3"/>
  <c r="B25" i="2"/>
  <c r="B11" i="2"/>
  <c r="B40" i="3"/>
  <c r="B48" i="2"/>
  <c r="B99" i="1"/>
  <c r="B79" i="1"/>
  <c r="B55" i="1"/>
  <c r="B34" i="1"/>
  <c r="B10" i="1"/>
  <c r="B75" i="4"/>
  <c r="B38" i="2"/>
  <c r="B82" i="1"/>
  <c r="B5" i="16"/>
  <c r="B59" i="28"/>
  <c r="B51" i="27"/>
  <c r="B139" i="26"/>
  <c r="B75" i="26"/>
  <c r="B11" i="26"/>
  <c r="B51" i="24"/>
  <c r="B22" i="23"/>
  <c r="B40" i="22"/>
  <c r="B61" i="21"/>
  <c r="B7" i="21"/>
  <c r="B28" i="20"/>
  <c r="B54" i="19"/>
  <c r="B16" i="19"/>
  <c r="B45" i="18"/>
  <c r="B62" i="17"/>
  <c r="B24" i="17"/>
  <c r="B44" i="16"/>
  <c r="B59" i="15"/>
  <c r="B21" i="15"/>
  <c r="B42" i="14"/>
  <c r="B75" i="13"/>
  <c r="B43" i="13"/>
  <c r="B9" i="13"/>
  <c r="B48" i="12"/>
  <c r="B16" i="12"/>
  <c r="B41" i="11"/>
  <c r="B9" i="11"/>
  <c r="B90" i="10"/>
  <c r="B58" i="10"/>
  <c r="B25" i="10"/>
  <c r="B62" i="9"/>
  <c r="B29" i="9"/>
  <c r="B78" i="8"/>
  <c r="B48" i="8"/>
  <c r="B19" i="8"/>
  <c r="B70" i="7"/>
  <c r="B41" i="7"/>
  <c r="B13" i="7"/>
  <c r="B47" i="6"/>
  <c r="B18" i="6"/>
  <c r="B57" i="5"/>
  <c r="B30" i="5"/>
  <c r="B44" i="3"/>
  <c r="B41" i="2"/>
  <c r="B129" i="1"/>
  <c r="B113" i="1"/>
  <c r="B47" i="1"/>
  <c r="B17" i="8"/>
  <c r="B39" i="7"/>
  <c r="B46" i="6"/>
  <c r="B56" i="5"/>
  <c r="B37" i="2"/>
  <c r="B39" i="1"/>
  <c r="B20" i="1"/>
  <c r="B4" i="2"/>
  <c r="B36" i="8"/>
  <c r="B31" i="3"/>
  <c r="B2" i="2"/>
  <c r="B16" i="4"/>
  <c r="B54" i="27"/>
  <c r="B59" i="5"/>
  <c r="B70" i="4"/>
  <c r="B31" i="2"/>
  <c r="B68" i="1"/>
  <c r="B10" i="14"/>
  <c r="B56" i="28"/>
  <c r="B48" i="27"/>
  <c r="B136" i="26"/>
  <c r="B72" i="26"/>
  <c r="B10" i="26"/>
  <c r="B49" i="24"/>
  <c r="B14" i="23"/>
  <c r="B37" i="22"/>
  <c r="B58" i="21"/>
  <c r="B6" i="21"/>
  <c r="B27" i="20"/>
  <c r="B51" i="19"/>
  <c r="B9" i="19"/>
  <c r="B44" i="18"/>
  <c r="B59" i="17"/>
  <c r="B17" i="17"/>
  <c r="B43" i="16"/>
  <c r="B56" i="15"/>
  <c r="B14" i="15"/>
  <c r="B41" i="14"/>
  <c r="B73" i="13"/>
  <c r="B41" i="13"/>
  <c r="B7" i="13"/>
  <c r="B46" i="12"/>
  <c r="B14" i="12"/>
  <c r="B39" i="11"/>
  <c r="B7" i="11"/>
  <c r="B88" i="10"/>
  <c r="B56" i="10"/>
  <c r="B23" i="10"/>
  <c r="B60" i="9"/>
  <c r="B27" i="9"/>
  <c r="B74" i="8"/>
  <c r="B47" i="8"/>
  <c r="B67" i="7"/>
  <c r="B12" i="7"/>
  <c r="B17" i="6"/>
  <c r="B24" i="5"/>
  <c r="B43" i="3"/>
  <c r="B128" i="1"/>
  <c r="B109" i="1"/>
  <c r="B125" i="1"/>
  <c r="B92" i="1"/>
  <c r="B8" i="8"/>
  <c r="B90" i="1"/>
  <c r="B12" i="1"/>
  <c r="B119" i="1"/>
  <c r="B59" i="1"/>
  <c r="B52" i="24"/>
  <c r="B14" i="13"/>
  <c r="B45" i="7"/>
  <c r="B67" i="4"/>
  <c r="B26" i="2"/>
  <c r="B64" i="1"/>
  <c r="B52" i="11"/>
  <c r="B49" i="28"/>
  <c r="B41" i="27"/>
  <c r="B129" i="26"/>
  <c r="B65" i="26"/>
  <c r="B7" i="26"/>
  <c r="B42" i="24"/>
  <c r="B11" i="23"/>
  <c r="B34" i="22"/>
  <c r="B57" i="21"/>
  <c r="B3" i="21"/>
  <c r="B26" i="20"/>
  <c r="B50" i="19"/>
  <c r="B6" i="19"/>
  <c r="B43" i="18"/>
  <c r="B58" i="17"/>
  <c r="B14" i="17"/>
  <c r="B42" i="16"/>
  <c r="B55" i="15"/>
  <c r="B11" i="15"/>
  <c r="B40" i="14"/>
  <c r="B72" i="13"/>
  <c r="B40" i="13"/>
  <c r="B6" i="13"/>
  <c r="B45" i="12"/>
  <c r="B13" i="12"/>
  <c r="B38" i="11"/>
  <c r="B6" i="11"/>
  <c r="B87" i="10"/>
  <c r="B55" i="10"/>
  <c r="B22" i="10"/>
  <c r="B59" i="9"/>
  <c r="B26" i="9"/>
  <c r="B72" i="8"/>
  <c r="B46" i="8"/>
  <c r="B16" i="8"/>
  <c r="B66" i="7"/>
  <c r="B38" i="7"/>
  <c r="B8" i="7"/>
  <c r="B45" i="6"/>
  <c r="B15" i="6"/>
  <c r="B53" i="5"/>
  <c r="B22" i="5"/>
  <c r="B42" i="3"/>
  <c r="B23" i="2"/>
  <c r="B127" i="1"/>
  <c r="B102" i="1"/>
  <c r="B35" i="1"/>
  <c r="B124" i="1"/>
  <c r="B30" i="7"/>
  <c r="B37" i="6"/>
  <c r="B84" i="4"/>
  <c r="B32" i="5"/>
  <c r="B57" i="19"/>
  <c r="B22" i="15"/>
  <c r="B66" i="9"/>
  <c r="B46" i="3"/>
  <c r="B57" i="4"/>
  <c r="B18" i="2"/>
  <c r="B61" i="1"/>
  <c r="B51" i="10"/>
  <c r="B46" i="28"/>
  <c r="B38" i="27"/>
  <c r="B126" i="26"/>
  <c r="B62" i="26"/>
  <c r="B38" i="25"/>
  <c r="B39" i="24"/>
  <c r="B8" i="23"/>
  <c r="B33" i="22"/>
  <c r="B55" i="21"/>
  <c r="B68" i="20"/>
  <c r="B19" i="20"/>
  <c r="B49" i="19"/>
  <c r="B2" i="19"/>
  <c r="B36" i="18"/>
  <c r="B57" i="17"/>
  <c r="B11" i="17"/>
  <c r="B35" i="16"/>
  <c r="B54" i="15"/>
  <c r="B8" i="15"/>
  <c r="B33" i="14"/>
  <c r="B69" i="13"/>
  <c r="B37" i="13"/>
  <c r="B2" i="13"/>
  <c r="B42" i="12"/>
  <c r="B10" i="12"/>
  <c r="B35" i="11"/>
  <c r="B116" i="10"/>
  <c r="B84" i="10"/>
  <c r="B52" i="10"/>
  <c r="B19" i="10"/>
  <c r="B56" i="9"/>
  <c r="B23" i="9"/>
  <c r="B71" i="8"/>
  <c r="B42" i="8"/>
  <c r="B15" i="8"/>
  <c r="B64" i="7"/>
  <c r="B35" i="7"/>
  <c r="B6" i="7"/>
  <c r="B44" i="6"/>
  <c r="B14" i="6"/>
  <c r="B52" i="5"/>
  <c r="B21" i="5"/>
  <c r="B36" i="3"/>
  <c r="B19" i="2"/>
  <c r="B126" i="1"/>
  <c r="B96" i="1"/>
  <c r="B30" i="1"/>
  <c r="B4" i="7"/>
  <c r="B13" i="6"/>
  <c r="B34" i="3"/>
  <c r="B18" i="9"/>
  <c r="B123" i="1"/>
  <c r="B7" i="1"/>
  <c r="B117" i="1"/>
  <c r="B14" i="26"/>
  <c r="B45" i="11"/>
  <c r="B71" i="7"/>
  <c r="B52" i="1"/>
  <c r="B54" i="4"/>
  <c r="B17" i="2"/>
  <c r="B46" i="1"/>
  <c r="B5" i="9"/>
  <c r="B43" i="28"/>
  <c r="B35" i="27"/>
  <c r="B123" i="26"/>
  <c r="B59" i="26"/>
  <c r="B35" i="25"/>
  <c r="B36" i="24"/>
  <c r="B7" i="23"/>
  <c r="B31" i="22"/>
  <c r="B48" i="21"/>
  <c r="B65" i="20"/>
  <c r="B16" i="20"/>
  <c r="B48" i="19"/>
  <c r="B77" i="18"/>
  <c r="B33" i="18"/>
  <c r="B56" i="17"/>
  <c r="B10" i="17"/>
  <c r="B32" i="16"/>
  <c r="B53" i="15"/>
  <c r="B7" i="15"/>
  <c r="B30" i="14"/>
  <c r="B66" i="13"/>
  <c r="B34" i="13"/>
  <c r="B71" i="12"/>
  <c r="B39" i="12"/>
  <c r="B7" i="12"/>
  <c r="B32" i="11"/>
  <c r="B113" i="10"/>
  <c r="B81" i="10"/>
  <c r="B48" i="10"/>
  <c r="B16" i="10"/>
  <c r="B53" i="9"/>
  <c r="B20" i="9"/>
  <c r="B68" i="8"/>
  <c r="B40" i="8"/>
  <c r="B14" i="8"/>
  <c r="B63" i="7"/>
  <c r="B34" i="7"/>
  <c r="B40" i="6"/>
  <c r="B50" i="5"/>
  <c r="B18" i="5"/>
  <c r="B5" i="2"/>
  <c r="B94" i="1"/>
  <c r="B19" i="1"/>
  <c r="B65" i="6"/>
  <c r="B3" i="2"/>
  <c r="B122" i="1"/>
  <c r="B51" i="3"/>
  <c r="B3" i="24"/>
  <c r="B17" i="19"/>
  <c r="B6" i="14"/>
  <c r="B20" i="12"/>
  <c r="B94" i="10"/>
  <c r="B20" i="8"/>
  <c r="B49" i="6"/>
  <c r="B51" i="4"/>
  <c r="B56" i="3"/>
  <c r="B43" i="1"/>
  <c r="B33" i="7"/>
  <c r="B40" i="28"/>
  <c r="B32" i="27"/>
  <c r="B120" i="26"/>
  <c r="B56" i="26"/>
  <c r="B32" i="25"/>
  <c r="B35" i="24"/>
  <c r="B5" i="23"/>
  <c r="B24" i="22"/>
  <c r="B45" i="21"/>
  <c r="B62" i="20"/>
  <c r="B13" i="20"/>
  <c r="B41" i="19"/>
  <c r="B76" i="18"/>
  <c r="B30" i="18"/>
  <c r="B49" i="17"/>
  <c r="B9" i="17"/>
  <c r="B29" i="16"/>
  <c r="B46" i="15"/>
  <c r="B6" i="15"/>
  <c r="B27" i="14"/>
  <c r="B65" i="13"/>
  <c r="B33" i="13"/>
  <c r="B70" i="12"/>
  <c r="B38" i="12"/>
  <c r="B6" i="12"/>
  <c r="B31" i="11"/>
  <c r="B112" i="10"/>
  <c r="B80" i="10"/>
  <c r="B47" i="10"/>
  <c r="B15" i="10"/>
  <c r="B52" i="9"/>
  <c r="B19" i="9"/>
  <c r="B67" i="8"/>
  <c r="B39" i="8"/>
  <c r="B10" i="8"/>
  <c r="B62" i="7"/>
  <c r="B31" i="7"/>
  <c r="B66" i="6"/>
  <c r="B38" i="6"/>
  <c r="B12" i="6"/>
  <c r="B49" i="5"/>
  <c r="B17" i="5"/>
  <c r="B32" i="3"/>
  <c r="B8" i="6"/>
  <c r="B133" i="1"/>
  <c r="B132" i="1"/>
  <c r="B85" i="1"/>
  <c r="B131" i="1"/>
  <c r="B41" i="4"/>
  <c r="B53" i="3"/>
  <c r="B40" i="1"/>
  <c r="B5" i="4"/>
  <c r="B33" i="28"/>
  <c r="B25" i="27"/>
  <c r="B113" i="26"/>
  <c r="B49" i="26"/>
  <c r="B31" i="25"/>
  <c r="B33" i="24"/>
  <c r="B72" i="22"/>
  <c r="B21" i="22"/>
  <c r="B42" i="21"/>
  <c r="B61" i="20"/>
  <c r="B12" i="20"/>
  <c r="B38" i="19"/>
  <c r="B75" i="18"/>
  <c r="B29" i="18"/>
  <c r="B46" i="17"/>
  <c r="B8" i="17"/>
  <c r="B28" i="16"/>
  <c r="B43" i="15"/>
  <c r="B4" i="15"/>
  <c r="B26" i="14"/>
  <c r="B64" i="13"/>
  <c r="B32" i="13"/>
  <c r="B69" i="12"/>
  <c r="B37" i="12"/>
  <c r="B4" i="12"/>
  <c r="B30" i="11"/>
  <c r="B111" i="10"/>
  <c r="B79" i="10"/>
  <c r="B46" i="10"/>
  <c r="B14" i="10"/>
  <c r="B51" i="9"/>
  <c r="B65" i="8"/>
  <c r="B61" i="7"/>
  <c r="B48" i="5"/>
  <c r="B17" i="1"/>
  <c r="B134" i="1"/>
  <c r="B45" i="2"/>
  <c r="B79" i="8"/>
  <c r="B38" i="4"/>
  <c r="B47" i="3"/>
  <c r="B24" i="1"/>
  <c r="B9" i="3"/>
  <c r="B30" i="28"/>
  <c r="B22" i="27"/>
  <c r="B110" i="26"/>
  <c r="B46" i="26"/>
  <c r="B29" i="25"/>
  <c r="B26" i="24"/>
  <c r="B69" i="22"/>
  <c r="B18" i="22"/>
  <c r="B41" i="21"/>
  <c r="B59" i="20"/>
  <c r="B11" i="20"/>
  <c r="B35" i="19"/>
  <c r="B68" i="18"/>
  <c r="B28" i="18"/>
  <c r="B43" i="17"/>
  <c r="B67" i="16"/>
  <c r="B27" i="16"/>
  <c r="B40" i="15"/>
  <c r="B65" i="14"/>
  <c r="B25" i="14"/>
  <c r="B63" i="13"/>
  <c r="B31" i="13"/>
  <c r="B68" i="12"/>
  <c r="B36" i="12"/>
  <c r="B3" i="12"/>
  <c r="B29" i="11"/>
  <c r="B110" i="10"/>
  <c r="B78" i="10"/>
  <c r="B45" i="10"/>
  <c r="B13" i="10"/>
  <c r="B50" i="9"/>
  <c r="B17" i="9"/>
  <c r="B64" i="8"/>
  <c r="B35" i="8"/>
  <c r="B7" i="8"/>
  <c r="B57" i="7"/>
  <c r="B29" i="7"/>
  <c r="B63" i="6"/>
  <c r="B34" i="6"/>
  <c r="B6" i="6"/>
  <c r="B47" i="5"/>
  <c r="B82" i="4"/>
  <c r="B20" i="3"/>
  <c r="B72" i="1"/>
  <c r="B2" i="3"/>
  <c r="B49" i="2"/>
  <c r="B5" i="19"/>
  <c r="B49" i="8"/>
  <c r="B35" i="4"/>
  <c r="B59" i="2"/>
  <c r="B21" i="1"/>
  <c r="B11" i="30"/>
  <c r="B27" i="28"/>
  <c r="B19" i="27"/>
  <c r="B107" i="26"/>
  <c r="B43" i="26"/>
  <c r="B21" i="25"/>
  <c r="B23" i="24"/>
  <c r="B66" i="22"/>
  <c r="B17" i="22"/>
  <c r="B39" i="21"/>
  <c r="B52" i="20"/>
  <c r="B10" i="20"/>
  <c r="B34" i="19"/>
  <c r="B65" i="18"/>
  <c r="B27" i="18"/>
  <c r="B42" i="17"/>
  <c r="B64" i="16"/>
  <c r="B26" i="16"/>
  <c r="B39" i="15"/>
  <c r="B62" i="14"/>
  <c r="B23" i="14"/>
  <c r="B59" i="13"/>
  <c r="B27" i="13"/>
  <c r="B64" i="12"/>
  <c r="B32" i="12"/>
  <c r="B59" i="11"/>
  <c r="B25" i="11"/>
  <c r="B106" i="10"/>
  <c r="B74" i="10"/>
  <c r="B41" i="10"/>
  <c r="B9" i="10"/>
  <c r="B46" i="9"/>
  <c r="B13" i="9"/>
  <c r="B63" i="8"/>
  <c r="B33" i="8"/>
  <c r="B3" i="8"/>
  <c r="B55" i="7"/>
  <c r="B28" i="7"/>
  <c r="B62" i="6"/>
  <c r="B33" i="6"/>
  <c r="B4" i="6"/>
  <c r="B43" i="5"/>
  <c r="B81" i="4"/>
  <c r="B19" i="3"/>
  <c r="B143" i="1"/>
  <c r="B121" i="1"/>
  <c r="B71" i="1"/>
  <c r="B9" i="1"/>
  <c r="B32" i="8"/>
  <c r="B61" i="6"/>
  <c r="B31" i="6"/>
  <c r="B41" i="5"/>
  <c r="B141" i="1"/>
  <c r="B70" i="1"/>
  <c r="B69" i="1"/>
  <c r="B116" i="1"/>
  <c r="B58" i="1"/>
  <c r="B47" i="22"/>
  <c r="B47" i="13"/>
  <c r="B31" i="5"/>
  <c r="B19" i="4"/>
  <c r="B56" i="2"/>
  <c r="B15" i="1"/>
  <c r="B8" i="30"/>
  <c r="B24" i="28"/>
  <c r="B16" i="27"/>
  <c r="B104" i="26"/>
  <c r="B40" i="26"/>
  <c r="B18" i="25"/>
  <c r="B20" i="24"/>
  <c r="B65" i="22"/>
  <c r="B15" i="22"/>
  <c r="B32" i="21"/>
  <c r="B49" i="20"/>
  <c r="B73" i="19"/>
  <c r="B33" i="19"/>
  <c r="B62" i="18"/>
  <c r="B19" i="18"/>
  <c r="B41" i="17"/>
  <c r="B61" i="16"/>
  <c r="B17" i="16"/>
  <c r="B38" i="15"/>
  <c r="B59" i="14"/>
  <c r="B17" i="14"/>
  <c r="B57" i="13"/>
  <c r="B25" i="13"/>
  <c r="B62" i="12"/>
  <c r="B30" i="12"/>
  <c r="B57" i="11"/>
  <c r="B23" i="11"/>
  <c r="B104" i="10"/>
  <c r="B72" i="10"/>
  <c r="B39" i="10"/>
  <c r="B7" i="10"/>
  <c r="B44" i="9"/>
  <c r="B11" i="9"/>
  <c r="B62" i="8"/>
  <c r="B2" i="8"/>
  <c r="B54" i="7"/>
  <c r="B24" i="7"/>
  <c r="B69" i="5"/>
  <c r="B74" i="4"/>
  <c r="B18" i="3"/>
  <c r="B120" i="1"/>
  <c r="B4" i="3"/>
  <c r="B115" i="1"/>
  <c r="B64" i="21"/>
  <c r="B25" i="17"/>
  <c r="B33" i="9"/>
  <c r="B14" i="4"/>
  <c r="B52" i="2"/>
  <c r="B5" i="26"/>
  <c r="B12" i="29"/>
  <c r="B17" i="28"/>
  <c r="B9" i="27"/>
  <c r="B97" i="26"/>
  <c r="B33" i="26"/>
  <c r="B14" i="25"/>
  <c r="B19" i="24"/>
  <c r="B63" i="22"/>
  <c r="B8" i="22"/>
  <c r="B28" i="21"/>
  <c r="B46" i="20"/>
  <c r="B70" i="19"/>
  <c r="B32" i="19"/>
  <c r="B61" i="18"/>
  <c r="B16" i="18"/>
  <c r="B40" i="17"/>
  <c r="B60" i="16"/>
  <c r="B14" i="16"/>
  <c r="B37" i="15"/>
  <c r="B58" i="14"/>
  <c r="B16" i="14"/>
  <c r="B56" i="13"/>
  <c r="B24" i="13"/>
  <c r="B61" i="12"/>
  <c r="B29" i="12"/>
  <c r="B56" i="11"/>
  <c r="B22" i="11"/>
  <c r="B103" i="10"/>
  <c r="B71" i="10"/>
  <c r="B38" i="10"/>
  <c r="B6" i="10"/>
  <c r="B43" i="9"/>
  <c r="B10" i="9"/>
  <c r="B58" i="8"/>
  <c r="B31" i="8"/>
  <c r="B80" i="7"/>
  <c r="B51" i="7"/>
  <c r="B22" i="7"/>
  <c r="B60" i="6"/>
  <c r="B30" i="6"/>
  <c r="B68" i="5"/>
  <c r="B40" i="5"/>
  <c r="B23" i="4"/>
  <c r="B14" i="3"/>
  <c r="B137" i="1"/>
  <c r="B62" i="1"/>
  <c r="B49" i="3"/>
  <c r="B11" i="21"/>
  <c r="B29" i="10"/>
  <c r="B14" i="7"/>
  <c r="B11" i="4"/>
  <c r="B111" i="1"/>
  <c r="B9" i="26"/>
  <c r="B9" i="29"/>
  <c r="B14" i="28"/>
  <c r="B6" i="27"/>
  <c r="B94" i="26"/>
  <c r="B30" i="26"/>
  <c r="B12" i="25"/>
  <c r="B17" i="24"/>
  <c r="B56" i="22"/>
  <c r="B5" i="22"/>
  <c r="B25" i="21"/>
  <c r="B45" i="20"/>
  <c r="B67" i="19"/>
  <c r="B25" i="19"/>
  <c r="B60" i="18"/>
  <c r="B13" i="18"/>
  <c r="B33" i="17"/>
  <c r="B59" i="16"/>
  <c r="B11" i="16"/>
  <c r="B30" i="15"/>
  <c r="B57" i="14"/>
  <c r="B13" i="14"/>
  <c r="B53" i="13"/>
  <c r="B20" i="13"/>
  <c r="B58" i="12"/>
  <c r="B26" i="12"/>
  <c r="B51" i="11"/>
  <c r="B19" i="11"/>
  <c r="B100" i="10"/>
  <c r="B68" i="10"/>
  <c r="B35" i="10"/>
  <c r="B2" i="10"/>
  <c r="B40" i="9"/>
  <c r="B7" i="9"/>
  <c r="B56" i="8"/>
  <c r="B30" i="8"/>
  <c r="B79" i="7"/>
  <c r="B50" i="7"/>
  <c r="B21" i="7"/>
  <c r="B56" i="6"/>
  <c r="B29" i="6"/>
  <c r="B66" i="5"/>
  <c r="B37" i="5"/>
  <c r="B18" i="4"/>
  <c r="B5" i="3"/>
  <c r="B135" i="1"/>
  <c r="B118" i="1"/>
  <c r="B66" i="1"/>
  <c r="B35" i="5"/>
  <c r="B142" i="26"/>
  <c r="B52" i="12"/>
  <c r="B42" i="2"/>
  <c r="B26" i="3"/>
  <c r="B107" i="1"/>
  <c r="B13" i="25"/>
  <c r="B6" i="29"/>
  <c r="B11" i="28"/>
  <c r="B3" i="27"/>
  <c r="B91" i="26"/>
  <c r="B27" i="26"/>
  <c r="B10" i="25"/>
  <c r="B10" i="24"/>
  <c r="B53" i="22"/>
  <c r="B2" i="22"/>
  <c r="B24" i="21"/>
  <c r="B43" i="20"/>
  <c r="B66" i="19"/>
  <c r="B22" i="19"/>
  <c r="B59" i="18"/>
  <c r="B12" i="18"/>
  <c r="B30" i="17"/>
  <c r="B58" i="16"/>
  <c r="B10" i="16"/>
  <c r="B27" i="15"/>
  <c r="B56" i="14"/>
  <c r="B9" i="14"/>
  <c r="B50" i="13"/>
  <c r="B17" i="13"/>
  <c r="B55" i="12"/>
  <c r="B23" i="12"/>
  <c r="B48" i="11"/>
  <c r="B16" i="11"/>
  <c r="B97" i="10"/>
  <c r="B65" i="10"/>
  <c r="B32" i="10"/>
  <c r="B69" i="9"/>
  <c r="B36" i="9"/>
  <c r="B6" i="9"/>
  <c r="B55" i="8"/>
  <c r="B26" i="8"/>
  <c r="B78" i="7"/>
  <c r="B48" i="7"/>
  <c r="B18" i="7"/>
  <c r="B54" i="6"/>
  <c r="B28" i="6"/>
  <c r="B65" i="5"/>
  <c r="B63" i="5"/>
  <c r="B29" i="20"/>
  <c r="B46" i="18"/>
  <c r="B2" i="18"/>
  <c r="B45" i="16"/>
  <c r="B62" i="15"/>
  <c r="B43" i="14"/>
  <c r="B62" i="10"/>
  <c r="B23" i="3"/>
  <c r="B104" i="1"/>
  <c r="B30" i="21"/>
  <c r="B3" i="29"/>
  <c r="B8" i="28"/>
  <c r="B152" i="26"/>
  <c r="B88" i="26"/>
  <c r="B24" i="26"/>
  <c r="B2" i="25"/>
  <c r="B7" i="24"/>
  <c r="B50" i="22"/>
  <c r="B73" i="21"/>
  <c r="B22" i="21"/>
  <c r="B36" i="20"/>
  <c r="B65" i="19"/>
  <c r="B19" i="19"/>
  <c r="B52" i="18"/>
  <c r="B11" i="18"/>
  <c r="B27" i="17"/>
  <c r="B51" i="16"/>
  <c r="B9" i="16"/>
  <c r="B24" i="15"/>
  <c r="B49" i="14"/>
  <c r="B8" i="14"/>
  <c r="B49" i="13"/>
  <c r="B16" i="13"/>
  <c r="B54" i="12"/>
  <c r="B22" i="12"/>
  <c r="B47" i="11"/>
  <c r="B15" i="11"/>
  <c r="B96" i="10"/>
  <c r="B64" i="10"/>
  <c r="B31" i="10"/>
  <c r="B68" i="9"/>
  <c r="B35" i="9"/>
  <c r="B3" i="9"/>
  <c r="B52" i="8"/>
  <c r="B24" i="8"/>
  <c r="B77" i="7"/>
  <c r="B47" i="7"/>
  <c r="B17" i="7"/>
  <c r="B53" i="6"/>
  <c r="B24" i="6"/>
  <c r="B64" i="5"/>
  <c r="B33" i="5"/>
  <c r="B62" i="28"/>
  <c r="B114" i="1"/>
  <c r="B13" i="3"/>
  <c r="B88" i="1"/>
  <c r="B3" i="25"/>
  <c r="B65" i="28"/>
  <c r="B57" i="27"/>
  <c r="B145" i="26"/>
  <c r="B81" i="26"/>
  <c r="B17" i="26"/>
  <c r="B55" i="24"/>
  <c r="B4" i="24"/>
  <c r="B49" i="22"/>
  <c r="B71" i="21"/>
  <c r="B14" i="21"/>
  <c r="B33" i="20"/>
  <c r="B64" i="19"/>
  <c r="B18" i="19"/>
  <c r="B49" i="18"/>
  <c r="B10" i="18"/>
  <c r="B26" i="17"/>
  <c r="B48" i="16"/>
  <c r="B8" i="16"/>
  <c r="B23" i="15"/>
  <c r="B46" i="14"/>
  <c r="B7" i="14"/>
  <c r="B48" i="13"/>
  <c r="B15" i="13"/>
  <c r="B53" i="12"/>
  <c r="B21" i="12"/>
  <c r="B46" i="11"/>
  <c r="B14" i="11"/>
  <c r="B95" i="10"/>
  <c r="B63" i="10"/>
  <c r="B30" i="10"/>
  <c r="B67" i="9"/>
  <c r="B34" i="9"/>
  <c r="B2" i="9"/>
  <c r="B51" i="8"/>
  <c r="B23" i="8"/>
  <c r="B73" i="7"/>
  <c r="B46" i="7"/>
  <c r="B15" i="7"/>
  <c r="B50" i="6"/>
  <c r="B22" i="6"/>
  <c r="B78" i="26"/>
  <c r="B13" i="11"/>
  <c r="B21" i="6"/>
</calcChain>
</file>

<file path=xl/sharedStrings.xml><?xml version="1.0" encoding="utf-8"?>
<sst xmlns="http://schemas.openxmlformats.org/spreadsheetml/2006/main" count="1737" uniqueCount="1057">
  <si>
    <t>English</t>
  </si>
  <si>
    <t xml:space="preserve">Translate Required  </t>
  </si>
  <si>
    <t>Shaping Smarter Finance</t>
  </si>
  <si>
    <t>Intelligentere Finanzierung gestalten</t>
  </si>
  <si>
    <t>AI-powered ecosystems
that make commerce</t>
  </si>
  <si>
    <t>seamless</t>
  </si>
  <si>
    <t>secure</t>
  </si>
  <si>
    <t xml:space="preserve">transparent </t>
  </si>
  <si>
    <t xml:space="preserve">profitable </t>
  </si>
  <si>
    <t>We remove complexity from the asset lifecycle with a composable platform that integrates effortlessly.</t>
  </si>
  <si>
    <t>Get in touch</t>
  </si>
  <si>
    <t>Dealers</t>
  </si>
  <si>
    <t>OEMs</t>
  </si>
  <si>
    <t>Retail Lender</t>
  </si>
  <si>
    <t>Privatkundenkreditgeber</t>
  </si>
  <si>
    <t>Brokers</t>
  </si>
  <si>
    <t>Commericial Lenders</t>
  </si>
  <si>
    <t>The world's leading brands are powered by NETSOL</t>
  </si>
  <si>
    <t>Transcend Platform</t>
  </si>
  <si>
    <t>An AI-driven, composable platform for lenders, OEMs, dealers and fleets uniting digital retail, asset finance, and loan servicing with trust and transparency.</t>
  </si>
  <si>
    <t>Transcend</t>
  </si>
  <si>
    <t>Retail</t>
  </si>
  <si>
    <t>End-to-end orchestration for OEMs and</t>
  </si>
  <si>
    <t>dealers. Modular and scalable to unify</t>
  </si>
  <si>
    <t>showroom and online journeys into one</t>
  </si>
  <si>
    <t>Showroom und die Online-Abläufe in einem</t>
  </si>
  <si>
    <t>seamless retail experience.</t>
  </si>
  <si>
    <t>Learn more</t>
  </si>
  <si>
    <t>Auto retail redefined. Personalized paths,</t>
  </si>
  <si>
    <t>connected touchpoints and AI-driven precision.</t>
  </si>
  <si>
    <t>Independant dealers</t>
  </si>
  <si>
    <t>Dealer groups</t>
  </si>
  <si>
    <t>Finance</t>
  </si>
  <si>
    <t>AI-driven intelligence for the full</t>
  </si>
  <si>
    <t>KI-gesteuerte Intelligenz für den gesamten</t>
  </si>
  <si>
    <t>contract lifecycle—boosting decisions, onboarding and</t>
  </si>
  <si>
    <t>Vertragslebenszyklus – Förderung von Entscheidungen, Onboarding und</t>
  </si>
  <si>
    <t>operations across auto, equipment and commercial finance.</t>
  </si>
  <si>
    <t>Smarter lending starts here. AI-powered speed,</t>
  </si>
  <si>
    <t>aflexibility and precision.</t>
  </si>
  <si>
    <t>Auto Finanace</t>
  </si>
  <si>
    <t>Equipment Finance</t>
  </si>
  <si>
    <t>Fleet Finance</t>
  </si>
  <si>
    <t>Specialized Lenders</t>
  </si>
  <si>
    <t>AI Labs</t>
  </si>
  <si>
    <t>Transcend AI</t>
  </si>
  <si>
    <t>Labs</t>
  </si>
  <si>
    <t xml:space="preserve">AI innovation for lending, leasing and retail. Purpose-built tools that </t>
  </si>
  <si>
    <t>accelerate transformation and deliver real-world impact across workflows.</t>
  </si>
  <si>
    <t>Transforming BFSI, finance and leasing</t>
  </si>
  <si>
    <t>with intelligent, industry-specific AI.</t>
  </si>
  <si>
    <t>AI Applications</t>
  </si>
  <si>
    <t>AI Services</t>
  </si>
  <si>
    <t>Lab Innovation</t>
  </si>
  <si>
    <t>Marketplace</t>
  </si>
  <si>
    <t>A unified marketplace of modular, API-driven solutions for lending, leasing and retail. Built to simplify and accelerate every workflow.</t>
  </si>
  <si>
    <t>Smarter. Faster. Connected.</t>
  </si>
  <si>
    <t>Your modular marketplace for finance and leasing.</t>
  </si>
  <si>
    <t>Subscription-bbased</t>
  </si>
  <si>
    <t>API-first</t>
  </si>
  <si>
    <t>Componet-based</t>
  </si>
  <si>
    <t>Consultancy</t>
  </si>
  <si>
    <t>Expertise in AI, data, cloud and security—helping BFSI and lenders modernize, scale confidently and build resilient, future-ready operations.</t>
  </si>
  <si>
    <t>Turning complex challenges into transformative opportunities.</t>
  </si>
  <si>
    <t>Information Security</t>
  </si>
  <si>
    <t>Data&amp;AI Services</t>
  </si>
  <si>
    <t>Cloud Services</t>
  </si>
  <si>
    <t>Bespoke Development</t>
  </si>
  <si>
    <t>Who we serve</t>
  </si>
  <si>
    <t>Orchestrating commerce, intelligence and innovation across asset finance, retail and advisory ecosystems.</t>
  </si>
  <si>
    <t>Captives &amp; Lenders</t>
  </si>
  <si>
    <t>For captives and lenders, our secure cloud platform streamlines retail and wholesale finance. Originations, servicing and analytics built to support electric, connected and autonomous vehicles.</t>
  </si>
  <si>
    <t>OEMs &amp; Dealers</t>
  </si>
  <si>
    <t>We support OEMs and dealers with a future-ready mobility platform. From digital retail to connected journeys, financing, servicing, and EVs, every channel unified, every touchpoint optimized.</t>
  </si>
  <si>
    <t>Brokers &amp; Aggregators</t>
  </si>
  <si>
    <t>Empower brokers and aggregators with tools to manage multiple lender workflows, automate documentation and accelerate decisions while ensuring audit readiness and operational efficiency.</t>
  </si>
  <si>
    <t xml:space="preserve">Connect with us </t>
  </si>
  <si>
    <t>Technology partner to the world’s leading brands</t>
  </si>
  <si>
    <t>NETSOL Technologies builds AI-powered ecosystems that make finance, commerce, retail and servicing seamless for OEMs, captives, banks, independent finance companies, dealers and fleets, empowering consumers to buy, fund, use, service and renew assets with trust and transparency.</t>
  </si>
  <si>
    <t>With over 40 years of experience and operations in more than 40 countries, we deliver secure, composable platforms that integrate seamlessly with partner systems, simplify the entire asset lifecycle and deliver operational efficiency at scale.</t>
  </si>
  <si>
    <t>200+</t>
  </si>
  <si>
    <t>Customers worldwide</t>
  </si>
  <si>
    <t>300+</t>
  </si>
  <si>
    <t>Successful implementations</t>
  </si>
  <si>
    <t>$500B+</t>
  </si>
  <si>
    <t>Assets managed globally</t>
  </si>
  <si>
    <t>25+</t>
  </si>
  <si>
    <t>Years on NASDAQ: NTWK</t>
  </si>
  <si>
    <t>As business models, channels and technologies evolve, our commitment stays constant: human-centered experiences, responsible AI and measurable outcomes.</t>
  </si>
  <si>
    <t>Beyond software, we work as a strategic partner, offering deep domain expertise, implementation support and process optimization to help our clients modernize with confidence.</t>
  </si>
  <si>
    <t>MINI Partners with NETSOL to power it's new era of auto-retail exprience</t>
  </si>
  <si>
    <t xml:space="preserve">At MINI, we decided it was time to create an end-to-end purchasing and finance journey for the consumer, and it was important to create something more than a lead generator to facilitate the complete transaction for any MINI customer, any place, any time. Our partnership with NETSOL has enabled us not only to catch up with industry leaders but also to set new benchmarks in digital auto-retail, which the usual suspects in the industry could not provide." </t>
  </si>
  <si>
    <t>Mike Peyton</t>
  </si>
  <si>
    <t>Chief motorer and vice-president of MINI of the Americas</t>
  </si>
  <si>
    <t>Ikano bank gains compitative edge with NETSOL</t>
  </si>
  <si>
    <t xml:space="preserve">"We are pleased to be working with NETSOL as our strategic platform partner. NETSOL’s smart technology solutions are well-recognized in the finance and leasing space and deploying Transcend Finance (Formerly known as Ascent) enables us to maintain a competitive edge in today’s highly dynamic marketplace. With its powerful configuration engines, Ascent will streamline our processes, enabling faster on-boarding of new partners and speed up new product introductions across markets." </t>
  </si>
  <si>
    <t>Henrik Staulund Chief Commercial Officer at Ikano Bank</t>
  </si>
  <si>
    <t>Haydock Financial finds success with NETSOL's Marketplace</t>
  </si>
  <si>
    <t xml:space="preserve"> "I'd absolutely recommend both Appex Now and NETSOL. The products are brilliant. It works fantastically well. And NETSOL has been responsive to our needs. Quickly made any changes that we required." </t>
  </si>
  <si>
    <t>Mike Boyes</t>
  </si>
  <si>
    <t>Featured reads &amp; insights</t>
  </si>
  <si>
    <t>Stay informed with the latest from NETSOL. Thought leadership, product updates, industry perspectives, and company news, all in one place.</t>
  </si>
  <si>
    <t>Blog</t>
  </si>
  <si>
    <t xml:space="preserve">Beyond the DMS: Why automotive retail’s future is API-first </t>
  </si>
  <si>
    <t xml:space="preserve">NETSOL is at the GlobalData Automotive Europe Conference and Awards 2025  </t>
  </si>
  <si>
    <t xml:space="preserve">NETSOL is at the 25th Annual Auto Finance Summit: Driving the future of auto finance </t>
  </si>
  <si>
    <t xml:space="preserve">NETSOL is at Digital Dealer 2025: Empowering the future of automotive retail </t>
  </si>
  <si>
    <t>AI in BFSI: Revolutionizing risk management</t>
  </si>
  <si>
    <t>The importance of personalization in customer service: Tailoring payment and dispute management for customers</t>
  </si>
  <si>
    <t>The true cost of disconnected systems in Auto Retail</t>
  </si>
  <si>
    <t>Captive of the future: How technology is redefining captive finance operations - Key insights from AFSA’s webinar</t>
  </si>
  <si>
    <t>Fighting fraud in wholesale finance: Leveraging technology for early detection and risk mitigation</t>
  </si>
  <si>
    <t>Let's talk about what's next</t>
  </si>
  <si>
    <t>Rethink what your company can do with the right partner by your side.</t>
  </si>
  <si>
    <t>Subscribe to our newsletter to get the latest news in your inbox.</t>
  </si>
  <si>
    <t>abc@example.com</t>
  </si>
  <si>
    <t xml:space="preserve">Subscribe </t>
  </si>
  <si>
    <t>NETSOL</t>
  </si>
  <si>
    <t>Platform</t>
  </si>
  <si>
    <t>Overview</t>
  </si>
  <si>
    <t>Composable AI ecosystem orchestrating global asset and retail finance</t>
  </si>
  <si>
    <t>Digital Retail</t>
  </si>
  <si>
    <t>Redefining auto retail through connected data and intelligent workflows</t>
  </si>
  <si>
    <t>Intermediary Portals</t>
  </si>
  <si>
    <t>Branded digital gateways unifying partners, channels, and customers</t>
  </si>
  <si>
    <t>Originations</t>
  </si>
  <si>
    <t>Experience the future of lease and loan origination with agile, intuitive and cross-channel platforms</t>
  </si>
  <si>
    <t>Servicing</t>
  </si>
  <si>
    <t>Adaptive servicing framework enhancing lifecycle efficiency and insight</t>
  </si>
  <si>
    <t>Wholesale Finance</t>
  </si>
  <si>
    <t>Dynamic finance infrastructure powering resilient dealer ecosystems</t>
  </si>
  <si>
    <t>Mobility Solutions</t>
  </si>
  <si>
    <t>Evolving mobility with modular, data-driven digital frameworks</t>
  </si>
  <si>
    <t>Applied intelligence accelerating enterprise transformation and trust</t>
  </si>
  <si>
    <t>marketplace</t>
  </si>
  <si>
    <t>Lifecycle consultancy for BFSI that compounds ROI</t>
  </si>
  <si>
    <t>Real-time defense with audit-ready compliance</t>
  </si>
  <si>
    <t>Digital Solutions</t>
  </si>
  <si>
    <t>AI, cloud, automation built into daily ops</t>
  </si>
  <si>
    <t>AI, ML &amp; Data Analytics</t>
  </si>
  <si>
    <t>Predict, automate, and decide faster with AI and ML</t>
  </si>
  <si>
    <t>Generative AI</t>
  </si>
  <si>
    <t>Create, adapt, and personalize at enterprise speed</t>
  </si>
  <si>
    <t>Policy &amp; Strategy</t>
  </si>
  <si>
    <t>Emerging Technologies</t>
  </si>
  <si>
    <t>Prove and scale what's next, safely</t>
  </si>
  <si>
    <t>Cloud native on multicloud built for scale and uptime</t>
  </si>
  <si>
    <t>Data Engineering</t>
  </si>
  <si>
    <t>Reliable data layers that power AI and decisions</t>
  </si>
  <si>
    <t>Solutions</t>
  </si>
  <si>
    <t>equipment finance</t>
  </si>
  <si>
    <t>Automotive Finance</t>
  </si>
  <si>
    <t>Intelligent ecosystem redefining automotive finance</t>
  </si>
  <si>
    <t>AI-powered platform built for modern equipment finance</t>
  </si>
  <si>
    <t>Insights</t>
  </si>
  <si>
    <t>About Us</t>
  </si>
  <si>
    <t>Technology, trust, and domain expertise in motion</t>
  </si>
  <si>
    <t>Board Of Directors</t>
  </si>
  <si>
    <t>Stewards of vision, integrity, and long-term growth</t>
  </si>
  <si>
    <t>Management Team</t>
  </si>
  <si>
    <t>Pioneering the architecture of modern finance</t>
  </si>
  <si>
    <t>News</t>
  </si>
  <si>
    <t>Innovation, progress, and insight from across NETSOL</t>
  </si>
  <si>
    <t>Investors</t>
  </si>
  <si>
    <t>Driving sustainable value through strategic growth</t>
  </si>
  <si>
    <t>Careers</t>
  </si>
  <si>
    <t>Join the people powering the future of asset finance &amp; leasing</t>
  </si>
  <si>
    <t>Contact Us</t>
  </si>
  <si>
    <t>Why NETSOL</t>
  </si>
  <si>
    <t>Company Information</t>
  </si>
  <si>
    <t>Stock Data</t>
  </si>
  <si>
    <t>SEC Filings</t>
  </si>
  <si>
    <t>Products</t>
  </si>
  <si>
    <t>Calculation Engine</t>
  </si>
  <si>
    <t>Document Generation</t>
  </si>
  <si>
    <t>API Library</t>
  </si>
  <si>
    <t>Loan Origination System</t>
  </si>
  <si>
    <t>Customer Care Portal</t>
  </si>
  <si>
    <t>Tax Calculation Engine</t>
  </si>
  <si>
    <t>Credit Decisioning Engine</t>
  </si>
  <si>
    <t>Case Studies</t>
  </si>
  <si>
    <t>Guides</t>
  </si>
  <si>
    <t>Blogs</t>
  </si>
  <si>
    <t>Events</t>
  </si>
  <si>
    <t>Corporate Headquarters</t>
  </si>
  <si>
    <t>Address: 16000 Ventura Blvd,</t>
  </si>
  <si>
    <t>Suite 770 Encino, CA 91436, USA</t>
  </si>
  <si>
    <t>Phone: +1 818 222 9195</t>
  </si>
  <si>
    <t>Connect With Us</t>
  </si>
  <si>
    <t>© 2025 NETSOL Technologies. All Rights Reserved.</t>
  </si>
  <si>
    <t>Terms of Use</t>
  </si>
  <si>
    <t>Privacy Policy</t>
  </si>
  <si>
    <t>Human Rights Policy</t>
  </si>
  <si>
    <t>Modern Slavery Act</t>
  </si>
  <si>
    <t>Transcend Retail</t>
  </si>
  <si>
    <t>The digital retail standard for the world’s leading auto brands</t>
  </si>
  <si>
    <t>Drive revenue with omnichannel transformation and AI-powered precision.</t>
  </si>
  <si>
    <t>Our customers experience</t>
  </si>
  <si>
    <t>Lead to sale</t>
  </si>
  <si>
    <t>conversion rate</t>
  </si>
  <si>
    <t>3 Hours</t>
  </si>
  <si>
    <t>Saved per deal</t>
  </si>
  <si>
    <t>2.5x</t>
  </si>
  <si>
    <t>Increase in</t>
  </si>
  <si>
    <t>digital retail leads</t>
  </si>
  <si>
    <t>Digital retail for the changemakers.</t>
  </si>
  <si>
    <t>OEM-led digital retail transformation is what we do. Whether you need an end-to-end platform or want to optimize an existing solution, Transcend Retail equips you and your dealer network with the technology to execute and scale. Our platform powers real-time insights, streamlines operations, and ensures a connected, consistent retail experience without disrupting dealer operations or existing workflows.</t>
  </si>
  <si>
    <t>Dealer Groups</t>
  </si>
  <si>
    <t>Transcend Retail empowers dealer groups to run smarter, more profitable operations with seamless efficiency. Its modular architecture integrates effortlessly with DMS, CRMs, and third party lender systems, eliminating silos and streamlining workflows. With flexibility for multi-brand and multi-lender environments, it keeps operations smooth, while advanced analytics and dashboards deliver real-time inventory and profitability insights to drive growth without disruption.</t>
  </si>
  <si>
    <t>Dealership</t>
  </si>
  <si>
    <t>Sell more cars, close deals faster, and maximize every profit opportunity. Transcend Retail gives dealers the tools to convert more leads, streamline workflows, and boost F&amp;I revenue. Intuitive customer tools like transparent pricing, AI-powered trade-in offers, and flexible financing create a hassle-free buying experience that drives higher conversions and enhances Customer Satisfaction Index (CSI).</t>
  </si>
  <si>
    <t>Innovation that moves</t>
  </si>
  <si>
    <t>auto retail</t>
  </si>
  <si>
    <t>Turn leads into</t>
  </si>
  <si>
    <t>profit</t>
  </si>
  <si>
    <t>AI-powered tools convert more leads into buyers, while advanced desking tools streamline processes to boost per-unit F&amp;I profitability.</t>
  </si>
  <si>
    <t>Personalized customer journeys</t>
  </si>
  <si>
    <t>Offer personalized, transparent, and hassle-free retail experiences that build trust and loyalty, whether online, in-store or across both.</t>
  </si>
  <si>
    <t>Optimize operations without</t>
  </si>
  <si>
    <t>disruption</t>
  </si>
  <si>
    <t>Seamlessly integrate with legacy systems using tailored, modular solutions that minimize disruption and accelerate time-to-value.</t>
  </si>
  <si>
    <t>Create experiences that</t>
  </si>
  <si>
    <t>resonate</t>
  </si>
  <si>
    <t>Deliver seamless, intuitive journeys optimized for Gen Z and Millennial buyers, ensuring fast, personalized experiences that meet modern expectations.</t>
  </si>
  <si>
    <t>Transform complexity</t>
  </si>
  <si>
    <t>into clarity</t>
  </si>
  <si>
    <t>Centralized dashboards consolidate performance data, providing real-time insights that empower smarter, faster decisions across all channels.</t>
  </si>
  <si>
    <t>Scale smart without breaking the bank</t>
  </si>
  <si>
    <t>Invest in modular solutions that minimize unnecessary expenses while growing with your business to maximize ROI and adaptability.</t>
  </si>
  <si>
    <t>The buying journey</t>
  </si>
  <si>
    <t>Learn how Transcend Retail simplifies each step with intuitive tools and features.</t>
  </si>
  <si>
    <t>Dealer</t>
  </si>
  <si>
    <t>Customer</t>
  </si>
  <si>
    <t>Choose vehicle</t>
  </si>
  <si>
    <t>Empower customers to find the perfect car effortlessly.</t>
  </si>
  <si>
    <t>Pricing &amp; trade-in</t>
  </si>
  <si>
    <t>Provide clear, upfront pricing &amp; reliable trade-in estimates.</t>
  </si>
  <si>
    <t>Credit application</t>
  </si>
  <si>
    <t>Instant credit decisions to immediately inform your customers' buying power.</t>
  </si>
  <si>
    <t>Finalize &amp; sign</t>
  </si>
  <si>
    <t>Secure digital signing &amp; seamless payment processing.</t>
  </si>
  <si>
    <t>Delivery scheduling</t>
  </si>
  <si>
    <t>Simplified scheduling for test drives and vehicle deliveries.</t>
  </si>
  <si>
    <t>Your partner for innovation and excellence</t>
  </si>
  <si>
    <t>Proven expertise</t>
  </si>
  <si>
    <t xml:space="preserve">NETSOL has extensive experience transforming complex auto retail and finance processes. Our solutions are tailored to meet unique your requirements, ensuring a seamless partnership to achieve your goals. </t>
  </si>
  <si>
    <t>Future-ready solutions</t>
  </si>
  <si>
    <t>NETSOL’s innovative, API-driven and headless architecture ensures scalability, and easy integration. Our products are designed to transform online and offline retail experiences, delivering best-in-class solutions backed by data-driven insights.</t>
  </si>
  <si>
    <t>Exceptional customer experience</t>
  </si>
  <si>
    <t xml:space="preserve">Our intuitive UI/UX ensures a superior omnichannel retail customer experience. With modular and flexible controls, NETSOL enables effortless customization of workflows and interfaces, prioritizing customer satisfaction and operational efficiency. </t>
  </si>
  <si>
    <t>What our clients say about us</t>
  </si>
  <si>
    <t>Stefan Christman</t>
  </si>
  <si>
    <t>General Manager, Sales &amp; Marketing, MINI Financial Services</t>
  </si>
  <si>
    <t>Partnering with MINI USA and Transcend Retail to bring customer-centric solutions and ease of doing business with us is paramount. MINI Anywhere gives us the validation we need to sell cars online while also maintaining strong credit &amp; access to the most attractive interest rates for our customers and prospects.</t>
  </si>
  <si>
    <t>Mini Financial Services</t>
  </si>
  <si>
    <t>Download the Case Study</t>
  </si>
  <si>
    <t>Related blogs</t>
  </si>
  <si>
    <t>Podcast</t>
  </si>
  <si>
    <t>What's next for automotive retail? | Transcend AI Labs</t>
  </si>
  <si>
    <t>watch now</t>
  </si>
  <si>
    <t>Case Study</t>
  </si>
  <si>
    <t>A Deep Dive into the Digital Auto Retail Success of MINI</t>
  </si>
  <si>
    <t>Experience NETSOL's digital retail tools</t>
  </si>
  <si>
    <t>Discover how NETSOL can take your business forward with our expertise and decades of experience in the auto and equipment industry.</t>
  </si>
  <si>
    <t>Bespoke portals to reinforce brand identity</t>
  </si>
  <si>
    <t>Provide customers with a unified and self-contained purchasing experience.</t>
  </si>
  <si>
    <t>Sustain and strengthen brand identity while enhancing satisfaction</t>
  </si>
  <si>
    <t>Our bespoke, branded internal portals can be channelled into an intuitive customer-facing gateway that belies the complexity of the technology that supports it. Potential customers will be guided through the retail process through an intuitive and brand-focused path. This reinforces your specific priorities and goals, while also providing the customer with a seamless and convenient purchasing experience.</t>
  </si>
  <si>
    <t>Modern convenience</t>
  </si>
  <si>
    <t>A streamlined purchasing process, prioritizing customer satisfaction, while meeting and enhancing your firm's key goals and brand identity.</t>
  </si>
  <si>
    <t>Effortless system integration</t>
  </si>
  <si>
    <t>Provides all the utility and complexity of a third-party specialized system, despite being seamlessly integrated into your online process.</t>
  </si>
  <si>
    <t>Connected infrastructure</t>
  </si>
  <si>
    <t>Designed in collaboration with our clients and optimized for you. Achieve flawless efficiency with seamless DMS and CRM systems.</t>
  </si>
  <si>
    <t>Customer-centricity</t>
  </si>
  <si>
    <t>Enhance the consumer experience with intuitive and simple portals that are designed to hide the complex technology that drives it.</t>
  </si>
  <si>
    <t>350+</t>
  </si>
  <si>
    <t>30+</t>
  </si>
  <si>
    <t>Countries served</t>
  </si>
  <si>
    <t>End-to-end control and built-in intelligence</t>
  </si>
  <si>
    <t>Broker portals</t>
  </si>
  <si>
    <t>Efficiency and effectiveness are paramount for any broker. Managing disparate systems and processes can be cumbersome and time consuming, often leading to inefficiencies and missed opportunities. NETSOL offers a solution to these challenges by consolidating disparate processes into a single unified interface, revolutionizing the way your brokerage operates</t>
  </si>
  <si>
    <t>Lender portals</t>
  </si>
  <si>
    <t>NETSOL's lender-specific portals are designed to transform the lending process by enhancing risk management and driving profitability. Our advanced tools not only streamline loan origination, but also facilitate seamless communication and collaboration with the lending ecosystem. Empower your lending process with intuitive and efficient lender portals designed for seamless user experience.</t>
  </si>
  <si>
    <t>Dealer portals</t>
  </si>
  <si>
    <t>In the competitive automotive industry, dealers need efficient and comprehensive solutions to manage their operations effectively. NETSOL’s intermediary portals serve as digital command centers, providing dealers with a wide array of tools, resources and services to optimize every aspect of their business, from inventory management to sales and marketing.</t>
  </si>
  <si>
    <t xml:space="preserve">"I'd absolutely recommend both Appex Now and NETSOL. The products are brilliant. It works fantastically well. And NETSOL has been responsive to our needs. Quickly made any changes that we required." </t>
  </si>
  <si>
    <t>Ready to navigate through our intermediary portals?</t>
  </si>
  <si>
    <t>Learn more about NETSOL’s expertly designed, customizable portals and experience their benefits. Venture into our intermediary portals today.</t>
  </si>
  <si>
    <t>Loan Origination</t>
  </si>
  <si>
    <t>An AI-powered loan origination experience</t>
  </si>
  <si>
    <t>Experience the future of lease and loan origination with highly agile, easy-to-use, cross-channel platforms.</t>
  </si>
  <si>
    <t>Positioning lenders to modernize their lending practices with AI</t>
  </si>
  <si>
    <t>What sets our lease and loan origination software apart is our commitment to user experience. From application intake to loan approval, every interaction is designed to be seamless and straightforward, allowing you to focus on what matters most – serving your customers. Streamline the entire loan origination process, from submission to approval, with advanced features of our credit origination software such as real-time, AI-driven decisioning, automated deal flows and more. With cross-platform compatibility, sales teams can provide quick quotes, manage applications on the move, and significantly reduce decision-making time.</t>
  </si>
  <si>
    <t>AI-powered decisions</t>
  </si>
  <si>
    <t>From credit scoring to risk assessment, our loan origination software empowers you to make informed decisions quickly and accurately.</t>
  </si>
  <si>
    <t>Customer self-service</t>
  </si>
  <si>
    <t>Our self-service loan origination software allows customers to go through the complete buying and financing process anywhere at any time.</t>
  </si>
  <si>
    <t>Unlocked insights</t>
  </si>
  <si>
    <t>With advanced analytics and reporting capabilities, you can gain valuable insights into your lending portfolio and identify opportunities for improvement and growth.</t>
  </si>
  <si>
    <t>Enhanced experience</t>
  </si>
  <si>
    <t>With our user-friendly interface and intuitive design, borrowers can initiate and complete applications with ease, leading to higher satisfaction and retention rates.</t>
  </si>
  <si>
    <t>Credit application management</t>
  </si>
  <si>
    <t>Change business rules, add approval levels and adjust reporting requirements according to your needs. Leverage the power of the our credit origination software’s flexibility to handle any level of workflow, from small user groups with limited requirements to large enterprises with complex hierarchies and approval cycles.</t>
  </si>
  <si>
    <t>Digital retail</t>
  </si>
  <si>
    <t>Our turn-key platform for dealers looking for state-of-the-art equipment and auto loan origination software, which helps them make a move into the digital era, addressing a range of customer segments with evolving needs by offering them a seamless, omni-channel, end-to-end asset buying and usage experience.</t>
  </si>
  <si>
    <t>Fleet management</t>
  </si>
  <si>
    <t>Our technology revolutionizes loan origination for fleet management. AI-powered credit assessments, real-time data verification and seamless integration with financial systems ensures fleet managers can secure financing more quickly and efficiently, facilitating better resource allocation and fleet expansion.</t>
  </si>
  <si>
    <t>Experience AI-powered credit origination software</t>
  </si>
  <si>
    <t>Our AI-driven loan and lease origination software enables lenders to better anticipate market trends and consumer behavior, unlocking new opportunities in lending.</t>
  </si>
  <si>
    <t>Next-gen loan &amp; lease servicing software</t>
  </si>
  <si>
    <t>Engineered for precision and compliance, NETSOL’s AI-enabled platform delivers clarity and measurable customer impact across loan and lease operations.</t>
  </si>
  <si>
    <t>Effortlessly control your loan and lease portfolio with AI</t>
  </si>
  <si>
    <t>Simplify the oversight and administration of your loan and lease portfolio via our lease contract management software. Attain real-time insights into portfolio performance, delinquencies and losses, enabling proactive portfolio management and strategic decision-making. Our loan and lease management software is highly configurable, allowing you to tailor workflows, user interfaces and features to suit your specific requirements and preferences.</t>
  </si>
  <si>
    <t>Deeper insights</t>
  </si>
  <si>
    <t>Track contract performance and gain insights into your contract portfolio with Transcend loan servicing software’s advanced reporting and analytics capabilities.</t>
  </si>
  <si>
    <t>360-degree view</t>
  </si>
  <si>
    <t>Gain a comprehensive view of customer accounts, including payment history, balances, and transaction details, all in real time.</t>
  </si>
  <si>
    <t>Stringent mechanisms</t>
  </si>
  <si>
    <t>Benefit from robust security measures, transparency and compliance with NETSOL’s unrivalled technology for lease servicing solutions.</t>
  </si>
  <si>
    <t>Risk mitigation</t>
  </si>
  <si>
    <t>Utilize risk assessment features to identify potential issues early, allowing for proactive management and decision-making.</t>
  </si>
  <si>
    <t>Booking and activation</t>
  </si>
  <si>
    <t>Transcend Finance’s loan servicing software is designed to streamline processes and enhance efficiency, we provide seamless automation for booking and activation. From simple loan agreements to intricate lease structures, our customizable workflows adapt to your specific needs, ensuring precision and compliance at every step.</t>
  </si>
  <si>
    <t>Accounts receivables</t>
  </si>
  <si>
    <t>Accounts receivables Refine the entire process - from invoice generation to payment tracking, ensuring accuracy and efficiency at every stage. Optimize operations, reduce outstanding balances and improve cash flow management with our lease servicing solution’s secure and scalable technology that provides unparalleled control and visibility.</t>
  </si>
  <si>
    <t>Collections</t>
  </si>
  <si>
    <t>We empower your teams to navigate the complexities of collections with ease, automating key tasks and optimizing workflows for maximum effectiveness. Transform your collections operations, improve recovery rates and ensure regulatory compliance with our innovative technology. The cross-platform compatibility feature enables self-service functionalities for your field teams such as schedule management, assignment handling, allocation, task work queues, and geo-location, ensuring your team stays productive anywhere, anytime.</t>
  </si>
  <si>
    <t>Remarketing</t>
  </si>
  <si>
    <t>We enable financial institutions to maximize asset value and minimize losses. Leveraging advanced analytics and AI-driven algorithms, we identify optimal remarketing opportunities, enabling targeted outreach to potential buyers or lessees. Harness cutting-edge solutions for optimized remarketing.</t>
  </si>
  <si>
    <t>Contract management</t>
  </si>
  <si>
    <t>Transcend Finance’s lease contract management software manages detailed credit contracts throughout their lifecycle—from pre-activation and activation through customer management, asset financial management, billing and collections, finance and accounting, restructuring, and maturity.</t>
  </si>
  <si>
    <t>Customer service</t>
  </si>
  <si>
    <t>Empower your customers with self-service solutions and on-the-go convenience. Our cross-platform self-service solution offers a secure, 24/7 portal for viewing contract details, reducing inbound queries, and speeding up repayments. Leverage rules-based promotions, smart dashboards, and direct in-app notifications to engage customers, boost loyalty, and unlock new revenue opportunities.</t>
  </si>
  <si>
    <t>Ikano bank gains competitive edge with NETSOL</t>
  </si>
  <si>
    <t>Ready to revolutionize your loan and lease servicing?</t>
  </si>
  <si>
    <t>Explore our complete platform or its individual solutions to futureproof your business and gain a distinct competitive edge in today's ever-evolving landscape.</t>
  </si>
  <si>
    <t>Master wholesale finance operations with AI</t>
  </si>
  <si>
    <t>Gain a competitive edge by automating your wholesale finance and floor planning operations effortlessly.</t>
  </si>
  <si>
    <t>Power your supply chain for wholesale finance</t>
  </si>
  <si>
    <t>and floor planning</t>
  </si>
  <si>
    <t>Gain access to top-tier wholesale finance software and provide your dealers, distributors and auditors with unmatched user experiences. Streamline processes, manage risk, reduce costs, increase dealer engagement and improve customer satisfaction in wholesale financing. Intuitive designs and custom workflow automation accelerate processes by eliminating bottlenecks. Users can navigate the platform easily, enhancing productivity and streamlining operations.</t>
  </si>
  <si>
    <t>Advanced floor planning</t>
  </si>
  <si>
    <t>Utilize powerful floor planning tools for complete contract lifecycle management, resulting in real-time business intelligence and enhanced collaboration.</t>
  </si>
  <si>
    <t>Customizable solutions</t>
  </si>
  <si>
    <t>Our system is highly flexible – designed with configuration and not code in mind, enabling lenders to tailor loans for specific clients and risk factors.</t>
  </si>
  <si>
    <t>Seamless compliance</t>
  </si>
  <si>
    <t>We offer an unparalleled experience with easy customization to meet tax and accounting requirements in any jurisdiction, fully adhering to all compliance requirements.</t>
  </si>
  <si>
    <t>Versatile financing</t>
  </si>
  <si>
    <t>Our wholesale financing solutions support both asset and non-asset-based financing. Further, new products can be easily designed and setup in the system.</t>
  </si>
  <si>
    <t>Distributor OEM and dealer interface</t>
  </si>
  <si>
    <t>Empower your business partners with a portal that delivers more visibility and control over their inventories – with minimal effort. OEMS and dealers can view their use of floorplan, stock status and financial conditions, while entering settlement requests or relocating assets. Extend the same capabilities through cross-platform compatibility, empowering dealers to view floorplan usage, manage settlements or relocations, and track financial conditions on the go.</t>
  </si>
  <si>
    <t>Credit and risk management</t>
  </si>
  <si>
    <t>Give dealers the flexibility to request a credit limit for different asset categories, as well as monitor variations and reviews of defined credit limits. Allow temporary increases in credit limits based on dealer-driven campaigns – with normal limits automatically resuming when temporary periods end.</t>
  </si>
  <si>
    <t>Loan processing</t>
  </si>
  <si>
    <t>Manage the lifecycle of any transaction, from the capture of asset information, credit and contract booking details. Create operating models around your specific back-office needs, for repayments, interest charging, asset tax and service charges – and apply them when credit is approved.</t>
  </si>
  <si>
    <t>Disbursement management</t>
  </si>
  <si>
    <t>Fully streamline the disbursement process, offering efficiency, accuracy and security at every step. Eliminate manual tasks and human errors as our advanced wholesale solutions automate disbursement workflows, ensuring timely payments and optimal fund allocation.</t>
  </si>
  <si>
    <t>Final settlement</t>
  </si>
  <si>
    <t>Optimize your final settlement process with our advanced wholesale finance software, designed to enhance efficiency and accuracy in every transaction. Our solution automates reconciliation, processes settlements in real-time and integrates seamlessly with your existing systems.</t>
  </si>
  <si>
    <t>Inventory stock auditing</t>
  </si>
  <si>
    <t>Efficiently manage and track inventory with unparalleled accuracy and speed. With zero manual processes and real-time insights, automate auditing procedures, detect discrepancies instantly and optimize stock management for your wholesale inventory financing. Our mobile app brings the same level of accuracy to your workforce’s fingertips, enabling on-the-spot scheduling, asset tracking, picture verification, and swift submission of audit results.</t>
  </si>
  <si>
    <t>Ready to optimize your wholesale financing operations?</t>
  </si>
  <si>
    <t>Tailor financing options to meet the diverse needs of dealers and borrowers. Whether it's floorplan financing, revolving credit lines or term loans, our technology provides flexible financing solutions to accommodate various business requirements.</t>
  </si>
  <si>
    <t>A user-centric retail experience</t>
  </si>
  <si>
    <t>An omni-channel purchasing journey that Transcends the limitations of the traditional customer experience.</t>
  </si>
  <si>
    <t>Transforming mobility with smart digital solutions</t>
  </si>
  <si>
    <t>Benefit from smart solutions for modern mobility. Our products apply to every aspect of the sales and leasing journey and aim to Transcend the limitations of traditional mobility solutions. Our library of tools are agile, modular and applicable to businesses of any size. Most importantly, they are scalable to meet your needs in perpetuity. Our mobility solutions are designed to enhance your capabilities and can be catered to your specific needs.</t>
  </si>
  <si>
    <t>Effortless compliance</t>
  </si>
  <si>
    <t>Achieve effortless regulation compliance with our streamlined, intuitive solutions.</t>
  </si>
  <si>
    <t>Accurate taxing</t>
  </si>
  <si>
    <t>Instantly and accurately perform complex and essential tax and credit calculations.</t>
  </si>
  <si>
    <t>Automate accounting</t>
  </si>
  <si>
    <t>Automate complex accounting tasks and enhance customer care.</t>
  </si>
  <si>
    <t>Fraud protection</t>
  </si>
  <si>
    <t>Utilize our seamlessly implemented fraud protection and credit decisioning.</t>
  </si>
  <si>
    <t>Microleasing</t>
  </si>
  <si>
    <t>Embrace agility and affordability with our microleasing options, offering agile, convenient and cost-effective options for vehicle access. NETSOL’s microleasing offerings redefine vehicle access by providing flexible, affordable and sustainable solutions.</t>
  </si>
  <si>
    <t>Fractional ownership</t>
  </si>
  <si>
    <t>Our fractional ownership solutions revolutionize the mobility industry by offering maximum flexibility and promoting sustainability. Embrace the future of mobility with NETSOL's innovative solutions and experience the freedom and benefits of fractional ownership.</t>
  </si>
  <si>
    <t>AutoNation Mobility unlocks innovation and rapid market entry with NETSOL</t>
  </si>
  <si>
    <t xml:space="preserve">"Our strategic alliance with NETSOL aligns perfectly with our goals for innovation and market entry. The swift launch of AutoNation Mobility, a mere six months into our collaboration, highlights our shared commitment to continual innovation and prioritizing customer needs." </t>
  </si>
  <si>
    <t>Ivan Mihov</t>
  </si>
  <si>
    <t>Vice President of Mobility at AutoNation Mobility</t>
  </si>
  <si>
    <t>Ready to Transcend?</t>
  </si>
  <si>
    <t>Transcend AI Labs</t>
  </si>
  <si>
    <t>Pioneering AI-powered business transformation</t>
  </si>
  <si>
    <t>Shaping practical, human-centric AI to drive smarter business outcomes.</t>
  </si>
  <si>
    <t>Transforming complex AI into clear business value</t>
  </si>
  <si>
    <t>Transcend AI Labs is the dedicated AI innovation hub by NETSOL Technologies that revolutionizes how businesses harness the power of artificial intelligence. Leveraging cutting-edge models, human-centric design, and deep industry expertise, Transcend AI Labs enables enterprises to drive smarter decision-making, reduce costs, and unlock new revenue streams. What sets Transcend AI Labs apart is our commitment to making AI simple, practical, and impactful. From model selection to deployment, every step is designed to be seamless and intuitive, allowing you to focus on what matters most, making smarter, faster decisions.</t>
  </si>
  <si>
    <t>Product enhancement</t>
  </si>
  <si>
    <t>We use AI to constantly evolve the Transcend platform, improving features, performance, and functionality to ensure you stay ahead in a rapidly changing business landscape.</t>
  </si>
  <si>
    <t>Platform agnostic</t>
  </si>
  <si>
    <t>Our solutions work seamlessly across any platform or tech stack, giving you the flexibility to integrate without limitations.</t>
  </si>
  <si>
    <t>User-centric design</t>
  </si>
  <si>
    <t>Every solution is built with intuitive interfaces and a focus on user experience, ensuring easy adoption and meaningful engagement.</t>
  </si>
  <si>
    <t>Human augmentation</t>
  </si>
  <si>
    <t>We don’t replace human expertise, we enhance it with AI, empowering people to make smarter, faster, and more confident decisions.</t>
  </si>
  <si>
    <t>Partner with Transcend AI Labs for AI initiatives that deliver real value</t>
  </si>
  <si>
    <t>Tailored industry expertise</t>
  </si>
  <si>
    <t>We specialize in industry-specific AI implementations, tailoring to your use cases, choosing the best AI services, from content generation to predictive analytics – all optimized for your unique business environment and catering to your industry.</t>
  </si>
  <si>
    <t>Platform independence</t>
  </si>
  <si>
    <t>Freedom to innovate on your terms. Run solutions on your choice of infrastructure, be it on-premises, any cloud platform, or even an open-source stack. No vendor lock-in.</t>
  </si>
  <si>
    <t>Data control for enterprises</t>
  </si>
  <si>
    <t>Your data, your rules. Deploy AI platform on-premises or in your private cloud for full control over data and compliance, satisfying security and governance needs every step of the way.</t>
  </si>
  <si>
    <t>Human-in-the-loop accuracy</t>
  </si>
  <si>
    <t>Achieve AI-driven speed with the precision of human oversight at the most critical decision points, ensuring accountability and accuracy.</t>
  </si>
  <si>
    <t>Plug-and-play integration</t>
  </si>
  <si>
    <t>Get started quickly with minimal disruption. Integrate our AI modules with your existing systems and software, so you can plug into AI capabilities and see immediate impact without overhauling your IT landscape.</t>
  </si>
  <si>
    <t>Scalability &amp; future-readiness</t>
  </si>
  <si>
    <t>Our solutions scale with your business growth. As your needs evolve, Transcend AI Labs scales your AI implementations, ensuring efficiency, accuracy, and seamlessness in your operations and innovations.</t>
  </si>
  <si>
    <t>Commitment to security &amp; compliance</t>
  </si>
  <si>
    <t>Our AI services meet the highest standards of security and compliance while protecting your data and empowering innovation – backed by decades of global portfolio in diversely and highly regulated sectors like finance, banking and healthcare.</t>
  </si>
  <si>
    <t>Three pillars of AI at Transcend AI Labs</t>
  </si>
  <si>
    <t>AI-powered applications</t>
  </si>
  <si>
    <t>Comprehensive suite of AI Applications designed to automate and optimize your business processes. From intelligent document processing to predictive analytics, our applications deliver measurable results.</t>
  </si>
  <si>
    <t>Deep reasoning research</t>
  </si>
  <si>
    <t>Advanced AI-driven insights to uncover complex patterns and enhance decision-making.</t>
  </si>
  <si>
    <t>Intelligent document processing</t>
  </si>
  <si>
    <t>Automating document analysis, extraction, &amp; classification to streamline operations and improve accuracy.</t>
  </si>
  <si>
    <t>Flex AI</t>
  </si>
  <si>
    <t>A flexible AI powered finance structure recommender powered by generative AI and Flex.</t>
  </si>
  <si>
    <t>Rule forge</t>
  </si>
  <si>
    <t>AI-powered rules engine to automate compliance, decision-making, and operational workflows.</t>
  </si>
  <si>
    <t>Chat</t>
  </si>
  <si>
    <t>Conversational AI that delivers real-time, intelligent customer support and enhances engagement.</t>
  </si>
  <si>
    <t>Data-driven decisions</t>
  </si>
  <si>
    <t>Machine learning models for predictive analysis and forecasting.</t>
  </si>
  <si>
    <t>AI services</t>
  </si>
  <si>
    <t>Expert consulting and implementation services to help you leverage AI effectively. Our team provides strategic guidance, custom development, and ongoing support for your AI initiatives.</t>
  </si>
  <si>
    <t>AI strategy consulting</t>
  </si>
  <si>
    <t>Strategic planning and roadmap development to align AI initiatives with your business objectives and market opportunities.</t>
  </si>
  <si>
    <t>Custom AI development</t>
  </si>
  <si>
    <t>Bespoke AI solution development tailored to your specific industry requirements and business challenges.</t>
  </si>
  <si>
    <t>AI integration services</t>
  </si>
  <si>
    <t>Seamless integration of AI capabilities into your existing systems and workflows without disrupting operations.</t>
  </si>
  <si>
    <t>Training &amp; support</t>
  </si>
  <si>
    <t>Comprehensive training programs and ongoing support to ensure successful AI adoption across your organization.</t>
  </si>
  <si>
    <t>Lab innovations</t>
  </si>
  <si>
    <t>Latest breakthroughs from our AI research lab including advanced machine learning models, neural networks, and experimental technologies that push the boundaries of what's possible.</t>
  </si>
  <si>
    <t>Advanced Neural Networks</t>
  </si>
  <si>
    <t>Next-generation neural network architectures designed for complex pattern recognition and decision-making processes.</t>
  </si>
  <si>
    <t>Quantum AI research</t>
  </si>
  <si>
    <t>Pioneering research in quantum computing applications for AI, exploring unprecedented computational possibilities.</t>
  </si>
  <si>
    <t>Federated learning</t>
  </si>
  <si>
    <t>Innovative approaches to distributed machine learning that preserve privacy while enabling collaborative AI development.</t>
  </si>
  <si>
    <t>Explainable AI</t>
  </si>
  <si>
    <t>Transparent AI systems that provide clear insights into decision-making processes for better trust and compliance.</t>
  </si>
  <si>
    <t>Transcend Marketplace</t>
  </si>
  <si>
    <t>Connect, configure &amp; innovate</t>
  </si>
  <si>
    <t>From originations to servicing, experience the most intuitive finance and leasing products in asset finance.</t>
  </si>
  <si>
    <t>Flex</t>
  </si>
  <si>
    <t>Swift and precise credit contract calculations</t>
  </si>
  <si>
    <t>Dock</t>
  </si>
  <si>
    <t>Central hub for effortless and rapid document generation</t>
  </si>
  <si>
    <t>Index</t>
  </si>
  <si>
    <t>Master data management simplified</t>
  </si>
  <si>
    <t>Hubex</t>
  </si>
  <si>
    <t>Making Multiple Integrations as Easy as One</t>
  </si>
  <si>
    <t>Lane</t>
  </si>
  <si>
    <t>All-in-one Loan Origination Platform</t>
  </si>
  <si>
    <t>Drift</t>
  </si>
  <si>
    <t>Omni-retail customer journey to elevate your direct-to-consumer (D2C) strategy</t>
  </si>
  <si>
    <t>Link</t>
  </si>
  <si>
    <t>Empowering brokers, lenders, and dealers with streamlined portals.</t>
  </si>
  <si>
    <t>Cura</t>
  </si>
  <si>
    <t>Single Platform to Support Customers Throughout Contract Lifecycle</t>
  </si>
  <si>
    <t>T-Rate</t>
  </si>
  <si>
    <t>Real-Time Universal Tax Calculation</t>
  </si>
  <si>
    <t>Transentry</t>
  </si>
  <si>
    <t>Effortless Accounting Automation at Your Fingertips</t>
  </si>
  <si>
    <t>TermOut</t>
  </si>
  <si>
    <t>Shape the Contract Future, Today</t>
  </si>
  <si>
    <t>EarlyOut</t>
  </si>
  <si>
    <t>Streamlined Early Settlement and Accurate Payoff Processing</t>
  </si>
  <si>
    <t>Modifi</t>
  </si>
  <si>
    <t>Simple and Seamless Contract Modification</t>
  </si>
  <si>
    <t>Check</t>
  </si>
  <si>
    <t>Automated Credit Decisions for Faster and Smarter Lending</t>
  </si>
  <si>
    <t>Receive Now</t>
  </si>
  <si>
    <t>Efficient Invoice &amp; Receivables Management</t>
  </si>
  <si>
    <t>Chief Motorist and Vice-President of MINI of the Americas</t>
  </si>
  <si>
    <t>Advanced information security services</t>
  </si>
  <si>
    <t>Securing your digital world with AI-powered threat-ready technology.</t>
  </si>
  <si>
    <t>Fortify your business against digital threats with information security</t>
  </si>
  <si>
    <t>NETSOL delivers risk-driven security strategies to protect your data, ensure compliance, and enhance operational agility.</t>
  </si>
  <si>
    <t>Ransomware surge</t>
  </si>
  <si>
    <t>2,809 ransomware attacks were recorded in 2022, surging to 5,070 in 2023, with a 55% substantial increase</t>
  </si>
  <si>
    <t>Cybersecurity costs</t>
  </si>
  <si>
    <t>Without robust security services in information security, businesses lose millions in cyber-attacks yearly.</t>
  </si>
  <si>
    <t>Data breach costs</t>
  </si>
  <si>
    <t>The global average data breach cost hit an all-time high at $4.45 billion in 2023, an increase of 15% in three years.</t>
  </si>
  <si>
    <t>AI defeats threats</t>
  </si>
  <si>
    <t>66% of AI adopters confirmed Generative AI helped predict zero-day attacks and reduce false positives.</t>
  </si>
  <si>
    <t>AI-powered insights on information security services</t>
  </si>
  <si>
    <t>80% more success</t>
  </si>
  <si>
    <t>More than 40% of organizations reported a success ratio of over 80% for their AI-powered cybersecurity tools</t>
  </si>
  <si>
    <t>48% more crucial</t>
  </si>
  <si>
    <t>SMBs and enterprises now believe that AI will be essential in protecting against cybersecurity risks and threats.</t>
  </si>
  <si>
    <t>$2.09M saved per company</t>
  </si>
  <si>
    <t>Cybersecurity tools backed with AI can bring savings of over $2.09 million per company in the United States.</t>
  </si>
  <si>
    <t>Solving real problems in information security via stringent security mechanisms</t>
  </si>
  <si>
    <t>Assessment &amp; identification</t>
  </si>
  <si>
    <t>Risk assessment and vulnerability identification are essential in the information security sector. It helps evaluate the financial threats within the IT ecosystem, identifying potential dangers, compliance penalties and possible business losses.</t>
  </si>
  <si>
    <t>Enterprise security &amp; IT risk</t>
  </si>
  <si>
    <t>Enterprise security audits and IT risk assessments are the first defense mechanisms in protecting critical data and IT assets, helping organizations identify susceptibilities and implement adequate controls to mitigate potential threats.</t>
  </si>
  <si>
    <t>Prevention &amp; monitoring</t>
  </si>
  <si>
    <t>Traditional security measures often struggle to keep pace with sophisticated cyber threats, losing millions of dollars in cyber-attacks. NETSOL assists in preventing and monitoring your ecosystem, ensuring reliability with a solid defense against malicious attacks.</t>
  </si>
  <si>
    <t>SIEM &amp; SOAR implementations</t>
  </si>
  <si>
    <t>SIEM and SOAR streamline security operations centers by enhancing their capabilities to detect, analyze, respond to and prevent cybersecurity incidents. With AI in information security, enterprises can leverage improved threat detection and use dynamic responses against malicious attacks.</t>
  </si>
  <si>
    <t>Managed (SoC)</t>
  </si>
  <si>
    <t>Unlike traditional in-house SOCs, managed SOCs provide comprehensive security, including round-the-clock monitoring and incident response. By leveraging cutting-edge AI tools, we help enterprises automate threat response and improve prediction capabilities.</t>
  </si>
  <si>
    <t>Cloud security</t>
  </si>
  <si>
    <t>Businesses are increasingly migrating their operations to cloud environments, where the shift is bringing unique challenges in safeguarding data, applications and infrastructure from cyber threats. There is a need to embrace advanced IT security solutions.</t>
  </si>
  <si>
    <t>Empowering your digital future</t>
  </si>
  <si>
    <t>Fuel your success through strategic talent partnership services and next-gen digital solutions.</t>
  </si>
  <si>
    <t>Future of Technology</t>
  </si>
  <si>
    <t>Beyond automation, igniting innovation with digital solutions</t>
  </si>
  <si>
    <t>Businesses are etching change with talent management solutions, exploring exponential growth and technological revolution. Data and AI are augmenting human expertise and intelligence. NETSOL unlocks a new dimension of work structure, bridging the gap between human and digital potential. Being your digital technology partners, we foster innovation and agility, equipping you with unparalleled talent, unlocking your organization's potential and propelling your projects forward at an unmatched speed.</t>
  </si>
  <si>
    <t>Quiet quitting</t>
  </si>
  <si>
    <t>In 2024, "quiet quitting" has become a trend, where over 50% of employees are not ready to put in extra effort.</t>
  </si>
  <si>
    <t>Training disparity</t>
  </si>
  <si>
    <t>36% of organizations offer quarterly training to employees, but only 5% provide basic training programs.</t>
  </si>
  <si>
    <t>Management failure</t>
  </si>
  <si>
    <t>Poor management leads businesses to lose over $450 billion yearly in productivity.</t>
  </si>
  <si>
    <t>Interview impact</t>
  </si>
  <si>
    <t>65% of employees lose interest in a job due to a bad interview experience.</t>
  </si>
  <si>
    <t>AI-powered insights on digital solutions and talent partnership services</t>
  </si>
  <si>
    <t>8X more success</t>
  </si>
  <si>
    <t>Businesses that achieve high digital maturity with operational efficiency are 8x more likely to outsmart their competitors.</t>
  </si>
  <si>
    <t>50% cost savings</t>
  </si>
  <si>
    <t>NETSOL's efficient on-demand marketing team has a 50% cost saving when compared with in-house hires.</t>
  </si>
  <si>
    <t>44% innovation ready</t>
  </si>
  <si>
    <t>Nearly 87% of businesses agree that the digital revolution can disrupt their industry. However, only 44% are prepared to embrace it.</t>
  </si>
  <si>
    <t>Unmatched digital innovation and talent partnership services</t>
  </si>
  <si>
    <t>Digital transformation services</t>
  </si>
  <si>
    <t>Navigating digital transformation and security threats requires expert guidance. NETSOL crafts strategies with AI, cybersecurity, and agile project management. Leverage AI tools, automation, predictive analytics, and reskilling to enhance efficiency and productivity.</t>
  </si>
  <si>
    <t>Resource augmentation</t>
  </si>
  <si>
    <t>For a high-performing team, you need to acquire the best technical talent. With NETSOL, break the chains of geographical limitations and find the talent with our onshore, nearshore, and offshore resource augmentation, assisting in hiring the best talent</t>
  </si>
  <si>
    <t>Support services</t>
  </si>
  <si>
    <t>Smooth operations and exceptional customer support are critical for your business growth.With our digital partnerships, we optimize efficiency by leveraging AI-powered, proactive maintenance and management, and service training for your brand.</t>
  </si>
  <si>
    <t>Jira migration &amp; training</t>
  </si>
  <si>
    <t>Implementing, migrating to, and mastering Jira in this agile development environment can be complex. NETSOL offers to power your business with intelligent configuration and workflow automation, undisrupted data migration, and AI-powered training and user adoption.</t>
  </si>
  <si>
    <t>Training &amp; development</t>
  </si>
  <si>
    <t>Continuous learning and development are essential for an enhanced development system. Unlock personalized learning journeys by analyzing skill gaps and infusing adaptive learning, microlearning, and real-time performance management with us.</t>
  </si>
  <si>
    <t>Technical services &amp; solutions</t>
  </si>
  <si>
    <t>Managing technical services requires expertise. With our digital consulting and talent solutions, fuel your business with AI-powered infrastructure management, development and automation, future-ready technological revolution, and AI-assisted resolution.</t>
  </si>
  <si>
    <t>Empower your digital journey and unlock limitless potential through strategic talent partnerships.</t>
  </si>
  <si>
    <t>Ai &amp; Ml Services</t>
  </si>
  <si>
    <t>Unlock the power of your data with AI &amp; ML services</t>
  </si>
  <si>
    <t>Transforming your data into valuable insights leveraging AI for data analytics.</t>
  </si>
  <si>
    <t>Transform data into intelligence with AI &amp; ML services and solutions</t>
  </si>
  <si>
    <t>Raw data isn't enough; your business needs clear insights that lead to real results. NETSOL leverages the power of AI, ML and data analytics, transforming data into actionable insights, assisting you in making smarter decisions, predicting future trends, automating tedious tasks and customizing the user experience. Use AI for data analytics to understand your unique business challenges. We provide Cloud AI and ML services while developing bespoke strategies utilizing cutting-edge solutions. With our AI &amp; ML consulting services, unlock your data's true potential and alter your business's future.</t>
  </si>
  <si>
    <t>Data drives profits</t>
  </si>
  <si>
    <t>Data-driven organizations are 23x more likely to acquire customers and become 19x more profitable.</t>
  </si>
  <si>
    <t>ML's domination</t>
  </si>
  <si>
    <t>More than 80% of businesses in North America have adopted machine learning.</t>
  </si>
  <si>
    <t>Big data leads</t>
  </si>
  <si>
    <t>Over 83% of businesses have pursued big data projects to gain a competitive edge over others.</t>
  </si>
  <si>
    <t>ML drives insights</t>
  </si>
  <si>
    <t>Over 74% of C-level executives and data scientists use ML for performance analysis.</t>
  </si>
  <si>
    <t>AI-Powered insights on AI, ML and data analytics</t>
  </si>
  <si>
    <t>58% more revenue</t>
  </si>
  <si>
    <t>Businesses using data-driven strategies generate over 58% more revenue than those that are not.</t>
  </si>
  <si>
    <t>14% more market share</t>
  </si>
  <si>
    <t>The advancements in AI &amp; ML can potentially increase global GDP by 14% by 2030.</t>
  </si>
  <si>
    <t>13x more value</t>
  </si>
  <si>
    <t>In the next 7 years, the value of the Artificial Intelligence industry is expected to increase by 13x.</t>
  </si>
  <si>
    <t>Empowering businesses with AI &amp; ML services and solutions</t>
  </si>
  <si>
    <t>Strategy &amp; planning</t>
  </si>
  <si>
    <t>Harness the power of the growing ocean of data with AWS AI services, addressing the challenges of data. With NETSOL, navigate this journey and build a winning strategy. We will assist you in your business goal alignment, data assessment and prioritization.</t>
  </si>
  <si>
    <t>Data &amp; analytics</t>
  </si>
  <si>
    <t>Businesses must extract meaningful insights and transform raw data into actionable strategies, fueling growth. NETSOL helps navigate data integration and management, advanced analytics and reporting, data warehousing and business intelligence, and data visualization.</t>
  </si>
  <si>
    <t>Responsible AI</t>
  </si>
  <si>
    <t>Businesses must develop and deploy AI with security and accountability in mind. NETSOL ensures AI benefits society without reinforcing existing inequalities. Our processes are fair, unbiased and transparent, honoring data security and privacy.</t>
  </si>
  <si>
    <t>AI solutions</t>
  </si>
  <si>
    <t>Organizations are overburdened with information and need an approach to capitalize on it. NETSOL leverages the power of data analytics and AI services, ensuring predictive and prescriptive analytics, automated data analysis, NLP and IPA.</t>
  </si>
  <si>
    <t>Explore how NETSOL helps unlock your data's true potential with AI &amp; ML.</t>
  </si>
  <si>
    <t>Unleash the power: Generative AI solutions</t>
  </si>
  <si>
    <t>Innovate beyond limits by transforming your business landscape with AI creativity.</t>
  </si>
  <si>
    <t>Empowering businesses with intelligent Generative AI services</t>
  </si>
  <si>
    <t>Generative AI solutions transcend traditional programming, empowering machines to autonomously craft inventive content, unlocking the door to limitless possibilities, unleashing boundless innovation, hyper-personalization and unparalleled efficiency. At NETSOL, we are bridging the gap between modern AI and human imagination. Our experts are rewriting the rules of content management and creation, ushering in a new era of business where data will become your ultimate secret weapon for success.</t>
  </si>
  <si>
    <t>AI trust</t>
  </si>
  <si>
    <t>52% of the general population trusts Gen AI to help them make informed decisions.</t>
  </si>
  <si>
    <t>AI reshaping business</t>
  </si>
  <si>
    <t>75% of business professionals expect Gen AI to cause disruptive change in their sector.</t>
  </si>
  <si>
    <t>AI's Investor Edge</t>
  </si>
  <si>
    <t>67% of investors believe AI enhances investment returns through deep analysis and portfolio management.</t>
  </si>
  <si>
    <t>GenAI impact</t>
  </si>
  <si>
    <t>GenAI now identifies business gaps, manages tedious tasks, and drives innovation.</t>
  </si>
  <si>
    <t>AI-powered insights on Generative AI services</t>
  </si>
  <si>
    <t>Dream it, generate it, achieve it with NETSOL</t>
  </si>
  <si>
    <t>Navigating an AI strategy is challenging for businesses with limited expertise and capacity. NETSOL empowers your enterprise, identifies gaps, finds opportunities, makes customized strategies and translates them into actionable plans.</t>
  </si>
  <si>
    <t>Development &amp; implementation</t>
  </si>
  <si>
    <t>Implementing a Generative AI strategy is challenging. Let NETSOL handle it. We translate your strategies into results with robust data acquisition, model selection, training, testing, refinement and deployment.</t>
  </si>
  <si>
    <t>AI marketing</t>
  </si>
  <si>
    <t>Capturing attention and forging meaningful connections with customers is demanding. As your AI marketing partners, we wield the transformative power of Gen AI to craft personalized, data-driven experiences that resonate with your target audience.</t>
  </si>
  <si>
    <t>Optimization &amp; support</t>
  </si>
  <si>
    <t>The power of Generative AI for financial services has always remained strong after implementation in the finance sector. We infuse ongoing optimization with genuine support, maintaining peak performance while maximizing the value extracted from AI solutions.</t>
  </si>
  <si>
    <t>Explore how NETSOL can help your business get the most out of Generative AI.</t>
  </si>
  <si>
    <t>Harness unparalleled digital policy &amp; strategy</t>
  </si>
  <si>
    <t>Empower your business with a winning policy and data strategy.</t>
  </si>
  <si>
    <t>Powering smarter decisions and building a future-proof foundation</t>
  </si>
  <si>
    <t>By infusing AI into your policies and strategies, businesses can gain deeper insights, automate tedious tasks and make data-driven decisions, propelling their infrastructure forward. With a transformative digital policy and data strategy, leverage advanced data analytics, risk assessment and mitigation, and regulatory compliance monitoring. With our robust policy and strategy consulting services and policy management software, unlock the power of AI to make smarter decisions, gain a competitive edge and achieve long-term success.</t>
  </si>
  <si>
    <t>AI influence</t>
  </si>
  <si>
    <t>By the end of 2024, 60% of governmental policies will directly impact AI.</t>
  </si>
  <si>
    <t>Business intelligence</t>
  </si>
  <si>
    <t>83% of businesses utilize the power of AI to create their own business policies and strategies.</t>
  </si>
  <si>
    <t>Data infusion</t>
  </si>
  <si>
    <t>For prominent data strategy, over 61% of marketers focus on AI and ML infusion.</t>
  </si>
  <si>
    <t>AI automation</t>
  </si>
  <si>
    <t>With AI, 50% of businesses can automate their policy and strategy-making process.</t>
  </si>
  <si>
    <t>AI-powered insights on policy and strategy</t>
  </si>
  <si>
    <t>2.3x strategic planning</t>
  </si>
  <si>
    <t>Organizations with a formal strategic planning process are 2.3x more likely to outperform their competitors.</t>
  </si>
  <si>
    <t>Experience the power of digital innovation and talent partnership services</t>
  </si>
  <si>
    <t>Digital policy &amp; strategy</t>
  </si>
  <si>
    <t>A well-defined digital strategy is the cornerstones of any successful organization. NETSOL provides a roadmap for leveraging technology to achieve your business goals, mitigating risks and fostering innovation while efficiently navigating the evolving digital landscape.</t>
  </si>
  <si>
    <t>Digital transformation</t>
  </si>
  <si>
    <t>Transform your raw data into actionable insights, build a robust data architecture design and have a clear data strategy, fueling your business growth. NETSOL crafts an effective digital transformation strategy by leveraging advanced digital services and tools.</t>
  </si>
  <si>
    <t>Cybersecurity policy</t>
  </si>
  <si>
    <t>Shield your digital assets against data breaches, cyberattacks and compliance issues with a comprehensive information and cybersecurity policy, focusing on risk assessment, policy development and implementation, and compliance gap remediations.</t>
  </si>
  <si>
    <t>Cloud migration strategy</t>
  </si>
  <si>
    <t>The process can be disruptive, complex and costly without a robust cloud migration strategy. With us, navigate your journey to the cloud with a clear roadmap backed by business assessment, migration methodology, compliance consideration and cloud platform selection.</t>
  </si>
  <si>
    <t>Hybrid cloud strategy</t>
  </si>
  <si>
    <t>With a hybrid cloud strategy, leverage on-premise resources with a public cloud service. NETSOL crafts an effective hybrid cloud strategy leveraging policy and procedure software, offering meticulous planning, seamless API integration, and consistent security and compliance practices.</t>
  </si>
  <si>
    <t>Multi-cloud strategy</t>
  </si>
  <si>
    <t>With a multi-cloud strategy, manage and deploy your applications across multiple public cloud providers. NETSOL offers a comprehensive approach to craft and execute a multi-cloud strategy with strategy development and security, and compliance management.</t>
  </si>
  <si>
    <t>Ready to get started?</t>
  </si>
  <si>
    <t>Explore how NETSOL leverages AI for smarter policy and strategy making processes.</t>
  </si>
  <si>
    <t>Experience Web 3.0 &amp; emerging technologies</t>
  </si>
  <si>
    <t>Empowering the future with advanced Web 3.0 services and emerging technologies.</t>
  </si>
  <si>
    <t>Embrace the dawn of a new era with advanced Web 3.0 services</t>
  </si>
  <si>
    <t>Web 3.0, the decentralized web of the future, promises a more immersive, user-centric and intelligent experience. By embracing innovative and emerging technologies, businesses can fuel growth with evolving solutions like AI, blockchain, IoT and Web 3.0, redefining security, privacy, innovation and efficiency. NETSOL, while focusing on user empowerment, offers to develop modern applications that leverage blockchain technology for secure data management and infuse emerging technologies solutions to help enterprises navigate the transition to a more decentralized environment.</t>
  </si>
  <si>
    <t>Web 3.0 market reach</t>
  </si>
  <si>
    <t>The Web 3.0 market is expected to reach $5.5 billion by 2030, growing at a CAGR of 44.9%.</t>
  </si>
  <si>
    <t>Rising demand</t>
  </si>
  <si>
    <t>Surging demand for Web 3.0 escalates the need for secure, transparent digital transactions.</t>
  </si>
  <si>
    <t>Web 3.0 market</t>
  </si>
  <si>
    <t>The market capitalization of Web 3.0 is estimated to be valued at $27.5 billion.</t>
  </si>
  <si>
    <t>Gamer adoption</t>
  </si>
  <si>
    <t>Over 73 million gamers across the globe play games based on Web 3.0 technology.</t>
  </si>
  <si>
    <t>Driving innovation through emerging technology integration with NETSOL</t>
  </si>
  <si>
    <t>Smart contract development</t>
  </si>
  <si>
    <t>The rise of Web 3.0 promotes smart contracts as an integral part of the blockchain world. With these contracts, businesses can improve their security, automate the transactional process and ensure a reliable modern contract, promoting self-executing agreements.</t>
  </si>
  <si>
    <t>Decentralized applications (dApp)</t>
  </si>
  <si>
    <t>The decentralized application development in Web 3.0 emphasizes user control and ownership, running on a blockchain network. dApps are paving the way for a decentralized future, enabling decentralized financing and prioritizing social dApps and dmarketplace.</t>
  </si>
  <si>
    <t>Digital twin</t>
  </si>
  <si>
    <t>A digital twin is the virtual representation of a physical asset or system, combining real-time data from sensors and IoT devices. NETSOL with Web 3.0 unlocks a new era of optimization and innovation with a digital twin, promising to improve efficiency and reduce costs.</t>
  </si>
  <si>
    <t>Metaverse</t>
  </si>
  <si>
    <t>The metaverse promises a revolutionized way to interact, socialize, and conduct business. Web 3.0 and the metaverse offer an enhanced user experience, decentralized ownership and interoperability, fostering control of digital assets, ultimately redefining how we connect.</t>
  </si>
  <si>
    <t>Consulting &amp; compliance</t>
  </si>
  <si>
    <t>The Web 3.0 revolution helps businesses navigate evolving regulations and emerging threats. NETSOL empowers businesses with expert consulting and compliance services in security risk management, regulatory complaints, technology selection and change management.</t>
  </si>
  <si>
    <t>Security &amp; education</t>
  </si>
  <si>
    <t>Get immersed in a personalized learning experience with the revolutionary Web 3.0, capable of protecting student data, ensuring responsible content access and navigating the complexities of a decentralized environment in a blockchain, Metaverse environment.</t>
  </si>
  <si>
    <t>Explore how you can build secure and scalable Web 3.0 solutions with NETSOL.</t>
  </si>
  <si>
    <t>Scale your business with agile cloud solutions</t>
  </si>
  <si>
    <t>Reduce your costs and increase efficiency with multi-cloud networking and security.</t>
  </si>
  <si>
    <t>Unleash the power of possibility with proven cloud services</t>
  </si>
  <si>
    <t>Agility and scalability are no longer luxuries but necessities for modern enterprises. NETSOL cloud services offer a revolutionary approach to IT infrastructure, empowering businesses to thrive and eliminate the need for expensive on-premise hardware with unmatched scalability, agility, security lower costs and reliability. With our cloud backup disaster recovery protocol, ditch your outdated legacy infrastructure, unlock the cloud's power and build a future-proof IT foundation.</t>
  </si>
  <si>
    <t>Market expansion</t>
  </si>
  <si>
    <t>The global cloud computing market grew from $24.63 billion in 2010 to $156.4 billion in 2020.</t>
  </si>
  <si>
    <t>Cloud challenge</t>
  </si>
  <si>
    <t>42% of CTOs and CIOs consider cloud waste the top challenge during and after migration.</t>
  </si>
  <si>
    <t>Cost management</t>
  </si>
  <si>
    <t>Over 58% of businesses struggle to manage their cloud costs for their increasing workload.</t>
  </si>
  <si>
    <t>Cloud investment</t>
  </si>
  <si>
    <t>Leading IT businesses and enterprises invest $8 out of every $10 in cloud services.</t>
  </si>
  <si>
    <t>AI-powered insights on cloud services</t>
  </si>
  <si>
    <t>70% more capabilities</t>
  </si>
  <si>
    <t>Over 70% of enterprises get their AI capabilities from cloud-based software, while 65% create AI applications with cloud services.</t>
  </si>
  <si>
    <t>4.7x more operating margins</t>
  </si>
  <si>
    <t>Eco-friendly business enjoys 4.7x operating margins with AI in the cloud, reducing carbon emissions by up to 64%.</t>
  </si>
  <si>
    <t>50% workload migration</t>
  </si>
  <si>
    <t>Over 54% of enterprises moved to the cloud for disaster recovery and 50% for migrating workload management.</t>
  </si>
  <si>
    <t>Managed cloud services for modern enterprises</t>
  </si>
  <si>
    <t>Managed services</t>
  </si>
  <si>
    <t>Managing a cloud environment is complex, but with managed services, enterprises can outsource management and maintenance, running cloud services smoothly, securely and cost-effectively. Streamline cloud operations, enhance security and scale cloud solutions with us</t>
  </si>
  <si>
    <t>Cloud infrastructure services</t>
  </si>
  <si>
    <t>You need a prominent foundation with a secure cloud infrastructure and essential resources to run your applications seamlessly. We empower your cloud infrastructure by safely deploying and migrating your cloud and optimizing resource provisioning.</t>
  </si>
  <si>
    <t>Development &amp; integrations</t>
  </si>
  <si>
    <t>Navigating the complexities of building and integrating cloud-native applications can be challenging. With NETSOL, leverage the power of AI for secure cloud-native development, API integration, containerization, DevOps expertise and microservices architecture.</t>
  </si>
  <si>
    <t>SaaS development</t>
  </si>
  <si>
    <t>Deploying agile, scalable, cost-effective SaaS applications requires expertise and inventive solutions. NETSOL is ready to empower your SaaS journey with cloud-native architecture backed by a security-first approach, API design and integration services.</t>
  </si>
  <si>
    <t>DevOps</t>
  </si>
  <si>
    <t>DevOps is crucial for optimizing the development and delivery of cloud applications. NETSOL is here to resolve the complex process of DevOps by bridging the gap with CI/CD pipeline automation, IaC, cloud-based monitoring and logging, and security integration.</t>
  </si>
  <si>
    <t>MLOps &amp; model management</t>
  </si>
  <si>
    <t>The journey from creating a model to deploying it in production can be challenging. NETSOL, with expertise in MLOps, helps you navigate this critical stage by streamlining the experimentation, model versioning and governance, and model monitoring.</t>
  </si>
  <si>
    <t>NETSOL + Amazon Web Services Where innovation meets imapact!</t>
  </si>
  <si>
    <t>Discover how our certified expertise can drive your success with cutting-edge cloud solutions. Experience excellence in innovation and scalability with NETSOL's AWS-powered services.</t>
  </si>
  <si>
    <t>Robust data engineering services &amp; solutions</t>
  </si>
  <si>
    <t>With AWS services for data engineering, build scalable data pipelines for your business growth.</t>
  </si>
  <si>
    <t>Generate actionable insights through mature data platforms</t>
  </si>
  <si>
    <t>Due to data trust issues, limited data platforms and inadequate knowledge, businesses struggle to deliver timely insights. With data engineering and analytics services, enterprises can leverage advisory and operational benefits, focusing on reducing ownership costs and enhancing sustainability longevity. NETSOL offers AWS services for data engineering, extracting data from various platforms while leveraging intelligent cataloging through trust testing and deployment and accelerating your data efforts with the AL and ML partnership.</t>
  </si>
  <si>
    <t>Data losses</t>
  </si>
  <si>
    <t>Globally, businesses lose over $15 million yearly due to poor data quality and management.</t>
  </si>
  <si>
    <t>Market surge</t>
  </si>
  <si>
    <t>The global data market is expected to surge to $274.3 billion by 2026,</t>
  </si>
  <si>
    <t>Data lakes</t>
  </si>
  <si>
    <t>The data lakes market is expected to hit a high of $20.04 billion by 2028.</t>
  </si>
  <si>
    <t>Engineering growth</t>
  </si>
  <si>
    <t>The data engineering market will double to $89.02 billion by 2027 from $43.04 billion in 2022.</t>
  </si>
  <si>
    <t>Actionable insights with the right data strategy</t>
  </si>
  <si>
    <t>$3.1T more sustainability</t>
  </si>
  <si>
    <t>The sector can ensure annual savings of $3.1 trillion with data-driven environmental monitoring by 2030.</t>
  </si>
  <si>
    <t>$67.4B blockchain increase</t>
  </si>
  <si>
    <t>The global blockchain market is ready to hit $67.4 billion by 2026, infusing data security and traceability in data engineering.</t>
  </si>
  <si>
    <t>70% scalability</t>
  </si>
  <si>
    <t>By integrating low code / no code technologies in data engineering, businesses can witness 70% scalability of their data pipeline.</t>
  </si>
  <si>
    <t>AI-driven intelligence built on robust data engineering foundations</t>
  </si>
  <si>
    <t>Data migration strategy, development &amp; implementation</t>
  </si>
  <si>
    <t>With a proper data migration strategy, enterprises can assess their data, test and validate it, and transform the information into valuable insights. Development and implementation tools assist in change management while implementing post and pre-migration validation with continuous support.</t>
  </si>
  <si>
    <t>Data wrangling &amp; integration services</t>
  </si>
  <si>
    <t>Data analytics engineering services can tackle the data wrangling challenge using a diversified data source, and converts it into valuable business insights. We combine it by extracting the data via unique sources, harmonizing it, and streamlining the workflow.</t>
  </si>
  <si>
    <t>Data lakes, data warehouse &amp; data marts</t>
  </si>
  <si>
    <t>The algorithm of data engineering relies on robust data storage solutions, where data lakes, warehouses and marts play a significant role. Choose the right solution with us based on your cost, accessibility and data structure needs.</t>
  </si>
  <si>
    <t>Data analytics, reporting &amp; visualization</t>
  </si>
  <si>
    <t>Infuse data analytical solutions in your business to extract the true meaning of the data using advanced analytics tools. Get tailored and automated reports with data reporting, where you can add an interactive dashboard for enhanced data visualization.</t>
  </si>
  <si>
    <t>ETL, ELT, data pipeline, workflow &amp; orchestration</t>
  </si>
  <si>
    <t>Extract, Transform, Load (ETL) and Extract, Load, Transform (ELT) are data movement techniques that assist businesses in transforming their data into meaningful insights. With modern data pipelines, enterprises can effectively manage data volume and complexity.</t>
  </si>
  <si>
    <t>Data modeling, optimization &amp; architecture</t>
  </si>
  <si>
    <t>The foundation of data engineering lies in data modeling, optimization and architecture. From defining data relationships to ensuring performance considerations and strategic data designing, NETSOL empowers you to handle the process with brilliance.</t>
  </si>
  <si>
    <t>Explore how NETSOL develops a comprehensive data architecture design, strengthening your data infrastructure with data engineering services.</t>
  </si>
  <si>
    <t>AI-powered automotive finance software</t>
  </si>
  <si>
    <t>We provide superior technology solutions to the biggest names in the global automotive industry.</t>
  </si>
  <si>
    <t>Driving change in the automotive space worldwide</t>
  </si>
  <si>
    <t>Our cutting-edge technologies help global automakers, auto captives, and finance firms thrive, leveraging 40+ years of expertise in AI-powered loan origination, contract management, and digital retail solutions tailored for the automotive sector.</t>
  </si>
  <si>
    <t>Industry leaders</t>
  </si>
  <si>
    <t>NETSOL has made significant investments to understand the evolving requirements of the global automotive industry.</t>
  </si>
  <si>
    <t>Seamless solutions</t>
  </si>
  <si>
    <t>We empower lenders, dealerships and borrowers alike to navigate the financing and digital retail journey seamlessly.</t>
  </si>
  <si>
    <t>AI-powered operations</t>
  </si>
  <si>
    <t>Our AI-driven solutions power the automotive industry with robust analytics, seamless integration capabilities and advanced automation features.</t>
  </si>
  <si>
    <t>End-to-end products</t>
  </si>
  <si>
    <t>We offer powerful end-to-end automotive finance software as well as easy-to-integrate API-first solutions for auto finance, alongside seamless digital retail.</t>
  </si>
  <si>
    <t>Our innovative equipment leasing software is engineered to empower OEMs with streamlined financing processes, enhanced customer experiences and unparalleled efficiency. From end-to-end finance and leasing to digital retail, our solutions are designed to seamlessly integrate into your operations, unlocking new avenues for growth and profitability.</t>
  </si>
  <si>
    <t>Big ticket finance</t>
  </si>
  <si>
    <t>Commercial and consumer lending</t>
  </si>
  <si>
    <t>SCI Lease Corp enhances lease management processes with NETSOL</t>
  </si>
  <si>
    <t xml:space="preserve">"SCI Lease Corp has recognized the success that NETSOL has had in other markets and we believe their platforms are in line with SCI Lease Corp’s commitment to bring transformative technology and services to the leasing marketplace. Working with NETSOL going forward will enhance our lease management processes, allowing us to better meet our customers’ expectations and provide additional bandwidth to expand our automotive OEM business." </t>
  </si>
  <si>
    <t>President and Chief Executive Leader of SCI Lease Corp</t>
  </si>
  <si>
    <t>Experience accelerated innovation for your auto operations</t>
  </si>
  <si>
    <t>Explore how our automotive finance and leasing software enables the global automotive finance and leasing industry to lower operational expenses, enhance risk evaluation, expedite processing and response times and reach a wider array of customers.</t>
  </si>
  <si>
    <t>AI-powered equipment finance software</t>
  </si>
  <si>
    <t>We provide equipment finance solutions to companies with ever-growing business requirements worldwide.</t>
  </si>
  <si>
    <t>Connect with us</t>
  </si>
  <si>
    <t>Harness the power of unmatched equipment finance technology</t>
  </si>
  <si>
    <t>While you enable organizations to procure the equipment necessary to meet the growing demands of their business, we provide you with the technology that covers the end-to-end equipment finance cycle effortlessly. Whether it's heavy machinery, agricultural, industrial or any form of equipment you finance, we streamline processes and drive growth.</t>
  </si>
  <si>
    <t>Proven technology</t>
  </si>
  <si>
    <t>With a proven track record, NETSOL’s lease management software for OEMs and the equipment finance sector supports highly complex business environments.</t>
  </si>
  <si>
    <t>End-to-end solutions</t>
  </si>
  <si>
    <t>For OEMs and equipment finance and leasing businesses, NETSOL has solutions for originations, servicing, wholesale, as well as digital retail and more.</t>
  </si>
  <si>
    <t>With an experienced global team delivering superior solutions, NETSOL follows a customer-centric product development approach for the industry.</t>
  </si>
  <si>
    <t>Full compliance</t>
  </si>
  <si>
    <t>To ensure compliance with various international quality standards, we meticulously adhere to all regulatory and legal requirements worldwide.</t>
  </si>
  <si>
    <t>Henrik Staulund</t>
  </si>
  <si>
    <t>Chief Commercial Officer at Ikano Bank</t>
  </si>
  <si>
    <t>Ready to elevate your equipment finance game?</t>
  </si>
  <si>
    <t>Stay ahead of the curve and unlock new opportunities for growth and success in equipment finance with our industry-leading equipment finance and equipment leasing solutions.</t>
  </si>
  <si>
    <t>Resource center</t>
  </si>
  <si>
    <t>Explore expert insights and resources on the asset finance industry and the latest in technology in our comprehensive content hub</t>
  </si>
  <si>
    <t>Latest Reads</t>
  </si>
  <si>
    <t>Search by keywords</t>
  </si>
  <si>
    <t>Search here...</t>
  </si>
  <si>
    <t>Search</t>
  </si>
  <si>
    <t>Search by type</t>
  </si>
  <si>
    <t>All</t>
  </si>
  <si>
    <t>Whitepapers</t>
  </si>
  <si>
    <t>Podcasts</t>
  </si>
  <si>
    <t>Webinars</t>
  </si>
  <si>
    <t>Search by Tags</t>
  </si>
  <si>
    <t>Auto Finance</t>
  </si>
  <si>
    <t>AI &amp; ML</t>
  </si>
  <si>
    <t>Digital Strategy</t>
  </si>
  <si>
    <t>Whole Finance</t>
  </si>
  <si>
    <t>Mobility</t>
  </si>
  <si>
    <t>Beyond the DMS: Why automotive retail’s future is API-first</t>
  </si>
  <si>
    <t>Read more</t>
  </si>
  <si>
    <t>NETSOL is at the GlobalData Automotive Europe Conference and Awards 2025</t>
  </si>
  <si>
    <t>NETSOL is at the 25th Annual Auto Finance Summit: Driving the future of auto finance</t>
  </si>
  <si>
    <t>NETSOL is at Digital Dealer 2025: Empowering the future of automotive retail</t>
  </si>
  <si>
    <t>View more</t>
  </si>
  <si>
    <t xml:space="preserve"> Mike Boyes</t>
  </si>
  <si>
    <t>Head of Vendor, Haydock Finance</t>
  </si>
  <si>
    <t>Board of Directors</t>
  </si>
  <si>
    <t>Visionary governance rooted in real-world experience</t>
  </si>
  <si>
    <t>Najeeb Ghauri</t>
  </si>
  <si>
    <t>Director, Chief Executive Officer and Chair of the Board, NetSol Technologies, Inc</t>
  </si>
  <si>
    <t>View Profile</t>
  </si>
  <si>
    <t>Syed Kausar Kazmi</t>
  </si>
  <si>
    <t>Head of Commercial Banking and Business Development, Habib Bank Zurich PLC, UK</t>
  </si>
  <si>
    <t>Mark Caton</t>
  </si>
  <si>
    <t>Director, President of Centela Capital, Inc</t>
  </si>
  <si>
    <t>Ian Smith</t>
  </si>
  <si>
    <t>President, MIP, Inc</t>
  </si>
  <si>
    <t>Malea Farsai</t>
  </si>
  <si>
    <t>Corporate Counsel, NetSol Technologies, Inc</t>
  </si>
  <si>
    <t>Blending decades of global experience across technology, finance, and operations to fuel growth and innovation.</t>
  </si>
  <si>
    <t>Founder, Chairman &amp;</t>
  </si>
  <si>
    <t>Chief Executive Officer,</t>
  </si>
  <si>
    <t>NETSOL Technologies, Inc.</t>
  </si>
  <si>
    <t>Naeem Ghauri</t>
  </si>
  <si>
    <t>Founder and President of</t>
  </si>
  <si>
    <t>Salim Ghauri</t>
  </si>
  <si>
    <t>Founder &amp; Chief Executive Officer of NETSOL Technologies, LLC (Pakistan)</t>
  </si>
  <si>
    <t>Peter Minshall</t>
  </si>
  <si>
    <t>Executive Vice President</t>
  </si>
  <si>
    <t>NETSOL Technologies,</t>
  </si>
  <si>
    <t>North America</t>
  </si>
  <si>
    <t>Patti McGlasson</t>
  </si>
  <si>
    <t>Sr. V.P. Legal &amp; Corporate Affairs, General Counsel and Corporate Secretary, NETSOL Technologies Inc.</t>
  </si>
  <si>
    <t>Roger Almond</t>
  </si>
  <si>
    <t>Chief Financial Officer, NETSOL Technologies, Inc.</t>
  </si>
  <si>
    <t>Erik Wagner</t>
  </si>
  <si>
    <t>Chief Marketing Officer, NETSOL Technologies, Inc.</t>
  </si>
  <si>
    <t>Farooq Ghauri</t>
  </si>
  <si>
    <t>Head of Asia-Pacific, NETSOL Technologies, APAC</t>
  </si>
  <si>
    <t>Asad Ghauri</t>
  </si>
  <si>
    <t>Global Head of Sales &amp; GMD, NETSOL Technologies, Inc.</t>
  </si>
  <si>
    <t>Umar Qadri</t>
  </si>
  <si>
    <t>Deputy Global Head of Sales, NETSOL Technologies Inc.</t>
  </si>
  <si>
    <t>Faizaan Ghauri</t>
  </si>
  <si>
    <t>Chief Strategy Officer, NETSOL Technologies, Inc.</t>
  </si>
  <si>
    <t>Amanda Li Linjie</t>
  </si>
  <si>
    <t>President, NETSOL Technologies, China.</t>
  </si>
  <si>
    <t>Khurram S. Rana</t>
  </si>
  <si>
    <t>Global CHRO - NETSOL Technologies Inc.</t>
  </si>
  <si>
    <t>Kamran Khalid</t>
  </si>
  <si>
    <t>Chief Product &amp; Delivery Officer, NETSOL Technology, Inc.</t>
  </si>
  <si>
    <t>Omar Ghauri</t>
  </si>
  <si>
    <t>Director, Chief Operating Officer, NETSOL Technologies Ltd. Pakistan</t>
  </si>
  <si>
    <t>Contact Sales</t>
  </si>
  <si>
    <t>Complete the form to schedule a demo or ask questions about the ways we can support your business goals</t>
  </si>
  <si>
    <t>Looking to learn about careers at NETSOL?</t>
  </si>
  <si>
    <t>We do not accept applications via this form. To apply for roles, please review our portal here.</t>
  </si>
  <si>
    <t>Apply now</t>
  </si>
  <si>
    <t>First Name*</t>
  </si>
  <si>
    <t>Enter your first name</t>
  </si>
  <si>
    <t>Last name*</t>
  </si>
  <si>
    <t>Enter your last name</t>
  </si>
  <si>
    <t>Work email address*</t>
  </si>
  <si>
    <t>Enter your work email address</t>
  </si>
  <si>
    <t>Company name*</t>
  </si>
  <si>
    <t>Enter your company name</t>
  </si>
  <si>
    <t>Country*</t>
  </si>
  <si>
    <t>Select a country</t>
  </si>
  <si>
    <t>How can we help?*</t>
  </si>
  <si>
    <t>What are your requirements?</t>
  </si>
  <si>
    <t>Product/Service Interest*</t>
  </si>
  <si>
    <t>Please Select</t>
  </si>
  <si>
    <t>How did you hear about us?*</t>
  </si>
  <si>
    <t>By ticking this box, you are consenting to allow NETSOL to contact you about products, services and offers that may be of interest to you. Privacy policy.</t>
  </si>
  <si>
    <t>Submit</t>
  </si>
  <si>
    <t>Office locations</t>
  </si>
  <si>
    <t>Encino, USA</t>
  </si>
  <si>
    <t>NETSOL Technologies Inc. (Headquarters)</t>
  </si>
  <si>
    <t>16000 Ventura Blvd., Suite 770 Encino, CA 91436</t>
  </si>
  <si>
    <t>O: +1 818 222 9195</t>
  </si>
  <si>
    <t>Austin, USA</t>
  </si>
  <si>
    <t>NETSOL Technologies Inc.</t>
  </si>
  <si>
    <t>816 Congress Ave. #1270, Austin, TX 78701</t>
  </si>
  <si>
    <t>London, UK</t>
  </si>
  <si>
    <t>NETSOL Technologies Europe Ltd.</t>
  </si>
  <si>
    <t>25 Wilton Road, Pimlico, London SW1V 1LW</t>
  </si>
  <si>
    <t>O: +44 (0) 1403 282 300</t>
  </si>
  <si>
    <t>Transcend the limits of technology</t>
  </si>
  <si>
    <t>From AI-powered finance solutions to seamless digital retail.</t>
  </si>
  <si>
    <t>Powering the future of finance, retail and beyond</t>
  </si>
  <si>
    <t>The Transcend Platform by NETSOL is a unified, AI-driven ecosystem built to simplify and optimize every stage of the asset, retail, and commerce lifecycle. From originations to servicing, collections, and customer engagement, Transcend enables lenders, OEMs, dealers, and fleets to scale with confidence, integrate seamlessly with partner systems, and deliver connected experiences across markets, products, and touchpoints. Grounded in responsible AI and composable design, it transforms complexity into clarity, helping businesses achieve measurable outcomes while ensuring trust, transparency, and collaboration at every step.</t>
  </si>
  <si>
    <t>AI at the core</t>
  </si>
  <si>
    <t>Harness artificial intelligence and machine learning to power predictive insights, automated workflows and risk management across the finance ecosystem</t>
  </si>
  <si>
    <t>An adaptive platform</t>
  </si>
  <si>
    <t>With integrated frameworks and powerful data management, Transcend provides a secure foundation so you’re always ready for what’s next.</t>
  </si>
  <si>
    <t>Future-ready infrastructure</t>
  </si>
  <si>
    <t>Build your platform with API-first modular components, offering cross-platform capabilities and customizable solutions that scale as your business grows.</t>
  </si>
  <si>
    <t>Enterprise-level security</t>
  </si>
  <si>
    <t>With Transcend’s enterprise-grade cloud security, your financial transactions and sensitive data are safeguarded with the latest protections so that you have peace of mind</t>
  </si>
  <si>
    <t>Tailored solutions for every stage of your business</t>
  </si>
  <si>
    <t>AI-driven intelligence for the full contract</t>
  </si>
  <si>
    <t>lifecycle—boosting decisions, onboarding and</t>
  </si>
  <si>
    <t>One platform. Every stakeholder.</t>
  </si>
  <si>
    <t xml:space="preserve">Connect lenders, brokers, field agents, and customers in a single ecosystem that drives collaboration and transparency across the finance and leasing lifecycle. </t>
  </si>
  <si>
    <t>Omnichannel journeys</t>
  </si>
  <si>
    <t>Mobile tools for field teams</t>
  </si>
  <si>
    <t>Real-time workflow sync</t>
  </si>
  <si>
    <t>Self-service portals</t>
  </si>
  <si>
    <t xml:space="preserve">AI-powered. API-connected. Cloud-native. </t>
  </si>
  <si>
    <t xml:space="preserve">Transcend is built for scale and speed with architecture that adapts to your business and integrates with your systems. </t>
  </si>
  <si>
    <t>AI-first decisioning</t>
  </si>
  <si>
    <t>Microservices-based architecture</t>
  </si>
  <si>
    <t xml:space="preserve">Guidance at every step.  </t>
  </si>
  <si>
    <t xml:space="preserve">From deployment to optimization, our specialists help you get the most out of Transcend with faster rollouts and higher ROI. </t>
  </si>
  <si>
    <t>Guided deployment</t>
  </si>
  <si>
    <t>Training &amp; enablement</t>
  </si>
  <si>
    <t>Ongoing support</t>
  </si>
  <si>
    <t xml:space="preserve">Secure by design </t>
  </si>
  <si>
    <t xml:space="preserve">Transcend offers enterprise-grade security and compliance capabilities, ensuring sensitive data remains protected and your business stays audit-ready. </t>
  </si>
  <si>
    <t>ISO 27001 certified</t>
  </si>
  <si>
    <t>Data encryption &amp; governance</t>
  </si>
  <si>
    <t>Managed SOC</t>
  </si>
  <si>
    <t xml:space="preserve">Configure. Launch. Scale. </t>
  </si>
  <si>
    <t xml:space="preserve">No IT bottlenecks. Empower business teams to design workflows, build interfaces, and implement changes fast. </t>
  </si>
  <si>
    <t>Low-code/no-code tools</t>
  </si>
  <si>
    <t>1,000+ prebuilt APIs</t>
  </si>
  <si>
    <t>Faster speed-to-market</t>
  </si>
  <si>
    <t>Periodic product updates</t>
  </si>
  <si>
    <t>99.99% uptime</t>
  </si>
  <si>
    <t xml:space="preserve">Product &amp; market flexibility </t>
  </si>
  <si>
    <t>Transcend supports complex financial products and adapts to regulatory needs across industries and geographies.</t>
  </si>
  <si>
    <t>Automotive, equipment, fleet, and more</t>
  </si>
  <si>
    <t>Multi-country, currency, language</t>
  </si>
  <si>
    <t>Local compliance in 30+ markets</t>
  </si>
  <si>
    <t>MINI partners with NETSOL to power its new era of auto-retail experience</t>
  </si>
  <si>
    <t xml:space="preserve">"At MINI, we decided it was time to create an end-to-end purchasing and finance journey for the consumer, and it was important to create something more than a lead generator to facilitate the complete transaction for any MINI customer, any place, any time. Our partnership with NETSOL has enabled us not only to catch up with industry leaders, but also to set new benchmarks in digital auto-retail, which the usual suspects in the industry could not provide." </t>
  </si>
  <si>
    <t>Website Terms of Use</t>
  </si>
  <si>
    <t>Welcome to the NetSol Technologies, Inc. (” Netsol “) Web site (” Web Site “). NetSol provides and makes available this Web Site subject to the following terms of use (“Terms”). These Terms explain a contractual agreement between you (” user ,” ” you ,” ” your “) and NetSol regarding your use of this Web Site. You should print a copy of these Terms for your records. Please note, however, that NetSol may update and amend these Terms from time to time as NetSol deems necessary in its sole discretion.</t>
  </si>
  <si>
    <t>1. WHAT YOU SHOULD KNOW and HOW CHANGES CAN BE MADE</t>
  </si>
  <si>
    <t>The primary goal of this Web Site is to provide you with access to information about NetSol’s businesses, facilities, services, products, and related links to meet your needs with respect to these businesses, facilities, services and products (the ” Content “). These Terms are meant to protect all of the visitors to and users of this Web Site, and your access to and use of this Web Site signifies your agreement with these Terms. DO NOT USE THIS WEB SITE IF YOU DO NOT AGREE WITH THESE TERMS . NetSol reserves the right, in its sole discretion, to modify, alter or otherwise update these Terms, or to change or delete any features of this Web Site, at any time. Such modifications, alterations, and updates to the Terms shall be effective immediately upon posting. You agree to be bound by such modified, altered and updated Terms if you access or use this Web Site after NetSol has posted notice of such modifications, alterations or updates. IF YOU DO NOT AGREE WITH ANY OF THE MODIFIED, ALTERED OR UPDATED TERMS, THEN YOU SHOULD NOT USE THIS WEB SITE AFTER SUCH MODIFICATIONS, ALTERATIONS OR UPDATES HAVE BEEN POSTED.</t>
  </si>
  <si>
    <t>This Web Site will permit you to link to many other Web sites that may or may not be affiliated with this Web Site and/or with NetSol. These other linked Web sites, including the Web sites of NetSol’s affiliated companies, as well as the Web sites of NetSol’s third party content providers, merchants, business partners, sponsors and licensors (collectively the ” Providers “), may have different terms of use that are not the same as these Terms. Your access to and use of such linked Web sites through links provided on this Web Site are not governed by these Terms but, instead, are governed by the terms of use and policies of those Web sites, and NetSol disclaims any and all responsibility for your access to and use of such linked Web sites.</t>
  </si>
  <si>
    <t>You should note that these Terms contain additional disclaimers and limitations on NetSol’s liability, which can be found in Sections 9 and 10 below. Please read these carefully and make sure that you understand them before continuing with your use of this Web Site.</t>
  </si>
  <si>
    <t>2. PRIVACY</t>
  </si>
  <si>
    <t>Registration data and certain other information about you that you may submit or provide to NetSol through this Web Site is subject to NetSol’s Privacy Policy. For more information about NetSol’s use and protection of your information, please review NetSol’s Internet Privacy Policy.</t>
  </si>
  <si>
    <t>3. USE OF THIS WEB SITE and INTELLECTUAL PROPERTY RIGHTS</t>
  </si>
  <si>
    <t>NetSol controls and (either itself and/or through its third party hosts) operates this Web Site. All Content on this Web Site, including, but not limited to, text, images, illustrations, graphics, logos, digital downloads, data, software, headers, icons, scripts, audio clips, and video clips, is the property of NetSol or its Providers, and is protected by copyrights, trademarks, service marks, and/or other intellectual property rights (which are governed by and subject to United States and international copyright laws and treaty provisions, privacy and publicity laws, and communication regulations and statutes). The Content is owned and controlled by NetSol, its affiliated or related entities, or the Providers that have licensed or otherwise made available their content or the right to market their products and/or services to NetSol. Content on this Web Site or any Web site owned, operated, licensed or controlled by the Providers is solely for your personal, non-commercial use, and may not be used in any manner that is likely to cause confusion among NetSol’s customers, other users of this Web Site, or the general public. You agree to abide by all additional copyright notices, information, or restrictions contained in or with any Content.</t>
  </si>
  <si>
    <t>You may download or make a single copy of any Content contained on this Web Site solely for your personal, non-commercial use, consistent with these Terms, provided that you maintain all copyright and other notices contained in or with such Content. Except as otherwise specified above, you may not copy, reproduce, duplicate, republish, upload, post, transmit, distribute, sell and/or exploit the Content in any way (including by e-mail or other electronic means) for commercial use without the prior written consent of NetSol or the Providers. You may request consent by faxing a request to NetSol’s Legal Department at 818.222.9197818.222.9197. Your modification of the Content, use of the Content on any other linked Web site or networked computer environment, or use of the Content for any purpose other than personal, non-commercial use, without the prior written consent of NetSol or the Providers, violates the intellectual property rights and proprietary rights of the Content owners and is strictly prohibited.</t>
  </si>
  <si>
    <t>You may not use any registered or unregistered trademarks, service marks, copyrighted materials or other proprietary information or intellectual property appearing on this Web Site, including, but not limited to, any logos, images or characters, and also including any meta tags or similar code or hidden text or elements containing such information or property, without the express written consent of the owner of the mark or copyright. You may not frame any trademarks, service marks, copyrights, logos, images, text, or other proprietary information or intellectual property of NetSol, or otherwise incorporate into another Web site any of the Content or other materials on this Web Site, without NetSol’s express prior written consent. You may not deep link to any page of portions of this Web Site without NetSol’s prior written consent. You may, however, create or provide a hypertext link or hyperlink to the home page of this Web Site provided that you do not make or attribute to NetSol, its affiliated or related entities or Providers any false, misleading, defamatory, libelous, derogatory, or offensive statements. Any such link cannot include any logos, graphics or trademarks of NetSol, its affiliated or related entities or Providers without NetSol’s express prior written consent.</t>
  </si>
  <si>
    <t>Violation of trademark and copyright laws (“Infringement”) may result in significant civil liability or criminal penalties under United States and/or international copyright and trademark laws. You recognize that any reproduction or use of Content, copyrights, trademarks, service marks, or other intellectual property on this Web Site, except as authorized by these Terms, is considered intentional Infringement.</t>
  </si>
  <si>
    <t>4. USER’S RESPONSIBILITIES</t>
  </si>
  <si>
    <t>You warrant and represent to NetSol that you will not use this Web Site for any purpose that is unlawful, illegal or prohibited by these Terms, including, without limitation, the sending, posting, transmitting, displaying, distributing, or knowingly receiving of or searching for any threatening, harassing, libelous, defamatory, obscene, scandalous, inflammatory, sexually oriented, pornographic, or profane material, content or images, or other images, content or messages that might be considered lewd, lascivious, excessively violent or otherwise offensive. If you violate any of these Terms, your permission to use this Web Site immediately terminates without the necessity of any notice. NetSol, at its sole discretion, retains the right to deny access to this Web Site to anyone for any reason, including for violation of these Terms. Some of these types of violations are more fully described below in Section 5.</t>
  </si>
  <si>
    <t>You are solely responsible for the content, accuracy and your use of your Information, and NetSol merely acts as a passive conduit for your online distribution and publication of your Information. As used in these Terms, ” Information ” means any information or data that you submit to or through this Web Site and any information or data that is generated by this Web Site as a result of your use of or access to this Web Site. Certain special rules and restrictions may apply to your Personally Identifiable Information. For more information regarding these special rules and restrictions please review NetSol’s Internet Privacy Policy.</t>
  </si>
  <si>
    <t>You agree that any Information that you provide will be true, accurate, current and complete. If you provide any Information that is untrue, inaccurate, not current or incomplete (or NetSol has reasonable grounds to suspect that such Information is untrue, inaccurate, not current or incomplete), NetSol has the right to suspend or terminate your access and activity relating to, and to refuse any and all current or future use of, this Web Site.</t>
  </si>
  <si>
    <t>5. PROHIBITED ACTIVITIES</t>
  </si>
  <si>
    <t>You are specifically prohibited from any use of this Web Site, and you agree not to use or permit others to use this Web Site, for any of the following:</t>
  </si>
  <si>
    <t>(a) take any action that imposes an unreasonable or disproportionately large load on, or waste of valuable time for, the Web Site’s infrastructure or resources, including, but not limited to, sending or promoting the distribution of “spam,” “junk mail,” chain letters, or other such unsolicited or unlawful mass e-mailing techniques;</t>
  </si>
  <si>
    <t>(b) disclose to, or share with, any unauthorized third parties the ID’s, assigned confirmation numbers and/or passwords, or use the ID’s, assigned confirmation numbers and/or passwords for any unauthorized purpose, or otherwise allow or facilitate others to gain access to NetSol’s information technology systems, environments, networks, files, data or accounts through the use of the ID’s, assigned confirmation numbers and/or passwords;</t>
  </si>
  <si>
    <t>(c) access or attempt to access NetSol’s information technology systems, environments, networks, files, data or accounts to which express authorization has not been obtained (including access to data not intended for You), or log into a server or account that you are not authorized to access;</t>
  </si>
  <si>
    <t>(d) attempt to decipher, decompile, disassemble, modify, remove or reverse engineer any of the software or HTML code comprising or in any way making up a part of this Web Site;</t>
  </si>
  <si>
    <t>(e) interfere with, disrupt, disable or damage (or attempt to interfere with, disrupt, disable or damage), in an unauthorized manner, the use or operation of this Web Site or NetSol’s, its affiliated or related entities’ or the Providers’ systems, equipment or applications, or service to any user, host, or network, including by use of any programs, scripts, commands, viruses, worms, web bugs, harmful code, Trojan horses, other contaminants, or otherwise. This includes “denial of service” attacks, “flooding” of networks, deliberate attempts to overload a service or to burden excessively a service’s resources, attempts to “crash” a host, and/or modifying or rerouting any Content or services provided at this Web Site;</t>
  </si>
  <si>
    <t>(f) attempt to circumvent or subvert system or network security (i.e., authentication) mechanisms, or probe the security of any system, network, or account, associated or used in conjunction with this Web Site;</t>
  </si>
  <si>
    <t>(g) upload, post, e-mail or otherwise transmit any Information, Content, or proprietary rights that you do not have a right to transmit under the Terms, any law or other contractual or fiduciary relationships; and/or</t>
  </si>
  <si>
    <t>(h) use any robot, spider, intelligent agent, meta-searching, other automatic device, or manual process to search, monitor or copy NetSol’s Web Site pages or the Content in violation of the Terms or without NetSol’s prior written permission, provided that generally available third party Web browsers such as Netscape Navigator® and Microsoft Internet Explorer® may be used without such permission.</t>
  </si>
  <si>
    <t>6. INFORMATION POSTED TO WEB SITE</t>
  </si>
  <si>
    <t>With respect to all Information you elect to post to publicly accessible areas of the Web Site, you agree that NetSol has the right to use, reproduce, copy, modify, publish, distribute, perform and display such Information (in whole or part) on worldwide basis; provided that such use is in accordance with the terms of NetSol’s Internet Privacy Policy.</t>
  </si>
  <si>
    <t>You acknowledge and agree that NetSol may preserve Information, and may also disclose Information if required to do so by law or in the good faith belief that such preservation or disclosure is reasonably necessary to: (a) comply with legal process; (b) enforce the Terms; (c) respond to claims that any Information violates the rights of third-parties; or (d) protect the rights, property, or personal safety of NetSol’s business, employees, Providers, affiliated or related entities, users, and/or the public.7. LINKS TO THIRD PARTY WEB SITES</t>
  </si>
  <si>
    <t>This Web Site may contain links to third-party or Provider Web sites not under NetSol’s control or operation (the ” Linked Sites “). The links will let you leave this Web Site and be directed to and access the Linked Sites, which you access is at your own risk. You acknowledge that NetSol provides the Linked Sites for your convenience and information only. NetSol does not endorse, nor is it responsible for, any content, information, or other related materials, products or services found at any such Linked Sites or any links contained within such Linked Sites, whether or not NetSol is affiliated with the owners of such Linked Sites. Except as otherwise specified in these Terms or pursuant to NetSol’s express written consent, you may not establish a hyperlink to this Web Site from your Web site or the Linked Sites, or provide any links that state or imply any sponsorship or endorsement of your Web site or the Linked Sites by NetSol or the Providers.</t>
  </si>
  <si>
    <t>8. DEALINGS WITH ADVERTISERS</t>
  </si>
  <si>
    <t>Your correspondence or business dealings with, or participation in promotions of, advertisers found on or through this Web Site or any Linked Sites, including payment for and delivery of related goods or services, and any other terms, conditions, warranties, or representations associated with such dealings, are solely between you and such advertisers. You agree that NetSol (and its affiliated or related entities and the Providers) shall neither be responsible nor liable for any loss or damage incurred by you as the result of any such dealings or as the result of the presence of such advertisers on or through this Web Site or the Linked Sites.</t>
  </si>
  <si>
    <t>9. NO WARRANTIES</t>
  </si>
  <si>
    <t>All content, products and services on this web site are provided “as is” and without warranties of any kind, either express or implied. other than those warranties which, under the u.s. laws applicable to these terms, are implied by law and are incapable of exclusion, restriction, or modification, netsol disclaims any and all warranties, express or implied, including, but not limited to, implied warranties of merchantability and fitness for a particular purpose</t>
  </si>
  <si>
    <t>Neither netsol, its affiliated or related entities, nor the providers, nor any person involved in the creation, production, hosting and/or distribution of this web site, warrant that the functions, features or services contained in this web site will be uninterrupted or error-free, that defects will be corrected, or that the server that makes the content available will be free of viruses or other harmful components. the content that you access on this web site is provided solely for your convenience and information only. netsol does not warrant or make any representations regarding the results that may be obtained from the use of this web site, or as to the reliability, accuracy or currency of any content, service, and/or merchandise provided or acquired pursuant to your use of this web site.</t>
  </si>
  <si>
    <t>Netsol is a distributor, and not a publisher, of the information and content at this web site. netsol has no more editorial control over such information and content than does a public library or newsstand. any opinions, advice, statements, services, offers, or other information expressed or made available by third parties or providers (including in the linked sites) are those of the respective authors or distributors of such information and content.</t>
  </si>
  <si>
    <t>Your use of this web site is at your own risk. you (and not netsol) assume the entire cost of all necessary servicing (including, without limitation, your internet connection) and repair or correction of your computer, network and/or system.</t>
  </si>
  <si>
    <t>10. LIMITATION OF LIABILITY</t>
  </si>
  <si>
    <t>In no event shall netsol, its affiliated or related entities or providers, nor any of its or their respective officers, directors, employees or agents, or any person or entity involved in the creation, production, distribution and hosting of this web site, be liable for any indirect, consequential, incidental, special, punitive or exemplary damages, whether arising under contract, warranty, or tort (including negligence) or any other theory of liability, regardless of whether netsol (or its affiliated or related entities or providers) knew or should have known of the possibility of such damages, including, without limitation, from the use or attempted use of this web site or any other linked site.</t>
  </si>
  <si>
    <t>NETSOL'S liability, and the liability of NETSOL'S affiliated or related entities and/or providers, to you or any third parties in any circumstance, is limited to the lesser of (a) the amount of fees, if any, you pay to NETSOL in the 12 months prior to the action giving rise to liability, or (b) $500. some states may not allow for the limitation of liability described above, so the foregoing limitation may not apply to you.</t>
  </si>
  <si>
    <t>By way of example only, netsol and related persons and entities shall not be responsible or liable for any claim or damage arising from failure of performance, error, omission, interruption, deletion, defect, delay in operation, computer virus, theft, destruction, unauthorized access to or alteration of personal records, or the reliance upon or use of content, information, opinions or other materials appearing on this web site. moreover, you expressly acknowledge and agree that netsol is not liable or responsible for any defamatory, offensive, or illegal conduct of other users or third parties.</t>
  </si>
  <si>
    <t>The limitation of liability reflects the allocation of risk between the parties. the limitations specified in this section 10 will survive and apply even if any limited remedy specified in these terms is found to have failed of its essential purpose. the limitations of liability provided in these terms inure to the benefit of netsol and the providers, and to all respective officers, directors, employees, representatives, attorneys, and agents.</t>
  </si>
  <si>
    <t>11. GOVERNING LAW AND JURISDICTION</t>
  </si>
  <si>
    <t>NetSol operates this Web Site (excluding Linked Sites, over which it has no authority or control) from its offices within the State of California (which may be subject to change from time to time at NetSol’s sole discretion). The Web Site can be accessed from all 50 states, as well as from other countries around the world. As each of these places has laws that may differ from those of California, by accessing this Web Site, you agree that these Terms and your use of the Web Site shall be governed in all respect by the internal substantive laws of the State of California, without regard to any conflict of laws provisions, and shall not be governed by the United Nations Convention on the International Sale of Goods. You further agree to submit to the exclusive jurisdiction and venue in the state and federal courts located in the State of New Jersey for all disputes, cases and controversies regarding this Web Site, your use of this Web Site, and your relationship with NetSol. NetSol makes no representation that materials on this Web Site are appropriate or available for use in other locations, and accessing them from territories where the Content is illegal is prohibited. Those who choose to access this Web Site from other locations do so at their own risk and are responsible for compliance with local laws, including laws regarding the transmission of technical data exported from the United States or the country in which you reside.</t>
  </si>
  <si>
    <t>12. INDEMNIFICATION</t>
  </si>
  <si>
    <t>NetSol reserves the right to report any wrongdoing, if and when it becomes aware of it, to any applicable government or law enforcement agencies. You agree to indemnify, defend and hold NetSol and the Providers, its and their officers, directors, employees, affiliated or related entities, agents, licensors, and suppliers, harmless from and against any and all claims, demands, actions, costs, liabilities, losses and damages of any kind (including attorneys’ fees) resulting from your use of this Web Site, your breach of any provision of these Terms and/or any negligent acts, omissions or intentional wrongdoing by You. Any such indemnification shall be conditioned on NetSol: (a) notifying you in writing of any such claim, demand, action, cost, liability, loss or threat of any thereof; (b) cooperating with you in the defense or settlement thereof; and (c) allowing you to control such defense or settlement. NetSol shall be entitled to participate in such defense at its own cost and expense.</t>
  </si>
  <si>
    <t>13. MESSAGE BOARDS</t>
  </si>
  <si>
    <t>In the event that NetSol provides message boards, web logs or blogs, or discussion forums on this Web Site (the ” Forums “), you agree to use the Forums only for personal purposes in a noncommercial manner. You shall not, without NetSol’s express approval, distribute or otherwise publish any material containing any solicitation of funds, advertising, or written solicitation for goods and services. You agree that any uploaded materials may be republished without compensation to you or any other person or entity. In addition, you warrant that all moral rights in any uploaded materials have been waived. While NetSol does not and cannot review every message posted by you or any other user in the Forums, and although NetSol is not responsible for these messages, NetSol reserves the right (but not the obligation) to delete, move, or edit messages that it, in its sole discretion, deems abusive, defamatory, obscene, in violation of copyright or trademark laws, in violation of these terms, or otherwise unacceptable. NetSol does not endorse any information that may be posted on this Web Site through the Forums.</t>
  </si>
  <si>
    <t>14. OTHER GENERAL PROVISIONSThese Terms are for the benefit of NetSol and the Providers, its and their officers, directors, employees, affiliated or related entities, agents, licensors, and suppliers. Each of these individuals or entities shall have the right to assert and enforce these Terms directly against you on its (or their own) behalf. NetSol’s failure to act with respect to a breach by you or others does not waive NetSol’s right to act with respect to subsequent or similar breaches.</t>
  </si>
  <si>
    <t>If any provision of these Terms is held to be invalid or unenforceable, such provision will be struck and the remaining provisions enforced. Headings are for reference purposes only.</t>
  </si>
  <si>
    <t>You and NetSol are dealing at arms’ length, creating a commercial relationship. NetSol is not your Agent or your fiduciary. Many of NetSol’s businesses and facilities may be independently owned and operated by independent franchisees and licensees. In such cases, these franchisees and licensees manage and operate the facilities, and they are the employers of all employees and contractors who work at the facilities. These franchisees are independent contractors, and no agency, partnership, joint venture, employee-employer or franchiser-franchisee relationship is intended or created by these Terms.</t>
  </si>
  <si>
    <t>The provisions and conditions of these Terms, and each obligation referenced herein, represent the entire Agreement between NetSol (including the Providers), its affiliated or related entities, and You, and supersede any prior agreements or understandings not incorporated herein. In the event that any inconsistencies exist between these Terms and any future published terms of use or understanding, the last published Terms shall prevail.</t>
  </si>
  <si>
    <t>NETSOL RESERVES ANY RIGHTS NOT EXPRESSLY GRANTED OR STATED IN THESE TERMS .</t>
  </si>
  <si>
    <t>Registered Company Details</t>
  </si>
  <si>
    <t>NetSol Technologies Europe Ltd (trading as NetSol Technologies). Registered Office Address: Planet House, North Heath Lane, Horsham RH12 5QE West Sussex England. Registered in England No 1998080. VAT:826611533</t>
  </si>
  <si>
    <t>General Principles:</t>
  </si>
  <si>
    <t>NETSOL Technologies Ltd (” NETSOL “) understands that your privacy is important to you and that you care about how your personal data is used and shared online. We respect and value the privacy of everyone who visits this website, https://netsoltech.com (“Our Site”) and will only collect and use personal data in ways that are described here, and in a manner that is consistent with our obligations and your rights under the law.</t>
  </si>
  <si>
    <t>Please read this Privacy Policy and Our Cookie Policy which constitutes part of this agreement carefully and ensure that you understand it. Your acceptance of our Privacy Policy is deemed to occur upon your first use of Our Site. If you do not accept and agree with this Privacy Policy, you must stop using our Site immediately.</t>
  </si>
  <si>
    <t>What Does This Policy Cover?</t>
  </si>
  <si>
    <t>This Privacy Policy applies only to your use of our site. Our site may contain links to other websites. Please note that we have no control over how your data is collected, stored, or used by other websites and we advise you to check the privacy policies of any such websites before providing any data to them.</t>
  </si>
  <si>
    <t>What Data is Being Collected?</t>
  </si>
  <si>
    <t>Our Websites:</t>
  </si>
  <si>
    <t>netsoltech.com, ascent.netsoltech.com, mobility.netsoltech.com</t>
  </si>
  <si>
    <t>Data we collect from you through our websites include your name, job title, business / company name, email and phone number. These are details you provide when engaging with us on our contact us / demo request forms. Our site may also place and access certain first party cookies on your computer or device. These cookies are detailed in our Cookie Policy. This policy is incorporated into this Privacy Policy by this reference.</t>
  </si>
  <si>
    <t>Job Applicants:</t>
  </si>
  <si>
    <t>As part of any recruitment process NETSOL collects and processes personal data relating to job applicants. We will collect your work history, contact details and any other information you have on your CV. We will always be clear about what we are asking for and why, and we will always ask for your consent to provide the information we need to adhere to local employment law.</t>
  </si>
  <si>
    <t>How Do We Use Your Data?</t>
  </si>
  <si>
    <t>All personal data is processed and stored securely, for no longer than is necessary in light of the reason(s) for which it was first collected. We will comply with our obligations and safeguard your rights under the GDPR at all times.</t>
  </si>
  <si>
    <t>Our use of your personal data will always have a lawful basis, either because it is necessary for our performance of a contract with you, because you have consented to our use of your personal data (e.g. by subscribing to emails), or because it is in our legitimate interests. Specifically, we may use your data for the following purposes:</t>
  </si>
  <si>
    <t>Providing and managing your Account.</t>
  </si>
  <si>
    <t>Providing and managing your access to our Site.</t>
  </si>
  <si>
    <t>Supplying our products and services to you (please note that We require your personal data in order to enter into a contract with you).</t>
  </si>
  <si>
    <t>Personalising and tailoring our products and services for you.</t>
  </si>
  <si>
    <t>Replying to emails from you.</t>
  </si>
  <si>
    <t>Supplying you with emails that you have opted into (you may unsubscribe or opt-out at any time by clicking unsubscribe.)</t>
  </si>
  <si>
    <t>Analysing your use of our Site and gathering feedback to enable us to continually improve our Site and your user experience.</t>
  </si>
  <si>
    <t>With your permission and/or where permitted by law, we may also use your data for marketing purposes which may include contacting you by email and/or telephone with information, news and offers on our products and services. We will not, however, send you any unsolicited marketing or spam and will take all reasonable steps to ensure that we fully protect your rights and comply with our obligations under the GDPR and the Privacy and Electronic Communications (EC Directive) Regulations 2003.</t>
  </si>
  <si>
    <t>You have the right to withdraw your consent to us using your personal data at any time, and to request that we delete it. You can do this by using the contact details provided in this Privacy Policy.</t>
  </si>
  <si>
    <t>How Long Do We Keep Your Data?</t>
  </si>
  <si>
    <t>We do not keep your personal data for any longer than is necessary in light of the reason(s) for which it was first collected. Data will therefore be retained for 2 years following its last use.</t>
  </si>
  <si>
    <t>If you’ve applied for a job with us:</t>
  </si>
  <si>
    <t>If you were unsuccessful, we will hold your application data for 8 months from the date of decision and we may contact you with details of relevant posts during that time. At the end of this period, we will delete your information.</t>
  </si>
  <si>
    <t>If you become a NETSOL employee, the data we gather about you will become part of your employee records. We will inform you during your employment of the retention periods of your data after you leave.</t>
  </si>
  <si>
    <t>How and Where Do We Store Your Data?</t>
  </si>
  <si>
    <t>We only keep your personal data for as long as we need to in order to use it as described above and/or for as long as we have your permission to keep it.</t>
  </si>
  <si>
    <t>Some or all of your data may be stored outside of the European Economic Area (“the EEA”) (The EEA consists of all EU member states, plus Norway, Iceland, and Liechtenstein). You are deemed to accept and agree to this by using our site and submitting information to us. If we do store data outside the EEA, We will take all reasonable steps to ensure that your data is treated as safely and securely as it would be within the UK and under the GDPR including using GDPR Compliant suppliers to process and store Personal Data.</t>
  </si>
  <si>
    <t>Do We Share Your Data?</t>
  </si>
  <si>
    <t>Here at NETSOL we take your privacy seriously and the information we hold about you is confidential. We may share your information with other companies in our group for providing you with our products and services, maintaining your account and monitoring the use of our products and services. This includes our parent companies and its subsidiaries</t>
  </si>
  <si>
    <t>We may sometimes contract with third parties to supply products and services to you on our behalf. These may include payment processing, delivery of goods, search engine facilities, advertising, and marketing. In some cases, the third parties may require access to some or all of your data. Where any of your data is required for such a purpose, we will take all reasonable steps to ensure that your data will be handled safely, securely, and in accordance with your rights, our obligations, and the obligations of the third party under the law.</t>
  </si>
  <si>
    <t>We may compile statistics about the use of our site including data on traffic, usage patterns, user numbers, sales, and other information. All such data will be anonymised and will not include any personally identifying data, or any anonymised data that can be combined with other data and used to identify you. We may from time to time share such data with third parties such as prospective investors, affiliates, partners, and advertisers. Data will only be shared and used within the bounds of the law.</t>
  </si>
  <si>
    <t>We may sometimes use third party data processors that are located outside of the European Economic Area (“the EEA”) (The EEA consists of all EU member states, plus Norway, Iceland, and Liechtenstein). Where we transfer any personal data outside the EEA, we will take all reasonable steps to ensure that your data is treated as safely and securely as it would be within the UK and under the GDPR.</t>
  </si>
  <si>
    <t>In certain circumstances, we may be legally required to share certain data held by us, which may include your personal data, for example, where we are involved in legal proceedings, where we are complying with legal requirements, a court order, or a governmental authority.</t>
  </si>
  <si>
    <t>Links to Other Websites</t>
  </si>
  <si>
    <t>Please note that this data Privacy Policy only applies to NETSOL Technologies Ltd. If you follow a link to another site from this one, we are not responsible for the safety of the information you give there. You are responsible for reviewing and abiding by the privacy policies of these third party sites to ensure they comply with the data protection</t>
  </si>
  <si>
    <t>What Happens If Our Business Changes Hands?</t>
  </si>
  <si>
    <t>We may, from time to time, expand or reduce our business and this may involve the sale and/or the transfer of control of all or part of our business. Any personal data that you have provided will, where it is relevant to any part of our business that is being transferred, be transferred along with that part and the new owner or newly controlling party will, under the terms of this Privacy Policy, be permitted to use that data only for the same purposes for which it was originally collected by Us.</t>
  </si>
  <si>
    <t>In the event that any of your data is to be transferred in such a manner, you will not be contacted in advance.</t>
  </si>
  <si>
    <t>Your Rights and How to Contact Us:</t>
  </si>
  <si>
    <t>As a data subject within the EU, you have the following rights under the GDPR, which this Policy and our use of personal data have been designed to uphold:</t>
  </si>
  <si>
    <t>The right to be informed about our collection and use of personal data</t>
  </si>
  <si>
    <t>The right of access to the personal data we hold about you.</t>
  </si>
  <si>
    <t>The right to rectification if any personal data we hold about you is inaccurate or incomplete.</t>
  </si>
  <si>
    <t>The right to be forgotten – i.e. the right to ask us to delete any personal data We hold about you (We only hold your personal data for a limited time, as explained in this policy but if you would like us to delete it sooner, please contact us.</t>
  </si>
  <si>
    <t>The right to restrict (i.e. prevent) the processing of your personal data.</t>
  </si>
  <si>
    <t>The right to data portability (obtaining a copy of your personal data to re-use with another service or organisation).</t>
  </si>
  <si>
    <t>The right to object to us using your personal data for particular purposes and Rights with respect to automated decision-making and profiling.</t>
  </si>
  <si>
    <t>You can exercise any of these rights by contacting our EU GDPR representative, Joanne Hope:</t>
  </si>
  <si>
    <t>Tel: 01403 282300 Email:nte.dpo@netsoltech.com Post: Planet House, North Heath Lane,Hosham,RH125QE</t>
  </si>
  <si>
    <t>We’ll respond to your request without delay and at the latest within one month of your request.</t>
  </si>
  <si>
    <t>You can use the same contact details if you have any cause for complaint about our use of your personal data. We will do our best to solve the problem for you. If we are unable to help, you also have the right to lodge a complaint with the UK’s supervisory authority, the Information Commissioner’s Office https://ico.org.uk. For further information about your rights, please contact the Information Commissioner’s Office or your local Citizens Advice Bureau.</t>
  </si>
  <si>
    <t>How Can You Control Your Data?</t>
  </si>
  <si>
    <t>When you submit personal data via our site, you may be given options to restrict our use of your data. In particular, we aim to give you strong controls on our use of your data for direct marketing purposes (including the ability to opt-out of receiving emails from us which you may do by unsubscribing using the links provided in our emails and at the point of providing your details).</t>
  </si>
  <si>
    <t>You may also wish to sign up to one or more of the preference services operating in the UK: The Telephone Preference Service (“the TPS”), the Corporate Telephone Preference Service (“the CTPS”), and the Mailing Preference Service (“the MPS”). These may help to prevent you receiving unsolicited marketing. Please note, however, that these services will not prevent you from receiving marketing communications that you have consented to receiving.</t>
  </si>
  <si>
    <t>How Can You Access Your Data?</t>
  </si>
  <si>
    <t>You have the right to ask for a copy of any of your personal data held by us (where such data is held). Under the GDPR, no fee is payable and we will provide any and all information in response to your request free of charge. Please contact us using the contact details provided in this privacy policy.</t>
  </si>
  <si>
    <t>Your Right to Withhold Information</t>
  </si>
  <si>
    <t>You may access our site without providing any data at all. However, to use all features and functions available you may be required to submit or allow for the collection of certain data.</t>
  </si>
  <si>
    <t>You may restrict our use of Cookies. For more information, see our Cookie Policy.</t>
  </si>
  <si>
    <t>Changes to Our Privacy Policy</t>
  </si>
  <si>
    <t>We may change this Privacy Policy from time to time (for example, if the law changes). Any changes will be immediately posted on our site and you will be deemed to have accepted the terms of the Privacy Policy on your first use of our site following the alterations. We recommend that you check this page regularly to keep up-to-date.</t>
  </si>
  <si>
    <t>Privacy Notice for California Residents</t>
  </si>
  <si>
    <t>Please review Netsol Technologies privacy notice for California Residents at Privacy-policy-CR</t>
  </si>
  <si>
    <t>When you visit or log in to our website, cookies and similar technologies may be used by our online data partners or vendors to associate these activities with other personal information they or others have about you, including by association with your email or home address. We (or service providers on our behalf) may then send communications and marketing to these email or home addresses. You may opt out of receiving this advertising by visiting https://app.retention.com/optout</t>
  </si>
  <si>
    <t>NETSOL’s Human Rights policy applies to every Netsol employee and is based on the following key principles:</t>
  </si>
  <si>
    <t>Conducting all of our business lawfully in all the communities that we serve and in a manner that respects and promotes human rights and equality for all employees, agency staff and suppliers wherever they are based.</t>
  </si>
  <si>
    <t>A recognition and respect of the fundamental human right to allow employees/people to lead a dignified and independent life, free from abuse, violations and any form of discrimination.</t>
  </si>
  <si>
    <t>A recognition that peoples’ human rights can be directly and indirectly affected by the company’s operations, products and services, and to take steps to identify and reduce the company’s negative impact on communities and environments wherever possible.</t>
  </si>
  <si>
    <t>A desire to act as a responsible organization in achieving a common set of standards applying to all peoples and all nations in the commitment to continual social and economic improvement.</t>
  </si>
  <si>
    <t>Oppose and prohibit the use of human trafficking, child labor, slavery and slave labor, and expect the same from all of our business partners and suppliers. As a global business, the Company is committed to compliance with the International Bill of Human Rights and both applicable labor laws and specific human rights laws such as the U.K.’s Modern Slavery Act.</t>
  </si>
  <si>
    <t>A commitment to seek to only enter into contractual relations with third parties who demonstrate a desire to apply similar principles to the above through their own frameworks and initiatives.</t>
  </si>
  <si>
    <t>Supply Chain</t>
  </si>
  <si>
    <t>NETSOL recognizes that the successful implementation of our Human Rights Policy is heavily influenced by the cooperation and support of our supply chains.</t>
  </si>
  <si>
    <t>If suppliers or contractors act in a way that is inconsistent with our Human Rights Policy and/or are complicit in any human rights abuses, NETSOL will look to terminate their contracts and end all commercial relations with them.</t>
  </si>
  <si>
    <t>Modern Slavery Act Transparency Statement</t>
  </si>
  <si>
    <t>Our Organization:</t>
  </si>
  <si>
    <t>NetSol Technologies, Inc. (“Netsol”) acknowledges internationally proclaimed human rights and is fully committed to combat slavery and human trafficking. We design, develop, market, and export proprietary software products to customers in the automobile financing and leasing, banking, and financial services industries worldwide. We also provide system integration, consulting, and IT products and services in exchange for fees from customers.</t>
  </si>
  <si>
    <t>We have ten wholly owned and six majority owned subsidiaries worldwide including the United Kingdom and our parent company is incorporated in the United States. NETSOL has more than 1400 permanent employees worldwide.</t>
  </si>
  <si>
    <t>The NetSol Human Rights Policy recognizes international human rights as set out in the Bill of Human Rights. Our Policy reflects our responsibilities around slavery and human trafficking.</t>
  </si>
  <si>
    <t>Our Policies and Due Diligence on Slavery and Human Trafficking:</t>
  </si>
  <si>
    <t>We are committed to ensuring that there is no modern slavery or human trafficking in our supply chains or in any part of our business. As a software and services company, we do not have a manufacturing base or supply chain for tangible goods. Accordingly, we believe there is a very low likelihood of slavery and/or human trafficking in our supply chain. However, our company is committed to promoting and protecting human rights wherever we do business. We expect our suppliers and other business partners to be committed to ethical behavior, to comply with all applicable laws and regulations, and to take action to promote the eradication of human trafficking and slavery. We will continue to work with our suppliers and refine our own requirements and processes to reinforce our commitment to human rights and a culture of ethical behavior, integrity and respect.</t>
  </si>
  <si>
    <t>This statement is made pursuant to section 54(1) of the Modern Slavery Act 2015 and constitutes our Company’s slavery and human trafficking statement for the financial year ending June 30, 2024.</t>
  </si>
  <si>
    <t>CEO,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</si>
</sst>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0"/>
      <color rgb="FF000000"/>
      <name val="Arial"/>
      <scheme val="minor"/>
    </font>
    <font>
      <b/>
      <sz val="10"/>
      <color theme="1"/>
      <name val="Arial"/>
      <scheme val="minor"/>
    </font>
    <font>
      <sz val="10"/>
      <color theme="1"/>
      <name val="Arial"/>
      <scheme val="minor"/>
    </font>
    <font>
      <sz val="10"/>
      <color rgb="FF000000"/>
      <name val="Arial"/>
    </font>
    <font>
      <sz val="12"/>
      <color rgb="FF454648"/>
      <name val="Arial"/>
    </font>
    <font>
      <sz val="12"/>
      <color rgb="FF454648"/>
      <name val="PoppinsRegular"/>
    </font>
    <font>
      <sz val="10"/>
      <color rgb="FF1F1F1F"/>
      <name val="Consolas"/>
    </font>
    <font>
      <sz val="10"/>
      <color rgb="FF454648"/>
      <name val="PoppinsRegular"/>
    </font>
    <font>
      <sz val="10"/>
      <color rgb="FF000000"/>
      <name val="PoppinsLight"/>
    </font>
    <font>
      <sz val="10"/>
      <color rgb="FF000000"/>
      <name val="PoppinsRegular"/>
    </font>
    <font>
      <sz val="10"/>
      <color rgb="FF000000"/>
      <name val="Arial"/>
      <family val="2"/>
      <scheme val="minor"/>
    </font>
  </fonts>
  <fills count="6">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0"/>
        <bgColor indexed="64"/>
      </patternFill>
    </fill>
    <fill>
      <patternFill patternType="solid">
        <fgColor theme="6"/>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applyAlignment="1">
      <alignment horizontal="left"/>
    </xf>
    <xf numFmtId="0" fontId="4" fillId="0" borderId="0" xfId="0" applyFont="1"/>
    <xf numFmtId="0" fontId="5" fillId="0" borderId="0" xfId="0" applyFont="1"/>
    <xf numFmtId="0" fontId="6" fillId="2" borderId="0" xfId="0" applyFont="1" applyFill="1"/>
    <xf numFmtId="0" fontId="7" fillId="2" borderId="0" xfId="0" applyFont="1" applyFill="1"/>
    <xf numFmtId="9" fontId="2" fillId="0" borderId="0" xfId="0" applyNumberFormat="1" applyFont="1"/>
    <xf numFmtId="0" fontId="8" fillId="0" borderId="0" xfId="0" applyFont="1"/>
    <xf numFmtId="0" fontId="7" fillId="0" borderId="0" xfId="0" applyFont="1" applyAlignment="1">
      <alignment horizontal="left"/>
    </xf>
    <xf numFmtId="0" fontId="9" fillId="0" borderId="0" xfId="0" applyFont="1" applyAlignment="1">
      <alignment horizontal="left"/>
    </xf>
    <xf numFmtId="0" fontId="9" fillId="2" borderId="0" xfId="0" applyFont="1" applyFill="1" applyAlignment="1">
      <alignment horizontal="left"/>
    </xf>
    <xf numFmtId="0" fontId="10" fillId="0" borderId="0" xfId="0" applyFont="1"/>
    <xf numFmtId="0" fontId="2" fillId="3" borderId="0" xfId="0" applyFont="1" applyFill="1"/>
    <xf numFmtId="0" fontId="3" fillId="0" borderId="0" xfId="0" applyFont="1" applyAlignment="1">
      <alignment horizontal="left" wrapText="1"/>
    </xf>
    <xf numFmtId="0" fontId="2" fillId="4" borderId="0" xfId="0" applyFont="1" applyFill="1"/>
    <xf numFmtId="0" fontId="5" fillId="5" borderId="0" xfId="0" applyFont="1" applyFill="1"/>
    <xf numFmtId="0" fontId="2" fillId="5" borderId="0" xfId="0" applyFont="1" applyFill="1"/>
    <xf numFmtId="0" fontId="6"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44"/>
  <sheetViews>
    <sheetView topLeftCell="A125" workbookViewId="0">
      <selection activeCell="A143" sqref="A143"/>
    </sheetView>
  </sheetViews>
  <sheetFormatPr defaultColWidth="12.5546875" defaultRowHeight="15.75" customHeight="1"/>
  <cols>
    <col min="1" max="1" width="104.5546875" customWidth="1"/>
    <col min="2" max="2" width="73.109375" customWidth="1"/>
  </cols>
  <sheetData>
    <row r="1" spans="1:2" ht="13.2">
      <c r="A1" s="1" t="s">
        <v>0</v>
      </c>
      <c r="B1" s="2" t="s">
        <v>1</v>
      </c>
    </row>
    <row r="2" spans="1:2" ht="15.75" customHeight="1">
      <c r="A2" s="3" t="s">
        <v>2</v>
      </c>
      <c r="B2" s="2" t="s">
        <v>3</v>
      </c>
    </row>
    <row r="3" spans="1:2" ht="15.75" customHeight="1">
      <c r="A3" s="15" t="s">
        <v>4</v>
      </c>
      <c r="B3" s="2" t="str">
        <f ca="1">IFERROR(__xludf.DUMMYFUNCTION("IF(ISBLANK(A3),"""",GOOGLETRANSLATE(A3,""en"",""de""))"),"KI-gestützte Ökosysteme,
die den Handel")</f>
        <v>KI-gestützte Ökosysteme,
die den Handel</v>
      </c>
    </row>
    <row r="4" spans="1:2" ht="15.75" customHeight="1">
      <c r="A4" s="2" t="s">
        <v>5</v>
      </c>
      <c r="B4" s="2" t="str">
        <f ca="1">IFERROR(__xludf.DUMMYFUNCTION("IF(ISBLANK(A4),"""",GOOGLETRANSLATE(A4,""en"",""de""))"),"nahtlos")</f>
        <v>nahtlos</v>
      </c>
    </row>
    <row r="5" spans="1:2" ht="15.75" customHeight="1">
      <c r="A5" s="2" t="s">
        <v>6</v>
      </c>
      <c r="B5" s="2" t="str">
        <f ca="1">IFERROR(__xludf.DUMMYFUNCTION("IF(ISBLANK(A5),"""",GOOGLETRANSLATE(A5,""en"",""de""))"),"sicher")</f>
        <v>sicher</v>
      </c>
    </row>
    <row r="6" spans="1:2" ht="15.75" customHeight="1">
      <c r="A6" s="16" t="s">
        <v>7</v>
      </c>
      <c r="B6" s="2" t="str">
        <f ca="1">IFERROR(__xludf.DUMMYFUNCTION("IF(ISBLANK(A6),"""",GOOGLETRANSLATE(A6,""en"",""de""))"),"transparent")</f>
        <v>transparent</v>
      </c>
    </row>
    <row r="7" spans="1:2" ht="15.75" customHeight="1">
      <c r="A7" s="2" t="s">
        <v>8</v>
      </c>
      <c r="B7" s="2" t="str">
        <f ca="1">IFERROR(__xludf.DUMMYFUNCTION("IF(ISBLANK(A7),"""",GOOGLETRANSLATE(A7,""en"",""de""))"),"profitabel")</f>
        <v>profitabel</v>
      </c>
    </row>
    <row r="8" spans="1:2" ht="15.75" customHeight="1">
      <c r="A8" s="2" t="s">
        <v>9</v>
      </c>
      <c r="B8" s="2" t="str">
        <f ca="1">IFERROR(__xludf.DUMMYFUNCTION("IF(ISBLANK(A8),"""",GOOGLETRANSLATE(A8,""en"",""de""))"),"Wir beseitigen die Komplexität des Asset-Lebenszyklus mit einer zusammensetzbaren Plattform, die sich mühelos integrieren lässt.")</f>
        <v>Wir beseitigen die Komplexität des Asset-Lebenszyklus mit einer zusammensetzbaren Plattform, die sich mühelos integrieren lässt.</v>
      </c>
    </row>
    <row r="9" spans="1:2" ht="15.75" customHeight="1">
      <c r="B9" s="2" t="str">
        <f ca="1">IFERROR(__xludf.DUMMYFUNCTION("IF(ISBLANK(A9),"""",GOOGLETRANSLATE(A9,""en"",""de""))"),"")</f>
        <v/>
      </c>
    </row>
    <row r="10" spans="1:2" ht="15.75" customHeight="1">
      <c r="A10" s="2" t="s">
        <v>10</v>
      </c>
      <c r="B10" s="2" t="str">
        <f ca="1">IFERROR(__xludf.DUMMYFUNCTION("IF(ISBLANK(A10),"""",GOOGLETRANSLATE(A10,""en"",""de""))"),"Kontaktieren Sie uns")</f>
        <v>Kontaktieren Sie uns</v>
      </c>
    </row>
    <row r="11" spans="1:2" ht="15.75" customHeight="1">
      <c r="A11" s="2" t="s">
        <v>11</v>
      </c>
      <c r="B11" s="2" t="str">
        <f ca="1">IFERROR(__xludf.DUMMYFUNCTION("IF(ISBLANK(A11),"""",GOOGLETRANSLATE(A11,""en"",""de""))"),"Händler")</f>
        <v>Händler</v>
      </c>
    </row>
    <row r="12" spans="1:2" ht="15.75" customHeight="1">
      <c r="A12" s="2" t="s">
        <v>12</v>
      </c>
      <c r="B12" s="2" t="str">
        <f ca="1">IFERROR(__xludf.DUMMYFUNCTION("IF(ISBLANK(A12),"""",GOOGLETRANSLATE(A12,""en"",""de""))"),"OEMs")</f>
        <v>OEMs</v>
      </c>
    </row>
    <row r="13" spans="1:2" ht="15.75" customHeight="1">
      <c r="A13" s="2" t="s">
        <v>13</v>
      </c>
      <c r="B13" s="2" t="s">
        <v>14</v>
      </c>
    </row>
    <row r="14" spans="1:2" ht="15.75" customHeight="1">
      <c r="A14" s="2" t="s">
        <v>15</v>
      </c>
      <c r="B14" s="2" t="str">
        <f ca="1">IFERROR(__xludf.DUMMYFUNCTION("IF(ISBLANK(A14),"""",GOOGLETRANSLATE(A14,""en"",""de""))"),"Makler")</f>
        <v>Makler</v>
      </c>
    </row>
    <row r="15" spans="1:2" ht="15.75" customHeight="1">
      <c r="A15" s="2" t="s">
        <v>16</v>
      </c>
      <c r="B15" s="2" t="str">
        <f ca="1">IFERROR(__xludf.DUMMYFUNCTION("IF(ISBLANK(A15),"""",GOOGLETRANSLATE(A15,""en"",""de""))"),"Gewerbliche Kreditgeber")</f>
        <v>Gewerbliche Kreditgeber</v>
      </c>
    </row>
    <row r="16" spans="1:2" ht="15.75" customHeight="1">
      <c r="A16" s="2" t="s">
        <v>17</v>
      </c>
      <c r="B16" s="2" t="str">
        <f ca="1">IFERROR(__xludf.DUMMYFUNCTION("IF(ISBLANK(A16),"""",GOOGLETRANSLATE(A16,""en"",""de""))"),"Die weltweit führenden Marken werden von NETSOL unterstützt")</f>
        <v>Die weltweit führenden Marken werden von NETSOL unterstützt</v>
      </c>
    </row>
    <row r="17" spans="1:2" ht="15.75" customHeight="1">
      <c r="A17" s="2" t="s">
        <v>18</v>
      </c>
      <c r="B17" s="2" t="str">
        <f ca="1">IFERROR(__xludf.DUMMYFUNCTION("IF(ISBLANK(A17),"""",GOOGLETRANSLATE(A17,""en"",""de""))"),"Transcend-Plattform")</f>
        <v>Transcend-Plattform</v>
      </c>
    </row>
    <row r="18" spans="1:2" ht="15.75" customHeight="1">
      <c r="A18" s="2" t="s">
        <v>19</v>
      </c>
      <c r="B18" s="2" t="str">
        <f ca="1">IFERROR(__xludf.DUMMYFUNCTION("IF(ISBLANK(A18),"""",GOOGLETRANSLATE(A18,""en"",""de""))"),"Eine KI-gesteuerte, zusammensetzbare Plattform für Kreditgeber, OEMs, Händler und Flotten, die digitalen Einzelhandel, Anlagenfinanzierung und Kreditverwaltung mit Vertrauen und Transparenz vereint.")</f>
        <v>Eine KI-gesteuerte, zusammensetzbare Plattform für Kreditgeber, OEMs, Händler und Flotten, die digitalen Einzelhandel, Anlagenfinanzierung und Kreditverwaltung mit Vertrauen und Transparenz vereint.</v>
      </c>
    </row>
    <row r="19" spans="1:2" ht="15.75" customHeight="1">
      <c r="B19" s="2" t="str">
        <f ca="1">IFERROR(__xludf.DUMMYFUNCTION("IF(ISBLANK(A19),"""",GOOGLETRANSLATE(A19,""en"",""de""))"),"")</f>
        <v/>
      </c>
    </row>
    <row r="20" spans="1:2" ht="15.75" customHeight="1">
      <c r="B20" s="2" t="str">
        <f ca="1">IFERROR(__xludf.DUMMYFUNCTION("IF(ISBLANK(A20),"""",GOOGLETRANSLATE(A20,""en"",""de""))"),"")</f>
        <v/>
      </c>
    </row>
    <row r="21" spans="1:2" ht="15.75" customHeight="1">
      <c r="A21" s="2" t="s">
        <v>20</v>
      </c>
      <c r="B21" s="2" t="str">
        <f ca="1">IFERROR(__xludf.DUMMYFUNCTION("IF(ISBLANK(A21),"""",GOOGLETRANSLATE(A21,""en"",""de""))"),"Transzendieren")</f>
        <v>Transzendieren</v>
      </c>
    </row>
    <row r="22" spans="1:2" ht="15.75" customHeight="1">
      <c r="A22" s="2" t="s">
        <v>21</v>
      </c>
      <c r="B22" s="2" t="str">
        <f ca="1">IFERROR(__xludf.DUMMYFUNCTION("IF(ISBLANK(A22),"""",GOOGLETRANSLATE(A22,""en"",""de""))"),"Einzelhandel")</f>
        <v>Einzelhandel</v>
      </c>
    </row>
    <row r="23" spans="1:2" ht="15.75" customHeight="1">
      <c r="A23" s="2" t="s">
        <v>22</v>
      </c>
      <c r="B23" s="2" t="str">
        <f ca="1">IFERROR(__xludf.DUMMYFUNCTION("IF(ISBLANK(A23),"""",GOOGLETRANSLATE(A23,""en"",""de""))"),"End-to-End-Orchestrierung für OEMs und")</f>
        <v>End-to-End-Orchestrierung für OEMs und</v>
      </c>
    </row>
    <row r="24" spans="1:2" ht="13.2">
      <c r="A24" s="2" t="s">
        <v>23</v>
      </c>
      <c r="B24" s="2" t="str">
        <f ca="1">IFERROR(__xludf.DUMMYFUNCTION("IF(ISBLANK(A24),"""",GOOGLETRANSLATE(A24,""en"",""de""))"),"Händler. Modular und skalierbar zur Vereinheitlichung")</f>
        <v>Händler. Modular und skalierbar zur Vereinheitlichung</v>
      </c>
    </row>
    <row r="25" spans="1:2" ht="13.2">
      <c r="A25" s="2" t="s">
        <v>24</v>
      </c>
      <c r="B25" s="2" t="s">
        <v>25</v>
      </c>
    </row>
    <row r="26" spans="1:2" ht="13.2">
      <c r="A26" s="2" t="s">
        <v>26</v>
      </c>
      <c r="B26" s="2" t="str">
        <f ca="1">IFERROR(__xludf.DUMMYFUNCTION("IF(ISBLANK(A26),"""",GOOGLETRANSLATE(A26,""en"",""de""))"),"nahtloses Einzelhandelserlebnis.")</f>
        <v>nahtloses Einzelhandelserlebnis.</v>
      </c>
    </row>
    <row r="27" spans="1:2" ht="13.2">
      <c r="A27" s="2" t="s">
        <v>27</v>
      </c>
      <c r="B27" s="2" t="str">
        <f ca="1">IFERROR(__xludf.DUMMYFUNCTION("IF(ISBLANK(A27),"""",GOOGLETRANSLATE(A27,""en"",""de""))"),"Mehr erfahren")</f>
        <v>Mehr erfahren</v>
      </c>
    </row>
    <row r="28" spans="1:2" ht="13.2">
      <c r="A28" s="2" t="s">
        <v>28</v>
      </c>
      <c r="B28" s="2" t="str">
        <f ca="1">IFERROR(__xludf.DUMMYFUNCTION("IF(ISBLANK(A28),"""",GOOGLETRANSLATE(A28,""en"",""de""))"),"Autohandel neu definiert. Personalisierte Wege,")</f>
        <v>Autohandel neu definiert. Personalisierte Wege,</v>
      </c>
    </row>
    <row r="29" spans="1:2" ht="13.2">
      <c r="A29" s="2" t="s">
        <v>29</v>
      </c>
      <c r="B29" s="2" t="str">
        <f ca="1">IFERROR(__xludf.DUMMYFUNCTION("IF(ISBLANK(A29),"""",GOOGLETRANSLATE(A29,""en"",""de""))"),"vernetzte Touchpoints und KI-gesteuerte Präzision.")</f>
        <v>vernetzte Touchpoints und KI-gesteuerte Präzision.</v>
      </c>
    </row>
    <row r="30" spans="1:2" ht="13.2">
      <c r="A30" s="2" t="s">
        <v>12</v>
      </c>
      <c r="B30" s="2" t="str">
        <f ca="1">IFERROR(__xludf.DUMMYFUNCTION("IF(ISBLANK(A30),"""",GOOGLETRANSLATE(A30,""en"",""de""))"),"OEMs")</f>
        <v>OEMs</v>
      </c>
    </row>
    <row r="31" spans="1:2" ht="13.2">
      <c r="A31" s="2" t="s">
        <v>30</v>
      </c>
      <c r="B31" s="2" t="str">
        <f ca="1">IFERROR(__xludf.DUMMYFUNCTION("IF(ISBLANK(A31),"""",GOOGLETRANSLATE(A31,""en"",""de""))"),"Unabhängige Händler")</f>
        <v>Unabhängige Händler</v>
      </c>
    </row>
    <row r="32" spans="1:2" ht="13.2">
      <c r="A32" s="2" t="s">
        <v>31</v>
      </c>
      <c r="B32" s="2" t="str">
        <f ca="1">IFERROR(__xludf.DUMMYFUNCTION("IF(ISBLANK(A32),"""",GOOGLETRANSLATE(A32,""en"",""de""))"),"Händlergruppen")</f>
        <v>Händlergruppen</v>
      </c>
    </row>
    <row r="33" spans="1:2" ht="13.2">
      <c r="A33" s="2" t="s">
        <v>32</v>
      </c>
      <c r="B33" s="2" t="str">
        <f ca="1">IFERROR(__xludf.DUMMYFUNCTION("IF(ISBLANK(A33),"""",GOOGLETRANSLATE(A33,""en"",""de""))"),"Finanzen")</f>
        <v>Finanzen</v>
      </c>
    </row>
    <row r="34" spans="1:2" ht="13.2">
      <c r="A34" s="2" t="s">
        <v>20</v>
      </c>
      <c r="B34" s="2" t="str">
        <f ca="1">IFERROR(__xludf.DUMMYFUNCTION("IF(ISBLANK(A34),"""",GOOGLETRANSLATE(A34,""en"",""de""))"),"Transzendieren")</f>
        <v>Transzendieren</v>
      </c>
    </row>
    <row r="35" spans="1:2" ht="13.2">
      <c r="B35" s="2" t="str">
        <f ca="1">IFERROR(__xludf.DUMMYFUNCTION("IF(ISBLANK(A35),"""",GOOGLETRANSLATE(A35,""en"",""de""))"),"")</f>
        <v/>
      </c>
    </row>
    <row r="36" spans="1:2" ht="13.2">
      <c r="A36" s="2" t="s">
        <v>33</v>
      </c>
      <c r="B36" s="2" t="s">
        <v>34</v>
      </c>
    </row>
    <row r="37" spans="1:2" ht="13.2">
      <c r="A37" s="2" t="s">
        <v>35</v>
      </c>
      <c r="B37" s="2" t="s">
        <v>36</v>
      </c>
    </row>
    <row r="38" spans="1:2" ht="13.2">
      <c r="A38" s="2" t="s">
        <v>37</v>
      </c>
      <c r="B38" s="2" t="str">
        <f ca="1">IFERROR(__xludf.DUMMYFUNCTION("IF(ISBLANK(A38),"""",GOOGLETRANSLATE(A38,""en"",""de""))"),"Aktivitäten in den Bereichen Auto-, Ausrüstungs- und Handelsfinanzierung.")</f>
        <v>Aktivitäten in den Bereichen Auto-, Ausrüstungs- und Handelsfinanzierung.</v>
      </c>
    </row>
    <row r="39" spans="1:2" ht="13.2">
      <c r="B39" s="2" t="str">
        <f ca="1">IFERROR(__xludf.DUMMYFUNCTION("IF(ISBLANK(A39),"""",GOOGLETRANSLATE(A39,""en"",""de""))"),"")</f>
        <v/>
      </c>
    </row>
    <row r="40" spans="1:2" ht="13.2">
      <c r="A40" s="2" t="s">
        <v>38</v>
      </c>
      <c r="B40" s="2" t="str">
        <f ca="1">IFERROR(__xludf.DUMMYFUNCTION("IF(ISBLANK(A40),"""",GOOGLETRANSLATE(A40,""en"",""de""))"),"Intelligentere Kreditvergabe beginnt hier. KI-gestützte Geschwindigkeit,")</f>
        <v>Intelligentere Kreditvergabe beginnt hier. KI-gestützte Geschwindigkeit,</v>
      </c>
    </row>
    <row r="41" spans="1:2" ht="13.2">
      <c r="A41" s="2" t="s">
        <v>39</v>
      </c>
      <c r="B41" s="2" t="str">
        <f ca="1">IFERROR(__xludf.DUMMYFUNCTION("IF(ISBLANK(A41),"""",GOOGLETRANSLATE(A41,""en"",""de""))"),"Flexibilität und Präzision.")</f>
        <v>Flexibilität und Präzision.</v>
      </c>
    </row>
    <row r="42" spans="1:2" ht="13.2">
      <c r="A42" s="2" t="s">
        <v>40</v>
      </c>
      <c r="B42" s="2" t="str">
        <f ca="1">IFERROR(__xludf.DUMMYFUNCTION("IF(ISBLANK(A42),"""",GOOGLETRANSLATE(A42,""en"",""de""))"),"Autofinanzierung")</f>
        <v>Autofinanzierung</v>
      </c>
    </row>
    <row r="43" spans="1:2" ht="13.2">
      <c r="A43" s="2" t="s">
        <v>41</v>
      </c>
      <c r="B43" s="2" t="str">
        <f ca="1">IFERROR(__xludf.DUMMYFUNCTION("IF(ISBLANK(A43),"""",GOOGLETRANSLATE(A43,""en"",""de""))"),"Ausrüstungsfinanzierung")</f>
        <v>Ausrüstungsfinanzierung</v>
      </c>
    </row>
    <row r="44" spans="1:2" ht="13.2">
      <c r="A44" s="2" t="s">
        <v>42</v>
      </c>
      <c r="B44" s="2" t="str">
        <f ca="1">IFERROR(__xludf.DUMMYFUNCTION("IF(ISBLANK(A44),"""",GOOGLETRANSLATE(A44,""en"",""de""))"),"Flottenfinanzierung")</f>
        <v>Flottenfinanzierung</v>
      </c>
    </row>
    <row r="45" spans="1:2" ht="13.2">
      <c r="A45" s="2" t="s">
        <v>16</v>
      </c>
      <c r="B45" s="2" t="str">
        <f ca="1">IFERROR(__xludf.DUMMYFUNCTION("IF(ISBLANK(A45),"""",GOOGLETRANSLATE(A45,""en"",""de""))"),"Gewerbliche Kreditgeber")</f>
        <v>Gewerbliche Kreditgeber</v>
      </c>
    </row>
    <row r="46" spans="1:2" ht="13.2">
      <c r="A46" s="2" t="s">
        <v>43</v>
      </c>
      <c r="B46" s="2" t="str">
        <f ca="1">IFERROR(__xludf.DUMMYFUNCTION("IF(ISBLANK(A46),"""",GOOGLETRANSLATE(A46,""en"",""de""))"),"Spezialisierte Kreditgeber")</f>
        <v>Spezialisierte Kreditgeber</v>
      </c>
    </row>
    <row r="47" spans="1:2" ht="13.2">
      <c r="A47" s="2" t="s">
        <v>44</v>
      </c>
      <c r="B47" s="2" t="str">
        <f ca="1">IFERROR(__xludf.DUMMYFUNCTION("IF(ISBLANK(A47),"""",GOOGLETRANSLATE(A47,""en"",""de""))"),"KI-Labore")</f>
        <v>KI-Labore</v>
      </c>
    </row>
    <row r="48" spans="1:2" ht="13.2">
      <c r="A48" s="2" t="s">
        <v>45</v>
      </c>
      <c r="B48" s="2" t="str">
        <f ca="1">IFERROR(__xludf.DUMMYFUNCTION("IF(ISBLANK(A48),"""",GOOGLETRANSLATE(A48,""en"",""de""))"),"Übertreffen Sie KI")</f>
        <v>Übertreffen Sie KI</v>
      </c>
    </row>
    <row r="49" spans="1:2" ht="13.2">
      <c r="A49" s="2" t="s">
        <v>46</v>
      </c>
      <c r="B49" s="2" t="str">
        <f ca="1">IFERROR(__xludf.DUMMYFUNCTION("IF(ISBLANK(A49),"""",GOOGLETRANSLATE(A49,""en"",""de""))"),"Labore")</f>
        <v>Labore</v>
      </c>
    </row>
    <row r="50" spans="1:2" ht="15">
      <c r="A50" s="4" t="s">
        <v>47</v>
      </c>
      <c r="B50" s="2" t="str">
        <f ca="1">IFERROR(__xludf.DUMMYFUNCTION("IF(ISBLANK(A50),"""",GOOGLETRANSLATE(A50,""en"",""de""))"),"KI-Innovation für Kreditvergabe, Leasing und Einzelhandel. Speziell entwickelte Tools, die")</f>
        <v>KI-Innovation für Kreditvergabe, Leasing und Einzelhandel. Speziell entwickelte Tools, die</v>
      </c>
    </row>
    <row r="51" spans="1:2" ht="13.2">
      <c r="A51" s="2" t="s">
        <v>48</v>
      </c>
      <c r="B51" s="2" t="str">
        <f ca="1">IFERROR(__xludf.DUMMYFUNCTION("IF(ISBLANK(A51),"""",GOOGLETRANSLATE(A51,""en"",""de""))"),"Beschleunigen Sie die Transformation und erzielen Sie echte Auswirkungen auf alle Arbeitsabläufe.")</f>
        <v>Beschleunigen Sie die Transformation und erzielen Sie echte Auswirkungen auf alle Arbeitsabläufe.</v>
      </c>
    </row>
    <row r="52" spans="1:2" ht="13.2">
      <c r="B52" s="2" t="str">
        <f ca="1">IFERROR(__xludf.DUMMYFUNCTION("IF(ISBLANK(A52),"""",GOOGLETRANSLATE(A52,""en"",""de""))"),"")</f>
        <v/>
      </c>
    </row>
    <row r="53" spans="1:2" ht="13.2">
      <c r="A53" s="2" t="s">
        <v>49</v>
      </c>
      <c r="B53" s="2" t="str">
        <f ca="1">IFERROR(__xludf.DUMMYFUNCTION("IF(ISBLANK(A53),"""",GOOGLETRANSLATE(A53,""en"",""de""))"),"Transformation von BFSI, Finanzen und Leasing")</f>
        <v>Transformation von BFSI, Finanzen und Leasing</v>
      </c>
    </row>
    <row r="54" spans="1:2" ht="13.2">
      <c r="A54" s="2" t="s">
        <v>50</v>
      </c>
      <c r="B54" s="2" t="str">
        <f ca="1">IFERROR(__xludf.DUMMYFUNCTION("IF(ISBLANK(A54),"""",GOOGLETRANSLATE(A54,""en"",""de""))"),"mit intelligenter, branchenspezifischer KI.")</f>
        <v>mit intelligenter, branchenspezifischer KI.</v>
      </c>
    </row>
    <row r="55" spans="1:2" ht="13.2">
      <c r="A55" s="2" t="s">
        <v>51</v>
      </c>
      <c r="B55" s="2" t="str">
        <f ca="1">IFERROR(__xludf.DUMMYFUNCTION("IF(ISBLANK(A55),"""",GOOGLETRANSLATE(A55,""en"",""de""))"),"KI-Anwendungen")</f>
        <v>KI-Anwendungen</v>
      </c>
    </row>
    <row r="56" spans="1:2" ht="13.2">
      <c r="A56" s="2" t="s">
        <v>52</v>
      </c>
      <c r="B56" s="2" t="str">
        <f ca="1">IFERROR(__xludf.DUMMYFUNCTION("IF(ISBLANK(A56),"""",GOOGLETRANSLATE(A56,""en"",""de""))"),"KI-Dienste")</f>
        <v>KI-Dienste</v>
      </c>
    </row>
    <row r="57" spans="1:2" ht="13.2">
      <c r="A57" s="2" t="s">
        <v>53</v>
      </c>
      <c r="B57" s="2" t="str">
        <f ca="1">IFERROR(__xludf.DUMMYFUNCTION("IF(ISBLANK(A57),"""",GOOGLETRANSLATE(A57,""en"",""de""))"),"Laborinnovation")</f>
        <v>Laborinnovation</v>
      </c>
    </row>
    <row r="58" spans="1:2" ht="13.2">
      <c r="B58" s="2" t="str">
        <f ca="1">IFERROR(__xludf.DUMMYFUNCTION("IF(ISBLANK(A58),"""",GOOGLETRANSLATE(A58,""en"",""de""))"),"")</f>
        <v/>
      </c>
    </row>
    <row r="59" spans="1:2" ht="13.2">
      <c r="B59" s="2" t="str">
        <f ca="1">IFERROR(__xludf.DUMMYFUNCTION("IF(ISBLANK(A59),"""",GOOGLETRANSLATE(A59,""en"",""de""))"),"")</f>
        <v/>
      </c>
    </row>
    <row r="60" spans="1:2" ht="13.2">
      <c r="A60" s="2" t="s">
        <v>54</v>
      </c>
      <c r="B60" s="2" t="str">
        <f ca="1">IFERROR(__xludf.DUMMYFUNCTION("IF(ISBLANK(A60),"""",GOOGLETRANSLATE(A60,""en"",""de""))"),"Marktplatz")</f>
        <v>Marktplatz</v>
      </c>
    </row>
    <row r="61" spans="1:2" ht="13.2">
      <c r="A61" s="2" t="s">
        <v>55</v>
      </c>
      <c r="B61" s="2" t="str">
        <f ca="1">IFERROR(__xludf.DUMMYFUNCTION("IF(ISBLANK(A61),"""",GOOGLETRANSLATE(A61,""en"",""de""))"),"Ein einheitlicher Marktplatz mit modularen, API-gesteuerten Lösungen für Kreditvergabe, Leasing und Einzelhandel. Entwickelt, um jeden Arbeitsablauf zu vereinfachen und zu beschleunigen.")</f>
        <v>Ein einheitlicher Marktplatz mit modularen, API-gesteuerten Lösungen für Kreditvergabe, Leasing und Einzelhandel. Entwickelt, um jeden Arbeitsablauf zu vereinfachen und zu beschleunigen.</v>
      </c>
    </row>
    <row r="62" spans="1:2" ht="13.2">
      <c r="B62" s="2" t="str">
        <f ca="1">IFERROR(__xludf.DUMMYFUNCTION("IF(ISBLANK(A62),"""",GOOGLETRANSLATE(A62,""en"",""de""))"),"")</f>
        <v/>
      </c>
    </row>
    <row r="63" spans="1:2" ht="13.2">
      <c r="A63" s="2" t="s">
        <v>56</v>
      </c>
      <c r="B63" s="2" t="str">
        <f ca="1">IFERROR(__xludf.DUMMYFUNCTION("IF(ISBLANK(A63),"""",GOOGLETRANSLATE(A63,""en"",""de""))"),"Intelligenter. Schneller. Vernetzt.")</f>
        <v>Intelligenter. Schneller. Vernetzt.</v>
      </c>
    </row>
    <row r="64" spans="1:2" ht="13.2">
      <c r="A64" s="2" t="s">
        <v>57</v>
      </c>
      <c r="B64" s="2" t="str">
        <f ca="1">IFERROR(__xludf.DUMMYFUNCTION("IF(ISBLANK(A64),"""",GOOGLETRANSLATE(A64,""en"",""de""))"),"Ihr modularer Marktplatz für Finanzierung und Leasing.")</f>
        <v>Ihr modularer Marktplatz für Finanzierung und Leasing.</v>
      </c>
    </row>
    <row r="65" spans="1:2" ht="13.2">
      <c r="A65" s="2" t="s">
        <v>58</v>
      </c>
      <c r="B65" s="2" t="str">
        <f ca="1">IFERROR(__xludf.DUMMYFUNCTION("IF(ISBLANK(A65),"""",GOOGLETRANSLATE(A65,""en"",""de""))"),"Abonnementbasiert")</f>
        <v>Abonnementbasiert</v>
      </c>
    </row>
    <row r="66" spans="1:2" ht="13.2">
      <c r="A66" s="2" t="s">
        <v>59</v>
      </c>
      <c r="B66" s="2" t="str">
        <f ca="1">IFERROR(__xludf.DUMMYFUNCTION("IF(ISBLANK(A66),"""",GOOGLETRANSLATE(A66,""en"",""de""))"),"API-First")</f>
        <v>API-First</v>
      </c>
    </row>
    <row r="67" spans="1:2" ht="13.2">
      <c r="A67" s="2" t="s">
        <v>60</v>
      </c>
      <c r="B67" s="2" t="str">
        <f ca="1">IFERROR(__xludf.DUMMYFUNCTION("IF(ISBLANK(A67),"""",GOOGLETRANSLATE(A67,""en"",""de""))"),"Komponentenbasiert")</f>
        <v>Komponentenbasiert</v>
      </c>
    </row>
    <row r="68" spans="1:2" ht="13.2">
      <c r="A68" s="2" t="s">
        <v>61</v>
      </c>
      <c r="B68" s="2" t="str">
        <f ca="1">IFERROR(__xludf.DUMMYFUNCTION("IF(ISBLANK(A68),"""",GOOGLETRANSLATE(A68,""en"",""de""))"),"Beratung")</f>
        <v>Beratung</v>
      </c>
    </row>
    <row r="69" spans="1:2" ht="13.2">
      <c r="B69" s="2" t="str">
        <f ca="1">IFERROR(__xludf.DUMMYFUNCTION("IF(ISBLANK(A69),"""",GOOGLETRANSLATE(A69,""en"",""de""))"),"")</f>
        <v/>
      </c>
    </row>
    <row r="70" spans="1:2" ht="13.2">
      <c r="A70" s="2" t="s">
        <v>61</v>
      </c>
      <c r="B70" s="2" t="str">
        <f ca="1">IFERROR(__xludf.DUMMYFUNCTION("IF(ISBLANK(A70),"""",GOOGLETRANSLATE(A70,""en"",""de""))"),"Beratung")</f>
        <v>Beratung</v>
      </c>
    </row>
    <row r="71" spans="1:2" ht="15">
      <c r="A71" s="17" t="s">
        <v>62</v>
      </c>
      <c r="B71" s="2" t="str">
        <f ca="1">IFERROR(__xludf.DUMMYFUNCTION("IF(ISBLANK(A71),"""",GOOGLETRANSLATE(A71,""en"",""de""))"),"Fachwissen in den Bereichen KI, Daten, Cloud und Sicherheit – hilft BFSI und Kreditgebern bei der Modernisierung, sicheren Skalierung und dem Aufbau belastbarer, zukunftsfähiger Abläufe.")</f>
        <v>Fachwissen in den Bereichen KI, Daten, Cloud und Sicherheit – hilft BFSI und Kreditgebern bei der Modernisierung, sicheren Skalierung und dem Aufbau belastbarer, zukunftsfähiger Abläufe.</v>
      </c>
    </row>
    <row r="72" spans="1:2" ht="13.2">
      <c r="B72" s="2" t="str">
        <f ca="1">IFERROR(__xludf.DUMMYFUNCTION("IF(ISBLANK(A72),"""",GOOGLETRANSLATE(A72,""en"",""de""))"),"")</f>
        <v/>
      </c>
    </row>
    <row r="73" spans="1:2" ht="13.2">
      <c r="A73" s="2" t="s">
        <v>63</v>
      </c>
      <c r="B73" s="2" t="str">
        <f ca="1">IFERROR(__xludf.DUMMYFUNCTION("IF(ISBLANK(A73),"""",GOOGLETRANSLATE(A73,""en"",""de""))"),"Komplexe Herausforderungen in transformative Chancen verwandeln.")</f>
        <v>Komplexe Herausforderungen in transformative Chancen verwandeln.</v>
      </c>
    </row>
    <row r="74" spans="1:2" ht="13.2">
      <c r="A74" s="2" t="s">
        <v>64</v>
      </c>
      <c r="B74" s="2" t="str">
        <f ca="1">IFERROR(__xludf.DUMMYFUNCTION("IF(ISBLANK(A74),"""",GOOGLETRANSLATE(A74,""en"",""de""))"),"Informationssicherheit")</f>
        <v>Informationssicherheit</v>
      </c>
    </row>
    <row r="75" spans="1:2" ht="13.2">
      <c r="A75" s="2" t="s">
        <v>65</v>
      </c>
      <c r="B75" s="2" t="str">
        <f ca="1">IFERROR(__xludf.DUMMYFUNCTION("IF(ISBLANK(A75),"""",GOOGLETRANSLATE(A75,""en"",""de""))"),"Daten- und KI-Dienste")</f>
        <v>Daten- und KI-Dienste</v>
      </c>
    </row>
    <row r="76" spans="1:2" ht="13.2">
      <c r="A76" s="2" t="s">
        <v>66</v>
      </c>
      <c r="B76" s="2" t="str">
        <f ca="1">IFERROR(__xludf.DUMMYFUNCTION("IF(ISBLANK(A76),"""",GOOGLETRANSLATE(A76,""en"",""de""))"),"Cloud-Dienste")</f>
        <v>Cloud-Dienste</v>
      </c>
    </row>
    <row r="77" spans="1:2" ht="13.2">
      <c r="A77" s="2" t="s">
        <v>67</v>
      </c>
      <c r="B77" s="2" t="str">
        <f ca="1">IFERROR(__xludf.DUMMYFUNCTION("IF(ISBLANK(A77),"""",GOOGLETRANSLATE(A77,""en"",""de""))"),"Maßgeschneiderte Entwicklung")</f>
        <v>Maßgeschneiderte Entwicklung</v>
      </c>
    </row>
    <row r="78" spans="1:2" ht="13.2">
      <c r="A78" s="2" t="s">
        <v>68</v>
      </c>
      <c r="B78" s="2" t="str">
        <f ca="1">IFERROR(__xludf.DUMMYFUNCTION("IF(ISBLANK(A78),"""",GOOGLETRANSLATE(A78,""en"",""de""))"),"Unsere Kunden")</f>
        <v>Unsere Kunden</v>
      </c>
    </row>
    <row r="79" spans="1:2" ht="13.2">
      <c r="A79" s="2" t="s">
        <v>69</v>
      </c>
      <c r="B79" s="2" t="str">
        <f ca="1">IFERROR(__xludf.DUMMYFUNCTION("IF(ISBLANK(A79),"""",GOOGLETRANSLATE(A79,""en"",""de""))"),"Orchestrierung von Handel, Intelligenz und Innovation in den Ökosystemen der Vermögensfinanzierung, des Einzelhandels und der Beratung.")</f>
        <v>Orchestrierung von Handel, Intelligenz und Innovation in den Ökosystemen der Vermögensfinanzierung, des Einzelhandels und der Beratung.</v>
      </c>
    </row>
    <row r="80" spans="1:2" ht="13.2">
      <c r="A80" s="2" t="s">
        <v>70</v>
      </c>
      <c r="B80" s="2" t="str">
        <f ca="1">IFERROR(__xludf.DUMMYFUNCTION("IF(ISBLANK(A80),"""",GOOGLETRANSLATE(A80,""en"",""de""))"),"Captives und Kreditgeber")</f>
        <v>Captives und Kreditgeber</v>
      </c>
    </row>
    <row r="81" spans="1:2" ht="13.2">
      <c r="A81" s="2" t="s">
        <v>71</v>
      </c>
      <c r="B81" s="2" t="str">
        <f ca="1">IFERROR(__xludf.DUMMYFUNCTION("IF(ISBLANK(A81),"""",GOOGLETRANSLATE(A81,""en"",""de""))"),"Für Captives und Kreditgeber optimiert unsere sichere Cloud-Plattform die Privat- und Großhandelsfinanzierung. Kreditvergabe, Service und Analysen wurden entwickelt, um elektrische, vernetzte und autonome Fahrzeuge zu unterstützen.")</f>
        <v>Für Captives und Kreditgeber optimiert unsere sichere Cloud-Plattform die Privat- und Großhandelsfinanzierung. Kreditvergabe, Service und Analysen wurden entwickelt, um elektrische, vernetzte und autonome Fahrzeuge zu unterstützen.</v>
      </c>
    </row>
    <row r="82" spans="1:2" ht="13.2">
      <c r="A82" s="2" t="s">
        <v>72</v>
      </c>
      <c r="B82" s="2" t="str">
        <f ca="1">IFERROR(__xludf.DUMMYFUNCTION("IF(ISBLANK(A82),"""",GOOGLETRANSLATE(A82,""en"",""de""))"),"OEMs und Händler")</f>
        <v>OEMs und Händler</v>
      </c>
    </row>
    <row r="83" spans="1:2" ht="13.2">
      <c r="A83" s="2" t="s">
        <v>73</v>
      </c>
      <c r="B83" s="2" t="str">
        <f ca="1">IFERROR(__xludf.DUMMYFUNCTION("IF(ISBLANK(A83),"""",GOOGLETRANSLATE(A83,""en"",""de""))"),"Wir unterstützen OEMs und Händler mit einer zukunftsfähigen Mobilitätsplattform. Vom digitalen Einzelhandel über vernetzte Reisen, Finanzierung, Wartung bis hin zu Elektrofahrzeugen: Alle Kanäle sind vereint und alle Kontaktpunkte optimiert.")</f>
        <v>Wir unterstützen OEMs und Händler mit einer zukunftsfähigen Mobilitätsplattform. Vom digitalen Einzelhandel über vernetzte Reisen, Finanzierung, Wartung bis hin zu Elektrofahrzeugen: Alle Kanäle sind vereint und alle Kontaktpunkte optimiert.</v>
      </c>
    </row>
    <row r="84" spans="1:2" ht="13.2">
      <c r="A84" s="2" t="s">
        <v>74</v>
      </c>
      <c r="B84" s="2" t="str">
        <f ca="1">IFERROR(__xludf.DUMMYFUNCTION("IF(ISBLANK(A84),"""",GOOGLETRANSLATE(A84,""en"",""de""))"),"Broker &amp; Aggregatoren")</f>
        <v>Broker &amp; Aggregatoren</v>
      </c>
    </row>
    <row r="85" spans="1:2" ht="13.2">
      <c r="A85" s="2" t="s">
        <v>75</v>
      </c>
      <c r="B85" s="2" t="str">
        <f ca="1">IFERROR(__xludf.DUMMYFUNCTION("IF(ISBLANK(A85),"""",GOOGLETRANSLATE(A85,""en"",""de""))"),"Geben Sie Maklern und Aggregatoren Tools an die Hand, mit denen sie die Arbeitsabläufe mehrerer Kreditgeber verwalten, die Dokumentation automatisieren und Entscheidungen beschleunigen können, während gleichzeitig die Prüfungsbereitschaft und die betriebl"&amp;"iche Effizienz sichergestellt werden.")</f>
        <v>Geben Sie Maklern und Aggregatoren Tools an die Hand, mit denen sie die Arbeitsabläufe mehrerer Kreditgeber verwalten, die Dokumentation automatisieren und Entscheidungen beschleunigen können, während gleichzeitig die Prüfungsbereitschaft und die betriebliche Effizienz sichergestellt werden.</v>
      </c>
    </row>
    <row r="86" spans="1:2" ht="13.2">
      <c r="A86" s="2" t="s">
        <v>76</v>
      </c>
      <c r="B86" s="2" t="str">
        <f ca="1">IFERROR(__xludf.DUMMYFUNCTION("IF(ISBLANK(A86),"""",GOOGLETRANSLATE(A86,""en"",""de""))"),"Verbinden Sie sich mit uns")</f>
        <v>Verbinden Sie sich mit uns</v>
      </c>
    </row>
    <row r="87" spans="1:2" ht="13.2">
      <c r="A87" s="2" t="s">
        <v>77</v>
      </c>
      <c r="B87" s="2" t="str">
        <f ca="1">IFERROR(__xludf.DUMMYFUNCTION("IF(ISBLANK(A87),"""",GOOGLETRANSLATE(A87,""en"",""de""))"),"Technologiepartner der weltweit führenden Marken")</f>
        <v>Technologiepartner der weltweit führenden Marken</v>
      </c>
    </row>
    <row r="88" spans="1:2" ht="13.2">
      <c r="A88" s="2" t="s">
        <v>78</v>
      </c>
      <c r="B88" s="2" t="str">
        <f ca="1">IFERROR(__xludf.DUMMYFUNCTION("IF(ISBLANK(A88),"""",GOOGLETRANSLATE(A88,""en"",""de""))"),"NETSOL Technologies baut KI-gestützte Ökosysteme, die Finanzen, Handel, Einzelhandel und Service für OEMs, Captives, Banken, unabhängige Finanzunternehmen, Händler und Flotten nahtlos gestalten und es Verbrauchern ermöglichen, Vermögenswerte vertrauensvol"&amp;"l und transparent zu kaufen, zu finanzieren, zu nutzen, zu warten und zu erneuern.")</f>
        <v>NETSOL Technologies baut KI-gestützte Ökosysteme, die Finanzen, Handel, Einzelhandel und Service für OEMs, Captives, Banken, unabhängige Finanzunternehmen, Händler und Flotten nahtlos gestalten und es Verbrauchern ermöglichen, Vermögenswerte vertrauensvoll und transparent zu kaufen, zu finanzieren, zu nutzen, zu warten und zu erneuern.</v>
      </c>
    </row>
    <row r="89" spans="1:2" ht="13.2">
      <c r="A89" s="2" t="s">
        <v>79</v>
      </c>
      <c r="B89" s="2" t="str">
        <f ca="1">IFERROR(__xludf.DUMMYFUNCTION("IF(ISBLANK(A89),"""",GOOGLETRANSLATE(A89,""en"",""de""))"),"Mit über 40 Jahren Erfahrung und Niederlassungen in mehr als 40 Ländern liefern wir sichere, zusammensetzbare Plattformen, die sich nahtlos in Partnersysteme integrieren lassen, den gesamten Lebenszyklus von Anlagen vereinfachen und betriebliche Effizienz"&amp;" im großen Maßstab liefern.")</f>
        <v>Mit über 40 Jahren Erfahrung und Niederlassungen in mehr als 40 Ländern liefern wir sichere, zusammensetzbare Plattformen, die sich nahtlos in Partnersysteme integrieren lassen, den gesamten Lebenszyklus von Anlagen vereinfachen und betriebliche Effizienz im großen Maßstab liefern.</v>
      </c>
    </row>
    <row r="90" spans="1:2" ht="13.2">
      <c r="A90" s="2" t="s">
        <v>80</v>
      </c>
      <c r="B90" s="2" t="str">
        <f ca="1">IFERROR(__xludf.DUMMYFUNCTION("IF(ISBLANK(A90),"""",GOOGLETRANSLATE(A90,""en"",""de""))"),"200+")</f>
        <v>200+</v>
      </c>
    </row>
    <row r="91" spans="1:2" ht="13.2">
      <c r="A91" s="2" t="s">
        <v>81</v>
      </c>
      <c r="B91" s="2" t="str">
        <f ca="1">IFERROR(__xludf.DUMMYFUNCTION("IF(ISBLANK(A91),"""",GOOGLETRANSLATE(A91,""en"",""de""))"),"Kunden weltweit")</f>
        <v>Kunden weltweit</v>
      </c>
    </row>
    <row r="92" spans="1:2" ht="13.2">
      <c r="A92" s="2" t="s">
        <v>82</v>
      </c>
      <c r="B92" s="2" t="str">
        <f ca="1">IFERROR(__xludf.DUMMYFUNCTION("IF(ISBLANK(A92),"""",GOOGLETRANSLATE(A92,""en"",""de""))"),"300+")</f>
        <v>300+</v>
      </c>
    </row>
    <row r="93" spans="1:2" ht="13.2">
      <c r="A93" s="2" t="s">
        <v>83</v>
      </c>
      <c r="B93" s="2" t="str">
        <f ca="1">IFERROR(__xludf.DUMMYFUNCTION("IF(ISBLANK(A93),"""",GOOGLETRANSLATE(A93,""en"",""de""))"),"Erfolgreiche Implementierungen")</f>
        <v>Erfolgreiche Implementierungen</v>
      </c>
    </row>
    <row r="94" spans="1:2" ht="13.2">
      <c r="A94" s="2" t="s">
        <v>84</v>
      </c>
      <c r="B94" s="2" t="str">
        <f ca="1">IFERROR(__xludf.DUMMYFUNCTION("IF(ISBLANK(A94),"""",GOOGLETRANSLATE(A94,""en"",""de""))"),"Über 500 Milliarden US-Dollar")</f>
        <v>Über 500 Milliarden US-Dollar</v>
      </c>
    </row>
    <row r="95" spans="1:2" ht="13.2">
      <c r="A95" s="2" t="s">
        <v>85</v>
      </c>
      <c r="B95" s="2" t="str">
        <f ca="1">IFERROR(__xludf.DUMMYFUNCTION("IF(ISBLANK(A95),"""",GOOGLETRANSLATE(A95,""en"",""de""))"),"Global verwaltetes Vermögen")</f>
        <v>Global verwaltetes Vermögen</v>
      </c>
    </row>
    <row r="96" spans="1:2" ht="13.2">
      <c r="A96" s="2" t="s">
        <v>86</v>
      </c>
      <c r="B96" s="2" t="str">
        <f ca="1">IFERROR(__xludf.DUMMYFUNCTION("IF(ISBLANK(A96),"""",GOOGLETRANSLATE(A96,""en"",""de""))"),"25+")</f>
        <v>25+</v>
      </c>
    </row>
    <row r="97" spans="1:2" ht="13.2">
      <c r="A97" s="2" t="s">
        <v>87</v>
      </c>
      <c r="B97" s="2" t="str">
        <f ca="1">IFERROR(__xludf.DUMMYFUNCTION("IF(ISBLANK(A97),"""",GOOGLETRANSLATE(A97,""en"",""de""))"),"Jahre an der NASDAQ: NTWK")</f>
        <v>Jahre an der NASDAQ: NTWK</v>
      </c>
    </row>
    <row r="98" spans="1:2" ht="13.2">
      <c r="A98" s="2" t="s">
        <v>88</v>
      </c>
      <c r="B98" s="2" t="str">
        <f ca="1">IFERROR(__xludf.DUMMYFUNCTION("IF(ISBLANK(A98),"""",GOOGLETRANSLATE(A98,""en"",""de""))"),"Während sich Geschäftsmodelle, Kanäle und Technologien weiterentwickeln, bleibt unser Engagement konstant: menschenzentrierte Erfahrungen, verantwortungsvolle KI und messbare Ergebnisse.")</f>
        <v>Während sich Geschäftsmodelle, Kanäle und Technologien weiterentwickeln, bleibt unser Engagement konstant: menschenzentrierte Erfahrungen, verantwortungsvolle KI und messbare Ergebnisse.</v>
      </c>
    </row>
    <row r="99" spans="1:2" ht="13.2">
      <c r="A99" s="2" t="s">
        <v>89</v>
      </c>
      <c r="B99" s="2" t="str">
        <f ca="1">IFERROR(__xludf.DUMMYFUNCTION("IF(ISBLANK(A99),"""",GOOGLETRANSLATE(A99,""en"",""de""))"),"Über die Software hinaus arbeiten wir als strategischer Partner und bieten umfassende Fachkompetenz, Implementierungsunterstützung und Prozessoptimierung, um unseren Kunden dabei zu helfen, selbstbewusst zu modernisieren.")</f>
        <v>Über die Software hinaus arbeiten wir als strategischer Partner und bieten umfassende Fachkompetenz, Implementierungsunterstützung und Prozessoptimierung, um unseren Kunden dabei zu helfen, selbstbewusst zu modernisieren.</v>
      </c>
    </row>
    <row r="100" spans="1:2" ht="13.2">
      <c r="A100" s="18" t="s">
        <v>90</v>
      </c>
      <c r="B100" s="2" t="str">
        <f ca="1">IFERROR(__xludf.DUMMYFUNCTION("IF(ISBLANK(A100),"""",GOOGLETRANSLATE(A100,""en"",""de""))"),"MINI geht Partnerschaft mit NETSOL ein, um eine neue Ära des Autohandelserlebnisses einzuläuten")</f>
        <v>MINI geht Partnerschaft mit NETSOL ein, um eine neue Ära des Autohandelserlebnisses einzuläuten</v>
      </c>
    </row>
    <row r="101" spans="1:2" ht="13.2">
      <c r="A101" s="2" t="s">
        <v>91</v>
      </c>
      <c r="B101" s="2" t="str">
        <f ca="1">IFERROR(__xludf.DUMMYFUNCTION("IF(ISBLANK(A101),"""",GOOGLETRANSLATE(A101,""en"",""de""))"),"Bei MINI haben wir beschlossen, dass es an der Zeit ist, ein durchgängiges Kauf- und Finanzierungserlebnis für den Verbraucher zu schaffen. Dabei war es wichtig, mehr als nur einen Lead-Generator zu schaffen, um die komplette Transaktion für jeden MINI-Ku"&amp;"nden jederzeit und überall zu ermöglichen. Unsere Partnerschaft mit NETSOL hat es uns ermöglicht, nicht nur zu den Branchenführern aufzuschließen, sondern auch neue Maßstäbe im digitalen Autohandel zu setzen, die die üblichen Verdächtigen der Branche nich"&amp;"t bieten konnten.“")</f>
        <v>Bei MINI haben wir beschlossen, dass es an der Zeit ist, ein durchgängiges Kauf- und Finanzierungserlebnis für den Verbraucher zu schaffen. Dabei war es wichtig, mehr als nur einen Lead-Generator zu schaffen, um die komplette Transaktion für jeden MINI-Kunden jederzeit und überall zu ermöglichen. Unsere Partnerschaft mit NETSOL hat es uns ermöglicht, nicht nur zu den Branchenführern aufzuschließen, sondern auch neue Maßstäbe im digitalen Autohandel zu setzen, die die üblichen Verdächtigen der Branche nicht bieten konnten.“</v>
      </c>
    </row>
    <row r="102" spans="1:2" ht="13.2">
      <c r="A102" s="2" t="s">
        <v>92</v>
      </c>
      <c r="B102" s="2" t="str">
        <f ca="1">IFERROR(__xludf.DUMMYFUNCTION("IF(ISBLANK(A102),"""",GOOGLETRANSLATE(A102,""en"",""de""))"),"Mike Peyton")</f>
        <v>Mike Peyton</v>
      </c>
    </row>
    <row r="103" spans="1:2" ht="13.2">
      <c r="A103" s="2" t="s">
        <v>93</v>
      </c>
      <c r="B103" s="2" t="str">
        <f ca="1">IFERROR(__xludf.DUMMYFUNCTION("IF(ISBLANK(A103),"""",GOOGLETRANSLATE(A103,""en"",""de""))"),"Chefmotorist und Sprecher von MINI of the Americas")</f>
        <v>Chefmotorist und Sprecher von MINI of the Americas</v>
      </c>
    </row>
    <row r="104" spans="1:2" ht="13.2">
      <c r="A104" s="2" t="s">
        <v>94</v>
      </c>
      <c r="B104" s="2" t="str">
        <f ca="1">IFERROR(__xludf.DUMMYFUNCTION("IF(ISBLANK(A104),"""",GOOGLETRANSLATE(A104,""en"",""de""))"),"Ikano Bank verschafft sich mit NETSOL einen Wettbewerbsvorteil")</f>
        <v>Ikano Bank verschafft sich mit NETSOL einen Wettbewerbsvorteil</v>
      </c>
    </row>
    <row r="105" spans="1:2" ht="13.2">
      <c r="A105" s="2" t="s">
        <v>95</v>
      </c>
      <c r="B105" s="2" t="str">
        <f ca="1">IFERROR(__xludf.DUMMYFUNCTION("IF(ISBLANK(A105),"""",GOOGLETRANSLATE(A105,""en"",""de""))"),"„Wir freuen uns über die Zusammenarbeit mit NETSOL als unserem strategischen Plattformpartner. Die intelligenten Technologielösungen von NETSOL sind im Finanz- und Leasingbereich anerkannt und der Einsatz von Transcend Finance (ehemals Ascent) ermöglicht "&amp;"es uns, auf dem heutigen, hochdynamischen Markt einen Wettbewerbsvorteil zu behalten. Mit seinen leistungsstarken Konfigurations-Engines wird Ascent unsere Prozesse rationalisieren, eine schnellere Einbindung neuer Partner ermöglichen und die Einführung n"&amp;"euer Produkte in allen Märkten beschleunigen.“")</f>
        <v>„Wir freuen uns über die Zusammenarbeit mit NETSOL als unserem strategischen Plattformpartner. Die intelligenten Technologielösungen von NETSOL sind im Finanz- und Leasingbereich anerkannt und der Einsatz von Transcend Finance (ehemals Ascent) ermöglicht es uns, auf dem heutigen, hochdynamischen Markt einen Wettbewerbsvorteil zu behalten. Mit seinen leistungsstarken Konfigurations-Engines wird Ascent unsere Prozesse rationalisieren, eine schnellere Einbindung neuer Partner ermöglichen und die Einführung neuer Produkte in allen Märkten beschleunigen.“</v>
      </c>
    </row>
    <row r="106" spans="1:2" ht="13.2">
      <c r="A106" s="2" t="s">
        <v>96</v>
      </c>
      <c r="B106" s="2" t="str">
        <f ca="1">IFERROR(__xludf.DUMMYFUNCTION("IF(ISBLANK(A106),"""",GOOGLETRANSLATE(A106,""en"",""de""))"),"Henrik Staulund Chief Commercial Officer der Ikano Bank")</f>
        <v>Henrik Staulund Chief Commercial Officer der Ikano Bank</v>
      </c>
    </row>
    <row r="107" spans="1:2" ht="13.2">
      <c r="A107" s="2" t="s">
        <v>97</v>
      </c>
      <c r="B107" s="2" t="str">
        <f ca="1">IFERROR(__xludf.DUMMYFUNCTION("IF(ISBLANK(A107),"""",GOOGLETRANSLATE(A107,""en"",""de""))"),"Haydock Financial ist mit dem Marktplatz von NETSOL erfolgreich")</f>
        <v>Haydock Financial ist mit dem Marktplatz von NETSOL erfolgreich</v>
      </c>
    </row>
    <row r="108" spans="1:2" ht="13.2">
      <c r="A108" s="2" t="s">
        <v>98</v>
      </c>
      <c r="B108" s="2" t="str">
        <f ca="1">IFERROR(__xludf.DUMMYFUNCTION("IF(ISBLANK(A108),"""",GOOGLETRANSLATE(A108,""en"",""de""))"),"„Ich kann sowohl Appex Now als auch NETSOL uneingeschränkt empfehlen. Die Produkte sind brillant. Sie funktionieren fantastisch. Und NETSOL ist auf unsere Bedürfnisse eingegangen und hat alle gewünschten Änderungen schnell vorgenommen.“")</f>
        <v>„Ich kann sowohl Appex Now als auch NETSOL uneingeschränkt empfehlen. Die Produkte sind brillant. Sie funktionieren fantastisch. Und NETSOL ist auf unsere Bedürfnisse eingegangen und hat alle gewünschten Änderungen schnell vorgenommen.“</v>
      </c>
    </row>
    <row r="109" spans="1:2" ht="13.2">
      <c r="A109" s="2" t="s">
        <v>99</v>
      </c>
      <c r="B109" s="2" t="str">
        <f ca="1">IFERROR(__xludf.DUMMYFUNCTION("IF(ISBLANK(A109),"""",GOOGLETRANSLATE(A109,""en"",""de""))"),"Mike Boyes")</f>
        <v>Mike Boyes</v>
      </c>
    </row>
    <row r="110" spans="1:2" ht="13.2">
      <c r="A110" s="2" t="s">
        <v>100</v>
      </c>
      <c r="B110" s="2" t="str">
        <f ca="1">IFERROR(__xludf.DUMMYFUNCTION("IF(ISBLANK(A110),"""",GOOGLETRANSLATE(A110,""en"",""de""))"),"Empfohlene Lektüre und Einblicke")</f>
        <v>Empfohlene Lektüre und Einblicke</v>
      </c>
    </row>
    <row r="111" spans="1:2" ht="13.2">
      <c r="A111" s="2" t="s">
        <v>101</v>
      </c>
      <c r="B111" s="2" t="str">
        <f ca="1">IFERROR(__xludf.DUMMYFUNCTION("IF(ISBLANK(A111),"""",GOOGLETRANSLATE(A111,""en"",""de""))"),"Bleiben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112" spans="1:2" ht="13.2">
      <c r="A112" s="2" t="s">
        <v>102</v>
      </c>
      <c r="B112" s="2" t="str">
        <f ca="1">IFERROR(__xludf.DUMMYFUNCTION("IF(ISBLANK(A112),"""",GOOGLETRANSLATE(A112,""en"",""de""))"),"Der Blog")</f>
        <v>Der Blog</v>
      </c>
    </row>
    <row r="113" spans="1:2" ht="13.2">
      <c r="A113" s="18" t="s">
        <v>103</v>
      </c>
      <c r="B113" s="2" t="str">
        <f ca="1">IFERROR(__xludf.DUMMYFUNCTION("IF(ISBLANK(A113),"""",GOOGLETRANSLATE(A113,""en"",""de""))"),"Über das DMS hinaus: Warum die Zukunft des Automobilhandels API-first ist")</f>
        <v>Über das DMS hinaus: Warum die Zukunft des Automobilhandels API-first ist</v>
      </c>
    </row>
    <row r="114" spans="1:2" ht="13.2">
      <c r="B114" s="2" t="str">
        <f ca="1">IFERROR(__xludf.DUMMYFUNCTION("IF(ISBLANK(A114),"""",GOOGLETRANSLATE(A114,""en"",""de""))"),"")</f>
        <v/>
      </c>
    </row>
    <row r="115" spans="1:2" ht="13.2">
      <c r="B115" s="2" t="str">
        <f ca="1">IFERROR(__xludf.DUMMYFUNCTION("IF(ISBLANK(A115),"""",GOOGLETRANSLATE(A115,""en"",""de""))"),"")</f>
        <v/>
      </c>
    </row>
    <row r="116" spans="1:2" ht="13.2">
      <c r="A116" s="18" t="s">
        <v>104</v>
      </c>
      <c r="B116" s="2" t="str">
        <f ca="1">IFERROR(__xludf.DUMMYFUNCTION("IF(ISBLANK(A116),"""",GOOGLETRANSLATE(A116,""en"",""de""))"),"NETSOL ist auf der GlobalData Automotive Europe Conference and Awards 2025")</f>
        <v>NETSOL ist auf der GlobalData Automotive Europe Conference and Awards 2025</v>
      </c>
    </row>
    <row r="117" spans="1:2" ht="13.2">
      <c r="B117" s="2" t="str">
        <f ca="1">IFERROR(__xludf.DUMMYFUNCTION("IF(ISBLANK(A117),"""",GOOGLETRANSLATE(A117,""en"",""de""))"),"")</f>
        <v/>
      </c>
    </row>
    <row r="118" spans="1:2" ht="13.2">
      <c r="B118" s="2" t="str">
        <f ca="1">IFERROR(__xludf.DUMMYFUNCTION("IF(ISBLANK(A118),"""",GOOGLETRANSLATE(A118,""en"",""de""))"),"")</f>
        <v/>
      </c>
    </row>
    <row r="119" spans="1:2" ht="13.2">
      <c r="A119" s="18" t="s">
        <v>105</v>
      </c>
      <c r="B119" s="2" t="str">
        <f ca="1">IFERROR(__xludf.DUMMYFUNCTION("IF(ISBLANK(A119),"""",GOOGLETRANSLATE(A119,""en"",""de""))"),"NETSOL ist auf dem 25. jährlichen Auto Finance Summit: Die Zukunft der Autofinanzierung vorantreiben")</f>
        <v>NETSOL ist auf dem 25. jährlichen Auto Finance Summit: Die Zukunft der Autofinanzierung vorantreiben</v>
      </c>
    </row>
    <row r="120" spans="1:2" ht="13.2">
      <c r="B120" s="2" t="str">
        <f ca="1">IFERROR(__xludf.DUMMYFUNCTION("IF(ISBLANK(A120),"""",GOOGLETRANSLATE(A120,""en"",""de""))"),"")</f>
        <v/>
      </c>
    </row>
    <row r="121" spans="1:2" ht="13.2">
      <c r="B121" s="2" t="str">
        <f ca="1">IFERROR(__xludf.DUMMYFUNCTION("IF(ISBLANK(A121),"""",GOOGLETRANSLATE(A121,""en"",""de""))"),"")</f>
        <v/>
      </c>
    </row>
    <row r="122" spans="1:2" ht="13.2">
      <c r="A122" s="18" t="s">
        <v>106</v>
      </c>
      <c r="B122" s="2" t="str">
        <f ca="1">IFERROR(__xludf.DUMMYFUNCTION("IF(ISBLANK(A122),"""",GOOGLETRANSLATE(A122,""en"",""de""))"),"NETSOL ist beim Digital Dealer 2025 dabei: Wir stärken die Zukunft des Automobilhandels")</f>
        <v>NETSOL ist beim Digital Dealer 2025 dabei: Wir stärken die Zukunft des Automobilhandels</v>
      </c>
    </row>
    <row r="123" spans="1:2" ht="13.2">
      <c r="B123" s="2" t="str">
        <f ca="1">IFERROR(__xludf.DUMMYFUNCTION("IF(ISBLANK(A123),"""",GOOGLETRANSLATE(A123,""en"",""de""))"),"")</f>
        <v/>
      </c>
    </row>
    <row r="124" spans="1:2" ht="13.2">
      <c r="B124" s="2" t="str">
        <f ca="1">IFERROR(__xludf.DUMMYFUNCTION("IF(ISBLANK(A124),"""",GOOGLETRANSLATE(A124,""en"",""de""))"),"")</f>
        <v/>
      </c>
    </row>
    <row r="125" spans="1:2" ht="13.2">
      <c r="A125" s="19" t="s">
        <v>107</v>
      </c>
      <c r="B125" s="2" t="str">
        <f ca="1">IFERROR(__xludf.DUMMYFUNCTION("IF(ISBLANK(A125),"""",GOOGLETRANSLATE(A125,""en"",""de""))"),"KI im BFSI: Revolutionierung des Risikomanagements")</f>
        <v>KI im BFSI: Revolutionierung des Risikomanagements</v>
      </c>
    </row>
    <row r="126" spans="1:2" ht="13.2">
      <c r="B126" s="2" t="str">
        <f ca="1">IFERROR(__xludf.DUMMYFUNCTION("IF(ISBLANK(A126),"""",GOOGLETRANSLATE(A126,""en"",""de""))"),"")</f>
        <v/>
      </c>
    </row>
    <row r="127" spans="1:2" ht="13.2">
      <c r="B127" s="2" t="str">
        <f ca="1">IFERROR(__xludf.DUMMYFUNCTION("IF(ISBLANK(A127),"""",GOOGLETRANSLATE(A127,""en"",""de""))"),"")</f>
        <v/>
      </c>
    </row>
    <row r="128" spans="1:2" ht="13.2">
      <c r="A128" s="18" t="s">
        <v>108</v>
      </c>
      <c r="B128" s="2" t="str">
        <f ca="1">IFERROR(__xludf.DUMMYFUNCTION("IF(ISBLANK(A128),"""",GOOGLETRANSLATE(A128,""en"",""de""))"),"Die Bedeutung der Personalisierung im Kundenservice: Maßgeschneidertes Zahlungs- und Streitbeilegungsmanagement für Kunden")</f>
        <v>Die Bedeutung der Personalisierung im Kundenservice: Maßgeschneidertes Zahlungs- und Streitbeilegungsmanagement für Kunden</v>
      </c>
    </row>
    <row r="129" spans="1:2" ht="13.2">
      <c r="B129" s="2" t="str">
        <f ca="1">IFERROR(__xludf.DUMMYFUNCTION("IF(ISBLANK(A129),"""",GOOGLETRANSLATE(A129,""en"",""de""))"),"")</f>
        <v/>
      </c>
    </row>
    <row r="130" spans="1:2" ht="13.2">
      <c r="B130" s="2" t="str">
        <f ca="1">IFERROR(__xludf.DUMMYFUNCTION("IF(ISBLANK(A130),"""",GOOGLETRANSLATE(A130,""en"",""de""))"),"")</f>
        <v/>
      </c>
    </row>
    <row r="131" spans="1:2" ht="13.2">
      <c r="A131" s="18" t="s">
        <v>109</v>
      </c>
      <c r="B131" s="2" t="str">
        <f ca="1">IFERROR(__xludf.DUMMYFUNCTION("IF(ISBLANK(A131),"""",GOOGLETRANSLATE(A131,""en"",""de""))"),"Die wahren Kosten getrennter Systeme im Autohandel")</f>
        <v>Die wahren Kosten getrennter Systeme im Autohandel</v>
      </c>
    </row>
    <row r="132" spans="1:2" ht="13.2">
      <c r="B132" s="2" t="str">
        <f ca="1">IFERROR(__xludf.DUMMYFUNCTION("IF(ISBLANK(A132),"""",GOOGLETRANSLATE(A132,""en"",""de""))"),"")</f>
        <v/>
      </c>
    </row>
    <row r="133" spans="1:2" ht="13.2">
      <c r="B133" s="2" t="str">
        <f ca="1">IFERROR(__xludf.DUMMYFUNCTION("IF(ISBLANK(A133),"""",GOOGLETRANSLATE(A133,""en"",""de""))"),"")</f>
        <v/>
      </c>
    </row>
    <row r="134" spans="1:2" ht="13.2">
      <c r="A134" s="18" t="s">
        <v>110</v>
      </c>
      <c r="B134" s="2" t="str">
        <f ca="1">IFERROR(__xludf.DUMMYFUNCTION("IF(ISBLANK(A134),"""",GOOGLETRANSLATE(A134,""en"",""de""))"),"Captive der Zukunft: Wie Technologie Captive-Finanzierungsgeschäfte neu definiert – Wichtige Erkenntnisse aus dem Webinar der AFSA")</f>
        <v>Captive der Zukunft: Wie Technologie Captive-Finanzierungsgeschäfte neu definiert – Wichtige Erkenntnisse aus dem Webinar der AFSA</v>
      </c>
    </row>
    <row r="135" spans="1:2" ht="13.2">
      <c r="B135" s="2" t="str">
        <f ca="1">IFERROR(__xludf.DUMMYFUNCTION("IF(ISBLANK(A135),"""",GOOGLETRANSLATE(A135,""en"",""de""))"),"")</f>
        <v/>
      </c>
    </row>
    <row r="136" spans="1:2" ht="13.2">
      <c r="B136" s="2" t="str">
        <f ca="1">IFERROR(__xludf.DUMMYFUNCTION("IF(ISBLANK(A136),"""",GOOGLETRANSLATE(A136,""en"",""de""))"),"")</f>
        <v/>
      </c>
    </row>
    <row r="137" spans="1:2" ht="13.2">
      <c r="A137" s="18" t="s">
        <v>111</v>
      </c>
      <c r="B137" s="2" t="str">
        <f ca="1">IFERROR(__xludf.DUMMYFUNCTION("IF(ISBLANK(A137),"""",GOOGLETRANSLATE(A137,""en"",""de""))"),"Betrugsbekämpfung im Großkundengeschäft: Technologie zur Früherkennung und Risikominderung")</f>
        <v>Betrugsbekämpfung im Großkundengeschäft: Technologie zur Früherkennung und Risikominderung</v>
      </c>
    </row>
    <row r="138" spans="1:2" ht="13.2">
      <c r="B138" s="2" t="str">
        <f ca="1">IFERROR(__xludf.DUMMYFUNCTION("IF(ISBLANK(A138),"""",GOOGLETRANSLATE(A138,""en"",""de""))"),"")</f>
        <v/>
      </c>
    </row>
    <row r="139" spans="1:2" ht="13.2">
      <c r="A139" s="2" t="s">
        <v>112</v>
      </c>
      <c r="B139" s="2" t="str">
        <f ca="1">IFERROR(__xludf.DUMMYFUNCTION("IF(ISBLANK(A139),"""",GOOGLETRANSLATE(A139,""en"",""de""))"),"Reden wir darüber, was als nächstes kommt")</f>
        <v>Reden wir darüber, was als nächstes kommt</v>
      </c>
    </row>
    <row r="140" spans="1:2" ht="13.2">
      <c r="A140" s="2" t="s">
        <v>113</v>
      </c>
      <c r="B140" s="2" t="str">
        <f ca="1">IFERROR(__xludf.DUMMYFUNCTION("IF(ISBLANK(A140),"""",GOOGLETRANSLATE(A140,""en"",""de""))"),"Überdenken Sie, was Ihr Unternehmen mit dem richtigen Partner an Ihrer Seite erreichen kann.")</f>
        <v>Überdenken Sie, was Ihr Unternehmen mit dem richtigen Partner an Ihrer Seite erreichen kann.</v>
      </c>
    </row>
    <row r="141" spans="1:2" ht="13.2">
      <c r="B141" s="2" t="str">
        <f ca="1">IFERROR(__xludf.DUMMYFUNCTION("IF(ISBLANK(A141),"""",GOOGLETRANSLATE(A141,""en"",""de""))"),"")</f>
        <v/>
      </c>
    </row>
    <row r="142" spans="1:2" ht="13.2">
      <c r="A142" s="2" t="s">
        <v>114</v>
      </c>
      <c r="B142" s="2" t="str">
        <f ca="1">IFERROR(__xludf.DUMMYFUNCTION("IF(ISBLANK(A142),"""",GOOGLETRANSLATE(A142,""en"",""de""))"),"Abonnieren Sie unseren Newsletter, um die neuesten Nachrichten in Ihrem Posteingang zu erhalten.")</f>
        <v>Abonnieren Sie unseren Newsletter, um die neuesten Nachrichten in Ihrem Posteingang zu erhalten.</v>
      </c>
    </row>
    <row r="143" spans="1:2" ht="13.2">
      <c r="A143" s="2" t="s">
        <v>115</v>
      </c>
      <c r="B143" s="2" t="str">
        <f ca="1">IFERROR(__xludf.DUMMYFUNCTION("IF(ISBLANK(A143),"""",GOOGLETRANSLATE(A143,""en"",""de""))"),"abc@example.com")</f>
        <v>abc@example.com</v>
      </c>
    </row>
    <row r="144" spans="1:2" ht="13.2">
      <c r="A144" s="2" t="s">
        <v>116</v>
      </c>
      <c r="B144" s="2" t="str">
        <f ca="1">IFERROR(__xludf.DUMMYFUNCTION("IF(ISBLANK(A144),"""",GOOGLETRANSLATE(A144,""en"",""de""))"),"Abonnieren ")</f>
        <v xml:space="preserve">Abonnieren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63"/>
  <sheetViews>
    <sheetView topLeftCell="A39" workbookViewId="0">
      <selection activeCell="A49" sqref="A49"/>
    </sheetView>
  </sheetViews>
  <sheetFormatPr defaultColWidth="12.5546875" defaultRowHeight="15.75" customHeight="1"/>
  <cols>
    <col min="1" max="1" width="76" customWidth="1"/>
    <col min="2" max="2" width="22.88671875" customWidth="1"/>
  </cols>
  <sheetData>
    <row r="1" spans="1:2" ht="13.2">
      <c r="A1" s="1" t="s">
        <v>0</v>
      </c>
      <c r="B1" s="2" t="s">
        <v>1</v>
      </c>
    </row>
    <row r="2" spans="1:2" ht="15.75" customHeight="1">
      <c r="A2" s="2" t="s">
        <v>117</v>
      </c>
      <c r="B2" s="2" t="str">
        <f ca="1">IFERROR(__xludf.DUMMYFUNCTION("IF(ISBLANK(A2),"""",GOOGLETRANSLATE(A2,""en"",""de""))"),"NETSOL")</f>
        <v>NETSOL</v>
      </c>
    </row>
    <row r="3" spans="1:2" ht="15.75" customHeight="1">
      <c r="A3" s="2" t="s">
        <v>118</v>
      </c>
      <c r="B3" s="2" t="str">
        <f ca="1">IFERROR(__xludf.DUMMYFUNCTION("IF(ISBLANK(A3),"""",GOOGLETRANSLATE(A3,""en"",""de""))"),"Plattform")</f>
        <v>Plattform</v>
      </c>
    </row>
    <row r="4" spans="1:2" ht="15.75" customHeight="1">
      <c r="A4" s="2" t="s">
        <v>119</v>
      </c>
      <c r="B4" s="2" t="str">
        <f ca="1">IFERROR(__xludf.DUMMYFUNCTION("IF(ISBLANK(A4),"""",GOOGLETRANSLATE(A4,""en"",""de""))"),"Überblick")</f>
        <v>Überblick</v>
      </c>
    </row>
    <row r="5" spans="1:2" ht="15.75" customHeight="1">
      <c r="A5" s="2" t="s">
        <v>18</v>
      </c>
      <c r="B5" s="2" t="str">
        <f ca="1">IFERROR(__xludf.DUMMYFUNCTION("IF(ISBLANK(A5),"""",GOOGLETRANSLATE(A5,""en"",""de""))"),"Transcend-Plattform")</f>
        <v>Transcend-Plattform</v>
      </c>
    </row>
    <row r="6" spans="1:2" ht="15.75" customHeight="1">
      <c r="A6" s="2" t="s">
        <v>120</v>
      </c>
      <c r="B6" s="2" t="str">
        <f ca="1">IFERROR(__xludf.DUMMYFUNCTION("IF(ISBLANK(A6),"""",GOOGLETRANSLATE(A6,""en"",""de""))"),"Zusammensetzbares KI-Ökosystem zur Orchestrierung der globalen Vermögens- und Einzelhandelsfinanzierung")</f>
        <v>Zusammensetzbares KI-Ökosystem zur Orchestrierung der globalen Vermögens- und Einzelhandelsfinanzierung</v>
      </c>
    </row>
    <row r="7" spans="1:2" ht="15.75" customHeight="1">
      <c r="A7" s="2" t="s">
        <v>121</v>
      </c>
      <c r="B7" s="2" t="str">
        <f ca="1">IFERROR(__xludf.DUMMYFUNCTION("IF(ISBLANK(A7),"""",GOOGLETRANSLATE(A7,""en"",""de""))"),"Digitaler Einzelhandel")</f>
        <v>Digitaler Einzelhandel</v>
      </c>
    </row>
    <row r="8" spans="1:2" ht="13.2">
      <c r="A8" s="6" t="s">
        <v>122</v>
      </c>
      <c r="B8" s="2" t="str">
        <f ca="1">IFERROR(__xludf.DUMMYFUNCTION("IF(ISBLANK(A8),"""",GOOGLETRANSLATE(A8,""en"",""de""))"),"Neudefinition des Autohandels durch vernetzte Daten und intelligente Arbeitsabläufe")</f>
        <v>Neudefinition des Autohandels durch vernetzte Daten und intelligente Arbeitsabläufe</v>
      </c>
    </row>
    <row r="9" spans="1:2" ht="13.2">
      <c r="A9" s="6" t="s">
        <v>123</v>
      </c>
      <c r="B9" s="2" t="str">
        <f ca="1">IFERROR(__xludf.DUMMYFUNCTION("IF(ISBLANK(A9),"""",GOOGLETRANSLATE(A9,""en"",""de""))"),"Vermittlungsportale")</f>
        <v>Vermittlungsportale</v>
      </c>
    </row>
    <row r="10" spans="1:2" ht="15.75" customHeight="1">
      <c r="A10" s="2" t="s">
        <v>124</v>
      </c>
      <c r="B10" s="2" t="str">
        <f ca="1">IFERROR(__xludf.DUMMYFUNCTION("IF(ISBLANK(A10),"""",GOOGLETRANSLATE(A10,""en"",""de""))"),"Markenspezifische digitale Gateways, die Partner, Kanäle und Kunden vereinen")</f>
        <v>Markenspezifische digitale Gateways, die Partner, Kanäle und Kunden vereinen</v>
      </c>
    </row>
    <row r="11" spans="1:2" ht="13.2">
      <c r="A11" s="6" t="s">
        <v>125</v>
      </c>
      <c r="B11" s="2" t="str">
        <f ca="1">IFERROR(__xludf.DUMMYFUNCTION("IF(ISBLANK(A11),"""",GOOGLETRANSLATE(A11,""en"",""de""))"),"Kreditanbahnung")</f>
        <v>Kreditanbahnung</v>
      </c>
    </row>
    <row r="12" spans="1:2" ht="15.75" customHeight="1">
      <c r="A12" s="2" t="s">
        <v>126</v>
      </c>
      <c r="B12" s="2" t="str">
        <f ca="1">IFERROR(__xludf.DUMMYFUNCTION("IF(ISBLANK(A12),"""",GOOGLETRANSLATE(A12,""en"",""de""))"),"Erleben Sie die Zukunft der Leasing- und Kreditvergabe mit agilen, intuitiven und kanalübergreifenden Plattformen")</f>
        <v>Erleben Sie die Zukunft der Leasing- und Kreditvergabe mit agilen, intuitiven und kanalübergreifenden Plattformen</v>
      </c>
    </row>
    <row r="13" spans="1:2" ht="13.2">
      <c r="A13" s="6" t="s">
        <v>127</v>
      </c>
      <c r="B13" s="2" t="str">
        <f ca="1">IFERROR(__xludf.DUMMYFUNCTION("IF(ISBLANK(A13),"""",GOOGLETRANSLATE(A13,""en"",""de""))"),"Vertragsverwaltung")</f>
        <v>Vertragsverwaltung</v>
      </c>
    </row>
    <row r="14" spans="1:2" ht="13.2">
      <c r="A14" s="6" t="s">
        <v>128</v>
      </c>
      <c r="B14" s="2" t="str">
        <f ca="1">IFERROR(__xludf.DUMMYFUNCTION("IF(ISBLANK(A14),"""",GOOGLETRANSLATE(A14,""en"",""de""))"),"Adaptives Vertragsverwaltungs-Framework verbessert die Effizienz und die Einblicke in den Lebenszyklus")</f>
        <v>Adaptives Vertragsverwaltungs-Framework verbessert die Effizienz und die Einblicke in den Lebenszyklus</v>
      </c>
    </row>
    <row r="15" spans="1:2" ht="13.2">
      <c r="A15" s="6" t="s">
        <v>129</v>
      </c>
      <c r="B15" s="2" t="str">
        <f ca="1">IFERROR(__xludf.DUMMYFUNCTION("IF(ISBLANK(A15),"""",GOOGLETRANSLATE(A15,""en"",""de""))"),"Großhandelsfinanzierung")</f>
        <v>Großhandelsfinanzierung</v>
      </c>
    </row>
    <row r="16" spans="1:2" ht="13.2">
      <c r="A16" s="6" t="s">
        <v>130</v>
      </c>
      <c r="B16" s="2" t="str">
        <f ca="1">IFERROR(__xludf.DUMMYFUNCTION("IF(ISBLANK(A16),"""",GOOGLETRANSLATE(A16,""en"",""de""))"),"Dynamische Finanzinfrastruktur als Grundlage für widerstandsfähige Händler-Ökosysteme")</f>
        <v>Dynamische Finanzinfrastruktur als Grundlage für widerstandsfähige Händler-Ökosysteme</v>
      </c>
    </row>
    <row r="17" spans="1:2" ht="13.2">
      <c r="A17" s="6" t="s">
        <v>131</v>
      </c>
      <c r="B17" s="2" t="str">
        <f ca="1">IFERROR(__xludf.DUMMYFUNCTION("IF(ISBLANK(A17),"""",GOOGLETRANSLATE(A17,""en"",""de""))"),"Mobilitätslösungen")</f>
        <v>Mobilitätslösungen</v>
      </c>
    </row>
    <row r="18" spans="1:2" ht="13.2">
      <c r="A18" s="6" t="s">
        <v>132</v>
      </c>
      <c r="B18" s="2" t="str">
        <f ca="1">IFERROR(__xludf.DUMMYFUNCTION("IF(ISBLANK(A18),"""",GOOGLETRANSLATE(A18,""en"",""de""))"),"Mobilität weiterentwickeln mit modularen, datengesteuerten digitalen Frameworks")</f>
        <v>Mobilität weiterentwickeln mit modularen, datengesteuerten digitalen Frameworks</v>
      </c>
    </row>
    <row r="19" spans="1:2" ht="15.75" customHeight="1">
      <c r="A19" s="2" t="s">
        <v>44</v>
      </c>
      <c r="B19" s="2" t="str">
        <f ca="1">IFERROR(__xludf.DUMMYFUNCTION("IF(ISBLANK(A19),"""",GOOGLETRANSLATE(A19,""en"",""de""))"),"KI-Labore")</f>
        <v>KI-Labore</v>
      </c>
    </row>
    <row r="20" spans="1:2" ht="15.75" customHeight="1">
      <c r="A20" s="2" t="s">
        <v>133</v>
      </c>
      <c r="B20" s="2" t="str">
        <f ca="1">IFERROR(__xludf.DUMMYFUNCTION("IF(ISBLANK(A20),"""",GOOGLETRANSLATE(A20,""en"",""de""))"),"Angewandte Intelligenz beschleunigt die Transformation zwischen Preisen und das Vertrauen")</f>
        <v>Angewandte Intelligenz beschleunigt die Transformation zwischen Preisen und das Vertrauen</v>
      </c>
    </row>
    <row r="21" spans="1:2" ht="15.75" customHeight="1">
      <c r="A21" s="2" t="s">
        <v>134</v>
      </c>
      <c r="B21" s="2" t="str">
        <f ca="1">IFERROR(__xludf.DUMMYFUNCTION("IF(ISBLANK(A21),"""",GOOGLETRANSLATE(A21,""en"",""de""))"),"Marktplatz")</f>
        <v>Marktplatz</v>
      </c>
    </row>
    <row r="22" spans="1:2" ht="15.75" customHeight="1">
      <c r="B22" s="2" t="str">
        <f ca="1">IFERROR(__xludf.DUMMYFUNCTION("IF(ISBLANK(A22),"""",GOOGLETRANSLATE(A22,""en"",""de""))"),"")</f>
        <v/>
      </c>
    </row>
    <row r="23" spans="1:2" ht="15.75" customHeight="1">
      <c r="A23" s="2" t="s">
        <v>119</v>
      </c>
      <c r="B23" s="2" t="str">
        <f ca="1">IFERROR(__xludf.DUMMYFUNCTION("IF(ISBLANK(A23),"""",GOOGLETRANSLATE(A23,""en"",""de""))"),"Überblick")</f>
        <v>Überblick</v>
      </c>
    </row>
    <row r="24" spans="1:2" ht="13.2">
      <c r="A24" s="2" t="s">
        <v>61</v>
      </c>
      <c r="B24" s="2" t="str">
        <f ca="1">IFERROR(__xludf.DUMMYFUNCTION("IF(ISBLANK(A24),"""",GOOGLETRANSLATE(A24,""en"",""de""))"),"Beratung")</f>
        <v>Beratung</v>
      </c>
    </row>
    <row r="25" spans="1:2" ht="13.2">
      <c r="A25" s="7" t="s">
        <v>135</v>
      </c>
      <c r="B25" s="2" t="str">
        <f ca="1">IFERROR(__xludf.DUMMYFUNCTION("IF(ISBLANK(A25),"""",GOOGLETRANSLATE(A25,""en"",""de""))"),"Lebenszyklusberatung für BFSI, die den ROI steigert")</f>
        <v>Lebenszyklusberatung für BFSI, die den ROI steigert</v>
      </c>
    </row>
    <row r="26" spans="1:2" ht="13.2">
      <c r="A26" s="6" t="s">
        <v>64</v>
      </c>
      <c r="B26" s="2" t="str">
        <f ca="1">IFERROR(__xludf.DUMMYFUNCTION("IF(ISBLANK(A26),"""",GOOGLETRANSLATE(A26,""en"",""de""))"),"Informationssicherheit")</f>
        <v>Informationssicherheit</v>
      </c>
    </row>
    <row r="27" spans="1:2" ht="13.2">
      <c r="A27" s="6" t="s">
        <v>136</v>
      </c>
      <c r="B27" s="2" t="str">
        <f ca="1">IFERROR(__xludf.DUMMYFUNCTION("IF(ISBLANK(A27),"""",GOOGLETRANSLATE(A27,""en"",""de""))"),"Echtzeit-Verteidigung mit auditfähiger Compliance")</f>
        <v>Echtzeit-Verteidigung mit auditfähiger Compliance</v>
      </c>
    </row>
    <row r="28" spans="1:2" ht="13.2">
      <c r="A28" s="6" t="s">
        <v>137</v>
      </c>
      <c r="B28" s="2" t="str">
        <f ca="1">IFERROR(__xludf.DUMMYFUNCTION("IF(ISBLANK(A28),"""",GOOGLETRANSLATE(A28,""en"",""de""))"),"Digitale Lösungen")</f>
        <v>Digitale Lösungen</v>
      </c>
    </row>
    <row r="29" spans="1:2" ht="13.2">
      <c r="A29" s="6" t="s">
        <v>138</v>
      </c>
      <c r="B29" s="2" t="str">
        <f ca="1">IFERROR(__xludf.DUMMYFUNCTION("IF(ISBLANK(A29),"""",GOOGLETRANSLATE(A29,""en"",""de""))"),"KI, Cloud und Automatisierung in den täglichen Betrieb integriert")</f>
        <v>KI, Cloud und Automatisierung in den täglichen Betrieb integriert</v>
      </c>
    </row>
    <row r="30" spans="1:2" ht="13.2">
      <c r="A30" s="6" t="s">
        <v>139</v>
      </c>
      <c r="B30" s="2" t="str">
        <f ca="1">IFERROR(__xludf.DUMMYFUNCTION("IF(ISBLANK(A30),"""",GOOGLETRANSLATE(A30,""en"",""de""))"),"KI, ML und Datenanalyse")</f>
        <v>KI, ML und Datenanalyse</v>
      </c>
    </row>
    <row r="31" spans="1:2" ht="13.2">
      <c r="A31" s="6" t="s">
        <v>140</v>
      </c>
      <c r="B31" s="2" t="str">
        <f ca="1">IFERROR(__xludf.DUMMYFUNCTION("IF(ISBLANK(A31),"""",GOOGLETRANSLATE(A31,""en"",""de""))"),"Mit KI und ML schneller vorhersagen, automatisieren und entscheiden")</f>
        <v>Mit KI und ML schneller vorhersagen, automatisieren und entscheiden</v>
      </c>
    </row>
    <row r="32" spans="1:2" ht="13.2">
      <c r="A32" s="6" t="s">
        <v>141</v>
      </c>
      <c r="B32" s="2" t="str">
        <f ca="1">IFERROR(__xludf.DUMMYFUNCTION("IF(ISBLANK(A32),"""",GOOGLETRANSLATE(A32,""en"",""de""))"),"Generative KI")</f>
        <v>Generative KI</v>
      </c>
    </row>
    <row r="33" spans="1:2" ht="13.2">
      <c r="A33" s="6" t="s">
        <v>142</v>
      </c>
      <c r="B33" s="2" t="str">
        <f ca="1">IFERROR(__xludf.DUMMYFUNCTION("IF(ISBLANK(A33),"""",GOOGLETRANSLATE(A33,""en"",""de""))"),"Erstellen, Anpassen und Personalisieren mit Unternehmensgeschwindigkeit")</f>
        <v>Erstellen, Anpassen und Personalisieren mit Unternehmensgeschwindigkeit</v>
      </c>
    </row>
    <row r="34" spans="1:2" ht="13.2">
      <c r="A34" s="6" t="s">
        <v>143</v>
      </c>
      <c r="B34" s="2" t="str">
        <f ca="1">IFERROR(__xludf.DUMMYFUNCTION("IF(ISBLANK(A34),"""",GOOGLETRANSLATE(A34,""en"",""de""))"),"Politik &amp; Strategie")</f>
        <v>Politik &amp; Strategie</v>
      </c>
    </row>
    <row r="35" spans="1:2" ht="13.2">
      <c r="A35" s="6" t="s">
        <v>144</v>
      </c>
      <c r="B35" s="2" t="str">
        <f ca="1">IFERROR(__xludf.DUMMYFUNCTION("IF(ISBLANK(A35),"""",GOOGLETRANSLATE(A35,""en"",""de""))"),"Neue Technologien")</f>
        <v>Neue Technologien</v>
      </c>
    </row>
    <row r="36" spans="1:2" ht="13.2">
      <c r="A36" s="6" t="s">
        <v>145</v>
      </c>
      <c r="B36" s="2" t="str">
        <f ca="1">IFERROR(__xludf.DUMMYFUNCTION("IF(ISBLANK(A36),"""",GOOGLETRANSLATE(A36,""en"",""de""))"),"Beweisen und skalieren Sie sicher, was als Nächstes kommt")</f>
        <v>Beweisen und skalieren Sie sicher, was als Nächstes kommt</v>
      </c>
    </row>
    <row r="37" spans="1:2" ht="13.2">
      <c r="A37" s="6" t="s">
        <v>66</v>
      </c>
      <c r="B37" s="2" t="str">
        <f ca="1">IFERROR(__xludf.DUMMYFUNCTION("IF(ISBLANK(A37),"""",GOOGLETRANSLATE(A37,""en"",""de""))"),"Cloud-Dienste")</f>
        <v>Cloud-Dienste</v>
      </c>
    </row>
    <row r="38" spans="1:2" ht="13.2">
      <c r="A38" s="6" t="s">
        <v>146</v>
      </c>
      <c r="B38" s="2" t="str">
        <f ca="1">IFERROR(__xludf.DUMMYFUNCTION("IF(ISBLANK(A38),"""",GOOGLETRANSLATE(A38,""en"",""de""))"),"Cloud-nativ auf Multicloud, entwickelt für Skalierbarkeit und Verfügbarkeit")</f>
        <v>Cloud-nativ auf Multicloud, entwickelt für Skalierbarkeit und Verfügbarkeit</v>
      </c>
    </row>
    <row r="39" spans="1:2" ht="13.2">
      <c r="A39" s="6" t="s">
        <v>147</v>
      </c>
      <c r="B39" s="2" t="str">
        <f ca="1">IFERROR(__xludf.DUMMYFUNCTION("IF(ISBLANK(A39),"""",GOOGLETRANSLATE(A39,""en"",""de""))"),"Datentechnik")</f>
        <v>Datentechnik</v>
      </c>
    </row>
    <row r="40" spans="1:2" ht="13.2">
      <c r="A40" s="6" t="s">
        <v>148</v>
      </c>
      <c r="B40" s="2" t="str">
        <f ca="1">IFERROR(__xludf.DUMMYFUNCTION("IF(ISBLANK(A40),"""",GOOGLETRANSLATE(A40,""en"",""de""))"),"Zuverlässige Datenebenen als Grundlage für KI und Entscheidungen")</f>
        <v>Zuverlässige Datenebenen als Grundlage für KI und Entscheidungen</v>
      </c>
    </row>
    <row r="41" spans="1:2" ht="13.2">
      <c r="A41" s="2" t="s">
        <v>149</v>
      </c>
      <c r="B41" s="2" t="str">
        <f ca="1">IFERROR(__xludf.DUMMYFUNCTION("IF(ISBLANK(A41),"""",GOOGLETRANSLATE(A41,""en"",""de""))"),"Lösungen")</f>
        <v>Lösungen</v>
      </c>
    </row>
    <row r="42" spans="1:2" ht="13.2">
      <c r="B42" s="2" t="str">
        <f ca="1">IFERROR(__xludf.DUMMYFUNCTION("IF(ISBLANK(A42),"""",GOOGLETRANSLATE(A42,""en"",""de""))"),"")</f>
        <v/>
      </c>
    </row>
    <row r="43" spans="1:2" ht="13.2">
      <c r="A43" s="2" t="s">
        <v>150</v>
      </c>
      <c r="B43" s="2" t="str">
        <f ca="1">IFERROR(__xludf.DUMMYFUNCTION("IF(ISBLANK(A43),"""",GOOGLETRANSLATE(A43,""en"",""de""))"),"Ausrüstungsfinanzierung")</f>
        <v>Ausrüstungsfinanzierung</v>
      </c>
    </row>
    <row r="44" spans="1:2" ht="13.2">
      <c r="A44" s="2" t="s">
        <v>151</v>
      </c>
      <c r="B44" s="2" t="str">
        <f ca="1">IFERROR(__xludf.DUMMYFUNCTION("IF(ISBLANK(A44),"""",GOOGLETRANSLATE(A44,""en"",""de""))"),"Automobilfinanzierung")</f>
        <v>Automobilfinanzierung</v>
      </c>
    </row>
    <row r="45" spans="1:2" ht="13.2">
      <c r="A45" s="2" t="s">
        <v>152</v>
      </c>
      <c r="B45" s="2" t="str">
        <f ca="1">IFERROR(__xludf.DUMMYFUNCTION("IF(ISBLANK(A45),"""",GOOGLETRANSLATE(A45,""en"",""de""))"),"Intelligentes Ökosystem definiert die Automobilfinanzierung neu")</f>
        <v>Intelligentes Ökosystem definiert die Automobilfinanzierung neu</v>
      </c>
    </row>
    <row r="46" spans="1:2" ht="13.2">
      <c r="B46" s="2" t="str">
        <f ca="1">IFERROR(__xludf.DUMMYFUNCTION("IF(ISBLANK(A46),"""",GOOGLETRANSLATE(A46,""en"",""de""))"),"")</f>
        <v/>
      </c>
    </row>
    <row r="47" spans="1:2" ht="13.2">
      <c r="A47" s="7" t="s">
        <v>153</v>
      </c>
      <c r="B47" s="2" t="str">
        <f ca="1">IFERROR(__xludf.DUMMYFUNCTION("IF(ISBLANK(A47),"""",GOOGLETRANSLATE(A47,""en"",""de""))"),"KI-gestützte Plattform für die moderne Ausrüstungsfinanzierung")</f>
        <v>KI-gestützte Plattform für die moderne Ausrüstungsfinanzierung</v>
      </c>
    </row>
    <row r="48" spans="1:2" ht="13.2">
      <c r="A48" s="2" t="s">
        <v>154</v>
      </c>
      <c r="B48" s="2" t="str">
        <f ca="1">IFERROR(__xludf.DUMMYFUNCTION("IF(ISBLANK(A48),"""",GOOGLETRANSLATE(A48,""en"",""de""))"),"Einblicke")</f>
        <v>Einblicke</v>
      </c>
    </row>
    <row r="49" spans="1:2" ht="13.2">
      <c r="B49" s="2" t="str">
        <f ca="1">IFERROR(__xludf.DUMMYFUNCTION("IF(ISBLANK(A49),"""",GOOGLETRANSLATE(A49,""en"",""de""))"),"")</f>
        <v/>
      </c>
    </row>
    <row r="50" spans="1:2" ht="13.2">
      <c r="A50" s="2" t="s">
        <v>119</v>
      </c>
      <c r="B50" s="2" t="str">
        <f ca="1">IFERROR(__xludf.DUMMYFUNCTION("IF(ISBLANK(A50),"""",GOOGLETRANSLATE(A50,""en"",""de""))"),"Überblick")</f>
        <v>Überblick</v>
      </c>
    </row>
    <row r="51" spans="1:2" ht="13.2">
      <c r="A51" s="2" t="s">
        <v>155</v>
      </c>
      <c r="B51" s="2" t="str">
        <f ca="1">IFERROR(__xludf.DUMMYFUNCTION("IF(ISBLANK(A51),"""",GOOGLETRANSLATE(A51,""en"",""de""))"),"Über uns")</f>
        <v>Über uns</v>
      </c>
    </row>
    <row r="52" spans="1:2" ht="13.2">
      <c r="A52" s="7" t="s">
        <v>156</v>
      </c>
      <c r="B52" s="2" t="str">
        <f ca="1">IFERROR(__xludf.DUMMYFUNCTION("IF(ISBLANK(A52),"""",GOOGLETRANSLATE(A52,""en"",""de""))"),"Technologie, Vertrauen und Fachkompetenz in Bewegung")</f>
        <v>Technologie, Vertrauen und Fachkompetenz in Bewegung</v>
      </c>
    </row>
    <row r="53" spans="1:2" ht="13.2">
      <c r="A53" s="6" t="s">
        <v>157</v>
      </c>
      <c r="B53" s="2" t="str">
        <f ca="1">IFERROR(__xludf.DUMMYFUNCTION("IF(ISBLANK(A53),"""",GOOGLETRANSLATE(A53,""en"",""de""))"),"Vorstand")</f>
        <v>Vorstand</v>
      </c>
    </row>
    <row r="54" spans="1:2" ht="13.2">
      <c r="A54" s="6" t="s">
        <v>158</v>
      </c>
      <c r="B54" s="2" t="str">
        <f ca="1">IFERROR(__xludf.DUMMYFUNCTION("IF(ISBLANK(A54),"""",GOOGLETRANSLATE(A54,""en"",""de""))"),"Verwalter von Vision, Integrität und langfristigem Wachstum")</f>
        <v>Verwalter von Vision, Integrität und langfristigem Wachstum</v>
      </c>
    </row>
    <row r="55" spans="1:2" ht="13.2">
      <c r="A55" s="6" t="s">
        <v>159</v>
      </c>
      <c r="B55" s="2" t="str">
        <f ca="1">IFERROR(__xludf.DUMMYFUNCTION("IF(ISBLANK(A55),"""",GOOGLETRANSLATE(A55,""en"",""de""))"),"Management-Team")</f>
        <v>Management-Team</v>
      </c>
    </row>
    <row r="56" spans="1:2" ht="13.2">
      <c r="A56" s="6" t="s">
        <v>160</v>
      </c>
      <c r="B56" s="2" t="str">
        <f ca="1">IFERROR(__xludf.DUMMYFUNCTION("IF(ISBLANK(A56),"""",GOOGLETRANSLATE(A56,""en"",""de""))"),"Pionierarbeit für die Architektur des modernen Finanzwesens")</f>
        <v>Pionierarbeit für die Architektur des modernen Finanzwesens</v>
      </c>
    </row>
    <row r="57" spans="1:2" ht="13.2">
      <c r="A57" s="6" t="s">
        <v>161</v>
      </c>
      <c r="B57" s="2" t="str">
        <f ca="1">IFERROR(__xludf.DUMMYFUNCTION("IF(ISBLANK(A57),"""",GOOGLETRANSLATE(A57,""en"",""de""))"),"Nachrichten")</f>
        <v>Nachrichten</v>
      </c>
    </row>
    <row r="58" spans="1:2" ht="13.2">
      <c r="A58" s="6" t="s">
        <v>162</v>
      </c>
      <c r="B58" s="2" t="str">
        <f ca="1">IFERROR(__xludf.DUMMYFUNCTION("IF(ISBLANK(A58),"""",GOOGLETRANSLATE(A58,""en"",""de""))"),"Innovation, Fortschritt und Erkenntnisse von NETSOL")</f>
        <v>Innovation, Fortschritt und Erkenntnisse von NETSOL</v>
      </c>
    </row>
    <row r="59" spans="1:2" ht="13.2">
      <c r="A59" s="6" t="s">
        <v>163</v>
      </c>
      <c r="B59" s="2" t="str">
        <f ca="1">IFERROR(__xludf.DUMMYFUNCTION("IF(ISBLANK(A59),"""",GOOGLETRANSLATE(A59,""en"",""de""))"),"Investoren")</f>
        <v>Investoren</v>
      </c>
    </row>
    <row r="60" spans="1:2" ht="13.2">
      <c r="A60" s="6" t="s">
        <v>164</v>
      </c>
      <c r="B60" s="2" t="str">
        <f ca="1">IFERROR(__xludf.DUMMYFUNCTION("IF(ISBLANK(A60),"""",GOOGLETRANSLATE(A60,""en"",""de""))"),"Nachhaltige Wertschöpfung durch strategisches Wachstum")</f>
        <v>Nachhaltige Wertschöpfung durch strategisches Wachstum</v>
      </c>
    </row>
    <row r="61" spans="1:2" ht="13.2">
      <c r="A61" s="6" t="s">
        <v>165</v>
      </c>
      <c r="B61" s="2" t="str">
        <f ca="1">IFERROR(__xludf.DUMMYFUNCTION("IF(ISBLANK(A61),"""",GOOGLETRANSLATE(A61,""en"",""de""))"),"Karriere")</f>
        <v>Karriere</v>
      </c>
    </row>
    <row r="62" spans="1:2" ht="13.2">
      <c r="A62" s="6" t="s">
        <v>166</v>
      </c>
      <c r="B62" s="2" t="str">
        <f ca="1">IFERROR(__xludf.DUMMYFUNCTION("IF(ISBLANK(A62),"""",GOOGLETRANSLATE(A62,""en"",""de""))"),"Werden Sie Teil der Menschen, die die Zukunft der Anlagenfinanzierung und des Leasings vorantreiben")</f>
        <v>Werden Sie Teil der Menschen, die die Zukunft der Anlagenfinanzierung und des Leasings vorantreiben</v>
      </c>
    </row>
    <row r="63" spans="1:2" ht="13.2">
      <c r="A63" s="2" t="s">
        <v>167</v>
      </c>
      <c r="B63" s="2" t="str">
        <f ca="1">IFERROR(__xludf.DUMMYFUNCTION("IF(ISBLANK(A63),"""",GOOGLETRANSLATE(A63,""en"",""de""))"),"Kontaktieren Sie uns")</f>
        <v>Kontaktieren Sie uns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57"/>
  <sheetViews>
    <sheetView topLeftCell="A20" workbookViewId="0">
      <selection activeCell="E26" sqref="E26"/>
    </sheetView>
  </sheetViews>
  <sheetFormatPr defaultColWidth="12.5546875" defaultRowHeight="15.75" customHeight="1"/>
  <cols>
    <col min="1" max="1" width="41.5546875" customWidth="1"/>
  </cols>
  <sheetData>
    <row r="1" spans="1:2" ht="15.75" customHeight="1">
      <c r="A1" s="2" t="s">
        <v>0</v>
      </c>
      <c r="B1" s="2" t="s">
        <v>1</v>
      </c>
    </row>
    <row r="2" spans="1:2" ht="15.75" customHeight="1">
      <c r="A2" s="2" t="s">
        <v>117</v>
      </c>
      <c r="B2" s="2" t="str">
        <f ca="1">IFERROR(__xludf.DUMMYFUNCTION("IF(ISBLANK(A2),"""",GOOGLETRANSLATE(A2,""en"",""de""))"),"NETSOL")</f>
        <v>NETSOL</v>
      </c>
    </row>
    <row r="3" spans="1:2" ht="15.75" customHeight="1">
      <c r="A3" s="2" t="s">
        <v>168</v>
      </c>
      <c r="B3" s="2" t="str">
        <f ca="1">IFERROR(__xludf.DUMMYFUNCTION("IF(ISBLANK(A3),"""",GOOGLETRANSLATE(A3,""en"",""de""))"),"Warum NETSOL")</f>
        <v>Warum NETSOL</v>
      </c>
    </row>
    <row r="4" spans="1:2" ht="15.75" customHeight="1">
      <c r="A4" s="2" t="s">
        <v>157</v>
      </c>
      <c r="B4" s="2" t="str">
        <f ca="1">IFERROR(__xludf.DUMMYFUNCTION("IF(ISBLANK(A4),"""",GOOGLETRANSLATE(A4,""en"",""de""))"),"Vorstand")</f>
        <v>Vorstand</v>
      </c>
    </row>
    <row r="5" spans="1:2" ht="15.75" customHeight="1">
      <c r="A5" s="2" t="s">
        <v>159</v>
      </c>
      <c r="B5" s="2" t="str">
        <f ca="1">IFERROR(__xludf.DUMMYFUNCTION("IF(ISBLANK(A5),"""",GOOGLETRANSLATE(A5,""en"",""de""))"),"Management-Team")</f>
        <v>Management-Team</v>
      </c>
    </row>
    <row r="6" spans="1:2" ht="15.75" customHeight="1">
      <c r="A6" s="2" t="s">
        <v>165</v>
      </c>
      <c r="B6" s="2" t="str">
        <f ca="1">IFERROR(__xludf.DUMMYFUNCTION("IF(ISBLANK(A6),"""",GOOGLETRANSLATE(A6,""en"",""de""))"),"Karriere")</f>
        <v>Karriere</v>
      </c>
    </row>
    <row r="7" spans="1:2" ht="15.75" customHeight="1">
      <c r="A7" s="2" t="s">
        <v>163</v>
      </c>
      <c r="B7" s="2" t="str">
        <f ca="1">IFERROR(__xludf.DUMMYFUNCTION("IF(ISBLANK(A7),"""",GOOGLETRANSLATE(A7,""en"",""de""))"),"Investoren")</f>
        <v>Investoren</v>
      </c>
    </row>
    <row r="8" spans="1:2" ht="15.75" customHeight="1">
      <c r="A8" s="2" t="s">
        <v>169</v>
      </c>
      <c r="B8" s="2" t="str">
        <f ca="1">IFERROR(__xludf.DUMMYFUNCTION("IF(ISBLANK(A8),"""",GOOGLETRANSLATE(A8,""en"",""de""))"),"Firmeninformation")</f>
        <v>Firmeninformation</v>
      </c>
    </row>
    <row r="9" spans="1:2" ht="15.75" customHeight="1">
      <c r="A9" s="2" t="s">
        <v>161</v>
      </c>
      <c r="B9" s="2" t="str">
        <f ca="1">IFERROR(__xludf.DUMMYFUNCTION("IF(ISBLANK(A9),"""",GOOGLETRANSLATE(A9,""en"",""de""))"),"Nachrichten")</f>
        <v>Nachrichten</v>
      </c>
    </row>
    <row r="10" spans="1:2" ht="15.75" customHeight="1">
      <c r="A10" s="2" t="s">
        <v>170</v>
      </c>
      <c r="B10" s="2" t="str">
        <f ca="1">IFERROR(__xludf.DUMMYFUNCTION("IF(ISBLANK(A10),"""",GOOGLETRANSLATE(A10,""en"",""de""))"),"Aktienkurse")</f>
        <v>Aktienkurse</v>
      </c>
    </row>
    <row r="11" spans="1:2" ht="15.75" customHeight="1">
      <c r="A11" s="2" t="s">
        <v>171</v>
      </c>
      <c r="B11" s="2" t="str">
        <f ca="1">IFERROR(__xludf.DUMMYFUNCTION("IF(ISBLANK(A11),"""",GOOGLETRANSLATE(A11,""en"",""de""))"),"SEC-Einreichungen")</f>
        <v>SEC-Einreichungen</v>
      </c>
    </row>
    <row r="12" spans="1:2" ht="15.75" customHeight="1">
      <c r="A12" s="2" t="s">
        <v>172</v>
      </c>
      <c r="B12" s="2" t="str">
        <f ca="1">IFERROR(__xludf.DUMMYFUNCTION("IF(ISBLANK(A12),"""",GOOGLETRANSLATE(A12,""en"",""de""))"),"Produkte")</f>
        <v>Produkte</v>
      </c>
    </row>
    <row r="13" spans="1:2" ht="15.75" customHeight="1">
      <c r="A13" s="2" t="s">
        <v>18</v>
      </c>
      <c r="B13" s="2" t="str">
        <f ca="1">IFERROR(__xludf.DUMMYFUNCTION("IF(ISBLANK(A13),"""",GOOGLETRANSLATE(A13,""en"",""de""))"),"Transcend-Plattform")</f>
        <v>Transcend-Plattform</v>
      </c>
    </row>
    <row r="14" spans="1:2" ht="15.75" customHeight="1">
      <c r="A14" s="2" t="s">
        <v>121</v>
      </c>
      <c r="B14" s="2" t="str">
        <f ca="1">IFERROR(__xludf.DUMMYFUNCTION("IF(ISBLANK(A14),"""",GOOGLETRANSLATE(A14,""en"",""de""))"),"Digitaler Einzelhandel")</f>
        <v>Digitaler Einzelhandel</v>
      </c>
    </row>
    <row r="15" spans="1:2" ht="15.75" customHeight="1">
      <c r="A15" s="2" t="s">
        <v>123</v>
      </c>
      <c r="B15" s="2" t="str">
        <f ca="1">IFERROR(__xludf.DUMMYFUNCTION("IF(ISBLANK(A15),"""",GOOGLETRANSLATE(A15,""en"",""de""))"),"Vermittlungsportale")</f>
        <v>Vermittlungsportale</v>
      </c>
    </row>
    <row r="16" spans="1:2" ht="15.75" customHeight="1">
      <c r="A16" s="2" t="s">
        <v>125</v>
      </c>
      <c r="B16" s="2" t="str">
        <f ca="1">IFERROR(__xludf.DUMMYFUNCTION("IF(ISBLANK(A16),"""",GOOGLETRANSLATE(A16,""en"",""de""))"),"Kreditanbahnung")</f>
        <v>Kreditanbahnung</v>
      </c>
    </row>
    <row r="17" spans="1:2" ht="15.75" customHeight="1">
      <c r="A17" s="2" t="s">
        <v>127</v>
      </c>
      <c r="B17" s="2" t="str">
        <f ca="1">IFERROR(__xludf.DUMMYFUNCTION("IF(ISBLANK(A17),"""",GOOGLETRANSLATE(A17,""en"",""de""))"),"Vertragsverwaltung")</f>
        <v>Vertragsverwaltung</v>
      </c>
    </row>
    <row r="18" spans="1:2" ht="15.75" customHeight="1">
      <c r="A18" s="2" t="s">
        <v>129</v>
      </c>
      <c r="B18" s="2" t="str">
        <f ca="1">IFERROR(__xludf.DUMMYFUNCTION("IF(ISBLANK(A18),"""",GOOGLETRANSLATE(A18,""en"",""de""))"),"Großhandelsfinanzierung")</f>
        <v>Großhandelsfinanzierung</v>
      </c>
    </row>
    <row r="19" spans="1:2" ht="15.75" customHeight="1">
      <c r="A19" s="2" t="s">
        <v>131</v>
      </c>
      <c r="B19" s="2" t="str">
        <f ca="1">IFERROR(__xludf.DUMMYFUNCTION("IF(ISBLANK(A19),"""",GOOGLETRANSLATE(A19,""en"",""de""))"),"Mobilitätslösungen")</f>
        <v>Mobilitätslösungen</v>
      </c>
    </row>
    <row r="20" spans="1:2" ht="15.75" customHeight="1">
      <c r="A20" s="2" t="s">
        <v>54</v>
      </c>
      <c r="B20" s="2" t="str">
        <f ca="1">IFERROR(__xludf.DUMMYFUNCTION("IF(ISBLANK(A20),"""",GOOGLETRANSLATE(A20,""en"",""de""))"),"Marktplatz")</f>
        <v>Marktplatz</v>
      </c>
    </row>
    <row r="21" spans="1:2" ht="15.75" customHeight="1">
      <c r="A21" s="2" t="s">
        <v>173</v>
      </c>
      <c r="B21" s="2" t="str">
        <f ca="1">IFERROR(__xludf.DUMMYFUNCTION("IF(ISBLANK(A21),"""",GOOGLETRANSLATE(A21,""en"",""de""))"),"Berechnungs-Engine")</f>
        <v>Berechnungs-Engine</v>
      </c>
    </row>
    <row r="22" spans="1:2" ht="15.75" customHeight="1">
      <c r="A22" s="2" t="s">
        <v>174</v>
      </c>
      <c r="B22" s="2" t="str">
        <f ca="1">IFERROR(__xludf.DUMMYFUNCTION("IF(ISBLANK(A22),"""",GOOGLETRANSLATE(A22,""en"",""de""))"),"Dokumentgenerierung")</f>
        <v>Dokumentgenerierung</v>
      </c>
    </row>
    <row r="23" spans="1:2" ht="15.75" customHeight="1">
      <c r="A23" s="2" t="s">
        <v>175</v>
      </c>
      <c r="B23" s="2" t="str">
        <f ca="1">IFERROR(__xludf.DUMMYFUNCTION("IF(ISBLANK(A23),"""",GOOGLETRANSLATE(A23,""en"",""de""))"),"API-Bibliothek")</f>
        <v>API-Bibliothek</v>
      </c>
    </row>
    <row r="24" spans="1:2" ht="13.2">
      <c r="A24" s="2" t="s">
        <v>176</v>
      </c>
      <c r="B24" s="2" t="str">
        <f ca="1">IFERROR(__xludf.DUMMYFUNCTION("IF(ISBLANK(A24),"""",GOOGLETRANSLATE(A24,""en"",""de""))"),"Kreditvergabesystem")</f>
        <v>Kreditvergabesystem</v>
      </c>
    </row>
    <row r="25" spans="1:2" ht="13.2">
      <c r="A25" s="2" t="s">
        <v>177</v>
      </c>
      <c r="B25" s="2" t="str">
        <f ca="1">IFERROR(__xludf.DUMMYFUNCTION("IF(ISBLANK(A25),"""",GOOGLETRANSLATE(A25,""en"",""de""))"),"Kundenbetreuungsportal")</f>
        <v>Kundenbetreuungsportal</v>
      </c>
    </row>
    <row r="26" spans="1:2" ht="13.2">
      <c r="A26" s="2" t="s">
        <v>178</v>
      </c>
      <c r="B26" s="2" t="str">
        <f ca="1">IFERROR(__xludf.DUMMYFUNCTION("IF(ISBLANK(A26),"""",GOOGLETRANSLATE(A26,""en"",""de""))"),"Steuerberechnungs-Engine")</f>
        <v>Steuerberechnungs-Engine</v>
      </c>
    </row>
    <row r="27" spans="1:2" ht="13.2">
      <c r="A27" s="2" t="s">
        <v>179</v>
      </c>
      <c r="B27" s="2" t="str">
        <f ca="1">IFERROR(__xludf.DUMMYFUNCTION("IF(ISBLANK(A27),"""",GOOGLETRANSLATE(A27,""en"",""de""))"),"Kreditentscheidungs-Engine")</f>
        <v>Kreditentscheidungs-Engine</v>
      </c>
    </row>
    <row r="28" spans="1:2" ht="13.2">
      <c r="A28" s="16" t="s">
        <v>61</v>
      </c>
      <c r="B28" s="2" t="str">
        <f ca="1">IFERROR(__xludf.DUMMYFUNCTION("IF(ISBLANK(A28),"""",GOOGLETRANSLATE(A28,""en"",""de""))"),"Beratung")</f>
        <v>Beratung</v>
      </c>
    </row>
    <row r="29" spans="1:2" ht="13.2">
      <c r="A29" s="2" t="s">
        <v>64</v>
      </c>
      <c r="B29" s="2" t="str">
        <f ca="1">IFERROR(__xludf.DUMMYFUNCTION("IF(ISBLANK(A29),"""",GOOGLETRANSLATE(A29,""en"",""de""))"),"Informationssicherheit")</f>
        <v>Informationssicherheit</v>
      </c>
    </row>
    <row r="30" spans="1:2" ht="13.2">
      <c r="A30" s="2" t="s">
        <v>137</v>
      </c>
      <c r="B30" s="2" t="str">
        <f ca="1">IFERROR(__xludf.DUMMYFUNCTION("IF(ISBLANK(A30),"""",GOOGLETRANSLATE(A30,""en"",""de""))"),"Digitale Lösungen")</f>
        <v>Digitale Lösungen</v>
      </c>
    </row>
    <row r="31" spans="1:2" ht="13.2">
      <c r="A31" s="2" t="s">
        <v>139</v>
      </c>
      <c r="B31" s="2" t="str">
        <f ca="1">IFERROR(__xludf.DUMMYFUNCTION("IF(ISBLANK(A31),"""",GOOGLETRANSLATE(A31,""en"",""de""))"),"KI, ML und Datenanalyse")</f>
        <v>KI, ML und Datenanalyse</v>
      </c>
    </row>
    <row r="32" spans="1:2" ht="13.2">
      <c r="A32" s="2" t="s">
        <v>141</v>
      </c>
      <c r="B32" s="2" t="str">
        <f ca="1">IFERROR(__xludf.DUMMYFUNCTION("IF(ISBLANK(A32),"""",GOOGLETRANSLATE(A32,""en"",""de""))"),"Generative KI")</f>
        <v>Generative KI</v>
      </c>
    </row>
    <row r="33" spans="1:2" ht="13.2">
      <c r="A33" s="2" t="s">
        <v>144</v>
      </c>
      <c r="B33" s="2" t="str">
        <f ca="1">IFERROR(__xludf.DUMMYFUNCTION("IF(ISBLANK(A33),"""",GOOGLETRANSLATE(A33,""en"",""de""))"),"Neue Technologien")</f>
        <v>Neue Technologien</v>
      </c>
    </row>
    <row r="34" spans="1:2" ht="13.2">
      <c r="A34" s="2" t="s">
        <v>66</v>
      </c>
      <c r="B34" s="2" t="str">
        <f ca="1">IFERROR(__xludf.DUMMYFUNCTION("IF(ISBLANK(A34),"""",GOOGLETRANSLATE(A34,""en"",""de""))"),"Cloud-Dienste")</f>
        <v>Cloud-Dienste</v>
      </c>
    </row>
    <row r="35" spans="1:2" ht="13.2">
      <c r="A35" s="2" t="s">
        <v>147</v>
      </c>
      <c r="B35" s="2" t="str">
        <f ca="1">IFERROR(__xludf.DUMMYFUNCTION("IF(ISBLANK(A35),"""",GOOGLETRANSLATE(A35,""en"",""de""))"),"Datentechnik")</f>
        <v>Datentechnik</v>
      </c>
    </row>
    <row r="36" spans="1:2" ht="13.2">
      <c r="A36" s="2" t="s">
        <v>154</v>
      </c>
      <c r="B36" s="2" t="str">
        <f ca="1">IFERROR(__xludf.DUMMYFUNCTION("IF(ISBLANK(A36),"""",GOOGLETRANSLATE(A36,""en"",""de""))"),"Einblicke")</f>
        <v>Einblicke</v>
      </c>
    </row>
    <row r="37" spans="1:2" ht="13.2">
      <c r="A37" s="2" t="s">
        <v>180</v>
      </c>
      <c r="B37" s="2" t="str">
        <f ca="1">IFERROR(__xludf.DUMMYFUNCTION("IF(ISBLANK(A37),"""",GOOGLETRANSLATE(A37,""en"",""de""))"),"Fallstudien")</f>
        <v>Fallstudien</v>
      </c>
    </row>
    <row r="38" spans="1:2" ht="13.2">
      <c r="A38" s="2" t="s">
        <v>181</v>
      </c>
      <c r="B38" s="2" t="str">
        <f ca="1">IFERROR(__xludf.DUMMYFUNCTION("IF(ISBLANK(A38),"""",GOOGLETRANSLATE(A38,""en"",""de""))"),"Anleitungen")</f>
        <v>Anleitungen</v>
      </c>
    </row>
    <row r="39" spans="1:2" ht="13.2">
      <c r="A39" s="2" t="s">
        <v>182</v>
      </c>
      <c r="B39" s="2" t="str">
        <f ca="1">IFERROR(__xludf.DUMMYFUNCTION("IF(ISBLANK(A39),"""",GOOGLETRANSLATE(A39,""en"",""de""))"),"Blogs")</f>
        <v>Blogs</v>
      </c>
    </row>
    <row r="40" spans="1:2" ht="13.2">
      <c r="A40" s="2" t="s">
        <v>183</v>
      </c>
      <c r="B40" s="2" t="str">
        <f ca="1">IFERROR(__xludf.DUMMYFUNCTION("IF(ISBLANK(A40),"""",GOOGLETRANSLATE(A40,""en"",""de""))"),"Veranstaltungen")</f>
        <v>Veranstaltungen</v>
      </c>
    </row>
    <row r="41" spans="1:2" ht="13.2">
      <c r="A41" s="2" t="s">
        <v>149</v>
      </c>
      <c r="B41" s="2" t="str">
        <f ca="1">IFERROR(__xludf.DUMMYFUNCTION("IF(ISBLANK(A41),"""",GOOGLETRANSLATE(A41,""en"",""de""))"),"Lösungen")</f>
        <v>Lösungen</v>
      </c>
    </row>
    <row r="42" spans="1:2" ht="13.2">
      <c r="A42" s="2" t="s">
        <v>151</v>
      </c>
      <c r="B42" s="2" t="str">
        <f ca="1">IFERROR(__xludf.DUMMYFUNCTION("IF(ISBLANK(A42),"""",GOOGLETRANSLATE(A42,""en"",""de""))"),"Automobilfinanzierung")</f>
        <v>Automobilfinanzierung</v>
      </c>
    </row>
    <row r="43" spans="1:2" ht="13.2">
      <c r="A43" s="2" t="s">
        <v>41</v>
      </c>
      <c r="B43" s="2" t="str">
        <f ca="1">IFERROR(__xludf.DUMMYFUNCTION("IF(ISBLANK(A43),"""",GOOGLETRANSLATE(A43,""en"",""de""))"),"Ausrüstungsfinanzierung")</f>
        <v>Ausrüstungsfinanzierung</v>
      </c>
    </row>
    <row r="44" spans="1:2" ht="13.2">
      <c r="A44" s="2" t="s">
        <v>167</v>
      </c>
      <c r="B44" s="2" t="str">
        <f ca="1">IFERROR(__xludf.DUMMYFUNCTION("IF(ISBLANK(A44),"""",GOOGLETRANSLATE(A44,""en"",""de""))"),"Kontaktieren Sie uns")</f>
        <v>Kontaktieren Sie uns</v>
      </c>
    </row>
    <row r="45" spans="1:2" ht="13.2">
      <c r="A45" s="2" t="s">
        <v>184</v>
      </c>
      <c r="B45" s="2" t="str">
        <f ca="1">IFERROR(__xludf.DUMMYFUNCTION("IF(ISBLANK(A45),"""",GOOGLETRANSLATE(A45,""en"",""de""))"),"Unternehmenszentrale")</f>
        <v>Unternehmenszentrale</v>
      </c>
    </row>
    <row r="46" spans="1:2" ht="13.2">
      <c r="B46" s="2" t="str">
        <f ca="1">IFERROR(__xludf.DUMMYFUNCTION("IF(ISBLANK(A46),"""",GOOGLETRANSLATE(A46,""en"",""de""))"),"")</f>
        <v/>
      </c>
    </row>
    <row r="47" spans="1:2" ht="13.2">
      <c r="A47" s="2" t="s">
        <v>185</v>
      </c>
      <c r="B47" s="2" t="str">
        <f ca="1">IFERROR(__xludf.DUMMYFUNCTION("IF(ISBLANK(A47),"""",GOOGLETRANSLATE(A47,""en"",""de""))"),"Adresse: 16000 Ventura Blvd,")</f>
        <v>Adresse: 16000 Ventura Blvd,</v>
      </c>
    </row>
    <row r="48" spans="1:2" ht="13.2">
      <c r="A48" s="2" t="s">
        <v>186</v>
      </c>
      <c r="B48" s="2" t="str">
        <f ca="1">IFERROR(__xludf.DUMMYFUNCTION("IF(ISBLANK(A48),"""",GOOGLETRANSLATE(A48,""en"",""de""))"),"Suite 770 Encino, CA 91436, USA")</f>
        <v>Suite 770 Encino, CA 91436, USA</v>
      </c>
    </row>
    <row r="49" spans="1:2" ht="13.2">
      <c r="B49" s="2" t="str">
        <f ca="1">IFERROR(__xludf.DUMMYFUNCTION("IF(ISBLANK(A49),"""",GOOGLETRANSLATE(A49,""en"",""de""))"),"")</f>
        <v/>
      </c>
    </row>
    <row r="50" spans="1:2" ht="13.2">
      <c r="A50" s="2" t="s">
        <v>187</v>
      </c>
      <c r="B50" s="2" t="str">
        <f ca="1">IFERROR(__xludf.DUMMYFUNCTION("IF(ISBLANK(A50),"""",GOOGLETRANSLATE(A50,""en"",""de""))"),"Telefon: +1 818 222 9195")</f>
        <v>Telefon: +1 818 222 9195</v>
      </c>
    </row>
    <row r="51" spans="1:2" ht="13.2">
      <c r="B51" s="2" t="str">
        <f ca="1">IFERROR(__xludf.DUMMYFUNCTION("IF(ISBLANK(A51),"""",GOOGLETRANSLATE(A51,""en"",""de""))"),"")</f>
        <v/>
      </c>
    </row>
    <row r="52" spans="1:2" ht="13.2">
      <c r="A52" s="2" t="s">
        <v>188</v>
      </c>
      <c r="B52" s="2" t="str">
        <f ca="1">IFERROR(__xludf.DUMMYFUNCTION("IF(ISBLANK(A52),"""",GOOGLETRANSLATE(A52,""en"",""de""))"),"Kontakt")</f>
        <v>Kontakt</v>
      </c>
    </row>
    <row r="53" spans="1:2" ht="13.2">
      <c r="A53" s="2" t="s">
        <v>189</v>
      </c>
      <c r="B53" s="2" t="str">
        <f ca="1">IFERROR(__xludf.DUMMYFUNCTION("IF(ISBLANK(A53),"""",GOOGLETRANSLATE(A53,""en"",""de""))"),"© 2025 NETSOL Technologies. A54")</f>
        <v>© 2025 NETSOL Technologies. A54</v>
      </c>
    </row>
    <row r="54" spans="1:2" ht="13.2">
      <c r="A54" s="2" t="s">
        <v>190</v>
      </c>
      <c r="B54" s="2" t="str">
        <f ca="1">IFERROR(__xludf.DUMMYFUNCTION("IF(ISBLANK(A54),"""",GOOGLETRANSLATE(A54,""en"",""de""))"),"Nutzungsbedingungen")</f>
        <v>Nutzungsbedingungen</v>
      </c>
    </row>
    <row r="55" spans="1:2" ht="13.2">
      <c r="A55" s="2" t="s">
        <v>191</v>
      </c>
      <c r="B55" s="2" t="str">
        <f ca="1">IFERROR(__xludf.DUMMYFUNCTION("IF(ISBLANK(A55),"""",GOOGLETRANSLATE(A55,""en"",""de""))"),"Datenschutzrichtlinie")</f>
        <v>Datenschutzrichtlinie</v>
      </c>
    </row>
    <row r="56" spans="1:2" ht="13.2">
      <c r="A56" s="2" t="s">
        <v>192</v>
      </c>
      <c r="B56" s="2" t="str">
        <f ca="1">IFERROR(__xludf.DUMMYFUNCTION("IF(ISBLANK(A56),"""",GOOGLETRANSLATE(A56,""en"",""de""))"),"Menschenrechtspolitik")</f>
        <v>Menschenrechtspolitik</v>
      </c>
    </row>
    <row r="57" spans="1:2" ht="13.2">
      <c r="A57" s="2" t="s">
        <v>193</v>
      </c>
      <c r="B57" s="2" t="str">
        <f ca="1">IFERROR(__xludf.DUMMYFUNCTION("IF(ISBLANK(A57),"""",GOOGLETRANSLATE(A57,""en"",""de""))"),"Gesetz zur modernen Sklaverei")</f>
        <v>Gesetz zur modernen Sklaverei</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85"/>
  <sheetViews>
    <sheetView topLeftCell="A49" workbookViewId="0">
      <selection activeCell="B85" sqref="B85"/>
    </sheetView>
  </sheetViews>
  <sheetFormatPr defaultColWidth="12.5546875" defaultRowHeight="15.75" customHeight="1"/>
  <cols>
    <col min="1" max="1" width="57" customWidth="1"/>
  </cols>
  <sheetData>
    <row r="1" spans="1:2" ht="15.75" customHeight="1">
      <c r="A1" s="2" t="s">
        <v>0</v>
      </c>
      <c r="B1" s="2" t="s">
        <v>1</v>
      </c>
    </row>
    <row r="2" spans="1:2" ht="15.75" customHeight="1">
      <c r="A2" s="2" t="s">
        <v>194</v>
      </c>
      <c r="B2" s="2" t="str">
        <f ca="1">IFERROR(__xludf.DUMMYFUNCTION("IF(ISBLANK(A2),"""",GOOGLETRANSLATE(A2,""en"",""de""))"),"Transcend Retail")</f>
        <v>Transcend Retail</v>
      </c>
    </row>
    <row r="3" spans="1:2" ht="15.75" customHeight="1">
      <c r="A3" s="2" t="s">
        <v>195</v>
      </c>
      <c r="B3" s="2" t="str">
        <f ca="1">IFERROR(__xludf.DUMMYFUNCTION("IF(ISBLANK(A3),"""",GOOGLETRANSLATE(A3,""en"",""de""))"),"Der digitale Einzelhandelsstandard für die weltweit führenden Automarken")</f>
        <v>Der digitale Einzelhandelsstandard für die weltweit führenden Automarken</v>
      </c>
    </row>
    <row r="4" spans="1:2" ht="15.75" customHeight="1">
      <c r="A4" s="2" t="s">
        <v>196</v>
      </c>
      <c r="B4" s="2" t="str">
        <f ca="1">IFERROR(__xludf.DUMMYFUNCTION("IF(ISBLANK(A4),"""",GOOGLETRANSLATE(A4,""en"",""de""))"),"Steigern Sie Ihren Umsatz durch Omnichannel-Transformation und KI-gestützte Präzision.")</f>
        <v>Steigern Sie Ihren Umsatz durch Omnichannel-Transformation und KI-gestützte Präzision.</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197</v>
      </c>
      <c r="B7" s="2" t="str">
        <f ca="1">IFERROR(__xludf.DUMMYFUNCTION("IF(ISBLANK(A7),"""",GOOGLETRANSLATE(A7,""en"",""de""))"),"Unsere Kunden erleben")</f>
        <v>Unsere Kunden erleben</v>
      </c>
    </row>
    <row r="8" spans="1:2" ht="15.75" customHeight="1">
      <c r="A8" s="8">
        <v>0.25</v>
      </c>
      <c r="B8" s="2" t="str">
        <f ca="1">IFERROR(__xludf.DUMMYFUNCTION("IF(ISBLANK(A8),"""",GOOGLETRANSLATE(A8,""en"",""de""))"),"25 %")</f>
        <v>25 %</v>
      </c>
    </row>
    <row r="9" spans="1:2" ht="15.75" customHeight="1">
      <c r="A9" s="2" t="s">
        <v>198</v>
      </c>
      <c r="B9" s="2" t="str">
        <f ca="1">IFERROR(__xludf.DUMMYFUNCTION("IF(ISBLANK(A9),"""",GOOGLETRANSLATE(A9,""en"",""de""))"),"Zum Verkauf führen")</f>
        <v>Zum Verkauf führen</v>
      </c>
    </row>
    <row r="10" spans="1:2" ht="15.75" customHeight="1">
      <c r="A10" s="2" t="s">
        <v>199</v>
      </c>
      <c r="B10" s="2" t="str">
        <f ca="1">IFERROR(__xludf.DUMMYFUNCTION("IF(ISBLANK(A10),"""",GOOGLETRANSLATE(A10,""en"",""de""))"),"Konversionsrate")</f>
        <v>Konversionsrate</v>
      </c>
    </row>
    <row r="11" spans="1:2" ht="15.75" customHeight="1">
      <c r="A11" s="2" t="s">
        <v>200</v>
      </c>
      <c r="B11" s="2" t="str">
        <f ca="1">IFERROR(__xludf.DUMMYFUNCTION("IF(ISBLANK(A11),"""",GOOGLETRANSLATE(A11,""en"",""de""))"),"3 Stunden")</f>
        <v>3 Stunden</v>
      </c>
    </row>
    <row r="12" spans="1:2" ht="15.75" customHeight="1">
      <c r="A12" s="2" t="s">
        <v>201</v>
      </c>
      <c r="B12" s="2" t="str">
        <f ca="1">IFERROR(__xludf.DUMMYFUNCTION("IF(ISBLANK(A12),"""",GOOGLETRANSLATE(A12,""en"",""de""))"),"Pro Deal gespart")</f>
        <v>Pro Deal gespart</v>
      </c>
    </row>
    <row r="13" spans="1:2" ht="15.75" customHeight="1">
      <c r="A13" s="2" t="s">
        <v>202</v>
      </c>
      <c r="B13" s="2" t="str">
        <f ca="1">IFERROR(__xludf.DUMMYFUNCTION("IF(ISBLANK(A13),"""",GOOGLETRANSLATE(A13,""en"",""de""))"),"2,5-fach")</f>
        <v>2,5-fach</v>
      </c>
    </row>
    <row r="14" spans="1:2" ht="15.75" customHeight="1">
      <c r="A14" s="2" t="s">
        <v>203</v>
      </c>
      <c r="B14" s="2" t="str">
        <f ca="1">IFERROR(__xludf.DUMMYFUNCTION("IF(ISBLANK(A14),"""",GOOGLETRANSLATE(A14,""en"",""de""))"),"Zunahme")</f>
        <v>Zunahme</v>
      </c>
    </row>
    <row r="15" spans="1:2" ht="15.75" customHeight="1">
      <c r="A15" s="2" t="s">
        <v>204</v>
      </c>
      <c r="B15" s="2" t="str">
        <f ca="1">IFERROR(__xludf.DUMMYFUNCTION("IF(ISBLANK(A15),"""",GOOGLETRANSLATE(A15,""en"",""de""))"),"Interessenten aus dem digitalen Einzelhandel")</f>
        <v>Interessenten aus dem digitalen Einzelhandel</v>
      </c>
    </row>
    <row r="16" spans="1:2" ht="15.75" customHeight="1">
      <c r="B16" s="2" t="str">
        <f ca="1">IFERROR(__xludf.DUMMYFUNCTION("IF(ISBLANK(A16),"""",GOOGLETRANSLATE(A16,""en"",""de""))"),"")</f>
        <v/>
      </c>
    </row>
    <row r="17" spans="1:2" ht="15.75" customHeight="1">
      <c r="A17" s="2" t="s">
        <v>205</v>
      </c>
      <c r="B17" s="2" t="str">
        <f ca="1">IFERROR(__xludf.DUMMYFUNCTION("IF(ISBLANK(A17),"""",GOOGLETRANSLATE(A17,""en"",""de""))"),"Digitaler Einzelhandel für die Changemaker.")</f>
        <v>Digitaler Einzelhandel für die Changemaker.</v>
      </c>
    </row>
    <row r="18" spans="1:2" ht="15.75" customHeight="1">
      <c r="A18" s="2" t="s">
        <v>12</v>
      </c>
      <c r="B18" s="2" t="str">
        <f ca="1">IFERROR(__xludf.DUMMYFUNCTION("IF(ISBLANK(A18),"""",GOOGLETRANSLATE(A18,""en"",""de""))"),"OEMs")</f>
        <v>OEMs</v>
      </c>
    </row>
    <row r="19" spans="1:2" ht="15.75" customHeight="1">
      <c r="A19" s="2" t="s">
        <v>206</v>
      </c>
      <c r="B19" s="2" t="str">
        <f ca="1">IFERROR(__xludf.DUMMYFUNCTION("IF(ISBLANK(A19),"""",GOOGLETRANSLATE(A19,""en"",""de""))"),"OEM-geführte digitale Transformation des Einzelhandels ist unser Spezialgebiet. Ob Sie eine End-to-End-Plattform benötigen oder eine bestehende Lösung optimieren möchten – Transcend Retail stattet Sie und Ihr Händlernetzwerk mit der Technologie für die Um"&amp;"setzung und Skalierung aus. Unsere Plattform ermöglicht Echtzeit-Einblicke, optimiert Abläufe und sorgt für ein vernetztes, konsistentes Einkaufserlebnis, ohne den Händlerbetrieb oder bestehende Arbeitsabläufe zu stören.")</f>
        <v>OEM-geführte digitale Transformation des Einzelhandels ist unser Spezialgebiet. Ob Sie eine End-to-End-Plattform benötigen oder eine bestehende Lösung optimieren möchten – Transcend Retail stattet Sie und Ihr Händlernetzwerk mit der Technologie für die Umsetzung und Skalierung aus. Unsere Plattform ermöglicht Echtzeit-Einblicke, optimiert Abläufe und sorgt für ein vernetztes, konsistentes Einkaufserlebnis, ohne den Händlerbetrieb oder bestehende Arbeitsabläufe zu stören.</v>
      </c>
    </row>
    <row r="20" spans="1:2" ht="15.75" customHeight="1">
      <c r="A20" s="2" t="s">
        <v>207</v>
      </c>
      <c r="B20" s="2" t="str">
        <f ca="1">IFERROR(__xludf.DUMMYFUNCTION("IF(ISBLANK(A20),"""",GOOGLETRANSLATE(A20,""en"",""de""))"),"Händlergruppen")</f>
        <v>Händlergruppen</v>
      </c>
    </row>
    <row r="21" spans="1:2" ht="15.75" customHeight="1">
      <c r="A21" s="2" t="s">
        <v>208</v>
      </c>
      <c r="B21" s="2" t="str">
        <f ca="1">IFERROR(__xludf.DUMMYFUNCTION("IF(ISBLANK(A21),"""",GOOGLETRANSLATE(A21,""en"",""de""))"),"Transcend Retail ermöglicht Händlergruppen intelligentere, profitablere und effizientere Abläufe. Die modulare Architektur lässt sich nahtlos in DMS-, CRM- und Drittanbietersysteme integrieren, wodurch Silos beseitigt und Arbeitsabläufe optimiert werden. "&amp;"Dank der Flexibilität für Multi-Brand- und Multi-Lender-Umgebungen sorgt Transcend Retail für reibungslose Abläufe. Erweiterte Analysen und Dashboards liefern Echtzeit-Einblicke in Bestand und Rentabilität und sorgen so für unterbrechungsfreies Wachstum.")</f>
        <v>Transcend Retail ermöglicht Händlergruppen intelligentere, profitablere und effizientere Abläufe. Die modulare Architektur lässt sich nahtlos in DMS-, CRM- und Drittanbietersysteme integrieren, wodurch Silos beseitigt und Arbeitsabläufe optimiert werden. Dank der Flexibilität für Multi-Brand- und Multi-Lender-Umgebungen sorgt Transcend Retail für reibungslose Abläufe. Erweiterte Analysen und Dashboards liefern Echtzeit-Einblicke in Bestand und Rentabilität und sorgen so für unterbrechungsfreies Wachstum.</v>
      </c>
    </row>
    <row r="22" spans="1:2" ht="15.75" customHeight="1">
      <c r="A22" s="2" t="s">
        <v>209</v>
      </c>
      <c r="B22" s="2" t="str">
        <f ca="1">IFERROR(__xludf.DUMMYFUNCTION("IF(ISBLANK(A22),"""",GOOGLETRANSLATE(A22,""en"",""de""))"),"Händlerbetrieb")</f>
        <v>Händlerbetrieb</v>
      </c>
    </row>
    <row r="23" spans="1:2" ht="15.75" customHeight="1">
      <c r="A23" s="9" t="s">
        <v>210</v>
      </c>
      <c r="B23" s="2" t="str">
        <f ca="1">IFERROR(__xludf.DUMMYFUNCTION("IF(ISBLANK(A23),"""",GOOGLETRANSLATE(A23,""en"",""de""))"),"Verkaufen Sie mehr Autos, schließen Sie Geschäfte schneller ab und maximieren Sie jede Gewinnchance. Transcend Retail bietet Händlern die Tools, um mehr Leads zu konvertieren, Arbeitsabläufe zu optimieren und den F&amp;I-Umsatz zu steigern. Intuitive Kundento"&amp;"ols wie transparente Preise, KI-gestützte Inzahlungnahmeangebote und flexible Finanzierung sorgen für ein unkompliziertes Kauferlebnis, das zu höheren Konversionsraten führt und den Kundenzufriedenheitsindex (CSI) verbessert.")</f>
        <v>Verkaufen Sie mehr Autos, schließen Sie Geschäfte schneller ab und maximieren Sie jede Gewinnchance. Transcend Retail bietet Händlern die Tools, um mehr Leads zu konvertieren, Arbeitsabläufe zu optimieren und den F&amp;I-Umsatz zu steigern. Intuitive Kundentools wie transparente Preise, KI-gestützte Inzahlungnahmeangebote und flexible Finanzierung sorgen für ein unkompliziertes Kauferlebnis, das zu höheren Konversionsraten führt und den Kundenzufriedenheitsindex (CSI) verbessert.</v>
      </c>
    </row>
    <row r="24" spans="1:2" ht="13.2">
      <c r="A24" s="2" t="s">
        <v>211</v>
      </c>
      <c r="B24" s="2" t="str">
        <f ca="1">IFERROR(__xludf.DUMMYFUNCTION("IF(ISBLANK(A24),"""",GOOGLETRANSLATE(A24,""en"",""de""))"),"Innovation, die bewegt")</f>
        <v>Innovation, die bewegt</v>
      </c>
    </row>
    <row r="25" spans="1:2" ht="13.2">
      <c r="A25" s="2" t="s">
        <v>212</v>
      </c>
      <c r="B25" s="2" t="str">
        <f ca="1">IFERROR(__xludf.DUMMYFUNCTION("IF(ISBLANK(A25),"""",GOOGLETRANSLATE(A25,""en"",""de""))"),"Autoeinzelhandel")</f>
        <v>Autoeinzelhandel</v>
      </c>
    </row>
    <row r="26" spans="1:2" ht="13.2">
      <c r="A26" s="2" t="s">
        <v>213</v>
      </c>
      <c r="B26" s="2" t="str">
        <f ca="1">IFERROR(__xludf.DUMMYFUNCTION("IF(ISBLANK(A26),"""",GOOGLETRANSLATE(A26,""en"",""de""))"),"Verwandeln Sie Leads in")</f>
        <v>Verwandeln Sie Leads in</v>
      </c>
    </row>
    <row r="27" spans="1:2" ht="13.2">
      <c r="A27" s="2" t="s">
        <v>214</v>
      </c>
      <c r="B27" s="2" t="str">
        <f ca="1">IFERROR(__xludf.DUMMYFUNCTION("IF(ISBLANK(A27),"""",GOOGLETRANSLATE(A27,""en"",""de""))"),"Gewinn")</f>
        <v>Gewinn</v>
      </c>
    </row>
    <row r="28" spans="1:2" ht="13.2">
      <c r="A28" s="2" t="s">
        <v>215</v>
      </c>
      <c r="B28" s="2" t="str">
        <f ca="1">IFERROR(__xludf.DUMMYFUNCTION("IF(ISBLANK(A28),"""",GOOGLETRANSLATE(A28,""en"",""de""))"),"KI-gestützte Tools wandeln mehr Leads in Käufer um, während fortschrittliche Desking-Tools Prozesse rationalisieren, um die F&amp;I-Rentabilität pro Einheit zu steigern.")</f>
        <v>KI-gestützte Tools wandeln mehr Leads in Käufer um, während fortschrittliche Desking-Tools Prozesse rationalisieren, um die F&amp;I-Rentabilität pro Einheit zu steigern.</v>
      </c>
    </row>
    <row r="29" spans="1:2" ht="13.2">
      <c r="A29" s="2" t="s">
        <v>216</v>
      </c>
      <c r="B29" s="2" t="str">
        <f ca="1">IFERROR(__xludf.DUMMYFUNCTION("IF(ISBLANK(A29),"""",GOOGLETRANSLATE(A29,""en"",""de""))"),"Personalisierter Kundenreisen")</f>
        <v>Personalisierter Kundenreisen</v>
      </c>
    </row>
    <row r="30" spans="1:2" ht="13.2">
      <c r="A30" s="2"/>
      <c r="B30" s="2"/>
    </row>
    <row r="31" spans="1:2" ht="13.2">
      <c r="A31" s="2" t="s">
        <v>217</v>
      </c>
      <c r="B31" s="2" t="str">
        <f ca="1">IFERROR(__xludf.DUMMYFUNCTION("IF(ISBLANK(A31),"""",GOOGLETRANSLATE(A31,""en"",""de""))"),"Bieten Sie personalisierte, transparente und problemlose Einkaufserlebnisse, die Vertrauen und Loyalität aufbauen, ob online, im Geschäft oder in beiden Bereichen.")</f>
        <v>Bieten Sie personalisierte, transparente und problemlose Einkaufserlebnisse, die Vertrauen und Loyalität aufbauen, ob online, im Geschäft oder in beiden Bereichen.</v>
      </c>
    </row>
    <row r="32" spans="1:2" ht="13.2">
      <c r="A32" s="2" t="s">
        <v>218</v>
      </c>
      <c r="B32" s="2" t="str">
        <f ca="1">IFERROR(__xludf.DUMMYFUNCTION("IF(ISBLANK(A32),"""",GOOGLETRANSLATE(A32,""en"",""de""))"),"Optimieren Sie Ihre Abläufe ohne")</f>
        <v>Optimieren Sie Ihre Abläufe ohne</v>
      </c>
    </row>
    <row r="33" spans="1:2" ht="13.2">
      <c r="A33" s="2" t="s">
        <v>219</v>
      </c>
      <c r="B33" s="2" t="str">
        <f ca="1">IFERROR(__xludf.DUMMYFUNCTION("IF(ISBLANK(A33),"""",GOOGLETRANSLATE(A33,""en"",""de""))"),"Störung")</f>
        <v>Störung</v>
      </c>
    </row>
    <row r="34" spans="1:2" ht="13.2">
      <c r="A34" s="2" t="s">
        <v>220</v>
      </c>
      <c r="B34" s="2" t="str">
        <f ca="1">IFERROR(__xludf.DUMMYFUNCTION("IF(ISBLANK(A34),"""",GOOGLETRANSLATE(A34,""en"",""de""))"),"Nahtlose Integration in Altsysteme mithilfe maßgeschneiderter, modularer Lösungen, die Störungen minimieren und die Wertschöpfungszeit verkürzen.")</f>
        <v>Nahtlose Integration in Altsysteme mithilfe maßgeschneiderter, modularer Lösungen, die Störungen minimieren und die Wertschöpfungszeit verkürzen.</v>
      </c>
    </row>
    <row r="35" spans="1:2" ht="13.2">
      <c r="A35" s="2" t="s">
        <v>221</v>
      </c>
      <c r="B35" s="2" t="str">
        <f ca="1">IFERROR(__xludf.DUMMYFUNCTION("IF(ISBLANK(A35),"""",GOOGLETRANSLATE(A35,""en"",""de""))"),"Schaffen Sie Erlebnisse, die")</f>
        <v>Schaffen Sie Erlebnisse, die</v>
      </c>
    </row>
    <row r="36" spans="1:2" ht="13.2">
      <c r="A36" s="2" t="s">
        <v>222</v>
      </c>
      <c r="B36" s="2" t="str">
        <f ca="1">IFERROR(__xludf.DUMMYFUNCTION("IF(ISBLANK(A36),"""",GOOGLETRANSLATE(A36,""en"",""de""))"),"Anklang finden")</f>
        <v>Anklang finden</v>
      </c>
    </row>
    <row r="37" spans="1:2" ht="13.2">
      <c r="A37" s="2" t="s">
        <v>223</v>
      </c>
      <c r="B37" s="2" t="str">
        <f ca="1">IFERROR(__xludf.DUMMYFUNCTION("IF(ISBLANK(A37),"""",GOOGLETRANSLATE(A37,""en"",""de""))"),"Bieten Sie nahtlose, intuitive Reisen, die für Käufer der Generation Z und der Millennials optimiert sind, und sorgen Sie für schnelle, personalisierte Erlebnisse, die den modernen Erwartungen entsprechen.")</f>
        <v>Bieten Sie nahtlose, intuitive Reisen, die für Käufer der Generation Z und der Millennials optimiert sind, und sorgen Sie für schnelle, personalisierte Erlebnisse, die den modernen Erwartungen entsprechen.</v>
      </c>
    </row>
    <row r="38" spans="1:2" ht="13.2">
      <c r="A38" s="2" t="s">
        <v>224</v>
      </c>
      <c r="B38" s="2" t="str">
        <f ca="1">IFERROR(__xludf.DUMMYFUNCTION("IF(ISBLANK(A38),"""",GOOGLETRANSLATE(A38,""en"",""de""))"),"Komplexität transformieren")</f>
        <v>Komplexität transformieren</v>
      </c>
    </row>
    <row r="39" spans="1:2" ht="13.2">
      <c r="A39" s="2" t="s">
        <v>225</v>
      </c>
      <c r="B39" s="2" t="str">
        <f ca="1">IFERROR(__xludf.DUMMYFUNCTION("IF(ISBLANK(A39),"""",GOOGLETRANSLATE(A39,""en"",""de""))"),"in Klarheit")</f>
        <v>in Klarheit</v>
      </c>
    </row>
    <row r="40" spans="1:2" ht="13.2">
      <c r="A40" s="2" t="s">
        <v>226</v>
      </c>
      <c r="B40" s="2" t="str">
        <f ca="1">IFERROR(__xludf.DUMMYFUNCTION("IF(ISBLANK(A40),"""",GOOGLETRANSLATE(A40,""en"",""de""))"),"Zentralisierte Dashboards konsolidieren Leistungsdaten und bieten Einblicke in Echtzeit, die intelligentere und schnellere Entscheidungen über alle Kanäle hinweg ermöglichen.")</f>
        <v>Zentralisierte Dashboards konsolidieren Leistungsdaten und bieten Einblicke in Echtzeit, die intelligentere und schnellere Entscheidungen über alle Kanäle hinweg ermöglichen.</v>
      </c>
    </row>
    <row r="41" spans="1:2" ht="13.2">
      <c r="A41" s="2" t="s">
        <v>227</v>
      </c>
      <c r="B41" s="2" t="str">
        <f ca="1">IFERROR(__xludf.DUMMYFUNCTION("IF(ISBLANK(A41),"""",GOOGLETRANSLATE(A41,""en"",""de""))"),"Intelligent skalieren, ohne das Budget zu sprengen")</f>
        <v>Intelligent skalieren, ohne das Budget zu sprengen</v>
      </c>
    </row>
    <row r="42" spans="1:2" ht="13.2">
      <c r="A42" s="2" t="s">
        <v>228</v>
      </c>
      <c r="B42" s="2" t="str">
        <f ca="1">IFERROR(__xludf.DUMMYFUNCTION("IF(ISBLANK(A42),"""",GOOGLETRANSLATE(A42,""en"",""de""))"),"Investieren Sie in modulare Lösungen, die unnötige Ausgaben minimieren und gleichzeitig mit Ihrem Unternehmen wachsen, um den ROI und die Anpassungsfähigkeit zu maximieren.")</f>
        <v>Investieren Sie in modulare Lösungen, die unnötige Ausgaben minimieren und gleichzeitig mit Ihrem Unternehmen wachsen, um den ROI und die Anpassungsfähigkeit zu maximieren.</v>
      </c>
    </row>
    <row r="43" spans="1:2" ht="13.2">
      <c r="A43" s="2" t="s">
        <v>229</v>
      </c>
      <c r="B43" s="2" t="str">
        <f ca="1">IFERROR(__xludf.DUMMYFUNCTION("IF(ISBLANK(A43),"""",GOOGLETRANSLATE(A43,""en"",""de""))"),"Die Kaufreise")</f>
        <v>Die Kaufreise</v>
      </c>
    </row>
    <row r="44" spans="1:2" ht="13.2">
      <c r="A44" s="2" t="s">
        <v>230</v>
      </c>
      <c r="B44" s="2" t="str">
        <f ca="1">IFERROR(__xludf.DUMMYFUNCTION("IF(ISBLANK(A44),"""",GOOGLETRANSLATE(A44,""en"",""de""))"),"Erfahren Sie, wie Transcend Retail jeden Schritt mit intuitiven Tools und Funktionen vereinfacht.")</f>
        <v>Erfahren Sie, wie Transcend Retail jeden Schritt mit intuitiven Tools und Funktionen vereinfacht.</v>
      </c>
    </row>
    <row r="45" spans="1:2" ht="13.2">
      <c r="A45" s="2" t="s">
        <v>231</v>
      </c>
      <c r="B45" s="2" t="str">
        <f ca="1">IFERROR(__xludf.DUMMYFUNCTION("IF(ISBLANK(A45),"""",GOOGLETRANSLATE(A45,""en"",""de""))"),"Händler")</f>
        <v>Händler</v>
      </c>
    </row>
    <row r="46" spans="1:2" ht="13.2">
      <c r="A46" s="2" t="s">
        <v>232</v>
      </c>
      <c r="B46" s="2" t="str">
        <f ca="1">IFERROR(__xludf.DUMMYFUNCTION("IF(ISBLANK(A46),"""",GOOGLETRANSLATE(A46,""en"",""de""))"),"Kunde")</f>
        <v>Kunde</v>
      </c>
    </row>
    <row r="47" spans="1:2" ht="13.2">
      <c r="A47" s="2" t="s">
        <v>233</v>
      </c>
      <c r="B47" s="2" t="str">
        <f ca="1">IFERROR(__xludf.DUMMYFUNCTION("IF(ISBLANK(A47),"""",GOOGLETRANSLATE(A47,""en"",""de""))"),"Fahrzeug auswählen")</f>
        <v>Fahrzeug auswählen</v>
      </c>
    </row>
    <row r="48" spans="1:2" ht="13.2">
      <c r="A48" s="2" t="s">
        <v>234</v>
      </c>
      <c r="B48" s="2" t="str">
        <f ca="1">IFERROR(__xludf.DUMMYFUNCTION("IF(ISBLANK(A48),"""",GOOGLETRANSLATE(A48,""en"",""de""))"),"Geben Sie Ihren Kunden die Möglichkeit, mühelos das perfekte Auto zu finden.")</f>
        <v>Geben Sie Ihren Kunden die Möglichkeit, mühelos das perfekte Auto zu finden.</v>
      </c>
    </row>
    <row r="49" spans="1:2" ht="13.2">
      <c r="A49" s="2" t="s">
        <v>235</v>
      </c>
      <c r="B49" s="2" t="str">
        <f ca="1">IFERROR(__xludf.DUMMYFUNCTION("IF(ISBLANK(A49),"""",GOOGLETRANSLATE(A49,""en"",""de""))"),"Preise &amp; Inzahlungnahme")</f>
        <v>Preise &amp; Inzahlungnahme</v>
      </c>
    </row>
    <row r="50" spans="1:2" ht="13.2">
      <c r="A50" s="2" t="s">
        <v>236</v>
      </c>
      <c r="B50" s="2" t="str">
        <f ca="1">IFERROR(__xludf.DUMMYFUNCTION("IF(ISBLANK(A50),"""",GOOGLETRANSLATE(A50,""en"",""de""))"),"Bieten Sie klare, im Voraus festgelegte Preise und zuverlässige Inzahlungnahmeschätzungen.")</f>
        <v>Bieten Sie klare, im Voraus festgelegte Preise und zuverlässige Inzahlungnahmeschätzungen.</v>
      </c>
    </row>
    <row r="51" spans="1:2" ht="13.2">
      <c r="A51" s="2" t="s">
        <v>237</v>
      </c>
      <c r="B51" s="2" t="str">
        <f ca="1">IFERROR(__xludf.DUMMYFUNCTION("IF(ISBLANK(A51),"""",GOOGLETRANSLATE(A51,""en"",""de""))"),"Kreditantrag")</f>
        <v>Kreditantrag</v>
      </c>
    </row>
    <row r="52" spans="1:2" ht="13.2">
      <c r="A52" s="2" t="s">
        <v>238</v>
      </c>
      <c r="B52" s="2" t="str">
        <f ca="1">IFERROR(__xludf.DUMMYFUNCTION("IF(ISBLANK(A52),"""",GOOGLETRANSLATE(A52,""en"",""de""))"),"Sofortige Kreditentscheidungen, um Ihre Kunden umgehend über ihre Kaufkraft zu informieren.")</f>
        <v>Sofortige Kreditentscheidungen, um Ihre Kunden umgehend über ihre Kaufkraft zu informieren.</v>
      </c>
    </row>
    <row r="53" spans="1:2" ht="13.2">
      <c r="A53" s="2" t="s">
        <v>239</v>
      </c>
      <c r="B53" s="2" t="str">
        <f ca="1">IFERROR(__xludf.DUMMYFUNCTION("IF(ISBLANK(A53),"""",GOOGLETRANSLATE(A53,""en"",""de""))"),"Abschließen und unterschreiben")</f>
        <v>Abschließen und unterschreiben</v>
      </c>
    </row>
    <row r="54" spans="1:2" ht="13.2">
      <c r="A54" s="2" t="s">
        <v>240</v>
      </c>
      <c r="B54" s="2" t="str">
        <f ca="1">IFERROR(__xludf.DUMMYFUNCTION("IF(ISBLANK(A54),"""",GOOGLETRANSLATE(A54,""en"",""de""))"),"Sichere digitale Signatur und nahtlose Zahlungsabwicklung.")</f>
        <v>Sichere digitale Signatur und nahtlose Zahlungsabwicklung.</v>
      </c>
    </row>
    <row r="55" spans="1:2" ht="13.2">
      <c r="A55" s="2" t="s">
        <v>241</v>
      </c>
      <c r="B55" s="2" t="str">
        <f ca="1">IFERROR(__xludf.DUMMYFUNCTION("IF(ISBLANK(A55),"""",GOOGLETRANSLATE(A55,""en"",""de""))"),"Lieferplanung")</f>
        <v>Lieferplanung</v>
      </c>
    </row>
    <row r="56" spans="1:2" ht="13.2">
      <c r="A56" s="2" t="s">
        <v>242</v>
      </c>
      <c r="B56" s="2" t="str">
        <f ca="1">IFERROR(__xludf.DUMMYFUNCTION("IF(ISBLANK(A56),"""",GOOGLETRANSLATE(A56,""en"",""de""))"),"Vereinfachte Terminplanung für Probefahrten und Fahrzeugauslieferungen.")</f>
        <v>Vereinfachte Terminplanung für Probefahrten und Fahrzeugauslieferungen.</v>
      </c>
    </row>
    <row r="57" spans="1:2" ht="13.2">
      <c r="A57" s="2" t="s">
        <v>243</v>
      </c>
      <c r="B57" s="2" t="str">
        <f ca="1">IFERROR(__xludf.DUMMYFUNCTION("IF(ISBLANK(A57),"""",GOOGLETRANSLATE(A57,""en"",""de""))"),"Ihr Partner für Innovation und Exzellenz")</f>
        <v>Ihr Partner für Innovation und Exzellenz</v>
      </c>
    </row>
    <row r="58" spans="1:2" ht="13.2">
      <c r="A58" s="2" t="s">
        <v>244</v>
      </c>
      <c r="B58" s="2" t="str">
        <f ca="1">IFERROR(__xludf.DUMMYFUNCTION("IF(ISBLANK(A58),"""",GOOGLETRANSLATE(A58,""en"",""de""))"),"Nachgewiesene Expertise")</f>
        <v>Nachgewiesene Expertise</v>
      </c>
    </row>
    <row r="59" spans="1:2" ht="13.2">
      <c r="A59" s="2" t="s">
        <v>245</v>
      </c>
      <c r="B59" s="2" t="str">
        <f ca="1">IFERROR(__xludf.DUMMYFUNCTION("IF(ISBLANK(A59),"""",GOOGLETRANSLATE(A59,""en"",""de""))"),"NETSOL verfügt über umfangreiche Erfahrung in der Transformation komplexer Prozesse im Automobilhandel und in der Automobilfinanzierung. Unsere Lösungen sind individuell auf Ihre Anforderungen zugeschnitten und gewährleisten eine nahtlose Partnerschaft zu"&amp;"r Erreichung Ihrer Ziele.")</f>
        <v>NETSOL verfügt über umfangreiche Erfahrung in der Transformation komplexer Prozesse im Automobilhandel und in der Automobilfinanzierung. Unsere Lösungen sind individuell auf Ihre Anforderungen zugeschnitten und gewährleisten eine nahtlose Partnerschaft zur Erreichung Ihrer Ziele.</v>
      </c>
    </row>
    <row r="60" spans="1:2" ht="13.2">
      <c r="A60" s="2" t="s">
        <v>246</v>
      </c>
      <c r="B60" s="2" t="str">
        <f ca="1">IFERROR(__xludf.DUMMYFUNCTION("IF(ISBLANK(A60),"""",GOOGLETRANSLATE(A60,""en"",""de""))"),"Zukunftssichere Lösungen")</f>
        <v>Zukunftssichere Lösungen</v>
      </c>
    </row>
    <row r="61" spans="1:2" ht="13.2">
      <c r="A61" s="2" t="s">
        <v>247</v>
      </c>
      <c r="B61" s="2" t="str">
        <f ca="1">IFERROR(__xludf.DUMMYFUNCTION("IF(ISBLANK(A61),"""",GOOGLETRANSLATE(A61,""en"",""de""))"),"Die innovative, API-gesteuerte und Headless-Architektur von NETSOL gewährleistet Skalierbarkeit und einfache Integration. Unsere Produkte sind darauf ausgelegt, Online- und Offline-Einzelhandelserlebnisse zu transformieren und bieten erstklassige Lösungen"&amp;", die auf datenbasierten Erkenntnissen basieren.")</f>
        <v>Die innovative, API-gesteuerte und Headless-Architektur von NETSOL gewährleistet Skalierbarkeit und einfache Integration. Unsere Produkte sind darauf ausgelegt, Online- und Offline-Einzelhandelserlebnisse zu transformieren und bieten erstklassige Lösungen, die auf datenbasierten Erkenntnissen basieren.</v>
      </c>
    </row>
    <row r="62" spans="1:2" ht="13.2">
      <c r="A62" s="2" t="s">
        <v>248</v>
      </c>
      <c r="B62" s="2" t="str">
        <f ca="1">IFERROR(__xludf.DUMMYFUNCTION("IF(ISBLANK(A62),"""",GOOGLETRANSLATE(A62,""en"",""de""))"),"Außergewöhnliches Kundenerlebnis")</f>
        <v>Außergewöhnliches Kundenerlebnis</v>
      </c>
    </row>
    <row r="63" spans="1:2" ht="13.2">
      <c r="A63" s="2" t="s">
        <v>249</v>
      </c>
      <c r="B63" s="2" t="str">
        <f ca="1">IFERROR(__xludf.DUMMYFUNCTION("IF(ISBLANK(A63),"""",GOOGLETRANSLATE(A63,""en"",""de""))"),"Unsere intuitive UI/UX sorgt für ein erstklassiges Omnichannel-Kundenerlebnis im Einzelhandel. Mit modularen und flexiblen Steuerelementen ermöglicht NETSOL die mühelose Anpassung von Arbeitsabläufen und Schnittstellen und stellt dabei Kundenzufriedenheit"&amp;" und betriebliche Effizienz in den Vordergrund.")</f>
        <v>Unsere intuitive UI/UX sorgt für ein erstklassiges Omnichannel-Kundenerlebnis im Einzelhandel. Mit modularen und flexiblen Steuerelementen ermöglicht NETSOL die mühelose Anpassung von Arbeitsabläufen und Schnittstellen und stellt dabei Kundenzufriedenheit und betriebliche Effizienz in den Vordergrund.</v>
      </c>
    </row>
    <row r="64" spans="1:2" ht="13.2">
      <c r="A64" s="2" t="s">
        <v>250</v>
      </c>
      <c r="B64" s="2" t="str">
        <f ca="1">IFERROR(__xludf.DUMMYFUNCTION("IF(ISBLANK(A64),"""",GOOGLETRANSLATE(A64,""en"",""de""))"),"Was unsere Kunden über uns sagen")</f>
        <v>Was unsere Kunden über uns sagen</v>
      </c>
    </row>
    <row r="65" spans="1:2" ht="13.2">
      <c r="A65" s="2" t="s">
        <v>251</v>
      </c>
      <c r="B65" s="2" t="str">
        <f ca="1">IFERROR(__xludf.DUMMYFUNCTION("IF(ISBLANK(A65),"""",GOOGLETRANSLATE(A65,""en"",""de""))"),"Stefan Christman")</f>
        <v>Stefan Christman</v>
      </c>
    </row>
    <row r="66" spans="1:2" ht="13.2">
      <c r="A66" s="2" t="s">
        <v>252</v>
      </c>
      <c r="B66" s="2" t="str">
        <f ca="1">IFERROR(__xludf.DUMMYFUNCTION("IF(ISBLANK(A66),"""",GOOGLETRANSLATE(A66,""en"",""de""))"),"General Manager, Vertrieb und Marketing, MINI Financial Services")</f>
        <v>General Manager, Vertrieb und Marketing, MINI Financial Services</v>
      </c>
    </row>
    <row r="67" spans="1:2" ht="13.2">
      <c r="A67" s="2" t="s">
        <v>253</v>
      </c>
      <c r="B67" s="2" t="str">
        <f ca="1">IFERROR(__xludf.DUMMYFUNCTION("IF(ISBLANK(A67),"""",GOOGLETRANSLATE(A67,""en"",""de""))"),"Die Zusammenarbeit mit MINI USA und Transcend Retail ist für uns von größter Bedeutung, da sie kundenorientierte Lösungen und eine einfache Geschäftsabwicklung ermöglicht. MINI Anywhere gibt uns die nötige Sicherheit für den Online-Autoverkauf und gewährl"&amp;"eistet gleichzeitig eine hohe Kreditwürdigkeit und Zugang zu den attraktivsten Zinssätzen für unsere Kunden und Interessenten.")</f>
        <v>Die Zusammenarbeit mit MINI USA und Transcend Retail ist für uns von größter Bedeutung, da sie kundenorientierte Lösungen und eine einfache Geschäftsabwicklung ermöglicht. MINI Anywhere gibt uns die nötige Sicherheit für den Online-Autoverkauf und gewährleistet gleichzeitig eine hohe Kreditwürdigkeit und Zugang zu den attraktivsten Zinssätzen für unsere Kunden und Interessenten.</v>
      </c>
    </row>
    <row r="68" spans="1:2" ht="13.2">
      <c r="A68" s="2" t="s">
        <v>254</v>
      </c>
      <c r="B68" s="2" t="str">
        <f ca="1">IFERROR(__xludf.DUMMYFUNCTION("IF(ISBLANK(A68),"""",GOOGLETRANSLATE(A68,""en"",""de""))"),"Mini-Finanzdienstleistungen")</f>
        <v>Mini-Finanzdienstleistungen</v>
      </c>
    </row>
    <row r="69" spans="1:2" ht="13.2">
      <c r="A69" s="2" t="s">
        <v>255</v>
      </c>
      <c r="B69" s="2" t="str">
        <f ca="1">IFERROR(__xludf.DUMMYFUNCTION("IF(ISBLANK(A69),"""",GOOGLETRANSLATE(A69,""en"",""de""))"),"Laden Sie die Fallstudie herunter")</f>
        <v>Laden Sie die Fallstudie herunter</v>
      </c>
    </row>
    <row r="70" spans="1:2" ht="13.2">
      <c r="A70" s="2" t="s">
        <v>256</v>
      </c>
      <c r="B70" s="2" t="str">
        <f ca="1">IFERROR(__xludf.DUMMYFUNCTION("IF(ISBLANK(A70),"""",GOOGLETRANSLATE(A70,""en"",""de""))"),"Verwandte Blogs")</f>
        <v>Verwandte Blogs</v>
      </c>
    </row>
    <row r="71" spans="1:2" ht="13.2">
      <c r="A71" s="18" t="s">
        <v>106</v>
      </c>
      <c r="B71" s="2" t="str">
        <f ca="1">IFERROR(__xludf.DUMMYFUNCTION("IF(ISBLANK(A71),"""",GOOGLETRANSLATE(A71,""en"",""de""))"),"NETSOL ist beim Digital Dealer 2025 dabei: Wir stärken die Zukunft des Automobilhandels")</f>
        <v>NETSOL ist beim Digital Dealer 2025 dabei: Wir stärken die Zukunft des Automobilhandels</v>
      </c>
    </row>
    <row r="72" spans="1:2" ht="13.2">
      <c r="A72" s="2" t="s">
        <v>27</v>
      </c>
      <c r="B72" s="2" t="str">
        <f ca="1">IFERROR(__xludf.DUMMYFUNCTION("IF(ISBLANK(A72),"""",GOOGLETRANSLATE(A72,""en"",""de""))"),"Mehr erfahren")</f>
        <v>Mehr erfahren</v>
      </c>
    </row>
    <row r="73" spans="1:2" ht="13.2">
      <c r="A73" s="18" t="s">
        <v>257</v>
      </c>
      <c r="B73" s="2" t="str">
        <f ca="1">IFERROR(__xludf.DUMMYFUNCTION("IF(ISBLANK(A73),"""",GOOGLETRANSLATE(A73,""en"",""de""))"),"Podcast")</f>
        <v>Podcast</v>
      </c>
    </row>
    <row r="74" spans="1:2" ht="13.2">
      <c r="A74" s="18" t="s">
        <v>258</v>
      </c>
      <c r="B74" s="2" t="str">
        <f ca="1">IFERROR(__xludf.DUMMYFUNCTION("IF(ISBLANK(A74),"""",GOOGLETRANSLATE(A74,""en"",""de""))"),"Was kommt als Nächstes für den Automobilhandel? | Transcend AI Labs")</f>
        <v>Was kommt als Nächstes für den Automobilhandel? | Transcend AI Labs</v>
      </c>
    </row>
    <row r="75" spans="1:2" ht="13.2">
      <c r="A75" s="18" t="s">
        <v>259</v>
      </c>
      <c r="B75" s="2" t="str">
        <f ca="1">IFERROR(__xludf.DUMMYFUNCTION("IF(ISBLANK(A75),"""",GOOGLETRANSLATE(A75,""en"",""de""))"),"Jetzt ansehen")</f>
        <v>Jetzt ansehen</v>
      </c>
    </row>
    <row r="76" spans="1:2" ht="13.2">
      <c r="A76" s="2" t="s">
        <v>260</v>
      </c>
      <c r="B76" s="2" t="str">
        <f ca="1">IFERROR(__xludf.DUMMYFUNCTION("IF(ISBLANK(A76),"""",GOOGLETRANSLATE(A76,""en"",""de""))"),"Fallstudie")</f>
        <v>Fallstudie</v>
      </c>
    </row>
    <row r="77" spans="1:2" ht="13.2">
      <c r="A77" s="18" t="s">
        <v>261</v>
      </c>
      <c r="B77" s="2" t="str">
        <f ca="1">IFERROR(__xludf.DUMMYFUNCTION("IF(ISBLANK(A77),"""",GOOGLETRANSLATE(A77,""en"",""de""))"),"Ein tiefer Einblick in den Erfolg des digitalen Autohandels von MINI")</f>
        <v>Ein tiefer Einblick in den Erfolg des digitalen Autohandels von MINI</v>
      </c>
    </row>
    <row r="78" spans="1:2" ht="13.2">
      <c r="A78" s="2" t="s">
        <v>255</v>
      </c>
      <c r="B78" s="2" t="str">
        <f ca="1">IFERROR(__xludf.DUMMYFUNCTION("IF(ISBLANK(A78),"""",GOOGLETRANSLATE(A78,""en"",""de""))"),"Laden Sie die Fallstudie herunter")</f>
        <v>Laden Sie die Fallstudie herunter</v>
      </c>
    </row>
    <row r="79" spans="1:2" ht="13.2">
      <c r="A79" s="2" t="s">
        <v>262</v>
      </c>
      <c r="B79" s="2" t="str">
        <f ca="1">IFERROR(__xludf.DUMMYFUNCTION("IF(ISBLANK(A79),"""",GOOGLETRANSLATE(A79,""en"",""de""))"),"Erleben Sie die digitalen Einzelhandelstools von NETSOL")</f>
        <v>Erleben Sie die digitalen Einzelhandelstools von NETSOL</v>
      </c>
    </row>
    <row r="80" spans="1:2" ht="13.2">
      <c r="A80" s="2" t="s">
        <v>263</v>
      </c>
      <c r="B80" s="2" t="str">
        <f ca="1">IFERROR(__xludf.DUMMYFUNCTION("IF(ISBLANK(A80),"""",GOOGLETRANSLATE(A80,""en"",""de""))"),"Entdecken Sie, wie NETSOL Ihr Unternehmen mit unserem Fachwissen und unserer jahrzehntelangen Erfahrung in der Automobil- und Ausrüstungsindustrie voranbringen kann.")</f>
        <v>Entdecken Sie, wie NETSOL Ihr Unternehmen mit unserem Fachwissen und unserer jahrzehntelangen Erfahrung in der Automobil- und Ausrüstungsindustrie voranbringen kann.</v>
      </c>
    </row>
    <row r="81" spans="1:2" ht="13.2">
      <c r="B81" s="2" t="str">
        <f ca="1">IFERROR(__xludf.DUMMYFUNCTION("IF(ISBLANK(A81),"""",GOOGLETRANSLATE(A81,""en"",""de""))"),"")</f>
        <v/>
      </c>
    </row>
    <row r="82" spans="1:2" ht="13.2">
      <c r="B82" s="2" t="str">
        <f ca="1">IFERROR(__xludf.DUMMYFUNCTION("IF(ISBLANK(A82),"""",GOOGLETRANSLATE(A82,""en"",""de""))"),"")</f>
        <v/>
      </c>
    </row>
    <row r="83" spans="1:2" ht="13.2">
      <c r="A83" s="2" t="s">
        <v>114</v>
      </c>
      <c r="B83" s="2" t="str">
        <f ca="1">IFERROR(__xludf.DUMMYFUNCTION("IF(ISBLANK(A83),"""",GOOGLETRANSLATE(A83,""en"",""de""))"),"Abonnieren Sie unseren Newsletter, um die neuesten Nachrichten in Ihrem Posteingang zu erhalten.")</f>
        <v>Abonnieren Sie unseren Newsletter, um die neuesten Nachrichten in Ihrem Posteingang zu erhalten.</v>
      </c>
    </row>
    <row r="84" spans="1:2" ht="13.2">
      <c r="A84" s="2" t="s">
        <v>115</v>
      </c>
      <c r="B84" s="2" t="str">
        <f ca="1">IFERROR(__xludf.DUMMYFUNCTION("IF(ISBLANK(A84),"""",GOOGLETRANSLATE(A84,""en"",""de""))"),"abc@example.com")</f>
        <v>abc@example.com</v>
      </c>
    </row>
    <row r="85" spans="1:2" ht="13.2">
      <c r="A85" s="2" t="s">
        <v>116</v>
      </c>
      <c r="B85" s="2" t="str">
        <f ca="1">IFERROR(__xludf.DUMMYFUNCTION("IF(ISBLANK(A85),"""",GOOGLETRANSLATE(A85,""en"",""de""))"),"Abonnieren ")</f>
        <v xml:space="preserve">Abonnieren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69"/>
  <sheetViews>
    <sheetView tabSelected="1" topLeftCell="A6" workbookViewId="0">
      <selection activeCell="B26" sqref="B26"/>
    </sheetView>
  </sheetViews>
  <sheetFormatPr defaultColWidth="12.5546875" defaultRowHeight="15.75" customHeight="1"/>
  <cols>
    <col min="1" max="1" width="114" customWidth="1"/>
  </cols>
  <sheetData>
    <row r="1" spans="1:2" ht="13.2">
      <c r="A1" s="1" t="s">
        <v>0</v>
      </c>
      <c r="B1" s="1" t="s">
        <v>1</v>
      </c>
    </row>
    <row r="2" spans="1:2" ht="15.75" customHeight="1">
      <c r="A2" s="2" t="s">
        <v>123</v>
      </c>
      <c r="B2" s="2" t="str">
        <f ca="1">IFERROR(__xludf.DUMMYFUNCTION("IF(ISBLANK(A2),"""",GOOGLETRANSLATE(A2,""en"",""de""))"),"Vermittlungsportale")</f>
        <v>Vermittlungsportale</v>
      </c>
    </row>
    <row r="3" spans="1:2" ht="15.75" customHeight="1">
      <c r="A3" s="16" t="s">
        <v>264</v>
      </c>
      <c r="B3" s="2" t="str">
        <f ca="1">IFERROR(__xludf.DUMMYFUNCTION("IF(ISBLANK(A3),"""",GOOGLETRANSLATE(A3,""en"",""de""))"),"Maßgeschneiderte Portale zur Stärkung der Markenidentität")</f>
        <v>Maßgeschneiderte Portale zur Stärkung der Markenidentität</v>
      </c>
    </row>
    <row r="4" spans="1:2" ht="15.75" customHeight="1">
      <c r="A4" s="2" t="s">
        <v>265</v>
      </c>
      <c r="B4" s="2" t="str">
        <f ca="1">IFERROR(__xludf.DUMMYFUNCTION("IF(ISBLANK(A4),"""",GOOGLETRANSLATE(A4,""en"",""de""))"),"Bieten Sie Ihren Kunden ein einheitliches und durchgängiges Einkaufserlebnis.")</f>
        <v>Bieten Sie Ihren Kunden ein einheitliches und durchgängiges Einkaufserlebnis.</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266</v>
      </c>
      <c r="B7" s="2" t="str">
        <f ca="1">IFERROR(__xludf.DUMMYFUNCTION("IF(ISBLANK(A7),"""",GOOGLETRANSLATE(A7,""en"",""de""))"),"Markenidentität erhalten und stärken und gleichzeitig die Zufriedenheit steigern")</f>
        <v>Markenidentität erhalten und stärken und gleichzeitig die Zufriedenheit steigern</v>
      </c>
    </row>
    <row r="8" spans="1:2" ht="15.75" customHeight="1">
      <c r="A8" s="2" t="s">
        <v>267</v>
      </c>
      <c r="B8" s="2" t="str">
        <f ca="1">IFERROR(__xludf.DUMMYFUNCTION("IF(ISBLANK(A8),"""",GOOGLETRANSLATE(A8,""en"",""de""))"),"Unsere maßgeschneiderten, markenspezifischen internen Portale lassen sich in ein intuitives, kundenorientiertes Gateway integrieren, das die Komplexität der dahinterstehenden Technologie verbirgt. Potenzielle Kunden werden auf einem intuitiven und markeno"&amp;"rientierten Weg durch den Einzelhandelsprozess geführt. Dies unterstreicht Ihre spezifischen Prioritäten und Ziele und bietet dem Kunden gleichzeitig ein nahtloses und komfortables Einkaufserlebnis.")</f>
        <v>Unsere maßgeschneiderten, markenspezifischen internen Portale lassen sich in ein intuitives, kundenorientiertes Gateway integrieren, das die Komplexität der dahinterstehenden Technologie verbirgt. Potenzielle Kunden werden auf einem intuitiven und markenorientierten Weg durch den Einzelhandelsprozess geführt. Dies unterstreicht Ihre spezifischen Prioritäten und Ziele und bietet dem Kunden gleichzeitig ein nahtloses und komfortables Einkaufserlebnis.</v>
      </c>
    </row>
    <row r="9" spans="1:2" ht="15.75" customHeight="1">
      <c r="A9" s="2" t="s">
        <v>268</v>
      </c>
      <c r="B9" s="2" t="str">
        <f ca="1">IFERROR(__xludf.DUMMYFUNCTION("IF(ISBLANK(A9),"""",GOOGLETRANSLATE(A9,""en"",""de""))"),"Moderner Komfort")</f>
        <v>Moderner Komfort</v>
      </c>
    </row>
    <row r="10" spans="1:2" ht="15.75" customHeight="1">
      <c r="A10" s="2" t="s">
        <v>269</v>
      </c>
      <c r="B10" s="2" t="str">
        <f ca="1">IFERROR(__xludf.DUMMYFUNCTION("IF(ISBLANK(A10),"""",GOOGLETRANSLATE(A10,""en"",""de""))"),"Ein optimierter Einkaufsprozess, bei dem die Kundenzufriedenheit im Vordergrund steht und gleichzeitig die wichtigsten Ziele und die Markenidentität Ihres Unternehmens erreicht und verbessert werden.")</f>
        <v>Ein optimierter Einkaufsprozess, bei dem die Kundenzufriedenheit im Vordergrund steht und gleichzeitig die wichtigsten Ziele und die Markenidentität Ihres Unternehmens erreicht und verbessert werden.</v>
      </c>
    </row>
    <row r="11" spans="1:2" ht="15.75" customHeight="1">
      <c r="A11" s="2" t="s">
        <v>270</v>
      </c>
      <c r="B11" s="2" t="str">
        <f ca="1">IFERROR(__xludf.DUMMYFUNCTION("IF(ISBLANK(A11),"""",GOOGLETRANSLATE(A11,""en"",""de""))"),"Mühelose Systemintegration")</f>
        <v>Mühelose Systemintegration</v>
      </c>
    </row>
    <row r="12" spans="1:2" ht="15.75" customHeight="1">
      <c r="A12" s="2" t="s">
        <v>271</v>
      </c>
      <c r="B12" s="2" t="str">
        <f ca="1">IFERROR(__xludf.DUMMYFUNCTION("IF(ISBLANK(A12),"""",GOOGLETRANSLATE(A12,""en"",""de""))"),"Bietet den gesamten Nutzen und die Komplexität eines spezialisierten Systems eines Drittanbieters, ist aber dennoch nahtlos in Ihren Online-Prozess integriert.")</f>
        <v>Bietet den gesamten Nutzen und die Komplexität eines spezialisierten Systems eines Drittanbieters, ist aber dennoch nahtlos in Ihren Online-Prozess integriert.</v>
      </c>
    </row>
    <row r="13" spans="1:2" ht="15.75" customHeight="1">
      <c r="A13" s="2" t="s">
        <v>272</v>
      </c>
      <c r="B13" s="2" t="str">
        <f ca="1">IFERROR(__xludf.DUMMYFUNCTION("IF(ISBLANK(A13),"""",GOOGLETRANSLATE(A13,""en"",""de""))"),"Vernetzte Infrastruktur")</f>
        <v>Vernetzte Infrastruktur</v>
      </c>
    </row>
    <row r="14" spans="1:2" ht="15.75" customHeight="1">
      <c r="A14" s="2" t="s">
        <v>273</v>
      </c>
      <c r="B14" s="2" t="str">
        <f ca="1">IFERROR(__xludf.DUMMYFUNCTION("IF(ISBLANK(A14),"""",GOOGLETRANSLATE(A14,""en"",""de""))"),"In Zusammenarbeit mit unseren Kunden entwickelt und für Sie optimiert. Erreichen Sie einwandfreie Effizienz mit nahtlosen DMS- und CRM-Systemen.")</f>
        <v>In Zusammenarbeit mit unseren Kunden entwickelt und für Sie optimiert. Erreichen Sie einwandfreie Effizienz mit nahtlosen DMS- und CRM-Systemen.</v>
      </c>
    </row>
    <row r="15" spans="1:2" ht="15.75" customHeight="1">
      <c r="A15" s="2" t="s">
        <v>274</v>
      </c>
      <c r="B15" s="2" t="str">
        <f ca="1">IFERROR(__xludf.DUMMYFUNCTION("IF(ISBLANK(A15),"""",GOOGLETRANSLATE(A15,""en"",""de""))"),"Kundenorientierung")</f>
        <v>Kundenorientierung</v>
      </c>
    </row>
    <row r="16" spans="1:2" ht="15.75" customHeight="1">
      <c r="A16" s="2" t="s">
        <v>275</v>
      </c>
      <c r="B16" s="2" t="str">
        <f ca="1">IFERROR(__xludf.DUMMYFUNCTION("IF(ISBLANK(A16),"""",GOOGLETRANSLATE(A16,""en"",""de""))"),"Verbessern Sie das Kundenerlebnis mit intuitiven und einfachen Portalen, die so konzipiert sind, dass die dahinter stehende komplexe Technologie verborgen bleibt.")</f>
        <v>Verbessern Sie das Kundenerlebnis mit intuitiven und einfachen Portalen, die so konzipiert sind, dass die dahinter stehende komplexe Technologie verborgen bleibt.</v>
      </c>
    </row>
    <row r="17" spans="1:2" ht="15.75" customHeight="1">
      <c r="A17" s="2" t="s">
        <v>84</v>
      </c>
      <c r="B17" s="2" t="str">
        <f ca="1">IFERROR(__xludf.DUMMYFUNCTION("IF(ISBLANK(A17),"""",GOOGLETRANSLATE(A17,""en"",""de""))"),"Über 500 Milliarden US-Dollar")</f>
        <v>Über 500 Milliarden US-Dollar</v>
      </c>
    </row>
    <row r="18" spans="1:2" ht="15.75" customHeight="1">
      <c r="A18" s="2" t="s">
        <v>85</v>
      </c>
      <c r="B18" s="2" t="str">
        <f ca="1">IFERROR(__xludf.DUMMYFUNCTION("IF(ISBLANK(A18),"""",GOOGLETRANSLATE(A18,""en"",""de""))"),"Global verwaltetes Vermögen")</f>
        <v>Global verwaltetes Vermögen</v>
      </c>
    </row>
    <row r="19" spans="1:2" ht="15.75" customHeight="1">
      <c r="A19" s="2" t="s">
        <v>276</v>
      </c>
      <c r="B19" s="2" t="str">
        <f ca="1">IFERROR(__xludf.DUMMYFUNCTION("IF(ISBLANK(A19),"""",GOOGLETRANSLATE(A19,""en"",""de""))"),"350+")</f>
        <v>350+</v>
      </c>
    </row>
    <row r="20" spans="1:2" ht="15.75" customHeight="1">
      <c r="A20" s="2" t="s">
        <v>83</v>
      </c>
      <c r="B20" s="2" t="str">
        <f ca="1">IFERROR(__xludf.DUMMYFUNCTION("IF(ISBLANK(A20),"""",GOOGLETRANSLATE(A20,""en"",""de""))"),"Erfolgreiche Implementierungen")</f>
        <v>Erfolgreiche Implementierungen</v>
      </c>
    </row>
    <row r="21" spans="1:2" ht="15.75" customHeight="1">
      <c r="A21" s="2" t="s">
        <v>80</v>
      </c>
      <c r="B21" s="2" t="str">
        <f ca="1">IFERROR(__xludf.DUMMYFUNCTION("IF(ISBLANK(A21),"""",GOOGLETRANSLATE(A21,""en"",""de""))"),"200+")</f>
        <v>200+</v>
      </c>
    </row>
    <row r="22" spans="1:2" ht="15.75" customHeight="1">
      <c r="A22" s="2" t="s">
        <v>81</v>
      </c>
      <c r="B22" s="2" t="str">
        <f ca="1">IFERROR(__xludf.DUMMYFUNCTION("IF(ISBLANK(A22),"""",GOOGLETRANSLATE(A22,""en"",""de""))"),"Kunden weltweit")</f>
        <v>Kunden weltweit</v>
      </c>
    </row>
    <row r="23" spans="1:2" ht="15.75" customHeight="1">
      <c r="A23" s="2" t="s">
        <v>277</v>
      </c>
      <c r="B23" s="2" t="str">
        <f ca="1">IFERROR(__xludf.DUMMYFUNCTION("IF(ISBLANK(A23),"""",GOOGLETRANSLATE(A23,""en"",""de""))"),"30+")</f>
        <v>30+</v>
      </c>
    </row>
    <row r="24" spans="1:2" ht="13.2">
      <c r="A24" s="2" t="s">
        <v>278</v>
      </c>
      <c r="B24" s="2" t="str">
        <f ca="1">IFERROR(__xludf.DUMMYFUNCTION("IF(ISBLANK(A24),"""",GOOGLETRANSLATE(A24,""en"",""de""))"),"Bediente Länder")</f>
        <v>Bediente Länder</v>
      </c>
    </row>
    <row r="25" spans="1:2" ht="13.2">
      <c r="A25" s="2" t="s">
        <v>279</v>
      </c>
      <c r="B25" s="2" t="str">
        <f ca="1">IFERROR(__xludf.DUMMYFUNCTION("IF(ISBLANK(A25),"""",GOOGLETRANSLATE(A25,""en"",""de""))"),"End-to-End-Kontrolle und A25")</f>
        <v>End-to-End-Kontrolle und A25</v>
      </c>
    </row>
    <row r="26" spans="1:2" ht="13.2">
      <c r="A26" s="6" t="s">
        <v>280</v>
      </c>
      <c r="B26" s="2" t="str">
        <f ca="1">IFERROR(__xludf.DUMMYFUNCTION("IF(ISBLANK(A26),"""",GOOGLETRANSLATE(A26,""en"",""de""))"),"Maklerportale")</f>
        <v>Maklerportale</v>
      </c>
    </row>
    <row r="27" spans="1:2" ht="13.2">
      <c r="A27" s="2" t="s">
        <v>281</v>
      </c>
      <c r="B27" s="2" t="str">
        <f ca="1">IFERROR(__xludf.DUMMYFUNCTION("IF(ISBLANK(A27),"""",GOOGLETRANSLATE(A27,""en"",""de""))"),"Effizienz und Effektivität sind für jeden Makler von größter Bedeutung. Die Verwaltung unterschiedlicher Systeme und Prozesse kann mühsam und zeitaufwändig sein und führt oft zu Ineffizienzen und verpassten Chancen. NETSOL bietet eine Lösung für diese Her"&amp;"ausforderungen, indem es unterschiedliche Prozesse in einer einzigen einheitlichen Oberfläche konsolidiert und so die Arbeitsweise Ihres Maklerunternehmens revolutioniert.")</f>
        <v>Effizienz und Effektivität sind für jeden Makler von größter Bedeutung. Die Verwaltung unterschiedlicher Systeme und Prozesse kann mühsam und zeitaufwändig sein und führt oft zu Ineffizienzen und verpassten Chancen. NETSOL bietet eine Lösung für diese Herausforderungen, indem es unterschiedliche Prozesse in einer einzigen einheitlichen Oberfläche konsolidiert und so die Arbeitsweise Ihres Maklerunternehmens revolutioniert.</v>
      </c>
    </row>
    <row r="28" spans="1:2" ht="13.2">
      <c r="A28" s="6" t="s">
        <v>282</v>
      </c>
      <c r="B28" s="2" t="str">
        <f ca="1">IFERROR(__xludf.DUMMYFUNCTION("IF(ISBLANK(A28),"""",GOOGLETRANSLATE(A28,""en"",""de""))"),"Kreditgeberportale")</f>
        <v>Kreditgeberportale</v>
      </c>
    </row>
    <row r="29" spans="1:2" ht="13.2">
      <c r="A29" s="2" t="s">
        <v>283</v>
      </c>
      <c r="B29" s="2" t="str">
        <f ca="1">IFERROR(__xludf.DUMMYFUNCTION("IF(ISBLANK(A29),"""",GOOGLETRANSLATE(A29,""en"",""de""))"),"Die kreditgeberspezifischen Portale von NETSOL optimieren den Kreditvergabeprozess durch verbessertes Risikomanagement und höhere Rentabilität. Unsere fortschrittlichen Tools optimieren nicht nur die Kreditvergabe, sondern ermöglichen auch eine reibungslo"&amp;"se Kommunikation und Zusammenarbeit mit dem Kreditökosystem. Optimieren Sie Ihren Kreditvergabeprozess mit intuitiven und effizienten Kreditgeberportalen für ein nahtloses Benutzererlebnis.")</f>
        <v>Die kreditgeberspezifischen Portale von NETSOL optimieren den Kreditvergabeprozess durch verbessertes Risikomanagement und höhere Rentabilität. Unsere fortschrittlichen Tools optimieren nicht nur die Kreditvergabe, sondern ermöglichen auch eine reibungslose Kommunikation und Zusammenarbeit mit dem Kreditökosystem. Optimieren Sie Ihren Kreditvergabeprozess mit intuitiven und effizienten Kreditgeberportalen für ein nahtloses Benutzererlebnis.</v>
      </c>
    </row>
    <row r="30" spans="1:2" ht="13.2">
      <c r="A30" s="2" t="s">
        <v>284</v>
      </c>
      <c r="B30" s="2" t="str">
        <f ca="1">IFERROR(__xludf.DUMMYFUNCTION("IF(ISBLANK(A30),"""",GOOGLETRANSLATE(A30,""en"",""de""))"),"Händlerportale")</f>
        <v>Händlerportale</v>
      </c>
    </row>
    <row r="31" spans="1:2" ht="13.2">
      <c r="A31" s="2" t="s">
        <v>285</v>
      </c>
      <c r="B31" s="2" t="str">
        <f ca="1">IFERROR(__xludf.DUMMYFUNCTION("IF(ISBLANK(A31),"""",GOOGLETRANSLATE(A31,""en"",""de""))"),"In der wettbewerbsintensiven Automobilbranche benötigen Händler effiziente und umfassende Lösungen, um ihre Abläufe effektiv zu steuern. Die Vermittlungsportale von NETSOL dienen als digitale Kommandozentralen und bieten Händlern eine breite Palette an To"&amp;"ols, Ressourcen und Services zur Optimierung aller Aspekte ihres Geschäfts – von der Bestandsverwaltung bis hin zu Vertrieb und Marketing.")</f>
        <v>In der wettbewerbsintensiven Automobilbranche benötigen Händler effiziente und umfassende Lösungen, um ihre Abläufe effektiv zu steuern. Die Vermittlungsportale von NETSOL dienen als digitale Kommandozentralen und bieten Händlern eine breite Palette an Tools, Ressourcen und Services zur Optimierung aller Aspekte ihres Geschäfts – von der Bestandsverwaltung bis hin zu Vertrieb und Marketing.</v>
      </c>
    </row>
    <row r="32" spans="1:2" ht="13.2">
      <c r="A32" s="6" t="s">
        <v>97</v>
      </c>
      <c r="B32" s="2" t="str">
        <f ca="1">IFERROR(__xludf.DUMMYFUNCTION("IF(ISBLANK(A32),"""",GOOGLETRANSLATE(A32,""en"",""de""))"),"Haydock Financial ist mit dem Marktplatz von NETSOL erfolgreich")</f>
        <v>Haydock Financial ist mit dem Marktplatz von NETSOL erfolgreich</v>
      </c>
    </row>
    <row r="33" spans="1:2" ht="13.2">
      <c r="A33" s="2" t="s">
        <v>286</v>
      </c>
      <c r="B33" s="2" t="str">
        <f ca="1">IFERROR(__xludf.DUMMYFUNCTION("IF(ISBLANK(A33),"""",GOOGLETRANSLATE(A33,""en"",""de""))"),"„Ich kann sowohl Appex Now als auch NETSOL uneingeschränkt empfehlen. Die Produkte sind brillant. Sie funktionieren fantastisch. Und NETSOL ist auf unsere Bedürfnisse eingegangen und hat alle gewünschten Änderungen schnell vorgenommen.“")</f>
        <v>„Ich kann sowohl Appex Now als auch NETSOL uneingeschränkt empfehlen. Die Produkte sind brillant. Sie funktionieren fantastisch. Und NETSOL ist auf unsere Bedürfnisse eingegangen und hat alle gewünschten Änderungen schnell vorgenommen.“</v>
      </c>
    </row>
    <row r="34" spans="1:2" ht="13.2">
      <c r="A34" s="6" t="s">
        <v>99</v>
      </c>
      <c r="B34" s="2" t="str">
        <f ca="1">IFERROR(__xludf.DUMMYFUNCTION("IF(ISBLANK(A34),"""",GOOGLETRANSLATE(A34,""en"",""de""))"),"Mike Boyes")</f>
        <v>Mike Boyes</v>
      </c>
    </row>
    <row r="35" spans="1:2" ht="13.2">
      <c r="A35" s="2" t="s">
        <v>287</v>
      </c>
      <c r="B35" s="2" t="str">
        <f ca="1">IFERROR(__xludf.DUMMYFUNCTION("IF(ISBLANK(A35),"""",GOOGLETRANSLATE(A35,""en"",""de""))"),"Sind Sie bereit, durch unsere Vermittlungsportale zu navigieren?")</f>
        <v>Sind Sie bereit, durch unsere Vermittlungsportale zu navigieren?</v>
      </c>
    </row>
    <row r="36" spans="1:2" ht="13.2">
      <c r="A36" s="2" t="s">
        <v>288</v>
      </c>
      <c r="B36" s="2" t="str">
        <f ca="1">IFERROR(__xludf.DUMMYFUNCTION("IF(ISBLANK(A36),"""",GOOGLETRANSLATE(A36,""en"",""de""))"),"Erfahren Sie mehr über die fachmännisch gestalteten, anpassbaren Portale von NETSOL und erleben Sie deren Vorteile. Entdecken Sie noch heute unsere Vermittlungsportale.")</f>
        <v>Erfahren Sie mehr über die fachmännisch gestalteten, anpassbaren Portale von NETSOL und erleben Sie deren Vorteile. Entdecken Sie noch heute unsere Vermittlungsportale.</v>
      </c>
    </row>
    <row r="37" spans="1:2" ht="13.2">
      <c r="B37" s="2" t="str">
        <f ca="1">IFERROR(__xludf.DUMMYFUNCTION("IF(ISBLANK(A37),"""",GOOGLETRANSLATE(A37,""en"",""de""))"),"")</f>
        <v/>
      </c>
    </row>
    <row r="38" spans="1:2" ht="13.2">
      <c r="A38" s="2" t="s">
        <v>100</v>
      </c>
      <c r="B38" s="2" t="str">
        <f ca="1">IFERROR(__xludf.DUMMYFUNCTION("IF(ISBLANK(A38),"""",GOOGLETRANSLATE(A38,""en"",""de""))"),"Empfohlene Lektüre und Einblicke")</f>
        <v>Empfohlene Lektüre und Einblicke</v>
      </c>
    </row>
    <row r="39" spans="1:2" ht="13.2">
      <c r="A39" s="10" t="s">
        <v>101</v>
      </c>
      <c r="B39" s="2" t="str">
        <f ca="1">IFERROR(__xludf.DUMMYFUNCTION("IF(ISBLANK(A39),"""",GOOGLETRANSLATE(A39,""en"",""de""))"),"Bleiben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40" spans="1:2" ht="13.2">
      <c r="A40" s="2" t="s">
        <v>102</v>
      </c>
      <c r="B40" s="2" t="str">
        <f ca="1">IFERROR(__xludf.DUMMYFUNCTION("IF(ISBLANK(A40),"""",GOOGLETRANSLATE(A40,""en"",""de""))"),"Der Blog")</f>
        <v>Der Blog</v>
      </c>
    </row>
    <row r="41" spans="1:2" ht="13.2">
      <c r="A41" s="2" t="s">
        <v>103</v>
      </c>
      <c r="B41" s="2" t="str">
        <f ca="1">IFERROR(__xludf.DUMMYFUNCTION("IF(ISBLANK(A41),"""",GOOGLETRANSLATE(A41,""en"",""de""))"),"Über das DMS hinaus: Warum die Zukunft des Automobilhandels API-first ist")</f>
        <v>Über das DMS hinaus: Warum die Zukunft des Automobilhandels API-first ist</v>
      </c>
    </row>
    <row r="42" spans="1:2" ht="13.2">
      <c r="A42" s="2" t="s">
        <v>27</v>
      </c>
      <c r="B42" s="2" t="str">
        <f ca="1">IFERROR(__xludf.DUMMYFUNCTION("IF(ISBLANK(A42),"""",GOOGLETRANSLATE(A42,""en"",""de""))"),"Mehr erfahren")</f>
        <v>Mehr erfahren</v>
      </c>
    </row>
    <row r="43" spans="1:2" ht="13.2">
      <c r="B43" s="2" t="str">
        <f ca="1">IFERROR(__xludf.DUMMYFUNCTION("IF(ISBLANK(A43),"""",GOOGLETRANSLATE(A43,""en"",""de""))"),"")</f>
        <v/>
      </c>
    </row>
    <row r="44" spans="1:2" ht="13.2">
      <c r="A44" s="2" t="s">
        <v>104</v>
      </c>
      <c r="B44" s="2" t="str">
        <f ca="1">IFERROR(__xludf.DUMMYFUNCTION("IF(ISBLANK(A44),"""",GOOGLETRANSLATE(A44,""en"",""de""))"),"NETSOL ist auf der GlobalData Automotive Europe Conference and Awards 2025")</f>
        <v>NETSOL ist auf der GlobalData Automotive Europe Conference and Awards 2025</v>
      </c>
    </row>
    <row r="45" spans="1:2" ht="13.2">
      <c r="B45" s="2" t="str">
        <f ca="1">IFERROR(__xludf.DUMMYFUNCTION("IF(ISBLANK(A45),"""",GOOGLETRANSLATE(A45,""en"",""de""))"),"")</f>
        <v/>
      </c>
    </row>
    <row r="46" spans="1:2" ht="13.2">
      <c r="B46" s="2" t="str">
        <f ca="1">IFERROR(__xludf.DUMMYFUNCTION("IF(ISBLANK(A46),"""",GOOGLETRANSLATE(A46,""en"",""de""))"),"")</f>
        <v/>
      </c>
    </row>
    <row r="47" spans="1:2" ht="13.2">
      <c r="A47" s="2" t="s">
        <v>105</v>
      </c>
      <c r="B47" s="2" t="str">
        <f ca="1">IFERROR(__xludf.DUMMYFUNCTION("IF(ISBLANK(A47),"""",GOOGLETRANSLATE(A47,""en"",""de""))"),"NETSOL ist auf dem 25. jährlichen Auto Finance Summit: Die Zukunft der Autofinanzierung vorantreiben")</f>
        <v>NETSOL ist auf dem 25. jährlichen Auto Finance Summit: Die Zukunft der Autofinanzierung vorantreiben</v>
      </c>
    </row>
    <row r="48" spans="1:2" ht="13.2">
      <c r="B48" s="2" t="str">
        <f ca="1">IFERROR(__xludf.DUMMYFUNCTION("IF(ISBLANK(A48),"""",GOOGLETRANSLATE(A48,""en"",""de""))"),"")</f>
        <v/>
      </c>
    </row>
    <row r="49" spans="1:2" ht="13.2">
      <c r="B49" s="2" t="str">
        <f ca="1">IFERROR(__xludf.DUMMYFUNCTION("IF(ISBLANK(A49),"""",GOOGLETRANSLATE(A49,""en"",""de""))"),"")</f>
        <v/>
      </c>
    </row>
    <row r="50" spans="1:2" ht="13.2">
      <c r="A50" s="2" t="s">
        <v>106</v>
      </c>
      <c r="B50" s="2" t="str">
        <f ca="1">IFERROR(__xludf.DUMMYFUNCTION("IF(ISBLANK(A50),"""",GOOGLETRANSLATE(A50,""en"",""de""))"),"NETSOL ist beim Digital Dealer 2025 dabei: Wir stärken die Zukunft des Automobilhandels")</f>
        <v>NETSOL ist beim Digital Dealer 2025 dabei: Wir stärken die Zukunft des Automobilhandels</v>
      </c>
    </row>
    <row r="51" spans="1:2" ht="13.2">
      <c r="B51" s="2" t="str">
        <f ca="1">IFERROR(__xludf.DUMMYFUNCTION("IF(ISBLANK(A51),"""",GOOGLETRANSLATE(A51,""en"",""de""))"),"")</f>
        <v/>
      </c>
    </row>
    <row r="52" spans="1:2" ht="13.2">
      <c r="B52" s="2" t="str">
        <f ca="1">IFERROR(__xludf.DUMMYFUNCTION("IF(ISBLANK(A52),"""",GOOGLETRANSLATE(A52,""en"",""de""))"),"")</f>
        <v/>
      </c>
    </row>
    <row r="53" spans="1:2" ht="13.2">
      <c r="A53" s="6" t="s">
        <v>107</v>
      </c>
      <c r="B53" s="2" t="str">
        <f ca="1">IFERROR(__xludf.DUMMYFUNCTION("IF(ISBLANK(A53),"""",GOOGLETRANSLATE(A53,""en"",""de""))"),"KI im BFSI: Revolutionierung des Risikomanagements")</f>
        <v>KI im BFSI: Revolutionierung des Risikomanagements</v>
      </c>
    </row>
    <row r="54" spans="1:2" ht="13.2">
      <c r="B54" s="2" t="str">
        <f ca="1">IFERROR(__xludf.DUMMYFUNCTION("IF(ISBLANK(A54),"""",GOOGLETRANSLATE(A54,""en"",""de""))"),"")</f>
        <v/>
      </c>
    </row>
    <row r="55" spans="1:2" ht="13.2">
      <c r="B55" s="2" t="str">
        <f ca="1">IFERROR(__xludf.DUMMYFUNCTION("IF(ISBLANK(A55),"""",GOOGLETRANSLATE(A55,""en"",""de""))"),"")</f>
        <v/>
      </c>
    </row>
    <row r="56" spans="1:2" ht="13.2">
      <c r="A56" s="2" t="s">
        <v>108</v>
      </c>
      <c r="B56" s="2" t="str">
        <f ca="1">IFERROR(__xludf.DUMMYFUNCTION("IF(ISBLANK(A56),"""",GOOGLETRANSLATE(A56,""en"",""de""))"),"Die Bedeutung der Personalisierung im Kundenservice: Maßgeschneidertes Zahlungs- und Streitbeilegungsmanagement für Kunden")</f>
        <v>Die Bedeutung der Personalisierung im Kundenservice: Maßgeschneidertes Zahlungs- und Streitbeilegungsmanagement für Kunden</v>
      </c>
    </row>
    <row r="57" spans="1:2" ht="13.2">
      <c r="B57" s="2" t="str">
        <f ca="1">IFERROR(__xludf.DUMMYFUNCTION("IF(ISBLANK(A57),"""",GOOGLETRANSLATE(A57,""en"",""de""))"),"")</f>
        <v/>
      </c>
    </row>
    <row r="58" spans="1:2" ht="13.2">
      <c r="B58" s="2" t="str">
        <f ca="1">IFERROR(__xludf.DUMMYFUNCTION("IF(ISBLANK(A58),"""",GOOGLETRANSLATE(A58,""en"",""de""))"),"")</f>
        <v/>
      </c>
    </row>
    <row r="59" spans="1:2" ht="13.2">
      <c r="A59" s="2" t="s">
        <v>109</v>
      </c>
      <c r="B59" s="2" t="str">
        <f ca="1">IFERROR(__xludf.DUMMYFUNCTION("IF(ISBLANK(A59),"""",GOOGLETRANSLATE(A59,""en"",""de""))"),"Die wahren Kosten getrennter Systeme im Autohandel")</f>
        <v>Die wahren Kosten getrennter Systeme im Autohandel</v>
      </c>
    </row>
    <row r="60" spans="1:2" ht="13.2">
      <c r="B60" s="2" t="str">
        <f ca="1">IFERROR(__xludf.DUMMYFUNCTION("IF(ISBLANK(A60),"""",GOOGLETRANSLATE(A60,""en"",""de""))"),"")</f>
        <v/>
      </c>
    </row>
    <row r="61" spans="1:2" ht="13.2">
      <c r="B61" s="2" t="str">
        <f ca="1">IFERROR(__xludf.DUMMYFUNCTION("IF(ISBLANK(A61),"""",GOOGLETRANSLATE(A61,""en"",""de""))"),"")</f>
        <v/>
      </c>
    </row>
    <row r="62" spans="1:2" ht="13.2">
      <c r="A62" s="2" t="s">
        <v>110</v>
      </c>
      <c r="B62" s="2" t="str">
        <f ca="1">IFERROR(__xludf.DUMMYFUNCTION("IF(ISBLANK(A62),"""",GOOGLETRANSLATE(A62,""en"",""de""))"),"Captive der Zukunft: Wie Technologie Captive-Finanzierungsgeschäfte neu definiert – Wichtige Erkenntnisse aus dem Webinar der AFSA")</f>
        <v>Captive der Zukunft: Wie Technologie Captive-Finanzierungsgeschäfte neu definiert – Wichtige Erkenntnisse aus dem Webinar der AFSA</v>
      </c>
    </row>
    <row r="63" spans="1:2" ht="13.2">
      <c r="B63" s="2" t="str">
        <f ca="1">IFERROR(__xludf.DUMMYFUNCTION("IF(ISBLANK(A63),"""",GOOGLETRANSLATE(A63,""en"",""de""))"),"")</f>
        <v/>
      </c>
    </row>
    <row r="64" spans="1:2" ht="13.2">
      <c r="B64" s="2" t="str">
        <f ca="1">IFERROR(__xludf.DUMMYFUNCTION("IF(ISBLANK(A64),"""",GOOGLETRANSLATE(A64,""en"",""de""))"),"")</f>
        <v/>
      </c>
    </row>
    <row r="65" spans="1:2" ht="13.2">
      <c r="A65" s="2" t="s">
        <v>111</v>
      </c>
      <c r="B65" s="2" t="str">
        <f ca="1">IFERROR(__xludf.DUMMYFUNCTION("IF(ISBLANK(A65),"""",GOOGLETRANSLATE(A65,""en"",""de""))"),"Betrugsbekämpfung im Großkundengeschäft: Technologie zur Früherkennung und Risikominderung")</f>
        <v>Betrugsbekämpfung im Großkundengeschäft: Technologie zur Früherkennung und Risikominderung</v>
      </c>
    </row>
    <row r="66" spans="1:2" ht="13.2">
      <c r="B66" s="2" t="str">
        <f ca="1">IFERROR(__xludf.DUMMYFUNCTION("IF(ISBLANK(A66),"""",GOOGLETRANSLATE(A66,""en"",""de""))"),"")</f>
        <v/>
      </c>
    </row>
    <row r="67" spans="1:2" ht="13.2">
      <c r="A67" s="2" t="s">
        <v>114</v>
      </c>
      <c r="B67" s="2" t="str">
        <f ca="1">IFERROR(__xludf.DUMMYFUNCTION("IF(ISBLANK(A67),"""",GOOGLETRANSLATE(A67,""en"",""de""))"),"Abonnieren Sie unseren Newsletter, um die neuesten Nachrichten in Ihrem Posteingang zu erhalten.")</f>
        <v>Abonnieren Sie unseren Newsletter, um die neuesten Nachrichten in Ihrem Posteingang zu erhalten.</v>
      </c>
    </row>
    <row r="68" spans="1:2" ht="13.2">
      <c r="A68" s="2" t="s">
        <v>115</v>
      </c>
      <c r="B68" s="2" t="str">
        <f ca="1">IFERROR(__xludf.DUMMYFUNCTION("IF(ISBLANK(A68),"""",GOOGLETRANSLATE(A68,""en"",""de""))"),"abc@example.com")</f>
        <v>abc@example.com</v>
      </c>
    </row>
    <row r="69" spans="1:2" ht="13.2">
      <c r="A69" s="2" t="s">
        <v>116</v>
      </c>
      <c r="B69" s="2" t="str">
        <f ca="1">IFERROR(__xludf.DUMMYFUNCTION("IF(ISBLANK(A69),"""",GOOGLETRANSLATE(A69,""en"",""de""))"),"Abonnieren ")</f>
        <v xml:space="preserve">Abonnieren </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68"/>
  <sheetViews>
    <sheetView workbookViewId="0">
      <selection activeCell="B6" sqref="B6"/>
    </sheetView>
  </sheetViews>
  <sheetFormatPr defaultColWidth="12.5546875" defaultRowHeight="15.75" customHeight="1"/>
  <cols>
    <col min="1" max="1" width="88.44140625" customWidth="1"/>
  </cols>
  <sheetData>
    <row r="1" spans="1:2" ht="13.2">
      <c r="A1" s="1" t="s">
        <v>0</v>
      </c>
      <c r="B1" s="1" t="s">
        <v>1</v>
      </c>
    </row>
    <row r="2" spans="1:2" ht="15.75" customHeight="1">
      <c r="A2" s="2" t="s">
        <v>289</v>
      </c>
      <c r="B2" s="2" t="str">
        <f ca="1">IFERROR(__xludf.DUMMYFUNCTION("IF(ISBLANK(A2),"""",GOOGLETRANSLATE(A2,""en"",""de""))"),"Kreditvergabe")</f>
        <v>Kreditvergabe</v>
      </c>
    </row>
    <row r="3" spans="1:2" ht="15.75" customHeight="1">
      <c r="A3" s="2" t="s">
        <v>290</v>
      </c>
      <c r="B3" s="2" t="str">
        <f ca="1">IFERROR(__xludf.DUMMYFUNCTION("IF(ISBLANK(A3),"""",GOOGLETRANSLATE(A3,""en"",""de""))"),"Ein KI-gestütztes Kreditvergabeerlebnis")</f>
        <v>Ein KI-gestütztes Kreditvergabeerlebnis</v>
      </c>
    </row>
    <row r="4" spans="1:2" ht="15.75" customHeight="1">
      <c r="A4" s="2" t="s">
        <v>291</v>
      </c>
      <c r="B4" s="2" t="str">
        <f ca="1">IFERROR(__xludf.DUMMYFUNCTION("IF(ISBLANK(A4),"""",GOOGLETRANSLATE(A4,""en"",""de""))"),"Erleben Sie die Zukunft der Leasing- und Kreditvergabe mit hochflexiblen, benutzerfreundlichen Cross-Channel-Plattformen.")</f>
        <v>Erleben Sie die Zukunft der Leasing- und Kreditvergabe mit hochflexiblen, benutzerfreundlichen Cross-Channel-Plattformen.</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292</v>
      </c>
      <c r="B7" s="2" t="str">
        <f ca="1">IFERROR(__xludf.DUMMYFUNCTION("IF(ISBLANK(A7),"""",GOOGLETRANSLATE(A7,""en"",""de""))"),"Positionierung von Kreditgebern zur Modernisierung ihrer Kreditvergabepraktiken mit KI")</f>
        <v>Positionierung von Kreditgebern zur Modernisierung ihrer Kreditvergabepraktiken mit KI</v>
      </c>
    </row>
    <row r="8" spans="1:2" ht="15.75" customHeight="1">
      <c r="A8" s="2" t="s">
        <v>293</v>
      </c>
      <c r="B8" s="2" t="str">
        <f ca="1">IFERROR(__xludf.DUMMYFUNCTION("IF(ISBLANK(A8),"""",GOOGLETRANSLATE(A8,""en"",""de""))"),"Was unsere Software für Leasing- und Kreditvergabe auszeichnet, ist unser Engagement für ein optimales Benutzererlebnis. Von der Antragstellung bis zur Kreditgenehmigung ist jede Interaktion nahtlos und unkompliziert gestaltet, sodass Sie sich auf das Wes"&amp;"entliche konzentrieren können – die Betreuung Ihrer Kunden. Optimieren Sie den gesamten Kreditvergabeprozess von der Einreichung bis zur Genehmigung mit erweiterten Funktionen unserer Kreditvergabesoftware wie KI-gesteuerter Entscheidungsfindung in Echtze"&amp;"it, automatisierten Deal-Flows und vielem mehr. Dank plattformübergreifender Kompatibilität können Vertriebsteams schnell Angebote erstellen, Anträge mobil verwalten und die Entscheidungszeit deutlich verkürzen.")</f>
        <v>Was unsere Software für Leasing- und Kreditvergabe auszeichnet, ist unser Engagement für ein optimales Benutzererlebnis. Von der Antragstellung bis zur Kreditgenehmigung ist jede Interaktion nahtlos und unkompliziert gestaltet, sodass Sie sich auf das Wesentliche konzentrieren können – die Betreuung Ihrer Kunden. Optimieren Sie den gesamten Kreditvergabeprozess von der Einreichung bis zur Genehmigung mit erweiterten Funktionen unserer Kreditvergabesoftware wie KI-gesteuerter Entscheidungsfindung in Echtzeit, automatisierten Deal-Flows und vielem mehr. Dank plattformübergreifender Kompatibilität können Vertriebsteams schnell Angebote erstellen, Anträge mobil verwalten und die Entscheidungszeit deutlich verkürzen.</v>
      </c>
    </row>
    <row r="9" spans="1:2" ht="15.75" customHeight="1">
      <c r="A9" s="2" t="s">
        <v>294</v>
      </c>
      <c r="B9" s="2" t="str">
        <f ca="1">IFERROR(__xludf.DUMMYFUNCTION("IF(ISBLANK(A9),"""",GOOGLETRANSLATE(A9,""en"",""de""))"),"KI-gestützte Entscheidungen")</f>
        <v>KI-gestützte Entscheidungen</v>
      </c>
    </row>
    <row r="10" spans="1:2" ht="15.75" customHeight="1">
      <c r="A10" s="2" t="s">
        <v>295</v>
      </c>
      <c r="B10" s="2" t="str">
        <f ca="1">IFERROR(__xludf.DUMMYFUNCTION("IF(ISBLANK(A10),"""",GOOGLETRANSLATE(A10,""en"",""de""))"),"Von der Kreditwürdigkeitsprüfung bis zur Risikobewertung ermöglicht Ihnen unsere Kreditvergabesoftware, schnell und präzise fundierte Entscheidungen zu treffen.")</f>
        <v>Von der Kreditwürdigkeitsprüfung bis zur Risikobewertung ermöglicht Ihnen unsere Kreditvergabesoftware, schnell und präzise fundierte Entscheidungen zu treffen.</v>
      </c>
    </row>
    <row r="11" spans="1:2" ht="15.75" customHeight="1">
      <c r="A11" s="2" t="s">
        <v>296</v>
      </c>
      <c r="B11" s="2" t="str">
        <f ca="1">IFERROR(__xludf.DUMMYFUNCTION("IF(ISBLANK(A11),"""",GOOGLETRANSLATE(A11,""en"",""de""))"),"Kunden-Self-Service")</f>
        <v>Kunden-Self-Service</v>
      </c>
    </row>
    <row r="12" spans="1:2" ht="15.75" customHeight="1">
      <c r="A12" s="2" t="s">
        <v>297</v>
      </c>
      <c r="B12" s="2" t="str">
        <f ca="1">IFERROR(__xludf.DUMMYFUNCTION("IF(ISBLANK(A12),"""",GOOGLETRANSLATE(A12,""en"",""de""))"),"Unsere Self-Service-Kreditvergabesoftware ermöglicht es Kunden, den gesamten Kauf- und Finanzierungsprozess jederzeit und überall zu durchlaufen.")</f>
        <v>Unsere Self-Service-Kreditvergabesoftware ermöglicht es Kunden, den gesamten Kauf- und Finanzierungsprozess jederzeit und überall zu durchlaufen.</v>
      </c>
    </row>
    <row r="13" spans="1:2" ht="15.75" customHeight="1">
      <c r="A13" s="2" t="s">
        <v>298</v>
      </c>
      <c r="B13" s="2" t="str">
        <f ca="1">IFERROR(__xludf.DUMMYFUNCTION("IF(ISBLANK(A13),"""",GOOGLETRANSLATE(A13,""en"",""de""))"),"Freigeschaltete Einblicke")</f>
        <v>Freigeschaltete Einblicke</v>
      </c>
    </row>
    <row r="14" spans="1:2" ht="15.75" customHeight="1">
      <c r="A14" s="2" t="s">
        <v>299</v>
      </c>
      <c r="B14" s="2" t="str">
        <f ca="1">IFERROR(__xludf.DUMMYFUNCTION("IF(ISBLANK(A14),"""",GOOGLETRANSLATE(A14,""en"",""de""))"),"Mit erweiterten Analyse- und Berichtsfunktionen können Sie wertvolle Einblicke in Ihr Kreditportfolio gewinnen und Verbesserungs- und Wachstumsmöglichkeiten erkennen.")</f>
        <v>Mit erweiterten Analyse- und Berichtsfunktionen können Sie wertvolle Einblicke in Ihr Kreditportfolio gewinnen und Verbesserungs- und Wachstumsmöglichkeiten erkennen.</v>
      </c>
    </row>
    <row r="15" spans="1:2" ht="15.75" customHeight="1">
      <c r="A15" s="2" t="s">
        <v>300</v>
      </c>
      <c r="B15" s="2" t="str">
        <f ca="1">IFERROR(__xludf.DUMMYFUNCTION("IF(ISBLANK(A15),"""",GOOGLETRANSLATE(A15,""en"",""de""))"),"Verbessertes Erlebnis")</f>
        <v>Verbessertes Erlebnis</v>
      </c>
    </row>
    <row r="16" spans="1:2" ht="15.75" customHeight="1">
      <c r="A16" s="2" t="s">
        <v>301</v>
      </c>
      <c r="B16" s="2" t="str">
        <f ca="1">IFERROR(__xludf.DUMMYFUNCTION("IF(ISBLANK(A16),"""",GOOGLETRANSLATE(A16,""en"",""de""))"),"Dank unserer benutzerfreundlichen Oberfläche und des intuitiven Designs können Kreditnehmer Anträge problemlos stellen und abschließen, was zu einer höheren Zufriedenheit und Bindungsrate führt.")</f>
        <v>Dank unserer benutzerfreundlichen Oberfläche und des intuitiven Designs können Kreditnehmer Anträge problemlos stellen und abschließen, was zu einer höheren Zufriedenheit und Bindungsrate führt.</v>
      </c>
    </row>
    <row r="17" spans="1:2" ht="15.75" customHeight="1">
      <c r="A17" s="2" t="s">
        <v>84</v>
      </c>
      <c r="B17" s="2" t="str">
        <f ca="1">IFERROR(__xludf.DUMMYFUNCTION("IF(ISBLANK(A17),"""",GOOGLETRANSLATE(A17,""en"",""de""))"),"Über 500 Milliarden US-Dollar")</f>
        <v>Über 500 Milliarden US-Dollar</v>
      </c>
    </row>
    <row r="18" spans="1:2" ht="15.75" customHeight="1">
      <c r="A18" s="2" t="s">
        <v>85</v>
      </c>
      <c r="B18" s="2" t="str">
        <f ca="1">IFERROR(__xludf.DUMMYFUNCTION("IF(ISBLANK(A18),"""",GOOGLETRANSLATE(A18,""en"",""de""))"),"Global verwaltetes Vermögen")</f>
        <v>Global verwaltetes Vermögen</v>
      </c>
    </row>
    <row r="19" spans="1:2" ht="15.75" customHeight="1">
      <c r="A19" s="2" t="s">
        <v>276</v>
      </c>
      <c r="B19" s="2" t="str">
        <f ca="1">IFERROR(__xludf.DUMMYFUNCTION("IF(ISBLANK(A19),"""",GOOGLETRANSLATE(A19,""en"",""de""))"),"350+")</f>
        <v>350+</v>
      </c>
    </row>
    <row r="20" spans="1:2" ht="15.75" customHeight="1">
      <c r="A20" s="2" t="s">
        <v>83</v>
      </c>
      <c r="B20" s="2" t="str">
        <f ca="1">IFERROR(__xludf.DUMMYFUNCTION("IF(ISBLANK(A20),"""",GOOGLETRANSLATE(A20,""en"",""de""))"),"Erfolgreiche Implementierungen")</f>
        <v>Erfolgreiche Implementierungen</v>
      </c>
    </row>
    <row r="21" spans="1:2" ht="15.75" customHeight="1">
      <c r="A21" s="2" t="s">
        <v>80</v>
      </c>
      <c r="B21" s="2" t="str">
        <f ca="1">IFERROR(__xludf.DUMMYFUNCTION("IF(ISBLANK(A21),"""",GOOGLETRANSLATE(A21,""en"",""de""))"),"200+")</f>
        <v>200+</v>
      </c>
    </row>
    <row r="22" spans="1:2" ht="15.75" customHeight="1">
      <c r="A22" s="2" t="s">
        <v>81</v>
      </c>
      <c r="B22" s="2" t="str">
        <f ca="1">IFERROR(__xludf.DUMMYFUNCTION("IF(ISBLANK(A22),"""",GOOGLETRANSLATE(A22,""en"",""de""))"),"Kunden weltweit")</f>
        <v>Kunden weltweit</v>
      </c>
    </row>
    <row r="23" spans="1:2" ht="15.75" customHeight="1">
      <c r="A23" s="2" t="s">
        <v>277</v>
      </c>
      <c r="B23" s="2" t="str">
        <f ca="1">IFERROR(__xludf.DUMMYFUNCTION("IF(ISBLANK(A23),"""",GOOGLETRANSLATE(A23,""en"",""de""))"),"30+")</f>
        <v>30+</v>
      </c>
    </row>
    <row r="24" spans="1:2" ht="13.2">
      <c r="A24" s="2" t="s">
        <v>278</v>
      </c>
      <c r="B24" s="2" t="str">
        <f ca="1">IFERROR(__xludf.DUMMYFUNCTION("IF(ISBLANK(A24),"""",GOOGLETRANSLATE(A24,""en"",""de""))"),"Bediente Länder")</f>
        <v>Bediente Länder</v>
      </c>
    </row>
    <row r="25" spans="1:2" ht="13.2">
      <c r="A25" s="2" t="s">
        <v>279</v>
      </c>
      <c r="B25" s="2" t="str">
        <f ca="1">IFERROR(__xludf.DUMMYFUNCTION("IF(ISBLANK(A25),"""",GOOGLETRANSLATE(A25,""en"",""de""))"),"End-to-End-Kontrolle und integrierte Intelligenz")</f>
        <v>End-to-End-Kontrolle und integrierte Intelligenz</v>
      </c>
    </row>
    <row r="26" spans="1:2" ht="13.2">
      <c r="A26" s="2" t="s">
        <v>302</v>
      </c>
      <c r="B26" s="2" t="str">
        <f ca="1">IFERROR(__xludf.DUMMYFUNCTION("IF(ISBLANK(A26),"""",GOOGLETRANSLATE(A26,""en"",""de""))"),"Kreditantragsverwaltung")</f>
        <v>Kreditantragsverwaltung</v>
      </c>
    </row>
    <row r="27" spans="1:2" ht="13.2">
      <c r="A27" s="2" t="s">
        <v>303</v>
      </c>
      <c r="B27" s="2" t="str">
        <f ca="1">IFERROR(__xludf.DUMMYFUNCTION("IF(ISBLANK(A27),"""",GOOGLETRANSLATE(A27,""en"",""de""))"),"Ändern Sie Geschäftsregeln, fügen Sie Genehmigungsstufen hinzu und passen Sie die Berichtsanforderungen Ihren Bedürfnissen an. Nutzen Sie die Flexibilität unserer Kreditvergabesoftware, um Workflows jeder Ebene abzuwickeln – von kleinen Benutzergruppen mi"&amp;"t begrenzten Anforderungen bis hin zu großen Unternehmen mit komplexen Hierarchien und Genehmigungszyklen.")</f>
        <v>Ändern Sie Geschäftsregeln, fügen Sie Genehmigungsstufen hinzu und passen Sie die Berichtsanforderungen Ihren Bedürfnissen an. Nutzen Sie die Flexibilität unserer Kreditvergabesoftware, um Workflows jeder Ebene abzuwickeln – von kleinen Benutzergruppen mit begrenzten Anforderungen bis hin zu großen Unternehmen mit komplexen Hierarchien und Genehmigungszyklen.</v>
      </c>
    </row>
    <row r="28" spans="1:2" ht="13.2">
      <c r="A28" s="2" t="s">
        <v>304</v>
      </c>
      <c r="B28" s="2" t="str">
        <f ca="1">IFERROR(__xludf.DUMMYFUNCTION("IF(ISBLANK(A28),"""",GOOGLETRANSLATE(A28,""en"",""de""))"),"Digitaler Einzelhandel")</f>
        <v>Digitaler Einzelhandel</v>
      </c>
    </row>
    <row r="29" spans="1:2" ht="13.2">
      <c r="A29" s="2" t="s">
        <v>305</v>
      </c>
      <c r="B29" s="2" t="str">
        <f ca="1">IFERROR(__xludf.DUMMYFUNCTION("IF(ISBLANK(A29),"""",GOOGLETRANSLATE(A29,""en"",""de""))"),"Unsere schlüsselfertige Plattform für Händler, die nach modernster Ausrüstung und Software zur Vergabe von Autokrediten suchen, unterstützt sie beim Übergang in das digitale Zeitalter. Sie spricht eine Reihe von Kundensegmenten mit sich entwickelnden Bedü"&amp;"rfnissen an, indem sie ihnen ein nahtloses, kanalübergreifendes und durchgängiges Erlebnis beim Kauf und der Nutzung von Vermögenswerten bietet.")</f>
        <v>Unsere schlüsselfertige Plattform für Händler, die nach modernster Ausrüstung und Software zur Vergabe von Autokrediten suchen, unterstützt sie beim Übergang in das digitale Zeitalter. Sie spricht eine Reihe von Kundensegmenten mit sich entwickelnden Bedürfnissen an, indem sie ihnen ein nahtloses, kanalübergreifendes und durchgängiges Erlebnis beim Kauf und der Nutzung von Vermögenswerten bietet.</v>
      </c>
    </row>
    <row r="30" spans="1:2" ht="13.2">
      <c r="A30" s="2" t="s">
        <v>306</v>
      </c>
      <c r="B30" s="2" t="str">
        <f ca="1">IFERROR(__xludf.DUMMYFUNCTION("IF(ISBLANK(A30),"""",GOOGLETRANSLATE(A30,""en"",""de""))"),"Flottenmanagement")</f>
        <v>Flottenmanagement</v>
      </c>
    </row>
    <row r="31" spans="1:2" ht="13.2">
      <c r="A31" s="2" t="s">
        <v>307</v>
      </c>
      <c r="B31" s="2" t="str">
        <f ca="1">IFERROR(__xludf.DUMMYFUNCTION("IF(ISBLANK(A31),"""",GOOGLETRANSLATE(A31,""en"",""de""))"),"Unsere Technologie revolutioniert die Kreditvergabe für das Flottenmanagement. KI-gestützte Kreditbewertungen, Echtzeit-Datenüberprüfung und die nahtlose Integration in Finanzsysteme sorgen dafür, dass Flottenmanager schneller und effizienter Finanzierung"&amp;"en sichern können, was eine bessere Ressourcenallokation und Flottenerweiterung ermöglicht.")</f>
        <v>Unsere Technologie revolutioniert die Kreditvergabe für das Flottenmanagement. KI-gestützte Kreditbewertungen, Echtzeit-Datenüberprüfung und die nahtlose Integration in Finanzsysteme sorgen dafür, dass Flottenmanager schneller und effizienter Finanzierungen sichern können, was eine bessere Ressourcenallokation und Flottenerweiterung ermöglicht.</v>
      </c>
    </row>
    <row r="32" spans="1:2" ht="13.2">
      <c r="A32" s="2" t="s">
        <v>97</v>
      </c>
      <c r="B32" s="2" t="str">
        <f ca="1">IFERROR(__xludf.DUMMYFUNCTION("IF(ISBLANK(A32),"""",GOOGLETRANSLATE(A32,""en"",""de""))"),"Haydock Financial ist mit dem Marktplatz von NETSOL erfolgreich")</f>
        <v>Haydock Financial ist mit dem Marktplatz von NETSOL erfolgreich</v>
      </c>
    </row>
    <row r="33" spans="1:2" ht="13.2">
      <c r="A33" s="2" t="s">
        <v>98</v>
      </c>
      <c r="B33" s="2" t="str">
        <f ca="1">IFERROR(__xludf.DUMMYFUNCTION("IF(ISBLANK(A33),"""",GOOGLETRANSLATE(A33,""en"",""de""))"),"„Ich kann sowohl Appex Now als auch NETSOL uneingeschränkt empfehlen. Die Produkte sind brillant. Sie funktionieren fantastisch. Und NETSOL ist auf unsere Bedürfnisse eingegangen und hat alle gewünschten Änderungen schnell vorgenommen.“")</f>
        <v>„Ich kann sowohl Appex Now als auch NETSOL uneingeschränkt empfehlen. Die Produkte sind brillant. Sie funktionieren fantastisch. Und NETSOL ist auf unsere Bedürfnisse eingegangen und hat alle gewünschten Änderungen schnell vorgenommen.“</v>
      </c>
    </row>
    <row r="34" spans="1:2" ht="13.2">
      <c r="A34" s="2" t="s">
        <v>99</v>
      </c>
      <c r="B34" s="2" t="str">
        <f ca="1">IFERROR(__xludf.DUMMYFUNCTION("IF(ISBLANK(A34),"""",GOOGLETRANSLATE(A34,""en"",""de""))"),"Mike Boyes")</f>
        <v>Mike Boyes</v>
      </c>
    </row>
    <row r="35" spans="1:2" ht="13.2">
      <c r="A35" s="2" t="s">
        <v>308</v>
      </c>
      <c r="B35" s="2" t="str">
        <f ca="1">IFERROR(__xludf.DUMMYFUNCTION("IF(ISBLANK(A35),"""",GOOGLETRANSLATE(A35,""en"",""de""))"),"Erleben Sie KI-gestützte Kreditvergabesoftware")</f>
        <v>Erleben Sie KI-gestützte Kreditvergabesoftware</v>
      </c>
    </row>
    <row r="36" spans="1:2" ht="13.2">
      <c r="A36" s="2" t="s">
        <v>309</v>
      </c>
      <c r="B36" s="2" t="str">
        <f ca="1">IFERROR(__xludf.DUMMYFUNCTION("IF(ISBLANK(A36),"""",GOOGLETRANSLATE(A36,""en"",""de""))"),"Unsere KI-gesteuerte Software zur Kredit- und Leasingvergabe ermöglicht es Kreditgebern, Markttrends und Verbraucherverhalten besser vorherzusehen und so neue Möglichkeiten im Kreditgeschäft zu erschließen.")</f>
        <v>Unsere KI-gesteuerte Software zur Kredit- und Leasingvergabe ermöglicht es Kreditgebern, Markttrends und Verbraucherverhalten besser vorherzusehen und so neue Möglichkeiten im Kreditgeschäft zu erschließen.</v>
      </c>
    </row>
    <row r="37" spans="1:2" ht="13.2">
      <c r="B37" s="2" t="str">
        <f ca="1">IFERROR(__xludf.DUMMYFUNCTION("IF(ISBLANK(A37),"""",GOOGLETRANSLATE(A37,""en"",""de""))"),"")</f>
        <v/>
      </c>
    </row>
    <row r="38" spans="1:2" ht="13.2">
      <c r="A38" s="2" t="s">
        <v>100</v>
      </c>
      <c r="B38" s="2" t="str">
        <f ca="1">IFERROR(__xludf.DUMMYFUNCTION("IF(ISBLANK(A38),"""",GOOGLETRANSLATE(A38,""en"",""de""))"),"Empfohlene Lektüre und Einblicke")</f>
        <v>Empfohlene Lektüre und Einblicke</v>
      </c>
    </row>
    <row r="39" spans="1:2" ht="13.2">
      <c r="A39" s="10" t="s">
        <v>101</v>
      </c>
      <c r="B39" s="2" t="str">
        <f ca="1">IFERROR(__xludf.DUMMYFUNCTION("IF(ISBLANK(A39),"""",GOOGLETRANSLATE(A39,""en"",""de""))"),"Bleiben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40" spans="1:2" ht="13.2">
      <c r="A40" s="2" t="s">
        <v>102</v>
      </c>
      <c r="B40" s="2" t="str">
        <f ca="1">IFERROR(__xludf.DUMMYFUNCTION("IF(ISBLANK(A40),"""",GOOGLETRANSLATE(A40,""en"",""de""))"),"Der Blog")</f>
        <v>Der Blog</v>
      </c>
    </row>
    <row r="41" spans="1:2" ht="13.2">
      <c r="A41" s="2" t="s">
        <v>103</v>
      </c>
      <c r="B41" s="2" t="str">
        <f ca="1">IFERROR(__xludf.DUMMYFUNCTION("IF(ISBLANK(A41),"""",GOOGLETRANSLATE(A41,""en"",""de""))"),"Über das DMS hinaus: Warum die Zukunft des Automobilhandels API-first ist")</f>
        <v>Über das DMS hinaus: Warum die Zukunft des Automobilhandels API-first ist</v>
      </c>
    </row>
    <row r="42" spans="1:2" ht="13.2">
      <c r="A42" s="2" t="s">
        <v>27</v>
      </c>
      <c r="B42" s="2" t="str">
        <f ca="1">IFERROR(__xludf.DUMMYFUNCTION("IF(ISBLANK(A42),"""",GOOGLETRANSLATE(A42,""en"",""de""))"),"Mehr erfahren")</f>
        <v>Mehr erfahren</v>
      </c>
    </row>
    <row r="43" spans="1:2" ht="13.2">
      <c r="B43" s="2" t="str">
        <f ca="1">IFERROR(__xludf.DUMMYFUNCTION("IF(ISBLANK(A43),"""",GOOGLETRANSLATE(A43,""en"",""de""))"),"")</f>
        <v/>
      </c>
    </row>
    <row r="44" spans="1:2" ht="13.2">
      <c r="A44" s="2" t="s">
        <v>104</v>
      </c>
      <c r="B44" s="2" t="str">
        <f ca="1">IFERROR(__xludf.DUMMYFUNCTION("IF(ISBLANK(A44),"""",GOOGLETRANSLATE(A44,""en"",""de""))"),"NETSOL ist auf der GlobalData Automotive Europe Conference and Awards 2025")</f>
        <v>NETSOL ist auf der GlobalData Automotive Europe Conference and Awards 2025</v>
      </c>
    </row>
    <row r="45" spans="1:2" ht="13.2">
      <c r="B45" s="2" t="str">
        <f ca="1">IFERROR(__xludf.DUMMYFUNCTION("IF(ISBLANK(A45),"""",GOOGLETRANSLATE(A45,""en"",""de""))"),"")</f>
        <v/>
      </c>
    </row>
    <row r="46" spans="1:2" ht="13.2">
      <c r="B46" s="2" t="str">
        <f ca="1">IFERROR(__xludf.DUMMYFUNCTION("IF(ISBLANK(A46),"""",GOOGLETRANSLATE(A46,""en"",""de""))"),"")</f>
        <v/>
      </c>
    </row>
    <row r="47" spans="1:2" ht="13.2">
      <c r="A47" s="2" t="s">
        <v>105</v>
      </c>
      <c r="B47" s="2" t="str">
        <f ca="1">IFERROR(__xludf.DUMMYFUNCTION("IF(ISBLANK(A47),"""",GOOGLETRANSLATE(A47,""en"",""de""))"),"NETSOL ist auf dem 25. jährlichen Auto Finance Summit: Die Zukunft der Autofinanzierung vorantreiben")</f>
        <v>NETSOL ist auf dem 25. jährlichen Auto Finance Summit: Die Zukunft der Autofinanzierung vorantreiben</v>
      </c>
    </row>
    <row r="48" spans="1:2" ht="13.2">
      <c r="B48" s="2" t="str">
        <f ca="1">IFERROR(__xludf.DUMMYFUNCTION("IF(ISBLANK(A48),"""",GOOGLETRANSLATE(A48,""en"",""de""))"),"")</f>
        <v/>
      </c>
    </row>
    <row r="49" spans="1:2" ht="13.2">
      <c r="A49" s="2" t="s">
        <v>102</v>
      </c>
      <c r="B49" s="2" t="str">
        <f ca="1">IFERROR(__xludf.DUMMYFUNCTION("IF(ISBLANK(A49),"""",GOOGLETRANSLATE(A49,""en"",""de""))"),"Der Blog")</f>
        <v>Der Blog</v>
      </c>
    </row>
    <row r="50" spans="1:2" ht="13.2">
      <c r="A50" s="2" t="s">
        <v>106</v>
      </c>
      <c r="B50" s="2" t="str">
        <f ca="1">IFERROR(__xludf.DUMMYFUNCTION("IF(ISBLANK(A50),"""",GOOGLETRANSLATE(A50,""en"",""de""))"),"NETSOL ist beim Digital Dealer 2025 dabei: Wir stärken die Zukunft des Automobilhandels")</f>
        <v>NETSOL ist beim Digital Dealer 2025 dabei: Wir stärken die Zukunft des Automobilhandels</v>
      </c>
    </row>
    <row r="51" spans="1:2" ht="13.2">
      <c r="B51" s="2" t="str">
        <f ca="1">IFERROR(__xludf.DUMMYFUNCTION("IF(ISBLANK(A51),"""",GOOGLETRANSLATE(A51,""en"",""de""))"),"")</f>
        <v/>
      </c>
    </row>
    <row r="52" spans="1:2" ht="13.2">
      <c r="B52" s="2" t="str">
        <f ca="1">IFERROR(__xludf.DUMMYFUNCTION("IF(ISBLANK(A52),"""",GOOGLETRANSLATE(A52,""en"",""de""))"),"")</f>
        <v/>
      </c>
    </row>
    <row r="53" spans="1:2" ht="13.2">
      <c r="A53" s="6" t="s">
        <v>107</v>
      </c>
      <c r="B53" s="2" t="str">
        <f ca="1">IFERROR(__xludf.DUMMYFUNCTION("IF(ISBLANK(A53),"""",GOOGLETRANSLATE(A53,""en"",""de""))"),"KI im BFSI: Revolutionierung des Risikomanagements")</f>
        <v>KI im BFSI: Revolutionierung des Risikomanagements</v>
      </c>
    </row>
    <row r="54" spans="1:2" ht="13.2">
      <c r="B54" s="2" t="str">
        <f ca="1">IFERROR(__xludf.DUMMYFUNCTION("IF(ISBLANK(A54),"""",GOOGLETRANSLATE(A54,""en"",""de""))"),"")</f>
        <v/>
      </c>
    </row>
    <row r="55" spans="1:2" ht="13.2">
      <c r="B55" s="2" t="str">
        <f ca="1">IFERROR(__xludf.DUMMYFUNCTION("IF(ISBLANK(A55),"""",GOOGLETRANSLATE(A55,""en"",""de""))"),"")</f>
        <v/>
      </c>
    </row>
    <row r="56" spans="1:2" ht="13.2">
      <c r="A56" s="2" t="s">
        <v>108</v>
      </c>
      <c r="B56" s="2" t="str">
        <f ca="1">IFERROR(__xludf.DUMMYFUNCTION("IF(ISBLANK(A56),"""",GOOGLETRANSLATE(A56,""en"",""de""))"),"Die Bedeutung der Personalisierung im Kundenservice: Maßgeschneidertes Zahlungs- und Streitbeilegungsmanagement für Kunden")</f>
        <v>Die Bedeutung der Personalisierung im Kundenservice: Maßgeschneidertes Zahlungs- und Streitbeilegungsmanagement für Kunden</v>
      </c>
    </row>
    <row r="57" spans="1:2" ht="13.2">
      <c r="B57" s="2" t="str">
        <f ca="1">IFERROR(__xludf.DUMMYFUNCTION("IF(ISBLANK(A57),"""",GOOGLETRANSLATE(A57,""en"",""de""))"),"")</f>
        <v/>
      </c>
    </row>
    <row r="58" spans="1:2" ht="13.2">
      <c r="B58" s="2" t="str">
        <f ca="1">IFERROR(__xludf.DUMMYFUNCTION("IF(ISBLANK(A58),"""",GOOGLETRANSLATE(A58,""en"",""de""))"),"")</f>
        <v/>
      </c>
    </row>
    <row r="59" spans="1:2" ht="13.2">
      <c r="A59" s="2" t="s">
        <v>109</v>
      </c>
      <c r="B59" s="2" t="str">
        <f ca="1">IFERROR(__xludf.DUMMYFUNCTION("IF(ISBLANK(A59),"""",GOOGLETRANSLATE(A59,""en"",""de""))"),"Die wahren Kosten getrennter Systeme im Autohandel")</f>
        <v>Die wahren Kosten getrennter Systeme im Autohandel</v>
      </c>
    </row>
    <row r="60" spans="1:2" ht="13.2">
      <c r="B60" s="2" t="str">
        <f ca="1">IFERROR(__xludf.DUMMYFUNCTION("IF(ISBLANK(A60),"""",GOOGLETRANSLATE(A60,""en"",""de""))"),"")</f>
        <v/>
      </c>
    </row>
    <row r="61" spans="1:2" ht="13.2">
      <c r="B61" s="2" t="str">
        <f ca="1">IFERROR(__xludf.DUMMYFUNCTION("IF(ISBLANK(A61),"""",GOOGLETRANSLATE(A61,""en"",""de""))"),"")</f>
        <v/>
      </c>
    </row>
    <row r="62" spans="1:2" ht="13.2">
      <c r="A62" s="2" t="s">
        <v>110</v>
      </c>
      <c r="B62" s="2" t="str">
        <f ca="1">IFERROR(__xludf.DUMMYFUNCTION("IF(ISBLANK(A62),"""",GOOGLETRANSLATE(A62,""en"",""de""))"),"Captive der Zukunft: Wie Technologie Captive-Finanzierungsgeschäfte neu definiert – Wichtige Erkenntnisse aus dem Webinar der AFSA")</f>
        <v>Captive der Zukunft: Wie Technologie Captive-Finanzierungsgeschäfte neu definiert – Wichtige Erkenntnisse aus dem Webinar der AFSA</v>
      </c>
    </row>
    <row r="63" spans="1:2" ht="13.2">
      <c r="B63" s="2" t="str">
        <f ca="1">IFERROR(__xludf.DUMMYFUNCTION("IF(ISBLANK(A63),"""",GOOGLETRANSLATE(A63,""en"",""de""))"),"")</f>
        <v/>
      </c>
    </row>
    <row r="64" spans="1:2" ht="13.2">
      <c r="B64" s="2" t="str">
        <f ca="1">IFERROR(__xludf.DUMMYFUNCTION("IF(ISBLANK(A64),"""",GOOGLETRANSLATE(A64,""en"",""de""))"),"")</f>
        <v/>
      </c>
    </row>
    <row r="65" spans="1:2" ht="13.2">
      <c r="A65" s="2" t="s">
        <v>111</v>
      </c>
      <c r="B65" s="2" t="str">
        <f ca="1">IFERROR(__xludf.DUMMYFUNCTION("IF(ISBLANK(A65),"""",GOOGLETRANSLATE(A65,""en"",""de""))"),"Betrugsbekämpfung im Großkundengeschäft: Technologie zur Früherkennung und Risikominderung")</f>
        <v>Betrugsbekämpfung im Großkundengeschäft: Technologie zur Früherkennung und Risikominderung</v>
      </c>
    </row>
    <row r="66" spans="1:2" ht="13.2">
      <c r="B66" s="2" t="str">
        <f ca="1">IFERROR(__xludf.DUMMYFUNCTION("IF(ISBLANK(A66),"""",GOOGLETRANSLATE(A66,""en"",""de""))"),"")</f>
        <v/>
      </c>
    </row>
    <row r="67" spans="1:2" ht="13.2">
      <c r="A67" s="2" t="s">
        <v>114</v>
      </c>
      <c r="B67" s="2" t="str">
        <f ca="1">IFERROR(__xludf.DUMMYFUNCTION("IF(ISBLANK(A67),"""",GOOGLETRANSLATE(A67,""en"",""de""))"),"Abonnieren Sie unseren Newsletter, um die neuesten Nachrichten in Ihrem Posteingang zu erhalten.")</f>
        <v>Abonnieren Sie unseren Newsletter, um die neuesten Nachrichten in Ihrem Posteingang zu erhalten.</v>
      </c>
    </row>
    <row r="68" spans="1:2" ht="13.2">
      <c r="A68" s="2" t="s">
        <v>115</v>
      </c>
      <c r="B68" s="2" t="str">
        <f ca="1">IFERROR(__xludf.DUMMYFUNCTION("IF(ISBLANK(A68),"""",GOOGLETRANSLATE(A68,""en"",""de""))"),"abc@example.com")</f>
        <v>abc@example.com</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81"/>
  <sheetViews>
    <sheetView workbookViewId="0">
      <selection activeCell="A46" sqref="A46"/>
    </sheetView>
  </sheetViews>
  <sheetFormatPr defaultColWidth="12.5546875" defaultRowHeight="15.75" customHeight="1"/>
  <cols>
    <col min="1" max="1" width="113.33203125" customWidth="1"/>
  </cols>
  <sheetData>
    <row r="1" spans="1:2" ht="13.2">
      <c r="A1" s="1" t="s">
        <v>0</v>
      </c>
      <c r="B1" s="1" t="s">
        <v>1</v>
      </c>
    </row>
    <row r="2" spans="1:2" ht="15.75" customHeight="1">
      <c r="A2" s="11" t="s">
        <v>127</v>
      </c>
      <c r="B2" s="2" t="str">
        <f ca="1">IFERROR(__xludf.DUMMYFUNCTION("IF(ISBLANK(A2),"""",GOOGLETRANSLATE(A2,""en"",""de""))"),"Vertragsverwaltung")</f>
        <v>Vertragsverwaltung</v>
      </c>
    </row>
    <row r="3" spans="1:2" ht="15.75" customHeight="1">
      <c r="A3" s="2" t="s">
        <v>310</v>
      </c>
      <c r="B3" s="2" t="str">
        <f ca="1">IFERROR(__xludf.DUMMYFUNCTION("IF(ISBLANK(A3),"""",GOOGLETRANSLATE(A3,""en"",""de""))"),"Kredit- und Leasing-Verwaltungssoftware der nächsten Generation")</f>
        <v>Kredit- und Leasing-Verwaltungssoftware der nächsten Generation</v>
      </c>
    </row>
    <row r="4" spans="1:2" ht="15.75" customHeight="1">
      <c r="A4" s="2" t="s">
        <v>311</v>
      </c>
      <c r="B4" s="2" t="str">
        <f ca="1">IFERROR(__xludf.DUMMYFUNCTION("IF(ISBLANK(A4),"""",GOOGLETRANSLATE(A4,""en"",""de""))"),"Die auf Präzision und Compliance ausgelegte KI-gestützte Plattform von NETSOL sorgt für Klarheit und messbare Auswirkungen auf die Kunden im gesamten Kredit- und Leasinggeschäft.")</f>
        <v>Die auf Präzision und Compliance ausgelegte KI-gestützte Plattform von NETSOL sorgt für Klarheit und messbare Auswirkungen auf die Kunden im gesamten Kredit- und Leasinggeschäft.</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168</v>
      </c>
      <c r="B7" s="2" t="str">
        <f ca="1">IFERROR(__xludf.DUMMYFUNCTION("IF(ISBLANK(A7),"""",GOOGLETRANSLATE(A7,""en"",""de""))"),"Warum NETSOL")</f>
        <v>Warum NETSOL</v>
      </c>
    </row>
    <row r="8" spans="1:2" ht="15.75" customHeight="1">
      <c r="A8" s="2" t="s">
        <v>312</v>
      </c>
      <c r="B8" s="2" t="str">
        <f ca="1">IFERROR(__xludf.DUMMYFUNCTION("IF(ISBLANK(A8),"""",GOOGLETRANSLATE(A8,""en"",""de""))"),"Steuern Sie Ihr Kredit- und Leasingportfolio mühelos mit KI")</f>
        <v>Steuern Sie Ihr Kredit- und Leasingportfolio mühelos mit KI</v>
      </c>
    </row>
    <row r="9" spans="1:2" ht="15.75" customHeight="1">
      <c r="A9" s="2" t="s">
        <v>313</v>
      </c>
      <c r="B9" s="2" t="str">
        <f ca="1">IFERROR(__xludf.DUMMYFUNCTION("IF(ISBLANK(A9),"""",GOOGLETRANSLATE(A9,""en"",""de""))"),"Vereinfachen Sie die Überwachung und Verwaltung Ihres Kredit- und Leasingportfolios mit unserer Leasingvertragsmanagement-Software. Erhalten Sie Echtzeit-Einblicke in Portfolio-Performance, Zahlungsrückstände und Verluste und ermöglichen Sie so proaktives"&amp;" Portfoliomanagement und strategische Entscheidungen. Unsere Kredit- und Leasingmanagement-Software ist flexibel konfigurierbar und ermöglicht Ihnen die Anpassung von Arbeitsabläufen, Benutzeroberflächen und Funktionen an Ihre individuellen Anforderungen "&amp;"und Präferenzen.")</f>
        <v>Vereinfachen Sie die Überwachung und Verwaltung Ihres Kredit- und Leasingportfolios mit unserer Leasingvertragsmanagement-Software. Erhalten Sie Echtzeit-Einblicke in Portfolio-Performance, Zahlungsrückstände und Verluste und ermöglichen Sie so proaktives Portfoliomanagement und strategische Entscheidungen. Unsere Kredit- und Leasingmanagement-Software ist flexibel konfigurierbar und ermöglicht Ihnen die Anpassung von Arbeitsabläufen, Benutzeroberflächen und Funktionen an Ihre individuellen Anforderungen und Präferenzen.</v>
      </c>
    </row>
    <row r="10" spans="1:2" ht="15.75" customHeight="1">
      <c r="A10" s="2" t="s">
        <v>314</v>
      </c>
      <c r="B10" s="2" t="str">
        <f ca="1">IFERROR(__xludf.DUMMYFUNCTION("IF(ISBLANK(A10),"""",GOOGLETRANSLATE(A10,""en"",""de""))"),"Tiefere Einblicke")</f>
        <v>Tiefere Einblicke</v>
      </c>
    </row>
    <row r="11" spans="1:2" ht="15.75" customHeight="1">
      <c r="A11" s="2" t="s">
        <v>315</v>
      </c>
      <c r="B11" s="2" t="str">
        <f ca="1">IFERROR(__xludf.DUMMYFUNCTION("IF(ISBLANK(A11),"""",GOOGLETRANSLATE(A11,""en"",""de""))"),"Verfolgen Sie die Vertragsleistung und gewinnen Sie Einblicke in Ihr Vertragsportfolio mit den erweiterten Berichts- und Analysefunktionen der Kreditverwaltungssoftware von Transcend.")</f>
        <v>Verfolgen Sie die Vertragsleistung und gewinnen Sie Einblicke in Ihr Vertragsportfolio mit den erweiterten Berichts- und Analysefunktionen der Kreditverwaltungssoftware von Transcend.</v>
      </c>
    </row>
    <row r="12" spans="1:2" ht="15.75" customHeight="1">
      <c r="A12" s="2" t="s">
        <v>316</v>
      </c>
      <c r="B12" s="2" t="str">
        <f ca="1">IFERROR(__xludf.DUMMYFUNCTION("IF(ISBLANK(A12),"""",GOOGLETRANSLATE(A12,""en"",""de""))"),"360-Grad-Ansicht")</f>
        <v>360-Grad-Ansicht</v>
      </c>
    </row>
    <row r="13" spans="1:2" ht="15.75" customHeight="1">
      <c r="A13" s="2" t="s">
        <v>317</v>
      </c>
      <c r="B13" s="2" t="str">
        <f ca="1">IFERROR(__xludf.DUMMYFUNCTION("IF(ISBLANK(A13),"""",GOOGLETRANSLATE(A13,""en"",""de""))"),"Verschaffen Sie sich einen umfassenden Überblick über Kundenkonten, einschließlich Zahlungsverlauf, Salden und Transaktionsdetails – alles in Echtzeit.")</f>
        <v>Verschaffen Sie sich einen umfassenden Überblick über Kundenkonten, einschließlich Zahlungsverlauf, Salden und Transaktionsdetails – alles in Echtzeit.</v>
      </c>
    </row>
    <row r="14" spans="1:2" ht="15.75" customHeight="1">
      <c r="A14" s="2" t="s">
        <v>318</v>
      </c>
      <c r="B14" s="2" t="str">
        <f ca="1">IFERROR(__xludf.DUMMYFUNCTION("IF(ISBLANK(A14),"""",GOOGLETRANSLATE(A14,""en"",""de""))"),"Strenge Mechanismen")</f>
        <v>Strenge Mechanismen</v>
      </c>
    </row>
    <row r="15" spans="1:2" ht="15.75" customHeight="1">
      <c r="A15" s="2" t="s">
        <v>319</v>
      </c>
      <c r="B15" s="2" t="str">
        <f ca="1">IFERROR(__xludf.DUMMYFUNCTION("IF(ISBLANK(A15),"""",GOOGLETRANSLATE(A15,""en"",""de""))"),"Profitieren Sie von robusten Sicherheitsmaßnahmen, Transparenz und Konformität mit der konkurrenzlosen Technologie von NETSOL für Leasing-Servicelösungen.")</f>
        <v>Profitieren Sie von robusten Sicherheitsmaßnahmen, Transparenz und Konformität mit der konkurrenzlosen Technologie von NETSOL für Leasing-Servicelösungen.</v>
      </c>
    </row>
    <row r="16" spans="1:2" ht="15.75" customHeight="1">
      <c r="A16" s="2" t="s">
        <v>320</v>
      </c>
      <c r="B16" s="2" t="str">
        <f ca="1">IFERROR(__xludf.DUMMYFUNCTION("IF(ISBLANK(A16),"""",GOOGLETRANSLATE(A16,""en"",""de""))"),"Risikominderung")</f>
        <v>Risikominderung</v>
      </c>
    </row>
    <row r="17" spans="1:2" ht="15.75" customHeight="1">
      <c r="A17" s="2" t="s">
        <v>321</v>
      </c>
      <c r="B17" s="2" t="str">
        <f ca="1">IFERROR(__xludf.DUMMYFUNCTION("IF(ISBLANK(A17),"""",GOOGLETRANSLATE(A17,""en"",""de""))"),"Nutzen Sie Funktionen zur Risikobewertung, um potenzielle Probleme frühzeitig zu erkennen und so proaktives Management und proaktive Entscheidungsfindung zu ermöglichen.")</f>
        <v>Nutzen Sie Funktionen zur Risikobewertung, um potenzielle Probleme frühzeitig zu erkennen und so proaktives Management und proaktive Entscheidungsfindung zu ermöglichen.</v>
      </c>
    </row>
    <row r="18" spans="1:2" ht="15.75" customHeight="1">
      <c r="A18" s="2" t="s">
        <v>84</v>
      </c>
      <c r="B18" s="2" t="str">
        <f ca="1">IFERROR(__xludf.DUMMYFUNCTION("IF(ISBLANK(A18),"""",GOOGLETRANSLATE(A18,""en"",""de""))"),"Über 500 Milliarden US-Dollar")</f>
        <v>Über 500 Milliarden US-Dollar</v>
      </c>
    </row>
    <row r="19" spans="1:2" ht="15.75" customHeight="1">
      <c r="A19" s="2" t="s">
        <v>85</v>
      </c>
      <c r="B19" s="2" t="str">
        <f ca="1">IFERROR(__xludf.DUMMYFUNCTION("IF(ISBLANK(A19),"""",GOOGLETRANSLATE(A19,""en"",""de""))"),"Global verwaltetes Vermögen")</f>
        <v>Global verwaltetes Vermögen</v>
      </c>
    </row>
    <row r="20" spans="1:2" ht="15.75" customHeight="1">
      <c r="A20" s="2" t="s">
        <v>276</v>
      </c>
      <c r="B20" s="2" t="str">
        <f ca="1">IFERROR(__xludf.DUMMYFUNCTION("IF(ISBLANK(A20),"""",GOOGLETRANSLATE(A20,""en"",""de""))"),"350+")</f>
        <v>350+</v>
      </c>
    </row>
    <row r="21" spans="1:2" ht="15.75" customHeight="1">
      <c r="A21" s="2" t="s">
        <v>83</v>
      </c>
      <c r="B21" s="2" t="str">
        <f ca="1">IFERROR(__xludf.DUMMYFUNCTION("IF(ISBLANK(A21),"""",GOOGLETRANSLATE(A21,""en"",""de""))"),"Erfolgreiche Implementierungen")</f>
        <v>Erfolgreiche Implementierungen</v>
      </c>
    </row>
    <row r="22" spans="1:2" ht="15.75" customHeight="1">
      <c r="A22" s="2" t="s">
        <v>80</v>
      </c>
      <c r="B22" s="2" t="str">
        <f ca="1">IFERROR(__xludf.DUMMYFUNCTION("IF(ISBLANK(A22),"""",GOOGLETRANSLATE(A22,""en"",""de""))"),"200+")</f>
        <v>200+</v>
      </c>
    </row>
    <row r="23" spans="1:2" ht="15.75" customHeight="1">
      <c r="A23" s="2" t="s">
        <v>81</v>
      </c>
      <c r="B23" s="2" t="str">
        <f ca="1">IFERROR(__xludf.DUMMYFUNCTION("IF(ISBLANK(A23),"""",GOOGLETRANSLATE(A23,""en"",""de""))"),"Kunden weltweit")</f>
        <v>Kunden weltweit</v>
      </c>
    </row>
    <row r="24" spans="1:2" ht="13.2">
      <c r="A24" s="2" t="s">
        <v>277</v>
      </c>
      <c r="B24" s="2" t="str">
        <f ca="1">IFERROR(__xludf.DUMMYFUNCTION("IF(ISBLANK(A24),"""",GOOGLETRANSLATE(A24,""en"",""de""))"),"30+")</f>
        <v>30+</v>
      </c>
    </row>
    <row r="25" spans="1:2" ht="13.2">
      <c r="A25" s="2" t="s">
        <v>278</v>
      </c>
      <c r="B25" s="2" t="str">
        <f ca="1">IFERROR(__xludf.DUMMYFUNCTION("IF(ISBLANK(A25),"""",GOOGLETRANSLATE(A25,""en"",""de""))"),"Bediente Länder")</f>
        <v>Bediente Länder</v>
      </c>
    </row>
    <row r="26" spans="1:2" ht="13.2">
      <c r="A26" s="2" t="s">
        <v>279</v>
      </c>
      <c r="B26" s="2" t="str">
        <f ca="1">IFERROR(__xludf.DUMMYFUNCTION("IF(ISBLANK(A26),"""",GOOGLETRANSLATE(A26,""en"",""de""))"),"End-to-End-Kontrolle und integrierte Intelligenz")</f>
        <v>End-to-End-Kontrolle und integrierte Intelligenz</v>
      </c>
    </row>
    <row r="27" spans="1:2" ht="13.2">
      <c r="A27" s="2" t="s">
        <v>322</v>
      </c>
      <c r="B27" s="2" t="str">
        <f ca="1">IFERROR(__xludf.DUMMYFUNCTION("IF(ISBLANK(A27),"""",GOOGLETRANSLATE(A27,""en"",""de""))"),"Buchung und Aktivierung")</f>
        <v>Buchung und Aktivierung</v>
      </c>
    </row>
    <row r="28" spans="1:2" ht="13.2">
      <c r="A28" s="2" t="s">
        <v>323</v>
      </c>
      <c r="B28" s="2" t="str">
        <f ca="1">IFERROR(__xludf.DUMMYFUNCTION("IF(ISBLANK(A28),"""",GOOGLETRANSLATE(A28,""en"",""de""))"),"Die Kreditverwaltungssoftware von Transcend Finance optimiert Prozesse und steigert die Effizienz. Wir bieten nahtlose Automatisierung für Buchung und Aktivierung. Von einfachen Kreditverträgen bis hin zu komplexen Leasingstrukturen passen sich unsere anp"&amp;"assbaren Workflows Ihren spezifischen Anforderungen an und gewährleisten Präzision und Compliance bei jedem Schritt.")</f>
        <v>Die Kreditverwaltungssoftware von Transcend Finance optimiert Prozesse und steigert die Effizienz. Wir bieten nahtlose Automatisierung für Buchung und Aktivierung. Von einfachen Kreditverträgen bis hin zu komplexen Leasingstrukturen passen sich unsere anpassbaren Workflows Ihren spezifischen Anforderungen an und gewährleisten Präzision und Compliance bei jedem Schritt.</v>
      </c>
    </row>
    <row r="29" spans="1:2" ht="13.2">
      <c r="A29" s="2" t="s">
        <v>27</v>
      </c>
      <c r="B29" s="2" t="str">
        <f ca="1">IFERROR(__xludf.DUMMYFUNCTION("IF(ISBLANK(A29),"""",GOOGLETRANSLATE(A29,""en"",""de""))"),"Mehr erfahren")</f>
        <v>Mehr erfahren</v>
      </c>
    </row>
    <row r="30" spans="1:2" ht="13.2">
      <c r="A30" s="2" t="s">
        <v>324</v>
      </c>
      <c r="B30" s="2" t="str">
        <f ca="1">IFERROR(__xludf.DUMMYFUNCTION("IF(ISBLANK(A30),"""",GOOGLETRANSLATE(A30,""en"",""de""))"),"Forderungen")</f>
        <v>Forderungen</v>
      </c>
    </row>
    <row r="31" spans="1:2" ht="13.2">
      <c r="A31" s="2" t="s">
        <v>325</v>
      </c>
      <c r="B31" s="2" t="str">
        <f ca="1">IFERROR(__xludf.DUMMYFUNCTION("IF(ISBLANK(A31),"""",GOOGLETRANSLATE(A31,""en"",""de""))"),"Debitorenbuchhaltung: Optimieren Sie den gesamten Prozess – von der Rechnungserstellung bis zur Zahlungsverfolgung – und sorgen Sie in jeder Phase für Genauigkeit und Effizienz. Optimieren Sie Ihre Abläufe, reduzieren Sie offene Salden und verbessern Sie "&amp;"Ihr Cashflow-Management mit der sicheren und skalierbaren Technologie unserer Leasing-Service-Lösung, die Ihnen beispiellose Kontrolle und Transparenz bietet.")</f>
        <v>Debitorenbuchhaltung: Optimieren Sie den gesamten Prozess – von der Rechnungserstellung bis zur Zahlungsverfolgung – und sorgen Sie in jeder Phase für Genauigkeit und Effizienz. Optimieren Sie Ihre Abläufe, reduzieren Sie offene Salden und verbessern Sie Ihr Cashflow-Management mit der sicheren und skalierbaren Technologie unserer Leasing-Service-Lösung, die Ihnen beispiellose Kontrolle und Transparenz bietet.</v>
      </c>
    </row>
    <row r="32" spans="1:2" ht="13.2">
      <c r="B32" s="2" t="str">
        <f ca="1">IFERROR(__xludf.DUMMYFUNCTION("IF(ISBLANK(A32),"""",GOOGLETRANSLATE(A32,""en"",""de""))"),"")</f>
        <v/>
      </c>
    </row>
    <row r="33" spans="1:2" ht="13.2">
      <c r="A33" s="2" t="s">
        <v>326</v>
      </c>
      <c r="B33" s="2" t="str">
        <f ca="1">IFERROR(__xludf.DUMMYFUNCTION("IF(ISBLANK(A33),"""",GOOGLETRANSLATE(A33,""en"",""de""))"),"Inkasso")</f>
        <v>Inkasso</v>
      </c>
    </row>
    <row r="34" spans="1:2" ht="13.2">
      <c r="A34" s="2" t="s">
        <v>327</v>
      </c>
      <c r="B34" s="2" t="str">
        <f ca="1">IFERROR(__xludf.DUMMYFUNCTION("IF(ISBLANK(A34),"""",GOOGLETRANSLATE(A34,""en"",""de""))"),"Wir unterstützen Ihre Teams dabei, die Komplexität des Inkassos mühelos zu bewältigen, indem wir wichtige Aufgaben automatisieren und Arbeitsabläufe für maximale Effektivität optimieren. Transformieren Sie Ihre Inkassoprozesse, verbessern Sie die Rückgewi"&amp;"nnungsraten und gewährleisten Sie die Einhaltung gesetzlicher Vorschriften mit unserer innovativen Technologie. Die plattformübergreifende Kompatibilität ermöglicht Ihren Außendienstteams Self-Service-Funktionen wie Terminverwaltung, Auftragsabwicklung, Z"&amp;"uweisung, Aufgabenwarteschlangen und Geolokalisierung. So bleibt Ihr Team jederzeit und überall produktiv.")</f>
        <v>Wir unterstützen Ihre Teams dabei, die Komplexität des Inkassos mühelos zu bewältigen, indem wir wichtige Aufgaben automatisieren und Arbeitsabläufe für maximale Effektivität optimieren. Transformieren Sie Ihre Inkassoprozesse, verbessern Sie die Rückgewinnungsraten und gewährleisten Sie die Einhaltung gesetzlicher Vorschriften mit unserer innovativen Technologie. Die plattformübergreifende Kompatibilität ermöglicht Ihren Außendienstteams Self-Service-Funktionen wie Terminverwaltung, Auftragsabwicklung, Zuweisung, Aufgabenwarteschlangen und Geolokalisierung. So bleibt Ihr Team jederzeit und überall produktiv.</v>
      </c>
    </row>
    <row r="35" spans="1:2" ht="13.2">
      <c r="B35" s="2" t="str">
        <f ca="1">IFERROR(__xludf.DUMMYFUNCTION("IF(ISBLANK(A35),"""",GOOGLETRANSLATE(A35,""en"",""de""))"),"")</f>
        <v/>
      </c>
    </row>
    <row r="36" spans="1:2" ht="13.2">
      <c r="A36" s="2" t="s">
        <v>328</v>
      </c>
      <c r="B36" s="2" t="str">
        <f ca="1">IFERROR(__xludf.DUMMYFUNCTION("IF(ISBLANK(A36),"""",GOOGLETRANSLATE(A36,""en"",""de""))"),"Remarketing")</f>
        <v>Remarketing</v>
      </c>
    </row>
    <row r="37" spans="1:2" ht="13.2">
      <c r="A37" s="2" t="s">
        <v>329</v>
      </c>
      <c r="B37" s="2" t="str">
        <f ca="1">IFERROR(__xludf.DUMMYFUNCTION("IF(ISBLANK(A37),"""",GOOGLETRANSLATE(A37,""en"",""de""))"),"Wir ermöglichen Finanzinstituten, den Wert ihrer Vermögenswerte zu maximieren und Verluste zu minimieren. Mithilfe fortschrittlicher Analysen und KI-gesteuerter Algorithmen identifizieren wir optimale Remarketing-Möglichkeiten und erreichen so potenzielle"&amp;" Käufer oder Leasingnehmer gezielt. Nutzen Sie modernste Lösungen für optimiertes Remarketing.")</f>
        <v>Wir ermöglichen Finanzinstituten, den Wert ihrer Vermögenswerte zu maximieren und Verluste zu minimieren. Mithilfe fortschrittlicher Analysen und KI-gesteuerter Algorithmen identifizieren wir optimale Remarketing-Möglichkeiten und erreichen so potenzielle Käufer oder Leasingnehmer gezielt. Nutzen Sie modernste Lösungen für optimiertes Remarketing.</v>
      </c>
    </row>
    <row r="38" spans="1:2" ht="13.2">
      <c r="B38" s="2" t="str">
        <f ca="1">IFERROR(__xludf.DUMMYFUNCTION("IF(ISBLANK(A38),"""",GOOGLETRANSLATE(A38,""en"",""de""))"),"")</f>
        <v/>
      </c>
    </row>
    <row r="39" spans="1:2" ht="13.2">
      <c r="A39" s="2" t="s">
        <v>330</v>
      </c>
      <c r="B39" s="2" t="str">
        <f ca="1">IFERROR(__xludf.DUMMYFUNCTION("IF(ISBLANK(A39),"""",GOOGLETRANSLATE(A39,""en"",""de""))"),"Vertragsmanagement")</f>
        <v>Vertragsmanagement</v>
      </c>
    </row>
    <row r="40" spans="1:2" ht="13.2">
      <c r="A40" s="2" t="s">
        <v>331</v>
      </c>
      <c r="B40" s="2" t="str">
        <f ca="1">IFERROR(__xludf.DUMMYFUNCTION("IF(ISBLANK(A40),"""",GOOGLETRANSLATE(A40,""en"",""de""))"),"Die Leasingvertragsverwaltungssoftware von Transcend Finance verwaltet detaillierte Kreditverträge während ihres gesamten Lebenszyklus – von der Voraktivierung und Aktivierung über Kundenverwaltung, Vermögensfinanzverwaltung, Abrechnung und Inkasso, Finan"&amp;"zen und Buchhaltung, Umstrukturierung bis hin zur Fälligkeit.")</f>
        <v>Die Leasingvertragsverwaltungssoftware von Transcend Finance verwaltet detaillierte Kreditverträge während ihres gesamten Lebenszyklus – von der Voraktivierung und Aktivierung über Kundenverwaltung, Vermögensfinanzverwaltung, Abrechnung und Inkasso, Finanzen und Buchhaltung, Umstrukturierung bis hin zur Fälligkeit.</v>
      </c>
    </row>
    <row r="41" spans="1:2" ht="13.2">
      <c r="B41" s="2" t="str">
        <f ca="1">IFERROR(__xludf.DUMMYFUNCTION("IF(ISBLANK(A41),"""",GOOGLETRANSLATE(A41,""en"",""de""))"),"")</f>
        <v/>
      </c>
    </row>
    <row r="42" spans="1:2" ht="13.2">
      <c r="A42" s="2" t="s">
        <v>332</v>
      </c>
      <c r="B42" s="2" t="str">
        <f ca="1">IFERROR(__xludf.DUMMYFUNCTION("IF(ISBLANK(A42),"""",GOOGLETRANSLATE(A42,""en"",""de""))"),"Kundendienst")</f>
        <v>Kundendienst</v>
      </c>
    </row>
    <row r="43" spans="1:2" ht="13.2">
      <c r="A43" s="2" t="s">
        <v>333</v>
      </c>
      <c r="B43" s="2" t="str">
        <f ca="1">IFERROR(__xludf.DUMMYFUNCTION("IF(ISBLANK(A43),"""",GOOGLETRANSLATE(A43,""en"",""de""))"),"Unterstützen Sie Ihre Kunden mit Self-Service-Lösungen und mobilem Komfort. Unsere plattformübergreifende Self-Service-Lösung bietet ein sicheres, rund um die Uhr verfügbares Portal zur Ansicht von Vertragsdetails, zur Reduzierung eingehender Anfragen und"&amp;" zur Beschleunigung von Rückzahlungen. Nutzen Sie regelbasierte Werbeaktionen, intelligente Dashboards und direkte In-App-Benachrichtigungen, um Kunden zu binden, die Loyalität zu stärken und neue Umsatzmöglichkeiten zu erschließen.")</f>
        <v>Unterstützen Sie Ihre Kunden mit Self-Service-Lösungen und mobilem Komfort. Unsere plattformübergreifende Self-Service-Lösung bietet ein sicheres, rund um die Uhr verfügbares Portal zur Ansicht von Vertragsdetails, zur Reduzierung eingehender Anfragen und zur Beschleunigung von Rückzahlungen. Nutzen Sie regelbasierte Werbeaktionen, intelligente Dashboards und direkte In-App-Benachrichtigungen, um Kunden zu binden, die Loyalität zu stärken und neue Umsatzmöglichkeiten zu erschließen.</v>
      </c>
    </row>
    <row r="44" spans="1:2" ht="13.2">
      <c r="B44" s="2" t="str">
        <f ca="1">IFERROR(__xludf.DUMMYFUNCTION("IF(ISBLANK(A44),"""",GOOGLETRANSLATE(A44,""en"",""de""))"),"")</f>
        <v/>
      </c>
    </row>
    <row r="45" spans="1:2" ht="13.2">
      <c r="A45" s="2" t="s">
        <v>334</v>
      </c>
      <c r="B45" s="2" t="str">
        <f ca="1">IFERROR(__xludf.DUMMYFUNCTION("IF(ISBLANK(A45),"""",GOOGLETRANSLATE(A45,""en"",""de""))"),"Ikano Bank verschafft sich mit NETSOL einen Wettbewerbsvorteil")</f>
        <v>Ikano Bank verschafft sich mit NETSOL einen Wettbewerbsvorteil</v>
      </c>
    </row>
    <row r="46" spans="1:2" ht="13.2">
      <c r="A46" s="2" t="s">
        <v>95</v>
      </c>
      <c r="B46" s="2" t="str">
        <f ca="1">IFERROR(__xludf.DUMMYFUNCTION("IF(ISBLANK(A46),"""",GOOGLETRANSLATE(A46,""en"",""de""))"),"„Wir freuen uns über die Zusammenarbeit mit NETSOL als unserem strategischen Plattformpartner. Die intelligenten Technologielösungen von NETSOL sind im Finanz- und Leasingbereich anerkannt und der Einsatz von Transcend Finance (ehemals Ascent) ermöglicht "&amp;"es uns, auf dem heutigen, hochdynamischen Markt einen Wettbewerbsvorteil zu behalten. Mit seinen leistungsstarken Konfigurations-Engines wird Ascent unsere Prozesse rationalisieren, eine schnellere Einbindung neuer Partner ermöglichen und die Einführung n"&amp;"euer Produkte in allen Märkten beschleunigen.“")</f>
        <v>„Wir freuen uns über die Zusammenarbeit mit NETSOL als unserem strategischen Plattformpartner. Die intelligenten Technologielösungen von NETSOL sind im Finanz- und Leasingbereich anerkannt und der Einsatz von Transcend Finance (ehemals Ascent) ermöglicht es uns, auf dem heutigen, hochdynamischen Markt einen Wettbewerbsvorteil zu behalten. Mit seinen leistungsstarken Konfigurations-Engines wird Ascent unsere Prozesse rationalisieren, eine schnellere Einbindung neuer Partner ermöglichen und die Einführung neuer Produkte in allen Märkten beschleunigen.“</v>
      </c>
    </row>
    <row r="47" spans="1:2" ht="13.2">
      <c r="A47" s="2" t="s">
        <v>96</v>
      </c>
      <c r="B47" s="2" t="str">
        <f ca="1">IFERROR(__xludf.DUMMYFUNCTION("IF(ISBLANK(A47),"""",GOOGLETRANSLATE(A47,""en"",""de""))"),"Henrik Staulund Chief Commercial Officer der Ikano Bank")</f>
        <v>Henrik Staulund Chief Commercial Officer der Ikano Bank</v>
      </c>
    </row>
    <row r="48" spans="1:2" ht="13.2">
      <c r="A48" s="2" t="s">
        <v>335</v>
      </c>
      <c r="B48" s="2" t="str">
        <f ca="1">IFERROR(__xludf.DUMMYFUNCTION("IF(ISBLANK(A48),"""",GOOGLETRANSLATE(A48,""en"",""de""))"),"Sind Sie bereit, Ihre Kredit- und Leasingverwaltung zu revolutionieren?")</f>
        <v>Sind Sie bereit, Ihre Kredit- und Leasingverwaltung zu revolutionieren?</v>
      </c>
    </row>
    <row r="49" spans="1:2" ht="13.2">
      <c r="A49" s="2" t="s">
        <v>336</v>
      </c>
      <c r="B49" s="2" t="str">
        <f ca="1">IFERROR(__xludf.DUMMYFUNCTION("IF(ISBLANK(A49),"""",GOOGLETRANSLATE(A49,""en"",""de""))"),"Entdecken Sie unsere komplette Plattform oder unsere Einzellösungen, um Ihr Unternehmen zukunftssicher zu machen und sich in der sich ständig weiterentwickelnden Landschaft von heute einen deutlichen Wettbewerbsvorteil zu verschaffen.")</f>
        <v>Entdecken Sie unsere komplette Plattform oder unsere Einzellösungen, um Ihr Unternehmen zukunftssicher zu machen und sich in der sich ständig weiterentwickelnden Landschaft von heute einen deutlichen Wettbewerbsvorteil zu verschaffen.</v>
      </c>
    </row>
    <row r="50" spans="1:2" ht="13.2">
      <c r="B50" s="2" t="str">
        <f ca="1">IFERROR(__xludf.DUMMYFUNCTION("IF(ISBLANK(A50),"""",GOOGLETRANSLATE(A50,""en"",""de""))"),"")</f>
        <v/>
      </c>
    </row>
    <row r="51" spans="1:2" ht="13.2">
      <c r="A51" s="2" t="s">
        <v>100</v>
      </c>
      <c r="B51" s="2" t="str">
        <f ca="1">IFERROR(__xludf.DUMMYFUNCTION("IF(ISBLANK(A51),"""",GOOGLETRANSLATE(A51,""en"",""de""))"),"Empfohlene Lektüre und Einblicke")</f>
        <v>Empfohlene Lektüre und Einblicke</v>
      </c>
    </row>
    <row r="52" spans="1:2" ht="13.2">
      <c r="A52" s="10" t="s">
        <v>101</v>
      </c>
      <c r="B52" s="2" t="str">
        <f ca="1">IFERROR(__xludf.DUMMYFUNCTION("IF(ISBLANK(A52),"""",GOOGLETRANSLATE(A52,""en"",""de""))"),"Bleiben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53" spans="1:2" ht="13.2">
      <c r="A53" s="2" t="s">
        <v>102</v>
      </c>
      <c r="B53" s="2" t="str">
        <f ca="1">IFERROR(__xludf.DUMMYFUNCTION("IF(ISBLANK(A53),"""",GOOGLETRANSLATE(A53,""en"",""de""))"),"Der Blog")</f>
        <v>Der Blog</v>
      </c>
    </row>
    <row r="54" spans="1:2" ht="13.2">
      <c r="A54" s="2" t="s">
        <v>103</v>
      </c>
      <c r="B54" s="2" t="str">
        <f ca="1">IFERROR(__xludf.DUMMYFUNCTION("IF(ISBLANK(A54),"""",GOOGLETRANSLATE(A54,""en"",""de""))"),"Über das DMS hinaus: Warum die Zukunft des Automobilhandels API-first ist")</f>
        <v>Über das DMS hinaus: Warum die Zukunft des Automobilhandels API-first ist</v>
      </c>
    </row>
    <row r="55" spans="1:2" ht="13.2">
      <c r="A55" s="2" t="s">
        <v>27</v>
      </c>
      <c r="B55" s="2" t="str">
        <f ca="1">IFERROR(__xludf.DUMMYFUNCTION("IF(ISBLANK(A55),"""",GOOGLETRANSLATE(A55,""en"",""de""))"),"Mehr erfahren")</f>
        <v>Mehr erfahren</v>
      </c>
    </row>
    <row r="56" spans="1:2" ht="13.2">
      <c r="B56" s="2" t="str">
        <f ca="1">IFERROR(__xludf.DUMMYFUNCTION("IF(ISBLANK(A56),"""",GOOGLETRANSLATE(A56,""en"",""de""))"),"")</f>
        <v/>
      </c>
    </row>
    <row r="57" spans="1:2" ht="13.2">
      <c r="A57" s="2" t="s">
        <v>104</v>
      </c>
      <c r="B57" s="2" t="str">
        <f ca="1">IFERROR(__xludf.DUMMYFUNCTION("IF(ISBLANK(A57),"""",GOOGLETRANSLATE(A57,""en"",""de""))"),"NETSOL ist auf der GlobalData Automotive Europe Conference and Awards 2025")</f>
        <v>NETSOL ist auf der GlobalData Automotive Europe Conference and Awards 2025</v>
      </c>
    </row>
    <row r="58" spans="1:2" ht="13.2">
      <c r="B58" s="2" t="str">
        <f ca="1">IFERROR(__xludf.DUMMYFUNCTION("IF(ISBLANK(A58),"""",GOOGLETRANSLATE(A58,""en"",""de""))"),"")</f>
        <v/>
      </c>
    </row>
    <row r="59" spans="1:2" ht="13.2">
      <c r="B59" s="2" t="str">
        <f ca="1">IFERROR(__xludf.DUMMYFUNCTION("IF(ISBLANK(A59),"""",GOOGLETRANSLATE(A59,""en"",""de""))"),"")</f>
        <v/>
      </c>
    </row>
    <row r="60" spans="1:2" ht="13.2">
      <c r="A60" s="2" t="s">
        <v>105</v>
      </c>
      <c r="B60" s="2" t="str">
        <f ca="1">IFERROR(__xludf.DUMMYFUNCTION("IF(ISBLANK(A60),"""",GOOGLETRANSLATE(A60,""en"",""de""))"),"NETSOL ist auf dem 25. jährlichen Auto Finance Summit: Die Zukunft der Autofinanzierung vorantreiben")</f>
        <v>NETSOL ist auf dem 25. jährlichen Auto Finance Summit: Die Zukunft der Autofinanzierung vorantreiben</v>
      </c>
    </row>
    <row r="61" spans="1:2" ht="13.2">
      <c r="B61" s="2" t="str">
        <f ca="1">IFERROR(__xludf.DUMMYFUNCTION("IF(ISBLANK(A61),"""",GOOGLETRANSLATE(A61,""en"",""de""))"),"")</f>
        <v/>
      </c>
    </row>
    <row r="62" spans="1:2" ht="13.2">
      <c r="B62" s="2" t="str">
        <f ca="1">IFERROR(__xludf.DUMMYFUNCTION("IF(ISBLANK(A62),"""",GOOGLETRANSLATE(A62,""en"",""de""))"),"")</f>
        <v/>
      </c>
    </row>
    <row r="63" spans="1:2" ht="13.2">
      <c r="A63" s="2" t="s">
        <v>106</v>
      </c>
      <c r="B63" s="2" t="str">
        <f ca="1">IFERROR(__xludf.DUMMYFUNCTION("IF(ISBLANK(A63),"""",GOOGLETRANSLATE(A63,""en"",""de""))"),"NETSOL ist beim Digital Dealer 2025 dabei: Wir stärken die Zukunft des Automobilhandels")</f>
        <v>NETSOL ist beim Digital Dealer 2025 dabei: Wir stärken die Zukunft des Automobilhandels</v>
      </c>
    </row>
    <row r="64" spans="1:2" ht="13.2">
      <c r="B64" s="2" t="str">
        <f ca="1">IFERROR(__xludf.DUMMYFUNCTION("IF(ISBLANK(A64),"""",GOOGLETRANSLATE(A64,""en"",""de""))"),"")</f>
        <v/>
      </c>
    </row>
    <row r="65" spans="1:2" ht="13.2">
      <c r="B65" s="2" t="str">
        <f ca="1">IFERROR(__xludf.DUMMYFUNCTION("IF(ISBLANK(A65),"""",GOOGLETRANSLATE(A65,""en"",""de""))"),"")</f>
        <v/>
      </c>
    </row>
    <row r="66" spans="1:2" ht="13.2">
      <c r="A66" s="6" t="s">
        <v>107</v>
      </c>
      <c r="B66" s="2" t="str">
        <f ca="1">IFERROR(__xludf.DUMMYFUNCTION("IF(ISBLANK(A66),"""",GOOGLETRANSLATE(A66,""en"",""de""))"),"KI im BFSI: Revolutionierung des Risikomanagements")</f>
        <v>KI im BFSI: Revolutionierung des Risikomanagements</v>
      </c>
    </row>
    <row r="67" spans="1:2" ht="13.2">
      <c r="B67" s="2" t="str">
        <f ca="1">IFERROR(__xludf.DUMMYFUNCTION("IF(ISBLANK(A67),"""",GOOGLETRANSLATE(A67,""en"",""de""))"),"")</f>
        <v/>
      </c>
    </row>
    <row r="68" spans="1:2" ht="13.2">
      <c r="B68" s="2" t="str">
        <f ca="1">IFERROR(__xludf.DUMMYFUNCTION("IF(ISBLANK(A68),"""",GOOGLETRANSLATE(A68,""en"",""de""))"),"")</f>
        <v/>
      </c>
    </row>
    <row r="69" spans="1:2" ht="13.2">
      <c r="A69" s="2" t="s">
        <v>108</v>
      </c>
      <c r="B69" s="2" t="str">
        <f ca="1">IFERROR(__xludf.DUMMYFUNCTION("IF(ISBLANK(A69),"""",GOOGLETRANSLATE(A69,""en"",""de""))"),"Die Bedeutung der Personalisierung im Kundenservice: Maßgeschneidertes Zahlungs- und Streitbeilegungsmanagement für Kunden")</f>
        <v>Die Bedeutung der Personalisierung im Kundenservice: Maßgeschneidertes Zahlungs- und Streitbeilegungsmanagement für Kunden</v>
      </c>
    </row>
    <row r="70" spans="1:2" ht="13.2">
      <c r="B70" s="2" t="str">
        <f ca="1">IFERROR(__xludf.DUMMYFUNCTION("IF(ISBLANK(A70),"""",GOOGLETRANSLATE(A70,""en"",""de""))"),"")</f>
        <v/>
      </c>
    </row>
    <row r="71" spans="1:2" ht="13.2">
      <c r="B71" s="2" t="str">
        <f ca="1">IFERROR(__xludf.DUMMYFUNCTION("IF(ISBLANK(A71),"""",GOOGLETRANSLATE(A71,""en"",""de""))"),"")</f>
        <v/>
      </c>
    </row>
    <row r="72" spans="1:2" ht="13.2">
      <c r="A72" s="2" t="s">
        <v>109</v>
      </c>
      <c r="B72" s="2" t="str">
        <f ca="1">IFERROR(__xludf.DUMMYFUNCTION("IF(ISBLANK(A72),"""",GOOGLETRANSLATE(A72,""en"",""de""))"),"Die wahren Kosten getrennter Systeme im Autohandel")</f>
        <v>Die wahren Kosten getrennter Systeme im Autohandel</v>
      </c>
    </row>
    <row r="73" spans="1:2" ht="13.2">
      <c r="B73" s="2" t="str">
        <f ca="1">IFERROR(__xludf.DUMMYFUNCTION("IF(ISBLANK(A73),"""",GOOGLETRANSLATE(A73,""en"",""de""))"),"")</f>
        <v/>
      </c>
    </row>
    <row r="74" spans="1:2" ht="13.2">
      <c r="B74" s="2" t="str">
        <f ca="1">IFERROR(__xludf.DUMMYFUNCTION("IF(ISBLANK(A74),"""",GOOGLETRANSLATE(A74,""en"",""de""))"),"")</f>
        <v/>
      </c>
    </row>
    <row r="75" spans="1:2" ht="13.2">
      <c r="A75" s="2" t="s">
        <v>110</v>
      </c>
      <c r="B75" s="2" t="str">
        <f ca="1">IFERROR(__xludf.DUMMYFUNCTION("IF(ISBLANK(A75),"""",GOOGLETRANSLATE(A75,""en"",""de""))"),"Captive der Zukunft: Wie Technologie Captive-Finanzierungsgeschäfte neu definiert – Wichtige Erkenntnisse aus dem Webinar der AFSA")</f>
        <v>Captive der Zukunft: Wie Technologie Captive-Finanzierungsgeschäfte neu definiert – Wichtige Erkenntnisse aus dem Webinar der AFSA</v>
      </c>
    </row>
    <row r="76" spans="1:2" ht="13.2">
      <c r="B76" s="2" t="str">
        <f ca="1">IFERROR(__xludf.DUMMYFUNCTION("IF(ISBLANK(A76),"""",GOOGLETRANSLATE(A76,""en"",""de""))"),"")</f>
        <v/>
      </c>
    </row>
    <row r="77" spans="1:2" ht="13.2">
      <c r="B77" s="2" t="str">
        <f ca="1">IFERROR(__xludf.DUMMYFUNCTION("IF(ISBLANK(A77),"""",GOOGLETRANSLATE(A77,""en"",""de""))"),"")</f>
        <v/>
      </c>
    </row>
    <row r="78" spans="1:2" ht="13.2">
      <c r="A78" s="2" t="s">
        <v>111</v>
      </c>
      <c r="B78" s="2" t="str">
        <f ca="1">IFERROR(__xludf.DUMMYFUNCTION("IF(ISBLANK(A78),"""",GOOGLETRANSLATE(A78,""en"",""de""))"),"Betrugsbekämpfung im Großkundengeschäft: Technologie zur Früherkennung und Risikominderung")</f>
        <v>Betrugsbekämpfung im Großkundengeschäft: Technologie zur Früherkennung und Risikominderung</v>
      </c>
    </row>
    <row r="79" spans="1:2" ht="13.2">
      <c r="B79" s="2" t="str">
        <f ca="1">IFERROR(__xludf.DUMMYFUNCTION("IF(ISBLANK(A79),"""",GOOGLETRANSLATE(A79,""en"",""de""))"),"")</f>
        <v/>
      </c>
    </row>
    <row r="80" spans="1:2" ht="13.2">
      <c r="A80" s="2" t="s">
        <v>114</v>
      </c>
      <c r="B80" s="2" t="str">
        <f ca="1">IFERROR(__xludf.DUMMYFUNCTION("IF(ISBLANK(A80),"""",GOOGLETRANSLATE(A80,""en"",""de""))"),"Abonnieren Sie unseren Newsletter, um die neuesten Nachrichten in Ihrem Posteingang zu erhalten.")</f>
        <v>Abonnieren Sie unseren Newsletter, um die neuesten Nachrichten in Ihrem Posteingang zu erhalten.</v>
      </c>
    </row>
    <row r="81" spans="1:2" ht="13.2">
      <c r="A81" s="2" t="s">
        <v>115</v>
      </c>
      <c r="B81" s="2" t="str">
        <f ca="1">IFERROR(__xludf.DUMMYFUNCTION("IF(ISBLANK(A81),"""",GOOGLETRANSLATE(A81,""en"",""de""))"),"abc@example.com")</f>
        <v>abc@example.com</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79"/>
  <sheetViews>
    <sheetView topLeftCell="A59" workbookViewId="0">
      <selection activeCell="B6" sqref="B6"/>
    </sheetView>
  </sheetViews>
  <sheetFormatPr defaultColWidth="12.5546875" defaultRowHeight="15.75" customHeight="1"/>
  <cols>
    <col min="1" max="1" width="125.6640625" customWidth="1"/>
  </cols>
  <sheetData>
    <row r="1" spans="1:2" ht="13.2">
      <c r="A1" s="1" t="s">
        <v>0</v>
      </c>
      <c r="B1" s="1" t="s">
        <v>1</v>
      </c>
    </row>
    <row r="2" spans="1:2" ht="15.75" customHeight="1">
      <c r="A2" s="2" t="s">
        <v>129</v>
      </c>
      <c r="B2" s="2" t="str">
        <f ca="1">IFERROR(__xludf.DUMMYFUNCTION("IF(ISBLANK(A2),"""",GOOGLETRANSLATE(A2,""en"",""de""))"),"Großhandelsfinanzierung")</f>
        <v>Großhandelsfinanzierung</v>
      </c>
    </row>
    <row r="3" spans="1:2" ht="15.75" customHeight="1">
      <c r="A3" s="2" t="s">
        <v>337</v>
      </c>
      <c r="B3" s="2" t="str">
        <f ca="1">IFERROR(__xludf.DUMMYFUNCTION("IF(ISBLANK(A3),"""",GOOGLETRANSLATE(A3,""en"",""de""))"),"Meistern Sie Großhandelsfinanzgeschäfte mit KI")</f>
        <v>Meistern Sie Großhandelsfinanzgeschäfte mit KI</v>
      </c>
    </row>
    <row r="4" spans="1:2" ht="15.75" customHeight="1">
      <c r="A4" s="2" t="s">
        <v>338</v>
      </c>
      <c r="B4" s="2" t="str">
        <f ca="1">IFERROR(__xludf.DUMMYFUNCTION("IF(ISBLANK(A4),"""",GOOGLETRANSLATE(A4,""en"",""de""))"),"Verschaffen Sie sich einen Wettbewerbsvorteil, indem Sie Ihre Großhandelsfinanzierungs- und Verkaufsflächenplanungsvorgänge mühelos automatisieren.")</f>
        <v>Verschaffen Sie sich einen Wettbewerbsvorteil, indem Sie Ihre Großhandelsfinanzierungs- und Verkaufsflächenplanungsvorgänge mühelos automatisieren.</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168</v>
      </c>
      <c r="B7" s="2" t="str">
        <f ca="1">IFERROR(__xludf.DUMMYFUNCTION("IF(ISBLANK(A7),"""",GOOGLETRANSLATE(A7,""en"",""de""))"),"Warum NETSOL")</f>
        <v>Warum NETSOL</v>
      </c>
    </row>
    <row r="8" spans="1:2" ht="15.75" customHeight="1">
      <c r="A8" s="2" t="s">
        <v>339</v>
      </c>
      <c r="B8" s="2" t="str">
        <f ca="1">IFERROR(__xludf.DUMMYFUNCTION("IF(ISBLANK(A8),"""",GOOGLETRANSLATE(A8,""en"",""de""))"),"Stärken Sie Ihre Lieferkette für die Großhandelsfinanzierung")</f>
        <v>Stärken Sie Ihre Lieferkette für die Großhandelsfinanzierung</v>
      </c>
    </row>
    <row r="9" spans="1:2" ht="15.75" customHeight="1">
      <c r="A9" s="2" t="s">
        <v>340</v>
      </c>
      <c r="B9" s="2" t="str">
        <f ca="1">IFERROR(__xludf.DUMMYFUNCTION("IF(ISBLANK(A9),"""",GOOGLETRANSLATE(A9,""en"",""de""))"),"und Grundrissplanung")</f>
        <v>und Grundrissplanung</v>
      </c>
    </row>
    <row r="10" spans="1:2" ht="15.75" customHeight="1">
      <c r="A10" s="2" t="s">
        <v>341</v>
      </c>
      <c r="B10" s="2" t="str">
        <f ca="1">IFERROR(__xludf.DUMMYFUNCTION("IF(ISBLANK(A10),"""",GOOGLETRANSLATE(A10,""en"",""de""))"),"Erhalten Sie Zugriff auf erstklassige Großhandelsfinanzierungssoftware und bieten Sie Ihren Händlern, Distributoren und Wirtschaftsprüfern ein unvergleichliches Benutzererlebnis. Optimieren Sie Prozesse, managen Sie Risiken, senken Sie Kosten, steigern Si"&amp;"e das Händlerengagement und verbessern Sie die Kundenzufriedenheit in der Großhandelsfinanzierung. Intuitive Designs und individuelle Workflow-Automatisierung beschleunigen Prozesse durch die Beseitigung von Engpässen. Benutzer navigieren einfach auf der "&amp;"Plattform, steigern die Produktivität und optimieren Abläufe.")</f>
        <v>Erhalten Sie Zugriff auf erstklassige Großhandelsfinanzierungssoftware und bieten Sie Ihren Händlern, Distributoren und Wirtschaftsprüfern ein unvergleichliches Benutzererlebnis. Optimieren Sie Prozesse, managen Sie Risiken, senken Sie Kosten, steigern Sie das Händlerengagement und verbessern Sie die Kundenzufriedenheit in der Großhandelsfinanzierung. Intuitive Designs und individuelle Workflow-Automatisierung beschleunigen Prozesse durch die Beseitigung von Engpässen. Benutzer navigieren einfach auf der Plattform, steigern die Produktivität und optimieren Abläufe.</v>
      </c>
    </row>
    <row r="11" spans="1:2" ht="15.75" customHeight="1">
      <c r="A11" s="2" t="s">
        <v>342</v>
      </c>
      <c r="B11" s="2" t="str">
        <f ca="1">IFERROR(__xludf.DUMMYFUNCTION("IF(ISBLANK(A11),"""",GOOGLETRANSLATE(A11,""en"",""de""))"),"Erweiterte Grundrissplanung")</f>
        <v>Erweiterte Grundrissplanung</v>
      </c>
    </row>
    <row r="12" spans="1:2" ht="15.75" customHeight="1">
      <c r="A12" s="2" t="s">
        <v>343</v>
      </c>
      <c r="B12" s="2" t="str">
        <f ca="1">IFERROR(__xludf.DUMMYFUNCTION("IF(ISBLANK(A12),"""",GOOGLETRANSLATE(A12,""en"",""de""))"),"Nutzen Sie leistungsstarke Floor-Planning-Tools für ein vollständiges Vertragslebenszyklusmanagement, das zu Business Intelligence in Echtzeit und verbesserter Zusammenarbeit führt.")</f>
        <v>Nutzen Sie leistungsstarke Floor-Planning-Tools für ein vollständiges Vertragslebenszyklusmanagement, das zu Business Intelligence in Echtzeit und verbesserter Zusammenarbeit führt.</v>
      </c>
    </row>
    <row r="13" spans="1:2" ht="15.75" customHeight="1">
      <c r="A13" s="2" t="s">
        <v>344</v>
      </c>
      <c r="B13" s="2" t="str">
        <f ca="1">IFERROR(__xludf.DUMMYFUNCTION("IF(ISBLANK(A13),"""",GOOGLETRANSLATE(A13,""en"",""de""))"),"Anpassbare Lösungen")</f>
        <v>Anpassbare Lösungen</v>
      </c>
    </row>
    <row r="14" spans="1:2" ht="15.75" customHeight="1">
      <c r="A14" s="2" t="s">
        <v>345</v>
      </c>
      <c r="B14" s="2" t="str">
        <f ca="1">IFERROR(__xludf.DUMMYFUNCTION("IF(ISBLANK(A14),"""",GOOGLETRANSLATE(A14,""en"",""de""))"),"Unser System ist äußerst flexibel – es wurde mit Blick auf die Konfiguration und nicht auf Code entwickelt und ermöglicht es Kreditgebern, Kredite auf bestimmte Kunden und Risikofaktoren zuzuschneiden.")</f>
        <v>Unser System ist äußerst flexibel – es wurde mit Blick auf die Konfiguration und nicht auf Code entwickelt und ermöglicht es Kreditgebern, Kredite auf bestimmte Kunden und Risikofaktoren zuzuschneiden.</v>
      </c>
    </row>
    <row r="15" spans="1:2" ht="15.75" customHeight="1">
      <c r="A15" s="2" t="s">
        <v>346</v>
      </c>
      <c r="B15" s="2" t="str">
        <f ca="1">IFERROR(__xludf.DUMMYFUNCTION("IF(ISBLANK(A15),"""",GOOGLETRANSLATE(A15,""en"",""de""))"),"Nahtlose Compliance")</f>
        <v>Nahtlose Compliance</v>
      </c>
    </row>
    <row r="16" spans="1:2" ht="15.75" customHeight="1">
      <c r="A16" s="2" t="s">
        <v>347</v>
      </c>
      <c r="B16" s="2" t="str">
        <f ca="1">IFERROR(__xludf.DUMMYFUNCTION("IF(ISBLANK(A16),"""",GOOGLETRANSLATE(A16,""en"",""de""))"),"Wir bieten ein beispielloses Erlebnis mit einfacher Anpassung, um die Steuer- und Buchhaltungsanforderungen in jeder Gerichtsbarkeit zu erfüllen und dabei alle Compliance-Anforderungen vollständig einzuhalten.")</f>
        <v>Wir bieten ein beispielloses Erlebnis mit einfacher Anpassung, um die Steuer- und Buchhaltungsanforderungen in jeder Gerichtsbarkeit zu erfüllen und dabei alle Compliance-Anforderungen vollständig einzuhalten.</v>
      </c>
    </row>
    <row r="17" spans="1:2" ht="15.75" customHeight="1">
      <c r="A17" s="2" t="s">
        <v>348</v>
      </c>
      <c r="B17" s="2" t="str">
        <f ca="1">IFERROR(__xludf.DUMMYFUNCTION("IF(ISBLANK(A17),"""",GOOGLETRANSLATE(A17,""en"",""de""))"),"Vielseitige Finanzierung")</f>
        <v>Vielseitige Finanzierung</v>
      </c>
    </row>
    <row r="18" spans="1:2" ht="15.75" customHeight="1">
      <c r="A18" s="2" t="s">
        <v>349</v>
      </c>
      <c r="B18" s="2" t="str">
        <f ca="1">IFERROR(__xludf.DUMMYFUNCTION("IF(ISBLANK(A18),"""",GOOGLETRANSLATE(A18,""en"",""de""))"),"Unsere Großhandelsfinanzierungslösungen unterstützen sowohl vermögensbasierte als auch nicht vermögensbasierte Finanzierungen. Darüber hinaus können neue Produkte problemlos im System entworfen und eingerichtet werden.")</f>
        <v>Unsere Großhandelsfinanzierungslösungen unterstützen sowohl vermögensbasierte als auch nicht vermögensbasierte Finanzierungen. Darüber hinaus können neue Produkte problemlos im System entworfen und eingerichtet werden.</v>
      </c>
    </row>
    <row r="19" spans="1:2" ht="15.75" customHeight="1">
      <c r="A19" s="2" t="s">
        <v>84</v>
      </c>
      <c r="B19" s="2" t="str">
        <f ca="1">IFERROR(__xludf.DUMMYFUNCTION("IF(ISBLANK(A19),"""",GOOGLETRANSLATE(A19,""en"",""de""))"),"Über 500 Milliarden US-Dollar")</f>
        <v>Über 500 Milliarden US-Dollar</v>
      </c>
    </row>
    <row r="20" spans="1:2" ht="15.75" customHeight="1">
      <c r="A20" s="2" t="s">
        <v>85</v>
      </c>
      <c r="B20" s="2" t="str">
        <f ca="1">IFERROR(__xludf.DUMMYFUNCTION("IF(ISBLANK(A20),"""",GOOGLETRANSLATE(A20,""en"",""de""))"),"Global verwaltetes Vermögen")</f>
        <v>Global verwaltetes Vermögen</v>
      </c>
    </row>
    <row r="21" spans="1:2" ht="15.75" customHeight="1">
      <c r="A21" s="2" t="s">
        <v>276</v>
      </c>
      <c r="B21" s="2" t="str">
        <f ca="1">IFERROR(__xludf.DUMMYFUNCTION("IF(ISBLANK(A21),"""",GOOGLETRANSLATE(A21,""en"",""de""))"),"350+")</f>
        <v>350+</v>
      </c>
    </row>
    <row r="22" spans="1:2" ht="15.75" customHeight="1">
      <c r="A22" s="2" t="s">
        <v>83</v>
      </c>
      <c r="B22" s="2" t="str">
        <f ca="1">IFERROR(__xludf.DUMMYFUNCTION("IF(ISBLANK(A22),"""",GOOGLETRANSLATE(A22,""en"",""de""))"),"Erfolgreiche Implementierungen")</f>
        <v>Erfolgreiche Implementierungen</v>
      </c>
    </row>
    <row r="23" spans="1:2" ht="15.75" customHeight="1">
      <c r="A23" s="2" t="s">
        <v>80</v>
      </c>
      <c r="B23" s="2" t="str">
        <f ca="1">IFERROR(__xludf.DUMMYFUNCTION("IF(ISBLANK(A23),"""",GOOGLETRANSLATE(A23,""en"",""de""))"),"200+")</f>
        <v>200+</v>
      </c>
    </row>
    <row r="24" spans="1:2" ht="13.2">
      <c r="A24" s="2" t="s">
        <v>81</v>
      </c>
      <c r="B24" s="2" t="str">
        <f ca="1">IFERROR(__xludf.DUMMYFUNCTION("IF(ISBLANK(A24),"""",GOOGLETRANSLATE(A24,""en"",""de""))"),"Kunden weltweit")</f>
        <v>Kunden weltweit</v>
      </c>
    </row>
    <row r="25" spans="1:2" ht="13.2">
      <c r="A25" s="2" t="s">
        <v>277</v>
      </c>
      <c r="B25" s="2" t="str">
        <f ca="1">IFERROR(__xludf.DUMMYFUNCTION("IF(ISBLANK(A25),"""",GOOGLETRANSLATE(A25,""en"",""de""))"),"30+")</f>
        <v>30+</v>
      </c>
    </row>
    <row r="26" spans="1:2" ht="13.2">
      <c r="A26" s="2" t="s">
        <v>278</v>
      </c>
      <c r="B26" s="2" t="str">
        <f ca="1">IFERROR(__xludf.DUMMYFUNCTION("IF(ISBLANK(A26),"""",GOOGLETRANSLATE(A26,""en"",""de""))"),"Bediente Länder")</f>
        <v>Bediente Länder</v>
      </c>
    </row>
    <row r="27" spans="1:2" ht="13.2">
      <c r="A27" s="2" t="s">
        <v>279</v>
      </c>
      <c r="B27" s="2" t="str">
        <f ca="1">IFERROR(__xludf.DUMMYFUNCTION("IF(ISBLANK(A27),"""",GOOGLETRANSLATE(A27,""en"",""de""))"),"End-to-End-Kontrolle und integrierte Intelligenz")</f>
        <v>End-to-End-Kontrolle und integrierte Intelligenz</v>
      </c>
    </row>
    <row r="28" spans="1:2" ht="13.2">
      <c r="A28" s="2" t="s">
        <v>350</v>
      </c>
      <c r="B28" s="2" t="str">
        <f ca="1">IFERROR(__xludf.DUMMYFUNCTION("IF(ISBLANK(A28),"""",GOOGLETRANSLATE(A28,""en"",""de""))"),"Schnittstelle zwischen Distributor, OEM und Händler")</f>
        <v>Schnittstelle zwischen Distributor, OEM und Händler</v>
      </c>
    </row>
    <row r="29" spans="1:2" ht="13.2">
      <c r="A29" s="2" t="s">
        <v>351</v>
      </c>
      <c r="B29" s="2" t="str">
        <f ca="1">IFERROR(__xludf.DUMMYFUNCTION("IF(ISBLANK(A29),"""",GOOGLETRANSLATE(A29,""en"",""de""))"),"Bieten Sie Ihren Geschäftspartnern ein Portal, das ihnen mit minimalem Aufwand mehr Transparenz und Kontrolle über ihre Lagerbestände bietet. OEMs und Händler können ihre Lagernutzung, ihren Lagerbestand und ihre Finanzlage einsehen, während sie Abrechnun"&amp;"gsanfragen stellen oder Anlagen umlagern. Erweitern Sie diese Funktionen durch plattformübergreifende Kompatibilität und ermöglichen Sie Händlern, die Lagernutzung einzusehen, Abrechnungen oder Umlagerungen zu verwalten und die Finanzlage auch unterwegs z"&amp;"u verfolgen.")</f>
        <v>Bieten Sie Ihren Geschäftspartnern ein Portal, das ihnen mit minimalem Aufwand mehr Transparenz und Kontrolle über ihre Lagerbestände bietet. OEMs und Händler können ihre Lagernutzung, ihren Lagerbestand und ihre Finanzlage einsehen, während sie Abrechnungsanfragen stellen oder Anlagen umlagern. Erweitern Sie diese Funktionen durch plattformübergreifende Kompatibilität und ermöglichen Sie Händlern, die Lagernutzung einzusehen, Abrechnungen oder Umlagerungen zu verwalten und die Finanzlage auch unterwegs zu verfolgen.</v>
      </c>
    </row>
    <row r="30" spans="1:2" ht="13.2">
      <c r="B30" s="2" t="str">
        <f ca="1">IFERROR(__xludf.DUMMYFUNCTION("IF(ISBLANK(A30),"""",GOOGLETRANSLATE(A30,""en"",""de""))"),"")</f>
        <v/>
      </c>
    </row>
    <row r="31" spans="1:2" ht="13.2">
      <c r="A31" s="2" t="s">
        <v>352</v>
      </c>
      <c r="B31" s="2" t="str">
        <f ca="1">IFERROR(__xludf.DUMMYFUNCTION("IF(ISBLANK(A31),"""",GOOGLETRANSLATE(A31,""en"",""de""))"),"Kredit- und Risikomanagement")</f>
        <v>Kredit- und Risikomanagement</v>
      </c>
    </row>
    <row r="32" spans="1:2" ht="13.2">
      <c r="A32" s="2" t="s">
        <v>353</v>
      </c>
      <c r="B32" s="2" t="str">
        <f ca="1">IFERROR(__xludf.DUMMYFUNCTION("IF(ISBLANK(A32),"""",GOOGLETRANSLATE(A32,""en"",""de""))"),"Geben Sie Händlern die Flexibilität, Kreditlimits für verschiedene Anlagekategorien zu beantragen und Abweichungen und Überprüfungen festgelegter Kreditlimits zu überwachen. Ermöglichen Sie vorübergehende Erhöhungen der Kreditlimits auf der Grundlage von "&amp;"Händlerkampagnen – wobei die normalen Limits nach Ablauf der vorübergehenden Laufzeiten automatisch wieder gelten.")</f>
        <v>Geben Sie Händlern die Flexibilität, Kreditlimits für verschiedene Anlagekategorien zu beantragen und Abweichungen und Überprüfungen festgelegter Kreditlimits zu überwachen. Ermöglichen Sie vorübergehende Erhöhungen der Kreditlimits auf der Grundlage von Händlerkampagnen – wobei die normalen Limits nach Ablauf der vorübergehenden Laufzeiten automatisch wieder gelten.</v>
      </c>
    </row>
    <row r="33" spans="1:2" ht="13.2">
      <c r="B33" s="2" t="str">
        <f ca="1">IFERROR(__xludf.DUMMYFUNCTION("IF(ISBLANK(A33),"""",GOOGLETRANSLATE(A33,""en"",""de""))"),"")</f>
        <v/>
      </c>
    </row>
    <row r="34" spans="1:2" ht="13.2">
      <c r="A34" s="2" t="s">
        <v>354</v>
      </c>
      <c r="B34" s="2" t="str">
        <f ca="1">IFERROR(__xludf.DUMMYFUNCTION("IF(ISBLANK(A34),"""",GOOGLETRANSLATE(A34,""en"",""de""))"),"Kreditabwicklung")</f>
        <v>Kreditabwicklung</v>
      </c>
    </row>
    <row r="35" spans="1:2" ht="13.2">
      <c r="A35" s="2" t="s">
        <v>355</v>
      </c>
      <c r="B35" s="2" t="str">
        <f ca="1">IFERROR(__xludf.DUMMYFUNCTION("IF(ISBLANK(A35),"""",GOOGLETRANSLATE(A35,""en"",""de""))"),"Verwalten Sie den Lebenszyklus jeder Transaktion, von der Erfassung von Vermögensinformationen bis hin zu Kredit- und Vertragsbuchungsdetails. Erstellen Sie Betriebsmodelle für Ihre spezifischen Backoffice-Anforderungen, für Rückzahlungen, Zinsberechnunge"&amp;"n, Vermögenssteuern und Servicegebühren – und wenden Sie diese bei der Kreditgenehmigung an.")</f>
        <v>Verwalten Sie den Lebenszyklus jeder Transaktion, von der Erfassung von Vermögensinformationen bis hin zu Kredit- und Vertragsbuchungsdetails. Erstellen Sie Betriebsmodelle für Ihre spezifischen Backoffice-Anforderungen, für Rückzahlungen, Zinsberechnungen, Vermögenssteuern und Servicegebühren – und wenden Sie diese bei der Kreditgenehmigung an.</v>
      </c>
    </row>
    <row r="36" spans="1:2" ht="13.2">
      <c r="B36" s="2" t="str">
        <f ca="1">IFERROR(__xludf.DUMMYFUNCTION("IF(ISBLANK(A36),"""",GOOGLETRANSLATE(A36,""en"",""de""))"),"")</f>
        <v/>
      </c>
    </row>
    <row r="37" spans="1:2" ht="13.2">
      <c r="A37" s="2" t="s">
        <v>356</v>
      </c>
      <c r="B37" s="2" t="str">
        <f ca="1">IFERROR(__xludf.DUMMYFUNCTION("IF(ISBLANK(A37),"""",GOOGLETRANSLATE(A37,""en"",""de""))"),"Auszahlungsmanagement")</f>
        <v>Auszahlungsmanagement</v>
      </c>
    </row>
    <row r="38" spans="1:2" ht="13.2">
      <c r="A38" s="2" t="s">
        <v>357</v>
      </c>
      <c r="B38" s="2" t="str">
        <f ca="1">IFERROR(__xludf.DUMMYFUNCTION("IF(ISBLANK(A38),"""",GOOGLETRANSLATE(A38,""en"",""de""))"),"Optimieren Sie den Auszahlungsprozess vollständig und sorgen Sie für Effizienz, Genauigkeit und Sicherheit in jedem Schritt. Eliminieren Sie manuelle Aufgaben und menschliche Fehler, denn unsere fortschrittlichen Großhandelslösungen automatisieren Auszahl"&amp;"ungsabläufe und gewährleisten so pünktliche Zahlungen und eine optimale Mittelzuweisung.")</f>
        <v>Optimieren Sie den Auszahlungsprozess vollständig und sorgen Sie für Effizienz, Genauigkeit und Sicherheit in jedem Schritt. Eliminieren Sie manuelle Aufgaben und menschliche Fehler, denn unsere fortschrittlichen Großhandelslösungen automatisieren Auszahlungsabläufe und gewährleisten so pünktliche Zahlungen und eine optimale Mittelzuweisung.</v>
      </c>
    </row>
    <row r="39" spans="1:2" ht="13.2">
      <c r="B39" s="2" t="str">
        <f ca="1">IFERROR(__xludf.DUMMYFUNCTION("IF(ISBLANK(A39),"""",GOOGLETRANSLATE(A39,""en"",""de""))"),"")</f>
        <v/>
      </c>
    </row>
    <row r="40" spans="1:2" ht="13.2">
      <c r="A40" s="2" t="s">
        <v>358</v>
      </c>
      <c r="B40" s="2" t="str">
        <f ca="1">IFERROR(__xludf.DUMMYFUNCTION("IF(ISBLANK(A40),"""",GOOGLETRANSLATE(A40,""en"",""de""))"),"Endgültige Abrechnung")</f>
        <v>Endgültige Abrechnung</v>
      </c>
    </row>
    <row r="41" spans="1:2" ht="13.2">
      <c r="A41" s="2" t="s">
        <v>359</v>
      </c>
      <c r="B41" s="2" t="str">
        <f ca="1">IFERROR(__xludf.DUMMYFUNCTION("IF(ISBLANK(A41),"""",GOOGLETRANSLATE(A41,""en"",""de""))"),"Optimieren Sie Ihren Abrechnungsprozess mit unserer fortschrittlichen Großhandelsfinanzierungssoftware, die für mehr Effizienz und Genauigkeit bei jeder Transaktion sorgt. Unsere Lösung automatisiert den Abgleich, verarbeitet Abrechnungen in Echtzeit und "&amp;"lässt sich nahtlos in Ihre bestehenden Systeme integrieren.")</f>
        <v>Optimieren Sie Ihren Abrechnungsprozess mit unserer fortschrittlichen Großhandelsfinanzierungssoftware, die für mehr Effizienz und Genauigkeit bei jeder Transaktion sorgt. Unsere Lösung automatisiert den Abgleich, verarbeitet Abrechnungen in Echtzeit und lässt sich nahtlos in Ihre bestehenden Systeme integrieren.</v>
      </c>
    </row>
    <row r="42" spans="1:2" ht="13.2">
      <c r="B42" s="2" t="str">
        <f ca="1">IFERROR(__xludf.DUMMYFUNCTION("IF(ISBLANK(A42),"""",GOOGLETRANSLATE(A42,""en"",""de""))"),"")</f>
        <v/>
      </c>
    </row>
    <row r="43" spans="1:2" ht="13.2">
      <c r="A43" s="2" t="s">
        <v>360</v>
      </c>
      <c r="B43" s="2" t="str">
        <f ca="1">IFERROR(__xludf.DUMMYFUNCTION("IF(ISBLANK(A43),"""",GOOGLETRANSLATE(A43,""en"",""de""))"),"Bestandsprüfung")</f>
        <v>Bestandsprüfung</v>
      </c>
    </row>
    <row r="44" spans="1:2" ht="13.2">
      <c r="A44" s="2" t="s">
        <v>361</v>
      </c>
      <c r="B44" s="2" t="str">
        <f ca="1">IFERROR(__xludf.DUMMYFUNCTION("IF(ISBLANK(A44),"""",GOOGLETRANSLATE(A44,""en"",""de""))"),"Verwalten und verfolgen Sie Ihren Lagerbestand effizient mit höchster Genauigkeit und Geschwindigkeit. Ohne manuelle Prozesse und mit Echtzeit-Einblicken automatisieren Sie Audit-Verfahren, erkennen Abweichungen sofort und optimieren die Lagerverwaltung f"&amp;"ür Ihre Großhandelsfinanzierung. Unsere mobile App bietet Ihren Mitarbeitern die gleiche Genauigkeit und ermöglicht sofortige Planung, Bestandsverfolgung, Bildverifizierung und die schnelle Übermittlung von Audit-Ergebnissen.")</f>
        <v>Verwalten und verfolgen Sie Ihren Lagerbestand effizient mit höchster Genauigkeit und Geschwindigkeit. Ohne manuelle Prozesse und mit Echtzeit-Einblicken automatisieren Sie Audit-Verfahren, erkennen Abweichungen sofort und optimieren die Lagerverwaltung für Ihre Großhandelsfinanzierung. Unsere mobile App bietet Ihren Mitarbeitern die gleiche Genauigkeit und ermöglicht sofortige Planung, Bestandsverfolgung, Bildverifizierung und die schnelle Übermittlung von Audit-Ergebnissen.</v>
      </c>
    </row>
    <row r="45" spans="1:2" ht="13.2">
      <c r="B45" s="2" t="str">
        <f ca="1">IFERROR(__xludf.DUMMYFUNCTION("IF(ISBLANK(A45),"""",GOOGLETRANSLATE(A45,""en"",""de""))"),"")</f>
        <v/>
      </c>
    </row>
    <row r="46" spans="1:2" ht="13.2">
      <c r="A46" s="2" t="s">
        <v>362</v>
      </c>
      <c r="B46" s="2" t="str">
        <f ca="1">IFERROR(__xludf.DUMMYFUNCTION("IF(ISBLANK(A46),"""",GOOGLETRANSLATE(A46,""en"",""de""))"),"Sind Sie bereit, Ihre Großhandelsfinanzierungsgeschäfte zu optimieren?")</f>
        <v>Sind Sie bereit, Ihre Großhandelsfinanzierungsgeschäfte zu optimieren?</v>
      </c>
    </row>
    <row r="47" spans="1:2" ht="13.2">
      <c r="A47" s="2" t="s">
        <v>363</v>
      </c>
      <c r="B47" s="2" t="str">
        <f ca="1">IFERROR(__xludf.DUMMYFUNCTION("IF(ISBLANK(A47),"""",GOOGLETRANSLATE(A47,""en"",""de""))"),"Passen Sie Finanzierungsoptionen an die unterschiedlichen Bedürfnisse von Händlern und Kreditnehmern an. Ob Grundrissfinanzierung, revolvierende Kreditlinien oder Laufzeitdarlehen – unsere Technologie bietet flexible Finanzierungslösungen für unterschiedl"&amp;"iche Geschäftsanforderungen.")</f>
        <v>Passen Sie Finanzierungsoptionen an die unterschiedlichen Bedürfnisse von Händlern und Kreditnehmern an. Ob Grundrissfinanzierung, revolvierende Kreditlinien oder Laufzeitdarlehen – unsere Technologie bietet flexible Finanzierungslösungen für unterschiedliche Geschäftsanforderungen.</v>
      </c>
    </row>
    <row r="48" spans="1:2" ht="13.2">
      <c r="B48" s="2" t="str">
        <f ca="1">IFERROR(__xludf.DUMMYFUNCTION("IF(ISBLANK(A48),"""",GOOGLETRANSLATE(A48,""en"",""de""))"),"")</f>
        <v/>
      </c>
    </row>
    <row r="49" spans="1:2" ht="13.2">
      <c r="A49" s="2" t="s">
        <v>100</v>
      </c>
      <c r="B49" s="2" t="str">
        <f ca="1">IFERROR(__xludf.DUMMYFUNCTION("IF(ISBLANK(A49),"""",GOOGLETRANSLATE(A49,""en"",""de""))"),"Empfohlene Lektüre und Einblicke")</f>
        <v>Empfohlene Lektüre und Einblicke</v>
      </c>
    </row>
    <row r="50" spans="1:2" ht="13.2">
      <c r="A50" s="10" t="s">
        <v>101</v>
      </c>
      <c r="B50" s="2" t="str">
        <f ca="1">IFERROR(__xludf.DUMMYFUNCTION("IF(ISBLANK(A50),"""",GOOGLETRANSLATE(A50,""en"",""de""))"),"Bleiben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51" spans="1:2" ht="13.2">
      <c r="A51" s="2" t="s">
        <v>102</v>
      </c>
      <c r="B51" s="2" t="str">
        <f ca="1">IFERROR(__xludf.DUMMYFUNCTION("IF(ISBLANK(A51),"""",GOOGLETRANSLATE(A51,""en"",""de""))"),"Der Blog")</f>
        <v>Der Blog</v>
      </c>
    </row>
    <row r="52" spans="1:2" ht="13.2">
      <c r="A52" s="2" t="s">
        <v>103</v>
      </c>
      <c r="B52" s="2" t="str">
        <f ca="1">IFERROR(__xludf.DUMMYFUNCTION("IF(ISBLANK(A52),"""",GOOGLETRANSLATE(A52,""en"",""de""))"),"Über das DMS hinaus: Warum die Zukunft des Automobilhandels API-first ist")</f>
        <v>Über das DMS hinaus: Warum die Zukunft des Automobilhandels API-first ist</v>
      </c>
    </row>
    <row r="53" spans="1:2" ht="13.2">
      <c r="A53" s="2" t="s">
        <v>27</v>
      </c>
      <c r="B53" s="2" t="str">
        <f ca="1">IFERROR(__xludf.DUMMYFUNCTION("IF(ISBLANK(A53),"""",GOOGLETRANSLATE(A53,""en"",""de""))"),"Mehr erfahren")</f>
        <v>Mehr erfahren</v>
      </c>
    </row>
    <row r="54" spans="1:2" ht="13.2">
      <c r="B54" s="2" t="str">
        <f ca="1">IFERROR(__xludf.DUMMYFUNCTION("IF(ISBLANK(A54),"""",GOOGLETRANSLATE(A54,""en"",""de""))"),"")</f>
        <v/>
      </c>
    </row>
    <row r="55" spans="1:2" ht="13.2">
      <c r="A55" s="2" t="s">
        <v>104</v>
      </c>
      <c r="B55" s="2" t="str">
        <f ca="1">IFERROR(__xludf.DUMMYFUNCTION("IF(ISBLANK(A55),"""",GOOGLETRANSLATE(A55,""en"",""de""))"),"NETSOL ist auf der GlobalData Automotive Europe Conference and Awards 2025")</f>
        <v>NETSOL ist auf der GlobalData Automotive Europe Conference and Awards 2025</v>
      </c>
    </row>
    <row r="56" spans="1:2" ht="13.2">
      <c r="B56" s="2" t="str">
        <f ca="1">IFERROR(__xludf.DUMMYFUNCTION("IF(ISBLANK(A56),"""",GOOGLETRANSLATE(A56,""en"",""de""))"),"")</f>
        <v/>
      </c>
    </row>
    <row r="57" spans="1:2" ht="13.2">
      <c r="B57" s="2" t="str">
        <f ca="1">IFERROR(__xludf.DUMMYFUNCTION("IF(ISBLANK(A57),"""",GOOGLETRANSLATE(A57,""en"",""de""))"),"")</f>
        <v/>
      </c>
    </row>
    <row r="58" spans="1:2" ht="13.2">
      <c r="A58" s="2" t="s">
        <v>105</v>
      </c>
      <c r="B58" s="2" t="str">
        <f ca="1">IFERROR(__xludf.DUMMYFUNCTION("IF(ISBLANK(A58),"""",GOOGLETRANSLATE(A58,""en"",""de""))"),"NETSOL ist auf dem 25. jährlichen Auto Finance Summit: Die Zukunft der Autofinanzierung vorantreiben")</f>
        <v>NETSOL ist auf dem 25. jährlichen Auto Finance Summit: Die Zukunft der Autofinanzierung vorantreiben</v>
      </c>
    </row>
    <row r="59" spans="1:2" ht="13.2">
      <c r="B59" s="2" t="str">
        <f ca="1">IFERROR(__xludf.DUMMYFUNCTION("IF(ISBLANK(A59),"""",GOOGLETRANSLATE(A59,""en"",""de""))"),"")</f>
        <v/>
      </c>
    </row>
    <row r="60" spans="1:2" ht="13.2">
      <c r="B60" s="2" t="str">
        <f ca="1">IFERROR(__xludf.DUMMYFUNCTION("IF(ISBLANK(A60),"""",GOOGLETRANSLATE(A60,""en"",""de""))"),"")</f>
        <v/>
      </c>
    </row>
    <row r="61" spans="1:2" ht="13.2">
      <c r="A61" s="2" t="s">
        <v>106</v>
      </c>
      <c r="B61" s="2" t="str">
        <f ca="1">IFERROR(__xludf.DUMMYFUNCTION("IF(ISBLANK(A61),"""",GOOGLETRANSLATE(A61,""en"",""de""))"),"NETSOL ist beim Digital Dealer 2025 dabei: Wir stärken die Zukunft des Automobilhandels")</f>
        <v>NETSOL ist beim Digital Dealer 2025 dabei: Wir stärken die Zukunft des Automobilhandels</v>
      </c>
    </row>
    <row r="62" spans="1:2" ht="13.2">
      <c r="B62" s="2" t="str">
        <f ca="1">IFERROR(__xludf.DUMMYFUNCTION("IF(ISBLANK(A62),"""",GOOGLETRANSLATE(A62,""en"",""de""))"),"")</f>
        <v/>
      </c>
    </row>
    <row r="63" spans="1:2" ht="13.2">
      <c r="B63" s="2" t="str">
        <f ca="1">IFERROR(__xludf.DUMMYFUNCTION("IF(ISBLANK(A63),"""",GOOGLETRANSLATE(A63,""en"",""de""))"),"")</f>
        <v/>
      </c>
    </row>
    <row r="64" spans="1:2" ht="13.2">
      <c r="A64" s="6" t="s">
        <v>107</v>
      </c>
      <c r="B64" s="2" t="str">
        <f ca="1">IFERROR(__xludf.DUMMYFUNCTION("IF(ISBLANK(A64),"""",GOOGLETRANSLATE(A64,""en"",""de""))"),"KI im BFSI: Revolutionierung des Risikomanagements")</f>
        <v>KI im BFSI: Revolutionierung des Risikomanagements</v>
      </c>
    </row>
    <row r="65" spans="1:2" ht="13.2">
      <c r="B65" s="2" t="str">
        <f ca="1">IFERROR(__xludf.DUMMYFUNCTION("IF(ISBLANK(A65),"""",GOOGLETRANSLATE(A65,""en"",""de""))"),"")</f>
        <v/>
      </c>
    </row>
    <row r="66" spans="1:2" ht="13.2">
      <c r="B66" s="2" t="str">
        <f ca="1">IFERROR(__xludf.DUMMYFUNCTION("IF(ISBLANK(A66),"""",GOOGLETRANSLATE(A66,""en"",""de""))"),"")</f>
        <v/>
      </c>
    </row>
    <row r="67" spans="1:2" ht="13.2">
      <c r="A67" s="2" t="s">
        <v>108</v>
      </c>
      <c r="B67" s="2" t="str">
        <f ca="1">IFERROR(__xludf.DUMMYFUNCTION("IF(ISBLANK(A67),"""",GOOGLETRANSLATE(A67,""en"",""de""))"),"Die Bedeutung der Personalisierung im Kundenservice: Maßgeschneidertes Zahlungs- und Streitbeilegungsmanagement für Kunden")</f>
        <v>Die Bedeutung der Personalisierung im Kundenservice: Maßgeschneidertes Zahlungs- und Streitbeilegungsmanagement für Kunden</v>
      </c>
    </row>
    <row r="68" spans="1:2" ht="13.2">
      <c r="B68" s="2" t="str">
        <f ca="1">IFERROR(__xludf.DUMMYFUNCTION("IF(ISBLANK(A68),"""",GOOGLETRANSLATE(A68,""en"",""de""))"),"")</f>
        <v/>
      </c>
    </row>
    <row r="69" spans="1:2" ht="13.2">
      <c r="B69" s="2" t="str">
        <f ca="1">IFERROR(__xludf.DUMMYFUNCTION("IF(ISBLANK(A69),"""",GOOGLETRANSLATE(A69,""en"",""de""))"),"")</f>
        <v/>
      </c>
    </row>
    <row r="70" spans="1:2" ht="13.2">
      <c r="A70" s="2" t="s">
        <v>109</v>
      </c>
      <c r="B70" s="2" t="str">
        <f ca="1">IFERROR(__xludf.DUMMYFUNCTION("IF(ISBLANK(A70),"""",GOOGLETRANSLATE(A70,""en"",""de""))"),"Die wahren Kosten getrennter Systeme im Autohandel")</f>
        <v>Die wahren Kosten getrennter Systeme im Autohandel</v>
      </c>
    </row>
    <row r="71" spans="1:2" ht="13.2">
      <c r="B71" s="2" t="str">
        <f ca="1">IFERROR(__xludf.DUMMYFUNCTION("IF(ISBLANK(A71),"""",GOOGLETRANSLATE(A71,""en"",""de""))"),"")</f>
        <v/>
      </c>
    </row>
    <row r="72" spans="1:2" ht="13.2">
      <c r="B72" s="2" t="str">
        <f ca="1">IFERROR(__xludf.DUMMYFUNCTION("IF(ISBLANK(A72),"""",GOOGLETRANSLATE(A72,""en"",""de""))"),"")</f>
        <v/>
      </c>
    </row>
    <row r="73" spans="1:2" ht="13.2">
      <c r="A73" s="2" t="s">
        <v>110</v>
      </c>
      <c r="B73" s="2" t="str">
        <f ca="1">IFERROR(__xludf.DUMMYFUNCTION("IF(ISBLANK(A73),"""",GOOGLETRANSLATE(A73,""en"",""de""))"),"Captive der Zukunft: Wie Technologie Captive-Finanzierungsgeschäfte neu definiert – Wichtige Erkenntnisse aus dem Webinar der AFSA")</f>
        <v>Captive der Zukunft: Wie Technologie Captive-Finanzierungsgeschäfte neu definiert – Wichtige Erkenntnisse aus dem Webinar der AFSA</v>
      </c>
    </row>
    <row r="74" spans="1:2" ht="13.2">
      <c r="B74" s="2" t="str">
        <f ca="1">IFERROR(__xludf.DUMMYFUNCTION("IF(ISBLANK(A74),"""",GOOGLETRANSLATE(A74,""en"",""de""))"),"")</f>
        <v/>
      </c>
    </row>
    <row r="75" spans="1:2" ht="13.2">
      <c r="B75" s="2" t="str">
        <f ca="1">IFERROR(__xludf.DUMMYFUNCTION("IF(ISBLANK(A75),"""",GOOGLETRANSLATE(A75,""en"",""de""))"),"")</f>
        <v/>
      </c>
    </row>
    <row r="76" spans="1:2" ht="13.2">
      <c r="A76" s="2" t="s">
        <v>111</v>
      </c>
      <c r="B76" s="2" t="str">
        <f ca="1">IFERROR(__xludf.DUMMYFUNCTION("IF(ISBLANK(A76),"""",GOOGLETRANSLATE(A76,""en"",""de""))"),"Betrugsbekämpfung im Großkundengeschäft: Technologie zur Früherkennung und Risikominderung")</f>
        <v>Betrugsbekämpfung im Großkundengeschäft: Technologie zur Früherkennung und Risikominderung</v>
      </c>
    </row>
    <row r="77" spans="1:2" ht="13.2">
      <c r="B77" s="2" t="str">
        <f ca="1">IFERROR(__xludf.DUMMYFUNCTION("IF(ISBLANK(A77),"""",GOOGLETRANSLATE(A77,""en"",""de""))"),"")</f>
        <v/>
      </c>
    </row>
    <row r="78" spans="1:2" ht="13.2">
      <c r="A78" s="2" t="s">
        <v>114</v>
      </c>
      <c r="B78" s="2" t="str">
        <f ca="1">IFERROR(__xludf.DUMMYFUNCTION("IF(ISBLANK(A78),"""",GOOGLETRANSLATE(A78,""en"",""de""))"),"Abonnieren Sie unseren Newsletter, um die neuesten Nachrichten in Ihrem Posteingang zu erhalten.")</f>
        <v>Abonnieren Sie unseren Newsletter, um die neuesten Nachrichten in Ihrem Posteingang zu erhalten.</v>
      </c>
    </row>
    <row r="79" spans="1:2" ht="13.2">
      <c r="A79" s="2" t="s">
        <v>115</v>
      </c>
      <c r="B79" s="2" t="str">
        <f ca="1">IFERROR(__xludf.DUMMYFUNCTION("IF(ISBLANK(A79),"""",GOOGLETRANSLATE(A79,""en"",""de""))"),"abc@example.com")</f>
        <v>abc@example.com</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71"/>
  <sheetViews>
    <sheetView topLeftCell="A15" workbookViewId="0">
      <selection activeCell="A34" sqref="A34"/>
    </sheetView>
  </sheetViews>
  <sheetFormatPr defaultColWidth="12.5546875" defaultRowHeight="15.75" customHeight="1"/>
  <cols>
    <col min="1" max="1" width="138.5546875" customWidth="1"/>
  </cols>
  <sheetData>
    <row r="1" spans="1:2" ht="13.2">
      <c r="A1" s="1" t="s">
        <v>0</v>
      </c>
      <c r="B1" s="1" t="s">
        <v>1</v>
      </c>
    </row>
    <row r="2" spans="1:2" ht="15.75" customHeight="1">
      <c r="A2" s="2" t="s">
        <v>131</v>
      </c>
      <c r="B2" s="2" t="str">
        <f ca="1">IFERROR(__xludf.DUMMYFUNCTION("IF(ISBLANK(A2),"""",GOOGLETRANSLATE(A2,""en"",""de""))"),"Mobilitätslösungen")</f>
        <v>Mobilitätslösungen</v>
      </c>
    </row>
    <row r="3" spans="1:2" ht="15.75" customHeight="1">
      <c r="A3" s="2" t="s">
        <v>364</v>
      </c>
      <c r="B3" s="2" t="str">
        <f ca="1">IFERROR(__xludf.DUMMYFUNCTION("IF(ISBLANK(A3),"""",GOOGLETRANSLATE(A3,""en"",""de""))"),"Ein benutzerzentriertes Einzelhandelserlebnis")</f>
        <v>Ein benutzerzentriertes Einzelhandelserlebnis</v>
      </c>
    </row>
    <row r="4" spans="1:2" ht="15.75" customHeight="1">
      <c r="A4" s="2" t="s">
        <v>365</v>
      </c>
      <c r="B4" s="2" t="str">
        <f ca="1">IFERROR(__xludf.DUMMYFUNCTION("IF(ISBLANK(A4),"""",GOOGLETRANSLATE(A4,""en"",""de""))"),"Ein Omnichannel-Einkaufserlebnis, das die Grenzen des traditionellen Kundenerlebnisses überschreitet.")</f>
        <v>Ein Omnichannel-Einkaufserlebnis, das die Grenzen des traditionellen Kundenerlebnisses überschreitet.</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B7" s="2" t="str">
        <f ca="1">IFERROR(__xludf.DUMMYFUNCTION("IF(ISBLANK(A7),"""",GOOGLETRANSLATE(A7,""en"",""de""))"),"")</f>
        <v/>
      </c>
    </row>
    <row r="8" spans="1:2" ht="15.75" customHeight="1">
      <c r="A8" s="2" t="s">
        <v>366</v>
      </c>
      <c r="B8" s="2" t="str">
        <f ca="1">IFERROR(__xludf.DUMMYFUNCTION("IF(ISBLANK(A8),"""",GOOGLETRANSLATE(A8,""en"",""de""))"),"Mobilität mit intelligenten digitalen Lösungen transformieren")</f>
        <v>Mobilität mit intelligenten digitalen Lösungen transformieren</v>
      </c>
    </row>
    <row r="9" spans="1:2" ht="15.75" customHeight="1">
      <c r="A9" s="2" t="s">
        <v>367</v>
      </c>
      <c r="B9" s="2" t="str">
        <f ca="1">IFERROR(__xludf.DUMMYFUNCTION("IF(ISBLANK(A9),"""",GOOGLETRANSLATE(A9,""en"",""de""))"),"Profitieren Sie von intelligenten Lösungen für moderne Mobilität. Unsere Produkte decken alle Aspekte des Verkaufs- und Leasingprozesses ab und überwinden die Grenzen traditioneller Mobilitätslösungen. Unsere Tool-Bibliothek ist flexibel, modular und für "&amp;"Unternehmen jeder Größe geeignet. Vor allem sind sie skalierbar und erfüllen so Ihre Anforderungen dauerhaft. Unsere Mobilitätslösungen erweitern Ihre Möglichkeiten und können individuell an Ihre Bedürfnisse angepasst werden.")</f>
        <v>Profitieren Sie von intelligenten Lösungen für moderne Mobilität. Unsere Produkte decken alle Aspekte des Verkaufs- und Leasingprozesses ab und überwinden die Grenzen traditioneller Mobilitätslösungen. Unsere Tool-Bibliothek ist flexibel, modular und für Unternehmen jeder Größe geeignet. Vor allem sind sie skalierbar und erfüllen so Ihre Anforderungen dauerhaft. Unsere Mobilitätslösungen erweitern Ihre Möglichkeiten und können individuell an Ihre Bedürfnisse angepasst werden.</v>
      </c>
    </row>
    <row r="10" spans="1:2" ht="15.75" customHeight="1">
      <c r="A10" s="2" t="s">
        <v>368</v>
      </c>
      <c r="B10" s="2" t="str">
        <f ca="1">IFERROR(__xludf.DUMMYFUNCTION("IF(ISBLANK(A10),"""",GOOGLETRANSLATE(A10,""en"",""de""))"),"Mühelose Compliance")</f>
        <v>Mühelose Compliance</v>
      </c>
    </row>
    <row r="11" spans="1:2" ht="15.75" customHeight="1">
      <c r="A11" s="2" t="s">
        <v>369</v>
      </c>
      <c r="B11" s="2" t="str">
        <f ca="1">IFERROR(__xludf.DUMMYFUNCTION("IF(ISBLANK(A11),"""",GOOGLETRANSLATE(A11,""en"",""de""))"),"Erreichen Sie mühelos die Einhaltung gesetzlicher Vorschriften mit unseren optimierten, intuitiven Lösungen.")</f>
        <v>Erreichen Sie mühelos die Einhaltung gesetzlicher Vorschriften mit unseren optimierten, intuitiven Lösungen.</v>
      </c>
    </row>
    <row r="12" spans="1:2" ht="15.75" customHeight="1">
      <c r="A12" s="2" t="s">
        <v>370</v>
      </c>
      <c r="B12" s="2" t="str">
        <f ca="1">IFERROR(__xludf.DUMMYFUNCTION("IF(ISBLANK(A12),"""",GOOGLETRANSLATE(A12,""en"",""de""))"),"Genaue Besteuerung")</f>
        <v>Genaue Besteuerung</v>
      </c>
    </row>
    <row r="13" spans="1:2" ht="15.75" customHeight="1">
      <c r="A13" s="2" t="s">
        <v>371</v>
      </c>
      <c r="B13" s="2" t="str">
        <f ca="1">IFERROR(__xludf.DUMMYFUNCTION("IF(ISBLANK(A13),"""",GOOGLETRANSLATE(A13,""en"",""de""))"),"Führen Sie sofort und präzise komplexe und wichtige Steuer- und Kreditberechnungen durch.")</f>
        <v>Führen Sie sofort und präzise komplexe und wichtige Steuer- und Kreditberechnungen durch.</v>
      </c>
    </row>
    <row r="14" spans="1:2" ht="15.75" customHeight="1">
      <c r="A14" s="2" t="s">
        <v>372</v>
      </c>
      <c r="B14" s="2" t="str">
        <f ca="1">IFERROR(__xludf.DUMMYFUNCTION("IF(ISBLANK(A14),"""",GOOGLETRANSLATE(A14,""en"",""de""))"),"Automatisieren Sie die Buchhaltung")</f>
        <v>Automatisieren Sie die Buchhaltung</v>
      </c>
    </row>
    <row r="15" spans="1:2" ht="15.75" customHeight="1">
      <c r="A15" s="2" t="s">
        <v>373</v>
      </c>
      <c r="B15" s="2" t="str">
        <f ca="1">IFERROR(__xludf.DUMMYFUNCTION("IF(ISBLANK(A15),"""",GOOGLETRANSLATE(A15,""en"",""de""))"),"Automatisieren Sie komplexe Buchhaltungsaufgaben und verbessern Sie die Kundenbetreuung.")</f>
        <v>Automatisieren Sie komplexe Buchhaltungsaufgaben und verbessern Sie die Kundenbetreuung.</v>
      </c>
    </row>
    <row r="16" spans="1:2" ht="15.75" customHeight="1">
      <c r="A16" s="2" t="s">
        <v>374</v>
      </c>
      <c r="B16" s="2" t="str">
        <f ca="1">IFERROR(__xludf.DUMMYFUNCTION("IF(ISBLANK(A16),"""",GOOGLETRANSLATE(A16,""en"",""de""))"),"Betrugsschutz")</f>
        <v>Betrugsschutz</v>
      </c>
    </row>
    <row r="17" spans="1:2" ht="15.75" customHeight="1">
      <c r="A17" s="2" t="s">
        <v>375</v>
      </c>
      <c r="B17" s="2" t="str">
        <f ca="1">IFERROR(__xludf.DUMMYFUNCTION("IF(ISBLANK(A17),"""",GOOGLETRANSLATE(A17,""en"",""de""))"),"Nutzen Sie unseren nahtlos implementierten Betrugsschutz und unsere Kreditentscheidungen.")</f>
        <v>Nutzen Sie unseren nahtlos implementierten Betrugsschutz und unsere Kreditentscheidungen.</v>
      </c>
    </row>
    <row r="18" spans="1:2" ht="15.75" customHeight="1">
      <c r="A18" s="2" t="s">
        <v>84</v>
      </c>
      <c r="B18" s="2" t="str">
        <f ca="1">IFERROR(__xludf.DUMMYFUNCTION("IF(ISBLANK(A18),"""",GOOGLETRANSLATE(A18,""en"",""de""))"),"Über 500 Milliarden US-Dollar")</f>
        <v>Über 500 Milliarden US-Dollar</v>
      </c>
    </row>
    <row r="19" spans="1:2" ht="15.75" customHeight="1">
      <c r="A19" s="2" t="s">
        <v>85</v>
      </c>
      <c r="B19" s="2" t="str">
        <f ca="1">IFERROR(__xludf.DUMMYFUNCTION("IF(ISBLANK(A19),"""",GOOGLETRANSLATE(A19,""en"",""de""))"),"Global verwaltetes Vermögen")</f>
        <v>Global verwaltetes Vermögen</v>
      </c>
    </row>
    <row r="20" spans="1:2" ht="15.75" customHeight="1">
      <c r="A20" s="2" t="s">
        <v>276</v>
      </c>
      <c r="B20" s="2" t="str">
        <f ca="1">IFERROR(__xludf.DUMMYFUNCTION("IF(ISBLANK(A20),"""",GOOGLETRANSLATE(A20,""en"",""de""))"),"350+")</f>
        <v>350+</v>
      </c>
    </row>
    <row r="21" spans="1:2" ht="15.75" customHeight="1">
      <c r="A21" s="2" t="s">
        <v>83</v>
      </c>
      <c r="B21" s="2" t="str">
        <f ca="1">IFERROR(__xludf.DUMMYFUNCTION("IF(ISBLANK(A21),"""",GOOGLETRANSLATE(A21,""en"",""de""))"),"Erfolgreiche Implementierungen")</f>
        <v>Erfolgreiche Implementierungen</v>
      </c>
    </row>
    <row r="22" spans="1:2" ht="15.75" customHeight="1">
      <c r="A22" s="2" t="s">
        <v>80</v>
      </c>
      <c r="B22" s="2" t="str">
        <f ca="1">IFERROR(__xludf.DUMMYFUNCTION("IF(ISBLANK(A22),"""",GOOGLETRANSLATE(A22,""en"",""de""))"),"200+")</f>
        <v>200+</v>
      </c>
    </row>
    <row r="23" spans="1:2" ht="15.75" customHeight="1">
      <c r="A23" s="2" t="s">
        <v>81</v>
      </c>
      <c r="B23" s="2" t="str">
        <f ca="1">IFERROR(__xludf.DUMMYFUNCTION("IF(ISBLANK(A23),"""",GOOGLETRANSLATE(A23,""en"",""de""))"),"Kunden weltweit")</f>
        <v>Kunden weltweit</v>
      </c>
    </row>
    <row r="24" spans="1:2" ht="13.2">
      <c r="A24" s="2" t="s">
        <v>277</v>
      </c>
      <c r="B24" s="2" t="str">
        <f ca="1">IFERROR(__xludf.DUMMYFUNCTION("IF(ISBLANK(A24),"""",GOOGLETRANSLATE(A24,""en"",""de""))"),"30+")</f>
        <v>30+</v>
      </c>
    </row>
    <row r="25" spans="1:2" ht="13.2">
      <c r="A25" s="2" t="s">
        <v>278</v>
      </c>
      <c r="B25" s="2" t="str">
        <f ca="1">IFERROR(__xludf.DUMMYFUNCTION("IF(ISBLANK(A25),"""",GOOGLETRANSLATE(A25,""en"",""de""))"),"Bediente Länder")</f>
        <v>Bediente Länder</v>
      </c>
    </row>
    <row r="26" spans="1:2" ht="13.2">
      <c r="A26" s="2" t="s">
        <v>279</v>
      </c>
      <c r="B26" s="2" t="str">
        <f ca="1">IFERROR(__xludf.DUMMYFUNCTION("IF(ISBLANK(A26),"""",GOOGLETRANSLATE(A26,""en"",""de""))"),"End-to-End-Kontrolle und integrierte Intelligenz")</f>
        <v>End-to-End-Kontrolle und integrierte Intelligenz</v>
      </c>
    </row>
    <row r="27" spans="1:2" ht="13.2">
      <c r="A27" s="2" t="s">
        <v>376</v>
      </c>
      <c r="B27" s="2" t="str">
        <f ca="1">IFERROR(__xludf.DUMMYFUNCTION("IF(ISBLANK(A27),"""",GOOGLETRANSLATE(A27,""en"",""de""))"),"Mikroleasing")</f>
        <v>Mikroleasing</v>
      </c>
    </row>
    <row r="28" spans="1:2" ht="13.2">
      <c r="A28" s="2" t="s">
        <v>377</v>
      </c>
      <c r="B28" s="2" t="str">
        <f ca="1">IFERROR(__xludf.DUMMYFUNCTION("IF(ISBLANK(A28),"""",GOOGLETRANSLATE(A28,""en"",""de""))"),"Profitieren Sie von Flexibilität und Erschwinglichkeit mit unseren Mikroleasing-Optionen. Wir bieten Ihnen flexible, bequeme und kostengünstige Optionen für den Fahrzeugzugang. Die Mikroleasing-Angebote von NETSOL definieren den Fahrzeugzugang neu, indem "&amp;"sie flexible, erschwingliche und nachhaltige Lösungen bieten.")</f>
        <v>Profitieren Sie von Flexibilität und Erschwinglichkeit mit unseren Mikroleasing-Optionen. Wir bieten Ihnen flexible, bequeme und kostengünstige Optionen für den Fahrzeugzugang. Die Mikroleasing-Angebote von NETSOL definieren den Fahrzeugzugang neu, indem sie flexible, erschwingliche und nachhaltige Lösungen bieten.</v>
      </c>
    </row>
    <row r="29" spans="1:2" ht="13.2">
      <c r="B29" s="2" t="str">
        <f ca="1">IFERROR(__xludf.DUMMYFUNCTION("IF(ISBLANK(A29),"""",GOOGLETRANSLATE(A29,""en"",""de""))"),"")</f>
        <v/>
      </c>
    </row>
    <row r="30" spans="1:2" ht="13.2">
      <c r="A30" s="2" t="s">
        <v>378</v>
      </c>
      <c r="B30" s="2" t="str">
        <f ca="1">IFERROR(__xludf.DUMMYFUNCTION("IF(ISBLANK(A30),"""",GOOGLETRANSLATE(A30,""en"",""de""))"),"Bruchteilseigentum")</f>
        <v>Bruchteilseigentum</v>
      </c>
    </row>
    <row r="31" spans="1:2" ht="13.2">
      <c r="A31" s="2" t="s">
        <v>379</v>
      </c>
      <c r="B31" s="2" t="str">
        <f ca="1">IFERROR(__xludf.DUMMYFUNCTION("IF(ISBLANK(A31),"""",GOOGLETRANSLATE(A31,""en"",""de""))"),"Unsere Lösungen für Teileigentum revolutionieren die Mobilitätsbranche, indem sie maximale Flexibilität bieten und Nachhaltigkeit fördern. Erleben Sie die Zukunft der Mobilität mit den innovativen Lösungen von NETSOL und erleben Sie die Freiheit und die V"&amp;"orteile des Teileigentums.")</f>
        <v>Unsere Lösungen für Teileigentum revolutionieren die Mobilitätsbranche, indem sie maximale Flexibilität bieten und Nachhaltigkeit fördern. Erleben Sie die Zukunft der Mobilität mit den innovativen Lösungen von NETSOL und erleben Sie die Freiheit und die Vorteile des Teileigentums.</v>
      </c>
    </row>
    <row r="32" spans="1:2" ht="13.2">
      <c r="B32" s="2" t="str">
        <f ca="1">IFERROR(__xludf.DUMMYFUNCTION("IF(ISBLANK(A32),"""",GOOGLETRANSLATE(A32,""en"",""de""))"),"")</f>
        <v/>
      </c>
    </row>
    <row r="33" spans="1:2" ht="13.2">
      <c r="A33" s="2" t="s">
        <v>380</v>
      </c>
      <c r="B33" s="2" t="str">
        <f ca="1">IFERROR(__xludf.DUMMYFUNCTION("IF(ISBLANK(A33),"""",GOOGLETRANSLATE(A33,""en"",""de""))"),"AutoNation Mobility ermöglicht Innovation und schnellen Markteintritt mit NETSOL")</f>
        <v>AutoNation Mobility ermöglicht Innovation und schnellen Markteintritt mit NETSOL</v>
      </c>
    </row>
    <row r="34" spans="1:2" ht="13.2">
      <c r="A34" s="2" t="s">
        <v>381</v>
      </c>
      <c r="B34" s="2" t="str">
        <f ca="1">IFERROR(__xludf.DUMMYFUNCTION("IF(ISBLANK(A34),"""",GOOGLETRANSLATE(A34,""en"",""de""))"),"„Unsere strategische Allianz mit NETSOL passt perfekt zu unseren Zielen in Bezug auf Innovation und Markteintritt. Die schnelle Einführung von AutoNation Mobility nach nur sechs Monaten unserer Zusammenarbeit unterstreicht unser gemeinsames Engagement für"&amp;" kontinuierliche Innovation und die Priorisierung der Kundenbedürfnisse.“")</f>
        <v>„Unsere strategische Allianz mit NETSOL passt perfekt zu unseren Zielen in Bezug auf Innovation und Markteintritt. Die schnelle Einführung von AutoNation Mobility nach nur sechs Monaten unserer Zusammenarbeit unterstreicht unser gemeinsames Engagement für kontinuierliche Innovation und die Priorisierung der Kundenbedürfnisse.“</v>
      </c>
    </row>
    <row r="35" spans="1:2" ht="13.2">
      <c r="A35" s="2" t="s">
        <v>382</v>
      </c>
      <c r="B35" s="2" t="str">
        <f ca="1">IFERROR(__xludf.DUMMYFUNCTION("IF(ISBLANK(A35),"""",GOOGLETRANSLATE(A35,""en"",""de""))"),"Ivan Mihov")</f>
        <v>Ivan Mihov</v>
      </c>
    </row>
    <row r="36" spans="1:2" ht="13.2">
      <c r="A36" s="2" t="s">
        <v>383</v>
      </c>
      <c r="B36" s="2" t="str">
        <f ca="1">IFERROR(__xludf.DUMMYFUNCTION("IF(ISBLANK(A36),"""",GOOGLETRANSLATE(A36,""en"",""de""))"),"Vizepräsident für Mobilität bei AutoNation Mobility")</f>
        <v>Vizepräsident für Mobilität bei AutoNation Mobility</v>
      </c>
    </row>
    <row r="37" spans="1:2" ht="13.2">
      <c r="A37" s="2" t="s">
        <v>384</v>
      </c>
      <c r="B37" s="2" t="str">
        <f ca="1">IFERROR(__xludf.DUMMYFUNCTION("IF(ISBLANK(A37),"""",GOOGLETRANSLATE(A37,""en"",""de""))"),"Bereit für Transcend?")</f>
        <v>Bereit für Transcend?</v>
      </c>
    </row>
    <row r="38" spans="1:2" ht="13.2">
      <c r="A38" s="2" t="s">
        <v>336</v>
      </c>
      <c r="B38" s="2" t="str">
        <f ca="1">IFERROR(__xludf.DUMMYFUNCTION("IF(ISBLANK(A38),"""",GOOGLETRANSLATE(A38,""en"",""de""))"),"Entdecken Sie unsere komplette Plattform oder unsere Einzellösungen, um Ihr Unternehmen zukunftssicher zu machen und sich in der sich ständig weiterentwickelnden Landschaft von heute einen deutlichen Wettbewerbsvorteil zu verschaffen.")</f>
        <v>Entdecken Sie unsere komplette Plattform oder unsere Einzellösungen, um Ihr Unternehmen zukunftssicher zu machen und sich in der sich ständig weiterentwickelnden Landschaft von heute einen deutlichen Wettbewerbsvorteil zu verschaffen.</v>
      </c>
    </row>
    <row r="39" spans="1:2" ht="13.2">
      <c r="B39" s="2" t="str">
        <f ca="1">IFERROR(__xludf.DUMMYFUNCTION("IF(ISBLANK(A39),"""",GOOGLETRANSLATE(A39,""en"",""de""))"),"")</f>
        <v/>
      </c>
    </row>
    <row r="40" spans="1:2" ht="13.2">
      <c r="A40" s="2" t="s">
        <v>100</v>
      </c>
      <c r="B40" s="2" t="str">
        <f ca="1">IFERROR(__xludf.DUMMYFUNCTION("IF(ISBLANK(A40),"""",GOOGLETRANSLATE(A40,""en"",""de""))"),"Empfohlene Lektüre und Einblicke")</f>
        <v>Empfohlene Lektüre und Einblicke</v>
      </c>
    </row>
    <row r="41" spans="1:2" ht="13.2">
      <c r="A41" s="10" t="s">
        <v>101</v>
      </c>
      <c r="B41" s="2" t="str">
        <f ca="1">IFERROR(__xludf.DUMMYFUNCTION("IF(ISBLANK(A41),"""",GOOGLETRANSLATE(A41,""en"",""de""))"),"Bleiben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42" spans="1:2" ht="13.2">
      <c r="A42" s="2" t="s">
        <v>102</v>
      </c>
      <c r="B42" s="2" t="str">
        <f ca="1">IFERROR(__xludf.DUMMYFUNCTION("IF(ISBLANK(A42),"""",GOOGLETRANSLATE(A42,""en"",""de""))"),"Der Blog")</f>
        <v>Der Blog</v>
      </c>
    </row>
    <row r="43" spans="1:2" ht="13.2">
      <c r="A43" s="2" t="s">
        <v>103</v>
      </c>
      <c r="B43" s="2" t="str">
        <f ca="1">IFERROR(__xludf.DUMMYFUNCTION("IF(ISBLANK(A43),"""",GOOGLETRANSLATE(A43,""en"",""de""))"),"Über das DMS hinaus: Warum die Zukunft des Automobilhandels API-first ist")</f>
        <v>Über das DMS hinaus: Warum die Zukunft des Automobilhandels API-first ist</v>
      </c>
    </row>
    <row r="44" spans="1:2" ht="13.2">
      <c r="A44" s="2" t="s">
        <v>27</v>
      </c>
      <c r="B44" s="2" t="str">
        <f ca="1">IFERROR(__xludf.DUMMYFUNCTION("IF(ISBLANK(A44),"""",GOOGLETRANSLATE(A44,""en"",""de""))"),"Mehr erfahren")</f>
        <v>Mehr erfahren</v>
      </c>
    </row>
    <row r="45" spans="1:2" ht="13.2">
      <c r="B45" s="2" t="str">
        <f ca="1">IFERROR(__xludf.DUMMYFUNCTION("IF(ISBLANK(A45),"""",GOOGLETRANSLATE(A45,""en"",""de""))"),"")</f>
        <v/>
      </c>
    </row>
    <row r="46" spans="1:2" ht="13.2">
      <c r="A46" s="2" t="s">
        <v>104</v>
      </c>
      <c r="B46" s="2" t="str">
        <f ca="1">IFERROR(__xludf.DUMMYFUNCTION("IF(ISBLANK(A46),"""",GOOGLETRANSLATE(A46,""en"",""de""))"),"NETSOL ist auf der GlobalData Automotive Europe Conference and Awards 2025")</f>
        <v>NETSOL ist auf der GlobalData Automotive Europe Conference and Awards 2025</v>
      </c>
    </row>
    <row r="47" spans="1:2" ht="13.2">
      <c r="B47" s="2" t="str">
        <f ca="1">IFERROR(__xludf.DUMMYFUNCTION("IF(ISBLANK(A47),"""",GOOGLETRANSLATE(A47,""en"",""de""))"),"")</f>
        <v/>
      </c>
    </row>
    <row r="48" spans="1:2" ht="13.2">
      <c r="B48" s="2" t="str">
        <f ca="1">IFERROR(__xludf.DUMMYFUNCTION("IF(ISBLANK(A48),"""",GOOGLETRANSLATE(A48,""en"",""de""))"),"")</f>
        <v/>
      </c>
    </row>
    <row r="49" spans="1:2" ht="13.2">
      <c r="A49" s="2" t="s">
        <v>105</v>
      </c>
      <c r="B49" s="2" t="str">
        <f ca="1">IFERROR(__xludf.DUMMYFUNCTION("IF(ISBLANK(A49),"""",GOOGLETRANSLATE(A49,""en"",""de""))"),"NETSOL ist auf dem 25. jährlichen Auto Finance Summit: Die Zukunft der Autofinanzierung vorantreiben")</f>
        <v>NETSOL ist auf dem 25. jährlichen Auto Finance Summit: Die Zukunft der Autofinanzierung vorantreiben</v>
      </c>
    </row>
    <row r="50" spans="1:2" ht="13.2">
      <c r="B50" s="2" t="str">
        <f ca="1">IFERROR(__xludf.DUMMYFUNCTION("IF(ISBLANK(A50),"""",GOOGLETRANSLATE(A50,""en"",""de""))"),"")</f>
        <v/>
      </c>
    </row>
    <row r="51" spans="1:2" ht="13.2">
      <c r="B51" s="2" t="str">
        <f ca="1">IFERROR(__xludf.DUMMYFUNCTION("IF(ISBLANK(A51),"""",GOOGLETRANSLATE(A51,""en"",""de""))"),"")</f>
        <v/>
      </c>
    </row>
    <row r="52" spans="1:2" ht="13.2">
      <c r="A52" s="2" t="s">
        <v>106</v>
      </c>
      <c r="B52" s="2" t="str">
        <f ca="1">IFERROR(__xludf.DUMMYFUNCTION("IF(ISBLANK(A52),"""",GOOGLETRANSLATE(A52,""en"",""de""))"),"NETSOL ist beim Digital Dealer 2025 dabei: Wir stärken die Zukunft des Automobilhandels")</f>
        <v>NETSOL ist beim Digital Dealer 2025 dabei: Wir stärken die Zukunft des Automobilhandels</v>
      </c>
    </row>
    <row r="53" spans="1:2" ht="13.2">
      <c r="B53" s="2" t="str">
        <f ca="1">IFERROR(__xludf.DUMMYFUNCTION("IF(ISBLANK(A53),"""",GOOGLETRANSLATE(A53,""en"",""de""))"),"")</f>
        <v/>
      </c>
    </row>
    <row r="54" spans="1:2" ht="13.2">
      <c r="B54" s="2" t="str">
        <f ca="1">IFERROR(__xludf.DUMMYFUNCTION("IF(ISBLANK(A54),"""",GOOGLETRANSLATE(A54,""en"",""de""))"),"")</f>
        <v/>
      </c>
    </row>
    <row r="55" spans="1:2" ht="13.2">
      <c r="A55" s="6" t="s">
        <v>107</v>
      </c>
      <c r="B55" s="2" t="str">
        <f ca="1">IFERROR(__xludf.DUMMYFUNCTION("IF(ISBLANK(A55),"""",GOOGLETRANSLATE(A55,""en"",""de""))"),"KI im BFSI: Revolutionierung des Risikomanagements")</f>
        <v>KI im BFSI: Revolutionierung des Risikomanagements</v>
      </c>
    </row>
    <row r="56" spans="1:2" ht="13.2">
      <c r="B56" s="2" t="str">
        <f ca="1">IFERROR(__xludf.DUMMYFUNCTION("IF(ISBLANK(A56),"""",GOOGLETRANSLATE(A56,""en"",""de""))"),"")</f>
        <v/>
      </c>
    </row>
    <row r="57" spans="1:2" ht="13.2">
      <c r="B57" s="2" t="str">
        <f ca="1">IFERROR(__xludf.DUMMYFUNCTION("IF(ISBLANK(A57),"""",GOOGLETRANSLATE(A57,""en"",""de""))"),"")</f>
        <v/>
      </c>
    </row>
    <row r="58" spans="1:2" ht="13.2">
      <c r="A58" s="2" t="s">
        <v>108</v>
      </c>
      <c r="B58" s="2" t="str">
        <f ca="1">IFERROR(__xludf.DUMMYFUNCTION("IF(ISBLANK(A58),"""",GOOGLETRANSLATE(A58,""en"",""de""))"),"Die Bedeutung der Personalisierung im Kundenservice: Maßgeschneidertes Zahlungs- und Streitbeilegungsmanagement für Kunden")</f>
        <v>Die Bedeutung der Personalisierung im Kundenservice: Maßgeschneidertes Zahlungs- und Streitbeilegungsmanagement für Kunden</v>
      </c>
    </row>
    <row r="59" spans="1:2" ht="13.2">
      <c r="B59" s="2" t="str">
        <f ca="1">IFERROR(__xludf.DUMMYFUNCTION("IF(ISBLANK(A59),"""",GOOGLETRANSLATE(A59,""en"",""de""))"),"")</f>
        <v/>
      </c>
    </row>
    <row r="60" spans="1:2" ht="13.2">
      <c r="B60" s="2" t="str">
        <f ca="1">IFERROR(__xludf.DUMMYFUNCTION("IF(ISBLANK(A60),"""",GOOGLETRANSLATE(A60,""en"",""de""))"),"")</f>
        <v/>
      </c>
    </row>
    <row r="61" spans="1:2" ht="13.2">
      <c r="A61" s="2" t="s">
        <v>109</v>
      </c>
      <c r="B61" s="2" t="str">
        <f ca="1">IFERROR(__xludf.DUMMYFUNCTION("IF(ISBLANK(A61),"""",GOOGLETRANSLATE(A61,""en"",""de""))"),"Die wahren Kosten getrennter Systeme im Autohandel")</f>
        <v>Die wahren Kosten getrennter Systeme im Autohandel</v>
      </c>
    </row>
    <row r="62" spans="1:2" ht="13.2">
      <c r="B62" s="2" t="str">
        <f ca="1">IFERROR(__xludf.DUMMYFUNCTION("IF(ISBLANK(A62),"""",GOOGLETRANSLATE(A62,""en"",""de""))"),"")</f>
        <v/>
      </c>
    </row>
    <row r="63" spans="1:2" ht="13.2">
      <c r="B63" s="2" t="str">
        <f ca="1">IFERROR(__xludf.DUMMYFUNCTION("IF(ISBLANK(A63),"""",GOOGLETRANSLATE(A63,""en"",""de""))"),"")</f>
        <v/>
      </c>
    </row>
    <row r="64" spans="1:2" ht="13.2">
      <c r="A64" s="2" t="s">
        <v>110</v>
      </c>
      <c r="B64" s="2" t="str">
        <f ca="1">IFERROR(__xludf.DUMMYFUNCTION("IF(ISBLANK(A64),"""",GOOGLETRANSLATE(A64,""en"",""de""))"),"Captive der Zukunft: Wie Technologie Captive-Finanzierungsgeschäfte neu definiert – Wichtige Erkenntnisse aus dem Webinar der AFSA")</f>
        <v>Captive der Zukunft: Wie Technologie Captive-Finanzierungsgeschäfte neu definiert – Wichtige Erkenntnisse aus dem Webinar der AFSA</v>
      </c>
    </row>
    <row r="65" spans="1:2" ht="13.2">
      <c r="B65" s="2" t="str">
        <f ca="1">IFERROR(__xludf.DUMMYFUNCTION("IF(ISBLANK(A65),"""",GOOGLETRANSLATE(A65,""en"",""de""))"),"")</f>
        <v/>
      </c>
    </row>
    <row r="66" spans="1:2" ht="13.2">
      <c r="B66" s="2" t="str">
        <f ca="1">IFERROR(__xludf.DUMMYFUNCTION("IF(ISBLANK(A66),"""",GOOGLETRANSLATE(A66,""en"",""de""))"),"")</f>
        <v/>
      </c>
    </row>
    <row r="67" spans="1:2" ht="13.2">
      <c r="A67" s="2" t="s">
        <v>111</v>
      </c>
      <c r="B67" s="2" t="str">
        <f ca="1">IFERROR(__xludf.DUMMYFUNCTION("IF(ISBLANK(A67),"""",GOOGLETRANSLATE(A67,""en"",""de""))"),"Betrugsbekämpfung im Großkundengeschäft: Technologie zur Früherkennung und Risikominderung")</f>
        <v>Betrugsbekämpfung im Großkundengeschäft: Technologie zur Früherkennung und Risikominderung</v>
      </c>
    </row>
    <row r="68" spans="1:2" ht="13.2">
      <c r="B68" s="2" t="str">
        <f ca="1">IFERROR(__xludf.DUMMYFUNCTION("IF(ISBLANK(A68),"""",GOOGLETRANSLATE(A68,""en"",""de""))"),"")</f>
        <v/>
      </c>
    </row>
    <row r="69" spans="1:2" ht="13.2">
      <c r="A69" s="2" t="s">
        <v>114</v>
      </c>
      <c r="B69" s="2" t="str">
        <f ca="1">IFERROR(__xludf.DUMMYFUNCTION("IF(ISBLANK(A69),"""",GOOGLETRANSLATE(A69,""en"",""de""))"),"Abonnieren Sie unseren Newsletter, um die neuesten Nachrichten in Ihrem Posteingang zu erhalten.")</f>
        <v>Abonnieren Sie unseren Newsletter, um die neuesten Nachrichten in Ihrem Posteingang zu erhalten.</v>
      </c>
    </row>
    <row r="70" spans="1:2" ht="13.2">
      <c r="A70" s="2" t="s">
        <v>115</v>
      </c>
      <c r="B70" s="2" t="str">
        <f ca="1">IFERROR(__xludf.DUMMYFUNCTION("IF(ISBLANK(A70),"""",GOOGLETRANSLATE(A70,""en"",""de""))"),"abc@example.com")</f>
        <v>abc@example.com</v>
      </c>
    </row>
    <row r="71" spans="1:2" ht="13.2">
      <c r="A71" s="2" t="s">
        <v>116</v>
      </c>
      <c r="B71" s="2" t="str">
        <f ca="1">IFERROR(__xludf.DUMMYFUNCTION("IF(ISBLANK(A71),"""",GOOGLETRANSLATE(A71,""en"",""de""))"),"Abonnieren ")</f>
        <v xml:space="preserve">Abonnieren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16"/>
  <sheetViews>
    <sheetView topLeftCell="A46" workbookViewId="0">
      <selection activeCell="B52" sqref="B52"/>
    </sheetView>
  </sheetViews>
  <sheetFormatPr defaultColWidth="12.5546875" defaultRowHeight="15.75" customHeight="1"/>
  <cols>
    <col min="1" max="1" width="126.44140625" customWidth="1"/>
  </cols>
  <sheetData>
    <row r="1" spans="1:2" ht="13.2">
      <c r="A1" s="1" t="s">
        <v>0</v>
      </c>
      <c r="B1" s="1" t="s">
        <v>1</v>
      </c>
    </row>
    <row r="2" spans="1:2" ht="15.75" customHeight="1">
      <c r="A2" s="2" t="s">
        <v>385</v>
      </c>
      <c r="B2" s="2" t="str">
        <f ca="1">IFERROR(__xludf.DUMMYFUNCTION("IF(ISBLANK(A2),"""",GOOGLETRANSLATE(A2,""en"",""de""))"),"Transcend AI Labs")</f>
        <v>Transcend AI Labs</v>
      </c>
    </row>
    <row r="3" spans="1:2" ht="15.75" customHeight="1">
      <c r="A3" s="2" t="s">
        <v>386</v>
      </c>
      <c r="B3" s="2" t="str">
        <f ca="1">IFERROR(__xludf.DUMMYFUNCTION("IF(ISBLANK(A3),"""",GOOGLETRANSLATE(A3,""en"",""de""))"),"Bahnbrechende KI-gestützte Geschäftstransformation")</f>
        <v>Bahnbrechende KI-gestützte Geschäftstransformation</v>
      </c>
    </row>
    <row r="4" spans="1:2" ht="15.75" customHeight="1">
      <c r="A4" s="2" t="s">
        <v>387</v>
      </c>
      <c r="B4" s="2" t="str">
        <f ca="1">IFERROR(__xludf.DUMMYFUNCTION("IF(ISBLANK(A4),"""",GOOGLETRANSLATE(A4,""en"",""de""))"),"Gestaltung praktischer, menschenzentrierter KI zur Erzielung intelligenterer Geschäftsergebnisse.")</f>
        <v>Gestaltung praktischer, menschenzentrierter KI zur Erzielung intelligenterer Geschäftsergebnisse.</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168</v>
      </c>
      <c r="B7" s="2" t="str">
        <f ca="1">IFERROR(__xludf.DUMMYFUNCTION("IF(ISBLANK(A7),"""",GOOGLETRANSLATE(A7,""en"",""de""))"),"Warum NETSOL")</f>
        <v>Warum NETSOL</v>
      </c>
    </row>
    <row r="8" spans="1:2" ht="15.75" customHeight="1">
      <c r="A8" s="2" t="s">
        <v>388</v>
      </c>
      <c r="B8" s="2" t="str">
        <f ca="1">IFERROR(__xludf.DUMMYFUNCTION("IF(ISBLANK(A8),"""",GOOGLETRANSLATE(A8,""en"",""de""))"),"Umwandlung komplexer KI in klaren Geschäftswert")</f>
        <v>Umwandlung komplexer KI in klaren Geschäftswert</v>
      </c>
    </row>
    <row r="9" spans="1:2" ht="15.75" customHeight="1">
      <c r="A9" s="2" t="s">
        <v>389</v>
      </c>
      <c r="B9" s="2" t="str">
        <f ca="1">IFERROR(__xludf.DUMMYFUNCTION("IF(ISBLANK(A9),"""",GOOGLETRANSLATE(A9,""en"",""de""))"),"Transcend AI Labs ist das KI-Innovationszentrum von NETSOL Technologies, das die Nutzung künstlicher Intelligenz durch Unternehmen revolutioniert. Dank modernster Modelle, menschenzentriertem Design und umfassender Branchenexpertise ermöglicht Transcend A"&amp;"I Labs Unternehmen intelligentere Entscheidungen, Kostensenkungen und die Erschließung neuer Einnahmequellen. Was Transcend AI Labs auszeichnet, ist unser Engagement, KI einfach, praktisch und wirkungsvoll zu gestalten. Von der Modellauswahl bis zur Berei"&amp;"tstellung ist jeder Schritt nahtlos und intuitiv gestaltet, sodass Sie sich auf das Wesentliche konzentrieren und intelligentere und schnellere Entscheidungen treffen können.")</f>
        <v>Transcend AI Labs ist das KI-Innovationszentrum von NETSOL Technologies, das die Nutzung künstlicher Intelligenz durch Unternehmen revolutioniert. Dank modernster Modelle, menschenzentriertem Design und umfassender Branchenexpertise ermöglicht Transcend AI Labs Unternehmen intelligentere Entscheidungen, Kostensenkungen und die Erschließung neuer Einnahmequellen. Was Transcend AI Labs auszeichnet, ist unser Engagement, KI einfach, praktisch und wirkungsvoll zu gestalten. Von der Modellauswahl bis zur Bereitstellung ist jeder Schritt nahtlos und intuitiv gestaltet, sodass Sie sich auf das Wesentliche konzentrieren und intelligentere und schnellere Entscheidungen treffen können.</v>
      </c>
    </row>
    <row r="10" spans="1:2" ht="15.75" customHeight="1">
      <c r="A10" s="2" t="s">
        <v>390</v>
      </c>
      <c r="B10" s="2" t="str">
        <f ca="1">IFERROR(__xludf.DUMMYFUNCTION("IF(ISBLANK(A10),"""",GOOGLETRANSLATE(A10,""en"",""de""))"),"Produktverbesserung")</f>
        <v>Produktverbesserung</v>
      </c>
    </row>
    <row r="11" spans="1:2" ht="15.75" customHeight="1">
      <c r="A11" s="2" t="s">
        <v>391</v>
      </c>
      <c r="B11" s="2" t="str">
        <f ca="1">IFERROR(__xludf.DUMMYFUNCTION("IF(ISBLANK(A11),"""",GOOGLETRANSLATE(A11,""en"",""de""))"),"Wir nutzen KI, um die Transcend-Plattform ständig weiterzuentwickeln und Funktionen, Leistung und Funktionalität zu verbessern, damit Sie in einer sich schnell verändernden Geschäftslandschaft die Nase vorn behalten.")</f>
        <v>Wir nutzen KI, um die Transcend-Plattform ständig weiterzuentwickeln und Funktionen, Leistung und Funktionalität zu verbessern, damit Sie in einer sich schnell verändernden Geschäftslandschaft die Nase vorn behalten.</v>
      </c>
    </row>
    <row r="12" spans="1:2" ht="15.75" customHeight="1">
      <c r="A12" s="2" t="s">
        <v>392</v>
      </c>
      <c r="B12" s="2" t="str">
        <f ca="1">IFERROR(__xludf.DUMMYFUNCTION("IF(ISBLANK(A12),"""",GOOGLETRANSLATE(A12,""en"",""de""))"),"Plattformunabhängig")</f>
        <v>Plattformunabhängig</v>
      </c>
    </row>
    <row r="13" spans="1:2" ht="15.75" customHeight="1">
      <c r="A13" s="2" t="s">
        <v>393</v>
      </c>
      <c r="B13" s="2" t="str">
        <f ca="1">IFERROR(__xludf.DUMMYFUNCTION("IF(ISBLANK(A13),"""",GOOGLETRANSLATE(A13,""en"",""de""))"),"Unsere Lösungen funktionieren nahtlos auf jeder Plattform oder jedem Technologie-Stack und bieten Ihnen die Flexibilität einer Integration ohne Einschränkungen.")</f>
        <v>Unsere Lösungen funktionieren nahtlos auf jeder Plattform oder jedem Technologie-Stack und bieten Ihnen die Flexibilität einer Integration ohne Einschränkungen.</v>
      </c>
    </row>
    <row r="14" spans="1:2" ht="15.75" customHeight="1">
      <c r="A14" s="2" t="s">
        <v>394</v>
      </c>
      <c r="B14" s="2" t="str">
        <f ca="1">IFERROR(__xludf.DUMMYFUNCTION("IF(ISBLANK(A14),"""",GOOGLETRANSLATE(A14,""en"",""de""))"),"Benutzerzentriertes Design")</f>
        <v>Benutzerzentriertes Design</v>
      </c>
    </row>
    <row r="15" spans="1:2" ht="15.75" customHeight="1">
      <c r="A15" s="2" t="s">
        <v>395</v>
      </c>
      <c r="B15" s="2" t="str">
        <f ca="1">IFERROR(__xludf.DUMMYFUNCTION("IF(ISBLANK(A15),"""",GOOGLETRANSLATE(A15,""en"",""de""))"),"Jede Lösung verfügt über intuitive Schnittstellen und legt den Schwerpunkt auf die Benutzererfahrung, um eine einfache Einführung und sinnvolle Einbindung zu gewährleisten.")</f>
        <v>Jede Lösung verfügt über intuitive Schnittstellen und legt den Schwerpunkt auf die Benutzererfahrung, um eine einfache Einführung und sinnvolle Einbindung zu gewährleisten.</v>
      </c>
    </row>
    <row r="16" spans="1:2" ht="15.75" customHeight="1">
      <c r="A16" s="2" t="s">
        <v>396</v>
      </c>
      <c r="B16" s="2" t="str">
        <f ca="1">IFERROR(__xludf.DUMMYFUNCTION("IF(ISBLANK(A16),"""",GOOGLETRANSLATE(A16,""en"",""de""))"),"Menschliche Augmentation")</f>
        <v>Menschliche Augmentation</v>
      </c>
    </row>
    <row r="17" spans="1:2" ht="15.75" customHeight="1">
      <c r="A17" s="2" t="s">
        <v>397</v>
      </c>
      <c r="B17" s="2" t="str">
        <f ca="1">IFERROR(__xludf.DUMMYFUNCTION("IF(ISBLANK(A17),"""",GOOGLETRANSLATE(A17,""en"",""de""))"),"Wir ersetzen menschliches Fachwissen nicht, sondern erweitern es durch KI und ermöglichen es den Menschen, intelligentere, schnellere und sicherere Entscheidungen zu treffen.")</f>
        <v>Wir ersetzen menschliches Fachwissen nicht, sondern erweitern es durch KI und ermöglichen es den Menschen, intelligentere, schnellere und sicherere Entscheidungen zu treffen.</v>
      </c>
    </row>
    <row r="18" spans="1:2" ht="15.75" customHeight="1">
      <c r="A18" s="2" t="s">
        <v>84</v>
      </c>
      <c r="B18" s="2" t="str">
        <f ca="1">IFERROR(__xludf.DUMMYFUNCTION("IF(ISBLANK(A18),"""",GOOGLETRANSLATE(A18,""en"",""de""))"),"Über 500 Milliarden US-Dollar")</f>
        <v>Über 500 Milliarden US-Dollar</v>
      </c>
    </row>
    <row r="19" spans="1:2" ht="15.75" customHeight="1">
      <c r="A19" s="2" t="s">
        <v>85</v>
      </c>
      <c r="B19" s="2" t="str">
        <f ca="1">IFERROR(__xludf.DUMMYFUNCTION("IF(ISBLANK(A19),"""",GOOGLETRANSLATE(A19,""en"",""de""))"),"Global verwaltetes Vermögen")</f>
        <v>Global verwaltetes Vermögen</v>
      </c>
    </row>
    <row r="20" spans="1:2" ht="15.75" customHeight="1">
      <c r="A20" s="2" t="s">
        <v>276</v>
      </c>
      <c r="B20" s="2" t="str">
        <f ca="1">IFERROR(__xludf.DUMMYFUNCTION("IF(ISBLANK(A20),"""",GOOGLETRANSLATE(A20,""en"",""de""))"),"350+")</f>
        <v>350+</v>
      </c>
    </row>
    <row r="21" spans="1:2" ht="15.75" customHeight="1">
      <c r="A21" s="2" t="s">
        <v>83</v>
      </c>
      <c r="B21" s="2" t="str">
        <f ca="1">IFERROR(__xludf.DUMMYFUNCTION("IF(ISBLANK(A21),"""",GOOGLETRANSLATE(A21,""en"",""de""))"),"Erfolgreiche Implementierungen")</f>
        <v>Erfolgreiche Implementierungen</v>
      </c>
    </row>
    <row r="22" spans="1:2" ht="15.75" customHeight="1">
      <c r="A22" s="2" t="s">
        <v>80</v>
      </c>
      <c r="B22" s="2" t="str">
        <f ca="1">IFERROR(__xludf.DUMMYFUNCTION("IF(ISBLANK(A22),"""",GOOGLETRANSLATE(A22,""en"",""de""))"),"200+")</f>
        <v>200+</v>
      </c>
    </row>
    <row r="23" spans="1:2" ht="15.75" customHeight="1">
      <c r="A23" s="2" t="s">
        <v>81</v>
      </c>
      <c r="B23" s="2" t="str">
        <f ca="1">IFERROR(__xludf.DUMMYFUNCTION("IF(ISBLANK(A23),"""",GOOGLETRANSLATE(A23,""en"",""de""))"),"Kunden weltweit")</f>
        <v>Kunden weltweit</v>
      </c>
    </row>
    <row r="24" spans="1:2" ht="13.2">
      <c r="A24" s="2" t="s">
        <v>277</v>
      </c>
      <c r="B24" s="2" t="str">
        <f ca="1">IFERROR(__xludf.DUMMYFUNCTION("IF(ISBLANK(A24),"""",GOOGLETRANSLATE(A24,""en"",""de""))"),"30+")</f>
        <v>30+</v>
      </c>
    </row>
    <row r="25" spans="1:2" ht="13.2">
      <c r="A25" s="2" t="s">
        <v>278</v>
      </c>
      <c r="B25" s="2" t="str">
        <f ca="1">IFERROR(__xludf.DUMMYFUNCTION("IF(ISBLANK(A25),"""",GOOGLETRANSLATE(A25,""en"",""de""))"),"Bediente Länder")</f>
        <v>Bediente Länder</v>
      </c>
    </row>
    <row r="26" spans="1:2" ht="13.2">
      <c r="A26" s="2" t="s">
        <v>398</v>
      </c>
      <c r="B26" s="2" t="str">
        <f ca="1">IFERROR(__xludf.DUMMYFUNCTION("IF(ISBLANK(A26),"""",GOOGLETRANSLATE(A26,""en"",""de""))"),"Arbeiten Sie mit Transcend AI Labs zusammen, um KI-Initiativen zu entwickeln, die echten Mehrwert bieten")</f>
        <v>Arbeiten Sie mit Transcend AI Labs zusammen, um KI-Initiativen zu entwickeln, die echten Mehrwert bieten</v>
      </c>
    </row>
    <row r="27" spans="1:2" ht="13.2">
      <c r="A27" s="2" t="s">
        <v>399</v>
      </c>
      <c r="B27" s="2" t="str">
        <f ca="1">IFERROR(__xludf.DUMMYFUNCTION("IF(ISBLANK(A27),"""",GOOGLETRANSLATE(A27,""en"",""de""))"),"Maßgeschneiderte Branchenexpertise")</f>
        <v>Maßgeschneiderte Branchenexpertise</v>
      </c>
    </row>
    <row r="28" spans="1:2" ht="13.2">
      <c r="A28" s="2" t="s">
        <v>400</v>
      </c>
      <c r="B28" s="2" t="str">
        <f ca="1">IFERROR(__xludf.DUMMYFUNCTION("IF(ISBLANK(A28),"""",GOOGLETRANSLATE(A28,""en"",""de""))"),"Wir sind auf branchenspezifische KI-Implementierungen spezialisiert, die wir auf Ihre Anwendungsfälle zuschneiden und die besten KI-Dienste auswählen, von der Inhaltsgenerierung bis hin zur prädiktiven Analyse – alles optimiert für Ihre einzigartige Gesch"&amp;"äftsumgebung und auf Ihre Branche zugeschnitten.")</f>
        <v>Wir sind auf branchenspezifische KI-Implementierungen spezialisiert, die wir auf Ihre Anwendungsfälle zuschneiden und die besten KI-Dienste auswählen, von der Inhaltsgenerierung bis hin zur prädiktiven Analyse – alles optimiert für Ihre einzigartige Geschäftsumgebung und auf Ihre Branche zugeschnitten.</v>
      </c>
    </row>
    <row r="29" spans="1:2" ht="13.2">
      <c r="A29" s="2" t="s">
        <v>401</v>
      </c>
      <c r="B29" s="2" t="str">
        <f ca="1">IFERROR(__xludf.DUMMYFUNCTION("IF(ISBLANK(A29),"""",GOOGLETRANSLATE(A29,""en"",""de""))"),"Plattformunabhängigkeit")</f>
        <v>Plattformunabhängigkeit</v>
      </c>
    </row>
    <row r="30" spans="1:2" ht="13.2">
      <c r="A30" s="2" t="s">
        <v>402</v>
      </c>
      <c r="B30" s="2" t="str">
        <f ca="1">IFERROR(__xludf.DUMMYFUNCTION("IF(ISBLANK(A30),"""",GOOGLETRANSLATE(A30,""en"",""de""))"),"Freiheit für Innovationen nach Ihren Vorstellungen. Nutzen Sie Lösungen auf der Infrastruktur Ihrer Wahl – vor Ort, auf einer Cloud-Plattform oder sogar auf einem Open-Source-Stack. Keine Abhängigkeit von einem Anbieter.")</f>
        <v>Freiheit für Innovationen nach Ihren Vorstellungen. Nutzen Sie Lösungen auf der Infrastruktur Ihrer Wahl – vor Ort, auf einer Cloud-Plattform oder sogar auf einem Open-Source-Stack. Keine Abhängigkeit von einem Anbieter.</v>
      </c>
    </row>
    <row r="31" spans="1:2" ht="13.2">
      <c r="B31" s="2" t="str">
        <f ca="1">IFERROR(__xludf.DUMMYFUNCTION("IF(ISBLANK(A31),"""",GOOGLETRANSLATE(A31,""en"",""de""))"),"")</f>
        <v/>
      </c>
    </row>
    <row r="32" spans="1:2" ht="13.2">
      <c r="A32" s="2" t="s">
        <v>403</v>
      </c>
      <c r="B32" s="2" t="str">
        <f ca="1">IFERROR(__xludf.DUMMYFUNCTION("IF(ISBLANK(A32),"""",GOOGLETRANSLATE(A32,""en"",""de""))"),"Datenkontrolle für Unternehmen")</f>
        <v>Datenkontrolle für Unternehmen</v>
      </c>
    </row>
    <row r="33" spans="1:2" ht="13.2">
      <c r="A33" s="2" t="s">
        <v>404</v>
      </c>
      <c r="B33" s="2" t="str">
        <f ca="1">IFERROR(__xludf.DUMMYFUNCTION("IF(ISBLANK(A33),"""",GOOGLETRANSLATE(A33,""en"",""de""))"),"Ihre Daten, Ihre Regeln. Setzen Sie die KI-Plattform vor Ort oder in Ihrer privaten Cloud ein, um die volle Kontrolle über Daten und Compliance zu behalten und die Sicherheits- und Governance-Anforderungen bei jedem Schritt zu erfüllen.")</f>
        <v>Ihre Daten, Ihre Regeln. Setzen Sie die KI-Plattform vor Ort oder in Ihrer privaten Cloud ein, um die volle Kontrolle über Daten und Compliance zu behalten und die Sicherheits- und Governance-Anforderungen bei jedem Schritt zu erfüllen.</v>
      </c>
    </row>
    <row r="34" spans="1:2" ht="13.2">
      <c r="B34" s="2" t="str">
        <f ca="1">IFERROR(__xludf.DUMMYFUNCTION("IF(ISBLANK(A34),"""",GOOGLETRANSLATE(A34,""en"",""de""))"),"")</f>
        <v/>
      </c>
    </row>
    <row r="35" spans="1:2" ht="13.2">
      <c r="A35" s="2" t="s">
        <v>405</v>
      </c>
      <c r="B35" s="2" t="str">
        <f ca="1">IFERROR(__xludf.DUMMYFUNCTION("IF(ISBLANK(A35),"""",GOOGLETRANSLATE(A35,""en"",""de""))"),"Genauigkeit durch menschliche Einbindung")</f>
        <v>Genauigkeit durch menschliche Einbindung</v>
      </c>
    </row>
    <row r="36" spans="1:2" ht="13.2">
      <c r="A36" s="2" t="s">
        <v>406</v>
      </c>
      <c r="B36" s="2" t="str">
        <f ca="1">IFERROR(__xludf.DUMMYFUNCTION("IF(ISBLANK(A36),"""",GOOGLETRANSLATE(A36,""en"",""de""))"),"Erreichen Sie KI-gesteuerte Geschwindigkeit mit der Präzision menschlicher Aufsicht an den kritischsten Entscheidungspunkten und gewährleisten Sie so Verantwortlichkeit und Genauigkeit.")</f>
        <v>Erreichen Sie KI-gesteuerte Geschwindigkeit mit der Präzision menschlicher Aufsicht an den kritischsten Entscheidungspunkten und gewährleisten Sie so Verantwortlichkeit und Genauigkeit.</v>
      </c>
    </row>
    <row r="37" spans="1:2" ht="13.2">
      <c r="B37" s="2" t="str">
        <f ca="1">IFERROR(__xludf.DUMMYFUNCTION("IF(ISBLANK(A37),"""",GOOGLETRANSLATE(A37,""en"",""de""))"),"")</f>
        <v/>
      </c>
    </row>
    <row r="38" spans="1:2" ht="13.2">
      <c r="A38" s="2" t="s">
        <v>407</v>
      </c>
      <c r="B38" s="2" t="str">
        <f ca="1">IFERROR(__xludf.DUMMYFUNCTION("IF(ISBLANK(A38),"""",GOOGLETRANSLATE(A38,""en"",""de""))"),"Plug-and-Play-Integration")</f>
        <v>Plug-and-Play-Integration</v>
      </c>
    </row>
    <row r="39" spans="1:2" ht="13.2">
      <c r="A39" s="2" t="s">
        <v>408</v>
      </c>
      <c r="B39" s="2" t="str">
        <f ca="1">IFERROR(__xludf.DUMMYFUNCTION("IF(ISBLANK(A39),"""",GOOGLETRANSLATE(A39,""en"",""de""))"),"Starten Sie schnell und mit minimaler Unterbrechung. Integrieren Sie unsere KI-Module in Ihre vorhandenen Systeme und Software, sodass Sie KI-Funktionen nutzen und sofortige Auswirkungen sehen können, ohne Ihre IT-Landschaft grundlegend zu verändern.")</f>
        <v>Starten Sie schnell und mit minimaler Unterbrechung. Integrieren Sie unsere KI-Module in Ihre vorhandenen Systeme und Software, sodass Sie KI-Funktionen nutzen und sofortige Auswirkungen sehen können, ohne Ihre IT-Landschaft grundlegend zu verändern.</v>
      </c>
    </row>
    <row r="40" spans="1:2" ht="13.2">
      <c r="B40" s="2" t="str">
        <f ca="1">IFERROR(__xludf.DUMMYFUNCTION("IF(ISBLANK(A40),"""",GOOGLETRANSLATE(A40,""en"",""de""))"),"")</f>
        <v/>
      </c>
    </row>
    <row r="41" spans="1:2" ht="13.2">
      <c r="A41" s="2" t="s">
        <v>409</v>
      </c>
      <c r="B41" s="2" t="str">
        <f ca="1">IFERROR(__xludf.DUMMYFUNCTION("IF(ISBLANK(A41),"""",GOOGLETRANSLATE(A41,""en"",""de""))"),"Skalierbarkeit und Zukunftssicherheit")</f>
        <v>Skalierbarkeit und Zukunftssicherheit</v>
      </c>
    </row>
    <row r="42" spans="1:2" ht="13.2">
      <c r="A42" s="2" t="s">
        <v>410</v>
      </c>
      <c r="B42" s="2" t="str">
        <f ca="1">IFERROR(__xludf.DUMMYFUNCTION("IF(ISBLANK(A42),"""",GOOGLETRANSLATE(A42,""en"",""de""))"),"Unsere Lösungen wachsen mit Ihrem Unternehmen. Transcend AI Labs skaliert Ihre KI-Implementierungen entsprechend Ihren Anforderungen und sorgt so für Effizienz, Genauigkeit und reibungslose Abläufe bei Ihren Innovationen.")</f>
        <v>Unsere Lösungen wachsen mit Ihrem Unternehmen. Transcend AI Labs skaliert Ihre KI-Implementierungen entsprechend Ihren Anforderungen und sorgt so für Effizienz, Genauigkeit und reibungslose Abläufe bei Ihren Innovationen.</v>
      </c>
    </row>
    <row r="43" spans="1:2" ht="13.2">
      <c r="B43" s="2" t="str">
        <f ca="1">IFERROR(__xludf.DUMMYFUNCTION("IF(ISBLANK(A43),"""",GOOGLETRANSLATE(A43,""en"",""de""))"),"")</f>
        <v/>
      </c>
    </row>
    <row r="44" spans="1:2" ht="13.2">
      <c r="A44" s="2" t="s">
        <v>411</v>
      </c>
      <c r="B44" s="2" t="str">
        <f ca="1">IFERROR(__xludf.DUMMYFUNCTION("IF(ISBLANK(A44),"""",GOOGLETRANSLATE(A44,""en"",""de""))"),"Verpflichtung zu Sicherheit und Compliance")</f>
        <v>Verpflichtung zu Sicherheit und Compliance</v>
      </c>
    </row>
    <row r="45" spans="1:2" ht="13.2">
      <c r="A45" s="2" t="s">
        <v>412</v>
      </c>
      <c r="B45" s="2" t="str">
        <f ca="1">IFERROR(__xludf.DUMMYFUNCTION("IF(ISBLANK(A45),"""",GOOGLETRANSLATE(A45,""en"",""de""))"),"Unsere KI-Dienste erfüllen die höchsten Sicherheits- und Compliance-Standards, schützen gleichzeitig Ihre Daten und fördern Innovationen – unterstützt durch ein jahrzehntelanges globales Portfolio in vielfältigen und stark regulierten Sektoren wie Finanze"&amp;"n, Bankwesen und Gesundheitswesen.")</f>
        <v>Unsere KI-Dienste erfüllen die höchsten Sicherheits- und Compliance-Standards, schützen gleichzeitig Ihre Daten und fördern Innovationen – unterstützt durch ein jahrzehntelanges globales Portfolio in vielfältigen und stark regulierten Sektoren wie Finanzen, Bankwesen und Gesundheitswesen.</v>
      </c>
    </row>
    <row r="46" spans="1:2" ht="13.2">
      <c r="B46" s="2" t="str">
        <f ca="1">IFERROR(__xludf.DUMMYFUNCTION("IF(ISBLANK(A46),"""",GOOGLETRANSLATE(A46,""en"",""de""))"),"")</f>
        <v/>
      </c>
    </row>
    <row r="47" spans="1:2" ht="13.2">
      <c r="A47" s="2" t="s">
        <v>413</v>
      </c>
      <c r="B47" s="2" t="str">
        <f ca="1">IFERROR(__xludf.DUMMYFUNCTION("IF(ISBLANK(A47),"""",GOOGLETRANSLATE(A47,""en"",""de""))"),"Drei Säulen der KI bei Transcend AI Labs")</f>
        <v>Drei Säulen der KI bei Transcend AI Labs</v>
      </c>
    </row>
    <row r="48" spans="1:2" ht="13.2">
      <c r="A48" s="2" t="s">
        <v>51</v>
      </c>
      <c r="B48" s="2" t="str">
        <f ca="1">IFERROR(__xludf.DUMMYFUNCTION("IF(ISBLANK(A48),"""",GOOGLETRANSLATE(A48,""en"",""de""))"),"KI-Anwendungen")</f>
        <v>KI-Anwendungen</v>
      </c>
    </row>
    <row r="49" spans="1:2" ht="13.2">
      <c r="A49" s="2" t="s">
        <v>414</v>
      </c>
      <c r="B49" s="2" t="str">
        <f ca="1">IFERROR(__xludf.DUMMYFUNCTION("IF(ISBLANK(A49),"""",GOOGLETRANSLATE(A49,""en"",""de""))"),"KI-gestützte Anwendungen")</f>
        <v>KI-gestützte Anwendungen</v>
      </c>
    </row>
    <row r="50" spans="1:2" ht="13.2">
      <c r="A50" s="2" t="s">
        <v>415</v>
      </c>
      <c r="B50" s="2" t="str">
        <f ca="1">IFERROR(__xludf.DUMMYFUNCTION("IF(ISBLANK(A50),"""",GOOGLETRANSLATE(A50,""en"",""de""))"),"Umfassende Suite von KI-Anwendungen zur Automatisierung und Optimierung Ihrer Geschäftsprozesse. Von intelligenter Dokumentenverarbeitung bis hin zu prädiktiver Analytik liefern unsere Anwendungen messbare Ergebnisse.")</f>
        <v>Umfassende Suite von KI-Anwendungen zur Automatisierung und Optimierung Ihrer Geschäftsprozesse. Von intelligenter Dokumentenverarbeitung bis hin zu prädiktiver Analytik liefern unsere Anwendungen messbare Ergebnisse.</v>
      </c>
    </row>
    <row r="51" spans="1:2" ht="13.2">
      <c r="A51" s="2" t="s">
        <v>416</v>
      </c>
      <c r="B51" s="2" t="str">
        <f ca="1">IFERROR(__xludf.DUMMYFUNCTION("IF(ISBLANK(A51),"""",GOOGLETRANSLATE(A51,""en"",""de""))"),"Tiefgreifende Argumentationsforschung")</f>
        <v>Tiefgreifende Argumentationsforschung</v>
      </c>
    </row>
    <row r="52" spans="1:2" ht="13.2">
      <c r="A52" s="2" t="s">
        <v>417</v>
      </c>
      <c r="B52" s="2" t="str">
        <f ca="1">IFERROR(__xludf.DUMMYFUNCTION("IF(ISBLANK(A52),"""",GOOGLETRANSLATE(A52,""en"",""de""))"),"Erweiterte KI-gestützte Erkenntnisse zum Aufdecken komplexer Muster und zur Verbesserung der Entscheidungsfindung.")</f>
        <v>Erweiterte KI-gestützte Erkenntnisse zum Aufdecken komplexer Muster und zur Verbesserung der Entscheidungsfindung.</v>
      </c>
    </row>
    <row r="53" spans="1:2" ht="13.2">
      <c r="A53" s="2" t="s">
        <v>418</v>
      </c>
      <c r="B53" s="2" t="str">
        <f ca="1">IFERROR(__xludf.DUMMYFUNCTION("IF(ISBLANK(A53),"""",GOOGLETRANSLATE(A53,""en"",""de""))"),"Intelligente Dokumentenverarbeitung")</f>
        <v>Intelligente Dokumentenverarbeitung</v>
      </c>
    </row>
    <row r="54" spans="1:2" ht="13.2">
      <c r="A54" s="2" t="s">
        <v>419</v>
      </c>
      <c r="B54" s="2" t="str">
        <f ca="1">IFERROR(__xludf.DUMMYFUNCTION("IF(ISBLANK(A54),"""",GOOGLETRANSLATE(A54,""en"",""de""))"),"Automatisieren Sie die Dokumentenanalyse, -extraktion und -klassifizierung, um Abläufe zu optimieren und die Genauigkeit zu verbessern.")</f>
        <v>Automatisieren Sie die Dokumentenanalyse, -extraktion und -klassifizierung, um Abläufe zu optimieren und die Genauigkeit zu verbessern.</v>
      </c>
    </row>
    <row r="55" spans="1:2" ht="13.2">
      <c r="A55" s="2" t="s">
        <v>420</v>
      </c>
      <c r="B55" s="2" t="str">
        <f ca="1">IFERROR(__xludf.DUMMYFUNCTION("IF(ISBLANK(A55),"""",GOOGLETRANSLATE(A55,""en"",""de""))"),"Flex-KI")</f>
        <v>Flex-KI</v>
      </c>
    </row>
    <row r="56" spans="1:2" ht="13.2">
      <c r="A56" s="2" t="s">
        <v>421</v>
      </c>
      <c r="B56" s="2" t="str">
        <f ca="1">IFERROR(__xludf.DUMMYFUNCTION("IF(ISBLANK(A56),"""",GOOGLETRANSLATE(A56,""en"",""de""))"),"Ein flexibler, KI-gestützter Finanzstruktur-Empfehlungsdienst, der auf generativer KI und Flex basiert.")</f>
        <v>Ein flexibler, KI-gestützter Finanzstruktur-Empfehlungsdienst, der auf generativer KI und Flex basiert.</v>
      </c>
    </row>
    <row r="57" spans="1:2" ht="13.2">
      <c r="A57" s="2" t="s">
        <v>422</v>
      </c>
      <c r="B57" s="2" t="str">
        <f ca="1">IFERROR(__xludf.DUMMYFUNCTION("IF(ISBLANK(A57),"""",GOOGLETRANSLATE(A57,""en"",""de""))"),"Regelschmiede")</f>
        <v>Regelschmiede</v>
      </c>
    </row>
    <row r="58" spans="1:2" ht="13.2">
      <c r="A58" s="2" t="s">
        <v>423</v>
      </c>
      <c r="B58" s="2" t="str">
        <f ca="1">IFERROR(__xludf.DUMMYFUNCTION("IF(ISBLANK(A58),"""",GOOGLETRANSLATE(A58,""en"",""de""))"),"KI-gestützte Regel-Engine zur Automatisierung von Compliance, Entscheidungsfindung und operativen Arbeitsabläufen.")</f>
        <v>KI-gestützte Regel-Engine zur Automatisierung von Compliance, Entscheidungsfindung und operativen Arbeitsabläufen.</v>
      </c>
    </row>
    <row r="59" spans="1:2" ht="13.2">
      <c r="A59" s="2" t="s">
        <v>424</v>
      </c>
      <c r="B59" s="2" t="str">
        <f ca="1">IFERROR(__xludf.DUMMYFUNCTION("IF(ISBLANK(A59),"""",GOOGLETRANSLATE(A59,""en"",""de""))"),"Chat")</f>
        <v>Chat</v>
      </c>
    </row>
    <row r="60" spans="1:2" ht="13.2">
      <c r="A60" s="2" t="s">
        <v>425</v>
      </c>
      <c r="B60" s="2" t="str">
        <f ca="1">IFERROR(__xludf.DUMMYFUNCTION("IF(ISBLANK(A60),"""",GOOGLETRANSLATE(A60,""en"",""de""))"),"Konversations-KI, die intelligenten Kundensupport in Echtzeit bietet und das Engagement steigert.")</f>
        <v>Konversations-KI, die intelligenten Kundensupport in Echtzeit bietet und das Engagement steigert.</v>
      </c>
    </row>
    <row r="61" spans="1:2" ht="13.2">
      <c r="A61" s="2" t="s">
        <v>426</v>
      </c>
      <c r="B61" s="2" t="str">
        <f ca="1">IFERROR(__xludf.DUMMYFUNCTION("IF(ISBLANK(A61),"""",GOOGLETRANSLATE(A61,""en"",""de""))"),"Datenbasierte Entscheidungen")</f>
        <v>Datenbasierte Entscheidungen</v>
      </c>
    </row>
    <row r="62" spans="1:2" ht="13.2">
      <c r="A62" s="2" t="s">
        <v>427</v>
      </c>
      <c r="B62" s="2" t="str">
        <f ca="1">IFERROR(__xludf.DUMMYFUNCTION("IF(ISBLANK(A62),"""",GOOGLETRANSLATE(A62,""en"",""de""))"),"Modelle des maschinellen Lernens für prädiktive Analysen und Prognosen.")</f>
        <v>Modelle des maschinellen Lernens für prädiktive Analysen und Prognosen.</v>
      </c>
    </row>
    <row r="63" spans="1:2" ht="13.2">
      <c r="A63" s="2" t="s">
        <v>428</v>
      </c>
      <c r="B63" s="2" t="str">
        <f ca="1">IFERROR(__xludf.DUMMYFUNCTION("IF(ISBLANK(A63),"""",GOOGLETRANSLATE(A63,""en"",""de""))"),"KI-Dienste")</f>
        <v>KI-Dienste</v>
      </c>
    </row>
    <row r="64" spans="1:2" ht="13.2">
      <c r="A64" s="2" t="s">
        <v>428</v>
      </c>
      <c r="B64" s="2" t="str">
        <f ca="1">IFERROR(__xludf.DUMMYFUNCTION("IF(ISBLANK(A64),"""",GOOGLETRANSLATE(A64,""en"",""de""))"),"KI-Dienste")</f>
        <v>KI-Dienste</v>
      </c>
    </row>
    <row r="65" spans="1:2" ht="13.2">
      <c r="A65" s="2" t="s">
        <v>429</v>
      </c>
      <c r="B65" s="2" t="str">
        <f ca="1">IFERROR(__xludf.DUMMYFUNCTION("IF(ISBLANK(A65),"""",GOOGLETRANSLATE(A65,""en"",""de""))"),"Kompetente Beratungs- und Implementierungsservices helfen Ihnen, KI effektiv zu nutzen. Unser Team bietet strategische Beratung, kundenspezifische Entwicklung und kontinuierliche Unterstützung für Ihre KI-Initiativen.")</f>
        <v>Kompetente Beratungs- und Implementierungsservices helfen Ihnen, KI effektiv zu nutzen. Unser Team bietet strategische Beratung, kundenspezifische Entwicklung und kontinuierliche Unterstützung für Ihre KI-Initiativen.</v>
      </c>
    </row>
    <row r="66" spans="1:2" ht="13.2">
      <c r="A66" s="2" t="s">
        <v>430</v>
      </c>
      <c r="B66" s="2" t="str">
        <f ca="1">IFERROR(__xludf.DUMMYFUNCTION("IF(ISBLANK(A66),"""",GOOGLETRANSLATE(A66,""en"",""de""))"),"KI-Strategieberatung")</f>
        <v>KI-Strategieberatung</v>
      </c>
    </row>
    <row r="67" spans="1:2" ht="13.2">
      <c r="A67" s="2" t="s">
        <v>431</v>
      </c>
      <c r="B67" s="2" t="str">
        <f ca="1">IFERROR(__xludf.DUMMYFUNCTION("IF(ISBLANK(A67),"""",GOOGLETRANSLATE(A67,""en"",""de""))"),"Strategische Planung und Roadmap-Entwicklung, um KI-Initiativen an Ihren Geschäftszielen und Marktchancen auszurichten.")</f>
        <v>Strategische Planung und Roadmap-Entwicklung, um KI-Initiativen an Ihren Geschäftszielen und Marktchancen auszurichten.</v>
      </c>
    </row>
    <row r="68" spans="1:2" ht="13.2">
      <c r="A68" s="2" t="s">
        <v>432</v>
      </c>
      <c r="B68" s="2" t="str">
        <f ca="1">IFERROR(__xludf.DUMMYFUNCTION("IF(ISBLANK(A68),"""",GOOGLETRANSLATE(A68,""en"",""de""))"),"Benutzerdefinierte KI-Entwicklung")</f>
        <v>Benutzerdefinierte KI-Entwicklung</v>
      </c>
    </row>
    <row r="69" spans="1:2" ht="13.2">
      <c r="A69" s="2" t="s">
        <v>433</v>
      </c>
      <c r="B69" s="2" t="str">
        <f ca="1">IFERROR(__xludf.DUMMYFUNCTION("IF(ISBLANK(A69),"""",GOOGLETRANSLATE(A69,""en"",""de""))"),"Entwicklung maßgeschneiderter KI-Lösungen, die auf Ihre spezifischen Branchenanforderungen und geschäftlichen Herausforderungen zugeschnitten sind.")</f>
        <v>Entwicklung maßgeschneiderter KI-Lösungen, die auf Ihre spezifischen Branchenanforderungen und geschäftlichen Herausforderungen zugeschnitten sind.</v>
      </c>
    </row>
    <row r="70" spans="1:2" ht="13.2">
      <c r="A70" s="2" t="s">
        <v>434</v>
      </c>
      <c r="B70" s="2" t="str">
        <f ca="1">IFERROR(__xludf.DUMMYFUNCTION("IF(ISBLANK(A70),"""",GOOGLETRANSLATE(A70,""en"",""de""))"),"KI-Integrationsdienste")</f>
        <v>KI-Integrationsdienste</v>
      </c>
    </row>
    <row r="71" spans="1:2" ht="13.2">
      <c r="A71" s="2" t="s">
        <v>435</v>
      </c>
      <c r="B71" s="2" t="str">
        <f ca="1">IFERROR(__xludf.DUMMYFUNCTION("IF(ISBLANK(A71),"""",GOOGLETRANSLATE(A71,""en"",""de""))"),"Nahtlose Integration von KI-Funktionen in Ihre vorhandenen Systeme und Arbeitsabläufe ohne Betriebsunterbrechung.")</f>
        <v>Nahtlose Integration von KI-Funktionen in Ihre vorhandenen Systeme und Arbeitsabläufe ohne Betriebsunterbrechung.</v>
      </c>
    </row>
    <row r="72" spans="1:2" ht="13.2">
      <c r="A72" s="2" t="s">
        <v>436</v>
      </c>
      <c r="B72" s="2" t="str">
        <f ca="1">IFERROR(__xludf.DUMMYFUNCTION("IF(ISBLANK(A72),"""",GOOGLETRANSLATE(A72,""en"",""de""))"),"Schulung &amp; Support")</f>
        <v>Schulung &amp; Support</v>
      </c>
    </row>
    <row r="73" spans="1:2" ht="13.2">
      <c r="A73" s="2" t="s">
        <v>437</v>
      </c>
      <c r="B73" s="2" t="str">
        <f ca="1">IFERROR(__xludf.DUMMYFUNCTION("IF(ISBLANK(A73),"""",GOOGLETRANSLATE(A73,""en"",""de""))"),"Umfassende Schulungsprogramme und fortlaufende Unterstützung, um eine erfolgreiche KI-Einführung in Ihrem gesamten Unternehmen sicherzustellen.")</f>
        <v>Umfassende Schulungsprogramme und fortlaufende Unterstützung, um eine erfolgreiche KI-Einführung in Ihrem gesamten Unternehmen sicherzustellen.</v>
      </c>
    </row>
    <row r="74" spans="1:2" ht="13.2">
      <c r="A74" s="2" t="s">
        <v>438</v>
      </c>
      <c r="B74" s="2" t="str">
        <f ca="1">IFERROR(__xludf.DUMMYFUNCTION("IF(ISBLANK(A74),"""",GOOGLETRANSLATE(A74,""en"",""de""))"),"Laborinnovationen")</f>
        <v>Laborinnovationen</v>
      </c>
    </row>
    <row r="75" spans="1:2" ht="13.2">
      <c r="A75" s="2" t="s">
        <v>438</v>
      </c>
      <c r="B75" s="2" t="str">
        <f ca="1">IFERROR(__xludf.DUMMYFUNCTION("IF(ISBLANK(A75),"""",GOOGLETRANSLATE(A75,""en"",""de""))"),"Laborinnovationen")</f>
        <v>Laborinnovationen</v>
      </c>
    </row>
    <row r="76" spans="1:2" ht="13.2">
      <c r="A76" s="2" t="s">
        <v>439</v>
      </c>
      <c r="B76" s="2" t="str">
        <f ca="1">IFERROR(__xludf.DUMMYFUNCTION("IF(ISBLANK(A76),"""",GOOGLETRANSLATE(A76,""en"",""de""))"),"Die neuesten Durchbrüche aus unserem KI-Forschungslabor, darunter fortschrittliche Modelle für maschinelles Lernen, neuronale Netzwerke und experimentelle Technologien, die die Grenzen des Möglichen erweitern.")</f>
        <v>Die neuesten Durchbrüche aus unserem KI-Forschungslabor, darunter fortschrittliche Modelle für maschinelles Lernen, neuronale Netzwerke und experimentelle Technologien, die die Grenzen des Möglichen erweitern.</v>
      </c>
    </row>
    <row r="77" spans="1:2" ht="13.2">
      <c r="A77" s="2" t="s">
        <v>440</v>
      </c>
      <c r="B77" s="2" t="str">
        <f ca="1">IFERROR(__xludf.DUMMYFUNCTION("IF(ISBLANK(A77),"""",GOOGLETRANSLATE(A77,""en"",""de""))"),"Erweiterte neuronale Netzwerke")</f>
        <v>Erweiterte neuronale Netzwerke</v>
      </c>
    </row>
    <row r="78" spans="1:2" ht="13.2">
      <c r="A78" s="2" t="s">
        <v>441</v>
      </c>
      <c r="B78" s="2" t="str">
        <f ca="1">IFERROR(__xludf.DUMMYFUNCTION("IF(ISBLANK(A78),"""",GOOGLETRANSLATE(A78,""en"",""de""))"),"Neuronale Netzwerkarchitekturen der nächsten Generation, entwickelt für komplexe Mustererkennungs- und Entscheidungsprozesse.")</f>
        <v>Neuronale Netzwerkarchitekturen der nächsten Generation, entwickelt für komplexe Mustererkennungs- und Entscheidungsprozesse.</v>
      </c>
    </row>
    <row r="79" spans="1:2" ht="13.2">
      <c r="A79" s="2" t="s">
        <v>442</v>
      </c>
      <c r="B79" s="2" t="str">
        <f ca="1">IFERROR(__xludf.DUMMYFUNCTION("IF(ISBLANK(A79),"""",GOOGLETRANSLATE(A79,""en"",""de""))"),"Quanten-KI-Forschung")</f>
        <v>Quanten-KI-Forschung</v>
      </c>
    </row>
    <row r="80" spans="1:2" ht="13.2">
      <c r="A80" s="2" t="s">
        <v>443</v>
      </c>
      <c r="B80" s="2" t="str">
        <f ca="1">IFERROR(__xludf.DUMMYFUNCTION("IF(ISBLANK(A80),"""",GOOGLETRANSLATE(A80,""en"",""de""))"),"Bahnbrechende Forschung im Bereich Quantencomputeranwendungen für KI zur Erforschung beispielloser Rechenmöglichkeiten.")</f>
        <v>Bahnbrechende Forschung im Bereich Quantencomputeranwendungen für KI zur Erforschung beispielloser Rechenmöglichkeiten.</v>
      </c>
    </row>
    <row r="81" spans="1:2" ht="13.2">
      <c r="A81" s="2" t="s">
        <v>444</v>
      </c>
      <c r="B81" s="2" t="str">
        <f ca="1">IFERROR(__xludf.DUMMYFUNCTION("IF(ISBLANK(A81),"""",GOOGLETRANSLATE(A81,""en"",""de""))"),"Föderiertes Lernen")</f>
        <v>Föderiertes Lernen</v>
      </c>
    </row>
    <row r="82" spans="1:2" ht="13.2">
      <c r="A82" s="2" t="s">
        <v>445</v>
      </c>
      <c r="B82" s="2" t="str">
        <f ca="1">IFERROR(__xludf.DUMMYFUNCTION("IF(ISBLANK(A82),"""",GOOGLETRANSLATE(A82,""en"",""de""))"),"Innovative Ansätze für verteiltes maschinelles Lernen, die die Privatsphäre wahren und gleichzeitig die kollaborative KI-Entwicklung ermöglichen.")</f>
        <v>Innovative Ansätze für verteiltes maschinelles Lernen, die die Privatsphäre wahren und gleichzeitig die kollaborative KI-Entwicklung ermöglichen.</v>
      </c>
    </row>
    <row r="83" spans="1:2" ht="13.2">
      <c r="A83" s="2" t="s">
        <v>446</v>
      </c>
      <c r="B83" s="2" t="str">
        <f ca="1">IFERROR(__xludf.DUMMYFUNCTION("IF(ISBLANK(A83),"""",GOOGLETRANSLATE(A83,""en"",""de""))"),"Erklärbare KI")</f>
        <v>Erklärbare KI</v>
      </c>
    </row>
    <row r="84" spans="1:2" ht="13.2">
      <c r="A84" s="2" t="s">
        <v>447</v>
      </c>
      <c r="B84" s="2" t="str">
        <f ca="1">IFERROR(__xludf.DUMMYFUNCTION("IF(ISBLANK(A84),"""",GOOGLETRANSLATE(A84,""en"",""de""))"),"Transparente KI-Systeme, die klare Einblicke in Entscheidungsprozesse bieten und so für mehr Vertrauen und Compliance sorgen.")</f>
        <v>Transparente KI-Systeme, die klare Einblicke in Entscheidungsprozesse bieten und so für mehr Vertrauen und Compliance sorgen.</v>
      </c>
    </row>
    <row r="85" spans="1:2" ht="13.2">
      <c r="A85" s="2" t="s">
        <v>100</v>
      </c>
      <c r="B85" s="2" t="str">
        <f ca="1">IFERROR(__xludf.DUMMYFUNCTION("IF(ISBLANK(A85),"""",GOOGLETRANSLATE(A85,""en"",""de""))"),"Empfohlene Lektüre und Einblicke")</f>
        <v>Empfohlene Lektüre und Einblicke</v>
      </c>
    </row>
    <row r="86" spans="1:2" ht="13.2">
      <c r="A86" s="10" t="s">
        <v>101</v>
      </c>
      <c r="B86" s="2" t="str">
        <f ca="1">IFERROR(__xludf.DUMMYFUNCTION("IF(ISBLANK(A86),"""",GOOGLETRANSLATE(A86,""en"",""de""))"),"Bleiben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87" spans="1:2" ht="13.2">
      <c r="A87" s="2" t="s">
        <v>102</v>
      </c>
      <c r="B87" s="2" t="str">
        <f ca="1">IFERROR(__xludf.DUMMYFUNCTION("IF(ISBLANK(A87),"""",GOOGLETRANSLATE(A87,""en"",""de""))"),"Der Blog")</f>
        <v>Der Blog</v>
      </c>
    </row>
    <row r="88" spans="1:2" ht="13.2">
      <c r="A88" s="2" t="s">
        <v>103</v>
      </c>
      <c r="B88" s="2" t="str">
        <f ca="1">IFERROR(__xludf.DUMMYFUNCTION("IF(ISBLANK(A88),"""",GOOGLETRANSLATE(A88,""en"",""de""))"),"Über das DMS hinaus: Warum die Zukunft des Automobilhandels API-first ist")</f>
        <v>Über das DMS hinaus: Warum die Zukunft des Automobilhandels API-first ist</v>
      </c>
    </row>
    <row r="89" spans="1:2" ht="13.2">
      <c r="A89" s="2" t="s">
        <v>27</v>
      </c>
      <c r="B89" s="2" t="str">
        <f ca="1">IFERROR(__xludf.DUMMYFUNCTION("IF(ISBLANK(A89),"""",GOOGLETRANSLATE(A89,""en"",""de""))"),"Mehr erfahren")</f>
        <v>Mehr erfahren</v>
      </c>
    </row>
    <row r="90" spans="1:2" ht="13.2">
      <c r="B90" s="2" t="str">
        <f ca="1">IFERROR(__xludf.DUMMYFUNCTION("IF(ISBLANK(A90),"""",GOOGLETRANSLATE(A90,""en"",""de""))"),"")</f>
        <v/>
      </c>
    </row>
    <row r="91" spans="1:2" ht="13.2">
      <c r="A91" s="2" t="s">
        <v>104</v>
      </c>
      <c r="B91" s="2" t="str">
        <f ca="1">IFERROR(__xludf.DUMMYFUNCTION("IF(ISBLANK(A91),"""",GOOGLETRANSLATE(A91,""en"",""de""))"),"NETSOL ist auf der GlobalData Automotive Europe Conference and Awards 2025")</f>
        <v>NETSOL ist auf der GlobalData Automotive Europe Conference and Awards 2025</v>
      </c>
    </row>
    <row r="92" spans="1:2" ht="13.2">
      <c r="B92" s="2" t="str">
        <f ca="1">IFERROR(__xludf.DUMMYFUNCTION("IF(ISBLANK(A92),"""",GOOGLETRANSLATE(A92,""en"",""de""))"),"")</f>
        <v/>
      </c>
    </row>
    <row r="93" spans="1:2" ht="13.2">
      <c r="B93" s="2" t="str">
        <f ca="1">IFERROR(__xludf.DUMMYFUNCTION("IF(ISBLANK(A93),"""",GOOGLETRANSLATE(A93,""en"",""de""))"),"")</f>
        <v/>
      </c>
    </row>
    <row r="94" spans="1:2" ht="13.2">
      <c r="A94" s="2" t="s">
        <v>105</v>
      </c>
      <c r="B94" s="2" t="str">
        <f ca="1">IFERROR(__xludf.DUMMYFUNCTION("IF(ISBLANK(A94),"""",GOOGLETRANSLATE(A94,""en"",""de""))"),"NETSOL ist auf dem 25. jährlichen Auto Finance Summit: Die Zukunft der Autofinanzierung vorantreiben")</f>
        <v>NETSOL ist auf dem 25. jährlichen Auto Finance Summit: Die Zukunft der Autofinanzierung vorantreiben</v>
      </c>
    </row>
    <row r="95" spans="1:2" ht="13.2">
      <c r="B95" s="2" t="str">
        <f ca="1">IFERROR(__xludf.DUMMYFUNCTION("IF(ISBLANK(A95),"""",GOOGLETRANSLATE(A95,""en"",""de""))"),"")</f>
        <v/>
      </c>
    </row>
    <row r="96" spans="1:2" ht="13.2">
      <c r="B96" s="2" t="str">
        <f ca="1">IFERROR(__xludf.DUMMYFUNCTION("IF(ISBLANK(A96),"""",GOOGLETRANSLATE(A96,""en"",""de""))"),"")</f>
        <v/>
      </c>
    </row>
    <row r="97" spans="1:2" ht="13.2">
      <c r="A97" s="2" t="s">
        <v>106</v>
      </c>
      <c r="B97" s="2" t="str">
        <f ca="1">IFERROR(__xludf.DUMMYFUNCTION("IF(ISBLANK(A97),"""",GOOGLETRANSLATE(A97,""en"",""de""))"),"NETSOL ist beim Digital Dealer 2025 dabei: Wir stärken die Zukunft des Automobilhandels")</f>
        <v>NETSOL ist beim Digital Dealer 2025 dabei: Wir stärken die Zukunft des Automobilhandels</v>
      </c>
    </row>
    <row r="98" spans="1:2" ht="13.2">
      <c r="B98" s="2" t="str">
        <f ca="1">IFERROR(__xludf.DUMMYFUNCTION("IF(ISBLANK(A98),"""",GOOGLETRANSLATE(A98,""en"",""de""))"),"")</f>
        <v/>
      </c>
    </row>
    <row r="99" spans="1:2" ht="13.2">
      <c r="B99" s="2" t="str">
        <f ca="1">IFERROR(__xludf.DUMMYFUNCTION("IF(ISBLANK(A99),"""",GOOGLETRANSLATE(A99,""en"",""de""))"),"")</f>
        <v/>
      </c>
    </row>
    <row r="100" spans="1:2" ht="13.2">
      <c r="A100" s="6" t="s">
        <v>107</v>
      </c>
      <c r="B100" s="2" t="str">
        <f ca="1">IFERROR(__xludf.DUMMYFUNCTION("IF(ISBLANK(A100),"""",GOOGLETRANSLATE(A100,""en"",""de""))"),"KI im BFSI: Revolutionierung des Risikomanagements")</f>
        <v>KI im BFSI: Revolutionierung des Risikomanagements</v>
      </c>
    </row>
    <row r="101" spans="1:2" ht="13.2">
      <c r="B101" s="2" t="str">
        <f ca="1">IFERROR(__xludf.DUMMYFUNCTION("IF(ISBLANK(A101),"""",GOOGLETRANSLATE(A101,""en"",""de""))"),"")</f>
        <v/>
      </c>
    </row>
    <row r="102" spans="1:2" ht="13.2">
      <c r="B102" s="2" t="str">
        <f ca="1">IFERROR(__xludf.DUMMYFUNCTION("IF(ISBLANK(A102),"""",GOOGLETRANSLATE(A102,""en"",""de""))"),"")</f>
        <v/>
      </c>
    </row>
    <row r="103" spans="1:2" ht="13.2">
      <c r="A103" s="2" t="s">
        <v>108</v>
      </c>
      <c r="B103" s="2" t="str">
        <f ca="1">IFERROR(__xludf.DUMMYFUNCTION("IF(ISBLANK(A103),"""",GOOGLETRANSLATE(A103,""en"",""de""))"),"Die Bedeutung der Personalisierung im Kundenservice: Maßgeschneidertes Zahlungs- und Streitbeilegungsmanagement für Kunden")</f>
        <v>Die Bedeutung der Personalisierung im Kundenservice: Maßgeschneidertes Zahlungs- und Streitbeilegungsmanagement für Kunden</v>
      </c>
    </row>
    <row r="104" spans="1:2" ht="13.2">
      <c r="B104" s="2" t="str">
        <f ca="1">IFERROR(__xludf.DUMMYFUNCTION("IF(ISBLANK(A104),"""",GOOGLETRANSLATE(A104,""en"",""de""))"),"")</f>
        <v/>
      </c>
    </row>
    <row r="105" spans="1:2" ht="13.2">
      <c r="B105" s="2" t="str">
        <f ca="1">IFERROR(__xludf.DUMMYFUNCTION("IF(ISBLANK(A105),"""",GOOGLETRANSLATE(A105,""en"",""de""))"),"")</f>
        <v/>
      </c>
    </row>
    <row r="106" spans="1:2" ht="13.2">
      <c r="A106" s="2" t="s">
        <v>109</v>
      </c>
      <c r="B106" s="2" t="str">
        <f ca="1">IFERROR(__xludf.DUMMYFUNCTION("IF(ISBLANK(A106),"""",GOOGLETRANSLATE(A106,""en"",""de""))"),"Die wahren Kosten getrennter Systeme im Autohandel")</f>
        <v>Die wahren Kosten getrennter Systeme im Autohandel</v>
      </c>
    </row>
    <row r="107" spans="1:2" ht="13.2">
      <c r="B107" s="2" t="str">
        <f ca="1">IFERROR(__xludf.DUMMYFUNCTION("IF(ISBLANK(A107),"""",GOOGLETRANSLATE(A107,""en"",""de""))"),"")</f>
        <v/>
      </c>
    </row>
    <row r="108" spans="1:2" ht="13.2">
      <c r="B108" s="2" t="str">
        <f ca="1">IFERROR(__xludf.DUMMYFUNCTION("IF(ISBLANK(A108),"""",GOOGLETRANSLATE(A108,""en"",""de""))"),"")</f>
        <v/>
      </c>
    </row>
    <row r="109" spans="1:2" ht="13.2">
      <c r="A109" s="2" t="s">
        <v>110</v>
      </c>
      <c r="B109" s="2" t="str">
        <f ca="1">IFERROR(__xludf.DUMMYFUNCTION("IF(ISBLANK(A109),"""",GOOGLETRANSLATE(A109,""en"",""de""))"),"Captive der Zukunft: Wie Technologie Captive-Finanzierungsgeschäfte neu definiert – Wichtige Erkenntnisse aus dem Webinar der AFSA")</f>
        <v>Captive der Zukunft: Wie Technologie Captive-Finanzierungsgeschäfte neu definiert – Wichtige Erkenntnisse aus dem Webinar der AFSA</v>
      </c>
    </row>
    <row r="110" spans="1:2" ht="13.2">
      <c r="B110" s="2" t="str">
        <f ca="1">IFERROR(__xludf.DUMMYFUNCTION("IF(ISBLANK(A110),"""",GOOGLETRANSLATE(A110,""en"",""de""))"),"")</f>
        <v/>
      </c>
    </row>
    <row r="111" spans="1:2" ht="13.2">
      <c r="B111" s="2" t="str">
        <f ca="1">IFERROR(__xludf.DUMMYFUNCTION("IF(ISBLANK(A111),"""",GOOGLETRANSLATE(A111,""en"",""de""))"),"")</f>
        <v/>
      </c>
    </row>
    <row r="112" spans="1:2" ht="13.2">
      <c r="A112" s="2" t="s">
        <v>111</v>
      </c>
      <c r="B112" s="2" t="str">
        <f ca="1">IFERROR(__xludf.DUMMYFUNCTION("IF(ISBLANK(A112),"""",GOOGLETRANSLATE(A112,""en"",""de""))"),"Betrugsbekämpfung im Großkundengeschäft: Technologie zur Früherkennung und Risikominderung")</f>
        <v>Betrugsbekämpfung im Großkundengeschäft: Technologie zur Früherkennung und Risikominderung</v>
      </c>
    </row>
    <row r="113" spans="1:2" ht="13.2">
      <c r="B113" s="2" t="str">
        <f ca="1">IFERROR(__xludf.DUMMYFUNCTION("IF(ISBLANK(A113),"""",GOOGLETRANSLATE(A113,""en"",""de""))"),"")</f>
        <v/>
      </c>
    </row>
    <row r="114" spans="1:2" ht="13.2">
      <c r="A114" s="2" t="s">
        <v>114</v>
      </c>
      <c r="B114" s="2" t="str">
        <f ca="1">IFERROR(__xludf.DUMMYFUNCTION("IF(ISBLANK(A114),"""",GOOGLETRANSLATE(A114,""en"",""de""))"),"Abonnieren Sie unseren Newsletter, um die neuesten Nachrichten in Ihrem Posteingang zu erhalten.")</f>
        <v>Abonnieren Sie unseren Newsletter, um die neuesten Nachrichten in Ihrem Posteingang zu erhalten.</v>
      </c>
    </row>
    <row r="115" spans="1:2" ht="13.2">
      <c r="A115" s="2" t="s">
        <v>115</v>
      </c>
      <c r="B115" s="2" t="str">
        <f ca="1">IFERROR(__xludf.DUMMYFUNCTION("IF(ISBLANK(A115),"""",GOOGLETRANSLATE(A115,""en"",""de""))"),"abc@example.com")</f>
        <v>abc@example.com</v>
      </c>
    </row>
    <row r="116" spans="1:2" ht="13.2">
      <c r="A116" s="2" t="s">
        <v>116</v>
      </c>
      <c r="B116" s="2" t="str">
        <f ca="1">IFERROR(__xludf.DUMMYFUNCTION("IF(ISBLANK(A116),"""",GOOGLETRANSLATE(A116,""en"",""de""))"),"Abonnieren ")</f>
        <v xml:space="preserve">Abonnieren </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61"/>
  <sheetViews>
    <sheetView topLeftCell="A39" workbookViewId="0">
      <selection activeCell="B56" sqref="B56"/>
    </sheetView>
  </sheetViews>
  <sheetFormatPr defaultColWidth="12.5546875" defaultRowHeight="15.75" customHeight="1"/>
  <cols>
    <col min="1" max="1" width="126.44140625" customWidth="1"/>
  </cols>
  <sheetData>
    <row r="1" spans="1:2" ht="13.2">
      <c r="A1" s="1" t="s">
        <v>0</v>
      </c>
      <c r="B1" s="1" t="s">
        <v>1</v>
      </c>
    </row>
    <row r="2" spans="1:2" ht="15.75" customHeight="1">
      <c r="A2" s="2" t="s">
        <v>448</v>
      </c>
      <c r="B2" s="2" t="str">
        <f ca="1">IFERROR(__xludf.DUMMYFUNCTION("IF(ISBLANK(A2),"""",GOOGLETRANSLATE(A2,""en"",""de""))"),"Transcend Marketplace")</f>
        <v>Transcend Marketplace</v>
      </c>
    </row>
    <row r="3" spans="1:2" ht="15.75" customHeight="1">
      <c r="A3" s="2" t="s">
        <v>449</v>
      </c>
      <c r="B3" s="2" t="str">
        <f ca="1">IFERROR(__xludf.DUMMYFUNCTION("IF(ISBLANK(A3),"""",GOOGLETRANSLATE(A3,""en"",""de""))"),"Verbinden, konfigurieren und innovieren")</f>
        <v>Verbinden, konfigurieren und innovieren</v>
      </c>
    </row>
    <row r="4" spans="1:2" ht="15.75" customHeight="1">
      <c r="A4" s="11" t="s">
        <v>450</v>
      </c>
      <c r="B4" s="2" t="str">
        <f ca="1">IFERROR(__xludf.DUMMYFUNCTION("IF(ISBLANK(A4),"""",GOOGLETRANSLATE(A4,""en"",""de""))"),"Erleben Sie die intuitivsten Finanz- und Leasingprodukte im Bereich Anlagenfinanzierung, von der Kreditanbahnung bis zur Vertragsverwaltung.")</f>
        <v>Erleben Sie die intuitivsten Finanz- und Leasingprodukte im Bereich Anlagenfinanzierung, von der Kreditanbahnung bis zur Vertragsverwaltung.</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451</v>
      </c>
      <c r="B7" s="2" t="str">
        <f ca="1">IFERROR(__xludf.DUMMYFUNCTION("IF(ISBLANK(A7),"""",GOOGLETRANSLATE(A7,""en"",""de""))"),"Biegen")</f>
        <v>Biegen</v>
      </c>
    </row>
    <row r="8" spans="1:2" ht="15.75" customHeight="1">
      <c r="A8" s="2" t="s">
        <v>452</v>
      </c>
      <c r="B8" s="2" t="str">
        <f ca="1">IFERROR(__xludf.DUMMYFUNCTION("IF(ISBLANK(A8),"""",GOOGLETRANSLATE(A8,""en"",""de""))"),"Schnelle und präzise Kreditvertragsberechnungen")</f>
        <v>Schnelle und präzise Kreditvertragsberechnungen</v>
      </c>
    </row>
    <row r="9" spans="1:2" ht="15.75" customHeight="1">
      <c r="A9" s="2" t="s">
        <v>27</v>
      </c>
      <c r="B9" s="2" t="str">
        <f ca="1">IFERROR(__xludf.DUMMYFUNCTION("IF(ISBLANK(A9),"""",GOOGLETRANSLATE(A9,""en"",""de""))"),"Mehr erfahren")</f>
        <v>Mehr erfahren</v>
      </c>
    </row>
    <row r="10" spans="1:2" ht="15.75" customHeight="1">
      <c r="A10" s="2" t="s">
        <v>453</v>
      </c>
      <c r="B10" s="2" t="str">
        <f ca="1">IFERROR(__xludf.DUMMYFUNCTION("IF(ISBLANK(A10),"""",GOOGLETRANSLATE(A10,""en"",""de""))"),"Dock")</f>
        <v>Dock</v>
      </c>
    </row>
    <row r="11" spans="1:2" ht="15.75" customHeight="1">
      <c r="A11" s="2" t="s">
        <v>454</v>
      </c>
      <c r="B11" s="2" t="str">
        <f ca="1">IFERROR(__xludf.DUMMYFUNCTION("IF(ISBLANK(A11),"""",GOOGLETRANSLATE(A11,""en"",""de""))"),"Zentraler Hub für mühelose und schnelle Dokumenterstellung")</f>
        <v>Zentraler Hub für mühelose und schnelle Dokumenterstellung</v>
      </c>
    </row>
    <row r="12" spans="1:2" ht="15.75" customHeight="1">
      <c r="B12" s="2" t="str">
        <f ca="1">IFERROR(__xludf.DUMMYFUNCTION("IF(ISBLANK(A12),"""",GOOGLETRANSLATE(A12,""en"",""de""))"),"")</f>
        <v/>
      </c>
    </row>
    <row r="13" spans="1:2" ht="15.75" customHeight="1">
      <c r="A13" s="2" t="s">
        <v>455</v>
      </c>
      <c r="B13" s="2" t="str">
        <f ca="1">IFERROR(__xludf.DUMMYFUNCTION("IF(ISBLANK(A13),"""",GOOGLETRANSLATE(A13,""en"",""de""))"),"Index")</f>
        <v>Index</v>
      </c>
    </row>
    <row r="14" spans="1:2" ht="15.75" customHeight="1">
      <c r="A14" s="2" t="s">
        <v>456</v>
      </c>
      <c r="B14" s="2" t="str">
        <f ca="1">IFERROR(__xludf.DUMMYFUNCTION("IF(ISBLANK(A14),"""",GOOGLETRANSLATE(A14,""en"",""de""))"),"Vereinfachte Stammdatenverwaltung")</f>
        <v>Vereinfachte Stammdatenverwaltung</v>
      </c>
    </row>
    <row r="15" spans="1:2" ht="15.75" customHeight="1">
      <c r="B15" s="2" t="str">
        <f ca="1">IFERROR(__xludf.DUMMYFUNCTION("IF(ISBLANK(A15),"""",GOOGLETRANSLATE(A15,""en"",""de""))"),"")</f>
        <v/>
      </c>
    </row>
    <row r="16" spans="1:2" ht="15.75" customHeight="1">
      <c r="A16" s="2" t="s">
        <v>457</v>
      </c>
      <c r="B16" s="2" t="str">
        <f ca="1">IFERROR(__xludf.DUMMYFUNCTION("IF(ISBLANK(A16),"""",GOOGLETRANSLATE(A16,""en"",""de""))"),"Hubex")</f>
        <v>Hubex</v>
      </c>
    </row>
    <row r="17" spans="1:2" ht="15.75" customHeight="1">
      <c r="A17" s="2" t="s">
        <v>458</v>
      </c>
      <c r="B17" s="2" t="str">
        <f ca="1">IFERROR(__xludf.DUMMYFUNCTION("IF(ISBLANK(A17),"""",GOOGLETRANSLATE(A17,""en"",""de""))"),"Mehrere Integrationen so einfach wie eine machen")</f>
        <v>Mehrere Integrationen so einfach wie eine machen</v>
      </c>
    </row>
    <row r="18" spans="1:2" ht="15.75" customHeight="1">
      <c r="B18" s="2" t="str">
        <f ca="1">IFERROR(__xludf.DUMMYFUNCTION("IF(ISBLANK(A18),"""",GOOGLETRANSLATE(A18,""en"",""de""))"),"")</f>
        <v/>
      </c>
    </row>
    <row r="19" spans="1:2" ht="15.75" customHeight="1">
      <c r="A19" s="2" t="s">
        <v>459</v>
      </c>
      <c r="B19" s="2" t="str">
        <f ca="1">IFERROR(__xludf.DUMMYFUNCTION("IF(ISBLANK(A19),"""",GOOGLETRANSLATE(A19,""en"",""de""))"),"Fahrbahn")</f>
        <v>Fahrbahn</v>
      </c>
    </row>
    <row r="20" spans="1:2" ht="15.75" customHeight="1">
      <c r="A20" s="2" t="s">
        <v>460</v>
      </c>
      <c r="B20" s="2" t="str">
        <f ca="1">IFERROR(__xludf.DUMMYFUNCTION("IF(ISBLANK(A20),"""",GOOGLETRANSLATE(A20,""en"",""de""))"),"All-in-One-Plattform zur Kreditvergabe")</f>
        <v>All-in-One-Plattform zur Kreditvergabe</v>
      </c>
    </row>
    <row r="21" spans="1:2" ht="15.75" customHeight="1">
      <c r="B21" s="2" t="str">
        <f ca="1">IFERROR(__xludf.DUMMYFUNCTION("IF(ISBLANK(A21),"""",GOOGLETRANSLATE(A21,""en"",""de""))"),"")</f>
        <v/>
      </c>
    </row>
    <row r="22" spans="1:2" ht="15.75" customHeight="1">
      <c r="A22" s="2" t="s">
        <v>461</v>
      </c>
      <c r="B22" s="2" t="str">
        <f ca="1">IFERROR(__xludf.DUMMYFUNCTION("IF(ISBLANK(A22),"""",GOOGLETRANSLATE(A22,""en"",""de""))"),"Drift")</f>
        <v>Drift</v>
      </c>
    </row>
    <row r="23" spans="1:2" ht="15.75" customHeight="1">
      <c r="A23" s="2" t="s">
        <v>462</v>
      </c>
      <c r="B23" s="2" t="str">
        <f ca="1">IFERROR(__xludf.DUMMYFUNCTION("IF(ISBLANK(A23),"""",GOOGLETRANSLATE(A23,""en"",""de""))"),"Omni-Retail-Customer-Journey zur Verbesserung Ihrer Direct-to-Consumer-Strategie (D2C)")</f>
        <v>Omni-Retail-Customer-Journey zur Verbesserung Ihrer Direct-to-Consumer-Strategie (D2C)</v>
      </c>
    </row>
    <row r="24" spans="1:2" ht="13.2">
      <c r="B24" s="2" t="str">
        <f ca="1">IFERROR(__xludf.DUMMYFUNCTION("IF(ISBLANK(A24),"""",GOOGLETRANSLATE(A24,""en"",""de""))"),"")</f>
        <v/>
      </c>
    </row>
    <row r="25" spans="1:2" ht="13.2">
      <c r="A25" s="2" t="s">
        <v>463</v>
      </c>
      <c r="B25" s="2" t="str">
        <f ca="1">IFERROR(__xludf.DUMMYFUNCTION("IF(ISBLANK(A25),"""",GOOGLETRANSLATE(A25,""en"",""de""))"),"Link")</f>
        <v>Link</v>
      </c>
    </row>
    <row r="26" spans="1:2" ht="13.2">
      <c r="A26" s="2" t="s">
        <v>464</v>
      </c>
      <c r="B26" s="2" t="str">
        <f ca="1">IFERROR(__xludf.DUMMYFUNCTION("IF(ISBLANK(A26),"""",GOOGLETRANSLATE(A26,""en"",""de""))"),"Stärkung von Maklern, Kreditgebern und Händlern durch optimierte Portale.")</f>
        <v>Stärkung von Maklern, Kreditgebern und Händlern durch optimierte Portale.</v>
      </c>
    </row>
    <row r="27" spans="1:2" ht="13.2">
      <c r="B27" s="2" t="str">
        <f ca="1">IFERROR(__xludf.DUMMYFUNCTION("IF(ISBLANK(A27),"""",GOOGLETRANSLATE(A27,""en"",""de""))"),"")</f>
        <v/>
      </c>
    </row>
    <row r="28" spans="1:2" ht="13.2">
      <c r="A28" s="2" t="s">
        <v>465</v>
      </c>
      <c r="B28" s="2" t="str">
        <f ca="1">IFERROR(__xludf.DUMMYFUNCTION("IF(ISBLANK(A28),"""",GOOGLETRANSLATE(A28,""en"",""de""))"),"Cura")</f>
        <v>Cura</v>
      </c>
    </row>
    <row r="29" spans="1:2" ht="13.2">
      <c r="A29" s="2" t="s">
        <v>466</v>
      </c>
      <c r="B29" s="2" t="str">
        <f ca="1">IFERROR(__xludf.DUMMYFUNCTION("IF(ISBLANK(A29),"""",GOOGLETRANSLATE(A29,""en"",""de""))"),"Eine einzige Plattform zur Unterstützung der Kunden während des gesamten Vertragslebenszyklus")</f>
        <v>Eine einzige Plattform zur Unterstützung der Kunden während des gesamten Vertragslebenszyklus</v>
      </c>
    </row>
    <row r="30" spans="1:2" ht="13.2">
      <c r="B30" s="2" t="str">
        <f ca="1">IFERROR(__xludf.DUMMYFUNCTION("IF(ISBLANK(A30),"""",GOOGLETRANSLATE(A30,""en"",""de""))"),"")</f>
        <v/>
      </c>
    </row>
    <row r="31" spans="1:2" ht="13.2">
      <c r="A31" s="2" t="s">
        <v>467</v>
      </c>
      <c r="B31" s="2" t="str">
        <f ca="1">IFERROR(__xludf.DUMMYFUNCTION("IF(ISBLANK(A31),"""",GOOGLETRANSLATE(A31,""en"",""de""))"),"T-Rate")</f>
        <v>T-Rate</v>
      </c>
    </row>
    <row r="32" spans="1:2" ht="13.2">
      <c r="A32" s="2" t="s">
        <v>468</v>
      </c>
      <c r="B32" s="2" t="str">
        <f ca="1">IFERROR(__xludf.DUMMYFUNCTION("IF(ISBLANK(A32),"""",GOOGLETRANSLATE(A32,""en"",""de""))"),"Universelle Steuerberechnung in Echtzeit")</f>
        <v>Universelle Steuerberechnung in Echtzeit</v>
      </c>
    </row>
    <row r="33" spans="1:2" ht="13.2">
      <c r="B33" s="2" t="str">
        <f ca="1">IFERROR(__xludf.DUMMYFUNCTION("IF(ISBLANK(A33),"""",GOOGLETRANSLATE(A33,""en"",""de""))"),"")</f>
        <v/>
      </c>
    </row>
    <row r="34" spans="1:2" ht="13.2">
      <c r="A34" s="2" t="s">
        <v>469</v>
      </c>
      <c r="B34" s="2" t="str">
        <f ca="1">IFERROR(__xludf.DUMMYFUNCTION("IF(ISBLANK(A34),"""",GOOGLETRANSLATE(A34,""en"",""de""))"),"Transentry")</f>
        <v>Transentry</v>
      </c>
    </row>
    <row r="35" spans="1:2" ht="13.2">
      <c r="A35" s="2" t="s">
        <v>470</v>
      </c>
      <c r="B35" s="2" t="str">
        <f ca="1">IFERROR(__xludf.DUMMYFUNCTION("IF(ISBLANK(A35),"""",GOOGLETRANSLATE(A35,""en"",""de""))"),"Mühelose Buchhaltungsautomatisierung auf Knopfdruck")</f>
        <v>Mühelose Buchhaltungsautomatisierung auf Knopfdruck</v>
      </c>
    </row>
    <row r="36" spans="1:2" ht="13.2">
      <c r="B36" s="2" t="str">
        <f ca="1">IFERROR(__xludf.DUMMYFUNCTION("IF(ISBLANK(A36),"""",GOOGLETRANSLATE(A36,""en"",""de""))"),"")</f>
        <v/>
      </c>
    </row>
    <row r="37" spans="1:2" ht="13.2">
      <c r="A37" s="2" t="s">
        <v>471</v>
      </c>
      <c r="B37" s="2" t="str">
        <f ca="1">IFERROR(__xludf.DUMMYFUNCTION("IF(ISBLANK(A37),"""",GOOGLETRANSLATE(A37,""en"",""de""))"),"TermOut")</f>
        <v>TermOut</v>
      </c>
    </row>
    <row r="38" spans="1:2" ht="13.2">
      <c r="A38" s="2" t="s">
        <v>472</v>
      </c>
      <c r="B38" s="2" t="str">
        <f ca="1">IFERROR(__xludf.DUMMYFUNCTION("IF(ISBLANK(A38),"""",GOOGLETRANSLATE(A38,""en"",""de""))"),"Gestalten Sie die Vertragszukunft schon heute")</f>
        <v>Gestalten Sie die Vertragszukunft schon heute</v>
      </c>
    </row>
    <row r="39" spans="1:2" ht="13.2">
      <c r="B39" s="2" t="str">
        <f ca="1">IFERROR(__xludf.DUMMYFUNCTION("IF(ISBLANK(A39),"""",GOOGLETRANSLATE(A39,""en"",""de""))"),"")</f>
        <v/>
      </c>
    </row>
    <row r="40" spans="1:2" ht="13.2">
      <c r="A40" s="2" t="s">
        <v>473</v>
      </c>
      <c r="B40" s="2" t="str">
        <f ca="1">IFERROR(__xludf.DUMMYFUNCTION("IF(ISBLANK(A40),"""",GOOGLETRANSLATE(A40,""en"",""de""))"),"Frühes Aus")</f>
        <v>Frühes Aus</v>
      </c>
    </row>
    <row r="41" spans="1:2" ht="13.2">
      <c r="A41" s="2" t="s">
        <v>474</v>
      </c>
      <c r="B41" s="2" t="str">
        <f ca="1">IFERROR(__xludf.DUMMYFUNCTION("IF(ISBLANK(A41),"""",GOOGLETRANSLATE(A41,""en"",""de""))"),"Optimierte frühzeitige Abwicklung und präzise Auszahlungsabwicklung")</f>
        <v>Optimierte frühzeitige Abwicklung und präzise Auszahlungsabwicklung</v>
      </c>
    </row>
    <row r="42" spans="1:2" ht="13.2">
      <c r="B42" s="2" t="str">
        <f ca="1">IFERROR(__xludf.DUMMYFUNCTION("IF(ISBLANK(A42),"""",GOOGLETRANSLATE(A42,""en"",""de""))"),"")</f>
        <v/>
      </c>
    </row>
    <row r="43" spans="1:2" ht="13.2">
      <c r="A43" s="2" t="s">
        <v>475</v>
      </c>
      <c r="B43" s="2" t="str">
        <f ca="1">IFERROR(__xludf.DUMMYFUNCTION("IF(ISBLANK(A43),"""",GOOGLETRANSLATE(A43,""en"",""de""))"),"Ändern")</f>
        <v>Ändern</v>
      </c>
    </row>
    <row r="44" spans="1:2" ht="13.2">
      <c r="A44" s="2" t="s">
        <v>476</v>
      </c>
      <c r="B44" s="2" t="str">
        <f ca="1">IFERROR(__xludf.DUMMYFUNCTION("IF(ISBLANK(A44),"""",GOOGLETRANSLATE(A44,""en"",""de""))"),"Einfache und nahtlose Vertragsanpassung")</f>
        <v>Einfache und nahtlose Vertragsanpassung</v>
      </c>
    </row>
    <row r="45" spans="1:2" ht="13.2">
      <c r="B45" s="2" t="str">
        <f ca="1">IFERROR(__xludf.DUMMYFUNCTION("IF(ISBLANK(A45),"""",GOOGLETRANSLATE(A45,""en"",""de""))"),"")</f>
        <v/>
      </c>
    </row>
    <row r="46" spans="1:2" ht="13.2">
      <c r="A46" s="2" t="s">
        <v>477</v>
      </c>
      <c r="B46" s="2" t="str">
        <f ca="1">IFERROR(__xludf.DUMMYFUNCTION("IF(ISBLANK(A46),"""",GOOGLETRANSLATE(A46,""en"",""de""))"),"Überprüfen")</f>
        <v>Überprüfen</v>
      </c>
    </row>
    <row r="47" spans="1:2" ht="13.2">
      <c r="A47" s="2" t="s">
        <v>478</v>
      </c>
      <c r="B47" s="2" t="str">
        <f ca="1">IFERROR(__xludf.DUMMYFUNCTION("IF(ISBLANK(A47),"""",GOOGLETRANSLATE(A47,""en"",""de""))"),"Automatisierte Kreditentscheidungen für schnellere und intelligentere Kreditvergabe")</f>
        <v>Automatisierte Kreditentscheidungen für schnellere und intelligentere Kreditvergabe</v>
      </c>
    </row>
    <row r="48" spans="1:2" ht="13.2">
      <c r="B48" s="2" t="str">
        <f ca="1">IFERROR(__xludf.DUMMYFUNCTION("IF(ISBLANK(A48),"""",GOOGLETRANSLATE(A48,""en"",""de""))"),"")</f>
        <v/>
      </c>
    </row>
    <row r="49" spans="1:2" ht="13.2">
      <c r="A49" s="2" t="s">
        <v>479</v>
      </c>
      <c r="B49" s="2" t="str">
        <f ca="1">IFERROR(__xludf.DUMMYFUNCTION("IF(ISBLANK(A49),"""",GOOGLETRANSLATE(A49,""en"",""de""))"),"Jetzt erhalten")</f>
        <v>Jetzt erhalten</v>
      </c>
    </row>
    <row r="50" spans="1:2" ht="13.2">
      <c r="A50" s="2" t="s">
        <v>480</v>
      </c>
      <c r="B50" s="2" t="str">
        <f ca="1">IFERROR(__xludf.DUMMYFUNCTION("IF(ISBLANK(A50),"""",GOOGLETRANSLATE(A50,""en"",""de""))"),"Effizientes Rechnungs- und Forderungsmanagement")</f>
        <v>Effizientes Rechnungs- und Forderungsmanagement</v>
      </c>
    </row>
    <row r="51" spans="1:2" ht="13.2">
      <c r="B51" s="2" t="str">
        <f ca="1">IFERROR(__xludf.DUMMYFUNCTION("IF(ISBLANK(A51),"""",GOOGLETRANSLATE(A51,""en"",""de""))"),"")</f>
        <v/>
      </c>
    </row>
    <row r="52" spans="1:2" ht="13.2">
      <c r="A52" s="2" t="s">
        <v>90</v>
      </c>
      <c r="B52" s="2" t="str">
        <f ca="1">IFERROR(__xludf.DUMMYFUNCTION("IF(ISBLANK(A52),"""",GOOGLETRANSLATE(A52,""en"",""de""))"),"MINI geht Partnerschaft mit NETSOL ein, um eine neue Ära des Autohandelserlebnisses einzuläuten")</f>
        <v>MINI geht Partnerschaft mit NETSOL ein, um eine neue Ära des Autohandelserlebnisses einzuläuten</v>
      </c>
    </row>
    <row r="53" spans="1:2" ht="13.2">
      <c r="A53" s="2" t="s">
        <v>91</v>
      </c>
      <c r="B53" s="2" t="str">
        <f ca="1">IFERROR(__xludf.DUMMYFUNCTION("IF(ISBLANK(A53),"""",GOOGLETRANSLATE(A53,""en"",""de""))"),"Bei MINI haben wir beschlossen, dass es an der Zeit ist, ein durchgängiges Kauf- und Finanzierungserlebnis für den Verbraucher zu schaffen. Dabei war es wichtig, mehr als nur einen Lead-Generator zu schaffen, um die komplette Transaktion für jeden MINI-Ku"&amp;"nden jederzeit und überall zu ermöglichen. Unsere Partnerschaft mit NETSOL hat es uns ermöglicht, nicht nur zu den Branchenführern aufzuschließen, sondern auch neue Maßstäbe im digitalen Autohandel zu setzen, die die üblichen Verdächtigen der Branche nich"&amp;"t bieten konnten.“")</f>
        <v>Bei MINI haben wir beschlossen, dass es an der Zeit ist, ein durchgängiges Kauf- und Finanzierungserlebnis für den Verbraucher zu schaffen. Dabei war es wichtig, mehr als nur einen Lead-Generator zu schaffen, um die komplette Transaktion für jeden MINI-Kunden jederzeit und überall zu ermöglichen. Unsere Partnerschaft mit NETSOL hat es uns ermöglicht, nicht nur zu den Branchenführern aufzuschließen, sondern auch neue Maßstäbe im digitalen Autohandel zu setzen, die die üblichen Verdächtigen der Branche nicht bieten konnten.“</v>
      </c>
    </row>
    <row r="54" spans="1:2" ht="13.2">
      <c r="A54" s="2" t="s">
        <v>92</v>
      </c>
      <c r="B54" s="2" t="str">
        <f ca="1">IFERROR(__xludf.DUMMYFUNCTION("IF(ISBLANK(A54),"""",GOOGLETRANSLATE(A54,""en"",""de""))"),"Mike Peyton")</f>
        <v>Mike Peyton</v>
      </c>
    </row>
    <row r="55" spans="1:2" ht="13.2">
      <c r="A55" s="13" t="s">
        <v>481</v>
      </c>
      <c r="B55" s="2" t="str">
        <f ca="1">IFERROR(__xludf.DUMMYFUNCTION("IF(ISBLANK(A55),"""",GOOGLETRANSLATE(A55,""en"",""de""))"),"Chefmotorist und Sprecher von MINI of the Americas")</f>
        <v>Chefmotorist und Sprecher von MINI of the Americas</v>
      </c>
    </row>
    <row r="56" spans="1:2" ht="13.2">
      <c r="A56" s="2" t="s">
        <v>97</v>
      </c>
      <c r="B56" s="2" t="str">
        <f ca="1">IFERROR(__xludf.DUMMYFUNCTION("IF(ISBLANK(A56),"""",GOOGLETRANSLATE(A56,""en"",""de""))"),"Haydock Financial ist mit dem Marktplatz von NETSOL erfolgreich")</f>
        <v>Haydock Financial ist mit dem Marktplatz von NETSOL erfolgreich</v>
      </c>
    </row>
    <row r="57" spans="1:2" ht="13.2">
      <c r="A57" s="2" t="s">
        <v>98</v>
      </c>
      <c r="B57" s="2" t="str">
        <f ca="1">IFERROR(__xludf.DUMMYFUNCTION("IF(ISBLANK(A57),"""",GOOGLETRANSLATE(A57,""en"",""de""))"),"„Ich kann sowohl Appex Now als auch NETSOL uneingeschränkt empfehlen. Die Produkte sind brillant. Sie funktionieren fantastisch. Und NETSOL ist auf unsere Bedürfnisse eingegangen und hat alle gewünschten Änderungen schnell vorgenommen.“")</f>
        <v>„Ich kann sowohl Appex Now als auch NETSOL uneingeschränkt empfehlen. Die Produkte sind brillant. Sie funktionieren fantastisch. Und NETSOL ist auf unsere Bedürfnisse eingegangen und hat alle gewünschten Änderungen schnell vorgenommen.“</v>
      </c>
    </row>
    <row r="58" spans="1:2" ht="13.2">
      <c r="A58" s="2" t="s">
        <v>99</v>
      </c>
      <c r="B58" s="2" t="str">
        <f ca="1">IFERROR(__xludf.DUMMYFUNCTION("IF(ISBLANK(A58),"""",GOOGLETRANSLATE(A58,""en"",""de""))"),"Mike Boyes")</f>
        <v>Mike Boyes</v>
      </c>
    </row>
    <row r="59" spans="1:2" ht="13.2">
      <c r="A59" s="2" t="s">
        <v>114</v>
      </c>
      <c r="B59" s="2" t="str">
        <f ca="1">IFERROR(__xludf.DUMMYFUNCTION("IF(ISBLANK(A59),"""",GOOGLETRANSLATE(A59,""en"",""de""))"),"Abonnieren Sie unseren Newsletter, um die neuesten Nachrichten in Ihrem Posteingang zu erhalten.")</f>
        <v>Abonnieren Sie unseren Newsletter, um die neuesten Nachrichten in Ihrem Posteingang zu erhalten.</v>
      </c>
    </row>
    <row r="60" spans="1:2" ht="13.2">
      <c r="A60" s="2" t="s">
        <v>115</v>
      </c>
      <c r="B60" s="2" t="str">
        <f ca="1">IFERROR(__xludf.DUMMYFUNCTION("IF(ISBLANK(A60),"""",GOOGLETRANSLATE(A60,""en"",""de""))"),"abc@example.com")</f>
        <v>abc@example.com</v>
      </c>
    </row>
    <row r="61" spans="1:2" ht="13.2">
      <c r="A61" s="2" t="s">
        <v>116</v>
      </c>
      <c r="B61" s="2" t="str">
        <f ca="1">IFERROR(__xludf.DUMMYFUNCTION("IF(ISBLANK(A61),"""",GOOGLETRANSLATE(A61,""en"",""de""))"),"Abonnieren ")</f>
        <v xml:space="preserve">Abonnieren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73"/>
  <sheetViews>
    <sheetView workbookViewId="0">
      <selection activeCell="B6" sqref="B6"/>
    </sheetView>
  </sheetViews>
  <sheetFormatPr defaultColWidth="12.5546875" defaultRowHeight="15.75" customHeight="1"/>
  <cols>
    <col min="1" max="1" width="126.109375" customWidth="1"/>
  </cols>
  <sheetData>
    <row r="1" spans="1:2" ht="13.2">
      <c r="A1" s="1" t="s">
        <v>0</v>
      </c>
      <c r="B1" s="1" t="s">
        <v>1</v>
      </c>
    </row>
    <row r="2" spans="1:2" ht="15.75" customHeight="1">
      <c r="A2" s="12" t="s">
        <v>64</v>
      </c>
      <c r="B2" s="2" t="str">
        <f ca="1">IFERROR(__xludf.DUMMYFUNCTION("IF(ISBLANK(A2),"""",GOOGLETRANSLATE(A2,""en"",""de""))"),"Informationssicherheit")</f>
        <v>Informationssicherheit</v>
      </c>
    </row>
    <row r="3" spans="1:2" ht="15.75" customHeight="1">
      <c r="A3" s="2" t="s">
        <v>482</v>
      </c>
      <c r="B3" s="2" t="str">
        <f ca="1">IFERROR(__xludf.DUMMYFUNCTION("IF(ISBLANK(A3),"""",GOOGLETRANSLATE(A3,""en"",""de""))"),"Erweiterte Informationssicherheitsdienste")</f>
        <v>Erweiterte Informationssicherheitsdienste</v>
      </c>
    </row>
    <row r="4" spans="1:2" ht="15.75" customHeight="1">
      <c r="A4" s="2" t="s">
        <v>483</v>
      </c>
      <c r="B4" s="2" t="str">
        <f ca="1">IFERROR(__xludf.DUMMYFUNCTION("IF(ISBLANK(A4),"""",GOOGLETRANSLATE(A4,""en"",""de""))"),"Sichern Sie Ihre digitale Welt mit KI-gestützter, bedrohungssicherer Technologie.")</f>
        <v>Sichern Sie Ihre digitale Welt mit KI-gestützter, bedrohungssicherer Technologie.</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484</v>
      </c>
      <c r="B7" s="2" t="str">
        <f ca="1">IFERROR(__xludf.DUMMYFUNCTION("IF(ISBLANK(A7),"""",GOOGLETRANSLATE(A7,""en"",""de""))"),"Schützen Sie Ihr Unternehmen mit Informationssicherheit vor digitalen Bedrohungen")</f>
        <v>Schützen Sie Ihr Unternehmen mit Informationssicherheit vor digitalen Bedrohungen</v>
      </c>
    </row>
    <row r="8" spans="1:2" ht="15.75" customHeight="1">
      <c r="A8" s="2" t="s">
        <v>485</v>
      </c>
      <c r="B8" s="2" t="str">
        <f ca="1">IFERROR(__xludf.DUMMYFUNCTION("IF(ISBLANK(A8),"""",GOOGLETRANSLATE(A8,""en"",""de""))"),"NETSOL bietet risikoorientierte Sicherheitsstrategien zum Schutz Ihrer Daten, zur Gewährleistung der Compliance und zur Verbesserung der betrieblichen Agilität.")</f>
        <v>NETSOL bietet risikoorientierte Sicherheitsstrategien zum Schutz Ihrer Daten, zur Gewährleistung der Compliance und zur Verbesserung der betrieblichen Agilität.</v>
      </c>
    </row>
    <row r="9" spans="1:2" ht="15.75" customHeight="1">
      <c r="A9" s="2" t="s">
        <v>486</v>
      </c>
      <c r="B9" s="2" t="str">
        <f ca="1">IFERROR(__xludf.DUMMYFUNCTION("IF(ISBLANK(A9),"""",GOOGLETRANSLATE(A9,""en"",""de""))"),"Anstieg der Ransomware")</f>
        <v>Anstieg der Ransomware</v>
      </c>
    </row>
    <row r="10" spans="1:2" ht="15.75" customHeight="1">
      <c r="A10" s="2" t="s">
        <v>487</v>
      </c>
      <c r="B10" s="2" t="str">
        <f ca="1">IFERROR(__xludf.DUMMYFUNCTION("IF(ISBLANK(A10),"""",GOOGLETRANSLATE(A10,""en"",""de""))"),"Im Jahr 2022 wurden 2.809 Ransomware-Angriffe registriert, im Jahr 2023 stieg die Zahl auf 5.070, was einem deutlichen Anstieg von 55 % entspricht.")</f>
        <v>Im Jahr 2022 wurden 2.809 Ransomware-Angriffe registriert, im Jahr 2023 stieg die Zahl auf 5.070, was einem deutlichen Anstieg von 55 % entspricht.</v>
      </c>
    </row>
    <row r="11" spans="1:2" ht="15.75" customHeight="1">
      <c r="A11" s="2" t="s">
        <v>488</v>
      </c>
      <c r="B11" s="2" t="str">
        <f ca="1">IFERROR(__xludf.DUMMYFUNCTION("IF(ISBLANK(A11),"""",GOOGLETRANSLATE(A11,""en"",""de""))"),"Kosten der Cybersicherheit")</f>
        <v>Kosten der Cybersicherheit</v>
      </c>
    </row>
    <row r="12" spans="1:2" ht="15.75" customHeight="1">
      <c r="A12" s="2" t="s">
        <v>489</v>
      </c>
      <c r="B12" s="2" t="str">
        <f ca="1">IFERROR(__xludf.DUMMYFUNCTION("IF(ISBLANK(A12),"""",GOOGLETRANSLATE(A12,""en"",""de""))"),"Ohne robuste Sicherheitsdienste im Bereich Informationssicherheit verlieren Unternehmen jährlich Millionen durch Cyberangriffe.")</f>
        <v>Ohne robuste Sicherheitsdienste im Bereich Informationssicherheit verlieren Unternehmen jährlich Millionen durch Cyberangriffe.</v>
      </c>
    </row>
    <row r="13" spans="1:2" ht="15.75" customHeight="1">
      <c r="A13" s="2" t="s">
        <v>490</v>
      </c>
      <c r="B13" s="2" t="str">
        <f ca="1">IFERROR(__xludf.DUMMYFUNCTION("IF(ISBLANK(A13),"""",GOOGLETRANSLATE(A13,""en"",""de""))"),"Kosten einer Datenpanne")</f>
        <v>Kosten einer Datenpanne</v>
      </c>
    </row>
    <row r="14" spans="1:2" ht="15.75" customHeight="1">
      <c r="A14" s="2" t="s">
        <v>491</v>
      </c>
      <c r="B14" s="2" t="str">
        <f ca="1">IFERROR(__xludf.DUMMYFUNCTION("IF(ISBLANK(A14),"""",GOOGLETRANSLATE(A14,""en"",""de""))"),"Die weltweiten durchschnittlichen Kosten von Datenschutzverletzungen erreichten im Jahr 2023 mit 4,45 Milliarden US-Dollar einen historischen Höchststand, was einem Anstieg von 15 % in drei Jahren entspricht.")</f>
        <v>Die weltweiten durchschnittlichen Kosten von Datenschutzverletzungen erreichten im Jahr 2023 mit 4,45 Milliarden US-Dollar einen historischen Höchststand, was einem Anstieg von 15 % in drei Jahren entspricht.</v>
      </c>
    </row>
    <row r="15" spans="1:2" ht="15.75" customHeight="1">
      <c r="A15" s="2" t="s">
        <v>492</v>
      </c>
      <c r="B15" s="2" t="str">
        <f ca="1">IFERROR(__xludf.DUMMYFUNCTION("IF(ISBLANK(A15),"""",GOOGLETRANSLATE(A15,""en"",""de""))"),"KI bekämpft Bedrohungen")</f>
        <v>KI bekämpft Bedrohungen</v>
      </c>
    </row>
    <row r="16" spans="1:2" ht="15.75" customHeight="1">
      <c r="A16" s="2" t="s">
        <v>493</v>
      </c>
      <c r="B16" s="2" t="str">
        <f ca="1">IFERROR(__xludf.DUMMYFUNCTION("IF(ISBLANK(A16),"""",GOOGLETRANSLATE(A16,""en"",""de""))"),"66 % der KI-Anwender bestätigten, dass generative KI dabei half, Zero-Day-Angriffe vorherzusagen und Fehlalarme zu reduzieren.")</f>
        <v>66 % der KI-Anwender bestätigten, dass generative KI dabei half, Zero-Day-Angriffe vorherzusagen und Fehlalarme zu reduzieren.</v>
      </c>
    </row>
    <row r="17" spans="1:2" ht="15.75" customHeight="1">
      <c r="A17" s="2" t="s">
        <v>494</v>
      </c>
      <c r="B17" s="2" t="str">
        <f ca="1">IFERROR(__xludf.DUMMYFUNCTION("IF(ISBLANK(A17),"""",GOOGLETRANSLATE(A17,""en"",""de""))"),"KI-gestützte Erkenntnisse zu Informationssicherheitsdiensten")</f>
        <v>KI-gestützte Erkenntnisse zu Informationssicherheitsdiensten</v>
      </c>
    </row>
    <row r="18" spans="1:2" ht="15.75" customHeight="1">
      <c r="A18" s="2" t="s">
        <v>485</v>
      </c>
      <c r="B18" s="2" t="str">
        <f ca="1">IFERROR(__xludf.DUMMYFUNCTION("IF(ISBLANK(A18),"""",GOOGLETRANSLATE(A18,""en"",""de""))"),"NETSOL bietet risikoorientierte Sicherheitsstrategien zum Schutz Ihrer Daten, zur Gewährleistung der Compliance und zur Verbesserung der betrieblichen Agilität.")</f>
        <v>NETSOL bietet risikoorientierte Sicherheitsstrategien zum Schutz Ihrer Daten, zur Gewährleistung der Compliance und zur Verbesserung der betrieblichen Agilität.</v>
      </c>
    </row>
    <row r="19" spans="1:2" ht="15.75" customHeight="1">
      <c r="B19" s="2" t="str">
        <f ca="1">IFERROR(__xludf.DUMMYFUNCTION("IF(ISBLANK(A19),"""",GOOGLETRANSLATE(A19,""en"",""de""))"),"")</f>
        <v/>
      </c>
    </row>
    <row r="20" spans="1:2" ht="15.75" customHeight="1">
      <c r="A20" s="2" t="s">
        <v>495</v>
      </c>
      <c r="B20" s="2" t="str">
        <f ca="1">IFERROR(__xludf.DUMMYFUNCTION("IF(ISBLANK(A20),"""",GOOGLETRANSLATE(A20,""en"",""de""))"),"80 % mehr Erfolg")</f>
        <v>80 % mehr Erfolg</v>
      </c>
    </row>
    <row r="21" spans="1:2" ht="15.75" customHeight="1">
      <c r="A21" s="2" t="s">
        <v>496</v>
      </c>
      <c r="B21" s="2" t="str">
        <f ca="1">IFERROR(__xludf.DUMMYFUNCTION("IF(ISBLANK(A21),"""",GOOGLETRANSLATE(A21,""en"",""de""))"),"Mehr als 40 % der Unternehmen meldeten eine Erfolgsquote von über 80 % für ihre KI-gestützten Cybersicherheitstools")</f>
        <v>Mehr als 40 % der Unternehmen meldeten eine Erfolgsquote von über 80 % für ihre KI-gestützten Cybersicherheitstools</v>
      </c>
    </row>
    <row r="22" spans="1:2" ht="15.75" customHeight="1">
      <c r="A22" s="2" t="s">
        <v>497</v>
      </c>
      <c r="B22" s="2" t="str">
        <f ca="1">IFERROR(__xludf.DUMMYFUNCTION("IF(ISBLANK(A22),"""",GOOGLETRANSLATE(A22,""en"",""de""))"),"48 % wichtiger")</f>
        <v>48 % wichtiger</v>
      </c>
    </row>
    <row r="23" spans="1:2" ht="15.75" customHeight="1">
      <c r="A23" s="2" t="s">
        <v>498</v>
      </c>
      <c r="B23" s="2" t="str">
        <f ca="1">IFERROR(__xludf.DUMMYFUNCTION("IF(ISBLANK(A23),"""",GOOGLETRANSLATE(A23,""en"",""de""))"),"Kleine und mittlere Unternehmen (KMU) und Großunternehmen sind mittlerweile davon überzeugt, dass KI für den Schutz vor Cybersicherheitsrisiken und -bedrohungen von entscheidender Bedeutung sein wird.")</f>
        <v>Kleine und mittlere Unternehmen (KMU) und Großunternehmen sind mittlerweile davon überzeugt, dass KI für den Schutz vor Cybersicherheitsrisiken und -bedrohungen von entscheidender Bedeutung sein wird.</v>
      </c>
    </row>
    <row r="24" spans="1:2" ht="13.2">
      <c r="A24" s="2" t="s">
        <v>499</v>
      </c>
      <c r="B24" s="2" t="str">
        <f ca="1">IFERROR(__xludf.DUMMYFUNCTION("IF(ISBLANK(A24),"""",GOOGLETRANSLATE(A24,""en"",""de""))"),"2,09 Millionen US-Dollar Ersparnis pro Unternehmen")</f>
        <v>2,09 Millionen US-Dollar Ersparnis pro Unternehmen</v>
      </c>
    </row>
    <row r="25" spans="1:2" ht="13.2">
      <c r="A25" s="2" t="s">
        <v>500</v>
      </c>
      <c r="B25" s="2" t="str">
        <f ca="1">IFERROR(__xludf.DUMMYFUNCTION("IF(ISBLANK(A25),"""",GOOGLETRANSLATE(A25,""en"",""de""))"),"Mit KI-gestützten Cybersicherheitstools können in den USA Einsparungen von über 2,09 Millionen US-Dollar pro Unternehmen erzielt werden.")</f>
        <v>Mit KI-gestützten Cybersicherheitstools können in den USA Einsparungen von über 2,09 Millionen US-Dollar pro Unternehmen erzielt werden.</v>
      </c>
    </row>
    <row r="26" spans="1:2" ht="13.2">
      <c r="A26" s="2" t="s">
        <v>501</v>
      </c>
      <c r="B26" s="2" t="str">
        <f ca="1">IFERROR(__xludf.DUMMYFUNCTION("IF(ISBLANK(A26),"""",GOOGLETRANSLATE(A26,""en"",""de""))"),"Lösung realer Probleme der Informationssicherheit durch strenge Sicherheitsmechanismen")</f>
        <v>Lösung realer Probleme der Informationssicherheit durch strenge Sicherheitsmechanismen</v>
      </c>
    </row>
    <row r="27" spans="1:2" ht="13.2">
      <c r="A27" s="2" t="s">
        <v>502</v>
      </c>
      <c r="B27" s="2" t="str">
        <f ca="1">IFERROR(__xludf.DUMMYFUNCTION("IF(ISBLANK(A27),"""",GOOGLETRANSLATE(A27,""en"",""de""))"),"Bewertung und Identifizierung")</f>
        <v>Bewertung und Identifizierung</v>
      </c>
    </row>
    <row r="28" spans="1:2" ht="13.2">
      <c r="A28" s="2" t="s">
        <v>503</v>
      </c>
      <c r="B28" s="2" t="str">
        <f ca="1">IFERROR(__xludf.DUMMYFUNCTION("IF(ISBLANK(A28),"""",GOOGLETRANSLATE(A28,""en"",""de""))"),"Risikobewertung und Schwachstellenidentifizierung sind im Bereich Informationssicherheit von entscheidender Bedeutung. Sie helfen bei der Bewertung der finanziellen Bedrohungen innerhalb des IT-Ökosystems und identifizieren potenzielle Gefahren, Complianc"&amp;"e-Strafen und mögliche Geschäftsverluste.")</f>
        <v>Risikobewertung und Schwachstellenidentifizierung sind im Bereich Informationssicherheit von entscheidender Bedeutung. Sie helfen bei der Bewertung der finanziellen Bedrohungen innerhalb des IT-Ökosystems und identifizieren potenzielle Gefahren, Compliance-Strafen und mögliche Geschäftsverluste.</v>
      </c>
    </row>
    <row r="29" spans="1:2" ht="13.2">
      <c r="A29" s="2" t="s">
        <v>504</v>
      </c>
      <c r="B29" s="2" t="str">
        <f ca="1">IFERROR(__xludf.DUMMYFUNCTION("IF(ISBLANK(A29),"""",GOOGLETRANSLATE(A29,""en"",""de""))"),"Unternehmenssicherheit und IT-Risiken")</f>
        <v>Unternehmenssicherheit und IT-Risiken</v>
      </c>
    </row>
    <row r="30" spans="1:2" ht="13.2">
      <c r="A30" s="2" t="s">
        <v>505</v>
      </c>
      <c r="B30" s="2" t="str">
        <f ca="1">IFERROR(__xludf.DUMMYFUNCTION("IF(ISBLANK(A30),"""",GOOGLETRANSLATE(A30,""en"",""de""))"),"Sicherheitsaudits und IT-Risikobewertungen in Unternehmen sind die ersten Abwehrmechanismen zum Schutz kritischer Daten und IT-Ressourcen. Sie helfen Unternehmen dabei, Schwachstellen zu erkennen und angemessene Kontrollen zu implementieren, um potenziell"&amp;"e Bedrohungen zu mindern.")</f>
        <v>Sicherheitsaudits und IT-Risikobewertungen in Unternehmen sind die ersten Abwehrmechanismen zum Schutz kritischer Daten und IT-Ressourcen. Sie helfen Unternehmen dabei, Schwachstellen zu erkennen und angemessene Kontrollen zu implementieren, um potenzielle Bedrohungen zu mindern.</v>
      </c>
    </row>
    <row r="31" spans="1:2" ht="13.2">
      <c r="A31" s="2" t="s">
        <v>506</v>
      </c>
      <c r="B31" s="2" t="str">
        <f ca="1">IFERROR(__xludf.DUMMYFUNCTION("IF(ISBLANK(A31),"""",GOOGLETRANSLATE(A31,""en"",""de""))"),"Prävention &amp; Überwachung")</f>
        <v>Prävention &amp; Überwachung</v>
      </c>
    </row>
    <row r="32" spans="1:2" ht="13.2">
      <c r="A32" s="2" t="s">
        <v>507</v>
      </c>
      <c r="B32" s="2" t="str">
        <f ca="1">IFERROR(__xludf.DUMMYFUNCTION("IF(ISBLANK(A32),"""",GOOGLETRANSLATE(A32,""en"",""de""))"),"Herkömmliche Sicherheitsmaßnahmen können mit komplexen Cyberbedrohungen oft nicht Schritt halten und verursachen Millionenverluste durch Cyberangriffe. NETSOL unterstützt Sie bei der Prävention und Überwachung Ihres Ökosystems und gewährleistet Zuverlässi"&amp;"gkeit durch eine solide Abwehr böswilliger Angriffe.")</f>
        <v>Herkömmliche Sicherheitsmaßnahmen können mit komplexen Cyberbedrohungen oft nicht Schritt halten und verursachen Millionenverluste durch Cyberangriffe. NETSOL unterstützt Sie bei der Prävention und Überwachung Ihres Ökosystems und gewährleistet Zuverlässigkeit durch eine solide Abwehr böswilliger Angriffe.</v>
      </c>
    </row>
    <row r="33" spans="1:2" ht="13.2">
      <c r="A33" s="2" t="s">
        <v>508</v>
      </c>
      <c r="B33" s="2" t="str">
        <f ca="1">IFERROR(__xludf.DUMMYFUNCTION("IF(ISBLANK(A33),"""",GOOGLETRANSLATE(A33,""en"",""de""))"),"SIEM- und SOAR-Implementierungen")</f>
        <v>SIEM- und SOAR-Implementierungen</v>
      </c>
    </row>
    <row r="34" spans="1:2" ht="13.2">
      <c r="A34" s="2" t="s">
        <v>509</v>
      </c>
      <c r="B34" s="2" t="str">
        <f ca="1">IFERROR(__xludf.DUMMYFUNCTION("IF(ISBLANK(A34),"""",GOOGLETRANSLATE(A34,""en"",""de""))"),"SIEM und SOAR optimieren Sicherheitsbetriebszentren, indem sie ihre Fähigkeiten zur Erkennung, Analyse, Reaktion und Prävention von Cybersicherheitsvorfällen verbessern. Mit KI in der Informationssicherheit können Unternehmen Bedrohungen besser erkennen u"&amp;"nd dynamisch auf bösartige Angriffe reagieren.")</f>
        <v>SIEM und SOAR optimieren Sicherheitsbetriebszentren, indem sie ihre Fähigkeiten zur Erkennung, Analyse, Reaktion und Prävention von Cybersicherheitsvorfällen verbessern. Mit KI in der Informationssicherheit können Unternehmen Bedrohungen besser erkennen und dynamisch auf bösartige Angriffe reagieren.</v>
      </c>
    </row>
    <row r="35" spans="1:2" ht="13.2">
      <c r="A35" s="2" t="s">
        <v>510</v>
      </c>
      <c r="B35" s="2" t="str">
        <f ca="1">IFERROR(__xludf.DUMMYFUNCTION("IF(ISBLANK(A35),"""",GOOGLETRANSLATE(A35,""en"",""de""))"),"Verwaltet (SoC)")</f>
        <v>Verwaltet (SoC)</v>
      </c>
    </row>
    <row r="36" spans="1:2" ht="13.2">
      <c r="A36" s="2" t="s">
        <v>511</v>
      </c>
      <c r="B36" s="2" t="str">
        <f ca="1">IFERROR(__xludf.DUMMYFUNCTION("IF(ISBLANK(A36),"""",GOOGLETRANSLATE(A36,""en"",""de""))"),"Im Gegensatz zu herkömmlichen internen SOCs bieten verwaltete SOCs umfassende Sicherheit, einschließlich Rund-um-die-Uhr-Überwachung und Incident Response. Durch den Einsatz modernster KI-Tools unterstützen wir Unternehmen bei der Automatisierung der Bedr"&amp;"ohungsreaktion und der Verbesserung ihrer Prognosefähigkeiten.")</f>
        <v>Im Gegensatz zu herkömmlichen internen SOCs bieten verwaltete SOCs umfassende Sicherheit, einschließlich Rund-um-die-Uhr-Überwachung und Incident Response. Durch den Einsatz modernster KI-Tools unterstützen wir Unternehmen bei der Automatisierung der Bedrohungsreaktion und der Verbesserung ihrer Prognosefähigkeiten.</v>
      </c>
    </row>
    <row r="37" spans="1:2" ht="13.2">
      <c r="A37" s="2" t="s">
        <v>512</v>
      </c>
      <c r="B37" s="2" t="str">
        <f ca="1">IFERROR(__xludf.DUMMYFUNCTION("IF(ISBLANK(A37),"""",GOOGLETRANSLATE(A37,""en"",""de""))"),"Cloud-Sicherheit")</f>
        <v>Cloud-Sicherheit</v>
      </c>
    </row>
    <row r="38" spans="1:2" ht="13.2">
      <c r="A38" s="2" t="s">
        <v>513</v>
      </c>
      <c r="B38" s="2" t="str">
        <f ca="1">IFERROR(__xludf.DUMMYFUNCTION("IF(ISBLANK(A38),"""",GOOGLETRANSLATE(A38,""en"",""de""))"),"Unternehmen verlagern ihre Geschäftsprozesse zunehmend in Cloud-Umgebungen. Dieser Wandel bringt besondere Herausforderungen beim Schutz von Daten, Anwendungen und Infrastruktur vor Cyberbedrohungen mit sich. Der Einsatz fortschrittlicher IT-Sicherheitslö"&amp;"sungen ist daher unerlässlich.")</f>
        <v>Unternehmen verlagern ihre Geschäftsprozesse zunehmend in Cloud-Umgebungen. Dieser Wandel bringt besondere Herausforderungen beim Schutz von Daten, Anwendungen und Infrastruktur vor Cyberbedrohungen mit sich. Der Einsatz fortschrittlicher IT-Sicherheitslösungen ist daher unerlässlich.</v>
      </c>
    </row>
    <row r="39" spans="1:2" ht="13.2">
      <c r="A39" s="2" t="s">
        <v>112</v>
      </c>
      <c r="B39" s="2" t="str">
        <f ca="1">IFERROR(__xludf.DUMMYFUNCTION("IF(ISBLANK(A39),"""",GOOGLETRANSLATE(A39,""en"",""de""))"),"Reden wir darüber, was als nächstes kommt")</f>
        <v>Reden wir darüber, was als nächstes kommt</v>
      </c>
    </row>
    <row r="40" spans="1:2" ht="13.2">
      <c r="A40" s="2" t="s">
        <v>113</v>
      </c>
      <c r="B40" s="2" t="str">
        <f ca="1">IFERROR(__xludf.DUMMYFUNCTION("IF(ISBLANK(A40),"""",GOOGLETRANSLATE(A40,""en"",""de""))"),"Überdenken Sie, was Ihr Unternehmen mit dem richtigen Partner an Ihrer Seite erreichen kann.")</f>
        <v>Überdenken Sie, was Ihr Unternehmen mit dem richtigen Partner an Ihrer Seite erreichen kann.</v>
      </c>
    </row>
    <row r="41" spans="1:2" ht="13.2">
      <c r="B41" s="2" t="str">
        <f ca="1">IFERROR(__xludf.DUMMYFUNCTION("IF(ISBLANK(A41),"""",GOOGLETRANSLATE(A41,""en"",""de""))"),"")</f>
        <v/>
      </c>
    </row>
    <row r="42" spans="1:2" ht="13.2">
      <c r="A42" s="2" t="s">
        <v>100</v>
      </c>
      <c r="B42" s="2" t="str">
        <f ca="1">IFERROR(__xludf.DUMMYFUNCTION("IF(ISBLANK(A42),"""",GOOGLETRANSLATE(A42,""en"",""de""))"),"Empfohlene Lektüre und Einblicke")</f>
        <v>Empfohlene Lektüre und Einblicke</v>
      </c>
    </row>
    <row r="43" spans="1:2" ht="13.2">
      <c r="A43" s="10" t="s">
        <v>101</v>
      </c>
      <c r="B43" s="2" t="str">
        <f ca="1">IFERROR(__xludf.DUMMYFUNCTION("IF(ISBLANK(A43),"""",GOOGLETRANSLATE(A43,""en"",""de""))"),"Bleiben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44" spans="1:2" ht="13.2">
      <c r="A44" s="2" t="s">
        <v>102</v>
      </c>
      <c r="B44" s="2" t="str">
        <f ca="1">IFERROR(__xludf.DUMMYFUNCTION("IF(ISBLANK(A44),"""",GOOGLETRANSLATE(A44,""en"",""de""))"),"Der Blog")</f>
        <v>Der Blog</v>
      </c>
    </row>
    <row r="45" spans="1:2" ht="13.2">
      <c r="A45" s="2" t="s">
        <v>103</v>
      </c>
      <c r="B45" s="2" t="str">
        <f ca="1">IFERROR(__xludf.DUMMYFUNCTION("IF(ISBLANK(A45),"""",GOOGLETRANSLATE(A45,""en"",""de""))"),"Über das DMS hinaus: Warum die Zukunft des Automobilhandels API-first ist")</f>
        <v>Über das DMS hinaus: Warum die Zukunft des Automobilhandels API-first ist</v>
      </c>
    </row>
    <row r="46" spans="1:2" ht="13.2">
      <c r="A46" s="2" t="s">
        <v>27</v>
      </c>
      <c r="B46" s="2" t="str">
        <f ca="1">IFERROR(__xludf.DUMMYFUNCTION("IF(ISBLANK(A46),"""",GOOGLETRANSLATE(A46,""en"",""de""))"),"Mehr erfahren")</f>
        <v>Mehr erfahren</v>
      </c>
    </row>
    <row r="47" spans="1:2" ht="13.2">
      <c r="B47" s="2" t="str">
        <f ca="1">IFERROR(__xludf.DUMMYFUNCTION("IF(ISBLANK(A47),"""",GOOGLETRANSLATE(A47,""en"",""de""))"),"")</f>
        <v/>
      </c>
    </row>
    <row r="48" spans="1:2" ht="13.2">
      <c r="A48" s="2" t="s">
        <v>104</v>
      </c>
      <c r="B48" s="2" t="str">
        <f ca="1">IFERROR(__xludf.DUMMYFUNCTION("IF(ISBLANK(A48),"""",GOOGLETRANSLATE(A48,""en"",""de""))"),"NETSOL ist auf der GlobalData Automotive Europe Conference and Awards 2025")</f>
        <v>NETSOL ist auf der GlobalData Automotive Europe Conference and Awards 2025</v>
      </c>
    </row>
    <row r="49" spans="1:2" ht="13.2">
      <c r="B49" s="2" t="str">
        <f ca="1">IFERROR(__xludf.DUMMYFUNCTION("IF(ISBLANK(A49),"""",GOOGLETRANSLATE(A49,""en"",""de""))"),"")</f>
        <v/>
      </c>
    </row>
    <row r="50" spans="1:2" ht="13.2">
      <c r="B50" s="2" t="str">
        <f ca="1">IFERROR(__xludf.DUMMYFUNCTION("IF(ISBLANK(A50),"""",GOOGLETRANSLATE(A50,""en"",""de""))"),"")</f>
        <v/>
      </c>
    </row>
    <row r="51" spans="1:2" ht="13.2">
      <c r="A51" s="2" t="s">
        <v>105</v>
      </c>
      <c r="B51" s="2" t="str">
        <f ca="1">IFERROR(__xludf.DUMMYFUNCTION("IF(ISBLANK(A51),"""",GOOGLETRANSLATE(A51,""en"",""de""))"),"NETSOL ist auf dem 25. jährlichen Auto Finance Summit: Die Zukunft der Autofinanzierung vorantreiben")</f>
        <v>NETSOL ist auf dem 25. jährlichen Auto Finance Summit: Die Zukunft der Autofinanzierung vorantreiben</v>
      </c>
    </row>
    <row r="52" spans="1:2" ht="13.2">
      <c r="B52" s="2" t="str">
        <f ca="1">IFERROR(__xludf.DUMMYFUNCTION("IF(ISBLANK(A52),"""",GOOGLETRANSLATE(A52,""en"",""de""))"),"")</f>
        <v/>
      </c>
    </row>
    <row r="53" spans="1:2" ht="13.2">
      <c r="B53" s="2" t="str">
        <f ca="1">IFERROR(__xludf.DUMMYFUNCTION("IF(ISBLANK(A53),"""",GOOGLETRANSLATE(A53,""en"",""de""))"),"")</f>
        <v/>
      </c>
    </row>
    <row r="54" spans="1:2" ht="13.2">
      <c r="A54" s="2" t="s">
        <v>106</v>
      </c>
      <c r="B54" s="2" t="str">
        <f ca="1">IFERROR(__xludf.DUMMYFUNCTION("IF(ISBLANK(A54),"""",GOOGLETRANSLATE(A54,""en"",""de""))"),"NETSOL ist beim Digital Dealer 2025 dabei: Wir stärken die Zukunft des Automobilhandels")</f>
        <v>NETSOL ist beim Digital Dealer 2025 dabei: Wir stärken die Zukunft des Automobilhandels</v>
      </c>
    </row>
    <row r="55" spans="1:2" ht="13.2">
      <c r="B55" s="2" t="str">
        <f ca="1">IFERROR(__xludf.DUMMYFUNCTION("IF(ISBLANK(A55),"""",GOOGLETRANSLATE(A55,""en"",""de""))"),"")</f>
        <v/>
      </c>
    </row>
    <row r="56" spans="1:2" ht="13.2">
      <c r="B56" s="2" t="str">
        <f ca="1">IFERROR(__xludf.DUMMYFUNCTION("IF(ISBLANK(A56),"""",GOOGLETRANSLATE(A56,""en"",""de""))"),"")</f>
        <v/>
      </c>
    </row>
    <row r="57" spans="1:2" ht="13.2">
      <c r="A57" s="6" t="s">
        <v>107</v>
      </c>
      <c r="B57" s="2" t="str">
        <f ca="1">IFERROR(__xludf.DUMMYFUNCTION("IF(ISBLANK(A57),"""",GOOGLETRANSLATE(A57,""en"",""de""))"),"KI im BFSI: Revolutionierung des Risikomanagements")</f>
        <v>KI im BFSI: Revolutionierung des Risikomanagements</v>
      </c>
    </row>
    <row r="58" spans="1:2" ht="13.2">
      <c r="B58" s="2" t="str">
        <f ca="1">IFERROR(__xludf.DUMMYFUNCTION("IF(ISBLANK(A58),"""",GOOGLETRANSLATE(A58,""en"",""de""))"),"")</f>
        <v/>
      </c>
    </row>
    <row r="59" spans="1:2" ht="13.2">
      <c r="B59" s="2" t="str">
        <f ca="1">IFERROR(__xludf.DUMMYFUNCTION("IF(ISBLANK(A59),"""",GOOGLETRANSLATE(A59,""en"",""de""))"),"")</f>
        <v/>
      </c>
    </row>
    <row r="60" spans="1:2" ht="13.2">
      <c r="A60" s="2" t="s">
        <v>108</v>
      </c>
      <c r="B60" s="2" t="str">
        <f ca="1">IFERROR(__xludf.DUMMYFUNCTION("IF(ISBLANK(A60),"""",GOOGLETRANSLATE(A60,""en"",""de""))"),"Die Bedeutung der Personalisierung im Kundenservice: Maßgeschneidertes Zahlungs- und Streitbeilegungsmanagement für Kunden")</f>
        <v>Die Bedeutung der Personalisierung im Kundenservice: Maßgeschneidertes Zahlungs- und Streitbeilegungsmanagement für Kunden</v>
      </c>
    </row>
    <row r="61" spans="1:2" ht="13.2">
      <c r="B61" s="2" t="str">
        <f ca="1">IFERROR(__xludf.DUMMYFUNCTION("IF(ISBLANK(A61),"""",GOOGLETRANSLATE(A61,""en"",""de""))"),"")</f>
        <v/>
      </c>
    </row>
    <row r="62" spans="1:2" ht="13.2">
      <c r="B62" s="2" t="str">
        <f ca="1">IFERROR(__xludf.DUMMYFUNCTION("IF(ISBLANK(A62),"""",GOOGLETRANSLATE(A62,""en"",""de""))"),"")</f>
        <v/>
      </c>
    </row>
    <row r="63" spans="1:2" ht="13.2">
      <c r="A63" s="2" t="s">
        <v>109</v>
      </c>
      <c r="B63" s="2" t="str">
        <f ca="1">IFERROR(__xludf.DUMMYFUNCTION("IF(ISBLANK(A63),"""",GOOGLETRANSLATE(A63,""en"",""de""))"),"Die wahren Kosten getrennter Systeme im Autohandel")</f>
        <v>Die wahren Kosten getrennter Systeme im Autohandel</v>
      </c>
    </row>
    <row r="64" spans="1:2" ht="13.2">
      <c r="B64" s="2" t="str">
        <f ca="1">IFERROR(__xludf.DUMMYFUNCTION("IF(ISBLANK(A64),"""",GOOGLETRANSLATE(A64,""en"",""de""))"),"")</f>
        <v/>
      </c>
    </row>
    <row r="65" spans="1:2" ht="13.2">
      <c r="B65" s="2" t="str">
        <f ca="1">IFERROR(__xludf.DUMMYFUNCTION("IF(ISBLANK(A65),"""",GOOGLETRANSLATE(A65,""en"",""de""))"),"")</f>
        <v/>
      </c>
    </row>
    <row r="66" spans="1:2" ht="13.2">
      <c r="A66" s="2" t="s">
        <v>110</v>
      </c>
      <c r="B66" s="2" t="str">
        <f ca="1">IFERROR(__xludf.DUMMYFUNCTION("IF(ISBLANK(A66),"""",GOOGLETRANSLATE(A66,""en"",""de""))"),"Captive der Zukunft: Wie Technologie Captive-Finanzierungsgeschäfte neu definiert – Wichtige Erkenntnisse aus dem Webinar der AFSA")</f>
        <v>Captive der Zukunft: Wie Technologie Captive-Finanzierungsgeschäfte neu definiert – Wichtige Erkenntnisse aus dem Webinar der AFSA</v>
      </c>
    </row>
    <row r="67" spans="1:2" ht="13.2">
      <c r="B67" s="2" t="str">
        <f ca="1">IFERROR(__xludf.DUMMYFUNCTION("IF(ISBLANK(A67),"""",GOOGLETRANSLATE(A67,""en"",""de""))"),"")</f>
        <v/>
      </c>
    </row>
    <row r="68" spans="1:2" ht="13.2">
      <c r="B68" s="2" t="str">
        <f ca="1">IFERROR(__xludf.DUMMYFUNCTION("IF(ISBLANK(A68),"""",GOOGLETRANSLATE(A68,""en"",""de""))"),"")</f>
        <v/>
      </c>
    </row>
    <row r="69" spans="1:2" ht="13.2">
      <c r="A69" s="2" t="s">
        <v>111</v>
      </c>
      <c r="B69" s="2" t="str">
        <f ca="1">IFERROR(__xludf.DUMMYFUNCTION("IF(ISBLANK(A69),"""",GOOGLETRANSLATE(A69,""en"",""de""))"),"Betrugsbekämpfung im Großkundengeschäft: Technologie zur Früherkennung und Risikominderung")</f>
        <v>Betrugsbekämpfung im Großkundengeschäft: Technologie zur Früherkennung und Risikominderung</v>
      </c>
    </row>
    <row r="70" spans="1:2" ht="13.2">
      <c r="B70" s="2" t="str">
        <f ca="1">IFERROR(__xludf.DUMMYFUNCTION("IF(ISBLANK(A70),"""",GOOGLETRANSLATE(A70,""en"",""de""))"),"")</f>
        <v/>
      </c>
    </row>
    <row r="71" spans="1:2" ht="13.2">
      <c r="A71" s="2" t="s">
        <v>114</v>
      </c>
      <c r="B71" s="2" t="str">
        <f ca="1">IFERROR(__xludf.DUMMYFUNCTION("IF(ISBLANK(A71),"""",GOOGLETRANSLATE(A71,""en"",""de""))"),"Abonnieren Sie unseren Newsletter, um die neuesten Nachrichten in Ihrem Posteingang zu erhalten.")</f>
        <v>Abonnieren Sie unseren Newsletter, um die neuesten Nachrichten in Ihrem Posteingang zu erhalten.</v>
      </c>
    </row>
    <row r="72" spans="1:2" ht="13.2">
      <c r="A72" s="2" t="s">
        <v>115</v>
      </c>
      <c r="B72" s="2" t="str">
        <f ca="1">IFERROR(__xludf.DUMMYFUNCTION("IF(ISBLANK(A72),"""",GOOGLETRANSLATE(A72,""en"",""de""))"),"abc@example.com")</f>
        <v>abc@example.com</v>
      </c>
    </row>
    <row r="73" spans="1:2" ht="13.2">
      <c r="A73" s="2" t="s">
        <v>116</v>
      </c>
      <c r="B73" s="2" t="str">
        <f ca="1">IFERROR(__xludf.DUMMYFUNCTION("IF(ISBLANK(A73),"""",GOOGLETRANSLATE(A73,""en"",""de""))"),"Abonnieren ")</f>
        <v xml:space="preserve">Abonnieren </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75"/>
  <sheetViews>
    <sheetView topLeftCell="A50" workbookViewId="0">
      <selection activeCell="B23" sqref="B23"/>
    </sheetView>
  </sheetViews>
  <sheetFormatPr defaultColWidth="12.5546875" defaultRowHeight="15.75" customHeight="1"/>
  <cols>
    <col min="1" max="1" width="113.44140625" customWidth="1"/>
  </cols>
  <sheetData>
    <row r="1" spans="1:2" ht="13.2">
      <c r="A1" s="1" t="s">
        <v>0</v>
      </c>
      <c r="B1" s="1" t="s">
        <v>1</v>
      </c>
    </row>
    <row r="2" spans="1:2" ht="15.75" customHeight="1">
      <c r="A2" s="2" t="s">
        <v>137</v>
      </c>
      <c r="B2" s="2" t="str">
        <f ca="1">IFERROR(__xludf.DUMMYFUNCTION("IF(ISBLANK(A2),"""",GOOGLETRANSLATE(A2,""en"",""de""))"),"Digitale Lösungen")</f>
        <v>Digitale Lösungen</v>
      </c>
    </row>
    <row r="3" spans="1:2" ht="15.75" customHeight="1">
      <c r="A3" s="2" t="s">
        <v>514</v>
      </c>
      <c r="B3" s="2" t="str">
        <f ca="1">IFERROR(__xludf.DUMMYFUNCTION("IF(ISBLANK(A3),"""",GOOGLETRANSLATE(A3,""en"",""de""))"),"Wir stärken Ihre digitale Zukunft")</f>
        <v>Wir stärken Ihre digitale Zukunft</v>
      </c>
    </row>
    <row r="4" spans="1:2" ht="15.75" customHeight="1">
      <c r="A4" s="2" t="s">
        <v>515</v>
      </c>
      <c r="B4" s="2" t="str">
        <f ca="1">IFERROR(__xludf.DUMMYFUNCTION("IF(ISBLANK(A4),"""",GOOGLETRANSLATE(A4,""en"",""de""))"),"Steigern Sie Ihren Erfolg durch strategische Talentpartnerschaftsdienste und digitale Lösungen der nächsten Generation.")</f>
        <v>Steigern Sie Ihren Erfolg durch strategische Talentpartnerschaftsdienste und digitale Lösungen der nächsten Generation.</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516</v>
      </c>
      <c r="B7" s="2" t="str">
        <f ca="1">IFERROR(__xludf.DUMMYFUNCTION("IF(ISBLANK(A7),"""",GOOGLETRANSLATE(A7,""en"",""de""))"),"Zukunft der Technologie")</f>
        <v>Zukunft der Technologie</v>
      </c>
    </row>
    <row r="8" spans="1:2" ht="15.75" customHeight="1">
      <c r="B8" s="2" t="str">
        <f ca="1">IFERROR(__xludf.DUMMYFUNCTION("IF(ISBLANK(A8),"""",GOOGLETRANSLATE(A8,""en"",""de""))"),"")</f>
        <v/>
      </c>
    </row>
    <row r="9" spans="1:2" ht="15.75" customHeight="1">
      <c r="A9" s="2" t="s">
        <v>517</v>
      </c>
      <c r="B9" s="2" t="str">
        <f ca="1">IFERROR(__xludf.DUMMYFUNCTION("IF(ISBLANK(A9),"""",GOOGLETRANSLATE(A9,""en"",""de""))"),"Über die Automatisierung hinaus: Mit digitalen Lösungen Innovationen anstoßen")</f>
        <v>Über die Automatisierung hinaus: Mit digitalen Lösungen Innovationen anstoßen</v>
      </c>
    </row>
    <row r="10" spans="1:2" ht="15.75" customHeight="1">
      <c r="A10" s="2" t="s">
        <v>518</v>
      </c>
      <c r="B10" s="2" t="str">
        <f ca="1">IFERROR(__xludf.DUMMYFUNCTION("IF(ISBLANK(A10),"""",GOOGLETRANSLATE(A10,""en"",""de""))"),"Unternehmen prägen den Wandel mit Talentmanagement-Lösungen und erleben exponentielles Wachstum und technologische Revolution. Daten und KI erweitern menschliche Expertise und Intelligenz. NETSOL erschließt eine neue Dimension der Arbeitsstruktur und über"&amp;"brückt die Lücke zwischen menschlichem und digitalem Potenzial. Als Ihr digitaler Technologiepartner fördern wir Innovation und Agilität, statten Sie mit beispiellosen Talenten aus, erschließen das Potenzial Ihres Unternehmens und treiben Ihre Projekte mi"&amp;"t unübertroffener Geschwindigkeit voran.")</f>
        <v>Unternehmen prägen den Wandel mit Talentmanagement-Lösungen und erleben exponentielles Wachstum und technologische Revolution. Daten und KI erweitern menschliche Expertise und Intelligenz. NETSOL erschließt eine neue Dimension der Arbeitsstruktur und überbrückt die Lücke zwischen menschlichem und digitalem Potenzial. Als Ihr digitaler Technologiepartner fördern wir Innovation und Agilität, statten Sie mit beispiellosen Talenten aus, erschließen das Potenzial Ihres Unternehmens und treiben Ihre Projekte mit unübertroffener Geschwindigkeit voran.</v>
      </c>
    </row>
    <row r="11" spans="1:2" ht="15.75" customHeight="1">
      <c r="A11" s="2" t="s">
        <v>519</v>
      </c>
      <c r="B11" s="2" t="str">
        <f ca="1">IFERROR(__xludf.DUMMYFUNCTION("IF(ISBLANK(A11),"""",GOOGLETRANSLATE(A11,""en"",""de""))"),"Innere Kündigung")</f>
        <v>Innere Kündigung</v>
      </c>
    </row>
    <row r="12" spans="1:2" ht="15.75" customHeight="1">
      <c r="A12" s="2" t="s">
        <v>520</v>
      </c>
      <c r="B12" s="2" t="str">
        <f ca="1">IFERROR(__xludf.DUMMYFUNCTION("IF(ISBLANK(A12),"""",GOOGLETRANSLATE(A12,""en"",""de""))"),"Im Jahr 2024 ist das „stille Kündigen“ zu einem Trend geworden, bei dem über 50 % der Arbeitnehmer nicht bereit sind, zusätzliche Anstrengungen zu unternehmen.")</f>
        <v>Im Jahr 2024 ist das „stille Kündigen“ zu einem Trend geworden, bei dem über 50 % der Arbeitnehmer nicht bereit sind, zusätzliche Anstrengungen zu unternehmen.</v>
      </c>
    </row>
    <row r="13" spans="1:2" ht="15.75" customHeight="1">
      <c r="A13" s="2" t="s">
        <v>521</v>
      </c>
      <c r="B13" s="2" t="str">
        <f ca="1">IFERROR(__xludf.DUMMYFUNCTION("IF(ISBLANK(A13),"""",GOOGLETRANSLATE(A13,""en"",""de""))"),"Ausbildungsunterschiede")</f>
        <v>Ausbildungsunterschiede</v>
      </c>
    </row>
    <row r="14" spans="1:2" ht="15.75" customHeight="1">
      <c r="A14" s="2" t="s">
        <v>522</v>
      </c>
      <c r="B14" s="2" t="str">
        <f ca="1">IFERROR(__xludf.DUMMYFUNCTION("IF(ISBLANK(A14),"""",GOOGLETRANSLATE(A14,""en"",""de""))"),"36 % der Unternehmen bieten ihren Mitarbeitern vierteljährliche Schulungen an, aber nur 5 % bieten grundlegende Schulungsprogramme an.")</f>
        <v>36 % der Unternehmen bieten ihren Mitarbeitern vierteljährliche Schulungen an, aber nur 5 % bieten grundlegende Schulungsprogramme an.</v>
      </c>
    </row>
    <row r="15" spans="1:2" ht="15.75" customHeight="1">
      <c r="A15" s="2" t="s">
        <v>523</v>
      </c>
      <c r="B15" s="2" t="str">
        <f ca="1">IFERROR(__xludf.DUMMYFUNCTION("IF(ISBLANK(A15),"""",GOOGLETRANSLATE(A15,""en"",""de""))"),"Managementversagen")</f>
        <v>Managementversagen</v>
      </c>
    </row>
    <row r="16" spans="1:2" ht="15.75" customHeight="1">
      <c r="A16" s="2" t="s">
        <v>524</v>
      </c>
      <c r="B16" s="2" t="str">
        <f ca="1">IFERROR(__xludf.DUMMYFUNCTION("IF(ISBLANK(A16),"""",GOOGLETRANSLATE(A16,""en"",""de""))"),"Durch schlechtes Management verlieren Unternehmen jährlich über 450 Milliarden US-Dollar an Produktivität.")</f>
        <v>Durch schlechtes Management verlieren Unternehmen jährlich über 450 Milliarden US-Dollar an Produktivität.</v>
      </c>
    </row>
    <row r="17" spans="1:2" ht="15.75" customHeight="1">
      <c r="A17" s="2" t="s">
        <v>525</v>
      </c>
      <c r="B17" s="2" t="str">
        <f ca="1">IFERROR(__xludf.DUMMYFUNCTION("IF(ISBLANK(A17),"""",GOOGLETRANSLATE(A17,""en"",""de""))"),"Auswirkungen des Interviews")</f>
        <v>Auswirkungen des Interviews</v>
      </c>
    </row>
    <row r="18" spans="1:2" ht="15.75" customHeight="1">
      <c r="A18" s="2" t="s">
        <v>526</v>
      </c>
      <c r="B18" s="2" t="str">
        <f ca="1">IFERROR(__xludf.DUMMYFUNCTION("IF(ISBLANK(A18),"""",GOOGLETRANSLATE(A18,""en"",""de""))"),"65 % der Arbeitnehmer verlieren aufgrund eines schlechten Vorstellungsgesprächs das Interesse an einer Stelle.")</f>
        <v>65 % der Arbeitnehmer verlieren aufgrund eines schlechten Vorstellungsgesprächs das Interesse an einer Stelle.</v>
      </c>
    </row>
    <row r="19" spans="1:2" ht="15.75" customHeight="1">
      <c r="A19" s="2" t="s">
        <v>527</v>
      </c>
      <c r="B19" s="2" t="str">
        <f ca="1">IFERROR(__xludf.DUMMYFUNCTION("IF(ISBLANK(A19),"""",GOOGLETRANSLATE(A19,""en"",""de""))"),"KI-gestützte Einblicke in digitale Lösungen und Talent-Partnerschaftsdienste")</f>
        <v>KI-gestützte Einblicke in digitale Lösungen und Talent-Partnerschaftsdienste</v>
      </c>
    </row>
    <row r="20" spans="1:2" ht="15.75" customHeight="1">
      <c r="A20" s="2" t="s">
        <v>485</v>
      </c>
      <c r="B20" s="2" t="str">
        <f ca="1">IFERROR(__xludf.DUMMYFUNCTION("IF(ISBLANK(A20),"""",GOOGLETRANSLATE(A20,""en"",""de""))"),"NETSOL bietet risikoorientierte Sicherheitsstrategien zum Schutz Ihrer Daten, zur Gewährleistung der Compliance und zur Verbesserung der betrieblichen Agilität.")</f>
        <v>NETSOL bietet risikoorientierte Sicherheitsstrategien zum Schutz Ihrer Daten, zur Gewährleistung der Compliance und zur Verbesserung der betrieblichen Agilität.</v>
      </c>
    </row>
    <row r="21" spans="1:2" ht="15.75" customHeight="1">
      <c r="B21" s="2" t="str">
        <f ca="1">IFERROR(__xludf.DUMMYFUNCTION("IF(ISBLANK(A21),"""",GOOGLETRANSLATE(A21,""en"",""de""))"),"")</f>
        <v/>
      </c>
    </row>
    <row r="22" spans="1:2" ht="15.75" customHeight="1">
      <c r="A22" s="2" t="s">
        <v>528</v>
      </c>
      <c r="B22" s="2" t="str">
        <f ca="1">IFERROR(__xludf.DUMMYFUNCTION("IF(ISBLANK(A22),"""",GOOGLETRANSLATE(A22,""en"",""de""))"),"8-mal mehr Erfolg")</f>
        <v>8-mal mehr Erfolg</v>
      </c>
    </row>
    <row r="23" spans="1:2" ht="15.75" customHeight="1">
      <c r="A23" s="2" t="s">
        <v>529</v>
      </c>
      <c r="B23" s="2" t="str">
        <f ca="1">IFERROR(__xludf.DUMMYFUNCTION("IF(ISBLANK(A23),"""",GOOGLETRANSLATE(A23,""en"",""de""))"),"Unternehmen, die eine hohe digitale Reife mit betrieblicher Effizienz erreichen, haben eine achtmal höhere Wahrscheinlichkeit, ihre Konkurrenten auszustechen.")</f>
        <v>Unternehmen, die eine hohe digitale Reife mit betrieblicher Effizienz erreichen, haben eine achtmal höhere Wahrscheinlichkeit, ihre Konkurrenten auszustechen.</v>
      </c>
    </row>
    <row r="24" spans="1:2" ht="13.2">
      <c r="A24" s="2" t="s">
        <v>530</v>
      </c>
      <c r="B24" s="2" t="str">
        <f ca="1">IFERROR(__xludf.DUMMYFUNCTION("IF(ISBLANK(A24),"""",GOOGLETRANSLATE(A24,""en"",""de""))"),"50 % Kostenersparnis")</f>
        <v>50 % Kostenersparnis</v>
      </c>
    </row>
    <row r="25" spans="1:2" ht="13.2">
      <c r="A25" s="2" t="s">
        <v>531</v>
      </c>
      <c r="B25" s="2" t="str">
        <f ca="1">IFERROR(__xludf.DUMMYFUNCTION("IF(ISBLANK(A25),"""",GOOGLETRANSLATE(A25,""en"",""de""))"),"Das effiziente On-Demand-Marketingteam von NETSOL spart im Vergleich zu internen Mitarbeitern 50 % der Kosten.")</f>
        <v>Das effiziente On-Demand-Marketingteam von NETSOL spart im Vergleich zu internen Mitarbeitern 50 % der Kosten.</v>
      </c>
    </row>
    <row r="26" spans="1:2" ht="13.2">
      <c r="A26" s="2" t="s">
        <v>532</v>
      </c>
      <c r="B26" s="2" t="str">
        <f ca="1">IFERROR(__xludf.DUMMYFUNCTION("IF(ISBLANK(A26),"""",GOOGLETRANSLATE(A26,""en"",""de""))"),"44 % innovationsbereit")</f>
        <v>44 % innovationsbereit</v>
      </c>
    </row>
    <row r="27" spans="1:2" ht="13.2">
      <c r="A27" s="2" t="s">
        <v>533</v>
      </c>
      <c r="B27" s="2" t="str">
        <f ca="1">IFERROR(__xludf.DUMMYFUNCTION("IF(ISBLANK(A27),"""",GOOGLETRANSLATE(A27,""en"",""de""))"),"Fast 87 % der Unternehmen sind sich einig, dass die digitale Revolution ihre Branche revolutionieren könnte. Allerdings sind nur 44 % bereit, sich darauf einzulassen.")</f>
        <v>Fast 87 % der Unternehmen sind sich einig, dass die digitale Revolution ihre Branche revolutionieren könnte. Allerdings sind nur 44 % bereit, sich darauf einzulassen.</v>
      </c>
    </row>
    <row r="28" spans="1:2" ht="13.2">
      <c r="A28" s="2" t="s">
        <v>534</v>
      </c>
      <c r="B28" s="2" t="str">
        <f ca="1">IFERROR(__xludf.DUMMYFUNCTION("IF(ISBLANK(A28),"""",GOOGLETRANSLATE(A28,""en"",""de""))"),"Unübertroffene digitale Innovation und Talentpartnerschaftsdienste")</f>
        <v>Unübertroffene digitale Innovation und Talentpartnerschaftsdienste</v>
      </c>
    </row>
    <row r="29" spans="1:2" ht="13.2">
      <c r="A29" s="2" t="s">
        <v>535</v>
      </c>
      <c r="B29" s="2" t="str">
        <f ca="1">IFERROR(__xludf.DUMMYFUNCTION("IF(ISBLANK(A29),"""",GOOGLETRANSLATE(A29,""en"",""de""))"),"Dienstleistungen zur digitalen Transformation")</f>
        <v>Dienstleistungen zur digitalen Transformation</v>
      </c>
    </row>
    <row r="30" spans="1:2" ht="13.2">
      <c r="A30" s="2" t="s">
        <v>536</v>
      </c>
      <c r="B30" s="2" t="str">
        <f ca="1">IFERROR(__xludf.DUMMYFUNCTION("IF(ISBLANK(A30),"""",GOOGLETRANSLATE(A30,""en"",""de""))"),"Die Bewältigung digitaler Transformation und Sicherheitsbedrohungen erfordert fachkundige Beratung. NETSOL entwickelt Strategien mit KI, Cybersicherheit und agilem Projektmanagement. Nutzen Sie KI-Tools, Automatisierung, prädiktive Analysen und Weiterbild"&amp;"ung, um Effizienz und Produktivität zu steigern.")</f>
        <v>Die Bewältigung digitaler Transformation und Sicherheitsbedrohungen erfordert fachkundige Beratung. NETSOL entwickelt Strategien mit KI, Cybersicherheit und agilem Projektmanagement. Nutzen Sie KI-Tools, Automatisierung, prädiktive Analysen und Weiterbildung, um Effizienz und Produktivität zu steigern.</v>
      </c>
    </row>
    <row r="31" spans="1:2" ht="13.2">
      <c r="A31" s="2" t="s">
        <v>537</v>
      </c>
      <c r="B31" s="2" t="str">
        <f ca="1">IFERROR(__xludf.DUMMYFUNCTION("IF(ISBLANK(A31),"""",GOOGLETRANSLATE(A31,""en"",""de""))"),"Ressourcenerweiterung")</f>
        <v>Ressourcenerweiterung</v>
      </c>
    </row>
    <row r="32" spans="1:2" ht="13.2">
      <c r="A32" s="2" t="s">
        <v>538</v>
      </c>
      <c r="B32" s="2" t="str">
        <f ca="1">IFERROR(__xludf.DUMMYFUNCTION("IF(ISBLANK(A32),"""",GOOGLETRANSLATE(A32,""en"",""de""))"),"Für ein leistungsstarkes Team benötigen Sie die besten technischen Talente. Mit NETSOL überwinden Sie geografische Grenzen und finden die richtigen Talente – mit unserer Onshore-, Nearshore- und Offshore-Ressourcenerweiterung. So können Sie die besten Tal"&amp;"ente einstellen.")</f>
        <v>Für ein leistungsstarkes Team benötigen Sie die besten technischen Talente. Mit NETSOL überwinden Sie geografische Grenzen und finden die richtigen Talente – mit unserer Onshore-, Nearshore- und Offshore-Ressourcenerweiterung. So können Sie die besten Talente einstellen.</v>
      </c>
    </row>
    <row r="33" spans="1:2" ht="13.2">
      <c r="A33" s="2" t="s">
        <v>539</v>
      </c>
      <c r="B33" s="2" t="str">
        <f ca="1">IFERROR(__xludf.DUMMYFUNCTION("IF(ISBLANK(A33),"""",GOOGLETRANSLATE(A33,""en"",""de""))"),"Support-Dienste")</f>
        <v>Support-Dienste</v>
      </c>
    </row>
    <row r="34" spans="1:2" ht="13.2">
      <c r="A34" s="2" t="s">
        <v>540</v>
      </c>
      <c r="B34" s="2" t="str">
        <f ca="1">IFERROR(__xludf.DUMMYFUNCTION("IF(ISBLANK(A34),"""",GOOGLETRANSLATE(A34,""en"",""de""))"),"Reibungslose Abläufe und außergewöhnlicher Kundensupport sind für das Wachstum Ihres Unternehmens von entscheidender Bedeutung. Mit unseren digitalen Partnerschaften optimieren wir die Effizienz, indem wir KI-gestützte, proaktive Wartung und Verwaltung so"&amp;"wie Serviceschulungen für Ihre Marke nutzen.")</f>
        <v>Reibungslose Abläufe und außergewöhnlicher Kundensupport sind für das Wachstum Ihres Unternehmens von entscheidender Bedeutung. Mit unseren digitalen Partnerschaften optimieren wir die Effizienz, indem wir KI-gestützte, proaktive Wartung und Verwaltung sowie Serviceschulungen für Ihre Marke nutzen.</v>
      </c>
    </row>
    <row r="35" spans="1:2" ht="13.2">
      <c r="A35" s="2" t="s">
        <v>541</v>
      </c>
      <c r="B35" s="2" t="str">
        <f ca="1">IFERROR(__xludf.DUMMYFUNCTION("IF(ISBLANK(A35),"""",GOOGLETRANSLATE(A35,""en"",""de""))"),"Jira-Migration und -Schulung")</f>
        <v>Jira-Migration und -Schulung</v>
      </c>
    </row>
    <row r="36" spans="1:2" ht="13.2">
      <c r="A36" s="2" t="s">
        <v>542</v>
      </c>
      <c r="B36" s="2" t="str">
        <f ca="1">IFERROR(__xludf.DUMMYFUNCTION("IF(ISBLANK(A36),"""",GOOGLETRANSLATE(A36,""en"",""de""))"),"Die Implementierung, Migration und Beherrschung von Jira in dieser agilen Entwicklungsumgebung kann komplex sein. NETSOL unterstützt Ihr Unternehmen mit intelligenter Konfiguration und Workflow-Automatisierung, unterbrechungsfreier Datenmigration sowie KI"&amp;"-gestützter Schulung und Benutzerakzeptanz.")</f>
        <v>Die Implementierung, Migration und Beherrschung von Jira in dieser agilen Entwicklungsumgebung kann komplex sein. NETSOL unterstützt Ihr Unternehmen mit intelligenter Konfiguration und Workflow-Automatisierung, unterbrechungsfreier Datenmigration sowie KI-gestützter Schulung und Benutzerakzeptanz.</v>
      </c>
    </row>
    <row r="37" spans="1:2" ht="13.2">
      <c r="A37" s="2" t="s">
        <v>543</v>
      </c>
      <c r="B37" s="2" t="str">
        <f ca="1">IFERROR(__xludf.DUMMYFUNCTION("IF(ISBLANK(A37),"""",GOOGLETRANSLATE(A37,""en"",""de""))"),"Aus- und Weiterbildung")</f>
        <v>Aus- und Weiterbildung</v>
      </c>
    </row>
    <row r="38" spans="1:2" ht="13.2">
      <c r="A38" s="2" t="s">
        <v>544</v>
      </c>
      <c r="B38" s="2" t="str">
        <f ca="1">IFERROR(__xludf.DUMMYFUNCTION("IF(ISBLANK(A38),"""",GOOGLETRANSLATE(A38,""en"",""de""))"),"Kontinuierliches Lernen und Weiterentwicklung sind für ein optimiertes Entwicklungssystem unerlässlich. Erschließen Sie personalisierte Lernprozesse, indem Sie Kompetenzlücken analysieren und adaptives Lernen, Mikrolernen und Echtzeit-Leistungsmanagement "&amp;"mit uns integrieren.")</f>
        <v>Kontinuierliches Lernen und Weiterentwicklung sind für ein optimiertes Entwicklungssystem unerlässlich. Erschließen Sie personalisierte Lernprozesse, indem Sie Kompetenzlücken analysieren und adaptives Lernen, Mikrolernen und Echtzeit-Leistungsmanagement mit uns integrieren.</v>
      </c>
    </row>
    <row r="39" spans="1:2" ht="13.2">
      <c r="A39" s="2" t="s">
        <v>545</v>
      </c>
      <c r="B39" s="2" t="str">
        <f ca="1">IFERROR(__xludf.DUMMYFUNCTION("IF(ISBLANK(A39),"""",GOOGLETRANSLATE(A39,""en"",""de""))"),"Technische Dienstleistungen und Lösungen")</f>
        <v>Technische Dienstleistungen und Lösungen</v>
      </c>
    </row>
    <row r="40" spans="1:2" ht="13.2">
      <c r="A40" s="2" t="s">
        <v>546</v>
      </c>
      <c r="B40" s="2" t="str">
        <f ca="1">IFERROR(__xludf.DUMMYFUNCTION("IF(ISBLANK(A40),"""",GOOGLETRANSLATE(A40,""en"",""de""))"),"Die Verwaltung technischer Services erfordert Fachwissen. Mit unseren digitalen Beratungs- und Talentlösungen stärken Sie Ihr Unternehmen mit KI-gestütztem Infrastrukturmanagement, Entwicklung und Automatisierung, zukunftssicherer technologischer Revoluti"&amp;"on und KI-gestützter Problemlösung.")</f>
        <v>Die Verwaltung technischer Services erfordert Fachwissen. Mit unseren digitalen Beratungs- und Talentlösungen stärken Sie Ihr Unternehmen mit KI-gestütztem Infrastrukturmanagement, Entwicklung und Automatisierung, zukunftssicherer technologischer Revolution und KI-gestützter Problemlösung.</v>
      </c>
    </row>
    <row r="41" spans="1:2" ht="13.2">
      <c r="A41" s="2" t="s">
        <v>112</v>
      </c>
      <c r="B41" s="2" t="str">
        <f ca="1">IFERROR(__xludf.DUMMYFUNCTION("IF(ISBLANK(A41),"""",GOOGLETRANSLATE(A41,""en"",""de""))"),"Reden wir darüber, was als nächstes kommt")</f>
        <v>Reden wir darüber, was als nächstes kommt</v>
      </c>
    </row>
    <row r="42" spans="1:2" ht="13.2">
      <c r="A42" s="2" t="s">
        <v>547</v>
      </c>
      <c r="B42" s="2" t="str">
        <f ca="1">IFERROR(__xludf.DUMMYFUNCTION("IF(ISBLANK(A42),"""",GOOGLETRANSLATE(A42,""en"",""de""))"),"Stärken Sie Ihre digitale Reise und erschließen Sie grenzenloses Potenzial durch strategische Talentpartnerschaften.")</f>
        <v>Stärken Sie Ihre digitale Reise und erschließen Sie grenzenloses Potenzial durch strategische Talentpartnerschaften.</v>
      </c>
    </row>
    <row r="43" spans="1:2" ht="13.2">
      <c r="B43" s="2" t="str">
        <f ca="1">IFERROR(__xludf.DUMMYFUNCTION("IF(ISBLANK(A43),"""",GOOGLETRANSLATE(A43,""en"",""de""))"),"")</f>
        <v/>
      </c>
    </row>
    <row r="44" spans="1:2" ht="13.2">
      <c r="A44" s="2" t="s">
        <v>100</v>
      </c>
      <c r="B44" s="2" t="str">
        <f ca="1">IFERROR(__xludf.DUMMYFUNCTION("IF(ISBLANK(A44),"""",GOOGLETRANSLATE(A44,""en"",""de""))"),"Empfohlene Lektüre und Einblicke")</f>
        <v>Empfohlene Lektüre und Einblicke</v>
      </c>
    </row>
    <row r="45" spans="1:2" ht="13.2">
      <c r="A45" s="10" t="s">
        <v>101</v>
      </c>
      <c r="B45" s="2" t="str">
        <f ca="1">IFERROR(__xludf.DUMMYFUNCTION("IF(ISBLANK(A45),"""",GOOGLETRANSLATE(A45,""en"",""de""))"),"Bleiben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46" spans="1:2" ht="13.2">
      <c r="A46" s="2" t="s">
        <v>102</v>
      </c>
      <c r="B46" s="2" t="str">
        <f ca="1">IFERROR(__xludf.DUMMYFUNCTION("IF(ISBLANK(A46),"""",GOOGLETRANSLATE(A46,""en"",""de""))"),"Der Blog")</f>
        <v>Der Blog</v>
      </c>
    </row>
    <row r="47" spans="1:2" ht="13.2">
      <c r="A47" s="2" t="s">
        <v>103</v>
      </c>
      <c r="B47" s="2" t="str">
        <f ca="1">IFERROR(__xludf.DUMMYFUNCTION("IF(ISBLANK(A47),"""",GOOGLETRANSLATE(A47,""en"",""de""))"),"Über das DMS hinaus: Warum die Zukunft des Automobilhandels API-first ist")</f>
        <v>Über das DMS hinaus: Warum die Zukunft des Automobilhandels API-first ist</v>
      </c>
    </row>
    <row r="48" spans="1:2" ht="13.2">
      <c r="A48" s="2" t="s">
        <v>27</v>
      </c>
      <c r="B48" s="2" t="str">
        <f ca="1">IFERROR(__xludf.DUMMYFUNCTION("IF(ISBLANK(A48),"""",GOOGLETRANSLATE(A48,""en"",""de""))"),"Mehr erfahren")</f>
        <v>Mehr erfahren</v>
      </c>
    </row>
    <row r="49" spans="1:2" ht="13.2">
      <c r="B49" s="2" t="str">
        <f ca="1">IFERROR(__xludf.DUMMYFUNCTION("IF(ISBLANK(A49),"""",GOOGLETRANSLATE(A49,""en"",""de""))"),"")</f>
        <v/>
      </c>
    </row>
    <row r="50" spans="1:2" ht="13.2">
      <c r="A50" s="2" t="s">
        <v>104</v>
      </c>
      <c r="B50" s="2" t="str">
        <f ca="1">IFERROR(__xludf.DUMMYFUNCTION("IF(ISBLANK(A50),"""",GOOGLETRANSLATE(A50,""en"",""de""))"),"NETSOL ist auf der GlobalData Automotive Europe Conference and Awards 2025")</f>
        <v>NETSOL ist auf der GlobalData Automotive Europe Conference and Awards 2025</v>
      </c>
    </row>
    <row r="51" spans="1:2" ht="13.2">
      <c r="B51" s="2" t="str">
        <f ca="1">IFERROR(__xludf.DUMMYFUNCTION("IF(ISBLANK(A51),"""",GOOGLETRANSLATE(A51,""en"",""de""))"),"")</f>
        <v/>
      </c>
    </row>
    <row r="52" spans="1:2" ht="13.2">
      <c r="B52" s="2" t="str">
        <f ca="1">IFERROR(__xludf.DUMMYFUNCTION("IF(ISBLANK(A52),"""",GOOGLETRANSLATE(A52,""en"",""de""))"),"")</f>
        <v/>
      </c>
    </row>
    <row r="53" spans="1:2" ht="13.2">
      <c r="A53" s="2" t="s">
        <v>105</v>
      </c>
      <c r="B53" s="2" t="str">
        <f ca="1">IFERROR(__xludf.DUMMYFUNCTION("IF(ISBLANK(A53),"""",GOOGLETRANSLATE(A53,""en"",""de""))"),"NETSOL ist auf dem 25. jährlichen Auto Finance Summit: Die Zukunft der Autofinanzierung vorantreiben")</f>
        <v>NETSOL ist auf dem 25. jährlichen Auto Finance Summit: Die Zukunft der Autofinanzierung vorantreiben</v>
      </c>
    </row>
    <row r="54" spans="1:2" ht="13.2">
      <c r="B54" s="2" t="str">
        <f ca="1">IFERROR(__xludf.DUMMYFUNCTION("IF(ISBLANK(A54),"""",GOOGLETRANSLATE(A54,""en"",""de""))"),"")</f>
        <v/>
      </c>
    </row>
    <row r="55" spans="1:2" ht="13.2">
      <c r="B55" s="2" t="str">
        <f ca="1">IFERROR(__xludf.DUMMYFUNCTION("IF(ISBLANK(A55),"""",GOOGLETRANSLATE(A55,""en"",""de""))"),"")</f>
        <v/>
      </c>
    </row>
    <row r="56" spans="1:2" ht="13.2">
      <c r="A56" s="2" t="s">
        <v>106</v>
      </c>
      <c r="B56" s="2" t="str">
        <f ca="1">IFERROR(__xludf.DUMMYFUNCTION("IF(ISBLANK(A56),"""",GOOGLETRANSLATE(A56,""en"",""de""))"),"NETSOL ist beim Digital Dealer 2025 dabei: Wir stärken die Zukunft des Automobilhandels")</f>
        <v>NETSOL ist beim Digital Dealer 2025 dabei: Wir stärken die Zukunft des Automobilhandels</v>
      </c>
    </row>
    <row r="57" spans="1:2" ht="13.2">
      <c r="B57" s="2" t="str">
        <f ca="1">IFERROR(__xludf.DUMMYFUNCTION("IF(ISBLANK(A57),"""",GOOGLETRANSLATE(A57,""en"",""de""))"),"")</f>
        <v/>
      </c>
    </row>
    <row r="58" spans="1:2" ht="13.2">
      <c r="B58" s="2" t="str">
        <f ca="1">IFERROR(__xludf.DUMMYFUNCTION("IF(ISBLANK(A58),"""",GOOGLETRANSLATE(A58,""en"",""de""))"),"")</f>
        <v/>
      </c>
    </row>
    <row r="59" spans="1:2" ht="13.2">
      <c r="A59" s="6" t="s">
        <v>107</v>
      </c>
      <c r="B59" s="2" t="str">
        <f ca="1">IFERROR(__xludf.DUMMYFUNCTION("IF(ISBLANK(A59),"""",GOOGLETRANSLATE(A59,""en"",""de""))"),"KI im BFSI: Revolutionierung des Risikomanagements")</f>
        <v>KI im BFSI: Revolutionierung des Risikomanagements</v>
      </c>
    </row>
    <row r="60" spans="1:2" ht="13.2">
      <c r="B60" s="2" t="str">
        <f ca="1">IFERROR(__xludf.DUMMYFUNCTION("IF(ISBLANK(A60),"""",GOOGLETRANSLATE(A60,""en"",""de""))"),"")</f>
        <v/>
      </c>
    </row>
    <row r="61" spans="1:2" ht="13.2">
      <c r="B61" s="2" t="str">
        <f ca="1">IFERROR(__xludf.DUMMYFUNCTION("IF(ISBLANK(A61),"""",GOOGLETRANSLATE(A61,""en"",""de""))"),"")</f>
        <v/>
      </c>
    </row>
    <row r="62" spans="1:2" ht="13.2">
      <c r="A62" s="2" t="s">
        <v>108</v>
      </c>
      <c r="B62" s="2" t="str">
        <f ca="1">IFERROR(__xludf.DUMMYFUNCTION("IF(ISBLANK(A62),"""",GOOGLETRANSLATE(A62,""en"",""de""))"),"Die Bedeutung der Personalisierung im Kundenservice: Maßgeschneidertes Zahlungs- und Streitbeilegungsmanagement für Kunden")</f>
        <v>Die Bedeutung der Personalisierung im Kundenservice: Maßgeschneidertes Zahlungs- und Streitbeilegungsmanagement für Kunden</v>
      </c>
    </row>
    <row r="63" spans="1:2" ht="13.2">
      <c r="B63" s="2" t="str">
        <f ca="1">IFERROR(__xludf.DUMMYFUNCTION("IF(ISBLANK(A63),"""",GOOGLETRANSLATE(A63,""en"",""de""))"),"")</f>
        <v/>
      </c>
    </row>
    <row r="64" spans="1:2" ht="13.2">
      <c r="B64" s="2" t="str">
        <f ca="1">IFERROR(__xludf.DUMMYFUNCTION("IF(ISBLANK(A64),"""",GOOGLETRANSLATE(A64,""en"",""de""))"),"")</f>
        <v/>
      </c>
    </row>
    <row r="65" spans="1:2" ht="13.2">
      <c r="A65" s="2" t="s">
        <v>109</v>
      </c>
      <c r="B65" s="2" t="str">
        <f ca="1">IFERROR(__xludf.DUMMYFUNCTION("IF(ISBLANK(A65),"""",GOOGLETRANSLATE(A65,""en"",""de""))"),"Die wahren Kosten getrennter Systeme im Autohandel")</f>
        <v>Die wahren Kosten getrennter Systeme im Autohandel</v>
      </c>
    </row>
    <row r="66" spans="1:2" ht="13.2">
      <c r="B66" s="2" t="str">
        <f ca="1">IFERROR(__xludf.DUMMYFUNCTION("IF(ISBLANK(A66),"""",GOOGLETRANSLATE(A66,""en"",""de""))"),"")</f>
        <v/>
      </c>
    </row>
    <row r="67" spans="1:2" ht="13.2">
      <c r="B67" s="2" t="str">
        <f ca="1">IFERROR(__xludf.DUMMYFUNCTION("IF(ISBLANK(A67),"""",GOOGLETRANSLATE(A67,""en"",""de""))"),"")</f>
        <v/>
      </c>
    </row>
    <row r="68" spans="1:2" ht="13.2">
      <c r="A68" s="2" t="s">
        <v>110</v>
      </c>
      <c r="B68" s="2" t="str">
        <f ca="1">IFERROR(__xludf.DUMMYFUNCTION("IF(ISBLANK(A68),"""",GOOGLETRANSLATE(A68,""en"",""de""))"),"Captive der Zukunft: Wie Technologie Captive-Finanzierungsgeschäfte neu definiert – Wichtige Erkenntnisse aus dem Webinar der AFSA")</f>
        <v>Captive der Zukunft: Wie Technologie Captive-Finanzierungsgeschäfte neu definiert – Wichtige Erkenntnisse aus dem Webinar der AFSA</v>
      </c>
    </row>
    <row r="69" spans="1:2" ht="13.2">
      <c r="B69" s="2" t="str">
        <f ca="1">IFERROR(__xludf.DUMMYFUNCTION("IF(ISBLANK(A69),"""",GOOGLETRANSLATE(A69,""en"",""de""))"),"")</f>
        <v/>
      </c>
    </row>
    <row r="70" spans="1:2" ht="13.2">
      <c r="B70" s="2" t="str">
        <f ca="1">IFERROR(__xludf.DUMMYFUNCTION("IF(ISBLANK(A70),"""",GOOGLETRANSLATE(A70,""en"",""de""))"),"")</f>
        <v/>
      </c>
    </row>
    <row r="71" spans="1:2" ht="13.2">
      <c r="A71" s="2" t="s">
        <v>111</v>
      </c>
      <c r="B71" s="2" t="str">
        <f ca="1">IFERROR(__xludf.DUMMYFUNCTION("IF(ISBLANK(A71),"""",GOOGLETRANSLATE(A71,""en"",""de""))"),"Betrugsbekämpfung im Großkundengeschäft: Technologie zur Früherkennung und Risikominderung")</f>
        <v>Betrugsbekämpfung im Großkundengeschäft: Technologie zur Früherkennung und Risikominderung</v>
      </c>
    </row>
    <row r="72" spans="1:2" ht="13.2">
      <c r="B72" s="2" t="str">
        <f ca="1">IFERROR(__xludf.DUMMYFUNCTION("IF(ISBLANK(A72),"""",GOOGLETRANSLATE(A72,""en"",""de""))"),"")</f>
        <v/>
      </c>
    </row>
    <row r="73" spans="1:2" ht="13.2">
      <c r="A73" s="2" t="s">
        <v>114</v>
      </c>
      <c r="B73" s="2" t="str">
        <f ca="1">IFERROR(__xludf.DUMMYFUNCTION("IF(ISBLANK(A73),"""",GOOGLETRANSLATE(A73,""en"",""de""))"),"Abonnieren Sie unseren Newsletter, um die neuesten Nachrichten in Ihrem Posteingang zu erhalten.")</f>
        <v>Abonnieren Sie unseren Newsletter, um die neuesten Nachrichten in Ihrem Posteingang zu erhalten.</v>
      </c>
    </row>
    <row r="74" spans="1:2" ht="13.2">
      <c r="A74" s="2" t="s">
        <v>115</v>
      </c>
      <c r="B74" s="2" t="str">
        <f ca="1">IFERROR(__xludf.DUMMYFUNCTION("IF(ISBLANK(A74),"""",GOOGLETRANSLATE(A74,""en"",""de""))"),"abc@example.com")</f>
        <v>abc@example.com</v>
      </c>
    </row>
    <row r="75" spans="1:2" ht="13.2">
      <c r="A75" s="2" t="s">
        <v>116</v>
      </c>
      <c r="B75" s="2" t="str">
        <f ca="1">IFERROR(__xludf.DUMMYFUNCTION("IF(ISBLANK(A75),"""",GOOGLETRANSLATE(A75,""en"",""de""))"),"Abonnieren ")</f>
        <v xml:space="preserve">Abonnieren </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69"/>
  <sheetViews>
    <sheetView topLeftCell="A12" workbookViewId="0">
      <selection activeCell="B25" sqref="B25"/>
    </sheetView>
  </sheetViews>
  <sheetFormatPr defaultColWidth="12.5546875" defaultRowHeight="15.75" customHeight="1"/>
  <cols>
    <col min="1" max="1" width="126" customWidth="1"/>
  </cols>
  <sheetData>
    <row r="1" spans="1:2" ht="13.2">
      <c r="A1" s="1" t="s">
        <v>0</v>
      </c>
      <c r="B1" s="1" t="s">
        <v>1</v>
      </c>
    </row>
    <row r="2" spans="1:2" ht="15.75" customHeight="1">
      <c r="A2" s="2" t="s">
        <v>548</v>
      </c>
      <c r="B2" s="2" t="str">
        <f ca="1">IFERROR(__xludf.DUMMYFUNCTION("IF(ISBLANK(A2),"""",GOOGLETRANSLATE(A2,""en"",""de""))"),"KI- und ML-Dienste")</f>
        <v>KI- und ML-Dienste</v>
      </c>
    </row>
    <row r="3" spans="1:2" ht="15.75" customHeight="1">
      <c r="A3" s="2" t="s">
        <v>549</v>
      </c>
      <c r="B3" s="2" t="str">
        <f ca="1">IFERROR(__xludf.DUMMYFUNCTION("IF(ISBLANK(A3),"""",GOOGLETRANSLATE(A3,""en"",""de""))"),"Entfesseln Sie das Potenzial Ihrer Daten mit KI- und ML-Diensten")</f>
        <v>Entfesseln Sie das Potenzial Ihrer Daten mit KI- und ML-Diensten</v>
      </c>
    </row>
    <row r="4" spans="1:2" ht="15.75" customHeight="1">
      <c r="A4" s="2" t="s">
        <v>550</v>
      </c>
      <c r="B4" s="2" t="str">
        <f ca="1">IFERROR(__xludf.DUMMYFUNCTION("IF(ISBLANK(A4),"""",GOOGLETRANSLATE(A4,""en"",""de""))"),"Verwandeln Sie Ihre Daten in wertvolle Erkenntnisse, indem Sie KI für die Datenanalyse nutzen.")</f>
        <v>Verwandeln Sie Ihre Daten in wertvolle Erkenntnisse, indem Sie KI für die Datenanalyse nutzen.</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551</v>
      </c>
      <c r="B7" s="2" t="str">
        <f ca="1">IFERROR(__xludf.DUMMYFUNCTION("IF(ISBLANK(A7),"""",GOOGLETRANSLATE(A7,""en"",""de""))"),"Verwandeln Sie Daten mit KI- und ML-Diensten und -Lösungen in Intelligenz")</f>
        <v>Verwandeln Sie Daten mit KI- und ML-Diensten und -Lösungen in Intelligenz</v>
      </c>
    </row>
    <row r="8" spans="1:2" ht="15.75" customHeight="1">
      <c r="A8" s="2" t="s">
        <v>552</v>
      </c>
      <c r="B8" s="2" t="str">
        <f ca="1">IFERROR(__xludf.DUMMYFUNCTION("IF(ISBLANK(A8),"""",GOOGLETRANSLATE(A8,""en"",""de""))"),"Rohdaten allein reichen nicht aus; Ihr Unternehmen benötigt klare Erkenntnisse, die zu echten Ergebnissen führen. NETSOL nutzt die Leistungsfähigkeit von KI, ML und Datenanalyse, um Daten in umsetzbare Erkenntnisse umzuwandeln, Sie bei fundierteren Entsch"&amp;"eidungen zu unterstützen, zukünftige Trends vorherzusagen, mühsame Aufgaben zu automatisieren und das Benutzererlebnis zu personalisieren. Nutzen Sie KI für die Datenanalyse, um Ihre individuellen Geschäftsherausforderungen zu verstehen. Wir bieten Cloud-"&amp;"KI- und ML-Services und entwickeln maßgeschneiderte Strategien mit modernsten Lösungen. Mit unseren KI- und ML-Beratungsleistungen erschließen Sie das wahre Potenzial Ihrer Daten und gestalten die Zukunft Ihres Unternehmens.")</f>
        <v>Rohdaten allein reichen nicht aus; Ihr Unternehmen benötigt klare Erkenntnisse, die zu echten Ergebnissen führen. NETSOL nutzt die Leistungsfähigkeit von KI, ML und Datenanalyse, um Daten in umsetzbare Erkenntnisse umzuwandeln, Sie bei fundierteren Entscheidungen zu unterstützen, zukünftige Trends vorherzusagen, mühsame Aufgaben zu automatisieren und das Benutzererlebnis zu personalisieren. Nutzen Sie KI für die Datenanalyse, um Ihre individuellen Geschäftsherausforderungen zu verstehen. Wir bieten Cloud-KI- und ML-Services und entwickeln maßgeschneiderte Strategien mit modernsten Lösungen. Mit unseren KI- und ML-Beratungsleistungen erschließen Sie das wahre Potenzial Ihrer Daten und gestalten die Zukunft Ihres Unternehmens.</v>
      </c>
    </row>
    <row r="9" spans="1:2" ht="15.75" customHeight="1">
      <c r="A9" s="2" t="s">
        <v>553</v>
      </c>
      <c r="B9" s="2" t="str">
        <f ca="1">IFERROR(__xludf.DUMMYFUNCTION("IF(ISBLANK(A9),"""",GOOGLETRANSLATE(A9,""en"",""de""))"),"Daten steigern den Gewinn")</f>
        <v>Daten steigern den Gewinn</v>
      </c>
    </row>
    <row r="10" spans="1:2" ht="15.75" customHeight="1">
      <c r="A10" s="2" t="s">
        <v>554</v>
      </c>
      <c r="B10" s="2" t="str">
        <f ca="1">IFERROR(__xludf.DUMMYFUNCTION("IF(ISBLANK(A10),"""",GOOGLETRANSLATE(A10,""en"",""de""))"),"Datengesteuerte Organisationen haben eine 23-mal höhere Wahrscheinlichkeit, Kunden zu gewinnen, und sind 19-mal profitabler.")</f>
        <v>Datengesteuerte Organisationen haben eine 23-mal höhere Wahrscheinlichkeit, Kunden zu gewinnen, und sind 19-mal profitabler.</v>
      </c>
    </row>
    <row r="11" spans="1:2" ht="15.75" customHeight="1">
      <c r="A11" s="2" t="s">
        <v>555</v>
      </c>
      <c r="B11" s="2" t="str">
        <f ca="1">IFERROR(__xludf.DUMMYFUNCTION("IF(ISBLANK(A11),"""",GOOGLETRANSLATE(A11,""en"",""de""))"),"MLs Dominanz")</f>
        <v>MLs Dominanz</v>
      </c>
    </row>
    <row r="12" spans="1:2" ht="15.75" customHeight="1">
      <c r="A12" s="2" t="s">
        <v>556</v>
      </c>
      <c r="B12" s="2" t="str">
        <f ca="1">IFERROR(__xludf.DUMMYFUNCTION("IF(ISBLANK(A12),"""",GOOGLETRANSLATE(A12,""en"",""de""))"),"Mehr als 80 % der Unternehmen in Nordamerika haben maschinelles Lernen eingeführt.")</f>
        <v>Mehr als 80 % der Unternehmen in Nordamerika haben maschinelles Lernen eingeführt.</v>
      </c>
    </row>
    <row r="13" spans="1:2" ht="15.75" customHeight="1">
      <c r="A13" s="2" t="s">
        <v>557</v>
      </c>
      <c r="B13" s="2" t="str">
        <f ca="1">IFERROR(__xludf.DUMMYFUNCTION("IF(ISBLANK(A13),"""",GOOGLETRANSLATE(A13,""en"",""de""))"),"Big Data führt")</f>
        <v>Big Data führt</v>
      </c>
    </row>
    <row r="14" spans="1:2" ht="15.75" customHeight="1">
      <c r="A14" s="2" t="s">
        <v>558</v>
      </c>
      <c r="B14" s="2" t="str">
        <f ca="1">IFERROR(__xludf.DUMMYFUNCTION("IF(ISBLANK(A14),"""",GOOGLETRANSLATE(A14,""en"",""de""))"),"Über 83 % der Unternehmen haben Big-Data-Projekte durchgeführt, um sich einen Wettbewerbsvorteil gegenüber anderen zu verschaffen.")</f>
        <v>Über 83 % der Unternehmen haben Big-Data-Projekte durchgeführt, um sich einen Wettbewerbsvorteil gegenüber anderen zu verschaffen.</v>
      </c>
    </row>
    <row r="15" spans="1:2" ht="15.75" customHeight="1">
      <c r="A15" s="2" t="s">
        <v>559</v>
      </c>
      <c r="B15" s="2" t="str">
        <f ca="1">IFERROR(__xludf.DUMMYFUNCTION("IF(ISBLANK(A15),"""",GOOGLETRANSLATE(A15,""en"",""de""))"),"ML liefert Erkenntnisse")</f>
        <v>ML liefert Erkenntnisse</v>
      </c>
    </row>
    <row r="16" spans="1:2" ht="15.75" customHeight="1">
      <c r="A16" s="2" t="s">
        <v>560</v>
      </c>
      <c r="B16" s="2" t="str">
        <f ca="1">IFERROR(__xludf.DUMMYFUNCTION("IF(ISBLANK(A16),"""",GOOGLETRANSLATE(A16,""en"",""de""))"),"Über 74 % der Führungskräfte und Datenwissenschaftler auf C-Ebene verwenden ML zur Leistungsanalyse.")</f>
        <v>Über 74 % der Führungskräfte und Datenwissenschaftler auf C-Ebene verwenden ML zur Leistungsanalyse.</v>
      </c>
    </row>
    <row r="17" spans="1:2" ht="15.75" customHeight="1">
      <c r="A17" s="2" t="s">
        <v>561</v>
      </c>
      <c r="B17" s="2" t="str">
        <f ca="1">IFERROR(__xludf.DUMMYFUNCTION("IF(ISBLANK(A17),"""",GOOGLETRANSLATE(A17,""en"",""de""))"),"KI-gestützte Einblicke in KI, ML und Datenanalyse")</f>
        <v>KI-gestützte Einblicke in KI, ML und Datenanalyse</v>
      </c>
    </row>
    <row r="18" spans="1:2" ht="15.75" customHeight="1">
      <c r="A18" s="2" t="s">
        <v>485</v>
      </c>
      <c r="B18" s="2" t="str">
        <f ca="1">IFERROR(__xludf.DUMMYFUNCTION("IF(ISBLANK(A18),"""",GOOGLETRANSLATE(A18,""en"",""de""))"),"NETSOL bietet risikoorientierte Sicherheitsstrategien zum Schutz Ihrer Daten, zur Gewährleistung der Compliance und zur Verbesserung der betrieblichen Agilität.")</f>
        <v>NETSOL bietet risikoorientierte Sicherheitsstrategien zum Schutz Ihrer Daten, zur Gewährleistung der Compliance und zur Verbesserung der betrieblichen Agilität.</v>
      </c>
    </row>
    <row r="19" spans="1:2" ht="15.75" customHeight="1">
      <c r="B19" s="2" t="str">
        <f ca="1">IFERROR(__xludf.DUMMYFUNCTION("IF(ISBLANK(A19),"""",GOOGLETRANSLATE(A19,""en"",""de""))"),"")</f>
        <v/>
      </c>
    </row>
    <row r="20" spans="1:2" ht="15.75" customHeight="1">
      <c r="A20" s="2" t="s">
        <v>562</v>
      </c>
      <c r="B20" s="2" t="str">
        <f ca="1">IFERROR(__xludf.DUMMYFUNCTION("IF(ISBLANK(A20),"""",GOOGLETRANSLATE(A20,""en"",""de""))"),"58 % mehr Umsatz")</f>
        <v>58 % mehr Umsatz</v>
      </c>
    </row>
    <row r="21" spans="1:2" ht="15.75" customHeight="1">
      <c r="A21" s="2" t="s">
        <v>563</v>
      </c>
      <c r="B21" s="2" t="str">
        <f ca="1">IFERROR(__xludf.DUMMYFUNCTION("IF(ISBLANK(A21),"""",GOOGLETRANSLATE(A21,""en"",""de""))"),"Unternehmen, die datengesteuerte Strategien verwenden, erzielen über 58 % mehr Umsatz als Unternehmen, die dies nicht tun.")</f>
        <v>Unternehmen, die datengesteuerte Strategien verwenden, erzielen über 58 % mehr Umsatz als Unternehmen, die dies nicht tun.</v>
      </c>
    </row>
    <row r="22" spans="1:2" ht="15.75" customHeight="1">
      <c r="A22" s="2" t="s">
        <v>564</v>
      </c>
      <c r="B22" s="2" t="str">
        <f ca="1">IFERROR(__xludf.DUMMYFUNCTION("IF(ISBLANK(A22),"""",GOOGLETRANSLATE(A22,""en"",""de""))"),"14 % mehr Marktanteil")</f>
        <v>14 % mehr Marktanteil</v>
      </c>
    </row>
    <row r="23" spans="1:2" ht="15.75" customHeight="1">
      <c r="A23" s="2" t="s">
        <v>565</v>
      </c>
      <c r="B23" s="2" t="str">
        <f ca="1">IFERROR(__xludf.DUMMYFUNCTION("IF(ISBLANK(A23),"""",GOOGLETRANSLATE(A23,""en"",""de""))"),"Die Fortschritte in den Bereichen KI und ML können das globale BIP bis 2030 potenziell um 14 % steigern.")</f>
        <v>Die Fortschritte in den Bereichen KI und ML können das globale BIP bis 2030 potenziell um 14 % steigern.</v>
      </c>
    </row>
    <row r="24" spans="1:2" ht="13.2">
      <c r="A24" s="2" t="s">
        <v>566</v>
      </c>
      <c r="B24" s="2" t="str">
        <f ca="1">IFERROR(__xludf.DUMMYFUNCTION("IF(ISBLANK(A24),"""",GOOGLETRANSLATE(A24,""en"",""de""))"),"13-mal mehr Wert")</f>
        <v>13-mal mehr Wert</v>
      </c>
    </row>
    <row r="25" spans="1:2" ht="13.2">
      <c r="A25" s="2" t="s">
        <v>567</v>
      </c>
      <c r="B25" s="2" t="str">
        <f ca="1">IFERROR(__xludf.DUMMYFUNCTION("IF(ISBLANK(A25),"""",GOOGLETRANSLATE(A25,""en"",""de""))"),"In den nächsten sieben Jahren wird der Wert der Branche der künstlichen Intelligenz voraussichtlich um das 13-fache steigen.")</f>
        <v>In den nächsten sieben Jahren wird der Wert der Branche der künstlichen Intelligenz voraussichtlich um das 13-fache steigen.</v>
      </c>
    </row>
    <row r="26" spans="1:2" ht="13.2">
      <c r="A26" s="2" t="s">
        <v>568</v>
      </c>
      <c r="B26" s="2" t="str">
        <f ca="1">IFERROR(__xludf.DUMMYFUNCTION("IF(ISBLANK(A26),"""",GOOGLETRANSLATE(A26,""en"",""de""))"),"Stärkung von Unternehmen durch KI- und ML-Dienste und -Lösungen")</f>
        <v>Stärkung von Unternehmen durch KI- und ML-Dienste und -Lösungen</v>
      </c>
    </row>
    <row r="27" spans="1:2" ht="13.2">
      <c r="A27" s="2" t="s">
        <v>569</v>
      </c>
      <c r="B27" s="2" t="str">
        <f ca="1">IFERROR(__xludf.DUMMYFUNCTION("IF(ISBLANK(A27),"""",GOOGLETRANSLATE(A27,""en"",""de""))"),"Strategie &amp; Planung")</f>
        <v>Strategie &amp; Planung</v>
      </c>
    </row>
    <row r="28" spans="1:2" ht="13.2">
      <c r="A28" s="2" t="s">
        <v>570</v>
      </c>
      <c r="B28" s="2" t="str">
        <f ca="1">IFERROR(__xludf.DUMMYFUNCTION("IF(ISBLANK(A28),"""",GOOGLETRANSLATE(A28,""en"",""de""))"),"Nutzen Sie die Möglichkeiten des wachsenden Datenmeeres mit AWS KI-Services und meistern Sie die Herausforderungen der Daten. Mit NETSOL meistern Sie diese Reise und entwickeln eine erfolgreiche Strategie. Wir unterstützen Sie bei der Ausrichtung Ihrer Ge"&amp;"schäftsziele, der Datenbewertung und der Priorisierung.")</f>
        <v>Nutzen Sie die Möglichkeiten des wachsenden Datenmeeres mit AWS KI-Services und meistern Sie die Herausforderungen der Daten. Mit NETSOL meistern Sie diese Reise und entwickeln eine erfolgreiche Strategie. Wir unterstützen Sie bei der Ausrichtung Ihrer Geschäftsziele, der Datenbewertung und der Priorisierung.</v>
      </c>
    </row>
    <row r="29" spans="1:2" ht="13.2">
      <c r="A29" s="2" t="s">
        <v>571</v>
      </c>
      <c r="B29" s="2" t="str">
        <f ca="1">IFERROR(__xludf.DUMMYFUNCTION("IF(ISBLANK(A29),"""",GOOGLETRANSLATE(A29,""en"",""de""))"),"Daten und Analysen")</f>
        <v>Daten und Analysen</v>
      </c>
    </row>
    <row r="30" spans="1:2" ht="13.2">
      <c r="A30" s="2" t="s">
        <v>572</v>
      </c>
      <c r="B30" s="2" t="str">
        <f ca="1">IFERROR(__xludf.DUMMYFUNCTION("IF(ISBLANK(A30),"""",GOOGLETRANSLATE(A30,""en"",""de""))"),"Unternehmen müssen aussagekräftige Erkenntnisse gewinnen und Rohdaten in umsetzbare Strategien umwandeln, um ihr Wachstum zu fördern. NETSOL unterstützt Sie bei der Datenintegration und -verwaltung, erweiterten Analysen und Berichten, Data Warehousing und"&amp;" Business Intelligence sowie der Datenvisualisierung.")</f>
        <v>Unternehmen müssen aussagekräftige Erkenntnisse gewinnen und Rohdaten in umsetzbare Strategien umwandeln, um ihr Wachstum zu fördern. NETSOL unterstützt Sie bei der Datenintegration und -verwaltung, erweiterten Analysen und Berichten, Data Warehousing und Business Intelligence sowie der Datenvisualisierung.</v>
      </c>
    </row>
    <row r="31" spans="1:2" ht="13.2">
      <c r="A31" s="2" t="s">
        <v>573</v>
      </c>
      <c r="B31" s="2" t="str">
        <f ca="1">IFERROR(__xludf.DUMMYFUNCTION("IF(ISBLANK(A31),"""",GOOGLETRANSLATE(A31,""en"",""de""))"),"Verantwortungsvolle KI")</f>
        <v>Verantwortungsvolle KI</v>
      </c>
    </row>
    <row r="32" spans="1:2" ht="13.2">
      <c r="A32" s="2" t="s">
        <v>574</v>
      </c>
      <c r="B32" s="2" t="str">
        <f ca="1">IFERROR(__xludf.DUMMYFUNCTION("IF(ISBLANK(A32),"""",GOOGLETRANSLATE(A32,""en"",""de""))"),"Unternehmen müssen KI unter Berücksichtigung von Sicherheit und Verantwortlichkeit entwickeln und einsetzen. NETSOL stellt sicher, dass KI der Gesellschaft zugutekommt, ohne bestehende Ungleichheiten zu verstärken. Unsere Prozesse sind fair, unvoreingenom"&amp;"men und transparent und wahren Datensicherheit und Datenschutz.")</f>
        <v>Unternehmen müssen KI unter Berücksichtigung von Sicherheit und Verantwortlichkeit entwickeln und einsetzen. NETSOL stellt sicher, dass KI der Gesellschaft zugutekommt, ohne bestehende Ungleichheiten zu verstärken. Unsere Prozesse sind fair, unvoreingenommen und transparent und wahren Datensicherheit und Datenschutz.</v>
      </c>
    </row>
    <row r="33" spans="1:2" ht="13.2">
      <c r="A33" s="2" t="s">
        <v>575</v>
      </c>
      <c r="B33" s="2" t="str">
        <f ca="1">IFERROR(__xludf.DUMMYFUNCTION("IF(ISBLANK(A33),"""",GOOGLETRANSLATE(A33,""en"",""de""))"),"KI-Lösungen")</f>
        <v>KI-Lösungen</v>
      </c>
    </row>
    <row r="34" spans="1:2" ht="13.2">
      <c r="A34" s="2" t="s">
        <v>576</v>
      </c>
      <c r="B34" s="2" t="str">
        <f ca="1">IFERROR(__xludf.DUMMYFUNCTION("IF(ISBLANK(A34),"""",GOOGLETRANSLATE(A34,""en"",""de""))"),"Organisationen sind mit Informationen überlastet und benötigen einen Ansatz, um diese zu nutzen. NETSOL nutzt die Leistungsfähigkeit von Datenanalysen und KI-Diensten und gewährleistet prädiktive und präskriptive Analysen, automatisierte Datenanalyse, NLP"&amp;" und IPA.")</f>
        <v>Organisationen sind mit Informationen überlastet und benötigen einen Ansatz, um diese zu nutzen. NETSOL nutzt die Leistungsfähigkeit von Datenanalysen und KI-Diensten und gewährleistet prädiktive und präskriptive Analysen, automatisierte Datenanalyse, NLP und IPA.</v>
      </c>
    </row>
    <row r="35" spans="1:2" ht="13.2">
      <c r="A35" s="2" t="s">
        <v>112</v>
      </c>
      <c r="B35" s="2" t="str">
        <f ca="1">IFERROR(__xludf.DUMMYFUNCTION("IF(ISBLANK(A35),"""",GOOGLETRANSLATE(A35,""en"",""de""))"),"Reden wir darüber, was als nächstes kommt")</f>
        <v>Reden wir darüber, was als nächstes kommt</v>
      </c>
    </row>
    <row r="36" spans="1:2" ht="13.2">
      <c r="A36" s="2" t="s">
        <v>577</v>
      </c>
      <c r="B36" s="2" t="str">
        <f ca="1">IFERROR(__xludf.DUMMYFUNCTION("IF(ISBLANK(A36),"""",GOOGLETRANSLATE(A36,""en"",""de""))"),"Entdecken Sie, wie NETSOL Ihnen hilft, das wahre Potenzial Ihrer Daten mit KI und ML freizusetzen.")</f>
        <v>Entdecken Sie, wie NETSOL Ihnen hilft, das wahre Potenzial Ihrer Daten mit KI und ML freizusetzen.</v>
      </c>
    </row>
    <row r="37" spans="1:2" ht="13.2">
      <c r="B37" s="2" t="str">
        <f ca="1">IFERROR(__xludf.DUMMYFUNCTION("IF(ISBLANK(A37),"""",GOOGLETRANSLATE(A37,""en"",""de""))"),"")</f>
        <v/>
      </c>
    </row>
    <row r="38" spans="1:2" ht="13.2">
      <c r="A38" s="2" t="s">
        <v>100</v>
      </c>
      <c r="B38" s="2" t="str">
        <f ca="1">IFERROR(__xludf.DUMMYFUNCTION("IF(ISBLANK(A38),"""",GOOGLETRANSLATE(A38,""en"",""de""))"),"Empfohlene Lektüre und Einblicke")</f>
        <v>Empfohlene Lektüre und Einblicke</v>
      </c>
    </row>
    <row r="39" spans="1:2" ht="13.2">
      <c r="A39" s="10" t="s">
        <v>101</v>
      </c>
      <c r="B39" s="2" t="str">
        <f ca="1">IFERROR(__xludf.DUMMYFUNCTION("IF(ISBLANK(A39),"""",GOOGLETRANSLATE(A39,""en"",""de""))"),"Bleiben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40" spans="1:2" ht="13.2">
      <c r="A40" s="2" t="s">
        <v>102</v>
      </c>
      <c r="B40" s="2" t="str">
        <f ca="1">IFERROR(__xludf.DUMMYFUNCTION("IF(ISBLANK(A40),"""",GOOGLETRANSLATE(A40,""en"",""de""))"),"Der Blog")</f>
        <v>Der Blog</v>
      </c>
    </row>
    <row r="41" spans="1:2" ht="13.2">
      <c r="A41" s="2" t="s">
        <v>103</v>
      </c>
      <c r="B41" s="2" t="str">
        <f ca="1">IFERROR(__xludf.DUMMYFUNCTION("IF(ISBLANK(A41),"""",GOOGLETRANSLATE(A41,""en"",""de""))"),"Über das DMS hinaus: Warum die Zukunft des Automobilhandels API-first ist")</f>
        <v>Über das DMS hinaus: Warum die Zukunft des Automobilhandels API-first ist</v>
      </c>
    </row>
    <row r="42" spans="1:2" ht="13.2">
      <c r="A42" s="2" t="s">
        <v>27</v>
      </c>
      <c r="B42" s="2" t="str">
        <f ca="1">IFERROR(__xludf.DUMMYFUNCTION("IF(ISBLANK(A42),"""",GOOGLETRANSLATE(A42,""en"",""de""))"),"Mehr erfahren")</f>
        <v>Mehr erfahren</v>
      </c>
    </row>
    <row r="43" spans="1:2" ht="13.2">
      <c r="B43" s="2" t="str">
        <f ca="1">IFERROR(__xludf.DUMMYFUNCTION("IF(ISBLANK(A43),"""",GOOGLETRANSLATE(A43,""en"",""de""))"),"")</f>
        <v/>
      </c>
    </row>
    <row r="44" spans="1:2" ht="13.2">
      <c r="A44" s="2" t="s">
        <v>104</v>
      </c>
      <c r="B44" s="2" t="str">
        <f ca="1">IFERROR(__xludf.DUMMYFUNCTION("IF(ISBLANK(A44),"""",GOOGLETRANSLATE(A44,""en"",""de""))"),"NETSOL ist auf der GlobalData Automotive Europe Conference and Awards 2025")</f>
        <v>NETSOL ist auf der GlobalData Automotive Europe Conference and Awards 2025</v>
      </c>
    </row>
    <row r="45" spans="1:2" ht="13.2">
      <c r="B45" s="2" t="str">
        <f ca="1">IFERROR(__xludf.DUMMYFUNCTION("IF(ISBLANK(A45),"""",GOOGLETRANSLATE(A45,""en"",""de""))"),"")</f>
        <v/>
      </c>
    </row>
    <row r="46" spans="1:2" ht="13.2">
      <c r="B46" s="2" t="str">
        <f ca="1">IFERROR(__xludf.DUMMYFUNCTION("IF(ISBLANK(A46),"""",GOOGLETRANSLATE(A46,""en"",""de""))"),"")</f>
        <v/>
      </c>
    </row>
    <row r="47" spans="1:2" ht="13.2">
      <c r="A47" s="2" t="s">
        <v>105</v>
      </c>
      <c r="B47" s="2" t="str">
        <f ca="1">IFERROR(__xludf.DUMMYFUNCTION("IF(ISBLANK(A47),"""",GOOGLETRANSLATE(A47,""en"",""de""))"),"NETSOL ist auf dem 25. jährlichen Auto Finance Summit: Die Zukunft der Autofinanzierung vorantreiben")</f>
        <v>NETSOL ist auf dem 25. jährlichen Auto Finance Summit: Die Zukunft der Autofinanzierung vorantreiben</v>
      </c>
    </row>
    <row r="48" spans="1:2" ht="13.2">
      <c r="B48" s="2" t="str">
        <f ca="1">IFERROR(__xludf.DUMMYFUNCTION("IF(ISBLANK(A48),"""",GOOGLETRANSLATE(A48,""en"",""de""))"),"")</f>
        <v/>
      </c>
    </row>
    <row r="49" spans="1:2" ht="13.2">
      <c r="B49" s="2" t="str">
        <f ca="1">IFERROR(__xludf.DUMMYFUNCTION("IF(ISBLANK(A49),"""",GOOGLETRANSLATE(A49,""en"",""de""))"),"")</f>
        <v/>
      </c>
    </row>
    <row r="50" spans="1:2" ht="13.2">
      <c r="A50" s="2" t="s">
        <v>106</v>
      </c>
      <c r="B50" s="2" t="str">
        <f ca="1">IFERROR(__xludf.DUMMYFUNCTION("IF(ISBLANK(A50),"""",GOOGLETRANSLATE(A50,""en"",""de""))"),"NETSOL ist beim Digital Dealer 2025 dabei: Wir stärken die Zukunft des Automobilhandels")</f>
        <v>NETSOL ist beim Digital Dealer 2025 dabei: Wir stärken die Zukunft des Automobilhandels</v>
      </c>
    </row>
    <row r="51" spans="1:2" ht="13.2">
      <c r="B51" s="2" t="str">
        <f ca="1">IFERROR(__xludf.DUMMYFUNCTION("IF(ISBLANK(A51),"""",GOOGLETRANSLATE(A51,""en"",""de""))"),"")</f>
        <v/>
      </c>
    </row>
    <row r="52" spans="1:2" ht="13.2">
      <c r="B52" s="2" t="str">
        <f ca="1">IFERROR(__xludf.DUMMYFUNCTION("IF(ISBLANK(A52),"""",GOOGLETRANSLATE(A52,""en"",""de""))"),"")</f>
        <v/>
      </c>
    </row>
    <row r="53" spans="1:2" ht="13.2">
      <c r="A53" s="6" t="s">
        <v>107</v>
      </c>
      <c r="B53" s="2" t="str">
        <f ca="1">IFERROR(__xludf.DUMMYFUNCTION("IF(ISBLANK(A53),"""",GOOGLETRANSLATE(A53,""en"",""de""))"),"KI im BFSI: Revolutionierung des Risikomanagements")</f>
        <v>KI im BFSI: Revolutionierung des Risikomanagements</v>
      </c>
    </row>
    <row r="54" spans="1:2" ht="13.2">
      <c r="B54" s="2" t="str">
        <f ca="1">IFERROR(__xludf.DUMMYFUNCTION("IF(ISBLANK(A54),"""",GOOGLETRANSLATE(A54,""en"",""de""))"),"")</f>
        <v/>
      </c>
    </row>
    <row r="55" spans="1:2" ht="13.2">
      <c r="B55" s="2" t="str">
        <f ca="1">IFERROR(__xludf.DUMMYFUNCTION("IF(ISBLANK(A55),"""",GOOGLETRANSLATE(A55,""en"",""de""))"),"")</f>
        <v/>
      </c>
    </row>
    <row r="56" spans="1:2" ht="13.2">
      <c r="A56" s="2" t="s">
        <v>108</v>
      </c>
      <c r="B56" s="2" t="str">
        <f ca="1">IFERROR(__xludf.DUMMYFUNCTION("IF(ISBLANK(A56),"""",GOOGLETRANSLATE(A56,""en"",""de""))"),"Die Bedeutung der Personalisierung im Kundenservice: Maßgeschneidertes Zahlungs- und Streitbeilegungsmanagement für Kunden")</f>
        <v>Die Bedeutung der Personalisierung im Kundenservice: Maßgeschneidertes Zahlungs- und Streitbeilegungsmanagement für Kunden</v>
      </c>
    </row>
    <row r="57" spans="1:2" ht="13.2">
      <c r="B57" s="2" t="str">
        <f ca="1">IFERROR(__xludf.DUMMYFUNCTION("IF(ISBLANK(A57),"""",GOOGLETRANSLATE(A57,""en"",""de""))"),"")</f>
        <v/>
      </c>
    </row>
    <row r="58" spans="1:2" ht="13.2">
      <c r="B58" s="2" t="str">
        <f ca="1">IFERROR(__xludf.DUMMYFUNCTION("IF(ISBLANK(A58),"""",GOOGLETRANSLATE(A58,""en"",""de""))"),"")</f>
        <v/>
      </c>
    </row>
    <row r="59" spans="1:2" ht="13.2">
      <c r="A59" s="2" t="s">
        <v>109</v>
      </c>
      <c r="B59" s="2" t="str">
        <f ca="1">IFERROR(__xludf.DUMMYFUNCTION("IF(ISBLANK(A59),"""",GOOGLETRANSLATE(A59,""en"",""de""))"),"Die wahren Kosten getrennter Systeme im Autohandel")</f>
        <v>Die wahren Kosten getrennter Systeme im Autohandel</v>
      </c>
    </row>
    <row r="60" spans="1:2" ht="13.2">
      <c r="B60" s="2" t="str">
        <f ca="1">IFERROR(__xludf.DUMMYFUNCTION("IF(ISBLANK(A60),"""",GOOGLETRANSLATE(A60,""en"",""de""))"),"")</f>
        <v/>
      </c>
    </row>
    <row r="61" spans="1:2" ht="13.2">
      <c r="B61" s="2" t="str">
        <f ca="1">IFERROR(__xludf.DUMMYFUNCTION("IF(ISBLANK(A61),"""",GOOGLETRANSLATE(A61,""en"",""de""))"),"")</f>
        <v/>
      </c>
    </row>
    <row r="62" spans="1:2" ht="13.2">
      <c r="A62" s="2" t="s">
        <v>110</v>
      </c>
      <c r="B62" s="2" t="str">
        <f ca="1">IFERROR(__xludf.DUMMYFUNCTION("IF(ISBLANK(A62),"""",GOOGLETRANSLATE(A62,""en"",""de""))"),"Captive der Zukunft: Wie Technologie Captive-Finanzierungsgeschäfte neu definiert – Wichtige Erkenntnisse aus dem Webinar der AFSA")</f>
        <v>Captive der Zukunft: Wie Technologie Captive-Finanzierungsgeschäfte neu definiert – Wichtige Erkenntnisse aus dem Webinar der AFSA</v>
      </c>
    </row>
    <row r="63" spans="1:2" ht="13.2">
      <c r="B63" s="2" t="str">
        <f ca="1">IFERROR(__xludf.DUMMYFUNCTION("IF(ISBLANK(A63),"""",GOOGLETRANSLATE(A63,""en"",""de""))"),"")</f>
        <v/>
      </c>
    </row>
    <row r="64" spans="1:2" ht="13.2">
      <c r="B64" s="2" t="str">
        <f ca="1">IFERROR(__xludf.DUMMYFUNCTION("IF(ISBLANK(A64),"""",GOOGLETRANSLATE(A64,""en"",""de""))"),"")</f>
        <v/>
      </c>
    </row>
    <row r="65" spans="1:2" ht="13.2">
      <c r="A65" s="2" t="s">
        <v>111</v>
      </c>
      <c r="B65" s="2" t="str">
        <f ca="1">IFERROR(__xludf.DUMMYFUNCTION("IF(ISBLANK(A65),"""",GOOGLETRANSLATE(A65,""en"",""de""))"),"Betrugsbekämpfung im Großkundengeschäft: Technologie zur Früherkennung und Risikominderung")</f>
        <v>Betrugsbekämpfung im Großkundengeschäft: Technologie zur Früherkennung und Risikominderung</v>
      </c>
    </row>
    <row r="66" spans="1:2" ht="13.2">
      <c r="B66" s="2" t="str">
        <f ca="1">IFERROR(__xludf.DUMMYFUNCTION("IF(ISBLANK(A66),"""",GOOGLETRANSLATE(A66,""en"",""de""))"),"")</f>
        <v/>
      </c>
    </row>
    <row r="67" spans="1:2" ht="13.2">
      <c r="A67" s="2" t="s">
        <v>114</v>
      </c>
      <c r="B67" s="2" t="str">
        <f ca="1">IFERROR(__xludf.DUMMYFUNCTION("IF(ISBLANK(A67),"""",GOOGLETRANSLATE(A67,""en"",""de""))"),"Abonnieren Sie unseren Newsletter, um die neuesten Nachrichten in Ihrem Posteingang zu erhalten.")</f>
        <v>Abonnieren Sie unseren Newsletter, um die neuesten Nachrichten in Ihrem Posteingang zu erhalten.</v>
      </c>
    </row>
    <row r="68" spans="1:2" ht="13.2">
      <c r="A68" s="2" t="s">
        <v>115</v>
      </c>
      <c r="B68" s="2" t="str">
        <f ca="1">IFERROR(__xludf.DUMMYFUNCTION("IF(ISBLANK(A68),"""",GOOGLETRANSLATE(A68,""en"",""de""))"),"abc@example.com")</f>
        <v>abc@example.com</v>
      </c>
    </row>
    <row r="69" spans="1:2" ht="13.2">
      <c r="A69" s="2" t="s">
        <v>116</v>
      </c>
      <c r="B69" s="2" t="str">
        <f ca="1">IFERROR(__xludf.DUMMYFUNCTION("IF(ISBLANK(A69),"""",GOOGLETRANSLATE(A69,""en"",""de""))"),"Abonnieren ")</f>
        <v xml:space="preserve">Abonnieren </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63"/>
  <sheetViews>
    <sheetView workbookViewId="0">
      <selection activeCell="B6" sqref="B6"/>
    </sheetView>
  </sheetViews>
  <sheetFormatPr defaultColWidth="12.5546875" defaultRowHeight="15.75" customHeight="1"/>
  <cols>
    <col min="1" max="1" width="126" customWidth="1"/>
  </cols>
  <sheetData>
    <row r="1" spans="1:2" ht="13.2">
      <c r="A1" s="1" t="s">
        <v>0</v>
      </c>
      <c r="B1" s="1" t="s">
        <v>1</v>
      </c>
    </row>
    <row r="2" spans="1:2" ht="15.75" customHeight="1">
      <c r="A2" s="2" t="s">
        <v>141</v>
      </c>
      <c r="B2" s="2" t="str">
        <f ca="1">IFERROR(__xludf.DUMMYFUNCTION("IF(ISBLANK(A2),"""",GOOGLETRANSLATE(A2,""en"",""de""))"),"Generative KI")</f>
        <v>Generative KI</v>
      </c>
    </row>
    <row r="3" spans="1:2" ht="15.75" customHeight="1">
      <c r="A3" s="2" t="s">
        <v>578</v>
      </c>
      <c r="B3" s="2" t="str">
        <f ca="1">IFERROR(__xludf.DUMMYFUNCTION("IF(ISBLANK(A3),"""",GOOGLETRANSLATE(A3,""en"",""de""))"),"Entfesseln Sie die Kraft: Generative KI-Lösungen")</f>
        <v>Entfesseln Sie die Kraft: Generative KI-Lösungen</v>
      </c>
    </row>
    <row r="4" spans="1:2" ht="15.75" customHeight="1">
      <c r="A4" s="2" t="s">
        <v>579</v>
      </c>
      <c r="B4" s="2" t="str">
        <f ca="1">IFERROR(__xludf.DUMMYFUNCTION("IF(ISBLANK(A4),"""",GOOGLETRANSLATE(A4,""en"",""de""))"),"Schaffen Sie Innovationen jenseits aller Grenzen, indem Sie Ihre Geschäftslandschaft mithilfe der Kreativität von KI umgestalten.")</f>
        <v>Schaffen Sie Innovationen jenseits aller Grenzen, indem Sie Ihre Geschäftslandschaft mithilfe der Kreativität von KI umgestalten.</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580</v>
      </c>
      <c r="B7" s="2" t="str">
        <f ca="1">IFERROR(__xludf.DUMMYFUNCTION("IF(ISBLANK(A7),"""",GOOGLETRANSLATE(A7,""en"",""de""))"),"Stärkung von Unternehmen durch intelligente generative KI-Dienste")</f>
        <v>Stärkung von Unternehmen durch intelligente generative KI-Dienste</v>
      </c>
    </row>
    <row r="8" spans="1:2" ht="15.75" customHeight="1">
      <c r="A8" s="2" t="s">
        <v>581</v>
      </c>
      <c r="B8" s="2" t="str">
        <f ca="1">IFERROR(__xludf.DUMMYFUNCTION("IF(ISBLANK(A8),"""",GOOGLETRANSLATE(A8,""en"",""de""))"),"Generative KI-Lösungen gehen über traditionelle Programmierung hinaus und ermöglichen Maschinen die eigenständige Erstellung innovativer Inhalte. Dies eröffnet grenzenlose Möglichkeiten und ermöglicht grenzenlose Innovation, Hyperpersonalisierung und beis"&amp;"piellose Effizienz. Bei NETSOL schließen wir die Lücke zwischen moderner KI und menschlicher Vorstellungskraft. Unsere Experten schreiben die Regeln des Content-Managements und der Content-Erstellung neu und läuten eine neue Geschäftsära ein, in der Daten"&amp;" zu Ihrer ultimativen Erfolgswaffe werden.")</f>
        <v>Generative KI-Lösungen gehen über traditionelle Programmierung hinaus und ermöglichen Maschinen die eigenständige Erstellung innovativer Inhalte. Dies eröffnet grenzenlose Möglichkeiten und ermöglicht grenzenlose Innovation, Hyperpersonalisierung und beispiellose Effizienz. Bei NETSOL schließen wir die Lücke zwischen moderner KI und menschlicher Vorstellungskraft. Unsere Experten schreiben die Regeln des Content-Managements und der Content-Erstellung neu und läuten eine neue Geschäftsära ein, in der Daten zu Ihrer ultimativen Erfolgswaffe werden.</v>
      </c>
    </row>
    <row r="9" spans="1:2" ht="15.75" customHeight="1">
      <c r="A9" s="2" t="s">
        <v>582</v>
      </c>
      <c r="B9" s="2" t="str">
        <f ca="1">IFERROR(__xludf.DUMMYFUNCTION("IF(ISBLANK(A9),"""",GOOGLETRANSLATE(A9,""en"",""de""))"),"KI-Vertrauen")</f>
        <v>KI-Vertrauen</v>
      </c>
    </row>
    <row r="10" spans="1:2" ht="15.75" customHeight="1">
      <c r="A10" s="2" t="s">
        <v>583</v>
      </c>
      <c r="B10" s="2" t="str">
        <f ca="1">IFERROR(__xludf.DUMMYFUNCTION("IF(ISBLANK(A10),"""",GOOGLETRANSLATE(A10,""en"",""de""))"),"52 % der Gesamtbevölkerung vertrauen darauf, dass die KI der Generation ihnen dabei hilft, fundierte Entscheidungen zu treffen.")</f>
        <v>52 % der Gesamtbevölkerung vertrauen darauf, dass die KI der Generation ihnen dabei hilft, fundierte Entscheidungen zu treffen.</v>
      </c>
    </row>
    <row r="11" spans="1:2" ht="15.75" customHeight="1">
      <c r="A11" s="2" t="s">
        <v>584</v>
      </c>
      <c r="B11" s="2" t="str">
        <f ca="1">IFERROR(__xludf.DUMMYFUNCTION("IF(ISBLANK(A11),"""",GOOGLETRANSLATE(A11,""en"",""de""))"),"KI verändert das Geschäft")</f>
        <v>KI verändert das Geschäft</v>
      </c>
    </row>
    <row r="12" spans="1:2" ht="15.75" customHeight="1">
      <c r="A12" s="2" t="s">
        <v>585</v>
      </c>
      <c r="B12" s="2" t="str">
        <f ca="1">IFERROR(__xludf.DUMMYFUNCTION("IF(ISBLANK(A12),"""",GOOGLETRANSLATE(A12,""en"",""de""))"),"75 % der Wirtschaftsexperten erwarten, dass die KI der nächsten Generation in ihrem Sektor zu disruptiven Veränderungen führen wird.")</f>
        <v>75 % der Wirtschaftsexperten erwarten, dass die KI der nächsten Generation in ihrem Sektor zu disruptiven Veränderungen führen wird.</v>
      </c>
    </row>
    <row r="13" spans="1:2" ht="15.75" customHeight="1">
      <c r="A13" s="2" t="s">
        <v>586</v>
      </c>
      <c r="B13" s="2" t="str">
        <f ca="1">IFERROR(__xludf.DUMMYFUNCTION("IF(ISBLANK(A13),"""",GOOGLETRANSLATE(A13,""en"",""de""))"),"KI-Vorteil für Investoren")</f>
        <v>KI-Vorteil für Investoren</v>
      </c>
    </row>
    <row r="14" spans="1:2" ht="15.75" customHeight="1">
      <c r="A14" s="2" t="s">
        <v>587</v>
      </c>
      <c r="B14" s="2" t="str">
        <f ca="1">IFERROR(__xludf.DUMMYFUNCTION("IF(ISBLANK(A14),"""",GOOGLETRANSLATE(A14,""en"",""de""))"),"67 % der Anleger glauben, dass KI die Anlagerendite durch gründliche Analyse und Portfoliomanagement steigert.")</f>
        <v>67 % der Anleger glauben, dass KI die Anlagerendite durch gründliche Analyse und Portfoliomanagement steigert.</v>
      </c>
    </row>
    <row r="15" spans="1:2" ht="15.75" customHeight="1">
      <c r="A15" s="2" t="s">
        <v>588</v>
      </c>
      <c r="B15" s="2" t="str">
        <f ca="1">IFERROR(__xludf.DUMMYFUNCTION("IF(ISBLANK(A15),"""",GOOGLETRANSLATE(A15,""en"",""de""))"),"Auswirkungen von GenAI")</f>
        <v>Auswirkungen von GenAI</v>
      </c>
    </row>
    <row r="16" spans="1:2" ht="15.75" customHeight="1">
      <c r="A16" s="2" t="s">
        <v>589</v>
      </c>
      <c r="B16" s="2" t="str">
        <f ca="1">IFERROR(__xludf.DUMMYFUNCTION("IF(ISBLANK(A16),"""",GOOGLETRANSLATE(A16,""en"",""de""))"),"GenAI erkennt jetzt Geschäftslücken, verwaltet mühsame Aufgaben und treibt Innovationen voran.")</f>
        <v>GenAI erkennt jetzt Geschäftslücken, verwaltet mühsame Aufgaben und treibt Innovationen voran.</v>
      </c>
    </row>
    <row r="17" spans="1:2" ht="15.75" customHeight="1">
      <c r="A17" s="2" t="s">
        <v>590</v>
      </c>
      <c r="B17" s="2" t="str">
        <f ca="1">IFERROR(__xludf.DUMMYFUNCTION("IF(ISBLANK(A17),"""",GOOGLETRANSLATE(A17,""en"",""de""))"),"KI-gestützte Erkenntnisse zu generativen KI-Diensten")</f>
        <v>KI-gestützte Erkenntnisse zu generativen KI-Diensten</v>
      </c>
    </row>
    <row r="18" spans="1:2" ht="15.75" customHeight="1">
      <c r="A18" s="2" t="s">
        <v>485</v>
      </c>
      <c r="B18" s="2" t="str">
        <f ca="1">IFERROR(__xludf.DUMMYFUNCTION("IF(ISBLANK(A18),"""",GOOGLETRANSLATE(A18,""en"",""de""))"),"NETSOL bietet risikoorientierte Sicherheitsstrategien zum Schutz Ihrer Daten, zur Gewährleistung der Compliance und zur Verbesserung der betrieblichen Agilität.")</f>
        <v>NETSOL bietet risikoorientierte Sicherheitsstrategien zum Schutz Ihrer Daten, zur Gewährleistung der Compliance und zur Verbesserung der betrieblichen Agilität.</v>
      </c>
    </row>
    <row r="19" spans="1:2" ht="15.75" customHeight="1">
      <c r="B19" s="2" t="str">
        <f ca="1">IFERROR(__xludf.DUMMYFUNCTION("IF(ISBLANK(A19),"""",GOOGLETRANSLATE(A19,""en"",""de""))"),"")</f>
        <v/>
      </c>
    </row>
    <row r="20" spans="1:2" ht="15.75" customHeight="1">
      <c r="A20" s="2" t="s">
        <v>591</v>
      </c>
      <c r="B20" s="2" t="str">
        <f ca="1">IFERROR(__xludf.DUMMYFUNCTION("IF(ISBLANK(A20),"""",GOOGLETRANSLATE(A20,""en"",""de""))"),"Träumen Sie es, generieren Sie es, erreichen Sie es mit NETSOL")</f>
        <v>Träumen Sie es, generieren Sie es, erreichen Sie es mit NETSOL</v>
      </c>
    </row>
    <row r="21" spans="1:2" ht="15.75" customHeight="1">
      <c r="A21" s="2" t="s">
        <v>569</v>
      </c>
      <c r="B21" s="2" t="str">
        <f ca="1">IFERROR(__xludf.DUMMYFUNCTION("IF(ISBLANK(A21),"""",GOOGLETRANSLATE(A21,""en"",""de""))"),"Strategie &amp; Planung")</f>
        <v>Strategie &amp; Planung</v>
      </c>
    </row>
    <row r="22" spans="1:2" ht="15.75" customHeight="1">
      <c r="A22" s="2" t="s">
        <v>592</v>
      </c>
      <c r="B22" s="2" t="str">
        <f ca="1">IFERROR(__xludf.DUMMYFUNCTION("IF(ISBLANK(A22),"""",GOOGLETRANSLATE(A22,""en"",""de""))"),"Die Entwicklung einer KI-Strategie ist für Unternehmen mit begrenztem Fachwissen und begrenzten Kapazitäten eine Herausforderung. NETSOL stärkt Ihr Unternehmen, identifiziert Lücken, findet Chancen, entwickelt maßgeschneiderte Strategien und setzt diese i"&amp;"n umsetzbare Pläne um.")</f>
        <v>Die Entwicklung einer KI-Strategie ist für Unternehmen mit begrenztem Fachwissen und begrenzten Kapazitäten eine Herausforderung. NETSOL stärkt Ihr Unternehmen, identifiziert Lücken, findet Chancen, entwickelt maßgeschneiderte Strategien und setzt diese in umsetzbare Pläne um.</v>
      </c>
    </row>
    <row r="23" spans="1:2" ht="15.75" customHeight="1">
      <c r="A23" s="2" t="s">
        <v>593</v>
      </c>
      <c r="B23" s="2" t="str">
        <f ca="1">IFERROR(__xludf.DUMMYFUNCTION("IF(ISBLANK(A23),"""",GOOGLETRANSLATE(A23,""en"",""de""))"),"Entwicklung &amp; Umsetzung")</f>
        <v>Entwicklung &amp; Umsetzung</v>
      </c>
    </row>
    <row r="24" spans="1:2" ht="13.2">
      <c r="A24" s="2" t="s">
        <v>594</v>
      </c>
      <c r="B24" s="2" t="str">
        <f ca="1">IFERROR(__xludf.DUMMYFUNCTION("IF(ISBLANK(A24),"""",GOOGLETRANSLATE(A24,""en"",""de""))"),"Die Implementierung einer generativen KI-Strategie ist eine Herausforderung. Überlassen Sie NETSOL die Aufgabe. Wir setzen Ihre Strategien mit robuster Datenerfassung, Modellauswahl, Training, Tests, Verfeinerung und Bereitstellung in Ergebnisse um.")</f>
        <v>Die Implementierung einer generativen KI-Strategie ist eine Herausforderung. Überlassen Sie NETSOL die Aufgabe. Wir setzen Ihre Strategien mit robuster Datenerfassung, Modellauswahl, Training, Tests, Verfeinerung und Bereitstellung in Ergebnisse um.</v>
      </c>
    </row>
    <row r="25" spans="1:2" ht="13.2">
      <c r="A25" s="2" t="s">
        <v>595</v>
      </c>
      <c r="B25" s="2" t="str">
        <f ca="1">IFERROR(__xludf.DUMMYFUNCTION("IF(ISBLANK(A25),"""",GOOGLETRANSLATE(A25,""en"",""de""))"),"KI-Marketing")</f>
        <v>KI-Marketing</v>
      </c>
    </row>
    <row r="26" spans="1:2" ht="13.2">
      <c r="A26" s="2" t="s">
        <v>596</v>
      </c>
      <c r="B26" s="2" t="str">
        <f ca="1">IFERROR(__xludf.DUMMYFUNCTION("IF(ISBLANK(A26),"""",GOOGLETRANSLATE(A26,""en"",""de""))"),"Die Aufmerksamkeit Ihrer Kunden zu gewinnen und sinnvolle Verbindungen zu ihnen aufzubauen, ist anspruchsvoll. Als Ihr KI-Marketingpartner nutzen wir die transformative Kraft der Gen AI, um personalisierte, datengesteuerte Erlebnisse zu schaffen, die Ihre"&amp;" Zielgruppe ansprechen.")</f>
        <v>Die Aufmerksamkeit Ihrer Kunden zu gewinnen und sinnvolle Verbindungen zu ihnen aufzubauen, ist anspruchsvoll. Als Ihr KI-Marketingpartner nutzen wir die transformative Kraft der Gen AI, um personalisierte, datengesteuerte Erlebnisse zu schaffen, die Ihre Zielgruppe ansprechen.</v>
      </c>
    </row>
    <row r="27" spans="1:2" ht="13.2">
      <c r="A27" s="2" t="s">
        <v>597</v>
      </c>
      <c r="B27" s="2" t="str">
        <f ca="1">IFERROR(__xludf.DUMMYFUNCTION("IF(ISBLANK(A27),"""",GOOGLETRANSLATE(A27,""en"",""de""))"),"Optimierung &amp; Support")</f>
        <v>Optimierung &amp; Support</v>
      </c>
    </row>
    <row r="28" spans="1:2" ht="13.2">
      <c r="A28" s="2" t="s">
        <v>598</v>
      </c>
      <c r="B28" s="2" t="str">
        <f ca="1">IFERROR(__xludf.DUMMYFUNCTION("IF(ISBLANK(A28),"""",GOOGLETRANSLATE(A28,""en"",""de""))"),"Die Leistungsfähigkeit generativer KI für Finanzdienstleistungen blieb auch nach der Implementierung im Finanzsektor unverändert hoch. Wir bieten kontinuierliche Optimierung mit echtem Support, um Spitzenleistungen aufrechtzuerhalten und gleichzeitig den "&amp;"Nutzen von KI-Lösungen zu maximieren.")</f>
        <v>Die Leistungsfähigkeit generativer KI für Finanzdienstleistungen blieb auch nach der Implementierung im Finanzsektor unverändert hoch. Wir bieten kontinuierliche Optimierung mit echtem Support, um Spitzenleistungen aufrechtzuerhalten und gleichzeitig den Nutzen von KI-Lösungen zu maximieren.</v>
      </c>
    </row>
    <row r="29" spans="1:2" ht="13.2">
      <c r="A29" s="2" t="s">
        <v>112</v>
      </c>
      <c r="B29" s="2" t="str">
        <f ca="1">IFERROR(__xludf.DUMMYFUNCTION("IF(ISBLANK(A29),"""",GOOGLETRANSLATE(A29,""en"",""de""))"),"Reden wir darüber, was als nächstes kommt")</f>
        <v>Reden wir darüber, was als nächstes kommt</v>
      </c>
    </row>
    <row r="30" spans="1:2" ht="13.2">
      <c r="A30" s="2" t="s">
        <v>599</v>
      </c>
      <c r="B30" s="2" t="str">
        <f ca="1">IFERROR(__xludf.DUMMYFUNCTION("IF(ISBLANK(A30),"""",GOOGLETRANSLATE(A30,""en"",""de""))"),"Entdecken Sie, wie NETSOL Ihrem Unternehmen helfen kann, das Beste aus Generative AI herauszuholen.")</f>
        <v>Entdecken Sie, wie NETSOL Ihrem Unternehmen helfen kann, das Beste aus Generative AI herauszuholen.</v>
      </c>
    </row>
    <row r="31" spans="1:2" ht="13.2">
      <c r="B31" s="2" t="str">
        <f ca="1">IFERROR(__xludf.DUMMYFUNCTION("IF(ISBLANK(A31),"""",GOOGLETRANSLATE(A31,""en"",""de""))"),"")</f>
        <v/>
      </c>
    </row>
    <row r="32" spans="1:2" ht="13.2">
      <c r="A32" s="2" t="s">
        <v>100</v>
      </c>
      <c r="B32" s="2" t="str">
        <f ca="1">IFERROR(__xludf.DUMMYFUNCTION("IF(ISBLANK(A32),"""",GOOGLETRANSLATE(A32,""en"",""de""))"),"Empfohlene Lektüre und Einblicke")</f>
        <v>Empfohlene Lektüre und Einblicke</v>
      </c>
    </row>
    <row r="33" spans="1:2" ht="13.2">
      <c r="A33" s="10" t="s">
        <v>101</v>
      </c>
      <c r="B33" s="2" t="str">
        <f ca="1">IFERROR(__xludf.DUMMYFUNCTION("IF(ISBLANK(A33),"""",GOOGLETRANSLATE(A33,""en"",""de""))"),"Bleiben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34" spans="1:2" ht="13.2">
      <c r="A34" s="2" t="s">
        <v>102</v>
      </c>
      <c r="B34" s="2" t="str">
        <f ca="1">IFERROR(__xludf.DUMMYFUNCTION("IF(ISBLANK(A34),"""",GOOGLETRANSLATE(A34,""en"",""de""))"),"Der Blog")</f>
        <v>Der Blog</v>
      </c>
    </row>
    <row r="35" spans="1:2" ht="13.2">
      <c r="A35" s="2" t="s">
        <v>103</v>
      </c>
      <c r="B35" s="2" t="str">
        <f ca="1">IFERROR(__xludf.DUMMYFUNCTION("IF(ISBLANK(A35),"""",GOOGLETRANSLATE(A35,""en"",""de""))"),"Über das DMS hinaus: Warum die Zukunft des Automobilhandels API-first ist")</f>
        <v>Über das DMS hinaus: Warum die Zukunft des Automobilhandels API-first ist</v>
      </c>
    </row>
    <row r="36" spans="1:2" ht="13.2">
      <c r="A36" s="2" t="s">
        <v>27</v>
      </c>
      <c r="B36" s="2" t="str">
        <f ca="1">IFERROR(__xludf.DUMMYFUNCTION("IF(ISBLANK(A36),"""",GOOGLETRANSLATE(A36,""en"",""de""))"),"Mehr erfahren")</f>
        <v>Mehr erfahren</v>
      </c>
    </row>
    <row r="37" spans="1:2" ht="13.2">
      <c r="B37" s="2" t="str">
        <f ca="1">IFERROR(__xludf.DUMMYFUNCTION("IF(ISBLANK(A37),"""",GOOGLETRANSLATE(A37,""en"",""de""))"),"")</f>
        <v/>
      </c>
    </row>
    <row r="38" spans="1:2" ht="13.2">
      <c r="A38" s="2" t="s">
        <v>104</v>
      </c>
      <c r="B38" s="2" t="str">
        <f ca="1">IFERROR(__xludf.DUMMYFUNCTION("IF(ISBLANK(A38),"""",GOOGLETRANSLATE(A38,""en"",""de""))"),"NETSOL ist auf der GlobalData Automotive Europe Conference and Awards 2025")</f>
        <v>NETSOL ist auf der GlobalData Automotive Europe Conference and Awards 2025</v>
      </c>
    </row>
    <row r="39" spans="1:2" ht="13.2">
      <c r="B39" s="2" t="str">
        <f ca="1">IFERROR(__xludf.DUMMYFUNCTION("IF(ISBLANK(A39),"""",GOOGLETRANSLATE(A39,""en"",""de""))"),"")</f>
        <v/>
      </c>
    </row>
    <row r="40" spans="1:2" ht="13.2">
      <c r="B40" s="2" t="str">
        <f ca="1">IFERROR(__xludf.DUMMYFUNCTION("IF(ISBLANK(A40),"""",GOOGLETRANSLATE(A40,""en"",""de""))"),"")</f>
        <v/>
      </c>
    </row>
    <row r="41" spans="1:2" ht="13.2">
      <c r="A41" s="2" t="s">
        <v>105</v>
      </c>
      <c r="B41" s="2" t="str">
        <f ca="1">IFERROR(__xludf.DUMMYFUNCTION("IF(ISBLANK(A41),"""",GOOGLETRANSLATE(A41,""en"",""de""))"),"NETSOL ist auf dem 25. jährlichen Auto Finance Summit: Die Zukunft der Autofinanzierung vorantreiben")</f>
        <v>NETSOL ist auf dem 25. jährlichen Auto Finance Summit: Die Zukunft der Autofinanzierung vorantreiben</v>
      </c>
    </row>
    <row r="42" spans="1:2" ht="13.2">
      <c r="B42" s="2" t="str">
        <f ca="1">IFERROR(__xludf.DUMMYFUNCTION("IF(ISBLANK(A42),"""",GOOGLETRANSLATE(A42,""en"",""de""))"),"")</f>
        <v/>
      </c>
    </row>
    <row r="43" spans="1:2" ht="13.2">
      <c r="B43" s="2" t="str">
        <f ca="1">IFERROR(__xludf.DUMMYFUNCTION("IF(ISBLANK(A43),"""",GOOGLETRANSLATE(A43,""en"",""de""))"),"")</f>
        <v/>
      </c>
    </row>
    <row r="44" spans="1:2" ht="13.2">
      <c r="A44" s="2" t="s">
        <v>106</v>
      </c>
      <c r="B44" s="2" t="str">
        <f ca="1">IFERROR(__xludf.DUMMYFUNCTION("IF(ISBLANK(A44),"""",GOOGLETRANSLATE(A44,""en"",""de""))"),"NETSOL ist beim Digital Dealer 2025 dabei: Wir stärken die Zukunft des Automobilhandels")</f>
        <v>NETSOL ist beim Digital Dealer 2025 dabei: Wir stärken die Zukunft des Automobilhandels</v>
      </c>
    </row>
    <row r="45" spans="1:2" ht="13.2">
      <c r="B45" s="2" t="str">
        <f ca="1">IFERROR(__xludf.DUMMYFUNCTION("IF(ISBLANK(A45),"""",GOOGLETRANSLATE(A45,""en"",""de""))"),"")</f>
        <v/>
      </c>
    </row>
    <row r="46" spans="1:2" ht="13.2">
      <c r="B46" s="2" t="str">
        <f ca="1">IFERROR(__xludf.DUMMYFUNCTION("IF(ISBLANK(A46),"""",GOOGLETRANSLATE(A46,""en"",""de""))"),"")</f>
        <v/>
      </c>
    </row>
    <row r="47" spans="1:2" ht="13.2">
      <c r="A47" s="6" t="s">
        <v>107</v>
      </c>
      <c r="B47" s="2" t="str">
        <f ca="1">IFERROR(__xludf.DUMMYFUNCTION("IF(ISBLANK(A47),"""",GOOGLETRANSLATE(A47,""en"",""de""))"),"KI im BFSI: Revolutionierung des Risikomanagements")</f>
        <v>KI im BFSI: Revolutionierung des Risikomanagements</v>
      </c>
    </row>
    <row r="48" spans="1:2" ht="13.2">
      <c r="B48" s="2" t="str">
        <f ca="1">IFERROR(__xludf.DUMMYFUNCTION("IF(ISBLANK(A48),"""",GOOGLETRANSLATE(A48,""en"",""de""))"),"")</f>
        <v/>
      </c>
    </row>
    <row r="49" spans="1:2" ht="13.2">
      <c r="B49" s="2" t="str">
        <f ca="1">IFERROR(__xludf.DUMMYFUNCTION("IF(ISBLANK(A49),"""",GOOGLETRANSLATE(A49,""en"",""de""))"),"")</f>
        <v/>
      </c>
    </row>
    <row r="50" spans="1:2" ht="13.2">
      <c r="A50" s="2" t="s">
        <v>108</v>
      </c>
      <c r="B50" s="2" t="str">
        <f ca="1">IFERROR(__xludf.DUMMYFUNCTION("IF(ISBLANK(A50),"""",GOOGLETRANSLATE(A50,""en"",""de""))"),"Die Bedeutung der Personalisierung im Kundenservice: Maßgeschneidertes Zahlungs- und Streitbeilegungsmanagement für Kunden")</f>
        <v>Die Bedeutung der Personalisierung im Kundenservice: Maßgeschneidertes Zahlungs- und Streitbeilegungsmanagement für Kunden</v>
      </c>
    </row>
    <row r="51" spans="1:2" ht="13.2">
      <c r="B51" s="2" t="str">
        <f ca="1">IFERROR(__xludf.DUMMYFUNCTION("IF(ISBLANK(A51),"""",GOOGLETRANSLATE(A51,""en"",""de""))"),"")</f>
        <v/>
      </c>
    </row>
    <row r="52" spans="1:2" ht="13.2">
      <c r="B52" s="2" t="str">
        <f ca="1">IFERROR(__xludf.DUMMYFUNCTION("IF(ISBLANK(A52),"""",GOOGLETRANSLATE(A52,""en"",""de""))"),"")</f>
        <v/>
      </c>
    </row>
    <row r="53" spans="1:2" ht="13.2">
      <c r="A53" s="2" t="s">
        <v>109</v>
      </c>
      <c r="B53" s="2" t="str">
        <f ca="1">IFERROR(__xludf.DUMMYFUNCTION("IF(ISBLANK(A53),"""",GOOGLETRANSLATE(A53,""en"",""de""))"),"Die wahren Kosten getrennter Systeme im Autohandel")</f>
        <v>Die wahren Kosten getrennter Systeme im Autohandel</v>
      </c>
    </row>
    <row r="54" spans="1:2" ht="13.2">
      <c r="B54" s="2" t="str">
        <f ca="1">IFERROR(__xludf.DUMMYFUNCTION("IF(ISBLANK(A54),"""",GOOGLETRANSLATE(A54,""en"",""de""))"),"")</f>
        <v/>
      </c>
    </row>
    <row r="55" spans="1:2" ht="13.2">
      <c r="B55" s="2" t="str">
        <f ca="1">IFERROR(__xludf.DUMMYFUNCTION("IF(ISBLANK(A55),"""",GOOGLETRANSLATE(A55,""en"",""de""))"),"")</f>
        <v/>
      </c>
    </row>
    <row r="56" spans="1:2" ht="13.2">
      <c r="A56" s="2" t="s">
        <v>110</v>
      </c>
      <c r="B56" s="2" t="str">
        <f ca="1">IFERROR(__xludf.DUMMYFUNCTION("IF(ISBLANK(A56),"""",GOOGLETRANSLATE(A56,""en"",""de""))"),"Captive der Zukunft: Wie Technologie Captive-Finanzierungsgeschäfte neu definiert – Wichtige Erkenntnisse aus dem Webinar der AFSA")</f>
        <v>Captive der Zukunft: Wie Technologie Captive-Finanzierungsgeschäfte neu definiert – Wichtige Erkenntnisse aus dem Webinar der AFSA</v>
      </c>
    </row>
    <row r="57" spans="1:2" ht="13.2">
      <c r="B57" s="2" t="str">
        <f ca="1">IFERROR(__xludf.DUMMYFUNCTION("IF(ISBLANK(A57),"""",GOOGLETRANSLATE(A57,""en"",""de""))"),"")</f>
        <v/>
      </c>
    </row>
    <row r="58" spans="1:2" ht="13.2">
      <c r="B58" s="2" t="str">
        <f ca="1">IFERROR(__xludf.DUMMYFUNCTION("IF(ISBLANK(A58),"""",GOOGLETRANSLATE(A58,""en"",""de""))"),"")</f>
        <v/>
      </c>
    </row>
    <row r="59" spans="1:2" ht="13.2">
      <c r="A59" s="2" t="s">
        <v>111</v>
      </c>
      <c r="B59" s="2" t="str">
        <f ca="1">IFERROR(__xludf.DUMMYFUNCTION("IF(ISBLANK(A59),"""",GOOGLETRANSLATE(A59,""en"",""de""))"),"Betrugsbekämpfung im Großkundengeschäft: Technologie zur Früherkennung und Risikominderung")</f>
        <v>Betrugsbekämpfung im Großkundengeschäft: Technologie zur Früherkennung und Risikominderung</v>
      </c>
    </row>
    <row r="60" spans="1:2" ht="13.2">
      <c r="B60" s="2" t="str">
        <f ca="1">IFERROR(__xludf.DUMMYFUNCTION("IF(ISBLANK(A60),"""",GOOGLETRANSLATE(A60,""en"",""de""))"),"")</f>
        <v/>
      </c>
    </row>
    <row r="61" spans="1:2" ht="13.2">
      <c r="A61" s="2" t="s">
        <v>114</v>
      </c>
      <c r="B61" s="2" t="str">
        <f ca="1">IFERROR(__xludf.DUMMYFUNCTION("IF(ISBLANK(A61),"""",GOOGLETRANSLATE(A61,""en"",""de""))"),"Abonnieren Sie unseren Newsletter, um die neuesten Nachrichten in Ihrem Posteingang zu erhalten.")</f>
        <v>Abonnieren Sie unseren Newsletter, um die neuesten Nachrichten in Ihrem Posteingang zu erhalten.</v>
      </c>
    </row>
    <row r="62" spans="1:2" ht="13.2">
      <c r="A62" s="2" t="s">
        <v>115</v>
      </c>
      <c r="B62" s="2" t="str">
        <f ca="1">IFERROR(__xludf.DUMMYFUNCTION("IF(ISBLANK(A62),"""",GOOGLETRANSLATE(A62,""en"",""de""))"),"abc@example.com")</f>
        <v>abc@example.com</v>
      </c>
    </row>
    <row r="63" spans="1:2" ht="13.2">
      <c r="A63" s="2" t="s">
        <v>116</v>
      </c>
      <c r="B63" s="2" t="str">
        <f ca="1">IFERROR(__xludf.DUMMYFUNCTION("IF(ISBLANK(A63),"""",GOOGLETRANSLATE(A63,""en"",""de""))"),"Abonnieren ")</f>
        <v xml:space="preserve">Abonnieren </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68"/>
  <sheetViews>
    <sheetView topLeftCell="A9" workbookViewId="0">
      <selection activeCell="B21" sqref="B21"/>
    </sheetView>
  </sheetViews>
  <sheetFormatPr defaultColWidth="12.5546875" defaultRowHeight="15.75" customHeight="1"/>
  <cols>
    <col min="1" max="1" width="113.5546875" customWidth="1"/>
  </cols>
  <sheetData>
    <row r="1" spans="1:2" ht="13.2">
      <c r="A1" s="1" t="s">
        <v>0</v>
      </c>
      <c r="B1" s="1" t="s">
        <v>1</v>
      </c>
    </row>
    <row r="2" spans="1:2" ht="15.75" customHeight="1">
      <c r="A2" s="2" t="s">
        <v>143</v>
      </c>
      <c r="B2" s="2" t="str">
        <f ca="1">IFERROR(__xludf.DUMMYFUNCTION("IF(ISBLANK(A2),"""",GOOGLETRANSLATE(A2,""en"",""de""))"),"Politik &amp; Strategie")</f>
        <v>Politik &amp; Strategie</v>
      </c>
    </row>
    <row r="3" spans="1:2" ht="15.75" customHeight="1">
      <c r="A3" s="2" t="s">
        <v>600</v>
      </c>
      <c r="B3" s="2" t="str">
        <f ca="1">IFERROR(__xludf.DUMMYFUNCTION("IF(ISBLANK(A3),"""",GOOGLETRANSLATE(A3,""en"",""de""))"),"Nutzen Sie beispiellose digitale Richtlinien und Strategien")</f>
        <v>Nutzen Sie beispiellose digitale Richtlinien und Strategien</v>
      </c>
    </row>
    <row r="4" spans="1:2" ht="15.75" customHeight="1">
      <c r="A4" s="2" t="s">
        <v>601</v>
      </c>
      <c r="B4" s="2" t="str">
        <f ca="1">IFERROR(__xludf.DUMMYFUNCTION("IF(ISBLANK(A4),"""",GOOGLETRANSLATE(A4,""en"",""de""))"),"Stärken Sie Ihr Unternehmen mit einer erfolgreichen Richtlinien- und Datenstrategie.")</f>
        <v>Stärken Sie Ihr Unternehmen mit einer erfolgreichen Richtlinien- und Datenstrategie.</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602</v>
      </c>
      <c r="B7" s="2" t="str">
        <f ca="1">IFERROR(__xludf.DUMMYFUNCTION("IF(ISBLANK(A7),"""",GOOGLETRANSLATE(A7,""en"",""de""))"),"Intelligentere Entscheidungen ermöglichen und eine zukunftssichere Grundlage schaffen")</f>
        <v>Intelligentere Entscheidungen ermöglichen und eine zukunftssichere Grundlage schaffen</v>
      </c>
    </row>
    <row r="8" spans="1:2" ht="15.75" customHeight="1">
      <c r="A8" s="2" t="s">
        <v>603</v>
      </c>
      <c r="B8" s="2" t="str">
        <f ca="1">IFERROR(__xludf.DUMMYFUNCTION("IF(ISBLANK(A8),"""",GOOGLETRANSLATE(A8,""en"",""de""))"),"Durch die Integration von KI in Ihre Richtlinien und Strategien gewinnen Unternehmen tiefere Einblicke, automatisieren mühsame Aufgaben und treffen datenbasierte Entscheidungen, um ihre Infrastruktur voranzutreiben. Mit einer transformativen digitalen Ric"&amp;"htlinien- und Datenstrategie profitieren Sie von fortschrittlicher Datenanalyse, Risikobewertung und -minimierung sowie der Überwachung der Einhaltung gesetzlicher Vorschriften. Mit unseren leistungsstarken Richtlinien- und Strategieberatungsleistungen un"&amp;"d unserer Richtlinienmanagementsoftware nutzen Sie das Potenzial von KI für intelligentere Entscheidungen, sichern sich Wettbewerbsvorteile und erzielen langfristigen Erfolg.")</f>
        <v>Durch die Integration von KI in Ihre Richtlinien und Strategien gewinnen Unternehmen tiefere Einblicke, automatisieren mühsame Aufgaben und treffen datenbasierte Entscheidungen, um ihre Infrastruktur voranzutreiben. Mit einer transformativen digitalen Richtlinien- und Datenstrategie profitieren Sie von fortschrittlicher Datenanalyse, Risikobewertung und -minimierung sowie der Überwachung der Einhaltung gesetzlicher Vorschriften. Mit unseren leistungsstarken Richtlinien- und Strategieberatungsleistungen und unserer Richtlinienmanagementsoftware nutzen Sie das Potenzial von KI für intelligentere Entscheidungen, sichern sich Wettbewerbsvorteile und erzielen langfristigen Erfolg.</v>
      </c>
    </row>
    <row r="9" spans="1:2" ht="15.75" customHeight="1">
      <c r="A9" s="2" t="s">
        <v>604</v>
      </c>
      <c r="B9" s="2" t="str">
        <f ca="1">IFERROR(__xludf.DUMMYFUNCTION("IF(ISBLANK(A9),"""",GOOGLETRANSLATE(A9,""en"",""de""))"),"Einfluss der KI")</f>
        <v>Einfluss der KI</v>
      </c>
    </row>
    <row r="10" spans="1:2" ht="15.75" customHeight="1">
      <c r="A10" s="2" t="s">
        <v>605</v>
      </c>
      <c r="B10" s="2" t="str">
        <f ca="1">IFERROR(__xludf.DUMMYFUNCTION("IF(ISBLANK(A10),"""",GOOGLETRANSLATE(A10,""en"",""de""))"),"Bis Ende 2024 werden 60 % der Regierungspolitik direkte Auswirkungen auf die KI haben.")</f>
        <v>Bis Ende 2024 werden 60 % der Regierungspolitik direkte Auswirkungen auf die KI haben.</v>
      </c>
    </row>
    <row r="11" spans="1:2" ht="15.75" customHeight="1">
      <c r="A11" s="2" t="s">
        <v>606</v>
      </c>
      <c r="B11" s="2" t="str">
        <f ca="1">IFERROR(__xludf.DUMMYFUNCTION("IF(ISBLANK(A11),"""",GOOGLETRANSLATE(A11,""en"",""de""))"),"Geschäftsintelligenz")</f>
        <v>Geschäftsintelligenz</v>
      </c>
    </row>
    <row r="12" spans="1:2" ht="15.75" customHeight="1">
      <c r="A12" s="2" t="s">
        <v>607</v>
      </c>
      <c r="B12" s="2" t="str">
        <f ca="1">IFERROR(__xludf.DUMMYFUNCTION("IF(ISBLANK(A12),"""",GOOGLETRANSLATE(A12,""en"",""de""))"),"83 % der Unternehmen nutzen die Leistungsfähigkeit von KI, um ihre eigenen Geschäftsrichtlinien und -strategien zu entwickeln.")</f>
        <v>83 % der Unternehmen nutzen die Leistungsfähigkeit von KI, um ihre eigenen Geschäftsrichtlinien und -strategien zu entwickeln.</v>
      </c>
    </row>
    <row r="13" spans="1:2" ht="15.75" customHeight="1">
      <c r="A13" s="2" t="s">
        <v>608</v>
      </c>
      <c r="B13" s="2" t="str">
        <f ca="1">IFERROR(__xludf.DUMMYFUNCTION("IF(ISBLANK(A13),"""",GOOGLETRANSLATE(A13,""en"",""de""))"),"Dateninfusion")</f>
        <v>Dateninfusion</v>
      </c>
    </row>
    <row r="14" spans="1:2" ht="15.75" customHeight="1">
      <c r="A14" s="2" t="s">
        <v>609</v>
      </c>
      <c r="B14" s="2" t="str">
        <f ca="1">IFERROR(__xludf.DUMMYFUNCTION("IF(ISBLANK(A14),"""",GOOGLETRANSLATE(A14,""en"",""de""))"),"Für eine herausragende Datenstrategie konzentrieren sich über 61 % der Vermarkter auf die Integration von KI und ML.")</f>
        <v>Für eine herausragende Datenstrategie konzentrieren sich über 61 % der Vermarkter auf die Integration von KI und ML.</v>
      </c>
    </row>
    <row r="15" spans="1:2" ht="15.75" customHeight="1">
      <c r="A15" s="2" t="s">
        <v>610</v>
      </c>
      <c r="B15" s="2" t="str">
        <f ca="1">IFERROR(__xludf.DUMMYFUNCTION("IF(ISBLANK(A15),"""",GOOGLETRANSLATE(A15,""en"",""de""))"),"KI-Automatisierung")</f>
        <v>KI-Automatisierung</v>
      </c>
    </row>
    <row r="16" spans="1:2" ht="15.75" customHeight="1">
      <c r="A16" s="2" t="s">
        <v>611</v>
      </c>
      <c r="B16" s="2" t="str">
        <f ca="1">IFERROR(__xludf.DUMMYFUNCTION("IF(ISBLANK(A16),"""",GOOGLETRANSLATE(A16,""en"",""de""))"),"Mithilfe von KI können 50 % der Unternehmen ihren Richtlinien- und Strategieentwicklungsprozess automatisieren.")</f>
        <v>Mithilfe von KI können 50 % der Unternehmen ihren Richtlinien- und Strategieentwicklungsprozess automatisieren.</v>
      </c>
    </row>
    <row r="17" spans="1:2" ht="15.75" customHeight="1">
      <c r="A17" s="2" t="s">
        <v>612</v>
      </c>
      <c r="B17" s="2" t="str">
        <f ca="1">IFERROR(__xludf.DUMMYFUNCTION("IF(ISBLANK(A17),"""",GOOGLETRANSLATE(A17,""en"",""de""))"),"KI-gestützte Erkenntnisse zu Politik und Strategie")</f>
        <v>KI-gestützte Erkenntnisse zu Politik und Strategie</v>
      </c>
    </row>
    <row r="18" spans="1:2" ht="15.75" customHeight="1">
      <c r="A18" s="2" t="s">
        <v>485</v>
      </c>
      <c r="B18" s="2" t="str">
        <f ca="1">IFERROR(__xludf.DUMMYFUNCTION("IF(ISBLANK(A18),"""",GOOGLETRANSLATE(A18,""en"",""de""))"),"NETSOL bietet risikoorientierte Sicherheitsstrategien zum Schutz Ihrer Daten, zur Gewährleistung der Compliance und zur Verbesserung der betrieblichen Agilität.")</f>
        <v>NETSOL bietet risikoorientierte Sicherheitsstrategien zum Schutz Ihrer Daten, zur Gewährleistung der Compliance und zur Verbesserung der betrieblichen Agilität.</v>
      </c>
    </row>
    <row r="19" spans="1:2" ht="15.75" customHeight="1">
      <c r="A19" s="2" t="s">
        <v>613</v>
      </c>
      <c r="B19" s="2" t="str">
        <f ca="1">IFERROR(__xludf.DUMMYFUNCTION("IF(ISBLANK(A19),"""",GOOGLETRANSLATE(A19,""en"",""de""))"),"2,3-mal strategische Planung")</f>
        <v>2,3-mal strategische Planung</v>
      </c>
    </row>
    <row r="20" spans="1:2" ht="15.75" customHeight="1">
      <c r="A20" s="2" t="s">
        <v>614</v>
      </c>
      <c r="B20" s="2" t="str">
        <f ca="1">IFERROR(__xludf.DUMMYFUNCTION("IF(ISBLANK(A20),"""",GOOGLETRANSLATE(A20,""en"",""de""))"),"Organisationen mit einem formalen strategischen A20Planungsprozess haben eine 2,3-mal höhere Wahrscheinlichkeit, ihre Konkurrenten zu übertreffen.")</f>
        <v>Organisationen mit einem formalen strategischen A20Planungsprozess haben eine 2,3-mal höhere Wahrscheinlichkeit, ihre Konkurrenten zu übertreffen.</v>
      </c>
    </row>
    <row r="21" spans="1:2" ht="15.75" customHeight="1">
      <c r="A21" s="2" t="s">
        <v>615</v>
      </c>
      <c r="B21" s="2" t="str">
        <f ca="1">IFERROR(__xludf.DUMMYFUNCTION("IF(ISBLANK(A21),"""",GOOGLETRANSLATE(A21,""en"",""de""))"),"Erleben Sie die Leistungsfähigkeit digitaler Innovation und Talent-Partnerschaftsdienste")</f>
        <v>Erleben Sie die Leistungsfähigkeit digitaler Innovation und Talent-Partnerschaftsdienste</v>
      </c>
    </row>
    <row r="22" spans="1:2" ht="15.75" customHeight="1">
      <c r="A22" s="2" t="s">
        <v>616</v>
      </c>
      <c r="B22" s="2" t="str">
        <f ca="1">IFERROR(__xludf.DUMMYFUNCTION("IF(ISBLANK(A22),"""",GOOGLETRANSLATE(A22,""en"",""de""))"),"Digitalpolitik und -strategie")</f>
        <v>Digitalpolitik und -strategie</v>
      </c>
    </row>
    <row r="23" spans="1:2" ht="15.75" customHeight="1">
      <c r="A23" s="2" t="s">
        <v>617</v>
      </c>
      <c r="B23" s="2" t="str">
        <f ca="1">IFERROR(__xludf.DUMMYFUNCTION("IF(ISBLANK(A23),"""",GOOGLETRANSLATE(A23,""en"",""de""))"),"Eine klar definierte digitale Strategie ist der Grundstein jedes erfolgreichen Unternehmens. NETSOL bietet einen Fahrplan für die Nutzung von Technologie zur Erreichung Ihrer Geschäftsziele, zur Risikominimierung und Innovationsförderung bei gleichzeitige"&amp;"r effizienter Navigation durch die sich entwickelnde digitale Landschaft.")</f>
        <v>Eine klar definierte digitale Strategie ist der Grundstein jedes erfolgreichen Unternehmens. NETSOL bietet einen Fahrplan für die Nutzung von Technologie zur Erreichung Ihrer Geschäftsziele, zur Risikominimierung und Innovationsförderung bei gleichzeitiger effizienter Navigation durch die sich entwickelnde digitale Landschaft.</v>
      </c>
    </row>
    <row r="24" spans="1:2" ht="13.2">
      <c r="A24" s="2" t="s">
        <v>618</v>
      </c>
      <c r="B24" s="2" t="str">
        <f ca="1">IFERROR(__xludf.DUMMYFUNCTION("IF(ISBLANK(A24),"""",GOOGLETRANSLATE(A24,""en"",""de""))"),"Digitale Transformation")</f>
        <v>Digitale Transformation</v>
      </c>
    </row>
    <row r="25" spans="1:2" ht="13.2">
      <c r="A25" s="2" t="s">
        <v>619</v>
      </c>
      <c r="B25" s="2" t="str">
        <f ca="1">IFERROR(__xludf.DUMMYFUNCTION("IF(ISBLANK(A25),"""",GOOGLETRANSLATE(A25,""en"",""de""))"),"Verwandeln Sie Ihre Rohdaten in umsetzbare Erkenntnisse, entwickeln Sie eine robuste Datenarchitektur und entwickeln Sie eine klare Datenstrategie, die Ihr Geschäftswachstum fördert. NETSOL entwickelt eine effektive Strategie zur digitalen Transformation "&amp;"durch den Einsatz fortschrittlicher digitaler Dienste und Tools.")</f>
        <v>Verwandeln Sie Ihre Rohdaten in umsetzbare Erkenntnisse, entwickeln Sie eine robuste Datenarchitektur und entwickeln Sie eine klare Datenstrategie, die Ihr Geschäftswachstum fördert. NETSOL entwickelt eine effektive Strategie zur digitalen Transformation durch den Einsatz fortschrittlicher digitaler Dienste und Tools.</v>
      </c>
    </row>
    <row r="26" spans="1:2" ht="13.2">
      <c r="A26" s="2" t="s">
        <v>620</v>
      </c>
      <c r="B26" s="2" t="str">
        <f ca="1">IFERROR(__xludf.DUMMYFUNCTION("IF(ISBLANK(A26),"""",GOOGLETRANSLATE(A26,""en"",""de""))"),"Cybersicherheitsrichtlinie")</f>
        <v>Cybersicherheitsrichtlinie</v>
      </c>
    </row>
    <row r="27" spans="1:2" ht="13.2">
      <c r="A27" s="2" t="s">
        <v>621</v>
      </c>
      <c r="B27" s="2" t="str">
        <f ca="1">IFERROR(__xludf.DUMMYFUNCTION("IF(ISBLANK(A27),"""",GOOGLETRANSLATE(A27,""en"",""de""))"),"Schützen Sie Ihre digitalen Vermögenswerte vor Datenlecks, Cyberangriffen und Compliance-Problemen mit einer umfassenden Informations- und Cybersicherheitsrichtlinie, die sich auf Risikobewertung, Richtlinienentwicklung und -implementierung sowie die Behe"&amp;"bung von Compliance-Lücken konzentriert.")</f>
        <v>Schützen Sie Ihre digitalen Vermögenswerte vor Datenlecks, Cyberangriffen und Compliance-Problemen mit einer umfassenden Informations- und Cybersicherheitsrichtlinie, die sich auf Risikobewertung, Richtlinienentwicklung und -implementierung sowie die Behebung von Compliance-Lücken konzentriert.</v>
      </c>
    </row>
    <row r="28" spans="1:2" ht="13.2">
      <c r="A28" s="2" t="s">
        <v>622</v>
      </c>
      <c r="B28" s="2" t="str">
        <f ca="1">IFERROR(__xludf.DUMMYFUNCTION("IF(ISBLANK(A28),"""",GOOGLETRANSLATE(A28,""en"",""de""))"),"Cloud-Migrationsstrategie")</f>
        <v>Cloud-Migrationsstrategie</v>
      </c>
    </row>
    <row r="29" spans="1:2" ht="13.2">
      <c r="A29" s="2" t="s">
        <v>623</v>
      </c>
      <c r="B29" s="2" t="str">
        <f ca="1">IFERROR(__xludf.DUMMYFUNCTION("IF(ISBLANK(A29),"""",GOOGLETRANSLATE(A29,""en"",""de""))"),"Ohne eine robuste Cloud-Migrationsstrategie kann der Prozess störend, komplex und kostspielig sein. Mit uns steuern Sie Ihre Reise in die Cloud mit einem klaren Fahrplan, der durch Geschäftsanalysen, Migrationsmethoden, Compliance-Überlegungen und die Aus"&amp;"wahl der Cloud-Plattform unterstützt wird.")</f>
        <v>Ohne eine robuste Cloud-Migrationsstrategie kann der Prozess störend, komplex und kostspielig sein. Mit uns steuern Sie Ihre Reise in die Cloud mit einem klaren Fahrplan, der durch Geschäftsanalysen, Migrationsmethoden, Compliance-Überlegungen und die Auswahl der Cloud-Plattform unterstützt wird.</v>
      </c>
    </row>
    <row r="30" spans="1:2" ht="13.2">
      <c r="A30" s="2" t="s">
        <v>624</v>
      </c>
      <c r="B30" s="2" t="str">
        <f ca="1">IFERROR(__xludf.DUMMYFUNCTION("IF(ISBLANK(A30),"""",GOOGLETRANSLATE(A30,""en"",""de""))"),"Hybrid-Cloud-Strategie")</f>
        <v>Hybrid-Cloud-Strategie</v>
      </c>
    </row>
    <row r="31" spans="1:2" ht="13.2">
      <c r="A31" s="2" t="s">
        <v>625</v>
      </c>
      <c r="B31" s="2" t="str">
        <f ca="1">IFERROR(__xludf.DUMMYFUNCTION("IF(ISBLANK(A31),"""",GOOGLETRANSLATE(A31,""en"",""de""))"),"Mit einer Hybrid-Cloud-Strategie können Sie lokale Ressourcen mit einem öffentlichen Cloud-Dienst kombinieren. NETSOL entwickelt eine effektive Hybrid-Cloud-Strategie mit Richtlinien- und Verfahrenssoftware, die sorgfältige Planung, nahtlose API-Integrati"&amp;"on sowie konsistente Sicherheits- und Compliance-Praktiken bietet.")</f>
        <v>Mit einer Hybrid-Cloud-Strategie können Sie lokale Ressourcen mit einem öffentlichen Cloud-Dienst kombinieren. NETSOL entwickelt eine effektive Hybrid-Cloud-Strategie mit Richtlinien- und Verfahrenssoftware, die sorgfältige Planung, nahtlose API-Integration sowie konsistente Sicherheits- und Compliance-Praktiken bietet.</v>
      </c>
    </row>
    <row r="32" spans="1:2" ht="13.2">
      <c r="A32" s="2" t="s">
        <v>626</v>
      </c>
      <c r="B32" s="2" t="str">
        <f ca="1">IFERROR(__xludf.DUMMYFUNCTION("IF(ISBLANK(A32),"""",GOOGLETRANSLATE(A32,""en"",""de""))"),"Multi-Cloud-Strategie")</f>
        <v>Multi-Cloud-Strategie</v>
      </c>
    </row>
    <row r="33" spans="1:2" ht="13.2">
      <c r="A33" s="2" t="s">
        <v>627</v>
      </c>
      <c r="B33" s="2" t="str">
        <f ca="1">IFERROR(__xludf.DUMMYFUNCTION("IF(ISBLANK(A33),"""",GOOGLETRANSLATE(A33,""en"",""de""))"),"Mit einer Multi-Cloud-Strategie verwalten und implementieren Sie Ihre Anwendungen über mehrere öffentliche Cloud-Anbieter hinweg. NETSOL bietet einen umfassenden Ansatz zur Entwicklung und Umsetzung einer Multi-Cloud-Strategie mit Strategieentwicklung, Si"&amp;"cherheits- und Compliance-Management.")</f>
        <v>Mit einer Multi-Cloud-Strategie verwalten und implementieren Sie Ihre Anwendungen über mehrere öffentliche Cloud-Anbieter hinweg. NETSOL bietet einen umfassenden Ansatz zur Entwicklung und Umsetzung einer Multi-Cloud-Strategie mit Strategieentwicklung, Sicherheits- und Compliance-Management.</v>
      </c>
    </row>
    <row r="34" spans="1:2" ht="13.2">
      <c r="A34" s="2" t="s">
        <v>628</v>
      </c>
      <c r="B34" s="2" t="str">
        <f ca="1">IFERROR(__xludf.DUMMYFUNCTION("IF(ISBLANK(A34),"""",GOOGLETRANSLATE(A34,""en"",""de""))"),"Bereit, loszulegen?")</f>
        <v>Bereit, loszulegen?</v>
      </c>
    </row>
    <row r="35" spans="1:2" ht="13.2">
      <c r="A35" s="2" t="s">
        <v>629</v>
      </c>
      <c r="B35" s="2" t="str">
        <f ca="1">IFERROR(__xludf.DUMMYFUNCTION("IF(ISBLANK(A35),"""",GOOGLETRANSLATE(A35,""en"",""de""))"),"Entdecken Sie, wie NETSOL KI für intelligentere Prozesse bei der Politik- und Strategieentwicklung nutzt.")</f>
        <v>Entdecken Sie, wie NETSOL KI für intelligentere Prozesse bei der Politik- und Strategieentwicklung nutzt.</v>
      </c>
    </row>
    <row r="36" spans="1:2" ht="13.2">
      <c r="B36" s="2" t="str">
        <f ca="1">IFERROR(__xludf.DUMMYFUNCTION("IF(ISBLANK(A36),"""",GOOGLETRANSLATE(A36,""en"",""de""))"),"")</f>
        <v/>
      </c>
    </row>
    <row r="37" spans="1:2" ht="13.2">
      <c r="A37" s="2" t="s">
        <v>100</v>
      </c>
      <c r="B37" s="2" t="str">
        <f ca="1">IFERROR(__xludf.DUMMYFUNCTION("IF(ISBLANK(A37),"""",GOOGLETRANSLATE(A37,""en"",""de""))"),"Empfohlene Lektüre und Einblicke")</f>
        <v>Empfohlene Lektüre und Einblicke</v>
      </c>
    </row>
    <row r="38" spans="1:2" ht="13.2">
      <c r="A38" s="10" t="s">
        <v>101</v>
      </c>
      <c r="B38" s="2" t="str">
        <f ca="1">IFERROR(__xludf.DUMMYFUNCTION("IF(ISBLANK(A38),"""",GOOGLETRANSLATE(A38,""en"",""de""))"),"Bleiben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39" spans="1:2" ht="13.2">
      <c r="A39" s="2" t="s">
        <v>102</v>
      </c>
      <c r="B39" s="2" t="str">
        <f ca="1">IFERROR(__xludf.DUMMYFUNCTION("IF(ISBLANK(A39),"""",GOOGLETRANSLATE(A39,""en"",""de""))"),"Der Blog")</f>
        <v>Der Blog</v>
      </c>
    </row>
    <row r="40" spans="1:2" ht="13.2">
      <c r="A40" s="2" t="s">
        <v>103</v>
      </c>
      <c r="B40" s="2" t="str">
        <f ca="1">IFERROR(__xludf.DUMMYFUNCTION("IF(ISBLANK(A40),"""",GOOGLETRANSLATE(A40,""en"",""de""))"),"Über das DMS hinaus: Warum die Zukunft des Automobilhandels API-first ist")</f>
        <v>Über das DMS hinaus: Warum die Zukunft des Automobilhandels API-first ist</v>
      </c>
    </row>
    <row r="41" spans="1:2" ht="13.2">
      <c r="A41" s="2" t="s">
        <v>27</v>
      </c>
      <c r="B41" s="2" t="str">
        <f ca="1">IFERROR(__xludf.DUMMYFUNCTION("IF(ISBLANK(A41),"""",GOOGLETRANSLATE(A41,""en"",""de""))"),"Mehr erfahren")</f>
        <v>Mehr erfahren</v>
      </c>
    </row>
    <row r="42" spans="1:2" ht="13.2">
      <c r="B42" s="2" t="str">
        <f ca="1">IFERROR(__xludf.DUMMYFUNCTION("IF(ISBLANK(A42),"""",GOOGLETRANSLATE(A42,""en"",""de""))"),"")</f>
        <v/>
      </c>
    </row>
    <row r="43" spans="1:2" ht="13.2">
      <c r="A43" s="2" t="s">
        <v>104</v>
      </c>
      <c r="B43" s="2" t="str">
        <f ca="1">IFERROR(__xludf.DUMMYFUNCTION("IF(ISBLANK(A43),"""",GOOGLETRANSLATE(A43,""en"",""de""))"),"NETSOL ist auf der GlobalData Automotive Europe Conference and Awards 2025")</f>
        <v>NETSOL ist auf der GlobalData Automotive Europe Conference and Awards 2025</v>
      </c>
    </row>
    <row r="44" spans="1:2" ht="13.2">
      <c r="B44" s="2" t="str">
        <f ca="1">IFERROR(__xludf.DUMMYFUNCTION("IF(ISBLANK(A44),"""",GOOGLETRANSLATE(A44,""en"",""de""))"),"")</f>
        <v/>
      </c>
    </row>
    <row r="45" spans="1:2" ht="13.2">
      <c r="B45" s="2" t="str">
        <f ca="1">IFERROR(__xludf.DUMMYFUNCTION("IF(ISBLANK(A45),"""",GOOGLETRANSLATE(A45,""en"",""de""))"),"")</f>
        <v/>
      </c>
    </row>
    <row r="46" spans="1:2" ht="13.2">
      <c r="A46" s="2" t="s">
        <v>105</v>
      </c>
      <c r="B46" s="2" t="str">
        <f ca="1">IFERROR(__xludf.DUMMYFUNCTION("IF(ISBLANK(A46),"""",GOOGLETRANSLATE(A46,""en"",""de""))"),"NETSOL ist auf dem 25. jährlichen Auto Finance Summit: Die Zukunft der Autofinanzierung vorantreiben")</f>
        <v>NETSOL ist auf dem 25. jährlichen Auto Finance Summit: Die Zukunft der Autofinanzierung vorantreiben</v>
      </c>
    </row>
    <row r="47" spans="1:2" ht="13.2">
      <c r="B47" s="2" t="str">
        <f ca="1">IFERROR(__xludf.DUMMYFUNCTION("IF(ISBLANK(A47),"""",GOOGLETRANSLATE(A47,""en"",""de""))"),"")</f>
        <v/>
      </c>
    </row>
    <row r="48" spans="1:2" ht="13.2">
      <c r="B48" s="2" t="str">
        <f ca="1">IFERROR(__xludf.DUMMYFUNCTION("IF(ISBLANK(A48),"""",GOOGLETRANSLATE(A48,""en"",""de""))"),"")</f>
        <v/>
      </c>
    </row>
    <row r="49" spans="1:2" ht="13.2">
      <c r="A49" s="2" t="s">
        <v>106</v>
      </c>
      <c r="B49" s="2" t="str">
        <f ca="1">IFERROR(__xludf.DUMMYFUNCTION("IF(ISBLANK(A49),"""",GOOGLETRANSLATE(A49,""en"",""de""))"),"NETSOL ist beim Digital Dealer 2025 dabei: Wir stärken die Zukunft des Automobilhandels")</f>
        <v>NETSOL ist beim Digital Dealer 2025 dabei: Wir stärken die Zukunft des Automobilhandels</v>
      </c>
    </row>
    <row r="50" spans="1:2" ht="13.2">
      <c r="B50" s="2" t="str">
        <f ca="1">IFERROR(__xludf.DUMMYFUNCTION("IF(ISBLANK(A50),"""",GOOGLETRANSLATE(A50,""en"",""de""))"),"")</f>
        <v/>
      </c>
    </row>
    <row r="51" spans="1:2" ht="13.2">
      <c r="B51" s="2" t="str">
        <f ca="1">IFERROR(__xludf.DUMMYFUNCTION("IF(ISBLANK(A51),"""",GOOGLETRANSLATE(A51,""en"",""de""))"),"")</f>
        <v/>
      </c>
    </row>
    <row r="52" spans="1:2" ht="13.2">
      <c r="A52" s="6" t="s">
        <v>107</v>
      </c>
      <c r="B52" s="2" t="str">
        <f ca="1">IFERROR(__xludf.DUMMYFUNCTION("IF(ISBLANK(A52),"""",GOOGLETRANSLATE(A52,""en"",""de""))"),"KI im BFSI: Revolutionierung des Risikomanagements")</f>
        <v>KI im BFSI: Revolutionierung des Risikomanagements</v>
      </c>
    </row>
    <row r="53" spans="1:2" ht="13.2">
      <c r="B53" s="2" t="str">
        <f ca="1">IFERROR(__xludf.DUMMYFUNCTION("IF(ISBLANK(A53),"""",GOOGLETRANSLATE(A53,""en"",""de""))"),"")</f>
        <v/>
      </c>
    </row>
    <row r="54" spans="1:2" ht="13.2">
      <c r="B54" s="2" t="str">
        <f ca="1">IFERROR(__xludf.DUMMYFUNCTION("IF(ISBLANK(A54),"""",GOOGLETRANSLATE(A54,""en"",""de""))"),"")</f>
        <v/>
      </c>
    </row>
    <row r="55" spans="1:2" ht="13.2">
      <c r="A55" s="2" t="s">
        <v>108</v>
      </c>
      <c r="B55" s="2" t="str">
        <f ca="1">IFERROR(__xludf.DUMMYFUNCTION("IF(ISBLANK(A55),"""",GOOGLETRANSLATE(A55,""en"",""de""))"),"Die Bedeutung der Personalisierung im Kundenservice: Maßgeschneidertes Zahlungs- und Streitbeilegungsmanagement für Kunden")</f>
        <v>Die Bedeutung der Personalisierung im Kundenservice: Maßgeschneidertes Zahlungs- und Streitbeilegungsmanagement für Kunden</v>
      </c>
    </row>
    <row r="56" spans="1:2" ht="13.2">
      <c r="B56" s="2" t="str">
        <f ca="1">IFERROR(__xludf.DUMMYFUNCTION("IF(ISBLANK(A56),"""",GOOGLETRANSLATE(A56,""en"",""de""))"),"")</f>
        <v/>
      </c>
    </row>
    <row r="57" spans="1:2" ht="13.2">
      <c r="B57" s="2" t="str">
        <f ca="1">IFERROR(__xludf.DUMMYFUNCTION("IF(ISBLANK(A57),"""",GOOGLETRANSLATE(A57,""en"",""de""))"),"")</f>
        <v/>
      </c>
    </row>
    <row r="58" spans="1:2" ht="13.2">
      <c r="A58" s="2" t="s">
        <v>109</v>
      </c>
      <c r="B58" s="2" t="str">
        <f ca="1">IFERROR(__xludf.DUMMYFUNCTION("IF(ISBLANK(A58),"""",GOOGLETRANSLATE(A58,""en"",""de""))"),"Die wahren Kosten getrennter Systeme im Autohandel")</f>
        <v>Die wahren Kosten getrennter Systeme im Autohandel</v>
      </c>
    </row>
    <row r="59" spans="1:2" ht="13.2">
      <c r="B59" s="2" t="str">
        <f ca="1">IFERROR(__xludf.DUMMYFUNCTION("IF(ISBLANK(A59),"""",GOOGLETRANSLATE(A59,""en"",""de""))"),"")</f>
        <v/>
      </c>
    </row>
    <row r="60" spans="1:2" ht="13.2">
      <c r="B60" s="2" t="str">
        <f ca="1">IFERROR(__xludf.DUMMYFUNCTION("IF(ISBLANK(A60),"""",GOOGLETRANSLATE(A60,""en"",""de""))"),"")</f>
        <v/>
      </c>
    </row>
    <row r="61" spans="1:2" ht="13.2">
      <c r="A61" s="2" t="s">
        <v>110</v>
      </c>
      <c r="B61" s="2" t="str">
        <f ca="1">IFERROR(__xludf.DUMMYFUNCTION("IF(ISBLANK(A61),"""",GOOGLETRANSLATE(A61,""en"",""de""))"),"Captive der Zukunft: Wie Technologie Captive-Finanzierungsgeschäfte neu definiert – Wichtige Erkenntnisse aus dem Webinar der AFSA")</f>
        <v>Captive der Zukunft: Wie Technologie Captive-Finanzierungsgeschäfte neu definiert – Wichtige Erkenntnisse aus dem Webinar der AFSA</v>
      </c>
    </row>
    <row r="62" spans="1:2" ht="13.2">
      <c r="B62" s="2" t="str">
        <f ca="1">IFERROR(__xludf.DUMMYFUNCTION("IF(ISBLANK(A62),"""",GOOGLETRANSLATE(A62,""en"",""de""))"),"")</f>
        <v/>
      </c>
    </row>
    <row r="63" spans="1:2" ht="13.2">
      <c r="B63" s="2" t="str">
        <f ca="1">IFERROR(__xludf.DUMMYFUNCTION("IF(ISBLANK(A63),"""",GOOGLETRANSLATE(A63,""en"",""de""))"),"")</f>
        <v/>
      </c>
    </row>
    <row r="64" spans="1:2" ht="13.2">
      <c r="A64" s="2" t="s">
        <v>111</v>
      </c>
      <c r="B64" s="2" t="str">
        <f ca="1">IFERROR(__xludf.DUMMYFUNCTION("IF(ISBLANK(A64),"""",GOOGLETRANSLATE(A64,""en"",""de""))"),"Betrugsbekämpfung im Großkundengeschäft: Technologie zur Früherkennung und Risikominderung")</f>
        <v>Betrugsbekämpfung im Großkundengeschäft: Technologie zur Früherkennung und Risikominderung</v>
      </c>
    </row>
    <row r="65" spans="1:2" ht="13.2">
      <c r="B65" s="2" t="str">
        <f ca="1">IFERROR(__xludf.DUMMYFUNCTION("IF(ISBLANK(A65),"""",GOOGLETRANSLATE(A65,""en"",""de""))"),"")</f>
        <v/>
      </c>
    </row>
    <row r="66" spans="1:2" ht="13.2">
      <c r="A66" s="2" t="s">
        <v>114</v>
      </c>
      <c r="B66" s="2" t="str">
        <f ca="1">IFERROR(__xludf.DUMMYFUNCTION("IF(ISBLANK(A66),"""",GOOGLETRANSLATE(A66,""en"",""de""))"),"Abonnieren Sie unseren Newsletter, um die neuesten Nachrichten in Ihrem Posteingang zu erhalten.")</f>
        <v>Abonnieren Sie unseren Newsletter, um die neuesten Nachrichten in Ihrem Posteingang zu erhalten.</v>
      </c>
    </row>
    <row r="67" spans="1:2" ht="13.2">
      <c r="A67" s="2" t="s">
        <v>115</v>
      </c>
      <c r="B67" s="2" t="str">
        <f ca="1">IFERROR(__xludf.DUMMYFUNCTION("IF(ISBLANK(A67),"""",GOOGLETRANSLATE(A67,""en"",""de""))"),"abc@example.com")</f>
        <v>abc@example.com</v>
      </c>
    </row>
    <row r="68" spans="1:2" ht="13.2">
      <c r="A68" s="2" t="s">
        <v>116</v>
      </c>
      <c r="B68" s="2" t="str">
        <f ca="1">IFERROR(__xludf.DUMMYFUNCTION("IF(ISBLANK(A68),"""",GOOGLETRANSLATE(A68,""en"",""de""))"),"Abonnieren ")</f>
        <v xml:space="preserve">Abonnieren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64"/>
  <sheetViews>
    <sheetView topLeftCell="A52" workbookViewId="0">
      <selection sqref="A1:B64"/>
    </sheetView>
  </sheetViews>
  <sheetFormatPr defaultColWidth="12.5546875" defaultRowHeight="15.75" customHeight="1"/>
  <cols>
    <col min="1" max="1" width="113.5546875" customWidth="1"/>
  </cols>
  <sheetData>
    <row r="1" spans="1:2" ht="13.2">
      <c r="A1" s="1" t="s">
        <v>0</v>
      </c>
      <c r="B1" s="1" t="s">
        <v>1</v>
      </c>
    </row>
    <row r="2" spans="1:2" ht="15.75" customHeight="1">
      <c r="A2" s="2" t="s">
        <v>144</v>
      </c>
      <c r="B2" s="2" t="str">
        <f ca="1">IFERROR(__xludf.DUMMYFUNCTION("IF(ISBLANK(A2),"""",GOOGLETRANSLATE(A2,""en"",""de""))"),"Neue Technologien")</f>
        <v>Neue Technologien</v>
      </c>
    </row>
    <row r="3" spans="1:2" ht="15.75" customHeight="1">
      <c r="A3" s="2" t="s">
        <v>630</v>
      </c>
      <c r="B3" s="2" t="str">
        <f ca="1">IFERROR(__xludf.DUMMYFUNCTION("IF(ISBLANK(A3),"""",GOOGLETRANSLATE(A3,""en"",""de""))"),"Erleben Sie Web 3.0 und neue Technologien")</f>
        <v>Erleben Sie Web 3.0 und neue Technologien</v>
      </c>
    </row>
    <row r="4" spans="1:2" ht="15.75" customHeight="1">
      <c r="A4" s="2" t="s">
        <v>631</v>
      </c>
      <c r="B4" s="2" t="str">
        <f ca="1">IFERROR(__xludf.DUMMYFUNCTION("IF(ISBLANK(A4),"""",GOOGLETRANSLATE(A4,""en"",""de""))"),"Stärken Sie die Zukunft mit fortschrittlichen Web 3.0-Diensten und neuen Technologien.")</f>
        <v>Stärken Sie die Zukunft mit fortschrittlichen Web 3.0-Diensten und neuen Technologien.</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632</v>
      </c>
      <c r="B7" s="2" t="str">
        <f ca="1">IFERROR(__xludf.DUMMYFUNCTION("IF(ISBLANK(A7),"""",GOOGLETRANSLATE(A7,""en"",""de""))"),"Begrüßen Sie den Beginn einer neuen Ära mit fortschrittlichen Web 3.0-Diensten")</f>
        <v>Begrüßen Sie den Beginn einer neuen Ära mit fortschrittlichen Web 3.0-Diensten</v>
      </c>
    </row>
    <row r="8" spans="1:2" ht="15.75" customHeight="1">
      <c r="A8" s="2" t="s">
        <v>633</v>
      </c>
      <c r="B8" s="2" t="str">
        <f ca="1">IFERROR(__xludf.DUMMYFUNCTION("IF(ISBLANK(A8),"""",GOOGLETRANSLATE(A8,""en"",""de""))"),"Web 3.0, das dezentrale Web der Zukunft, verspricht ein umfassenderes, benutzerzentriertes und intelligenteres Erlebnis. Durch den Einsatz innovativer und zukunftsorientierter Technologien können Unternehmen ihr Wachstum mit Lösungen wie KI, Blockchain, I"&amp;"oT und Web 3.0 vorantreiben und Sicherheit, Datenschutz, Innovation und Effizienz neu definieren. NETSOL konzentriert sich auf die Stärkung der Nutzer und bietet die Entwicklung moderner Anwendungen an, die Blockchain-Technologie für sicheres Datenmanagem"&amp;"ent nutzen und Lösungen für neue Technologien integrieren, um Unternehmen den Übergang zu einer dezentraleren Umgebung zu erleichtern.")</f>
        <v>Web 3.0, das dezentrale Web der Zukunft, verspricht ein umfassenderes, benutzerzentriertes und intelligenteres Erlebnis. Durch den Einsatz innovativer und zukunftsorientierter Technologien können Unternehmen ihr Wachstum mit Lösungen wie KI, Blockchain, IoT und Web 3.0 vorantreiben und Sicherheit, Datenschutz, Innovation und Effizienz neu definieren. NETSOL konzentriert sich auf die Stärkung der Nutzer und bietet die Entwicklung moderner Anwendungen an, die Blockchain-Technologie für sicheres Datenmanagement nutzen und Lösungen für neue Technologien integrieren, um Unternehmen den Übergang zu einer dezentraleren Umgebung zu erleichtern.</v>
      </c>
    </row>
    <row r="9" spans="1:2" ht="15.75" customHeight="1">
      <c r="A9" s="2" t="s">
        <v>634</v>
      </c>
      <c r="B9" s="2" t="str">
        <f ca="1">IFERROR(__xludf.DUMMYFUNCTION("IF(ISBLANK(A9),"""",GOOGLETRANSLATE(A9,""en"",""de""))"),"Web 3.0-Marktreichweite")</f>
        <v>Web 3.0-Marktreichweite</v>
      </c>
    </row>
    <row r="10" spans="1:2" ht="15.75" customHeight="1">
      <c r="A10" s="2" t="s">
        <v>635</v>
      </c>
      <c r="B10" s="2" t="str">
        <f ca="1">IFERROR(__xludf.DUMMYFUNCTION("IF(ISBLANK(A10),"""",GOOGLETRANSLATE(A10,""en"",""de""))"),"Der Web 3.0-Markt soll bis 2030 einen Wert von 5,5 Milliarden US-Dollar erreichen und damit eine durchschnittliche jährliche Wachstumsrate von 44,9 % erreichen.")</f>
        <v>Der Web 3.0-Markt soll bis 2030 einen Wert von 5,5 Milliarden US-Dollar erreichen und damit eine durchschnittliche jährliche Wachstumsrate von 44,9 % erreichen.</v>
      </c>
    </row>
    <row r="11" spans="1:2" ht="15.75" customHeight="1">
      <c r="A11" s="2" t="s">
        <v>636</v>
      </c>
      <c r="B11" s="2" t="str">
        <f ca="1">IFERROR(__xludf.DUMMYFUNCTION("IF(ISBLANK(A11),"""",GOOGLETRANSLATE(A11,""en"",""de""))"),"Steigende Nachfrage")</f>
        <v>Steigende Nachfrage</v>
      </c>
    </row>
    <row r="12" spans="1:2" ht="15.75" customHeight="1">
      <c r="A12" s="2" t="s">
        <v>637</v>
      </c>
      <c r="B12" s="2" t="str">
        <f ca="1">IFERROR(__xludf.DUMMYFUNCTION("IF(ISBLANK(A12),"""",GOOGLETRANSLATE(A12,""en"",""de""))"),"Die steigende Nachfrage nach Web 3.0 erhöht den Bedarf an sicheren, transparenten digitalen Transaktionen.")</f>
        <v>Die steigende Nachfrage nach Web 3.0 erhöht den Bedarf an sicheren, transparenten digitalen Transaktionen.</v>
      </c>
    </row>
    <row r="13" spans="1:2" ht="15.75" customHeight="1">
      <c r="A13" s="2" t="s">
        <v>638</v>
      </c>
      <c r="B13" s="2" t="str">
        <f ca="1">IFERROR(__xludf.DUMMYFUNCTION("IF(ISBLANK(A13),"""",GOOGLETRANSLATE(A13,""en"",""de""))"),"Web 3.0-Markt")</f>
        <v>Web 3.0-Markt</v>
      </c>
    </row>
    <row r="14" spans="1:2" ht="15.75" customHeight="1">
      <c r="A14" s="2" t="s">
        <v>639</v>
      </c>
      <c r="B14" s="2" t="str">
        <f ca="1">IFERROR(__xludf.DUMMYFUNCTION("IF(ISBLANK(A14),"""",GOOGLETRANSLATE(A14,""en"",""de""))"),"Die Marktkapitalisierung von Web 3.0 wird auf 27,5 Milliarden US-Dollar geschätzt.")</f>
        <v>Die Marktkapitalisierung von Web 3.0 wird auf 27,5 Milliarden US-Dollar geschätzt.</v>
      </c>
    </row>
    <row r="15" spans="1:2" ht="15.75" customHeight="1">
      <c r="A15" s="2" t="s">
        <v>640</v>
      </c>
      <c r="B15" s="2" t="str">
        <f ca="1">IFERROR(__xludf.DUMMYFUNCTION("IF(ISBLANK(A15),"""",GOOGLETRANSLATE(A15,""en"",""de""))"),"Gamer-Akzeptanz")</f>
        <v>Gamer-Akzeptanz</v>
      </c>
    </row>
    <row r="16" spans="1:2" ht="15.75" customHeight="1">
      <c r="A16" s="2" t="s">
        <v>641</v>
      </c>
      <c r="B16" s="2" t="str">
        <f ca="1">IFERROR(__xludf.DUMMYFUNCTION("IF(ISBLANK(A16),"""",GOOGLETRANSLATE(A16,""en"",""de""))"),"Über 73 Millionen Spieler auf der ganzen Welt spielen Spiele, die auf der Web 3.0-Technologie basieren.")</f>
        <v>Über 73 Millionen Spieler auf der ganzen Welt spielen Spiele, die auf der Web 3.0-Technologie basieren.</v>
      </c>
    </row>
    <row r="17" spans="1:2" ht="15.75" customHeight="1">
      <c r="A17" s="2" t="s">
        <v>642</v>
      </c>
      <c r="B17" s="2" t="str">
        <f ca="1">IFERROR(__xludf.DUMMYFUNCTION("IF(ISBLANK(A17),"""",GOOGLETRANSLATE(A17,""en"",""de""))"),"Innovationsförderung durch die Integration neuer Technologien mit NETSOL")</f>
        <v>Innovationsförderung durch die Integration neuer Technologien mit NETSOL</v>
      </c>
    </row>
    <row r="18" spans="1:2" ht="15.75" customHeight="1">
      <c r="A18" s="2" t="s">
        <v>643</v>
      </c>
      <c r="B18" s="2" t="str">
        <f ca="1">IFERROR(__xludf.DUMMYFUNCTION("IF(ISBLANK(A18),"""",GOOGLETRANSLATE(A18,""en"",""de""))"),"Entwicklung intelligenter Verträge")</f>
        <v>Entwicklung intelligenter Verträge</v>
      </c>
    </row>
    <row r="19" spans="1:2" ht="15.75" customHeight="1">
      <c r="A19" s="2" t="s">
        <v>644</v>
      </c>
      <c r="B19" s="2" t="str">
        <f ca="1">IFERROR(__xludf.DUMMYFUNCTION("IF(ISBLANK(A19),"""",GOOGLETRANSLATE(A19,""en"",""de""))"),"Der Aufstieg des Web 3.0 fördert Smart Contracts als integralen Bestandteil der Blockchain-Welt. Mit diesen Verträgen können Unternehmen ihre Sicherheit verbessern, den Transaktionsprozess automatisieren und einen zuverlässigen, modernen Vertrag gewährlei"&amp;"sten, indem sie selbstausführende Vereinbarungen fördern.")</f>
        <v>Der Aufstieg des Web 3.0 fördert Smart Contracts als integralen Bestandteil der Blockchain-Welt. Mit diesen Verträgen können Unternehmen ihre Sicherheit verbessern, den Transaktionsprozess automatisieren und einen zuverlässigen, modernen Vertrag gewährleisten, indem sie selbstausführende Vereinbarungen fördern.</v>
      </c>
    </row>
    <row r="20" spans="1:2" ht="15.75" customHeight="1">
      <c r="A20" s="2" t="s">
        <v>645</v>
      </c>
      <c r="B20" s="2" t="str">
        <f ca="1">IFERROR(__xludf.DUMMYFUNCTION("IF(ISBLANK(A20),"""",GOOGLETRANSLATE(A20,""en"",""de""))"),"Dezentrale Anwendungen (dApp)")</f>
        <v>Dezentrale Anwendungen (dApp)</v>
      </c>
    </row>
    <row r="21" spans="1:2" ht="15.75" customHeight="1">
      <c r="A21" s="2" t="s">
        <v>646</v>
      </c>
      <c r="B21" s="2" t="str">
        <f ca="1">IFERROR(__xludf.DUMMYFUNCTION("IF(ISBLANK(A21),"""",GOOGLETRANSLATE(A21,""en"",""de""))"),"Die dezentrale Anwendungsentwicklung im Web 3.0 legt den Schwerpunkt auf Benutzerkontrolle und -eigentum und läuft auf einem Blockchain-Netzwerk. dApps ebnen den Weg für eine dezentrale Zukunft, ermöglichen dezentrale Finanzierung und priorisieren soziale"&amp;" dApps und dmarketplace.")</f>
        <v>Die dezentrale Anwendungsentwicklung im Web 3.0 legt den Schwerpunkt auf Benutzerkontrolle und -eigentum und läuft auf einem Blockchain-Netzwerk. dApps ebnen den Weg für eine dezentrale Zukunft, ermöglichen dezentrale Finanzierung und priorisieren soziale dApps und dmarketplace.</v>
      </c>
    </row>
    <row r="22" spans="1:2" ht="15.75" customHeight="1">
      <c r="A22" s="2" t="s">
        <v>647</v>
      </c>
      <c r="B22" s="2" t="str">
        <f ca="1">IFERROR(__xludf.DUMMYFUNCTION("IF(ISBLANK(A22),"""",GOOGLETRANSLATE(A22,""en"",""de""))"),"Digitaler Zwilling")</f>
        <v>Digitaler Zwilling</v>
      </c>
    </row>
    <row r="23" spans="1:2" ht="15.75" customHeight="1">
      <c r="A23" s="2" t="s">
        <v>648</v>
      </c>
      <c r="B23" s="2" t="str">
        <f ca="1">IFERROR(__xludf.DUMMYFUNCTION("IF(ISBLANK(A23),"""",GOOGLETRANSLATE(A23,""en"",""de""))"),"Ein digitaler Zwilling ist die virtuelle Darstellung eines physischen Objekts oder Systems, die Echtzeitdaten von Sensoren und IoT-Geräten kombiniert. NETSOL mit Web 3.0 eröffnet mit einem digitalen Zwilling eine neue Ära der Optimierung und Innovation un"&amp;"d verspricht Effizienzsteigerungen und Kostensenkungen.")</f>
        <v>Ein digitaler Zwilling ist die virtuelle Darstellung eines physischen Objekts oder Systems, die Echtzeitdaten von Sensoren und IoT-Geräten kombiniert. NETSOL mit Web 3.0 eröffnet mit einem digitalen Zwilling eine neue Ära der Optimierung und Innovation und verspricht Effizienzsteigerungen und Kostensenkungen.</v>
      </c>
    </row>
    <row r="24" spans="1:2" ht="13.2">
      <c r="A24" s="2" t="s">
        <v>649</v>
      </c>
      <c r="B24" s="2" t="str">
        <f ca="1">IFERROR(__xludf.DUMMYFUNCTION("IF(ISBLANK(A24),"""",GOOGLETRANSLATE(A24,""en"",""de""))"),"Metaverse")</f>
        <v>Metaverse</v>
      </c>
    </row>
    <row r="25" spans="1:2" ht="13.2">
      <c r="A25" s="2" t="s">
        <v>650</v>
      </c>
      <c r="B25" s="2" t="str">
        <f ca="1">IFERROR(__xludf.DUMMYFUNCTION("IF(ISBLANK(A25),"""",GOOGLETRANSLATE(A25,""en"",""de""))"),"Das Metaversum verspricht eine revolutionäre Art der Interaktion, der sozialen Vernetzung und der Geschäftsabwicklung. Web 3.0 und das Metaversum bieten ein verbessertes Benutzererlebnis, dezentrales Eigentum und Interoperabilität, fördern die Kontrolle ü"&amp;"ber digitale Assets und definieren letztlich die Art und Weise, wie wir uns vernetzen, neu.")</f>
        <v>Das Metaversum verspricht eine revolutionäre Art der Interaktion, der sozialen Vernetzung und der Geschäftsabwicklung. Web 3.0 und das Metaversum bieten ein verbessertes Benutzererlebnis, dezentrales Eigentum und Interoperabilität, fördern die Kontrolle über digitale Assets und definieren letztlich die Art und Weise, wie wir uns vernetzen, neu.</v>
      </c>
    </row>
    <row r="26" spans="1:2" ht="13.2">
      <c r="A26" s="2" t="s">
        <v>651</v>
      </c>
      <c r="B26" s="2" t="str">
        <f ca="1">IFERROR(__xludf.DUMMYFUNCTION("IF(ISBLANK(A26),"""",GOOGLETRANSLATE(A26,""en"",""de""))"),"Beratung &amp; Compliance")</f>
        <v>Beratung &amp; Compliance</v>
      </c>
    </row>
    <row r="27" spans="1:2" ht="13.2">
      <c r="A27" s="2" t="s">
        <v>652</v>
      </c>
      <c r="B27" s="2" t="str">
        <f ca="1">IFERROR(__xludf.DUMMYFUNCTION("IF(ISBLANK(A27),"""",GOOGLETRANSLATE(A27,""en"",""de""))"),"Die Web 3.0-Revolution hilft Unternehmen, sich in den sich entwickelnden Vorschriften und neuen Bedrohungen zurechtzufinden. NETSOL unterstützt Unternehmen mit kompetenter Beratung und Compliance-Services in den Bereichen Sicherheitsrisikomanagement, behö"&amp;"rdliche Beschwerden, Technologieauswahl und Änderungsmanagement.")</f>
        <v>Die Web 3.0-Revolution hilft Unternehmen, sich in den sich entwickelnden Vorschriften und neuen Bedrohungen zurechtzufinden. NETSOL unterstützt Unternehmen mit kompetenter Beratung und Compliance-Services in den Bereichen Sicherheitsrisikomanagement, behördliche Beschwerden, Technologieauswahl und Änderungsmanagement.</v>
      </c>
    </row>
    <row r="28" spans="1:2" ht="13.2">
      <c r="A28" s="2" t="s">
        <v>653</v>
      </c>
      <c r="B28" s="2" t="str">
        <f ca="1">IFERROR(__xludf.DUMMYFUNCTION("IF(ISBLANK(A28),"""",GOOGLETRANSLATE(A28,""en"",""de""))"),"Sicherheit &amp; Bildung")</f>
        <v>Sicherheit &amp; Bildung</v>
      </c>
    </row>
    <row r="29" spans="1:2" ht="13.2">
      <c r="A29" s="2" t="s">
        <v>654</v>
      </c>
      <c r="B29" s="2" t="str">
        <f ca="1">IFERROR(__xludf.DUMMYFUNCTION("IF(ISBLANK(A29),"""",GOOGLETRANSLATE(A29,""en"",""de""))"),"Tauchen Sie mit dem revolutionären Web 3.0 in ein personalisiertes Lernerlebnis ein, das in der Lage ist, Studentendaten zu schützen, einen verantwortungsvollen Zugriff auf Inhalte zu gewährleisten und die Komplexität einer dezentralen Umgebung in einer B"&amp;"lockchain-Metaverse-Umgebung zu bewältigen.")</f>
        <v>Tauchen Sie mit dem revolutionären Web 3.0 in ein personalisiertes Lernerlebnis ein, das in der Lage ist, Studentendaten zu schützen, einen verantwortungsvollen Zugriff auf Inhalte zu gewährleisten und die Komplexität einer dezentralen Umgebung in einer Blockchain-Metaverse-Umgebung zu bewältigen.</v>
      </c>
    </row>
    <row r="30" spans="1:2" ht="13.2">
      <c r="A30" s="2" t="s">
        <v>112</v>
      </c>
      <c r="B30" s="2" t="str">
        <f ca="1">IFERROR(__xludf.DUMMYFUNCTION("IF(ISBLANK(A30),"""",GOOGLETRANSLATE(A30,""en"",""de""))"),"Reden wir darüber, was als nächstes kommt")</f>
        <v>Reden wir darüber, was als nächstes kommt</v>
      </c>
    </row>
    <row r="31" spans="1:2" ht="13.2">
      <c r="A31" s="2" t="s">
        <v>655</v>
      </c>
      <c r="B31" s="2" t="str">
        <f ca="1">IFERROR(__xludf.DUMMYFUNCTION("IF(ISBLANK(A31),"""",GOOGLETRANSLATE(A31,""en"",""de""))"),"Entdecken Sie, wie Sie mit NETSOL sichere und skalierbare Web 3.0-Lösungen erstellen können.")</f>
        <v>Entdecken Sie, wie Sie mit NETSOL sichere und skalierbare Web 3.0-Lösungen erstellen können.</v>
      </c>
    </row>
    <row r="32" spans="1:2" ht="13.2">
      <c r="B32" s="2" t="str">
        <f ca="1">IFERROR(__xludf.DUMMYFUNCTION("IF(ISBLANK(A32),"""",GOOGLETRANSLATE(A32,""en"",""de""))"),"")</f>
        <v/>
      </c>
    </row>
    <row r="33" spans="1:2" ht="13.2">
      <c r="A33" s="2" t="s">
        <v>100</v>
      </c>
      <c r="B33" s="2" t="str">
        <f ca="1">IFERROR(__xludf.DUMMYFUNCTION("IF(ISBLANK(A33),"""",GOOGLETRANSLATE(A33,""en"",""de""))"),"Empfohlene Lektüre und Einblicke")</f>
        <v>Empfohlene Lektüre und Einblicke</v>
      </c>
    </row>
    <row r="34" spans="1:2" ht="13.2">
      <c r="A34" s="10" t="s">
        <v>101</v>
      </c>
      <c r="B34" s="2" t="str">
        <f ca="1">IFERROR(__xludf.DUMMYFUNCTION("IF(ISBLANK(A34),"""",GOOGLETRANSLATE(A34,""en"",""de""))"),"Bleiben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35" spans="1:2" ht="13.2">
      <c r="A35" s="2" t="s">
        <v>102</v>
      </c>
      <c r="B35" s="2" t="str">
        <f ca="1">IFERROR(__xludf.DUMMYFUNCTION("IF(ISBLANK(A35),"""",GOOGLETRANSLATE(A35,""en"",""de""))"),"Der Blog")</f>
        <v>Der Blog</v>
      </c>
    </row>
    <row r="36" spans="1:2" ht="13.2">
      <c r="A36" s="2" t="s">
        <v>103</v>
      </c>
      <c r="B36" s="2" t="str">
        <f ca="1">IFERROR(__xludf.DUMMYFUNCTION("IF(ISBLANK(A36),"""",GOOGLETRANSLATE(A36,""en"",""de""))"),"Über das DMS hinaus: Warum die Zukunft des Automobilhandels API-first ist")</f>
        <v>Über das DMS hinaus: Warum die Zukunft des Automobilhandels API-first ist</v>
      </c>
    </row>
    <row r="37" spans="1:2" ht="13.2">
      <c r="A37" s="2" t="s">
        <v>27</v>
      </c>
      <c r="B37" s="2" t="str">
        <f ca="1">IFERROR(__xludf.DUMMYFUNCTION("IF(ISBLANK(A37),"""",GOOGLETRANSLATE(A37,""en"",""de""))"),"Mehr erfahren")</f>
        <v>Mehr erfahren</v>
      </c>
    </row>
    <row r="38" spans="1:2" ht="13.2">
      <c r="B38" s="2" t="str">
        <f ca="1">IFERROR(__xludf.DUMMYFUNCTION("IF(ISBLANK(A38),"""",GOOGLETRANSLATE(A38,""en"",""de""))"),"")</f>
        <v/>
      </c>
    </row>
    <row r="39" spans="1:2" ht="13.2">
      <c r="A39" s="2" t="s">
        <v>104</v>
      </c>
      <c r="B39" s="2" t="str">
        <f ca="1">IFERROR(__xludf.DUMMYFUNCTION("IF(ISBLANK(A39),"""",GOOGLETRANSLATE(A39,""en"",""de""))"),"NETSOL ist auf der GlobalData Automotive Europe Conference and Awards 2025")</f>
        <v>NETSOL ist auf der GlobalData Automotive Europe Conference and Awards 2025</v>
      </c>
    </row>
    <row r="40" spans="1:2" ht="13.2">
      <c r="B40" s="2" t="str">
        <f ca="1">IFERROR(__xludf.DUMMYFUNCTION("IF(ISBLANK(A40),"""",GOOGLETRANSLATE(A40,""en"",""de""))"),"")</f>
        <v/>
      </c>
    </row>
    <row r="41" spans="1:2" ht="13.2">
      <c r="B41" s="2" t="str">
        <f ca="1">IFERROR(__xludf.DUMMYFUNCTION("IF(ISBLANK(A41),"""",GOOGLETRANSLATE(A41,""en"",""de""))"),"")</f>
        <v/>
      </c>
    </row>
    <row r="42" spans="1:2" ht="13.2">
      <c r="A42" s="2" t="s">
        <v>105</v>
      </c>
      <c r="B42" s="2" t="str">
        <f ca="1">IFERROR(__xludf.DUMMYFUNCTION("IF(ISBLANK(A42),"""",GOOGLETRANSLATE(A42,""en"",""de""))"),"NETSOL ist auf dem 25. jährlichen Auto Finance Summit: Die Zukunft der Autofinanzierung vorantreiben")</f>
        <v>NETSOL ist auf dem 25. jährlichen Auto Finance Summit: Die Zukunft der Autofinanzierung vorantreiben</v>
      </c>
    </row>
    <row r="43" spans="1:2" ht="13.2">
      <c r="B43" s="2" t="str">
        <f ca="1">IFERROR(__xludf.DUMMYFUNCTION("IF(ISBLANK(A43),"""",GOOGLETRANSLATE(A43,""en"",""de""))"),"")</f>
        <v/>
      </c>
    </row>
    <row r="44" spans="1:2" ht="13.2">
      <c r="B44" s="2" t="str">
        <f ca="1">IFERROR(__xludf.DUMMYFUNCTION("IF(ISBLANK(A44),"""",GOOGLETRANSLATE(A44,""en"",""de""))"),"")</f>
        <v/>
      </c>
    </row>
    <row r="45" spans="1:2" ht="13.2">
      <c r="A45" s="2" t="s">
        <v>106</v>
      </c>
      <c r="B45" s="2" t="str">
        <f ca="1">IFERROR(__xludf.DUMMYFUNCTION("IF(ISBLANK(A45),"""",GOOGLETRANSLATE(A45,""en"",""de""))"),"NETSOL ist beim Digital Dealer 2025 dabei: Wir stärken die Zukunft des Automobilhandels")</f>
        <v>NETSOL ist beim Digital Dealer 2025 dabei: Wir stärken die Zukunft des Automobilhandels</v>
      </c>
    </row>
    <row r="46" spans="1:2" ht="13.2">
      <c r="B46" s="2" t="str">
        <f ca="1">IFERROR(__xludf.DUMMYFUNCTION("IF(ISBLANK(A46),"""",GOOGLETRANSLATE(A46,""en"",""de""))"),"")</f>
        <v/>
      </c>
    </row>
    <row r="47" spans="1:2" ht="13.2">
      <c r="B47" s="2" t="str">
        <f ca="1">IFERROR(__xludf.DUMMYFUNCTION("IF(ISBLANK(A47),"""",GOOGLETRANSLATE(A47,""en"",""de""))"),"")</f>
        <v/>
      </c>
    </row>
    <row r="48" spans="1:2" ht="13.2">
      <c r="A48" s="6" t="s">
        <v>107</v>
      </c>
      <c r="B48" s="2" t="str">
        <f ca="1">IFERROR(__xludf.DUMMYFUNCTION("IF(ISBLANK(A48),"""",GOOGLETRANSLATE(A48,""en"",""de""))"),"KI im BFSI: Revolutionierung des Risikomanagements")</f>
        <v>KI im BFSI: Revolutionierung des Risikomanagements</v>
      </c>
    </row>
    <row r="49" spans="1:2" ht="13.2">
      <c r="B49" s="2" t="str">
        <f ca="1">IFERROR(__xludf.DUMMYFUNCTION("IF(ISBLANK(A49),"""",GOOGLETRANSLATE(A49,""en"",""de""))"),"")</f>
        <v/>
      </c>
    </row>
    <row r="50" spans="1:2" ht="13.2">
      <c r="B50" s="2" t="str">
        <f ca="1">IFERROR(__xludf.DUMMYFUNCTION("IF(ISBLANK(A50),"""",GOOGLETRANSLATE(A50,""en"",""de""))"),"")</f>
        <v/>
      </c>
    </row>
    <row r="51" spans="1:2" ht="13.2">
      <c r="A51" s="2" t="s">
        <v>108</v>
      </c>
      <c r="B51" s="2" t="str">
        <f ca="1">IFERROR(__xludf.DUMMYFUNCTION("IF(ISBLANK(A51),"""",GOOGLETRANSLATE(A51,""en"",""de""))"),"Die Bedeutung der Personalisierung im Kundenservice: Maßgeschneidertes Zahlungs- und Streitbeilegungsmanagement für Kunden")</f>
        <v>Die Bedeutung der Personalisierung im Kundenservice: Maßgeschneidertes Zahlungs- und Streitbeilegungsmanagement für Kunden</v>
      </c>
    </row>
    <row r="52" spans="1:2" ht="13.2">
      <c r="B52" s="2" t="str">
        <f ca="1">IFERROR(__xludf.DUMMYFUNCTION("IF(ISBLANK(A52),"""",GOOGLETRANSLATE(A52,""en"",""de""))"),"")</f>
        <v/>
      </c>
    </row>
    <row r="53" spans="1:2" ht="13.2">
      <c r="B53" s="2" t="str">
        <f ca="1">IFERROR(__xludf.DUMMYFUNCTION("IF(ISBLANK(A53),"""",GOOGLETRANSLATE(A53,""en"",""de""))"),"")</f>
        <v/>
      </c>
    </row>
    <row r="54" spans="1:2" ht="13.2">
      <c r="A54" s="2" t="s">
        <v>109</v>
      </c>
      <c r="B54" s="2" t="str">
        <f ca="1">IFERROR(__xludf.DUMMYFUNCTION("IF(ISBLANK(A54),"""",GOOGLETRANSLATE(A54,""en"",""de""))"),"Die wahren Kosten getrennter Systeme im Autohandel")</f>
        <v>Die wahren Kosten getrennter Systeme im Autohandel</v>
      </c>
    </row>
    <row r="55" spans="1:2" ht="13.2">
      <c r="B55" s="2" t="str">
        <f ca="1">IFERROR(__xludf.DUMMYFUNCTION("IF(ISBLANK(A55),"""",GOOGLETRANSLATE(A55,""en"",""de""))"),"")</f>
        <v/>
      </c>
    </row>
    <row r="56" spans="1:2" ht="13.2">
      <c r="B56" s="2" t="str">
        <f ca="1">IFERROR(__xludf.DUMMYFUNCTION("IF(ISBLANK(A56),"""",GOOGLETRANSLATE(A56,""en"",""de""))"),"")</f>
        <v/>
      </c>
    </row>
    <row r="57" spans="1:2" ht="13.2">
      <c r="A57" s="2" t="s">
        <v>110</v>
      </c>
      <c r="B57" s="2" t="str">
        <f ca="1">IFERROR(__xludf.DUMMYFUNCTION("IF(ISBLANK(A57),"""",GOOGLETRANSLATE(A57,""en"",""de""))"),"Captive der Zukunft: Wie Technologie Captive-Finanzierungsgeschäfte neu definiert – Wichtige Erkenntnisse aus dem Webinar der AFSA")</f>
        <v>Captive der Zukunft: Wie Technologie Captive-Finanzierungsgeschäfte neu definiert – Wichtige Erkenntnisse aus dem Webinar der AFSA</v>
      </c>
    </row>
    <row r="58" spans="1:2" ht="13.2">
      <c r="B58" s="2" t="str">
        <f ca="1">IFERROR(__xludf.DUMMYFUNCTION("IF(ISBLANK(A58),"""",GOOGLETRANSLATE(A58,""en"",""de""))"),"")</f>
        <v/>
      </c>
    </row>
    <row r="59" spans="1:2" ht="13.2">
      <c r="B59" s="2" t="str">
        <f ca="1">IFERROR(__xludf.DUMMYFUNCTION("IF(ISBLANK(A59),"""",GOOGLETRANSLATE(A59,""en"",""de""))"),"")</f>
        <v/>
      </c>
    </row>
    <row r="60" spans="1:2" ht="13.2">
      <c r="A60" s="2" t="s">
        <v>111</v>
      </c>
      <c r="B60" s="2" t="str">
        <f ca="1">IFERROR(__xludf.DUMMYFUNCTION("IF(ISBLANK(A60),"""",GOOGLETRANSLATE(A60,""en"",""de""))"),"Betrugsbekämpfung im Großkundengeschäft: Technologie zur Früherkennung und Risikominderung")</f>
        <v>Betrugsbekämpfung im Großkundengeschäft: Technologie zur Früherkennung und Risikominderung</v>
      </c>
    </row>
    <row r="61" spans="1:2" ht="13.2">
      <c r="B61" s="2" t="str">
        <f ca="1">IFERROR(__xludf.DUMMYFUNCTION("IF(ISBLANK(A61),"""",GOOGLETRANSLATE(A61,""en"",""de""))"),"")</f>
        <v/>
      </c>
    </row>
    <row r="62" spans="1:2" ht="13.2">
      <c r="A62" s="2" t="s">
        <v>114</v>
      </c>
      <c r="B62" s="2" t="str">
        <f ca="1">IFERROR(__xludf.DUMMYFUNCTION("IF(ISBLANK(A62),"""",GOOGLETRANSLATE(A62,""en"",""de""))"),"Abonnieren Sie unseren Newsletter, um die neuesten Nachrichten in Ihrem Posteingang zu erhalten.")</f>
        <v>Abonnieren Sie unseren Newsletter, um die neuesten Nachrichten in Ihrem Posteingang zu erhalten.</v>
      </c>
    </row>
    <row r="63" spans="1:2" ht="13.2">
      <c r="A63" s="2" t="s">
        <v>115</v>
      </c>
      <c r="B63" s="2" t="str">
        <f ca="1">IFERROR(__xludf.DUMMYFUNCTION("IF(ISBLANK(A63),"""",GOOGLETRANSLATE(A63,""en"",""de""))"),"abc@example.com")</f>
        <v>abc@example.com</v>
      </c>
    </row>
    <row r="64" spans="1:2" ht="13.2">
      <c r="A64" s="2" t="s">
        <v>116</v>
      </c>
      <c r="B64" s="2" t="str">
        <f ca="1">IFERROR(__xludf.DUMMYFUNCTION("IF(ISBLANK(A64),"""",GOOGLETRANSLATE(A64,""en"",""de""))"),"Abonnieren ")</f>
        <v xml:space="preserve">Abonnieren </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77"/>
  <sheetViews>
    <sheetView topLeftCell="A8" workbookViewId="0">
      <selection activeCell="B24" sqref="B24"/>
    </sheetView>
  </sheetViews>
  <sheetFormatPr defaultColWidth="12.5546875" defaultRowHeight="15.75" customHeight="1"/>
  <cols>
    <col min="1" max="1" width="115.33203125" customWidth="1"/>
  </cols>
  <sheetData>
    <row r="1" spans="1:2" ht="13.2">
      <c r="A1" s="1" t="s">
        <v>0</v>
      </c>
      <c r="B1" s="1" t="s">
        <v>1</v>
      </c>
    </row>
    <row r="2" spans="1:2" ht="15.75" customHeight="1">
      <c r="A2" s="2" t="s">
        <v>66</v>
      </c>
      <c r="B2" s="2" t="str">
        <f ca="1">IFERROR(__xludf.DUMMYFUNCTION("IF(ISBLANK(A2),"""",GOOGLETRANSLATE(A2,""en"",""de""))"),"Cloud-Dienste")</f>
        <v>Cloud-Dienste</v>
      </c>
    </row>
    <row r="3" spans="1:2" ht="15.75" customHeight="1">
      <c r="A3" s="2" t="s">
        <v>656</v>
      </c>
      <c r="B3" s="2" t="str">
        <f ca="1">IFERROR(__xludf.DUMMYFUNCTION("IF(ISBLANK(A3),"""",GOOGLETRANSLATE(A3,""en"",""de""))"),"Skalieren Sie Ihr Unternehmen mit agilen Cloud-Lösungen")</f>
        <v>Skalieren Sie Ihr Unternehmen mit agilen Cloud-Lösungen</v>
      </c>
    </row>
    <row r="4" spans="1:2" ht="15.75" customHeight="1">
      <c r="A4" s="2" t="s">
        <v>657</v>
      </c>
      <c r="B4" s="2" t="str">
        <f ca="1">IFERROR(__xludf.DUMMYFUNCTION("IF(ISBLANK(A4),"""",GOOGLETRANSLATE(A4,""en"",""de""))"),"Reduzieren Sie Ihre Kosten und steigern Sie die Effizienz mit Multi-Cloud-Netzwerken und -Sicherheit.")</f>
        <v>Reduzieren Sie Ihre Kosten und steigern Sie die Effizienz mit Multi-Cloud-Netzwerken und -Sicherheit.</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168</v>
      </c>
      <c r="B7" s="2" t="str">
        <f ca="1">IFERROR(__xludf.DUMMYFUNCTION("IF(ISBLANK(A7),"""",GOOGLETRANSLATE(A7,""en"",""de""))"),"Warum NETSOL")</f>
        <v>Warum NETSOL</v>
      </c>
    </row>
    <row r="8" spans="1:2" ht="15.75" customHeight="1">
      <c r="A8" s="2" t="s">
        <v>658</v>
      </c>
      <c r="B8" s="2" t="str">
        <f ca="1">IFERROR(__xludf.DUMMYFUNCTION("IF(ISBLANK(A8),"""",GOOGLETRANSLATE(A8,""en"",""de""))"),"Entfesseln Sie das Potenzial bewährter Cloud-Dienste")</f>
        <v>Entfesseln Sie das Potenzial bewährter Cloud-Dienste</v>
      </c>
    </row>
    <row r="9" spans="1:2" ht="15.75" customHeight="1">
      <c r="A9" s="2" t="s">
        <v>659</v>
      </c>
      <c r="B9" s="2" t="str">
        <f ca="1">IFERROR(__xludf.DUMMYFUNCTION("IF(ISBLANK(A9),"""",GOOGLETRANSLATE(A9,""en"",""de""))"),"Agilität und Skalierbarkeit sind für moderne Unternehmen kein Luxus mehr, sondern eine Notwendigkeit. Die Cloud-Services von NETSOL bieten einen revolutionären Ansatz für die IT-Infrastruktur. Sie ermöglichen Unternehmen, erfolgreich zu sein und teure On-"&amp;"Premise-Hardware überflüssig zu machen – dank unübertroffener Skalierbarkeit, Agilität, Sicherheit, niedrigeren Kosten und Zuverlässigkeit. Mit unserem Cloud-Backup-Disaster-Recovery-Protokoll können Sie Ihre veraltete Infrastruktur hinter sich lassen, di"&amp;"e Leistungsfähigkeit der Cloud nutzen und eine zukunftssichere IT-Grundlage schaffen.")</f>
        <v>Agilität und Skalierbarkeit sind für moderne Unternehmen kein Luxus mehr, sondern eine Notwendigkeit. Die Cloud-Services von NETSOL bieten einen revolutionären Ansatz für die IT-Infrastruktur. Sie ermöglichen Unternehmen, erfolgreich zu sein und teure On-Premise-Hardware überflüssig zu machen – dank unübertroffener Skalierbarkeit, Agilität, Sicherheit, niedrigeren Kosten und Zuverlässigkeit. Mit unserem Cloud-Backup-Disaster-Recovery-Protokoll können Sie Ihre veraltete Infrastruktur hinter sich lassen, die Leistungsfähigkeit der Cloud nutzen und eine zukunftssichere IT-Grundlage schaffen.</v>
      </c>
    </row>
    <row r="10" spans="1:2" ht="15.75" customHeight="1">
      <c r="A10" s="2" t="s">
        <v>660</v>
      </c>
      <c r="B10" s="2" t="str">
        <f ca="1">IFERROR(__xludf.DUMMYFUNCTION("IF(ISBLANK(A10),"""",GOOGLETRANSLATE(A10,""en"",""de""))"),"Markterweiterung")</f>
        <v>Markterweiterung</v>
      </c>
    </row>
    <row r="11" spans="1:2" ht="15.75" customHeight="1">
      <c r="A11" s="2" t="s">
        <v>661</v>
      </c>
      <c r="B11" s="2" t="str">
        <f ca="1">IFERROR(__xludf.DUMMYFUNCTION("IF(ISBLANK(A11),"""",GOOGLETRANSLATE(A11,""en"",""de""))"),"Der globale Cloud-Computing-Markt wuchs von 24,63 Milliarden US-Dollar im Jahr 2010 auf 156,4 Milliarden US-Dollar im Jahr 2020.")</f>
        <v>Der globale Cloud-Computing-Markt wuchs von 24,63 Milliarden US-Dollar im Jahr 2010 auf 156,4 Milliarden US-Dollar im Jahr 2020.</v>
      </c>
    </row>
    <row r="12" spans="1:2" ht="15.75" customHeight="1">
      <c r="A12" s="2" t="s">
        <v>662</v>
      </c>
      <c r="B12" s="2" t="str">
        <f ca="1">IFERROR(__xludf.DUMMYFUNCTION("IF(ISBLANK(A12),"""",GOOGLETRANSLATE(A12,""en"",""de""))"),"Cloud-Herausforderung")</f>
        <v>Cloud-Herausforderung</v>
      </c>
    </row>
    <row r="13" spans="1:2" ht="15.75" customHeight="1">
      <c r="A13" s="2" t="s">
        <v>663</v>
      </c>
      <c r="B13" s="2" t="str">
        <f ca="1">IFERROR(__xludf.DUMMYFUNCTION("IF(ISBLANK(A13),"""",GOOGLETRANSLATE(A13,""en"",""de""))"),"42 % der CTOs und CIOs betrachten Cloud-Verschwendung als die größte Herausforderung während und nach der Migration.")</f>
        <v>42 % der CTOs und CIOs betrachten Cloud-Verschwendung als die größte Herausforderung während und nach der Migration.</v>
      </c>
    </row>
    <row r="14" spans="1:2" ht="15.75" customHeight="1">
      <c r="A14" s="2" t="s">
        <v>664</v>
      </c>
      <c r="B14" s="2" t="str">
        <f ca="1">IFERROR(__xludf.DUMMYFUNCTION("IF(ISBLANK(A14),"""",GOOGLETRANSLATE(A14,""en"",""de""))"),"Kostenmanagement")</f>
        <v>Kostenmanagement</v>
      </c>
    </row>
    <row r="15" spans="1:2" ht="15.75" customHeight="1">
      <c r="A15" s="2" t="s">
        <v>665</v>
      </c>
      <c r="B15" s="2" t="str">
        <f ca="1">IFERROR(__xludf.DUMMYFUNCTION("IF(ISBLANK(A15),"""",GOOGLETRANSLATE(A15,""en"",""de""))"),"Über 58 % der Unternehmen haben Schwierigkeiten, ihre Cloud-Kosten angesichts ihrer steigenden Arbeitslast zu verwalten.")</f>
        <v>Über 58 % der Unternehmen haben Schwierigkeiten, ihre Cloud-Kosten angesichts ihrer steigenden Arbeitslast zu verwalten.</v>
      </c>
    </row>
    <row r="16" spans="1:2" ht="15.75" customHeight="1">
      <c r="A16" s="2" t="s">
        <v>666</v>
      </c>
      <c r="B16" s="2" t="str">
        <f ca="1">IFERROR(__xludf.DUMMYFUNCTION("IF(ISBLANK(A16),"""",GOOGLETRANSLATE(A16,""en"",""de""))"),"Cloud-Investition")</f>
        <v>Cloud-Investition</v>
      </c>
    </row>
    <row r="17" spans="1:2" ht="15.75" customHeight="1">
      <c r="A17" s="2" t="s">
        <v>667</v>
      </c>
      <c r="B17" s="2" t="str">
        <f ca="1">IFERROR(__xludf.DUMMYFUNCTION("IF(ISBLANK(A17),"""",GOOGLETRANSLATE(A17,""en"",""de""))"),"Führende IT-Unternehmen und Konzerne investieren 8 von 10 US-Dollar in Cloud-Dienste.")</f>
        <v>Führende IT-Unternehmen und Konzerne investieren 8 von 10 US-Dollar in Cloud-Dienste.</v>
      </c>
    </row>
    <row r="18" spans="1:2" ht="15.75" customHeight="1">
      <c r="A18" s="2" t="s">
        <v>668</v>
      </c>
      <c r="B18" s="2" t="str">
        <f ca="1">IFERROR(__xludf.DUMMYFUNCTION("IF(ISBLANK(A18),"""",GOOGLETRANSLATE(A18,""en"",""de""))"),"KI-gestützte Einblicke in Cloud-Dienste")</f>
        <v>KI-gestützte Einblicke in Cloud-Dienste</v>
      </c>
    </row>
    <row r="19" spans="1:2" ht="15.75" customHeight="1">
      <c r="A19" s="2" t="s">
        <v>485</v>
      </c>
      <c r="B19" s="2" t="str">
        <f ca="1">IFERROR(__xludf.DUMMYFUNCTION("IF(ISBLANK(A19),"""",GOOGLETRANSLATE(A19,""en"",""de""))"),"NETSOL bietet risikoorientierte Sicherheitsstrategien zum Schutz Ihrer Daten, zur Gewährleistung der Compliance und zur Verbesserung der betrieblichen Agilität.")</f>
        <v>NETSOL bietet risikoorientierte Sicherheitsstrategien zum Schutz Ihrer Daten, zur Gewährleistung der Compliance und zur Verbesserung der betrieblichen Agilität.</v>
      </c>
    </row>
    <row r="20" spans="1:2" ht="15.75" customHeight="1">
      <c r="B20" s="2" t="str">
        <f ca="1">IFERROR(__xludf.DUMMYFUNCTION("IF(ISBLANK(A20),"""",GOOGLETRANSLATE(A20,""en"",""de""))"),"")</f>
        <v/>
      </c>
    </row>
    <row r="21" spans="1:2" ht="15.75" customHeight="1">
      <c r="A21" s="2" t="s">
        <v>669</v>
      </c>
      <c r="B21" s="2" t="str">
        <f ca="1">IFERROR(__xludf.DUMMYFUNCTION("IF(ISBLANK(A21),"""",GOOGLETRANSLATE(A21,""en"",""de""))"),"70 % mehr Funktionen")</f>
        <v>70 % mehr Funktionen</v>
      </c>
    </row>
    <row r="22" spans="1:2" ht="15.75" customHeight="1">
      <c r="A22" s="2" t="s">
        <v>670</v>
      </c>
      <c r="B22" s="2" t="str">
        <f ca="1">IFERROR(__xludf.DUMMYFUNCTION("IF(ISBLANK(A22),"""",GOOGLETRANSLATE(A22,""en"",""de""))"),"Über 70 % der Unternehmen beziehen ihre KI-Funktionen aus Cloud-basierter Software, während 65 % KI-Anwendungen mit Cloud-Diensten erstellen.")</f>
        <v>Über 70 % der Unternehmen beziehen ihre KI-Funktionen aus Cloud-basierter Software, während 65 % KI-Anwendungen mit Cloud-Diensten erstellen.</v>
      </c>
    </row>
    <row r="23" spans="1:2" ht="15.75" customHeight="1">
      <c r="A23" s="2" t="s">
        <v>671</v>
      </c>
      <c r="B23" s="2" t="str">
        <f ca="1">IFERROR(__xludf.DUMMYFUNCTION("IF(ISBLANK(A23),"""",GOOGLETRANSLATE(A23,""en"",""de""))"),"4,7-mal höhere Betriebsmargen")</f>
        <v>4,7-mal höhere Betriebsmargen</v>
      </c>
    </row>
    <row r="24" spans="1:2" ht="13.2">
      <c r="A24" s="2" t="s">
        <v>672</v>
      </c>
      <c r="B24" s="2" t="str">
        <f ca="1">IFERROR(__xludf.DUMMYFUNCTION("IF(ISBLANK(A24),"""",GOOGLETRANSLATE(A24,""en"",""de""))"),"Umweltfreundliches Unternehmen erzielt mit KI in der Cloud eine 4,7-fache Betriebsmarge und reduziert den CO2-Ausstoß um bis zu 64 %.")</f>
        <v>Umweltfreundliches Unternehmen erzielt mit KI in der Cloud eine 4,7-fache Betriebsmarge und reduziert den CO2-Ausstoß um bis zu 64 %.</v>
      </c>
    </row>
    <row r="25" spans="1:2" ht="13.2">
      <c r="A25" s="2" t="s">
        <v>673</v>
      </c>
      <c r="B25" s="2" t="str">
        <f ca="1">IFERROR(__xludf.DUMMYFUNCTION("IF(ISBLANK(A25),"""",GOOGLETRANSLATE(A25,""en"",""de""))"),"50 % Workload-Migration")</f>
        <v>50 % Workload-Migration</v>
      </c>
    </row>
    <row r="26" spans="1:2" ht="13.2">
      <c r="A26" s="2" t="s">
        <v>674</v>
      </c>
      <c r="B26" s="2" t="str">
        <f ca="1">IFERROR(__xludf.DUMMYFUNCTION("IF(ISBLANK(A26),"""",GOOGLETRANSLATE(A26,""en"",""de""))"),"Über 54 % der Unternehmen sind zur Notfallwiederherstellung in die Cloud gewechselt und 50 % zur Migration des Workload-Managements.")</f>
        <v>Über 54 % der Unternehmen sind zur Notfallwiederherstellung in die Cloud gewechselt und 50 % zur Migration des Workload-Managements.</v>
      </c>
    </row>
    <row r="27" spans="1:2" ht="13.2">
      <c r="A27" s="2" t="s">
        <v>675</v>
      </c>
      <c r="B27" s="2" t="str">
        <f ca="1">IFERROR(__xludf.DUMMYFUNCTION("IF(ISBLANK(A27),"""",GOOGLETRANSLATE(A27,""en"",""de""))"),"Managed Cloud Services für moderne Unternehmen")</f>
        <v>Managed Cloud Services für moderne Unternehmen</v>
      </c>
    </row>
    <row r="28" spans="1:2" ht="13.2">
      <c r="A28" s="2" t="s">
        <v>676</v>
      </c>
      <c r="B28" s="2" t="str">
        <f ca="1">IFERROR(__xludf.DUMMYFUNCTION("IF(ISBLANK(A28),"""",GOOGLETRANSLATE(A28,""en"",""de""))"),"Verwaltete Dienste")</f>
        <v>Verwaltete Dienste</v>
      </c>
    </row>
    <row r="29" spans="1:2" ht="13.2">
      <c r="A29" s="2" t="s">
        <v>677</v>
      </c>
      <c r="B29" s="2" t="str">
        <f ca="1">IFERROR(__xludf.DUMMYFUNCTION("IF(ISBLANK(A29),"""",GOOGLETRANSLATE(A29,""en"",""de""))"),"Die Verwaltung einer Cloud-Umgebung ist komplex. Mit Managed Services können Unternehmen Verwaltung und Wartung auslagern und Cloud-Dienste reibungslos, sicher und kostengünstig betreiben. Optimieren Sie den Cloud-Betrieb, verbessern Sie die Sicherheit un"&amp;"d skalieren Sie Cloud-Lösungen mit uns.")</f>
        <v>Die Verwaltung einer Cloud-Umgebung ist komplex. Mit Managed Services können Unternehmen Verwaltung und Wartung auslagern und Cloud-Dienste reibungslos, sicher und kostengünstig betreiben. Optimieren Sie den Cloud-Betrieb, verbessern Sie die Sicherheit und skalieren Sie Cloud-Lösungen mit uns.</v>
      </c>
    </row>
    <row r="30" spans="1:2" ht="13.2">
      <c r="A30" s="2" t="s">
        <v>678</v>
      </c>
      <c r="B30" s="2" t="str">
        <f ca="1">IFERROR(__xludf.DUMMYFUNCTION("IF(ISBLANK(A30),"""",GOOGLETRANSLATE(A30,""en"",""de""))"),"Cloud-Infrastrukturdienste")</f>
        <v>Cloud-Infrastrukturdienste</v>
      </c>
    </row>
    <row r="31" spans="1:2" ht="13.2">
      <c r="A31" s="2" t="s">
        <v>679</v>
      </c>
      <c r="B31" s="2" t="str">
        <f ca="1">IFERROR(__xludf.DUMMYFUNCTION("IF(ISBLANK(A31),"""",GOOGLETRANSLATE(A31,""en"",""de""))"),"Sie benötigen eine solide Grundlage mit einer sicheren Cloud-Infrastruktur und den notwendigen Ressourcen für den reibungslosen Betrieb Ihrer Anwendungen. Wir stärken Ihre Cloud-Infrastruktur durch die sichere Bereitstellung und Migration Ihrer Cloud sowi"&amp;"e die Optimierung der Ressourcenbereitstellung.")</f>
        <v>Sie benötigen eine solide Grundlage mit einer sicheren Cloud-Infrastruktur und den notwendigen Ressourcen für den reibungslosen Betrieb Ihrer Anwendungen. Wir stärken Ihre Cloud-Infrastruktur durch die sichere Bereitstellung und Migration Ihrer Cloud sowie die Optimierung der Ressourcenbereitstellung.</v>
      </c>
    </row>
    <row r="32" spans="1:2" ht="13.2">
      <c r="A32" s="2" t="s">
        <v>680</v>
      </c>
      <c r="B32" s="2" t="str">
        <f ca="1">IFERROR(__xludf.DUMMYFUNCTION("IF(ISBLANK(A32),"""",GOOGLETRANSLATE(A32,""en"",""de""))"),"Entwicklung und Integrationen")</f>
        <v>Entwicklung und Integrationen</v>
      </c>
    </row>
    <row r="33" spans="1:2" ht="13.2">
      <c r="A33" s="2" t="s">
        <v>681</v>
      </c>
      <c r="B33" s="2" t="str">
        <f ca="1">IFERROR(__xludf.DUMMYFUNCTION("IF(ISBLANK(A33),"""",GOOGLETRANSLATE(A33,""en"",""de""))"),"Die komplexe Entwicklung und Integration cloudnativer Anwendungen kann eine Herausforderung sein. Nutzen Sie mit NETSOL die Leistungsfähigkeit von KI für sichere cloudnative Entwicklung, API-Integration, Containerisierung, DevOps-Expertise und Microservic"&amp;"es-Architektur.")</f>
        <v>Die komplexe Entwicklung und Integration cloudnativer Anwendungen kann eine Herausforderung sein. Nutzen Sie mit NETSOL die Leistungsfähigkeit von KI für sichere cloudnative Entwicklung, API-Integration, Containerisierung, DevOps-Expertise und Microservices-Architektur.</v>
      </c>
    </row>
    <row r="34" spans="1:2" ht="13.2">
      <c r="A34" s="2" t="s">
        <v>682</v>
      </c>
      <c r="B34" s="2" t="str">
        <f ca="1">IFERROR(__xludf.DUMMYFUNCTION("IF(ISBLANK(A34),"""",GOOGLETRANSLATE(A34,""en"",""de""))"),"SaaS-Entwicklung")</f>
        <v>SaaS-Entwicklung</v>
      </c>
    </row>
    <row r="35" spans="1:2" ht="13.2">
      <c r="A35" s="2" t="s">
        <v>683</v>
      </c>
      <c r="B35" s="2" t="str">
        <f ca="1">IFERROR(__xludf.DUMMYFUNCTION("IF(ISBLANK(A35),"""",GOOGLETRANSLATE(A35,""en"",""de""))"),"Die Bereitstellung agiler, skalierbarer und kostengünstiger SaaS-Anwendungen erfordert Fachwissen und innovative Lösungen. NETSOL unterstützt Ihre SaaS-Reise mit Cloud-nativer Architektur, einem sicherheitsorientierten Ansatz, API-Design und Integrationsd"&amp;"iensten.")</f>
        <v>Die Bereitstellung agiler, skalierbarer und kostengünstiger SaaS-Anwendungen erfordert Fachwissen und innovative Lösungen. NETSOL unterstützt Ihre SaaS-Reise mit Cloud-nativer Architektur, einem sicherheitsorientierten Ansatz, API-Design und Integrationsdiensten.</v>
      </c>
    </row>
    <row r="36" spans="1:2" ht="13.2">
      <c r="A36" s="2" t="s">
        <v>684</v>
      </c>
      <c r="B36" s="2" t="str">
        <f ca="1">IFERROR(__xludf.DUMMYFUNCTION("IF(ISBLANK(A36),"""",GOOGLETRANSLATE(A36,""en"",""de""))"),"DevOps")</f>
        <v>DevOps</v>
      </c>
    </row>
    <row r="37" spans="1:2" ht="13.2">
      <c r="A37" s="2" t="s">
        <v>685</v>
      </c>
      <c r="B37" s="2" t="str">
        <f ca="1">IFERROR(__xludf.DUMMYFUNCTION("IF(ISBLANK(A37),"""",GOOGLETRANSLATE(A37,""en"",""de""))"),"DevOps ist entscheidend für die Optimierung der Entwicklung und Bereitstellung von Cloud-Anwendungen. NETSOL löst den komplexen DevOps-Prozess, indem es die Lücke mit CI/CD-Pipeline-Automatisierung, IaC, Cloud-basierter Überwachung und Protokollierung sow"&amp;"ie Sicherheitsintegration schließt.")</f>
        <v>DevOps ist entscheidend für die Optimierung der Entwicklung und Bereitstellung von Cloud-Anwendungen. NETSOL löst den komplexen DevOps-Prozess, indem es die Lücke mit CI/CD-Pipeline-Automatisierung, IaC, Cloud-basierter Überwachung und Protokollierung sowie Sicherheitsintegration schließt.</v>
      </c>
    </row>
    <row r="38" spans="1:2" ht="13.2">
      <c r="A38" s="2" t="s">
        <v>686</v>
      </c>
      <c r="B38" s="2" t="str">
        <f ca="1">IFERROR(__xludf.DUMMYFUNCTION("IF(ISBLANK(A38),"""",GOOGLETRANSLATE(A38,""en"",""de""))"),"MLOps und Modellverwaltung")</f>
        <v>MLOps und Modellverwaltung</v>
      </c>
    </row>
    <row r="39" spans="1:2" ht="13.2">
      <c r="A39" s="2" t="s">
        <v>687</v>
      </c>
      <c r="B39" s="2" t="str">
        <f ca="1">IFERROR(__xludf.DUMMYFUNCTION("IF(ISBLANK(A39),"""",GOOGLETRANSLATE(A39,""en"",""de""))"),"Der Weg von der Erstellung eines Modells bis zu seiner Bereitstellung in der Produktion kann eine Herausforderung sein. NETSOL, mit Expertise in MLOps, unterstützt Sie in dieser kritischen Phase, indem es die Experimente, die Modellversionierung und -verw"&amp;"altung sowie die Modellüberwachung optimiert.")</f>
        <v>Der Weg von der Erstellung eines Modells bis zu seiner Bereitstellung in der Produktion kann eine Herausforderung sein. NETSOL, mit Expertise in MLOps, unterstützt Sie in dieser kritischen Phase, indem es die Experimente, die Modellversionierung und -verwaltung sowie die Modellüberwachung optimiert.</v>
      </c>
    </row>
    <row r="40" spans="1:2" ht="13.2">
      <c r="A40" s="2" t="s">
        <v>688</v>
      </c>
      <c r="B40" s="2" t="str">
        <f ca="1">IFERROR(__xludf.DUMMYFUNCTION("IF(ISBLANK(A40),"""",GOOGLETRANSLATE(A40,""en"",""de""))"),"NETSOL + Amazon Web Services: Wo Innovation auf Wirkung trifft!")</f>
        <v>NETSOL + Amazon Web Services: Wo Innovation auf Wirkung trifft!</v>
      </c>
    </row>
    <row r="41" spans="1:2" ht="13.2">
      <c r="A41" s="2" t="s">
        <v>689</v>
      </c>
      <c r="B41" s="2" t="str">
        <f ca="1">IFERROR(__xludf.DUMMYFUNCTION("IF(ISBLANK(A41),"""",GOOGLETRANSLATE(A41,""en"",""de""))"),"Entdecken Sie, wie unsere zertifizierte Expertise Ihren Erfolg mit innovativen Cloud-Lösungen vorantreiben kann. Erleben Sie herausragende Innovation und Skalierbarkeit mit den AWS-basierten Services von NETSOL.")</f>
        <v>Entdecken Sie, wie unsere zertifizierte Expertise Ihren Erfolg mit innovativen Cloud-Lösungen vorantreiben kann. Erleben Sie herausragende Innovation und Skalierbarkeit mit den AWS-basierten Services von NETSOL.</v>
      </c>
    </row>
    <row r="42" spans="1:2" ht="13.2">
      <c r="B42" s="2" t="str">
        <f ca="1">IFERROR(__xludf.DUMMYFUNCTION("IF(ISBLANK(A42),"""",GOOGLETRANSLATE(A42,""en"",""de""))"),"")</f>
        <v/>
      </c>
    </row>
    <row r="43" spans="1:2" ht="13.2">
      <c r="A43" s="2" t="s">
        <v>628</v>
      </c>
      <c r="B43" s="2" t="str">
        <f ca="1">IFERROR(__xludf.DUMMYFUNCTION("IF(ISBLANK(A43),"""",GOOGLETRANSLATE(A43,""en"",""de""))"),"Bereit, loszulegen?")</f>
        <v>Bereit, loszulegen?</v>
      </c>
    </row>
    <row r="44" spans="1:2" ht="13.2">
      <c r="A44" s="2" t="s">
        <v>629</v>
      </c>
      <c r="B44" s="2" t="str">
        <f ca="1">IFERROR(__xludf.DUMMYFUNCTION("IF(ISBLANK(A44),"""",GOOGLETRANSLATE(A44,""en"",""de""))"),"Entdecken Sie, wie NETSOL KI für intelligentere Prozesse bei der Politik- und Strategieentwicklung nutzt.")</f>
        <v>Entdecken Sie, wie NETSOL KI für intelligentere Prozesse bei der Politik- und Strategieentwicklung nutzt.</v>
      </c>
    </row>
    <row r="45" spans="1:2" ht="13.2">
      <c r="B45" s="2" t="str">
        <f ca="1">IFERROR(__xludf.DUMMYFUNCTION("IF(ISBLANK(A45),"""",GOOGLETRANSLATE(A45,""en"",""de""))"),"")</f>
        <v/>
      </c>
    </row>
    <row r="46" spans="1:2" ht="13.2">
      <c r="A46" s="2" t="s">
        <v>100</v>
      </c>
      <c r="B46" s="2" t="str">
        <f ca="1">IFERROR(__xludf.DUMMYFUNCTION("IF(ISBLANK(A46),"""",GOOGLETRANSLATE(A46,""en"",""de""))"),"Empfohlene Lektüre und Einblicke")</f>
        <v>Empfohlene Lektüre und Einblicke</v>
      </c>
    </row>
    <row r="47" spans="1:2" ht="13.2">
      <c r="A47" s="10" t="s">
        <v>101</v>
      </c>
      <c r="B47" s="2" t="str">
        <f ca="1">IFERROR(__xludf.DUMMYFUNCTION("IF(ISBLANK(A47),"""",GOOGLETRANSLATE(A47,""en"",""de""))"),"Bleiben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48" spans="1:2" ht="13.2">
      <c r="A48" s="2" t="s">
        <v>102</v>
      </c>
      <c r="B48" s="2" t="str">
        <f ca="1">IFERROR(__xludf.DUMMYFUNCTION("IF(ISBLANK(A48),"""",GOOGLETRANSLATE(A48,""en"",""de""))"),"Der Blog")</f>
        <v>Der Blog</v>
      </c>
    </row>
    <row r="49" spans="1:2" ht="13.2">
      <c r="A49" s="2" t="s">
        <v>103</v>
      </c>
      <c r="B49" s="2" t="str">
        <f ca="1">IFERROR(__xludf.DUMMYFUNCTION("IF(ISBLANK(A49),"""",GOOGLETRANSLATE(A49,""en"",""de""))"),"Über das DMS hinaus: Warum die Zukunft des Automobilhandels API-first ist")</f>
        <v>Über das DMS hinaus: Warum die Zukunft des Automobilhandels API-first ist</v>
      </c>
    </row>
    <row r="50" spans="1:2" ht="13.2">
      <c r="A50" s="2" t="s">
        <v>27</v>
      </c>
      <c r="B50" s="2" t="str">
        <f ca="1">IFERROR(__xludf.DUMMYFUNCTION("IF(ISBLANK(A50),"""",GOOGLETRANSLATE(A50,""en"",""de""))"),"Mehr erfahren")</f>
        <v>Mehr erfahren</v>
      </c>
    </row>
    <row r="51" spans="1:2" ht="13.2">
      <c r="B51" s="2" t="str">
        <f ca="1">IFERROR(__xludf.DUMMYFUNCTION("IF(ISBLANK(A51),"""",GOOGLETRANSLATE(A51,""en"",""de""))"),"")</f>
        <v/>
      </c>
    </row>
    <row r="52" spans="1:2" ht="13.2">
      <c r="A52" s="2" t="s">
        <v>104</v>
      </c>
      <c r="B52" s="2" t="str">
        <f ca="1">IFERROR(__xludf.DUMMYFUNCTION("IF(ISBLANK(A52),"""",GOOGLETRANSLATE(A52,""en"",""de""))"),"NETSOL ist auf der GlobalData Automotive Europe Conference and Awards 2025")</f>
        <v>NETSOL ist auf der GlobalData Automotive Europe Conference and Awards 2025</v>
      </c>
    </row>
    <row r="53" spans="1:2" ht="13.2">
      <c r="B53" s="2" t="str">
        <f ca="1">IFERROR(__xludf.DUMMYFUNCTION("IF(ISBLANK(A53),"""",GOOGLETRANSLATE(A53,""en"",""de""))"),"")</f>
        <v/>
      </c>
    </row>
    <row r="54" spans="1:2" ht="13.2">
      <c r="B54" s="2" t="str">
        <f ca="1">IFERROR(__xludf.DUMMYFUNCTION("IF(ISBLANK(A54),"""",GOOGLETRANSLATE(A54,""en"",""de""))"),"")</f>
        <v/>
      </c>
    </row>
    <row r="55" spans="1:2" ht="13.2">
      <c r="A55" s="2" t="s">
        <v>105</v>
      </c>
      <c r="B55" s="2" t="str">
        <f ca="1">IFERROR(__xludf.DUMMYFUNCTION("IF(ISBLANK(A55),"""",GOOGLETRANSLATE(A55,""en"",""de""))"),"NETSOL ist auf dem 25. jährlichen Auto Finance Summit: Die Zukunft der Autofinanzierung vorantreiben")</f>
        <v>NETSOL ist auf dem 25. jährlichen Auto Finance Summit: Die Zukunft der Autofinanzierung vorantreiben</v>
      </c>
    </row>
    <row r="56" spans="1:2" ht="13.2">
      <c r="B56" s="2" t="str">
        <f ca="1">IFERROR(__xludf.DUMMYFUNCTION("IF(ISBLANK(A56),"""",GOOGLETRANSLATE(A56,""en"",""de""))"),"")</f>
        <v/>
      </c>
    </row>
    <row r="57" spans="1:2" ht="13.2">
      <c r="B57" s="2" t="str">
        <f ca="1">IFERROR(__xludf.DUMMYFUNCTION("IF(ISBLANK(A57),"""",GOOGLETRANSLATE(A57,""en"",""de""))"),"")</f>
        <v/>
      </c>
    </row>
    <row r="58" spans="1:2" ht="13.2">
      <c r="A58" s="2" t="s">
        <v>106</v>
      </c>
      <c r="B58" s="2" t="str">
        <f ca="1">IFERROR(__xludf.DUMMYFUNCTION("IF(ISBLANK(A58),"""",GOOGLETRANSLATE(A58,""en"",""de""))"),"NETSOL ist beim Digital Dealer 2025 dabei: Wir stärken die Zukunft des Automobilhandels")</f>
        <v>NETSOL ist beim Digital Dealer 2025 dabei: Wir stärken die Zukunft des Automobilhandels</v>
      </c>
    </row>
    <row r="59" spans="1:2" ht="13.2">
      <c r="B59" s="2" t="str">
        <f ca="1">IFERROR(__xludf.DUMMYFUNCTION("IF(ISBLANK(A59),"""",GOOGLETRANSLATE(A59,""en"",""de""))"),"")</f>
        <v/>
      </c>
    </row>
    <row r="60" spans="1:2" ht="13.2">
      <c r="B60" s="2" t="str">
        <f ca="1">IFERROR(__xludf.DUMMYFUNCTION("IF(ISBLANK(A60),"""",GOOGLETRANSLATE(A60,""en"",""de""))"),"")</f>
        <v/>
      </c>
    </row>
    <row r="61" spans="1:2" ht="13.2">
      <c r="A61" s="6" t="s">
        <v>107</v>
      </c>
      <c r="B61" s="2" t="str">
        <f ca="1">IFERROR(__xludf.DUMMYFUNCTION("IF(ISBLANK(A61),"""",GOOGLETRANSLATE(A61,""en"",""de""))"),"KI im BFSI: Revolutionierung des Risikomanagements")</f>
        <v>KI im BFSI: Revolutionierung des Risikomanagements</v>
      </c>
    </row>
    <row r="62" spans="1:2" ht="13.2">
      <c r="B62" s="2" t="str">
        <f ca="1">IFERROR(__xludf.DUMMYFUNCTION("IF(ISBLANK(A62),"""",GOOGLETRANSLATE(A62,""en"",""de""))"),"")</f>
        <v/>
      </c>
    </row>
    <row r="63" spans="1:2" ht="13.2">
      <c r="B63" s="2" t="str">
        <f ca="1">IFERROR(__xludf.DUMMYFUNCTION("IF(ISBLANK(A63),"""",GOOGLETRANSLATE(A63,""en"",""de""))"),"")</f>
        <v/>
      </c>
    </row>
    <row r="64" spans="1:2" ht="13.2">
      <c r="A64" s="2" t="s">
        <v>108</v>
      </c>
      <c r="B64" s="2" t="str">
        <f ca="1">IFERROR(__xludf.DUMMYFUNCTION("IF(ISBLANK(A64),"""",GOOGLETRANSLATE(A64,""en"",""de""))"),"Die Bedeutung der Personalisierung im Kundenservice: Maßgeschneidertes Zahlungs- und Streitbeilegungsmanagement für Kunden")</f>
        <v>Die Bedeutung der Personalisierung im Kundenservice: Maßgeschneidertes Zahlungs- und Streitbeilegungsmanagement für Kunden</v>
      </c>
    </row>
    <row r="65" spans="1:2" ht="13.2">
      <c r="B65" s="2" t="str">
        <f ca="1">IFERROR(__xludf.DUMMYFUNCTION("IF(ISBLANK(A65),"""",GOOGLETRANSLATE(A65,""en"",""de""))"),"")</f>
        <v/>
      </c>
    </row>
    <row r="66" spans="1:2" ht="13.2">
      <c r="B66" s="2" t="str">
        <f ca="1">IFERROR(__xludf.DUMMYFUNCTION("IF(ISBLANK(A66),"""",GOOGLETRANSLATE(A66,""en"",""de""))"),"")</f>
        <v/>
      </c>
    </row>
    <row r="67" spans="1:2" ht="13.2">
      <c r="A67" s="2" t="s">
        <v>109</v>
      </c>
      <c r="B67" s="2" t="str">
        <f ca="1">IFERROR(__xludf.DUMMYFUNCTION("IF(ISBLANK(A67),"""",GOOGLETRANSLATE(A67,""en"",""de""))"),"Die wahren Kosten getrennter Systeme im Autohandel")</f>
        <v>Die wahren Kosten getrennter Systeme im Autohandel</v>
      </c>
    </row>
    <row r="68" spans="1:2" ht="13.2">
      <c r="B68" s="2" t="str">
        <f ca="1">IFERROR(__xludf.DUMMYFUNCTION("IF(ISBLANK(A68),"""",GOOGLETRANSLATE(A68,""en"",""de""))"),"")</f>
        <v/>
      </c>
    </row>
    <row r="69" spans="1:2" ht="13.2">
      <c r="B69" s="2" t="str">
        <f ca="1">IFERROR(__xludf.DUMMYFUNCTION("IF(ISBLANK(A69),"""",GOOGLETRANSLATE(A69,""en"",""de""))"),"")</f>
        <v/>
      </c>
    </row>
    <row r="70" spans="1:2" ht="13.2">
      <c r="A70" s="2" t="s">
        <v>110</v>
      </c>
      <c r="B70" s="2" t="str">
        <f ca="1">IFERROR(__xludf.DUMMYFUNCTION("IF(ISBLANK(A70),"""",GOOGLETRANSLATE(A70,""en"",""de""))"),"Captive der Zukunft: Wie Technologie Captive-Finanzierungsgeschäfte neu definiert – Wichtige Erkenntnisse aus dem Webinar der AFSA")</f>
        <v>Captive der Zukunft: Wie Technologie Captive-Finanzierungsgeschäfte neu definiert – Wichtige Erkenntnisse aus dem Webinar der AFSA</v>
      </c>
    </row>
    <row r="71" spans="1:2" ht="13.2">
      <c r="B71" s="2" t="str">
        <f ca="1">IFERROR(__xludf.DUMMYFUNCTION("IF(ISBLANK(A71),"""",GOOGLETRANSLATE(A71,""en"",""de""))"),"")</f>
        <v/>
      </c>
    </row>
    <row r="72" spans="1:2" ht="13.2">
      <c r="B72" s="2" t="str">
        <f ca="1">IFERROR(__xludf.DUMMYFUNCTION("IF(ISBLANK(A72),"""",GOOGLETRANSLATE(A72,""en"",""de""))"),"")</f>
        <v/>
      </c>
    </row>
    <row r="73" spans="1:2" ht="13.2">
      <c r="A73" s="2" t="s">
        <v>111</v>
      </c>
      <c r="B73" s="2" t="str">
        <f ca="1">IFERROR(__xludf.DUMMYFUNCTION("IF(ISBLANK(A73),"""",GOOGLETRANSLATE(A73,""en"",""de""))"),"Betrugsbekämpfung im Großkundengeschäft: Technologie zur Früherkennung und Risikominderung")</f>
        <v>Betrugsbekämpfung im Großkundengeschäft: Technologie zur Früherkennung und Risikominderung</v>
      </c>
    </row>
    <row r="74" spans="1:2" ht="13.2">
      <c r="B74" s="2" t="str">
        <f ca="1">IFERROR(__xludf.DUMMYFUNCTION("IF(ISBLANK(A74),"""",GOOGLETRANSLATE(A74,""en"",""de""))"),"")</f>
        <v/>
      </c>
    </row>
    <row r="75" spans="1:2" ht="13.2">
      <c r="A75" s="2" t="s">
        <v>114</v>
      </c>
      <c r="B75" s="2" t="str">
        <f ca="1">IFERROR(__xludf.DUMMYFUNCTION("IF(ISBLANK(A75),"""",GOOGLETRANSLATE(A75,""en"",""de""))"),"Abonnieren Sie unseren Newsletter, um die neuesten Nachrichten in Ihrem Posteingang zu erhalten.")</f>
        <v>Abonnieren Sie unseren Newsletter, um die neuesten Nachrichten in Ihrem Posteingang zu erhalten.</v>
      </c>
    </row>
    <row r="76" spans="1:2" ht="13.2">
      <c r="A76" s="2" t="s">
        <v>115</v>
      </c>
      <c r="B76" s="2" t="str">
        <f ca="1">IFERROR(__xludf.DUMMYFUNCTION("IF(ISBLANK(A76),"""",GOOGLETRANSLATE(A76,""en"",""de""))"),"abc@example.com")</f>
        <v>abc@example.com</v>
      </c>
    </row>
    <row r="77" spans="1:2" ht="13.2">
      <c r="A77" s="2" t="s">
        <v>116</v>
      </c>
      <c r="B77" s="2" t="str">
        <f ca="1">IFERROR(__xludf.DUMMYFUNCTION("IF(ISBLANK(A77),"""",GOOGLETRANSLATE(A77,""en"",""de""))"),"Abonnieren ")</f>
        <v xml:space="preserve">Abonnieren </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73"/>
  <sheetViews>
    <sheetView topLeftCell="A48" workbookViewId="0">
      <selection sqref="A1:B73"/>
    </sheetView>
  </sheetViews>
  <sheetFormatPr defaultColWidth="12.5546875" defaultRowHeight="15.75" customHeight="1"/>
  <cols>
    <col min="1" max="1" width="113" customWidth="1"/>
  </cols>
  <sheetData>
    <row r="1" spans="1:2" ht="13.2">
      <c r="A1" s="1" t="s">
        <v>0</v>
      </c>
      <c r="B1" s="1" t="s">
        <v>1</v>
      </c>
    </row>
    <row r="2" spans="1:2" ht="15.75" customHeight="1">
      <c r="A2" s="2" t="s">
        <v>147</v>
      </c>
      <c r="B2" s="2" t="str">
        <f ca="1">IFERROR(__xludf.DUMMYFUNCTION("IF(ISBLANK(A2),"""",GOOGLETRANSLATE(A2,""en"",""de""))"),"Datentechnik")</f>
        <v>Datentechnik</v>
      </c>
    </row>
    <row r="3" spans="1:2" ht="15.75" customHeight="1">
      <c r="A3" s="2" t="s">
        <v>690</v>
      </c>
      <c r="B3" s="2" t="str">
        <f ca="1">IFERROR(__xludf.DUMMYFUNCTION("IF(ISBLANK(A3),"""",GOOGLETRANSLATE(A3,""en"",""de""))"),"Robuste Datentechnikdienste und -lösungen")</f>
        <v>Robuste Datentechnikdienste und -lösungen</v>
      </c>
    </row>
    <row r="4" spans="1:2" ht="15.75" customHeight="1">
      <c r="A4" s="2" t="s">
        <v>691</v>
      </c>
      <c r="B4" s="2" t="str">
        <f ca="1">IFERROR(__xludf.DUMMYFUNCTION("IF(ISBLANK(A4),"""",GOOGLETRANSLATE(A4,""en"",""de""))"),"Erstellen Sie mit AWS-Services für Datentechnik skalierbare Datenpipelines für Ihr Unternehmenswachstum.")</f>
        <v>Erstellen Sie mit AWS-Services für Datentechnik skalierbare Datenpipelines für Ihr Unternehmenswachstum.</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692</v>
      </c>
      <c r="B7" s="2" t="str">
        <f ca="1">IFERROR(__xludf.DUMMYFUNCTION("IF(ISBLANK(A7),"""",GOOGLETRANSLATE(A7,""en"",""de""))"),"Generieren Sie umsetzbare Erkenntnisse durch ausgereifte Datenplattformen")</f>
        <v>Generieren Sie umsetzbare Erkenntnisse durch ausgereifte Datenplattformen</v>
      </c>
    </row>
    <row r="8" spans="1:2" ht="15.75" customHeight="1">
      <c r="A8" s="2" t="s">
        <v>693</v>
      </c>
      <c r="B8" s="2" t="str">
        <f ca="1">IFERROR(__xludf.DUMMYFUNCTION("IF(ISBLANK(A8),"""",GOOGLETRANSLATE(A8,""en"",""de""))"),"Aufgrund von Problemen mit der Datenvertrauenswürdigkeit, begrenzten Datenplattformen und unzureichendem Wissen fällt es Unternehmen schwer, zeitnahe Erkenntnisse zu liefern. Mit Datentechnik- und Analyseservices können Unternehmen Beratungs- und Betriebs"&amp;"vorteile nutzen und sich auf die Senkung der Betriebskosten und die Verbesserung der Nachhaltigkeit konzentrieren. NETSOL bietet AWS-Services für Datentechnik, extrahiert Daten von verschiedenen Plattformen und nutzt gleichzeitig intelligente Katalogisier"&amp;"ung durch Vertrauenstests und Bereitstellung. Dank der AL- und ML-Partnerschaft beschleunigen Sie Ihre Datenbemühungen.")</f>
        <v>Aufgrund von Problemen mit der Datenvertrauenswürdigkeit, begrenzten Datenplattformen und unzureichendem Wissen fällt es Unternehmen schwer, zeitnahe Erkenntnisse zu liefern. Mit Datentechnik- und Analyseservices können Unternehmen Beratungs- und Betriebsvorteile nutzen und sich auf die Senkung der Betriebskosten und die Verbesserung der Nachhaltigkeit konzentrieren. NETSOL bietet AWS-Services für Datentechnik, extrahiert Daten von verschiedenen Plattformen und nutzt gleichzeitig intelligente Katalogisierung durch Vertrauenstests und Bereitstellung. Dank der AL- und ML-Partnerschaft beschleunigen Sie Ihre Datenbemühungen.</v>
      </c>
    </row>
    <row r="9" spans="1:2" ht="15.75" customHeight="1">
      <c r="A9" s="2" t="s">
        <v>694</v>
      </c>
      <c r="B9" s="2" t="str">
        <f ca="1">IFERROR(__xludf.DUMMYFUNCTION("IF(ISBLANK(A9),"""",GOOGLETRANSLATE(A9,""en"",""de""))"),"Datenverluste")</f>
        <v>Datenverluste</v>
      </c>
    </row>
    <row r="10" spans="1:2" ht="15.75" customHeight="1">
      <c r="A10" s="2" t="s">
        <v>695</v>
      </c>
      <c r="B10" s="2" t="str">
        <f ca="1">IFERROR(__xludf.DUMMYFUNCTION("IF(ISBLANK(A10),"""",GOOGLETRANSLATE(A10,""en"",""de""))"),"Weltweit verlieren Unternehmen aufgrund mangelhafter Datenqualität und -verwaltung jährlich über 15 Millionen US-Dollar.")</f>
        <v>Weltweit verlieren Unternehmen aufgrund mangelhafter Datenqualität und -verwaltung jährlich über 15 Millionen US-Dollar.</v>
      </c>
    </row>
    <row r="11" spans="1:2" ht="15.75" customHeight="1">
      <c r="A11" s="2" t="s">
        <v>696</v>
      </c>
      <c r="B11" s="2" t="str">
        <f ca="1">IFERROR(__xludf.DUMMYFUNCTION("IF(ISBLANK(A11),"""",GOOGLETRANSLATE(A11,""en"",""de""))"),"Marktschub")</f>
        <v>Marktschub</v>
      </c>
    </row>
    <row r="12" spans="1:2" ht="15.75" customHeight="1">
      <c r="A12" s="2" t="s">
        <v>697</v>
      </c>
      <c r="B12" s="2" t="str">
        <f ca="1">IFERROR(__xludf.DUMMYFUNCTION("IF(ISBLANK(A12),"""",GOOGLETRANSLATE(A12,""en"",""de""))"),"Der globale Datenmarkt wird bis 2026 voraussichtlich auf 274,3 Milliarden US-Dollar anwachsen.")</f>
        <v>Der globale Datenmarkt wird bis 2026 voraussichtlich auf 274,3 Milliarden US-Dollar anwachsen.</v>
      </c>
    </row>
    <row r="13" spans="1:2" ht="15.75" customHeight="1">
      <c r="A13" s="2" t="s">
        <v>698</v>
      </c>
      <c r="B13" s="2" t="str">
        <f ca="1">IFERROR(__xludf.DUMMYFUNCTION("IF(ISBLANK(A13),"""",GOOGLETRANSLATE(A13,""en"",""de""))"),"Datenseen")</f>
        <v>Datenseen</v>
      </c>
    </row>
    <row r="14" spans="1:2" ht="15.75" customHeight="1">
      <c r="A14" s="2" t="s">
        <v>699</v>
      </c>
      <c r="B14" s="2" t="str">
        <f ca="1">IFERROR(__xludf.DUMMYFUNCTION("IF(ISBLANK(A14),"""",GOOGLETRANSLATE(A14,""en"",""de""))"),"Der Markt für Datenseen wird voraussichtlich bis 2028 einen Höchststand von 20,04 Milliarden US-Dollar erreichen.")</f>
        <v>Der Markt für Datenseen wird voraussichtlich bis 2028 einen Höchststand von 20,04 Milliarden US-Dollar erreichen.</v>
      </c>
    </row>
    <row r="15" spans="1:2" ht="15.75" customHeight="1">
      <c r="A15" s="2" t="s">
        <v>700</v>
      </c>
      <c r="B15" s="2" t="str">
        <f ca="1">IFERROR(__xludf.DUMMYFUNCTION("IF(ISBLANK(A15),"""",GOOGLETRANSLATE(A15,""en"",""de""))"),"Technisches Wachstum")</f>
        <v>Technisches Wachstum</v>
      </c>
    </row>
    <row r="16" spans="1:2" ht="15.75" customHeight="1">
      <c r="A16" s="2" t="s">
        <v>701</v>
      </c>
      <c r="B16" s="2" t="str">
        <f ca="1">IFERROR(__xludf.DUMMYFUNCTION("IF(ISBLANK(A16),"""",GOOGLETRANSLATE(A16,""en"",""de""))"),"Der Markt für Datentechnik wird sich von 43,04 Milliarden US-Dollar im Jahr 2022 auf 89,02 Milliarden US-Dollar im Jahr 2027 verdoppeln.")</f>
        <v>Der Markt für Datentechnik wird sich von 43,04 Milliarden US-Dollar im Jahr 2022 auf 89,02 Milliarden US-Dollar im Jahr 2027 verdoppeln.</v>
      </c>
    </row>
    <row r="17" spans="1:2" ht="15.75" customHeight="1">
      <c r="A17" s="2" t="s">
        <v>702</v>
      </c>
      <c r="B17" s="2" t="str">
        <f ca="1">IFERROR(__xludf.DUMMYFUNCTION("IF(ISBLANK(A17),"""",GOOGLETRANSLATE(A17,""en"",""de""))"),"Umsetzbare Erkenntnisse mit der richtigen Datenstrategie")</f>
        <v>Umsetzbare Erkenntnisse mit der richtigen Datenstrategie</v>
      </c>
    </row>
    <row r="18" spans="1:2" ht="15.75" customHeight="1">
      <c r="A18" s="2" t="s">
        <v>485</v>
      </c>
      <c r="B18" s="2" t="str">
        <f ca="1">IFERROR(__xludf.DUMMYFUNCTION("IF(ISBLANK(A18),"""",GOOGLETRANSLATE(A18,""en"",""de""))"),"NETSOL bietet risikoorientierte Sicherheitsstrategien zum Schutz Ihrer Daten, zur Gewährleistung der Compliance und zur Verbesserung der betrieblichen Agilität.")</f>
        <v>NETSOL bietet risikoorientierte Sicherheitsstrategien zum Schutz Ihrer Daten, zur Gewährleistung der Compliance und zur Verbesserung der betrieblichen Agilität.</v>
      </c>
    </row>
    <row r="19" spans="1:2" ht="15.75" customHeight="1">
      <c r="B19" s="2" t="str">
        <f ca="1">IFERROR(__xludf.DUMMYFUNCTION("IF(ISBLANK(A19),"""",GOOGLETRANSLATE(A19,""en"",""de""))"),"")</f>
        <v/>
      </c>
    </row>
    <row r="20" spans="1:2" ht="15.75" customHeight="1">
      <c r="A20" s="2" t="s">
        <v>703</v>
      </c>
      <c r="B20" s="2" t="str">
        <f ca="1">IFERROR(__xludf.DUMMYFUNCTION("IF(ISBLANK(A20),"""",GOOGLETRANSLATE(A20,""en"",""de""))"),"3,1 Billionen US-Dollar mehr Nachhaltigkeit")</f>
        <v>3,1 Billionen US-Dollar mehr Nachhaltigkeit</v>
      </c>
    </row>
    <row r="21" spans="1:2" ht="15.75" customHeight="1">
      <c r="A21" s="2" t="s">
        <v>704</v>
      </c>
      <c r="B21" s="2" t="str">
        <f ca="1">IFERROR(__xludf.DUMMYFUNCTION("IF(ISBLANK(A21),"""",GOOGLETRANSLATE(A21,""en"",""de""))"),"Durch datengesteuertes Umweltmonitoring kann der Sektor bis 2030 jährliche Einsparungen von 3,1 Billionen US-Dollar erzielen.")</f>
        <v>Durch datengesteuertes Umweltmonitoring kann der Sektor bis 2030 jährliche Einsparungen von 3,1 Billionen US-Dollar erzielen.</v>
      </c>
    </row>
    <row r="22" spans="1:2" ht="15.75" customHeight="1">
      <c r="A22" s="2" t="s">
        <v>705</v>
      </c>
      <c r="B22" s="2" t="str">
        <f ca="1">IFERROR(__xludf.DUMMYFUNCTION("IF(ISBLANK(A22),"""",GOOGLETRANSLATE(A22,""en"",""de""))"),"Blockchain-Anstieg um 67,4 Milliarden US-Dollar")</f>
        <v>Blockchain-Anstieg um 67,4 Milliarden US-Dollar</v>
      </c>
    </row>
    <row r="23" spans="1:2" ht="15.75" customHeight="1">
      <c r="A23" s="2" t="s">
        <v>706</v>
      </c>
      <c r="B23" s="2" t="str">
        <f ca="1">IFERROR(__xludf.DUMMYFUNCTION("IF(ISBLANK(A23),"""",GOOGLETRANSLATE(A23,""en"",""de""))"),"Der globale Blockchain-Markt wird bis 2026 voraussichtlich 67,4 Milliarden US-Dollar erreichen und Datensicherheit und Rückverfolgbarkeit in die Datentechnik integrieren.")</f>
        <v>Der globale Blockchain-Markt wird bis 2026 voraussichtlich 67,4 Milliarden US-Dollar erreichen und Datensicherheit und Rückverfolgbarkeit in die Datentechnik integrieren.</v>
      </c>
    </row>
    <row r="24" spans="1:2" ht="13.2">
      <c r="A24" s="2" t="s">
        <v>707</v>
      </c>
      <c r="B24" s="2" t="str">
        <f ca="1">IFERROR(__xludf.DUMMYFUNCTION("IF(ISBLANK(A24),"""",GOOGLETRANSLATE(A24,""en"",""de""))"),"70 % Skalierbarkeit")</f>
        <v>70 % Skalierbarkeit</v>
      </c>
    </row>
    <row r="25" spans="1:2" ht="13.2">
      <c r="A25" s="2" t="s">
        <v>708</v>
      </c>
      <c r="B25" s="2" t="str">
        <f ca="1">IFERROR(__xludf.DUMMYFUNCTION("IF(ISBLANK(A25),"""",GOOGLETRANSLATE(A25,""en"",""de""))"),"Durch die Integration von Low-Code-/No-Code-Technologien in die Datentechnik können Unternehmen eine Skalierbarkeit ihrer Datenpipeline von 70 % erreichen.")</f>
        <v>Durch die Integration von Low-Code-/No-Code-Technologien in die Datentechnik können Unternehmen eine Skalierbarkeit ihrer Datenpipeline von 70 % erreichen.</v>
      </c>
    </row>
    <row r="26" spans="1:2" ht="13.2">
      <c r="A26" s="2" t="s">
        <v>709</v>
      </c>
      <c r="B26" s="2" t="str">
        <f ca="1">IFERROR(__xludf.DUMMYFUNCTION("IF(ISBLANK(A26),"""",GOOGLETRANSLATE(A26,""en"",""de""))"),"KI-gesteuerte Intelligenz auf Basis robuster Datentechnik")</f>
        <v>KI-gesteuerte Intelligenz auf Basis robuster Datentechnik</v>
      </c>
    </row>
    <row r="27" spans="1:2" ht="13.2">
      <c r="A27" s="2" t="s">
        <v>710</v>
      </c>
      <c r="B27" s="2" t="str">
        <f ca="1">IFERROR(__xludf.DUMMYFUNCTION("IF(ISBLANK(A27),"""",GOOGLETRANSLATE(A27,""en"",""de""))"),"Datenmigrationsstrategie, -entwicklung und -implementierung")</f>
        <v>Datenmigrationsstrategie, -entwicklung und -implementierung</v>
      </c>
    </row>
    <row r="28" spans="1:2" ht="13.2">
      <c r="A28" s="2" t="s">
        <v>711</v>
      </c>
      <c r="B28" s="2" t="str">
        <f ca="1">IFERROR(__xludf.DUMMYFUNCTION("IF(ISBLANK(A28),"""",GOOGLETRANSLATE(A28,""en"",""de""))"),"Mit einer geeigneten Datenmigrationsstrategie können Unternehmen ihre Daten bewerten, testen und validieren und die Informationen in wertvolle Erkenntnisse umwandeln. Entwicklungs- und Implementierungstools unterstützen das Änderungsmanagement und impleme"&amp;"ntieren die Validierung nach und vor der Migration mit kontinuierlicher Unterstützung.")</f>
        <v>Mit einer geeigneten Datenmigrationsstrategie können Unternehmen ihre Daten bewerten, testen und validieren und die Informationen in wertvolle Erkenntnisse umwandeln. Entwicklungs- und Implementierungstools unterstützen das Änderungsmanagement und implementieren die Validierung nach und vor der Migration mit kontinuierlicher Unterstützung.</v>
      </c>
    </row>
    <row r="29" spans="1:2" ht="13.2">
      <c r="A29" s="2" t="s">
        <v>712</v>
      </c>
      <c r="B29" s="2" t="str">
        <f ca="1">IFERROR(__xludf.DUMMYFUNCTION("IF(ISBLANK(A29),"""",GOOGLETRANSLATE(A29,""en"",""de""))"),"Datenaufbereitungs- und Integrationsdienste")</f>
        <v>Datenaufbereitungs- und Integrationsdienste</v>
      </c>
    </row>
    <row r="30" spans="1:2" ht="13.2">
      <c r="A30" s="2" t="s">
        <v>713</v>
      </c>
      <c r="B30" s="2" t="str">
        <f ca="1">IFERROR(__xludf.DUMMYFUNCTION("IF(ISBLANK(A30),"""",GOOGLETRANSLATE(A30,""en"",""de""))"),"Data Analytics Engineering Services bewältigen die Herausforderung der Datenbereinigung mithilfe einer diversifizierten Datenquelle und wandeln diese in wertvolle Geschäftserkenntnisse um. Wir kombinieren diese, indem wir die Daten aus einzigartigen Quell"&amp;"en extrahieren, harmonisieren und den Workflow optimieren.")</f>
        <v>Data Analytics Engineering Services bewältigen die Herausforderung der Datenbereinigung mithilfe einer diversifizierten Datenquelle und wandeln diese in wertvolle Geschäftserkenntnisse um. Wir kombinieren diese, indem wir die Daten aus einzigartigen Quellen extrahieren, harmonisieren und den Workflow optimieren.</v>
      </c>
    </row>
    <row r="31" spans="1:2" ht="13.2">
      <c r="A31" s="2" t="s">
        <v>714</v>
      </c>
      <c r="B31" s="2" t="str">
        <f ca="1">IFERROR(__xludf.DUMMYFUNCTION("IF(ISBLANK(A31),"""",GOOGLETRANSLATE(A31,""en"",""de""))"),"Datenseen, Data Warehouses und Data Marts")</f>
        <v>Datenseen, Data Warehouses und Data Marts</v>
      </c>
    </row>
    <row r="32" spans="1:2" ht="13.2">
      <c r="A32" s="2" t="s">
        <v>715</v>
      </c>
      <c r="B32" s="2" t="str">
        <f ca="1">IFERROR(__xludf.DUMMYFUNCTION("IF(ISBLANK(A32),"""",GOOGLETRANSLATE(A32,""en"",""de""))"),"Der Algorithmus des Data Engineering basiert auf robusten Datenspeicherlösungen, wobei Data Lakes, Warehouses und Marts eine wichtige Rolle spielen. Wählen Sie mit uns die passende Lösung basierend auf Ihren Anforderungen an Kosten, Zugänglichkeit und Dat"&amp;"enstruktur.")</f>
        <v>Der Algorithmus des Data Engineering basiert auf robusten Datenspeicherlösungen, wobei Data Lakes, Warehouses und Marts eine wichtige Rolle spielen. Wählen Sie mit uns die passende Lösung basierend auf Ihren Anforderungen an Kosten, Zugänglichkeit und Datenstruktur.</v>
      </c>
    </row>
    <row r="33" spans="1:2" ht="13.2">
      <c r="A33" s="2" t="s">
        <v>716</v>
      </c>
      <c r="B33" s="2" t="str">
        <f ca="1">IFERROR(__xludf.DUMMYFUNCTION("IF(ISBLANK(A33),"""",GOOGLETRANSLATE(A33,""en"",""de""))"),"Datenanalyse, Berichterstattung und Visualisierung")</f>
        <v>Datenanalyse, Berichterstattung und Visualisierung</v>
      </c>
    </row>
    <row r="34" spans="1:2" ht="13.2">
      <c r="A34" s="2" t="s">
        <v>717</v>
      </c>
      <c r="B34" s="2" t="str">
        <f ca="1">IFERROR(__xludf.DUMMYFUNCTION("IF(ISBLANK(A34),"""",GOOGLETRANSLATE(A34,""en"",""de""))"),"Integrieren Sie Datenanalyselösungen in Ihr Unternehmen, um mithilfe fortschrittlicher Analysetools die wahre Bedeutung der Daten zu erfassen. Erhalten Sie maßgeschneiderte und automatisierte Berichte mit Datenberichten, denen Sie ein interaktives Dashboa"&amp;"rd zur verbesserten Datenvisualisierung hinzufügen können.")</f>
        <v>Integrieren Sie Datenanalyselösungen in Ihr Unternehmen, um mithilfe fortschrittlicher Analysetools die wahre Bedeutung der Daten zu erfassen. Erhalten Sie maßgeschneiderte und automatisierte Berichte mit Datenberichten, denen Sie ein interaktives Dashboard zur verbesserten Datenvisualisierung hinzufügen können.</v>
      </c>
    </row>
    <row r="35" spans="1:2" ht="13.2">
      <c r="A35" s="2" t="s">
        <v>718</v>
      </c>
      <c r="B35" s="2" t="str">
        <f ca="1">IFERROR(__xludf.DUMMYFUNCTION("IF(ISBLANK(A35),"""",GOOGLETRANSLATE(A35,""en"",""de""))"),"ETL, ELT, Datenpipeline, Workflow und Orchestrierung")</f>
        <v>ETL, ELT, Datenpipeline, Workflow und Orchestrierung</v>
      </c>
    </row>
    <row r="36" spans="1:2" ht="13.2">
      <c r="A36" s="2" t="s">
        <v>719</v>
      </c>
      <c r="B36" s="2" t="str">
        <f ca="1">IFERROR(__xludf.DUMMYFUNCTION("IF(ISBLANK(A36),"""",GOOGLETRANSLATE(A36,""en"",""de""))"),"Extrahieren, Transformieren, Laden (ETL) und Extrahieren, Transformieren (ELT) sind Datenbewegungstechniken, die Unternehmen dabei unterstützen, ihre Daten in aussagekräftige Erkenntnisse umzuwandeln. Mit modernen Datenpipelines können Unternehmen Datenvo"&amp;"lumen und -komplexität effektiv verwalten.")</f>
        <v>Extrahieren, Transformieren, Laden (ETL) und Extrahieren, Transformieren (ELT) sind Datenbewegungstechniken, die Unternehmen dabei unterstützen, ihre Daten in aussagekräftige Erkenntnisse umzuwandeln. Mit modernen Datenpipelines können Unternehmen Datenvolumen und -komplexität effektiv verwalten.</v>
      </c>
    </row>
    <row r="37" spans="1:2" ht="13.2">
      <c r="A37" s="2" t="s">
        <v>720</v>
      </c>
      <c r="B37" s="2" t="str">
        <f ca="1">IFERROR(__xludf.DUMMYFUNCTION("IF(ISBLANK(A37),"""",GOOGLETRANSLATE(A37,""en"",""de""))"),"Datenmodellierung, -optimierung und -architektur")</f>
        <v>Datenmodellierung, -optimierung und -architektur</v>
      </c>
    </row>
    <row r="38" spans="1:2" ht="13.2">
      <c r="A38" s="2" t="s">
        <v>721</v>
      </c>
      <c r="B38" s="2" t="str">
        <f ca="1">IFERROR(__xludf.DUMMYFUNCTION("IF(ISBLANK(A38),"""",GOOGLETRANSLATE(A38,""en"",""de""))"),"Die Grundlage des Data Engineering liegt in der Datenmodellierung, -optimierung und -architektur. Von der Definition von Datenbeziehungen über die Sicherstellung von Leistungsüberlegungen bis hin zum strategischen Datendesign ermöglicht Ihnen NETSOL, den "&amp;"Prozess optimal zu bewältigen.")</f>
        <v>Die Grundlage des Data Engineering liegt in der Datenmodellierung, -optimierung und -architektur. Von der Definition von Datenbeziehungen über die Sicherstellung von Leistungsüberlegungen bis hin zum strategischen Datendesign ermöglicht Ihnen NETSOL, den Prozess optimal zu bewältigen.</v>
      </c>
    </row>
    <row r="39" spans="1:2" ht="13.2">
      <c r="A39" s="2" t="s">
        <v>628</v>
      </c>
      <c r="B39" s="2" t="str">
        <f ca="1">IFERROR(__xludf.DUMMYFUNCTION("IF(ISBLANK(A39),"""",GOOGLETRANSLATE(A39,""en"",""de""))"),"Bereit, loszulegen?")</f>
        <v>Bereit, loszulegen?</v>
      </c>
    </row>
    <row r="40" spans="1:2" ht="13.2">
      <c r="A40" s="2" t="s">
        <v>722</v>
      </c>
      <c r="B40" s="2" t="str">
        <f ca="1">IFERROR(__xludf.DUMMYFUNCTION("IF(ISBLANK(A40),"""",GOOGLETRANSLATE(A40,""en"",""de""))"),"Entdecken Sie, wie NETSOL ein umfassendes Datenarchitekturdesign entwickelt und Ihre Dateninfrastruktur mit Datentechnikdiensten stärkt.")</f>
        <v>Entdecken Sie, wie NETSOL ein umfassendes Datenarchitekturdesign entwickelt und Ihre Dateninfrastruktur mit Datentechnikdiensten stärkt.</v>
      </c>
    </row>
    <row r="41" spans="1:2" ht="13.2">
      <c r="B41" s="2" t="str">
        <f ca="1">IFERROR(__xludf.DUMMYFUNCTION("IF(ISBLANK(A41),"""",GOOGLETRANSLATE(A41,""en"",""de""))"),"")</f>
        <v/>
      </c>
    </row>
    <row r="42" spans="1:2" ht="13.2">
      <c r="A42" s="2" t="s">
        <v>100</v>
      </c>
      <c r="B42" s="2" t="str">
        <f ca="1">IFERROR(__xludf.DUMMYFUNCTION("IF(ISBLANK(A42),"""",GOOGLETRANSLATE(A42,""en"",""de""))"),"Empfohlene Lektüre und Einblicke")</f>
        <v>Empfohlene Lektüre und Einblicke</v>
      </c>
    </row>
    <row r="43" spans="1:2" ht="13.2">
      <c r="A43" s="10" t="s">
        <v>101</v>
      </c>
      <c r="B43" s="2" t="str">
        <f ca="1">IFERROR(__xludf.DUMMYFUNCTION("IF(ISBLANK(A43),"""",GOOGLETRANSLATE(A43,""en"",""de""))"),"Bleiben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44" spans="1:2" ht="13.2">
      <c r="A44" s="2" t="s">
        <v>102</v>
      </c>
      <c r="B44" s="2" t="str">
        <f ca="1">IFERROR(__xludf.DUMMYFUNCTION("IF(ISBLANK(A44),"""",GOOGLETRANSLATE(A44,""en"",""de""))"),"Der Blog")</f>
        <v>Der Blog</v>
      </c>
    </row>
    <row r="45" spans="1:2" ht="13.2">
      <c r="A45" s="2" t="s">
        <v>103</v>
      </c>
      <c r="B45" s="2" t="str">
        <f ca="1">IFERROR(__xludf.DUMMYFUNCTION("IF(ISBLANK(A45),"""",GOOGLETRANSLATE(A45,""en"",""de""))"),"Über das DMS hinaus: Warum die Zukunft des Automobilhandels API-first ist")</f>
        <v>Über das DMS hinaus: Warum die Zukunft des Automobilhandels API-first ist</v>
      </c>
    </row>
    <row r="46" spans="1:2" ht="13.2">
      <c r="A46" s="2" t="s">
        <v>27</v>
      </c>
      <c r="B46" s="2" t="str">
        <f ca="1">IFERROR(__xludf.DUMMYFUNCTION("IF(ISBLANK(A46),"""",GOOGLETRANSLATE(A46,""en"",""de""))"),"Mehr erfahren")</f>
        <v>Mehr erfahren</v>
      </c>
    </row>
    <row r="47" spans="1:2" ht="13.2">
      <c r="B47" s="2" t="str">
        <f ca="1">IFERROR(__xludf.DUMMYFUNCTION("IF(ISBLANK(A47),"""",GOOGLETRANSLATE(A47,""en"",""de""))"),"")</f>
        <v/>
      </c>
    </row>
    <row r="48" spans="1:2" ht="13.2">
      <c r="A48" s="2" t="s">
        <v>104</v>
      </c>
      <c r="B48" s="2" t="str">
        <f ca="1">IFERROR(__xludf.DUMMYFUNCTION("IF(ISBLANK(A48),"""",GOOGLETRANSLATE(A48,""en"",""de""))"),"NETSOL ist auf der GlobalData Automotive Europe Conference and Awards 2025")</f>
        <v>NETSOL ist auf der GlobalData Automotive Europe Conference and Awards 2025</v>
      </c>
    </row>
    <row r="49" spans="1:2" ht="13.2">
      <c r="B49" s="2" t="str">
        <f ca="1">IFERROR(__xludf.DUMMYFUNCTION("IF(ISBLANK(A49),"""",GOOGLETRANSLATE(A49,""en"",""de""))"),"")</f>
        <v/>
      </c>
    </row>
    <row r="50" spans="1:2" ht="13.2">
      <c r="B50" s="2" t="str">
        <f ca="1">IFERROR(__xludf.DUMMYFUNCTION("IF(ISBLANK(A50),"""",GOOGLETRANSLATE(A50,""en"",""de""))"),"")</f>
        <v/>
      </c>
    </row>
    <row r="51" spans="1:2" ht="13.2">
      <c r="A51" s="2" t="s">
        <v>105</v>
      </c>
      <c r="B51" s="2" t="str">
        <f ca="1">IFERROR(__xludf.DUMMYFUNCTION("IF(ISBLANK(A51),"""",GOOGLETRANSLATE(A51,""en"",""de""))"),"NETSOL ist auf dem 25. jährlichen Auto Finance Summit: Die Zukunft der Autofinanzierung vorantreiben")</f>
        <v>NETSOL ist auf dem 25. jährlichen Auto Finance Summit: Die Zukunft der Autofinanzierung vorantreiben</v>
      </c>
    </row>
    <row r="52" spans="1:2" ht="13.2">
      <c r="B52" s="2" t="str">
        <f ca="1">IFERROR(__xludf.DUMMYFUNCTION("IF(ISBLANK(A52),"""",GOOGLETRANSLATE(A52,""en"",""de""))"),"")</f>
        <v/>
      </c>
    </row>
    <row r="53" spans="1:2" ht="13.2">
      <c r="B53" s="2" t="str">
        <f ca="1">IFERROR(__xludf.DUMMYFUNCTION("IF(ISBLANK(A53),"""",GOOGLETRANSLATE(A53,""en"",""de""))"),"")</f>
        <v/>
      </c>
    </row>
    <row r="54" spans="1:2" ht="13.2">
      <c r="A54" s="2" t="s">
        <v>106</v>
      </c>
      <c r="B54" s="2" t="str">
        <f ca="1">IFERROR(__xludf.DUMMYFUNCTION("IF(ISBLANK(A54),"""",GOOGLETRANSLATE(A54,""en"",""de""))"),"NETSOL ist beim Digital Dealer 2025 dabei: Wir stärken die Zukunft des Automobilhandels")</f>
        <v>NETSOL ist beim Digital Dealer 2025 dabei: Wir stärken die Zukunft des Automobilhandels</v>
      </c>
    </row>
    <row r="55" spans="1:2" ht="13.2">
      <c r="B55" s="2" t="str">
        <f ca="1">IFERROR(__xludf.DUMMYFUNCTION("IF(ISBLANK(A55),"""",GOOGLETRANSLATE(A55,""en"",""de""))"),"")</f>
        <v/>
      </c>
    </row>
    <row r="56" spans="1:2" ht="13.2">
      <c r="B56" s="2" t="str">
        <f ca="1">IFERROR(__xludf.DUMMYFUNCTION("IF(ISBLANK(A56),"""",GOOGLETRANSLATE(A56,""en"",""de""))"),"")</f>
        <v/>
      </c>
    </row>
    <row r="57" spans="1:2" ht="13.2">
      <c r="A57" s="6" t="s">
        <v>107</v>
      </c>
      <c r="B57" s="2" t="str">
        <f ca="1">IFERROR(__xludf.DUMMYFUNCTION("IF(ISBLANK(A57),"""",GOOGLETRANSLATE(A57,""en"",""de""))"),"KI im BFSI: Revolutionierung des Risikomanagements")</f>
        <v>KI im BFSI: Revolutionierung des Risikomanagements</v>
      </c>
    </row>
    <row r="58" spans="1:2" ht="13.2">
      <c r="B58" s="2" t="str">
        <f ca="1">IFERROR(__xludf.DUMMYFUNCTION("IF(ISBLANK(A58),"""",GOOGLETRANSLATE(A58,""en"",""de""))"),"")</f>
        <v/>
      </c>
    </row>
    <row r="59" spans="1:2" ht="13.2">
      <c r="B59" s="2" t="str">
        <f ca="1">IFERROR(__xludf.DUMMYFUNCTION("IF(ISBLANK(A59),"""",GOOGLETRANSLATE(A59,""en"",""de""))"),"")</f>
        <v/>
      </c>
    </row>
    <row r="60" spans="1:2" ht="13.2">
      <c r="A60" s="2" t="s">
        <v>108</v>
      </c>
      <c r="B60" s="2" t="str">
        <f ca="1">IFERROR(__xludf.DUMMYFUNCTION("IF(ISBLANK(A60),"""",GOOGLETRANSLATE(A60,""en"",""de""))"),"Die Bedeutung der Personalisierung im Kundenservice: Maßgeschneidertes Zahlungs- und Streitbeilegungsmanagement für Kunden")</f>
        <v>Die Bedeutung der Personalisierung im Kundenservice: Maßgeschneidertes Zahlungs- und Streitbeilegungsmanagement für Kunden</v>
      </c>
    </row>
    <row r="61" spans="1:2" ht="13.2">
      <c r="B61" s="2" t="str">
        <f ca="1">IFERROR(__xludf.DUMMYFUNCTION("IF(ISBLANK(A61),"""",GOOGLETRANSLATE(A61,""en"",""de""))"),"")</f>
        <v/>
      </c>
    </row>
    <row r="62" spans="1:2" ht="13.2">
      <c r="B62" s="2" t="str">
        <f ca="1">IFERROR(__xludf.DUMMYFUNCTION("IF(ISBLANK(A62),"""",GOOGLETRANSLATE(A62,""en"",""de""))"),"")</f>
        <v/>
      </c>
    </row>
    <row r="63" spans="1:2" ht="13.2">
      <c r="A63" s="2" t="s">
        <v>109</v>
      </c>
      <c r="B63" s="2" t="str">
        <f ca="1">IFERROR(__xludf.DUMMYFUNCTION("IF(ISBLANK(A63),"""",GOOGLETRANSLATE(A63,""en"",""de""))"),"Die wahren Kosten getrennter Systeme im Autohandel")</f>
        <v>Die wahren Kosten getrennter Systeme im Autohandel</v>
      </c>
    </row>
    <row r="64" spans="1:2" ht="13.2">
      <c r="B64" s="2" t="str">
        <f ca="1">IFERROR(__xludf.DUMMYFUNCTION("IF(ISBLANK(A64),"""",GOOGLETRANSLATE(A64,""en"",""de""))"),"")</f>
        <v/>
      </c>
    </row>
    <row r="65" spans="1:2" ht="13.2">
      <c r="B65" s="2" t="str">
        <f ca="1">IFERROR(__xludf.DUMMYFUNCTION("IF(ISBLANK(A65),"""",GOOGLETRANSLATE(A65,""en"",""de""))"),"")</f>
        <v/>
      </c>
    </row>
    <row r="66" spans="1:2" ht="13.2">
      <c r="A66" s="2" t="s">
        <v>110</v>
      </c>
      <c r="B66" s="2" t="str">
        <f ca="1">IFERROR(__xludf.DUMMYFUNCTION("IF(ISBLANK(A66),"""",GOOGLETRANSLATE(A66,""en"",""de""))"),"Captive der Zukunft: Wie Technologie Captive-Finanzierungsgeschäfte neu definiert – Wichtige Erkenntnisse aus dem Webinar der AFSA")</f>
        <v>Captive der Zukunft: Wie Technologie Captive-Finanzierungsgeschäfte neu definiert – Wichtige Erkenntnisse aus dem Webinar der AFSA</v>
      </c>
    </row>
    <row r="67" spans="1:2" ht="13.2">
      <c r="B67" s="2" t="str">
        <f ca="1">IFERROR(__xludf.DUMMYFUNCTION("IF(ISBLANK(A67),"""",GOOGLETRANSLATE(A67,""en"",""de""))"),"")</f>
        <v/>
      </c>
    </row>
    <row r="68" spans="1:2" ht="13.2">
      <c r="B68" s="2" t="str">
        <f ca="1">IFERROR(__xludf.DUMMYFUNCTION("IF(ISBLANK(A68),"""",GOOGLETRANSLATE(A68,""en"",""de""))"),"")</f>
        <v/>
      </c>
    </row>
    <row r="69" spans="1:2" ht="13.2">
      <c r="A69" s="2" t="s">
        <v>111</v>
      </c>
      <c r="B69" s="2" t="str">
        <f ca="1">IFERROR(__xludf.DUMMYFUNCTION("IF(ISBLANK(A69),"""",GOOGLETRANSLATE(A69,""en"",""de""))"),"Betrugsbekämpfung im Großkundengeschäft: Technologie zur Früherkennung und Risikominderung")</f>
        <v>Betrugsbekämpfung im Großkundengeschäft: Technologie zur Früherkennung und Risikominderung</v>
      </c>
    </row>
    <row r="70" spans="1:2" ht="13.2">
      <c r="B70" s="2" t="str">
        <f ca="1">IFERROR(__xludf.DUMMYFUNCTION("IF(ISBLANK(A70),"""",GOOGLETRANSLATE(A70,""en"",""de""))"),"")</f>
        <v/>
      </c>
    </row>
    <row r="71" spans="1:2" ht="13.2">
      <c r="A71" s="2" t="s">
        <v>114</v>
      </c>
      <c r="B71" s="2" t="str">
        <f ca="1">IFERROR(__xludf.DUMMYFUNCTION("IF(ISBLANK(A71),"""",GOOGLETRANSLATE(A71,""en"",""de""))"),"Abonnieren Sie unseren Newsletter, um die neuesten Nachrichten in Ihrem Posteingang zu erhalten.")</f>
        <v>Abonnieren Sie unseren Newsletter, um die neuesten Nachrichten in Ihrem Posteingang zu erhalten.</v>
      </c>
    </row>
    <row r="72" spans="1:2" ht="13.2">
      <c r="A72" s="2" t="s">
        <v>115</v>
      </c>
      <c r="B72" s="2" t="str">
        <f ca="1">IFERROR(__xludf.DUMMYFUNCTION("IF(ISBLANK(A72),"""",GOOGLETRANSLATE(A72,""en"",""de""))"),"abc@example.com")</f>
        <v>abc@example.com</v>
      </c>
    </row>
    <row r="73" spans="1:2" ht="13.2">
      <c r="A73" s="2" t="s">
        <v>116</v>
      </c>
      <c r="B73" s="2" t="str">
        <f ca="1">IFERROR(__xludf.DUMMYFUNCTION("IF(ISBLANK(A73),"""",GOOGLETRANSLATE(A73,""en"",""de""))"),"Abonnieren ")</f>
        <v xml:space="preserve">Abonnieren </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73"/>
  <sheetViews>
    <sheetView topLeftCell="A20" workbookViewId="0">
      <selection activeCell="B31" sqref="B31"/>
    </sheetView>
  </sheetViews>
  <sheetFormatPr defaultColWidth="12.5546875" defaultRowHeight="15.75" customHeight="1"/>
  <cols>
    <col min="1" max="1" width="113.44140625" customWidth="1"/>
  </cols>
  <sheetData>
    <row r="1" spans="1:2" ht="13.2">
      <c r="A1" s="1" t="s">
        <v>0</v>
      </c>
      <c r="B1" s="1" t="s">
        <v>1</v>
      </c>
    </row>
    <row r="2" spans="1:2" ht="15.75" customHeight="1">
      <c r="A2" s="2" t="s">
        <v>151</v>
      </c>
      <c r="B2" s="2" t="str">
        <f ca="1">IFERROR(__xludf.DUMMYFUNCTION("IF(ISBLANK(A2),"""",GOOGLETRANSLATE(A2,""en"",""de""))"),"Automobilfinanzierung")</f>
        <v>Automobilfinanzierung</v>
      </c>
    </row>
    <row r="3" spans="1:2" ht="15.75" customHeight="1">
      <c r="A3" s="2" t="s">
        <v>723</v>
      </c>
      <c r="B3" s="2" t="str">
        <f ca="1">IFERROR(__xludf.DUMMYFUNCTION("IF(ISBLANK(A3),"""",GOOGLETRANSLATE(A3,""en"",""de""))"),"KI-gestützte Automobilfinanzierungssoftware")</f>
        <v>KI-gestützte Automobilfinanzierungssoftware</v>
      </c>
    </row>
    <row r="4" spans="1:2" ht="15.75" customHeight="1">
      <c r="A4" s="2" t="s">
        <v>724</v>
      </c>
      <c r="B4" s="2" t="str">
        <f ca="1">IFERROR(__xludf.DUMMYFUNCTION("IF(ISBLANK(A4),"""",GOOGLETRANSLATE(A4,""en"",""de""))"),"Wir liefern den größten Namen der globalen Automobilindustrie überlegene Technologielösungen.")</f>
        <v>Wir liefern den größten Namen der globalen Automobilindustrie überlegene Technologielösungen.</v>
      </c>
    </row>
    <row r="5" spans="1:2" ht="15.75" customHeight="1">
      <c r="A5" s="2" t="s">
        <v>76</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B7" s="2" t="str">
        <f ca="1">IFERROR(__xludf.DUMMYFUNCTION("IF(ISBLANK(A7),"""",GOOGLETRANSLATE(A7,""en"",""de""))"),"")</f>
        <v/>
      </c>
    </row>
    <row r="8" spans="1:2" ht="15.75" customHeight="1">
      <c r="A8" s="2" t="s">
        <v>725</v>
      </c>
      <c r="B8" s="2" t="str">
        <f ca="1">IFERROR(__xludf.DUMMYFUNCTION("IF(ISBLANK(A8),"""",GOOGLETRANSLATE(A8,""en"",""de""))"),"Wandel in der Automobilbranche weltweit vorantreiben")</f>
        <v>Wandel in der Automobilbranche weltweit vorantreiben</v>
      </c>
    </row>
    <row r="9" spans="1:2" ht="15.75" customHeight="1">
      <c r="A9" s="2" t="s">
        <v>726</v>
      </c>
      <c r="B9" s="2" t="str">
        <f ca="1">IFERROR(__xludf.DUMMYFUNCTION("IF(ISBLANK(A9),"""",GOOGLETRANSLATE(A9,""en"",""de""))"),"Unsere Spitzentechnologien verhelfen globalen Automobilherstellern, Automobil-Captives und Finanzunternehmen zum Erfolg. Dabei nutzen wir mehr als 40 Jahre Erfahrung in den Bereichen KI-gestützte Kreditvergabe, Vertragsmanagement und digitale Einzelhandel"&amp;"slösungen, die auf die Automobilbranche zugeschnitten sind.")</f>
        <v>Unsere Spitzentechnologien verhelfen globalen Automobilherstellern, Automobil-Captives und Finanzunternehmen zum Erfolg. Dabei nutzen wir mehr als 40 Jahre Erfahrung in den Bereichen KI-gestützte Kreditvergabe, Vertragsmanagement und digitale Einzelhandelslösungen, die auf die Automobilbranche zugeschnitten sind.</v>
      </c>
    </row>
    <row r="10" spans="1:2" ht="15.75" customHeight="1">
      <c r="A10" s="2" t="s">
        <v>727</v>
      </c>
      <c r="B10" s="2" t="str">
        <f ca="1">IFERROR(__xludf.DUMMYFUNCTION("IF(ISBLANK(A10),"""",GOOGLETRANSLATE(A10,""en"",""de""))"),"Branchenführer")</f>
        <v>Branchenführer</v>
      </c>
    </row>
    <row r="11" spans="1:2" ht="15.75" customHeight="1">
      <c r="A11" s="2" t="s">
        <v>728</v>
      </c>
      <c r="B11" s="2" t="str">
        <f ca="1">IFERROR(__xludf.DUMMYFUNCTION("IF(ISBLANK(A11),"""",GOOGLETRANSLATE(A11,""en"",""de""))"),"NETSOL hat erhebliche Investitionen getätigt, um die sich entwickelnden Anforderungen der globalen Automobilindustrie zu verstehen.")</f>
        <v>NETSOL hat erhebliche Investitionen getätigt, um die sich entwickelnden Anforderungen der globalen Automobilindustrie zu verstehen.</v>
      </c>
    </row>
    <row r="12" spans="1:2" ht="15.75" customHeight="1">
      <c r="A12" s="2" t="s">
        <v>729</v>
      </c>
      <c r="B12" s="2" t="str">
        <f ca="1">IFERROR(__xludf.DUMMYFUNCTION("IF(ISBLANK(A12),"""",GOOGLETRANSLATE(A12,""en"",""de""))"),"Nahtlose Lösungen")</f>
        <v>Nahtlose Lösungen</v>
      </c>
    </row>
    <row r="13" spans="1:2" ht="15.75" customHeight="1">
      <c r="A13" s="2" t="s">
        <v>730</v>
      </c>
      <c r="B13" s="2" t="str">
        <f ca="1">IFERROR(__xludf.DUMMYFUNCTION("IF(ISBLANK(A13),"""",GOOGLETRANSLATE(A13,""en"",""de""))"),"Wir ermöglichen Kreditgebern, Händlern und Kreditnehmern gleichermaßen, die Finanzierung und den digitalen Einzelhandelsprozess reibungslos zu meistern.")</f>
        <v>Wir ermöglichen Kreditgebern, Händlern und Kreditnehmern gleichermaßen, die Finanzierung und den digitalen Einzelhandelsprozess reibungslos zu meistern.</v>
      </c>
    </row>
    <row r="14" spans="1:2" ht="15.75" customHeight="1">
      <c r="A14" s="2" t="s">
        <v>731</v>
      </c>
      <c r="B14" s="2" t="str">
        <f ca="1">IFERROR(__xludf.DUMMYFUNCTION("IF(ISBLANK(A14),"""",GOOGLETRANSLATE(A14,""en"",""de""))"),"KI-gestützter Betrieb")</f>
        <v>KI-gestützter Betrieb</v>
      </c>
    </row>
    <row r="15" spans="1:2" ht="15.75" customHeight="1">
      <c r="A15" s="2" t="s">
        <v>732</v>
      </c>
      <c r="B15" s="2" t="str">
        <f ca="1">IFERROR(__xludf.DUMMYFUNCTION("IF(ISBLANK(A15),"""",GOOGLETRANSLATE(A15,""en"",""de""))"),"Unsere KI-gesteuerten Lösungen unterstützen die Automobilindustrie mit robusten Analysen, nahtlosen Integrationsmöglichkeiten und erweiterten Automatisierungsfunktionen.")</f>
        <v>Unsere KI-gesteuerten Lösungen unterstützen die Automobilindustrie mit robusten Analysen, nahtlosen Integrationsmöglichkeiten und erweiterten Automatisierungsfunktionen.</v>
      </c>
    </row>
    <row r="16" spans="1:2" ht="15.75" customHeight="1">
      <c r="A16" s="2" t="s">
        <v>733</v>
      </c>
      <c r="B16" s="2" t="str">
        <f ca="1">IFERROR(__xludf.DUMMYFUNCTION("IF(ISBLANK(A16),"""",GOOGLETRANSLATE(A16,""en"",""de""))"),"End-to-End-Produkte")</f>
        <v>End-to-End-Produkte</v>
      </c>
    </row>
    <row r="17" spans="1:2" ht="15.75" customHeight="1">
      <c r="A17" s="2" t="s">
        <v>734</v>
      </c>
      <c r="B17" s="2" t="str">
        <f ca="1">IFERROR(__xludf.DUMMYFUNCTION("IF(ISBLANK(A17),"""",GOOGLETRANSLATE(A17,""en"",""de""))"),"Wir bieten leistungsstarke End-to-End-Software für die Fahrzeugfinanzierung sowie einfach zu integrierende API-First-Lösungen für die Fahrzeugfinanzierung und nahtlosen digitalen Einzelhandel.")</f>
        <v>Wir bieten leistungsstarke End-to-End-Software für die Fahrzeugfinanzierung sowie einfach zu integrierende API-First-Lösungen für die Fahrzeugfinanzierung und nahtlosen digitalen Einzelhandel.</v>
      </c>
    </row>
    <row r="18" spans="1:2" ht="15.75" customHeight="1">
      <c r="A18" s="2" t="s">
        <v>84</v>
      </c>
      <c r="B18" s="2" t="str">
        <f ca="1">IFERROR(__xludf.DUMMYFUNCTION("IF(ISBLANK(A18),"""",GOOGLETRANSLATE(A18,""en"",""de""))"),"Über 500 Milliarden US-Dollar")</f>
        <v>Über 500 Milliarden US-Dollar</v>
      </c>
    </row>
    <row r="19" spans="1:2" ht="15.75" customHeight="1">
      <c r="A19" s="2" t="s">
        <v>85</v>
      </c>
      <c r="B19" s="2" t="str">
        <f ca="1">IFERROR(__xludf.DUMMYFUNCTION("IF(ISBLANK(A19),"""",GOOGLETRANSLATE(A19,""en"",""de""))"),"Global verwaltetes Vermögen")</f>
        <v>Global verwaltetes Vermögen</v>
      </c>
    </row>
    <row r="20" spans="1:2" ht="15.75" customHeight="1">
      <c r="A20" s="2" t="s">
        <v>276</v>
      </c>
      <c r="B20" s="2" t="str">
        <f ca="1">IFERROR(__xludf.DUMMYFUNCTION("IF(ISBLANK(A20),"""",GOOGLETRANSLATE(A20,""en"",""de""))"),"350+")</f>
        <v>350+</v>
      </c>
    </row>
    <row r="21" spans="1:2" ht="15.75" customHeight="1">
      <c r="A21" s="2" t="s">
        <v>83</v>
      </c>
      <c r="B21" s="2" t="str">
        <f ca="1">IFERROR(__xludf.DUMMYFUNCTION("IF(ISBLANK(A21),"""",GOOGLETRANSLATE(A21,""en"",""de""))"),"Erfolgreiche Implementierungen")</f>
        <v>Erfolgreiche Implementierungen</v>
      </c>
    </row>
    <row r="22" spans="1:2" ht="15.75" customHeight="1">
      <c r="A22" s="2" t="s">
        <v>80</v>
      </c>
      <c r="B22" s="2" t="str">
        <f ca="1">IFERROR(__xludf.DUMMYFUNCTION("IF(ISBLANK(A22),"""",GOOGLETRANSLATE(A22,""en"",""de""))"),"200+")</f>
        <v>200+</v>
      </c>
    </row>
    <row r="23" spans="1:2" ht="15.75" customHeight="1">
      <c r="A23" s="2" t="s">
        <v>81</v>
      </c>
      <c r="B23" s="2" t="str">
        <f ca="1">IFERROR(__xludf.DUMMYFUNCTION("IF(ISBLANK(A23),"""",GOOGLETRANSLATE(A23,""en"",""de""))"),"Kunden weltweit")</f>
        <v>Kunden weltweit</v>
      </c>
    </row>
    <row r="24" spans="1:2" ht="13.2">
      <c r="A24" s="2" t="s">
        <v>277</v>
      </c>
      <c r="B24" s="2" t="str">
        <f ca="1">IFERROR(__xludf.DUMMYFUNCTION("IF(ISBLANK(A24),"""",GOOGLETRANSLATE(A24,""en"",""de""))"),"30+")</f>
        <v>30+</v>
      </c>
    </row>
    <row r="25" spans="1:2" ht="13.2">
      <c r="A25" s="2" t="s">
        <v>278</v>
      </c>
      <c r="B25" s="2" t="str">
        <f ca="1">IFERROR(__xludf.DUMMYFUNCTION("IF(ISBLANK(A25),"""",GOOGLETRANSLATE(A25,""en"",""de""))"),"Bediente Länder")</f>
        <v>Bediente Länder</v>
      </c>
    </row>
    <row r="26" spans="1:2" ht="13.2">
      <c r="A26" s="2" t="s">
        <v>279</v>
      </c>
      <c r="B26" s="2" t="str">
        <f ca="1">IFERROR(__xludf.DUMMYFUNCTION("IF(ISBLANK(A26),"""",GOOGLETRANSLATE(A26,""en"",""de""))"),"End-to-End-Kontrolle und integrierte Intelligenz")</f>
        <v>End-to-End-Kontrolle und integrierte Intelligenz</v>
      </c>
    </row>
    <row r="27" spans="1:2" ht="13.2">
      <c r="A27" s="2" t="s">
        <v>12</v>
      </c>
      <c r="B27" s="2" t="str">
        <f ca="1">IFERROR(__xludf.DUMMYFUNCTION("IF(ISBLANK(A27),"""",GOOGLETRANSLATE(A27,""en"",""de""))"),"OEMs")</f>
        <v>OEMs</v>
      </c>
    </row>
    <row r="28" spans="1:2" ht="13.2">
      <c r="A28" s="2" t="s">
        <v>735</v>
      </c>
      <c r="B28" s="2" t="str">
        <f ca="1">IFERROR(__xludf.DUMMYFUNCTION("IF(ISBLANK(A28),"""",GOOGLETRANSLATE(A28,""en"",""de""))"),"Unsere innovative Software für das Leasing von Ausrüstungen wurde entwickelt, um OEMs optimierte Finanzierungsprozesse, ein verbessertes Kundenerlebnis und höchste Effizienz zu ermöglichen. Von der End-to-End-Finanzierung und dem Leasing bis hin zum digit"&amp;"alen Einzelhandel – unsere Lösungen sind so konzipiert, dass sie sich nahtlos in Ihre Betriebsabläufe integrieren und neue Wege für Wachstum und Rentabilität eröffnen.")</f>
        <v>Unsere innovative Software für das Leasing von Ausrüstungen wurde entwickelt, um OEMs optimierte Finanzierungsprozesse, ein verbessertes Kundenerlebnis und höchste Effizienz zu ermöglichen. Von der End-to-End-Finanzierung und dem Leasing bis hin zum digitalen Einzelhandel – unsere Lösungen sind so konzipiert, dass sie sich nahtlos in Ihre Betriebsabläufe integrieren und neue Wege für Wachstum und Rentabilität eröffnen.</v>
      </c>
    </row>
    <row r="29" spans="1:2" ht="13.2">
      <c r="B29" s="2" t="str">
        <f ca="1">IFERROR(__xludf.DUMMYFUNCTION("IF(ISBLANK(A29),"""",GOOGLETRANSLATE(A29,""en"",""de""))"),"")</f>
        <v/>
      </c>
    </row>
    <row r="30" spans="1:2" ht="13.2">
      <c r="A30" s="2" t="s">
        <v>736</v>
      </c>
      <c r="B30" s="2" t="str">
        <f ca="1">IFERROR(__xludf.DUMMYFUNCTION("IF(ISBLANK(A30),"""",GOOGLETRANSLATE(A30,""en"",""de""))"),"Großvolumenfinanzierung")</f>
        <v>Großvolumenfinanzierung</v>
      </c>
    </row>
    <row r="31" spans="1:2" ht="13.2">
      <c r="A31" s="2" t="s">
        <v>353</v>
      </c>
      <c r="B31" s="2" t="str">
        <f ca="1">IFERROR(__xludf.DUMMYFUNCTION("IF(ISBLANK(A31),"""",GOOGLETRANSLATE(A31,""en"",""de""))"),"Geben Sie Händlern die Flexibilität, Kreditlimits für verschiedene Anlagekategorien zu beantragen und Abweichungen und Überprüfungen festgelegter Kreditlimits zu überwachen. Ermöglichen Sie vorübergehende Erhöhungen der Kreditlimits auf der Grundlage von "&amp;"Händlerkampagnen – wobei die normalen Limits nach Ablauf der vorübergehenden Laufzeiten automatisch wieder gelten.")</f>
        <v>Geben Sie Händlern die Flexibilität, Kreditlimits für verschiedene Anlagekategorien zu beantragen und Abweichungen und Überprüfungen festgelegter Kreditlimits zu überwachen. Ermöglichen Sie vorübergehende Erhöhungen der Kreditlimits auf der Grundlage von Händlerkampagnen – wobei die normalen Limits nach Ablauf der vorübergehenden Laufzeiten automatisch wieder gelten.</v>
      </c>
    </row>
    <row r="32" spans="1:2" ht="13.2">
      <c r="B32" s="2" t="str">
        <f ca="1">IFERROR(__xludf.DUMMYFUNCTION("IF(ISBLANK(A32),"""",GOOGLETRANSLATE(A32,""en"",""de""))"),"")</f>
        <v/>
      </c>
    </row>
    <row r="33" spans="1:2" ht="13.2">
      <c r="A33" s="2" t="s">
        <v>737</v>
      </c>
      <c r="B33" s="2" t="str">
        <f ca="1">IFERROR(__xludf.DUMMYFUNCTION("IF(ISBLANK(A33),"""",GOOGLETRANSLATE(A33,""en"",""de""))"),"Gewerbe- und Konsumentenkredite")</f>
        <v>Gewerbe- und Konsumentenkredite</v>
      </c>
    </row>
    <row r="34" spans="1:2" ht="13.2">
      <c r="A34" s="2" t="s">
        <v>735</v>
      </c>
      <c r="B34" s="2" t="str">
        <f ca="1">IFERROR(__xludf.DUMMYFUNCTION("IF(ISBLANK(A34),"""",GOOGLETRANSLATE(A34,""en"",""de""))"),"Unsere innovative Software für das Leasing von Ausrüstungen wurde entwickelt, um OEMs optimierte Finanzierungsprozesse, ein verbessertes Kundenerlebnis und höchste Effizienz zu ermöglichen. Von der End-to-End-Finanzierung und dem Leasing bis hin zum digit"&amp;"alen Einzelhandel – unsere Lösungen sind so konzipiert, dass sie sich nahtlos in Ihre Betriebsabläufe integrieren und neue Wege für Wachstum und Rentabilität eröffnen.")</f>
        <v>Unsere innovative Software für das Leasing von Ausrüstungen wurde entwickelt, um OEMs optimierte Finanzierungsprozesse, ein verbessertes Kundenerlebnis und höchste Effizienz zu ermöglichen. Von der End-to-End-Finanzierung und dem Leasing bis hin zum digitalen Einzelhandel – unsere Lösungen sind so konzipiert, dass sie sich nahtlos in Ihre Betriebsabläufe integrieren und neue Wege für Wachstum und Rentabilität eröffnen.</v>
      </c>
    </row>
    <row r="35" spans="1:2" ht="13.2">
      <c r="B35" s="2" t="str">
        <f ca="1">IFERROR(__xludf.DUMMYFUNCTION("IF(ISBLANK(A35),"""",GOOGLETRANSLATE(A35,""en"",""de""))"),"")</f>
        <v/>
      </c>
    </row>
    <row r="36" spans="1:2" ht="13.2">
      <c r="A36" s="2" t="s">
        <v>738</v>
      </c>
      <c r="B36" s="2" t="str">
        <f ca="1">IFERROR(__xludf.DUMMYFUNCTION("IF(ISBLANK(A36),"""",GOOGLETRANSLATE(A36,""en"",""de""))"),"SCI Lease Corp verbessert Leasing-Management-Prozesse mit NETSOL")</f>
        <v>SCI Lease Corp verbessert Leasing-Management-Prozesse mit NETSOL</v>
      </c>
    </row>
    <row r="37" spans="1:2" ht="13.2">
      <c r="A37" s="2" t="s">
        <v>739</v>
      </c>
      <c r="B37" s="2" t="str">
        <f ca="1">IFERROR(__xludf.DUMMYFUNCTION("IF(ISBLANK(A37),"""",GOOGLETRANSLATE(A37,""en"",""de""))"),"„SCI Lease Corp hat den Erfolg von NETSOL in anderen Märkten anerkannt und wir glauben, dass ihre Plattformen mit dem Engagement von SCI Lease Corp übereinstimmen, bahnbrechende Technologien und Dienstleistungen auf den Leasingmarkt zu bringen. Die zukünf"&amp;"tige Zusammenarbeit mit NETSOL wird unsere Leasingmanagementprozesse verbessern, sodass wir die Erwartungen unserer Kunden besser erfüllen und zusätzliche Bandbreite für den Ausbau unseres OEM-Geschäfts im Automobilbereich bereitstellen können.“")</f>
        <v>„SCI Lease Corp hat den Erfolg von NETSOL in anderen Märkten anerkannt und wir glauben, dass ihre Plattformen mit dem Engagement von SCI Lease Corp übereinstimmen, bahnbrechende Technologien und Dienstleistungen auf den Leasingmarkt zu bringen. Die zukünftige Zusammenarbeit mit NETSOL wird unsere Leasingmanagementprozesse verbessern, sodass wir die Erwartungen unserer Kunden besser erfüllen und zusätzliche Bandbreite für den Ausbau unseres OEM-Geschäfts im Automobilbereich bereitstellen können.“</v>
      </c>
    </row>
    <row r="38" spans="1:2" ht="13.2">
      <c r="A38" s="2" t="s">
        <v>740</v>
      </c>
      <c r="B38" s="2" t="str">
        <f ca="1">IFERROR(__xludf.DUMMYFUNCTION("IF(ISBLANK(A38),"""",GOOGLETRANSLATE(A38,""en"",""de""))"),"Präsident und Chief Executive Leader von SCI Lease Corp")</f>
        <v>Präsident und Chief Executive Leader von SCI Lease Corp</v>
      </c>
    </row>
    <row r="39" spans="1:2" ht="13.2">
      <c r="A39" s="2" t="s">
        <v>741</v>
      </c>
      <c r="B39" s="2" t="str">
        <f ca="1">IFERROR(__xludf.DUMMYFUNCTION("IF(ISBLANK(A39),"""",GOOGLETRANSLATE(A39,""en"",""de""))"),"Erleben Sie beschleunigte Innovationen für Ihren Autobetrieb")</f>
        <v>Erleben Sie beschleunigte Innovationen für Ihren Autobetrieb</v>
      </c>
    </row>
    <row r="40" spans="1:2" ht="13.2">
      <c r="A40" s="2" t="s">
        <v>742</v>
      </c>
      <c r="B40" s="2" t="str">
        <f ca="1">IFERROR(__xludf.DUMMYFUNCTION("IF(ISBLANK(A40),"""",GOOGLETRANSLATE(A40,""en"",""de""))"),"Entdecken Sie, wie unsere Software für die Fahrzeugfinanzierung und das Leasing es der globalen Fahrzeugfinanzierungs- und -leasingbranche ermöglicht, die Betriebskosten zu senken, die Risikobewertung zu verbessern, die Bearbeitungs- und Reaktionszeiten z"&amp;"u beschleunigen und ein breiteres Kundenspektrum zu erreichen.")</f>
        <v>Entdecken Sie, wie unsere Software für die Fahrzeugfinanzierung und das Leasing es der globalen Fahrzeugfinanzierungs- und -leasingbranche ermöglicht, die Betriebskosten zu senken, die Risikobewertung zu verbessern, die Bearbeitungs- und Reaktionszeiten zu beschleunigen und ein breiteres Kundenspektrum zu erreichen.</v>
      </c>
    </row>
    <row r="41" spans="1:2" ht="13.2">
      <c r="B41" s="2" t="str">
        <f ca="1">IFERROR(__xludf.DUMMYFUNCTION("IF(ISBLANK(A41),"""",GOOGLETRANSLATE(A41,""en"",""de""))"),"")</f>
        <v/>
      </c>
    </row>
    <row r="42" spans="1:2" ht="13.2">
      <c r="A42" s="2" t="s">
        <v>100</v>
      </c>
      <c r="B42" s="2" t="str">
        <f ca="1">IFERROR(__xludf.DUMMYFUNCTION("IF(ISBLANK(A42),"""",GOOGLETRANSLATE(A42,""en"",""de""))"),"Empfohlene Lektüre und Einblicke")</f>
        <v>Empfohlene Lektüre und Einblicke</v>
      </c>
    </row>
    <row r="43" spans="1:2" ht="13.2">
      <c r="A43" s="10" t="s">
        <v>101</v>
      </c>
      <c r="B43" s="2" t="str">
        <f ca="1">IFERROR(__xludf.DUMMYFUNCTION("IF(ISBLANK(A43),"""",GOOGLETRANSLATE(A43,""en"",""de""))"),"Bleiben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44" spans="1:2" ht="13.2">
      <c r="A44" s="2" t="s">
        <v>102</v>
      </c>
      <c r="B44" s="2" t="str">
        <f ca="1">IFERROR(__xludf.DUMMYFUNCTION("IF(ISBLANK(A44),"""",GOOGLETRANSLATE(A44,""en"",""de""))"),"Der Blog")</f>
        <v>Der Blog</v>
      </c>
    </row>
    <row r="45" spans="1:2" ht="13.2">
      <c r="A45" s="2" t="s">
        <v>103</v>
      </c>
      <c r="B45" s="2" t="str">
        <f ca="1">IFERROR(__xludf.DUMMYFUNCTION("IF(ISBLANK(A45),"""",GOOGLETRANSLATE(A45,""en"",""de""))"),"Über das DMS hinaus: Warum die Zukunft des Automobilhandels API-first ist")</f>
        <v>Über das DMS hinaus: Warum die Zukunft des Automobilhandels API-first ist</v>
      </c>
    </row>
    <row r="46" spans="1:2" ht="13.2">
      <c r="A46" s="2" t="s">
        <v>27</v>
      </c>
      <c r="B46" s="2" t="str">
        <f ca="1">IFERROR(__xludf.DUMMYFUNCTION("IF(ISBLANK(A46),"""",GOOGLETRANSLATE(A46,""en"",""de""))"),"Mehr erfahren")</f>
        <v>Mehr erfahren</v>
      </c>
    </row>
    <row r="47" spans="1:2" ht="13.2">
      <c r="B47" s="2" t="str">
        <f ca="1">IFERROR(__xludf.DUMMYFUNCTION("IF(ISBLANK(A47),"""",GOOGLETRANSLATE(A47,""en"",""de""))"),"")</f>
        <v/>
      </c>
    </row>
    <row r="48" spans="1:2" ht="13.2">
      <c r="A48" s="2" t="s">
        <v>104</v>
      </c>
      <c r="B48" s="2" t="str">
        <f ca="1">IFERROR(__xludf.DUMMYFUNCTION("IF(ISBLANK(A48),"""",GOOGLETRANSLATE(A48,""en"",""de""))"),"NETSOL ist auf der GlobalData Automotive Europe Conference and Awards 2025")</f>
        <v>NETSOL ist auf der GlobalData Automotive Europe Conference and Awards 2025</v>
      </c>
    </row>
    <row r="49" spans="1:2" ht="13.2">
      <c r="B49" s="2" t="str">
        <f ca="1">IFERROR(__xludf.DUMMYFUNCTION("IF(ISBLANK(A49),"""",GOOGLETRANSLATE(A49,""en"",""de""))"),"")</f>
        <v/>
      </c>
    </row>
    <row r="50" spans="1:2" ht="13.2">
      <c r="B50" s="2" t="str">
        <f ca="1">IFERROR(__xludf.DUMMYFUNCTION("IF(ISBLANK(A50),"""",GOOGLETRANSLATE(A50,""en"",""de""))"),"")</f>
        <v/>
      </c>
    </row>
    <row r="51" spans="1:2" ht="13.2">
      <c r="A51" s="2" t="s">
        <v>105</v>
      </c>
      <c r="B51" s="2" t="str">
        <f ca="1">IFERROR(__xludf.DUMMYFUNCTION("IF(ISBLANK(A51),"""",GOOGLETRANSLATE(A51,""en"",""de""))"),"NETSOL ist auf dem 25. jährlichen Auto Finance Summit: Die Zukunft der Autofinanzierung vorantreiben")</f>
        <v>NETSOL ist auf dem 25. jährlichen Auto Finance Summit: Die Zukunft der Autofinanzierung vorantreiben</v>
      </c>
    </row>
    <row r="52" spans="1:2" ht="13.2">
      <c r="B52" s="2" t="str">
        <f ca="1">IFERROR(__xludf.DUMMYFUNCTION("IF(ISBLANK(A52),"""",GOOGLETRANSLATE(A52,""en"",""de""))"),"")</f>
        <v/>
      </c>
    </row>
    <row r="53" spans="1:2" ht="13.2">
      <c r="B53" s="2" t="str">
        <f ca="1">IFERROR(__xludf.DUMMYFUNCTION("IF(ISBLANK(A53),"""",GOOGLETRANSLATE(A53,""en"",""de""))"),"")</f>
        <v/>
      </c>
    </row>
    <row r="54" spans="1:2" ht="13.2">
      <c r="A54" s="2" t="s">
        <v>106</v>
      </c>
      <c r="B54" s="2" t="str">
        <f ca="1">IFERROR(__xludf.DUMMYFUNCTION("IF(ISBLANK(A54),"""",GOOGLETRANSLATE(A54,""en"",""de""))"),"NETSOL ist beim Digital Dealer 2025 dabei: Wir stärken die Zukunft des Automobilhandels")</f>
        <v>NETSOL ist beim Digital Dealer 2025 dabei: Wir stärken die Zukunft des Automobilhandels</v>
      </c>
    </row>
    <row r="55" spans="1:2" ht="13.2">
      <c r="B55" s="2" t="str">
        <f ca="1">IFERROR(__xludf.DUMMYFUNCTION("IF(ISBLANK(A55),"""",GOOGLETRANSLATE(A55,""en"",""de""))"),"")</f>
        <v/>
      </c>
    </row>
    <row r="56" spans="1:2" ht="13.2">
      <c r="B56" s="2" t="str">
        <f ca="1">IFERROR(__xludf.DUMMYFUNCTION("IF(ISBLANK(A56),"""",GOOGLETRANSLATE(A56,""en"",""de""))"),"")</f>
        <v/>
      </c>
    </row>
    <row r="57" spans="1:2" ht="13.2">
      <c r="A57" s="6" t="s">
        <v>107</v>
      </c>
      <c r="B57" s="2" t="str">
        <f ca="1">IFERROR(__xludf.DUMMYFUNCTION("IF(ISBLANK(A57),"""",GOOGLETRANSLATE(A57,""en"",""de""))"),"KI im BFSI: Revolutionierung des Risikomanagements")</f>
        <v>KI im BFSI: Revolutionierung des Risikomanagements</v>
      </c>
    </row>
    <row r="58" spans="1:2" ht="13.2">
      <c r="B58" s="2" t="str">
        <f ca="1">IFERROR(__xludf.DUMMYFUNCTION("IF(ISBLANK(A58),"""",GOOGLETRANSLATE(A58,""en"",""de""))"),"")</f>
        <v/>
      </c>
    </row>
    <row r="59" spans="1:2" ht="13.2">
      <c r="B59" s="2" t="str">
        <f ca="1">IFERROR(__xludf.DUMMYFUNCTION("IF(ISBLANK(A59),"""",GOOGLETRANSLATE(A59,""en"",""de""))"),"")</f>
        <v/>
      </c>
    </row>
    <row r="60" spans="1:2" ht="13.2">
      <c r="A60" s="2" t="s">
        <v>108</v>
      </c>
      <c r="B60" s="2" t="str">
        <f ca="1">IFERROR(__xludf.DUMMYFUNCTION("IF(ISBLANK(A60),"""",GOOGLETRANSLATE(A60,""en"",""de""))"),"Die Bedeutung der Personalisierung im Kundenservice: Maßgeschneidertes Zahlungs- und Streitbeilegungsmanagement für Kunden")</f>
        <v>Die Bedeutung der Personalisierung im Kundenservice: Maßgeschneidertes Zahlungs- und Streitbeilegungsmanagement für Kunden</v>
      </c>
    </row>
    <row r="61" spans="1:2" ht="13.2">
      <c r="B61" s="2" t="str">
        <f ca="1">IFERROR(__xludf.DUMMYFUNCTION("IF(ISBLANK(A61),"""",GOOGLETRANSLATE(A61,""en"",""de""))"),"")</f>
        <v/>
      </c>
    </row>
    <row r="62" spans="1:2" ht="13.2">
      <c r="B62" s="2" t="str">
        <f ca="1">IFERROR(__xludf.DUMMYFUNCTION("IF(ISBLANK(A62),"""",GOOGLETRANSLATE(A62,""en"",""de""))"),"")</f>
        <v/>
      </c>
    </row>
    <row r="63" spans="1:2" ht="13.2">
      <c r="A63" s="2" t="s">
        <v>109</v>
      </c>
      <c r="B63" s="2" t="str">
        <f ca="1">IFERROR(__xludf.DUMMYFUNCTION("IF(ISBLANK(A63),"""",GOOGLETRANSLATE(A63,""en"",""de""))"),"Die wahren Kosten getrennter Systeme im Autohandel")</f>
        <v>Die wahren Kosten getrennter Systeme im Autohandel</v>
      </c>
    </row>
    <row r="64" spans="1:2" ht="13.2">
      <c r="B64" s="2" t="str">
        <f ca="1">IFERROR(__xludf.DUMMYFUNCTION("IF(ISBLANK(A64),"""",GOOGLETRANSLATE(A64,""en"",""de""))"),"")</f>
        <v/>
      </c>
    </row>
    <row r="65" spans="1:2" ht="13.2">
      <c r="B65" s="2" t="str">
        <f ca="1">IFERROR(__xludf.DUMMYFUNCTION("IF(ISBLANK(A65),"""",GOOGLETRANSLATE(A65,""en"",""de""))"),"")</f>
        <v/>
      </c>
    </row>
    <row r="66" spans="1:2" ht="13.2">
      <c r="A66" s="2" t="s">
        <v>110</v>
      </c>
      <c r="B66" s="2" t="str">
        <f ca="1">IFERROR(__xludf.DUMMYFUNCTION("IF(ISBLANK(A66),"""",GOOGLETRANSLATE(A66,""en"",""de""))"),"Captive der Zukunft: Wie Technologie Captive-Finanzierungsgeschäfte neu definiert – Wichtige Erkenntnisse aus dem Webinar der AFSA")</f>
        <v>Captive der Zukunft: Wie Technologie Captive-Finanzierungsgeschäfte neu definiert – Wichtige Erkenntnisse aus dem Webinar der AFSA</v>
      </c>
    </row>
    <row r="67" spans="1:2" ht="13.2">
      <c r="B67" s="2" t="str">
        <f ca="1">IFERROR(__xludf.DUMMYFUNCTION("IF(ISBLANK(A67),"""",GOOGLETRANSLATE(A67,""en"",""de""))"),"")</f>
        <v/>
      </c>
    </row>
    <row r="68" spans="1:2" ht="13.2">
      <c r="B68" s="2" t="str">
        <f ca="1">IFERROR(__xludf.DUMMYFUNCTION("IF(ISBLANK(A68),"""",GOOGLETRANSLATE(A68,""en"",""de""))"),"")</f>
        <v/>
      </c>
    </row>
    <row r="69" spans="1:2" ht="13.2">
      <c r="A69" s="2" t="s">
        <v>111</v>
      </c>
      <c r="B69" s="2" t="str">
        <f ca="1">IFERROR(__xludf.DUMMYFUNCTION("IF(ISBLANK(A69),"""",GOOGLETRANSLATE(A69,""en"",""de""))"),"Betrugsbekämpfung im Großkundengeschäft: Technologie zur Früherkennung und Risikominderung")</f>
        <v>Betrugsbekämpfung im Großkundengeschäft: Technologie zur Früherkennung und Risikominderung</v>
      </c>
    </row>
    <row r="70" spans="1:2" ht="13.2">
      <c r="B70" s="2" t="str">
        <f ca="1">IFERROR(__xludf.DUMMYFUNCTION("IF(ISBLANK(A70),"""",GOOGLETRANSLATE(A70,""en"",""de""))"),"")</f>
        <v/>
      </c>
    </row>
    <row r="71" spans="1:2" ht="13.2">
      <c r="A71" s="2" t="s">
        <v>114</v>
      </c>
      <c r="B71" s="2" t="str">
        <f ca="1">IFERROR(__xludf.DUMMYFUNCTION("IF(ISBLANK(A71),"""",GOOGLETRANSLATE(A71,""en"",""de""))"),"Abonnieren Sie unseren Newsletter, um die neuesten Nachrichten in Ihrem Posteingang zu erhalten.")</f>
        <v>Abonnieren Sie unseren Newsletter, um die neuesten Nachrichten in Ihrem Posteingang zu erhalten.</v>
      </c>
    </row>
    <row r="72" spans="1:2" ht="13.2">
      <c r="A72" s="2" t="s">
        <v>115</v>
      </c>
      <c r="B72" s="2" t="str">
        <f ca="1">IFERROR(__xludf.DUMMYFUNCTION("IF(ISBLANK(A72),"""",GOOGLETRANSLATE(A72,""en"",""de""))"),"abc@example.com")</f>
        <v>abc@example.com</v>
      </c>
    </row>
    <row r="73" spans="1:2" ht="13.2">
      <c r="A73" s="2" t="s">
        <v>116</v>
      </c>
      <c r="B73" s="2" t="str">
        <f ca="1">IFERROR(__xludf.DUMMYFUNCTION("IF(ISBLANK(A73),"""",GOOGLETRANSLATE(A73,""en"",""de""))"),"Abonnieren ")</f>
        <v xml:space="preserve">Abonnieren </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73"/>
  <sheetViews>
    <sheetView topLeftCell="A2" workbookViewId="0">
      <selection activeCell="B17" sqref="B17"/>
    </sheetView>
  </sheetViews>
  <sheetFormatPr defaultColWidth="12.5546875" defaultRowHeight="15.75" customHeight="1"/>
  <cols>
    <col min="1" max="1" width="101.109375" customWidth="1"/>
  </cols>
  <sheetData>
    <row r="1" spans="1:2" ht="13.2">
      <c r="A1" s="1" t="s">
        <v>0</v>
      </c>
      <c r="B1" s="1" t="s">
        <v>1</v>
      </c>
    </row>
    <row r="2" spans="1:2" ht="15.75" customHeight="1">
      <c r="A2" s="2" t="s">
        <v>41</v>
      </c>
      <c r="B2" s="2" t="str">
        <f ca="1">IFERROR(__xludf.DUMMYFUNCTION("IF(ISBLANK(A2),"""",GOOGLETRANSLATE(A2,""en"",""de""))"),"Ausrüstungsfinanzierung")</f>
        <v>Ausrüstungsfinanzierung</v>
      </c>
    </row>
    <row r="3" spans="1:2" ht="15.75" customHeight="1">
      <c r="A3" s="2" t="s">
        <v>743</v>
      </c>
      <c r="B3" s="2" t="str">
        <f ca="1">IFERROR(__xludf.DUMMYFUNCTION("IF(ISBLANK(A3),"""",GOOGLETRANSLATE(A3,""en"",""de""))"),"KI-gestützte Software zur Finanzierung von Ausrüstung")</f>
        <v>KI-gestützte Software zur Finanzierung von Ausrüstung</v>
      </c>
    </row>
    <row r="4" spans="1:2" ht="15.75" customHeight="1">
      <c r="A4" s="2" t="s">
        <v>744</v>
      </c>
      <c r="B4" s="2" t="str">
        <f ca="1">IFERROR(__xludf.DUMMYFUNCTION("IF(ISBLANK(A4),"""",GOOGLETRANSLATE(A4,""en"",""de""))"),"Wir bieten Unternehmen mit ständig wachsenden Geschäftsanforderungen weltweit Lösungen zur Finanzierung von Ausrüstung.")</f>
        <v>Wir bieten Unternehmen mit ständig wachsenden Geschäftsanforderungen weltweit Lösungen zur Finanzierung von Ausrüstung.</v>
      </c>
    </row>
    <row r="5" spans="1:2" ht="15.75" customHeight="1">
      <c r="A5" s="2" t="s">
        <v>745</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B7" s="2" t="str">
        <f ca="1">IFERROR(__xludf.DUMMYFUNCTION("IF(ISBLANK(A7),"""",GOOGLETRANSLATE(A7,""en"",""de""))"),"")</f>
        <v/>
      </c>
    </row>
    <row r="8" spans="1:2" ht="15.75" customHeight="1">
      <c r="A8" s="2" t="s">
        <v>746</v>
      </c>
      <c r="B8" s="2" t="str">
        <f ca="1">IFERROR(__xludf.DUMMYFUNCTION("IF(ISBLANK(A8),"""",GOOGLETRANSLATE(A8,""en"",""de""))"),"Nutzen Sie die Leistungsfähigkeit unübertroffener Technologie zur Ausrüstungsfinanzierung")</f>
        <v>Nutzen Sie die Leistungsfähigkeit unübertroffener Technologie zur Ausrüstungsfinanzierung</v>
      </c>
    </row>
    <row r="9" spans="1:2" ht="15.75" customHeight="1">
      <c r="A9" s="2" t="s">
        <v>747</v>
      </c>
      <c r="B9" s="2" t="str">
        <f ca="1">IFERROR(__xludf.DUMMYFUNCTION("IF(ISBLANK(A9),"""",GOOGLETRANSLATE(A9,""en"",""de""))"),"Während Sie Unternehmen die Beschaffung der notwendigen Ausrüstung ermöglichen, um den wachsenden Anforderungen ihres Geschäfts gerecht zu werden, stellen wir Ihnen die Technologie zur Verfügung, die den gesamten Finanzierungszyklus der Ausrüstung mühelos"&amp;" abdeckt. Ob Schwermaschinen, landwirtschaftliche Geräte, Industrieanlagen oder andere Geräte – wir optimieren Prozesse und fördern das Wachstum.")</f>
        <v>Während Sie Unternehmen die Beschaffung der notwendigen Ausrüstung ermöglichen, um den wachsenden Anforderungen ihres Geschäfts gerecht zu werden, stellen wir Ihnen die Technologie zur Verfügung, die den gesamten Finanzierungszyklus der Ausrüstung mühelos abdeckt. Ob Schwermaschinen, landwirtschaftliche Geräte, Industrieanlagen oder andere Geräte – wir optimieren Prozesse und fördern das Wachstum.</v>
      </c>
    </row>
    <row r="10" spans="1:2" ht="15.75" customHeight="1">
      <c r="A10" s="2" t="s">
        <v>748</v>
      </c>
      <c r="B10" s="2" t="str">
        <f ca="1">IFERROR(__xludf.DUMMYFUNCTION("IF(ISBLANK(A10),"""",GOOGLETRANSLATE(A10,""en"",""de""))"),"Bewährte Technologie")</f>
        <v>Bewährte Technologie</v>
      </c>
    </row>
    <row r="11" spans="1:2" ht="15.75" customHeight="1">
      <c r="A11" s="2" t="s">
        <v>749</v>
      </c>
      <c r="B11" s="2" t="str">
        <f ca="1">IFERROR(__xludf.DUMMYFUNCTION("IF(ISBLANK(A11),"""",GOOGLETRANSLATE(A11,""en"",""de""))"),"Die Leasingmanagement-Software von NETSOL für OEMs und den Ausrüstungsfinanzierungssektor verfügt über eine nachgewiesene Erfolgsbilanz und unterstützt hochkomplexe Geschäftsumgebungen.")</f>
        <v>Die Leasingmanagement-Software von NETSOL für OEMs und den Ausrüstungsfinanzierungssektor verfügt über eine nachgewiesene Erfolgsbilanz und unterstützt hochkomplexe Geschäftsumgebungen.</v>
      </c>
    </row>
    <row r="12" spans="1:2" ht="15.75" customHeight="1">
      <c r="A12" s="2" t="s">
        <v>750</v>
      </c>
      <c r="B12" s="2" t="str">
        <f ca="1">IFERROR(__xludf.DUMMYFUNCTION("IF(ISBLANK(A12),"""",GOOGLETRANSLATE(A12,""en"",""de""))"),"End-to-End-Lösungen")</f>
        <v>End-to-End-Lösungen</v>
      </c>
    </row>
    <row r="13" spans="1:2" ht="15.75" customHeight="1">
      <c r="A13" s="2" t="s">
        <v>751</v>
      </c>
      <c r="B13" s="2" t="str">
        <f ca="1">IFERROR(__xludf.DUMMYFUNCTION("IF(ISBLANK(A13),"""",GOOGLETRANSLATE(A13,""en"",""de""))"),"Für OEMs und Unternehmen im Bereich der Finanzierung und des Leasings von Ausrüstung bietet NETSOL Lösungen für die Kreditvergabe, den Service, den Großhandel sowie den digitalen Einzelhandel und mehr.")</f>
        <v>Für OEMs und Unternehmen im Bereich der Finanzierung und des Leasings von Ausrüstung bietet NETSOL Lösungen für die Kreditvergabe, den Service, den Großhandel sowie den digitalen Einzelhandel und mehr.</v>
      </c>
    </row>
    <row r="14" spans="1:2" ht="15.75" customHeight="1">
      <c r="A14" s="2" t="s">
        <v>274</v>
      </c>
      <c r="B14" s="2" t="str">
        <f ca="1">IFERROR(__xludf.DUMMYFUNCTION("IF(ISBLANK(A14),"""",GOOGLETRANSLATE(A14,""en"",""de""))"),"Kundenorientierung")</f>
        <v>Kundenorientierung</v>
      </c>
    </row>
    <row r="15" spans="1:2" ht="15.75" customHeight="1">
      <c r="A15" s="2" t="s">
        <v>752</v>
      </c>
      <c r="B15" s="2" t="str">
        <f ca="1">IFERROR(__xludf.DUMMYFUNCTION("IF(ISBLANK(A15),"""",GOOGLETRANSLATE(A15,""en"",""de""))"),"Mit einem erfahrenen globalen Team, das erstklassige Lösungen liefert, verfolgt NETSOL einen kundenorientierten Produktentwicklungsansatz für die Branche.")</f>
        <v>Mit einem erfahrenen globalen Team, das erstklassige Lösungen liefert, verfolgt NETSOL einen kundenorientierten Produktentwicklungsansatz für die Branche.</v>
      </c>
    </row>
    <row r="16" spans="1:2" ht="15.75" customHeight="1">
      <c r="A16" s="2" t="s">
        <v>753</v>
      </c>
      <c r="B16" s="2" t="str">
        <f ca="1">IFERROR(__xludf.DUMMYFUNCTION("IF(ISBLANK(A16),"""",GOOGLETRANSLATE(A16,""en"",""de""))"),"Volle Compliance")</f>
        <v>Volle Compliance</v>
      </c>
    </row>
    <row r="17" spans="1:2" ht="15.75" customHeight="1">
      <c r="A17" s="2" t="s">
        <v>754</v>
      </c>
      <c r="B17" s="2" t="str">
        <f ca="1">IFERROR(__xludf.DUMMYFUNCTION("IF(ISBLANK(A17),"""",GOOGLETRANSLATE(A17,""en"",""de""))"),"Um die Einhaltung verschiedener internationaler Qualitätsstandards zu gewährleisten, halten wir uns weltweit akribisch an alle regulatorischen und gesetzlichen Anforderungen.")</f>
        <v>Um die Einhaltung verschiedener internationaler Qualitätsstandards zu gewährleisten, halten wir uns weltweit akribisch an alle regulatorischen und gesetzlichen Anforderungen.</v>
      </c>
    </row>
    <row r="18" spans="1:2" ht="15.75" customHeight="1">
      <c r="A18" s="2" t="s">
        <v>84</v>
      </c>
      <c r="B18" s="2" t="str">
        <f ca="1">IFERROR(__xludf.DUMMYFUNCTION("IF(ISBLANK(A18),"""",GOOGLETRANSLATE(A18,""en"",""de""))"),"Über 500 Milliarden US-Dollar")</f>
        <v>Über 500 Milliarden US-Dollar</v>
      </c>
    </row>
    <row r="19" spans="1:2" ht="15.75" customHeight="1">
      <c r="A19" s="2" t="s">
        <v>85</v>
      </c>
      <c r="B19" s="2" t="str">
        <f ca="1">IFERROR(__xludf.DUMMYFUNCTION("IF(ISBLANK(A19),"""",GOOGLETRANSLATE(A19,""en"",""de""))"),"Global verwaltetes Vermögen")</f>
        <v>Global verwaltetes Vermögen</v>
      </c>
    </row>
    <row r="20" spans="1:2" ht="15.75" customHeight="1">
      <c r="A20" s="2" t="s">
        <v>276</v>
      </c>
      <c r="B20" s="2" t="str">
        <f ca="1">IFERROR(__xludf.DUMMYFUNCTION("IF(ISBLANK(A20),"""",GOOGLETRANSLATE(A20,""en"",""de""))"),"350+")</f>
        <v>350+</v>
      </c>
    </row>
    <row r="21" spans="1:2" ht="15.75" customHeight="1">
      <c r="A21" s="2" t="s">
        <v>83</v>
      </c>
      <c r="B21" s="2" t="str">
        <f ca="1">IFERROR(__xludf.DUMMYFUNCTION("IF(ISBLANK(A21),"""",GOOGLETRANSLATE(A21,""en"",""de""))"),"Erfolgreiche Implementierungen")</f>
        <v>Erfolgreiche Implementierungen</v>
      </c>
    </row>
    <row r="22" spans="1:2" ht="15.75" customHeight="1">
      <c r="A22" s="2" t="s">
        <v>80</v>
      </c>
      <c r="B22" s="2" t="str">
        <f ca="1">IFERROR(__xludf.DUMMYFUNCTION("IF(ISBLANK(A22),"""",GOOGLETRANSLATE(A22,""en"",""de""))"),"200+")</f>
        <v>200+</v>
      </c>
    </row>
    <row r="23" spans="1:2" ht="15.75" customHeight="1">
      <c r="A23" s="2" t="s">
        <v>81</v>
      </c>
      <c r="B23" s="2" t="str">
        <f ca="1">IFERROR(__xludf.DUMMYFUNCTION("IF(ISBLANK(A23),"""",GOOGLETRANSLATE(A23,""en"",""de""))"),"Kunden weltweit")</f>
        <v>Kunden weltweit</v>
      </c>
    </row>
    <row r="24" spans="1:2" ht="13.2">
      <c r="A24" s="2" t="s">
        <v>277</v>
      </c>
      <c r="B24" s="2" t="str">
        <f ca="1">IFERROR(__xludf.DUMMYFUNCTION("IF(ISBLANK(A24),"""",GOOGLETRANSLATE(A24,""en"",""de""))"),"30+")</f>
        <v>30+</v>
      </c>
    </row>
    <row r="25" spans="1:2" ht="13.2">
      <c r="A25" s="2" t="s">
        <v>278</v>
      </c>
      <c r="B25" s="2" t="str">
        <f ca="1">IFERROR(__xludf.DUMMYFUNCTION("IF(ISBLANK(A25),"""",GOOGLETRANSLATE(A25,""en"",""de""))"),"Bediente Länder")</f>
        <v>Bediente Länder</v>
      </c>
    </row>
    <row r="26" spans="1:2" ht="13.2">
      <c r="A26" s="2" t="s">
        <v>279</v>
      </c>
      <c r="B26" s="2" t="str">
        <f ca="1">IFERROR(__xludf.DUMMYFUNCTION("IF(ISBLANK(A26),"""",GOOGLETRANSLATE(A26,""en"",""de""))"),"End-to-End-Kontrolle und integrierte Intelligenz")</f>
        <v>End-to-End-Kontrolle und integrierte Intelligenz</v>
      </c>
    </row>
    <row r="27" spans="1:2" ht="13.2">
      <c r="A27" s="2" t="s">
        <v>12</v>
      </c>
      <c r="B27" s="2" t="str">
        <f ca="1">IFERROR(__xludf.DUMMYFUNCTION("IF(ISBLANK(A27),"""",GOOGLETRANSLATE(A27,""en"",""de""))"),"OEMs")</f>
        <v>OEMs</v>
      </c>
    </row>
    <row r="28" spans="1:2" ht="13.2">
      <c r="A28" s="2" t="s">
        <v>735</v>
      </c>
      <c r="B28" s="2" t="str">
        <f ca="1">IFERROR(__xludf.DUMMYFUNCTION("IF(ISBLANK(A28),"""",GOOGLETRANSLATE(A28,""en"",""de""))"),"Unsere innovative Software für das Leasing von Ausrüstungen wurde entwickelt, um OEMs optimierte Finanzierungsprozesse, ein verbessertes Kundenerlebnis und höchste Effizienz zu ermöglichen. Von der End-to-End-Finanzierung und dem Leasing bis hin zum digit"&amp;"alen Einzelhandel – unsere Lösungen sind so konzipiert, dass sie sich nahtlos in Ihre Betriebsabläufe integrieren und neue Wege für Wachstum und Rentabilität eröffnen.")</f>
        <v>Unsere innovative Software für das Leasing von Ausrüstungen wurde entwickelt, um OEMs optimierte Finanzierungsprozesse, ein verbessertes Kundenerlebnis und höchste Effizienz zu ermöglichen. Von der End-to-End-Finanzierung und dem Leasing bis hin zum digitalen Einzelhandel – unsere Lösungen sind so konzipiert, dass sie sich nahtlos in Ihre Betriebsabläufe integrieren und neue Wege für Wachstum und Rentabilität eröffnen.</v>
      </c>
    </row>
    <row r="29" spans="1:2" ht="13.2">
      <c r="B29" s="2" t="str">
        <f ca="1">IFERROR(__xludf.DUMMYFUNCTION("IF(ISBLANK(A29),"""",GOOGLETRANSLATE(A29,""en"",""de""))"),"")</f>
        <v/>
      </c>
    </row>
    <row r="30" spans="1:2" ht="13.2">
      <c r="A30" s="2" t="s">
        <v>736</v>
      </c>
      <c r="B30" s="2" t="str">
        <f ca="1">IFERROR(__xludf.DUMMYFUNCTION("IF(ISBLANK(A30),"""",GOOGLETRANSLATE(A30,""en"",""de""))"),"Großvolumenfinanzierung")</f>
        <v>Großvolumenfinanzierung</v>
      </c>
    </row>
    <row r="31" spans="1:2" ht="13.2">
      <c r="A31" s="2" t="s">
        <v>353</v>
      </c>
      <c r="B31" s="2" t="str">
        <f ca="1">IFERROR(__xludf.DUMMYFUNCTION("IF(ISBLANK(A31),"""",GOOGLETRANSLATE(A31,""en"",""de""))"),"Geben Sie Händlern die Flexibilität, Kreditlimits für verschiedene Anlagekategorien zu beantragen und Abweichungen und Überprüfungen festgelegter Kreditlimits zu überwachen. Ermöglichen Sie vorübergehende Erhöhungen der Kreditlimits auf der Grundlage von "&amp;"Händlerkampagnen – wobei die normalen Limits nach Ablauf der vorübergehenden Laufzeiten automatisch wieder gelten.")</f>
        <v>Geben Sie Händlern die Flexibilität, Kreditlimits für verschiedene Anlagekategorien zu beantragen und Abweichungen und Überprüfungen festgelegter Kreditlimits zu überwachen. Ermöglichen Sie vorübergehende Erhöhungen der Kreditlimits auf der Grundlage von Händlerkampagnen – wobei die normalen Limits nach Ablauf der vorübergehenden Laufzeiten automatisch wieder gelten.</v>
      </c>
    </row>
    <row r="32" spans="1:2" ht="13.2">
      <c r="B32" s="2" t="str">
        <f ca="1">IFERROR(__xludf.DUMMYFUNCTION("IF(ISBLANK(A32),"""",GOOGLETRANSLATE(A32,""en"",""de""))"),"")</f>
        <v/>
      </c>
    </row>
    <row r="33" spans="1:2" ht="13.2">
      <c r="A33" s="2" t="s">
        <v>737</v>
      </c>
      <c r="B33" s="2" t="str">
        <f ca="1">IFERROR(__xludf.DUMMYFUNCTION("IF(ISBLANK(A33),"""",GOOGLETRANSLATE(A33,""en"",""de""))"),"Gewerbe- und Konsumentenkredite")</f>
        <v>Gewerbe- und Konsumentenkredite</v>
      </c>
    </row>
    <row r="34" spans="1:2" ht="13.2">
      <c r="A34" s="2" t="s">
        <v>735</v>
      </c>
      <c r="B34" s="2" t="str">
        <f ca="1">IFERROR(__xludf.DUMMYFUNCTION("IF(ISBLANK(A34),"""",GOOGLETRANSLATE(A34,""en"",""de""))"),"Unsere innovative Software für das Leasing von Ausrüstungen wurde entwickelt, um OEMs optimierte Finanzierungsprozesse, ein verbessertes Kundenerlebnis und höchste Effizienz zu ermöglichen. Von der End-to-End-Finanzierung und dem Leasing bis hin zum digit"&amp;"alen Einzelhandel – unsere Lösungen sind so konzipiert, dass sie sich nahtlos in Ihre Betriebsabläufe integrieren und neue Wege für Wachstum und Rentabilität eröffnen.")</f>
        <v>Unsere innovative Software für das Leasing von Ausrüstungen wurde entwickelt, um OEMs optimierte Finanzierungsprozesse, ein verbessertes Kundenerlebnis und höchste Effizienz zu ermöglichen. Von der End-to-End-Finanzierung und dem Leasing bis hin zum digitalen Einzelhandel – unsere Lösungen sind so konzipiert, dass sie sich nahtlos in Ihre Betriebsabläufe integrieren und neue Wege für Wachstum und Rentabilität eröffnen.</v>
      </c>
    </row>
    <row r="35" spans="1:2" ht="13.2">
      <c r="B35" s="2" t="str">
        <f ca="1">IFERROR(__xludf.DUMMYFUNCTION("IF(ISBLANK(A35),"""",GOOGLETRANSLATE(A35,""en"",""de""))"),"")</f>
        <v/>
      </c>
    </row>
    <row r="36" spans="1:2" ht="13.2">
      <c r="A36" s="2" t="s">
        <v>95</v>
      </c>
      <c r="B36" s="2" t="str">
        <f ca="1">IFERROR(__xludf.DUMMYFUNCTION("IF(ISBLANK(A36),"""",GOOGLETRANSLATE(A36,""en"",""de""))"),"„Wir freuen uns über die Zusammenarbeit mit NETSOL als unserem strategischen Plattformpartner. Die intelligenten Technologielösungen von NETSOL sind im Finanz- und Leasingbereich anerkannt und der Einsatz von Transcend Finance (ehemals Ascent) ermöglicht "&amp;"es uns, auf dem heutigen, hochdynamischen Markt einen Wettbewerbsvorteil zu behalten. Mit seinen leistungsstarken Konfigurations-Engines wird Ascent unsere Prozesse rationalisieren, eine schnellere Einbindung neuer Partner ermöglichen und die Einführung n"&amp;"euer Produkte in allen Märkten beschleunigen.“")</f>
        <v>„Wir freuen uns über die Zusammenarbeit mit NETSOL als unserem strategischen Plattformpartner. Die intelligenten Technologielösungen von NETSOL sind im Finanz- und Leasingbereich anerkannt und der Einsatz von Transcend Finance (ehemals Ascent) ermöglicht es uns, auf dem heutigen, hochdynamischen Markt einen Wettbewerbsvorteil zu behalten. Mit seinen leistungsstarken Konfigurations-Engines wird Ascent unsere Prozesse rationalisieren, eine schnellere Einbindung neuer Partner ermöglichen und die Einführung neuer Produkte in allen Märkten beschleunigen.“</v>
      </c>
    </row>
    <row r="37" spans="1:2" ht="13.2">
      <c r="A37" s="2" t="s">
        <v>755</v>
      </c>
      <c r="B37" s="2" t="str">
        <f ca="1">IFERROR(__xludf.DUMMYFUNCTION("IF(ISBLANK(A37),"""",GOOGLETRANSLATE(A37,""en"",""de""))"),"Henrik Staulund")</f>
        <v>Henrik Staulund</v>
      </c>
    </row>
    <row r="38" spans="1:2" ht="13.2">
      <c r="A38" s="2" t="s">
        <v>756</v>
      </c>
      <c r="B38" s="2" t="str">
        <f ca="1">IFERROR(__xludf.DUMMYFUNCTION("IF(ISBLANK(A38),"""",GOOGLETRANSLATE(A38,""en"",""de""))"),"Chief Commercial Officer bei Ikano Bank")</f>
        <v>Chief Commercial Officer bei Ikano Bank</v>
      </c>
    </row>
    <row r="39" spans="1:2" ht="13.2">
      <c r="A39" s="2" t="s">
        <v>757</v>
      </c>
      <c r="B39" s="2" t="str">
        <f ca="1">IFERROR(__xludf.DUMMYFUNCTION("IF(ISBLANK(A39),"""",GOOGLETRANSLATE(A39,""en"",""de""))"),"Sind Sie bereit, Ihre Ausrüstungsfinanzierung zu verbessern?")</f>
        <v>Sind Sie bereit, Ihre Ausrüstungsfinanzierung zu verbessern?</v>
      </c>
    </row>
    <row r="40" spans="1:2" ht="13.2">
      <c r="A40" s="2" t="s">
        <v>758</v>
      </c>
      <c r="B40" s="2" t="str">
        <f ca="1">IFERROR(__xludf.DUMMYFUNCTION("IF(ISBLANK(A40),"""",GOOGLETRANSLATE(A40,""en"",""de""))"),"Bleiben Sie der Konkurrenz immer einen Schritt voraus und erschließen Sie sich neue Möglichkeiten für Wachstum und Erfolg in der Gerätefinanzierung mit unseren branchenführenden Lösungen für Gerätefinanzierung und Geräteleasing.")</f>
        <v>Bleiben Sie der Konkurrenz immer einen Schritt voraus und erschließen Sie sich neue Möglichkeiten für Wachstum und Erfolg in der Gerätefinanzierung mit unseren branchenführenden Lösungen für Gerätefinanzierung und Geräteleasing.</v>
      </c>
    </row>
    <row r="41" spans="1:2" ht="13.2">
      <c r="B41" s="2" t="str">
        <f ca="1">IFERROR(__xludf.DUMMYFUNCTION("IF(ISBLANK(A41),"""",GOOGLETRANSLATE(A41,""en"",""de""))"),"")</f>
        <v/>
      </c>
    </row>
    <row r="42" spans="1:2" ht="13.2">
      <c r="A42" s="2" t="s">
        <v>100</v>
      </c>
      <c r="B42" s="2" t="str">
        <f ca="1">IFERROR(__xludf.DUMMYFUNCTION("IF(ISBLANK(A42),"""",GOOGLETRANSLATE(A42,""en"",""de""))"),"Empfohlene Lektüre und Einblicke")</f>
        <v>Empfohlene Lektüre und Einblicke</v>
      </c>
    </row>
    <row r="43" spans="1:2" ht="13.2">
      <c r="A43" s="10" t="s">
        <v>101</v>
      </c>
      <c r="B43" s="2" t="str">
        <f ca="1">IFERROR(__xludf.DUMMYFUNCTION("IF(ISBLANK(A43),"""",GOOGLETRANSLATE(A43,""en"",""de""))"),"Bleiben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44" spans="1:2" ht="13.2">
      <c r="A44" s="2" t="s">
        <v>102</v>
      </c>
      <c r="B44" s="2" t="str">
        <f ca="1">IFERROR(__xludf.DUMMYFUNCTION("IF(ISBLANK(A44),"""",GOOGLETRANSLATE(A44,""en"",""de""))"),"Der Blog")</f>
        <v>Der Blog</v>
      </c>
    </row>
    <row r="45" spans="1:2" ht="13.2">
      <c r="A45" s="2" t="s">
        <v>103</v>
      </c>
      <c r="B45" s="2" t="str">
        <f ca="1">IFERROR(__xludf.DUMMYFUNCTION("IF(ISBLANK(A45),"""",GOOGLETRANSLATE(A45,""en"",""de""))"),"Über das DMS hinaus: Warum die Zukunft des Automobilhandels API-first ist")</f>
        <v>Über das DMS hinaus: Warum die Zukunft des Automobilhandels API-first ist</v>
      </c>
    </row>
    <row r="46" spans="1:2" ht="13.2">
      <c r="A46" s="2" t="s">
        <v>27</v>
      </c>
      <c r="B46" s="2" t="str">
        <f ca="1">IFERROR(__xludf.DUMMYFUNCTION("IF(ISBLANK(A46),"""",GOOGLETRANSLATE(A46,""en"",""de""))"),"Mehr erfahren")</f>
        <v>Mehr erfahren</v>
      </c>
    </row>
    <row r="47" spans="1:2" ht="13.2">
      <c r="B47" s="2" t="str">
        <f ca="1">IFERROR(__xludf.DUMMYFUNCTION("IF(ISBLANK(A47),"""",GOOGLETRANSLATE(A47,""en"",""de""))"),"")</f>
        <v/>
      </c>
    </row>
    <row r="48" spans="1:2" ht="13.2">
      <c r="A48" s="2" t="s">
        <v>104</v>
      </c>
      <c r="B48" s="2" t="str">
        <f ca="1">IFERROR(__xludf.DUMMYFUNCTION("IF(ISBLANK(A48),"""",GOOGLETRANSLATE(A48,""en"",""de""))"),"NETSOL ist auf der GlobalData Automotive Europe Conference and Awards 2025")</f>
        <v>NETSOL ist auf der GlobalData Automotive Europe Conference and Awards 2025</v>
      </c>
    </row>
    <row r="49" spans="1:2" ht="13.2">
      <c r="B49" s="2" t="str">
        <f ca="1">IFERROR(__xludf.DUMMYFUNCTION("IF(ISBLANK(A49),"""",GOOGLETRANSLATE(A49,""en"",""de""))"),"")</f>
        <v/>
      </c>
    </row>
    <row r="50" spans="1:2" ht="13.2">
      <c r="B50" s="2" t="str">
        <f ca="1">IFERROR(__xludf.DUMMYFUNCTION("IF(ISBLANK(A50),"""",GOOGLETRANSLATE(A50,""en"",""de""))"),"")</f>
        <v/>
      </c>
    </row>
    <row r="51" spans="1:2" ht="13.2">
      <c r="A51" s="2" t="s">
        <v>105</v>
      </c>
      <c r="B51" s="2" t="str">
        <f ca="1">IFERROR(__xludf.DUMMYFUNCTION("IF(ISBLANK(A51),"""",GOOGLETRANSLATE(A51,""en"",""de""))"),"NETSOL ist auf dem 25. jährlichen Auto Finance Summit: Die Zukunft der Autofinanzierung vorantreiben")</f>
        <v>NETSOL ist auf dem 25. jährlichen Auto Finance Summit: Die Zukunft der Autofinanzierung vorantreiben</v>
      </c>
    </row>
    <row r="52" spans="1:2" ht="13.2">
      <c r="B52" s="2" t="str">
        <f ca="1">IFERROR(__xludf.DUMMYFUNCTION("IF(ISBLANK(A52),"""",GOOGLETRANSLATE(A52,""en"",""de""))"),"")</f>
        <v/>
      </c>
    </row>
    <row r="53" spans="1:2" ht="13.2">
      <c r="B53" s="2" t="str">
        <f ca="1">IFERROR(__xludf.DUMMYFUNCTION("IF(ISBLANK(A53),"""",GOOGLETRANSLATE(A53,""en"",""de""))"),"")</f>
        <v/>
      </c>
    </row>
    <row r="54" spans="1:2" ht="13.2">
      <c r="A54" s="2" t="s">
        <v>106</v>
      </c>
      <c r="B54" s="2" t="str">
        <f ca="1">IFERROR(__xludf.DUMMYFUNCTION("IF(ISBLANK(A54),"""",GOOGLETRANSLATE(A54,""en"",""de""))"),"NETSOL ist beim Digital Dealer 2025 dabei: Wir stärken die Zukunft des Automobilhandels")</f>
        <v>NETSOL ist beim Digital Dealer 2025 dabei: Wir stärken die Zukunft des Automobilhandels</v>
      </c>
    </row>
    <row r="55" spans="1:2" ht="13.2">
      <c r="B55" s="2" t="str">
        <f ca="1">IFERROR(__xludf.DUMMYFUNCTION("IF(ISBLANK(A55),"""",GOOGLETRANSLATE(A55,""en"",""de""))"),"")</f>
        <v/>
      </c>
    </row>
    <row r="56" spans="1:2" ht="13.2">
      <c r="B56" s="2" t="str">
        <f ca="1">IFERROR(__xludf.DUMMYFUNCTION("IF(ISBLANK(A56),"""",GOOGLETRANSLATE(A56,""en"",""de""))"),"")</f>
        <v/>
      </c>
    </row>
    <row r="57" spans="1:2" ht="13.2">
      <c r="A57" s="6" t="s">
        <v>107</v>
      </c>
      <c r="B57" s="2" t="str">
        <f ca="1">IFERROR(__xludf.DUMMYFUNCTION("IF(ISBLANK(A57),"""",GOOGLETRANSLATE(A57,""en"",""de""))"),"KI im BFSI: Revolutionierung des Risikomanagements")</f>
        <v>KI im BFSI: Revolutionierung des Risikomanagements</v>
      </c>
    </row>
    <row r="58" spans="1:2" ht="13.2">
      <c r="B58" s="2" t="str">
        <f ca="1">IFERROR(__xludf.DUMMYFUNCTION("IF(ISBLANK(A58),"""",GOOGLETRANSLATE(A58,""en"",""de""))"),"")</f>
        <v/>
      </c>
    </row>
    <row r="59" spans="1:2" ht="13.2">
      <c r="B59" s="2" t="str">
        <f ca="1">IFERROR(__xludf.DUMMYFUNCTION("IF(ISBLANK(A59),"""",GOOGLETRANSLATE(A59,""en"",""de""))"),"")</f>
        <v/>
      </c>
    </row>
    <row r="60" spans="1:2" ht="13.2">
      <c r="A60" s="2" t="s">
        <v>108</v>
      </c>
      <c r="B60" s="2" t="str">
        <f ca="1">IFERROR(__xludf.DUMMYFUNCTION("IF(ISBLANK(A60),"""",GOOGLETRANSLATE(A60,""en"",""de""))"),"Die Bedeutung der Personalisierung im Kundenservice: Maßgeschneidertes Zahlungs- und Streitbeilegungsmanagement für Kunden")</f>
        <v>Die Bedeutung der Personalisierung im Kundenservice: Maßgeschneidertes Zahlungs- und Streitbeilegungsmanagement für Kunden</v>
      </c>
    </row>
    <row r="61" spans="1:2" ht="13.2">
      <c r="B61" s="2" t="str">
        <f ca="1">IFERROR(__xludf.DUMMYFUNCTION("IF(ISBLANK(A61),"""",GOOGLETRANSLATE(A61,""en"",""de""))"),"")</f>
        <v/>
      </c>
    </row>
    <row r="62" spans="1:2" ht="13.2">
      <c r="B62" s="2" t="str">
        <f ca="1">IFERROR(__xludf.DUMMYFUNCTION("IF(ISBLANK(A62),"""",GOOGLETRANSLATE(A62,""en"",""de""))"),"")</f>
        <v/>
      </c>
    </row>
    <row r="63" spans="1:2" ht="13.2">
      <c r="A63" s="2" t="s">
        <v>109</v>
      </c>
      <c r="B63" s="2" t="str">
        <f ca="1">IFERROR(__xludf.DUMMYFUNCTION("IF(ISBLANK(A63),"""",GOOGLETRANSLATE(A63,""en"",""de""))"),"Die wahren Kosten getrennter Systeme im Autohandel")</f>
        <v>Die wahren Kosten getrennter Systeme im Autohandel</v>
      </c>
    </row>
    <row r="64" spans="1:2" ht="13.2">
      <c r="B64" s="2" t="str">
        <f ca="1">IFERROR(__xludf.DUMMYFUNCTION("IF(ISBLANK(A64),"""",GOOGLETRANSLATE(A64,""en"",""de""))"),"")</f>
        <v/>
      </c>
    </row>
    <row r="65" spans="1:2" ht="13.2">
      <c r="B65" s="2" t="str">
        <f ca="1">IFERROR(__xludf.DUMMYFUNCTION("IF(ISBLANK(A65),"""",GOOGLETRANSLATE(A65,""en"",""de""))"),"")</f>
        <v/>
      </c>
    </row>
    <row r="66" spans="1:2" ht="13.2">
      <c r="A66" s="2" t="s">
        <v>110</v>
      </c>
      <c r="B66" s="2" t="str">
        <f ca="1">IFERROR(__xludf.DUMMYFUNCTION("IF(ISBLANK(A66),"""",GOOGLETRANSLATE(A66,""en"",""de""))"),"Captive der Zukunft: Wie Technologie Captive-Finanzierungsgeschäfte neu definiert – Wichtige Erkenntnisse aus dem Webinar der AFSA")</f>
        <v>Captive der Zukunft: Wie Technologie Captive-Finanzierungsgeschäfte neu definiert – Wichtige Erkenntnisse aus dem Webinar der AFSA</v>
      </c>
    </row>
    <row r="67" spans="1:2" ht="13.2">
      <c r="B67" s="2" t="str">
        <f ca="1">IFERROR(__xludf.DUMMYFUNCTION("IF(ISBLANK(A67),"""",GOOGLETRANSLATE(A67,""en"",""de""))"),"")</f>
        <v/>
      </c>
    </row>
    <row r="68" spans="1:2" ht="13.2">
      <c r="B68" s="2" t="str">
        <f ca="1">IFERROR(__xludf.DUMMYFUNCTION("IF(ISBLANK(A68),"""",GOOGLETRANSLATE(A68,""en"",""de""))"),"")</f>
        <v/>
      </c>
    </row>
    <row r="69" spans="1:2" ht="13.2">
      <c r="A69" s="2" t="s">
        <v>111</v>
      </c>
      <c r="B69" s="2" t="str">
        <f ca="1">IFERROR(__xludf.DUMMYFUNCTION("IF(ISBLANK(A69),"""",GOOGLETRANSLATE(A69,""en"",""de""))"),"Betrugsbekämpfung im Großkundengeschäft: Technologie zur Früherkennung und Risikominderung")</f>
        <v>Betrugsbekämpfung im Großkundengeschäft: Technologie zur Früherkennung und Risikominderung</v>
      </c>
    </row>
    <row r="70" spans="1:2" ht="13.2">
      <c r="B70" s="2" t="str">
        <f ca="1">IFERROR(__xludf.DUMMYFUNCTION("IF(ISBLANK(A70),"""",GOOGLETRANSLATE(A70,""en"",""de""))"),"")</f>
        <v/>
      </c>
    </row>
    <row r="71" spans="1:2" ht="13.2">
      <c r="A71" s="2" t="s">
        <v>114</v>
      </c>
      <c r="B71" s="2" t="str">
        <f ca="1">IFERROR(__xludf.DUMMYFUNCTION("IF(ISBLANK(A71),"""",GOOGLETRANSLATE(A71,""en"",""de""))"),"Abonnieren Sie unseren Newsletter, um die neuesten Nachrichten in Ihrem Posteingang zu erhalten.")</f>
        <v>Abonnieren Sie unseren Newsletter, um die neuesten Nachrichten in Ihrem Posteingang zu erhalten.</v>
      </c>
    </row>
    <row r="72" spans="1:2" ht="13.2">
      <c r="A72" s="2" t="s">
        <v>115</v>
      </c>
      <c r="B72" s="2" t="str">
        <f ca="1">IFERROR(__xludf.DUMMYFUNCTION("IF(ISBLANK(A72),"""",GOOGLETRANSLATE(A72,""en"",""de""))"),"abc@example.com")</f>
        <v>abc@example.com</v>
      </c>
    </row>
    <row r="73" spans="1:2" ht="13.2">
      <c r="A73" s="2" t="s">
        <v>116</v>
      </c>
      <c r="B73" s="2" t="str">
        <f ca="1">IFERROR(__xludf.DUMMYFUNCTION("IF(ISBLANK(A73),"""",GOOGLETRANSLATE(A73,""en"",""de""))"),"Abonnieren ")</f>
        <v xml:space="preserve">Abonnieren </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75"/>
  <sheetViews>
    <sheetView topLeftCell="A66" workbookViewId="0">
      <selection sqref="A1:B75"/>
    </sheetView>
  </sheetViews>
  <sheetFormatPr defaultColWidth="12.5546875" defaultRowHeight="15.75" customHeight="1"/>
  <cols>
    <col min="1" max="1" width="100.88671875" customWidth="1"/>
  </cols>
  <sheetData>
    <row r="1" spans="1:2" ht="13.2">
      <c r="A1" s="1" t="s">
        <v>0</v>
      </c>
      <c r="B1" s="1" t="s">
        <v>1</v>
      </c>
    </row>
    <row r="2" spans="1:2" ht="15.75" customHeight="1">
      <c r="A2" s="2" t="s">
        <v>154</v>
      </c>
      <c r="B2" s="2" t="str">
        <f ca="1">IFERROR(__xludf.DUMMYFUNCTION("IF(ISBLANK(A2),"""",GOOGLETRANSLATE(A2,""en"",""de""))"),"Einblicke")</f>
        <v>Einblicke</v>
      </c>
    </row>
    <row r="3" spans="1:2" ht="15.75" customHeight="1">
      <c r="A3" s="2" t="s">
        <v>759</v>
      </c>
      <c r="B3" s="2" t="str">
        <f ca="1">IFERROR(__xludf.DUMMYFUNCTION("IF(ISBLANK(A3),"""",GOOGLETRANSLATE(A3,""en"",""de""))"),"Ressourcencenter")</f>
        <v>Ressourcencenter</v>
      </c>
    </row>
    <row r="4" spans="1:2" ht="15.75" customHeight="1">
      <c r="A4" s="2" t="s">
        <v>760</v>
      </c>
      <c r="B4" s="2" t="str">
        <f ca="1">IFERROR(__xludf.DUMMYFUNCTION("IF(ISBLANK(A4),"""",GOOGLETRANSLATE(A4,""en"",""de""))"),"Entdecken Sie Expertenwissen und Ressourcen zur Asset-Finance-Branche und den neuesten Technologien in unserem umfassenden Content Hub")</f>
        <v>Entdecken Sie Expertenwissen und Ressourcen zur Asset-Finance-Branche und den neuesten Technologien in unserem umfassenden Content Hub</v>
      </c>
    </row>
    <row r="5" spans="1:2" ht="15.75" customHeight="1">
      <c r="A5" s="2" t="s">
        <v>10</v>
      </c>
      <c r="B5" s="2" t="str">
        <f ca="1">IFERROR(__xludf.DUMMYFUNCTION("IF(ISBLANK(A5),"""",GOOGLETRANSLATE(A5,""en"",""de""))"),"Kontaktieren Sie uns")</f>
        <v>Kontaktieren Sie uns</v>
      </c>
    </row>
    <row r="6" spans="1:2" ht="15.75" customHeight="1">
      <c r="A6" s="2" t="s">
        <v>761</v>
      </c>
      <c r="B6" s="2" t="str">
        <f ca="1">IFERROR(__xludf.DUMMYFUNCTION("IF(ISBLANK(A6),"""",GOOGLETRANSLATE(A6,""en"",""de""))"),"Neuste Lesungen")</f>
        <v>Neuste Lesungen</v>
      </c>
    </row>
    <row r="7" spans="1:2" ht="15.75" customHeight="1">
      <c r="A7" s="2" t="s">
        <v>762</v>
      </c>
      <c r="B7" s="2" t="str">
        <f ca="1">IFERROR(__xludf.DUMMYFUNCTION("IF(ISBLANK(A7),"""",GOOGLETRANSLATE(A7,""en"",""de""))"),"Suche nach Stichworten")</f>
        <v>Suche nach Stichworten</v>
      </c>
    </row>
    <row r="8" spans="1:2" ht="15.75" customHeight="1">
      <c r="A8" s="2" t="s">
        <v>763</v>
      </c>
      <c r="B8" s="2" t="str">
        <f ca="1">IFERROR(__xludf.DUMMYFUNCTION("IF(ISBLANK(A8),"""",GOOGLETRANSLATE(A8,""en"",""de""))"),"Hier suchen...")</f>
        <v>Hier suchen...</v>
      </c>
    </row>
    <row r="9" spans="1:2" ht="15.75" customHeight="1">
      <c r="A9" s="2" t="s">
        <v>764</v>
      </c>
      <c r="B9" s="2" t="str">
        <f ca="1">IFERROR(__xludf.DUMMYFUNCTION("IF(ISBLANK(A9),"""",GOOGLETRANSLATE(A9,""en"",""de""))"),"Suchen")</f>
        <v>Suchen</v>
      </c>
    </row>
    <row r="10" spans="1:2" ht="15.75" customHeight="1">
      <c r="A10" s="2" t="s">
        <v>765</v>
      </c>
      <c r="B10" s="2" t="str">
        <f ca="1">IFERROR(__xludf.DUMMYFUNCTION("IF(ISBLANK(A10),"""",GOOGLETRANSLATE(A10,""en"",""de""))"),"Suche nach Typ")</f>
        <v>Suche nach Typ</v>
      </c>
    </row>
    <row r="11" spans="1:2" ht="15.75" customHeight="1">
      <c r="A11" s="2" t="s">
        <v>766</v>
      </c>
      <c r="B11" s="2" t="str">
        <f ca="1">IFERROR(__xludf.DUMMYFUNCTION("IF(ISBLANK(A11),"""",GOOGLETRANSLATE(A11,""en"",""de""))"),"Alle")</f>
        <v>Alle</v>
      </c>
    </row>
    <row r="12" spans="1:2" ht="15.75" customHeight="1">
      <c r="A12" s="2" t="s">
        <v>180</v>
      </c>
      <c r="B12" s="2" t="str">
        <f ca="1">IFERROR(__xludf.DUMMYFUNCTION("IF(ISBLANK(A12),"""",GOOGLETRANSLATE(A12,""en"",""de""))"),"Fallstudien")</f>
        <v>Fallstudien</v>
      </c>
    </row>
    <row r="13" spans="1:2" ht="15.75" customHeight="1">
      <c r="A13" s="2" t="s">
        <v>767</v>
      </c>
      <c r="B13" s="2" t="str">
        <f ca="1">IFERROR(__xludf.DUMMYFUNCTION("IF(ISBLANK(A13),"""",GOOGLETRANSLATE(A13,""en"",""de""))"),"Whitepaper")</f>
        <v>Whitepaper</v>
      </c>
    </row>
    <row r="14" spans="1:2" ht="15.75" customHeight="1">
      <c r="A14" s="2" t="s">
        <v>768</v>
      </c>
      <c r="B14" s="2" t="str">
        <f ca="1">IFERROR(__xludf.DUMMYFUNCTION("IF(ISBLANK(A14),"""",GOOGLETRANSLATE(A14,""en"",""de""))"),"Podcasts")</f>
        <v>Podcasts</v>
      </c>
    </row>
    <row r="15" spans="1:2" ht="15.75" customHeight="1">
      <c r="A15" s="2" t="s">
        <v>182</v>
      </c>
      <c r="B15" s="2" t="str">
        <f ca="1">IFERROR(__xludf.DUMMYFUNCTION("IF(ISBLANK(A15),"""",GOOGLETRANSLATE(A15,""en"",""de""))"),"Blogs")</f>
        <v>Blogs</v>
      </c>
    </row>
    <row r="16" spans="1:2" ht="15.75" customHeight="1">
      <c r="A16" s="2" t="s">
        <v>183</v>
      </c>
      <c r="B16" s="2" t="str">
        <f ca="1">IFERROR(__xludf.DUMMYFUNCTION("IF(ISBLANK(A16),"""",GOOGLETRANSLATE(A16,""en"",""de""))"),"Veranstaltungen")</f>
        <v>Veranstaltungen</v>
      </c>
    </row>
    <row r="17" spans="1:2" ht="15.75" customHeight="1">
      <c r="A17" s="2" t="s">
        <v>769</v>
      </c>
      <c r="B17" s="2" t="str">
        <f ca="1">IFERROR(__xludf.DUMMYFUNCTION("IF(ISBLANK(A17),"""",GOOGLETRANSLATE(A17,""en"",""de""))"),"Webinare")</f>
        <v>Webinare</v>
      </c>
    </row>
    <row r="18" spans="1:2" ht="15.75" customHeight="1">
      <c r="A18" s="2" t="s">
        <v>770</v>
      </c>
      <c r="B18" s="2" t="str">
        <f ca="1">IFERROR(__xludf.DUMMYFUNCTION("IF(ISBLANK(A18),"""",GOOGLETRANSLATE(A18,""en"",""de""))"),"Suche nach Tags")</f>
        <v>Suche nach Tags</v>
      </c>
    </row>
    <row r="19" spans="1:2" ht="15.75" customHeight="1">
      <c r="A19" s="2" t="s">
        <v>771</v>
      </c>
      <c r="B19" s="2" t="str">
        <f ca="1">IFERROR(__xludf.DUMMYFUNCTION("IF(ISBLANK(A19),"""",GOOGLETRANSLATE(A19,""en"",""de""))"),"Autofinanzierung")</f>
        <v>Autofinanzierung</v>
      </c>
    </row>
    <row r="20" spans="1:2" ht="15.75" customHeight="1">
      <c r="A20" s="2" t="s">
        <v>41</v>
      </c>
      <c r="B20" s="2" t="str">
        <f ca="1">IFERROR(__xludf.DUMMYFUNCTION("IF(ISBLANK(A20),"""",GOOGLETRANSLATE(A20,""en"",""de""))"),"Ausrüstungsfinanzierung")</f>
        <v>Ausrüstungsfinanzierung</v>
      </c>
    </row>
    <row r="21" spans="1:2" ht="15.75" customHeight="1">
      <c r="A21" s="2" t="s">
        <v>64</v>
      </c>
      <c r="B21" s="2" t="str">
        <f ca="1">IFERROR(__xludf.DUMMYFUNCTION("IF(ISBLANK(A21),"""",GOOGLETRANSLATE(A21,""en"",""de""))"),"Informationssicherheit")</f>
        <v>Informationssicherheit</v>
      </c>
    </row>
    <row r="22" spans="1:2" ht="15.75" customHeight="1">
      <c r="A22" s="2" t="s">
        <v>137</v>
      </c>
      <c r="B22" s="2" t="str">
        <f ca="1">IFERROR(__xludf.DUMMYFUNCTION("IF(ISBLANK(A22),"""",GOOGLETRANSLATE(A22,""en"",""de""))"),"Digitale Lösungen")</f>
        <v>Digitale Lösungen</v>
      </c>
    </row>
    <row r="23" spans="1:2" ht="15.75" customHeight="1">
      <c r="A23" s="2" t="s">
        <v>772</v>
      </c>
      <c r="B23" s="2" t="str">
        <f ca="1">IFERROR(__xludf.DUMMYFUNCTION("IF(ISBLANK(A23),"""",GOOGLETRANSLATE(A23,""en"",""de""))"),"KI und ML")</f>
        <v>KI und ML</v>
      </c>
    </row>
    <row r="24" spans="1:2" ht="13.2">
      <c r="A24" s="2" t="s">
        <v>773</v>
      </c>
      <c r="B24" s="2" t="str">
        <f ca="1">IFERROR(__xludf.DUMMYFUNCTION("IF(ISBLANK(A24),"""",GOOGLETRANSLATE(A24,""en"",""de""))"),"Digitale Strategie")</f>
        <v>Digitale Strategie</v>
      </c>
    </row>
    <row r="25" spans="1:2" ht="13.2">
      <c r="A25" s="2" t="s">
        <v>144</v>
      </c>
      <c r="B25" s="2" t="str">
        <f ca="1">IFERROR(__xludf.DUMMYFUNCTION("IF(ISBLANK(A25),"""",GOOGLETRANSLATE(A25,""en"",""de""))"),"Neue Technologien")</f>
        <v>Neue Technologien</v>
      </c>
    </row>
    <row r="26" spans="1:2" ht="13.2">
      <c r="A26" s="2" t="s">
        <v>66</v>
      </c>
      <c r="B26" s="2" t="str">
        <f ca="1">IFERROR(__xludf.DUMMYFUNCTION("IF(ISBLANK(A26),"""",GOOGLETRANSLATE(A26,""en"",""de""))"),"Cloud-Dienste")</f>
        <v>Cloud-Dienste</v>
      </c>
    </row>
    <row r="27" spans="1:2" ht="13.2">
      <c r="A27" s="2" t="s">
        <v>147</v>
      </c>
      <c r="B27" s="2" t="str">
        <f ca="1">IFERROR(__xludf.DUMMYFUNCTION("IF(ISBLANK(A27),"""",GOOGLETRANSLATE(A27,""en"",""de""))"),"Datentechnik")</f>
        <v>Datentechnik</v>
      </c>
    </row>
    <row r="28" spans="1:2" ht="13.2">
      <c r="A28" s="2" t="s">
        <v>121</v>
      </c>
      <c r="B28" s="2" t="str">
        <f ca="1">IFERROR(__xludf.DUMMYFUNCTION("IF(ISBLANK(A28),"""",GOOGLETRANSLATE(A28,""en"",""de""))"),"Digitaler Einzelhandel")</f>
        <v>Digitaler Einzelhandel</v>
      </c>
    </row>
    <row r="29" spans="1:2" ht="13.2">
      <c r="A29" s="2" t="s">
        <v>125</v>
      </c>
      <c r="B29" s="2" t="str">
        <f ca="1">IFERROR(__xludf.DUMMYFUNCTION("IF(ISBLANK(A29),"""",GOOGLETRANSLATE(A29,""en"",""de""))"),"Entstehungen")</f>
        <v>Entstehungen</v>
      </c>
    </row>
    <row r="30" spans="1:2" ht="13.2">
      <c r="A30" s="2" t="s">
        <v>123</v>
      </c>
      <c r="B30" s="2" t="str">
        <f ca="1">IFERROR(__xludf.DUMMYFUNCTION("IF(ISBLANK(A30),"""",GOOGLETRANSLATE(A30,""en"",""de""))"),"Vermittlungsportale")</f>
        <v>Vermittlungsportale</v>
      </c>
    </row>
    <row r="31" spans="1:2" ht="13.2">
      <c r="A31" s="2" t="s">
        <v>127</v>
      </c>
      <c r="B31" s="2" t="str">
        <f ca="1">IFERROR(__xludf.DUMMYFUNCTION("IF(ISBLANK(A31),"""",GOOGLETRANSLATE(A31,""en"",""de""))"),"Wartung")</f>
        <v>Wartung</v>
      </c>
    </row>
    <row r="32" spans="1:2" ht="13.2">
      <c r="A32" s="2" t="s">
        <v>774</v>
      </c>
      <c r="B32" s="2" t="str">
        <f ca="1">IFERROR(__xludf.DUMMYFUNCTION("IF(ISBLANK(A32),"""",GOOGLETRANSLATE(A32,""en"",""de""))"),"Gesamtfinanzierung")</f>
        <v>Gesamtfinanzierung</v>
      </c>
    </row>
    <row r="33" spans="1:2" ht="13.2">
      <c r="A33" s="2" t="s">
        <v>775</v>
      </c>
      <c r="B33" s="2" t="str">
        <f ca="1">IFERROR(__xludf.DUMMYFUNCTION("IF(ISBLANK(A33),"""",GOOGLETRANSLATE(A33,""en"",""de""))"),"Mobilität")</f>
        <v>Mobilität</v>
      </c>
    </row>
    <row r="34" spans="1:2" ht="13.2">
      <c r="A34" s="2" t="s">
        <v>102</v>
      </c>
      <c r="B34" s="2" t="str">
        <f ca="1">IFERROR(__xludf.DUMMYFUNCTION("IF(ISBLANK(A34),"""",GOOGLETRANSLATE(A34,""en"",""de""))"),"Der Blog")</f>
        <v>Der Blog</v>
      </c>
    </row>
    <row r="35" spans="1:2" ht="13.2">
      <c r="A35" s="2" t="s">
        <v>776</v>
      </c>
      <c r="B35" s="2" t="str">
        <f ca="1">IFERROR(__xludf.DUMMYFUNCTION("IF(ISBLANK(A35),"""",GOOGLETRANSLATE(A35,""en"",""de""))"),"Über das DMS hinaus: Warum die Zukunft des Automobilhandels API-first ist")</f>
        <v>Über das DMS hinaus: Warum die Zukunft des Automobilhandels API-first ist</v>
      </c>
    </row>
    <row r="36" spans="1:2" ht="13.2">
      <c r="A36" s="2" t="s">
        <v>777</v>
      </c>
      <c r="B36" s="2" t="str">
        <f ca="1">IFERROR(__xludf.DUMMYFUNCTION("IF(ISBLANK(A36),"""",GOOGLETRANSLATE(A36,""en"",""de""))"),"Mehr lesen")</f>
        <v>Mehr lesen</v>
      </c>
    </row>
    <row r="37" spans="1:2" ht="13.2">
      <c r="A37" s="2" t="s">
        <v>778</v>
      </c>
      <c r="B37" s="2" t="str">
        <f ca="1">IFERROR(__xludf.DUMMYFUNCTION("IF(ISBLANK(A37),"""",GOOGLETRANSLATE(A37,""en"",""de""))"),"NETSOL ist auf der GlobalData Automotive Europe Conference and Awards 2025")</f>
        <v>NETSOL ist auf der GlobalData Automotive Europe Conference and Awards 2025</v>
      </c>
    </row>
    <row r="38" spans="1:2" ht="13.2">
      <c r="B38" s="2" t="str">
        <f ca="1">IFERROR(__xludf.DUMMYFUNCTION("IF(ISBLANK(A38),"""",GOOGLETRANSLATE(A38,""en"",""de""))"),"")</f>
        <v/>
      </c>
    </row>
    <row r="39" spans="1:2" ht="13.2">
      <c r="B39" s="2" t="str">
        <f ca="1">IFERROR(__xludf.DUMMYFUNCTION("IF(ISBLANK(A39),"""",GOOGLETRANSLATE(A39,""en"",""de""))"),"")</f>
        <v/>
      </c>
    </row>
    <row r="40" spans="1:2" ht="13.2">
      <c r="B40" s="2" t="str">
        <f ca="1">IFERROR(__xludf.DUMMYFUNCTION("IF(ISBLANK(A40),"""",GOOGLETRANSLATE(A40,""en"",""de""))"),"")</f>
        <v/>
      </c>
    </row>
    <row r="41" spans="1:2" ht="13.2">
      <c r="A41" s="2" t="s">
        <v>779</v>
      </c>
      <c r="B41" s="2" t="str">
        <f ca="1">IFERROR(__xludf.DUMMYFUNCTION("IF(ISBLANK(A41),"""",GOOGLETRANSLATE(A41,""en"",""de""))"),"NETSOL ist auf dem 25. jährlichen Auto Finance Summit: Die Zukunft der Autofinanzierung vorantreiben")</f>
        <v>NETSOL ist auf dem 25. jährlichen Auto Finance Summit: Die Zukunft der Autofinanzierung vorantreiben</v>
      </c>
    </row>
    <row r="42" spans="1:2" ht="13.2">
      <c r="B42" s="2" t="str">
        <f ca="1">IFERROR(__xludf.DUMMYFUNCTION("IF(ISBLANK(A42),"""",GOOGLETRANSLATE(A42,""en"",""de""))"),"")</f>
        <v/>
      </c>
    </row>
    <row r="43" spans="1:2" ht="13.2">
      <c r="B43" s="2" t="str">
        <f ca="1">IFERROR(__xludf.DUMMYFUNCTION("IF(ISBLANK(A43),"""",GOOGLETRANSLATE(A43,""en"",""de""))"),"")</f>
        <v/>
      </c>
    </row>
    <row r="44" spans="1:2" ht="13.2">
      <c r="B44" s="2" t="str">
        <f ca="1">IFERROR(__xludf.DUMMYFUNCTION("IF(ISBLANK(A44),"""",GOOGLETRANSLATE(A44,""en"",""de""))"),"")</f>
        <v/>
      </c>
    </row>
    <row r="45" spans="1:2" ht="13.2">
      <c r="A45" s="2" t="s">
        <v>102</v>
      </c>
      <c r="B45" s="2" t="str">
        <f ca="1">IFERROR(__xludf.DUMMYFUNCTION("IF(ISBLANK(A45),"""",GOOGLETRANSLATE(A45,""en"",""de""))"),"Der Blog")</f>
        <v>Der Blog</v>
      </c>
    </row>
    <row r="46" spans="1:2" ht="13.2">
      <c r="A46" s="2" t="s">
        <v>780</v>
      </c>
      <c r="B46" s="2" t="str">
        <f ca="1">IFERROR(__xludf.DUMMYFUNCTION("IF(ISBLANK(A46),"""",GOOGLETRANSLATE(A46,""en"",""de""))"),"NETSOL ist beim Digital Dealer 2025 dabei: Wir stärken die Zukunft des Automobilhandels")</f>
        <v>NETSOL ist beim Digital Dealer 2025 dabei: Wir stärken die Zukunft des Automobilhandels</v>
      </c>
    </row>
    <row r="47" spans="1:2" ht="13.2">
      <c r="B47" s="2" t="str">
        <f ca="1">IFERROR(__xludf.DUMMYFUNCTION("IF(ISBLANK(A47),"""",GOOGLETRANSLATE(A47,""en"",""de""))"),"")</f>
        <v/>
      </c>
    </row>
    <row r="48" spans="1:2" ht="13.2">
      <c r="A48" s="2" t="s">
        <v>107</v>
      </c>
      <c r="B48" s="2" t="str">
        <f ca="1">IFERROR(__xludf.DUMMYFUNCTION("IF(ISBLANK(A48),"""",GOOGLETRANSLATE(A48,""en"",""de""))"),"KI im BFSI: Revolutionierung des Risikomanagements")</f>
        <v>KI im BFSI: Revolutionierung des Risikomanagements</v>
      </c>
    </row>
    <row r="49" spans="1:2" ht="13.2">
      <c r="B49" s="2" t="str">
        <f ca="1">IFERROR(__xludf.DUMMYFUNCTION("IF(ISBLANK(A49),"""",GOOGLETRANSLATE(A49,""en"",""de""))"),"")</f>
        <v/>
      </c>
    </row>
    <row r="50" spans="1:2" ht="13.2">
      <c r="B50" s="2" t="str">
        <f ca="1">IFERROR(__xludf.DUMMYFUNCTION("IF(ISBLANK(A50),"""",GOOGLETRANSLATE(A50,""en"",""de""))"),"")</f>
        <v/>
      </c>
    </row>
    <row r="51" spans="1:2" ht="13.2">
      <c r="B51" s="2" t="str">
        <f ca="1">IFERROR(__xludf.DUMMYFUNCTION("IF(ISBLANK(A51),"""",GOOGLETRANSLATE(A51,""en"",""de""))"),"")</f>
        <v/>
      </c>
    </row>
    <row r="52" spans="1:2" ht="13.2">
      <c r="A52" s="2" t="s">
        <v>108</v>
      </c>
      <c r="B52" s="2" t="str">
        <f ca="1">IFERROR(__xludf.DUMMYFUNCTION("IF(ISBLANK(A52),"""",GOOGLETRANSLATE(A52,""en"",""de""))"),"Die Bedeutung der Personalisierung im Kundenservice: Maßgeschneidertes Zahlungs- und Streitbeilegungsmanagement für Kunden")</f>
        <v>Die Bedeutung der Personalisierung im Kundenservice: Maßgeschneidertes Zahlungs- und Streitbeilegungsmanagement für Kunden</v>
      </c>
    </row>
    <row r="53" spans="1:2" ht="13.2">
      <c r="B53" s="2" t="str">
        <f ca="1">IFERROR(__xludf.DUMMYFUNCTION("IF(ISBLANK(A53),"""",GOOGLETRANSLATE(A53,""en"",""de""))"),"")</f>
        <v/>
      </c>
    </row>
    <row r="54" spans="1:2" ht="13.2">
      <c r="B54" s="2" t="str">
        <f ca="1">IFERROR(__xludf.DUMMYFUNCTION("IF(ISBLANK(A54),"""",GOOGLETRANSLATE(A54,""en"",""de""))"),"")</f>
        <v/>
      </c>
    </row>
    <row r="55" spans="1:2" ht="13.2">
      <c r="B55" s="2" t="str">
        <f ca="1">IFERROR(__xludf.DUMMYFUNCTION("IF(ISBLANK(A55),"""",GOOGLETRANSLATE(A55,""en"",""de""))"),"")</f>
        <v/>
      </c>
    </row>
    <row r="56" spans="1:2" ht="13.2">
      <c r="A56" s="2" t="s">
        <v>109</v>
      </c>
      <c r="B56" s="2" t="str">
        <f ca="1">IFERROR(__xludf.DUMMYFUNCTION("IF(ISBLANK(A56),"""",GOOGLETRANSLATE(A56,""en"",""de""))"),"Die wahren Kosten getrennter Systeme im Autohandel")</f>
        <v>Die wahren Kosten getrennter Systeme im Autohandel</v>
      </c>
    </row>
    <row r="57" spans="1:2" ht="13.2">
      <c r="B57" s="2" t="str">
        <f ca="1">IFERROR(__xludf.DUMMYFUNCTION("IF(ISBLANK(A57),"""",GOOGLETRANSLATE(A57,""en"",""de""))"),"")</f>
        <v/>
      </c>
    </row>
    <row r="58" spans="1:2" ht="13.2">
      <c r="B58" s="2" t="str">
        <f ca="1">IFERROR(__xludf.DUMMYFUNCTION("IF(ISBLANK(A58),"""",GOOGLETRANSLATE(A58,""en"",""de""))"),"")</f>
        <v/>
      </c>
    </row>
    <row r="59" spans="1:2" ht="13.2">
      <c r="B59" s="2" t="str">
        <f ca="1">IFERROR(__xludf.DUMMYFUNCTION("IF(ISBLANK(A59),"""",GOOGLETRANSLATE(A59,""en"",""de""))"),"")</f>
        <v/>
      </c>
    </row>
    <row r="60" spans="1:2" ht="13.2">
      <c r="A60" s="2" t="s">
        <v>110</v>
      </c>
      <c r="B60" s="2" t="str">
        <f ca="1">IFERROR(__xludf.DUMMYFUNCTION("IF(ISBLANK(A60),"""",GOOGLETRANSLATE(A60,""en"",""de""))"),"Captive der Zukunft: Wie Technologie Captive-Finanzierungsgeschäfte neu definiert – Wichtige Erkenntnisse aus dem Webinar der AFSA")</f>
        <v>Captive der Zukunft: Wie Technologie Captive-Finanzierungsgeschäfte neu definiert – Wichtige Erkenntnisse aus dem Webinar der AFSA</v>
      </c>
    </row>
    <row r="61" spans="1:2" ht="13.2">
      <c r="B61" s="2" t="str">
        <f ca="1">IFERROR(__xludf.DUMMYFUNCTION("IF(ISBLANK(A61),"""",GOOGLETRANSLATE(A61,""en"",""de""))"),"")</f>
        <v/>
      </c>
    </row>
    <row r="62" spans="1:2" ht="13.2">
      <c r="B62" s="2" t="str">
        <f ca="1">IFERROR(__xludf.DUMMYFUNCTION("IF(ISBLANK(A62),"""",GOOGLETRANSLATE(A62,""en"",""de""))"),"")</f>
        <v/>
      </c>
    </row>
    <row r="63" spans="1:2" ht="13.2">
      <c r="B63" s="2" t="str">
        <f ca="1">IFERROR(__xludf.DUMMYFUNCTION("IF(ISBLANK(A63),"""",GOOGLETRANSLATE(A63,""en"",""de""))"),"")</f>
        <v/>
      </c>
    </row>
    <row r="64" spans="1:2" ht="13.2">
      <c r="A64" s="2" t="s">
        <v>111</v>
      </c>
      <c r="B64" s="2" t="str">
        <f ca="1">IFERROR(__xludf.DUMMYFUNCTION("IF(ISBLANK(A64),"""",GOOGLETRANSLATE(A64,""en"",""de""))"),"Betrugsbekämpfung im Großkundengeschäft: Technologie zur Früherkennung und Risikominderung")</f>
        <v>Betrugsbekämpfung im Großkundengeschäft: Technologie zur Früherkennung und Risikominderung</v>
      </c>
    </row>
    <row r="65" spans="1:2" ht="13.2">
      <c r="B65" s="2" t="str">
        <f ca="1">IFERROR(__xludf.DUMMYFUNCTION("IF(ISBLANK(A65),"""",GOOGLETRANSLATE(A65,""en"",""de""))"),"")</f>
        <v/>
      </c>
    </row>
    <row r="66" spans="1:2" ht="13.2">
      <c r="B66" s="2" t="str">
        <f ca="1">IFERROR(__xludf.DUMMYFUNCTION("IF(ISBLANK(A66),"""",GOOGLETRANSLATE(A66,""en"",""de""))"),"")</f>
        <v/>
      </c>
    </row>
    <row r="67" spans="1:2" ht="13.2">
      <c r="B67" s="2" t="str">
        <f ca="1">IFERROR(__xludf.DUMMYFUNCTION("IF(ISBLANK(A67),"""",GOOGLETRANSLATE(A67,""en"",""de""))"),"")</f>
        <v/>
      </c>
    </row>
    <row r="68" spans="1:2" ht="13.2">
      <c r="A68" s="2" t="s">
        <v>781</v>
      </c>
      <c r="B68" s="2" t="str">
        <f ca="1">IFERROR(__xludf.DUMMYFUNCTION("IF(ISBLANK(A68),"""",GOOGLETRANSLATE(A68,""en"",""de""))"),"Mehr anzeigen")</f>
        <v>Mehr anzeigen</v>
      </c>
    </row>
    <row r="69" spans="1:2" ht="13.2">
      <c r="A69" s="2" t="s">
        <v>97</v>
      </c>
      <c r="B69" s="2" t="str">
        <f ca="1">IFERROR(__xludf.DUMMYFUNCTION("IF(ISBLANK(A69),"""",GOOGLETRANSLATE(A69,""en"",""de""))"),"Haydock Financial ist mit dem Marktplatz von NETSOL erfolgreich")</f>
        <v>Haydock Financial ist mit dem Marktplatz von NETSOL erfolgreich</v>
      </c>
    </row>
    <row r="70" spans="1:2" ht="13.2">
      <c r="A70" s="2" t="s">
        <v>286</v>
      </c>
      <c r="B70" s="2" t="str">
        <f ca="1">IFERROR(__xludf.DUMMYFUNCTION("IF(ISBLANK(A70),"""",GOOGLETRANSLATE(A70,""en"",""de""))"),"„Ich kann sowohl Appex Now als auch NETSOL uneingeschränkt empfehlen. Die Produkte sind brillant. Sie funktionieren fantastisch. Und NETSOL ist auf unsere Bedürfnisse eingegangen und hat alle gewünschten Änderungen schnell vorgenommen.“")</f>
        <v>„Ich kann sowohl Appex Now als auch NETSOL uneingeschränkt empfehlen. Die Produkte sind brillant. Sie funktionieren fantastisch. Und NETSOL ist auf unsere Bedürfnisse eingegangen und hat alle gewünschten Änderungen schnell vorgenommen.“</v>
      </c>
    </row>
    <row r="71" spans="1:2" ht="13.2">
      <c r="A71" s="2" t="s">
        <v>782</v>
      </c>
      <c r="B71" s="2" t="str">
        <f ca="1">IFERROR(__xludf.DUMMYFUNCTION("IF(ISBLANK(A71),"""",GOOGLETRANSLATE(A71,""en"",""de""))"),"Mike Boyes")</f>
        <v>Mike Boyes</v>
      </c>
    </row>
    <row r="72" spans="1:2" ht="13.2">
      <c r="A72" s="2" t="s">
        <v>783</v>
      </c>
      <c r="B72" s="2" t="str">
        <f ca="1">IFERROR(__xludf.DUMMYFUNCTION("IF(ISBLANK(A72),"""",GOOGLETRANSLATE(A72,""en"",""de""))"),"Leiter Verkäufer, Haydock Finance")</f>
        <v>Leiter Verkäufer, Haydock Finance</v>
      </c>
    </row>
    <row r="73" spans="1:2" ht="13.2">
      <c r="A73" s="2" t="s">
        <v>114</v>
      </c>
      <c r="B73" s="2" t="str">
        <f ca="1">IFERROR(__xludf.DUMMYFUNCTION("IF(ISBLANK(A73),"""",GOOGLETRANSLATE(A73,""en"",""de""))"),"Abonnieren Sie unseren Newsletter, um die neuesten Nachrichten in Ihrem Posteingang zu erhalten.")</f>
        <v>Abonnieren Sie unseren Newsletter, um die neuesten Nachrichten in Ihrem Posteingang zu erhalten.</v>
      </c>
    </row>
    <row r="74" spans="1:2" ht="13.2">
      <c r="A74" s="2" t="s">
        <v>115</v>
      </c>
      <c r="B74" s="2" t="str">
        <f ca="1">IFERROR(__xludf.DUMMYFUNCTION("IF(ISBLANK(A74),"""",GOOGLETRANSLATE(A74,""en"",""de""))"),"abc@example.com")</f>
        <v>abc@example.com</v>
      </c>
    </row>
    <row r="75" spans="1:2" ht="13.2">
      <c r="A75" s="2" t="s">
        <v>116</v>
      </c>
      <c r="B75" s="2" t="str">
        <f ca="1">IFERROR(__xludf.DUMMYFUNCTION("IF(ISBLANK(A75),"""",GOOGLETRANSLATE(A75,""en"",""de""))"),"Abonnieren ")</f>
        <v xml:space="preserve">Abonnieren </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22"/>
  <sheetViews>
    <sheetView topLeftCell="A12" workbookViewId="0">
      <selection activeCell="B19" sqref="B19"/>
    </sheetView>
  </sheetViews>
  <sheetFormatPr defaultColWidth="12.5546875" defaultRowHeight="15.75" customHeight="1"/>
  <cols>
    <col min="1" max="1" width="78" customWidth="1"/>
  </cols>
  <sheetData>
    <row r="1" spans="1:2" ht="13.2">
      <c r="A1" s="1" t="s">
        <v>0</v>
      </c>
      <c r="B1" s="1" t="s">
        <v>1</v>
      </c>
    </row>
    <row r="2" spans="1:2" ht="15.75" customHeight="1">
      <c r="A2" s="2" t="s">
        <v>784</v>
      </c>
      <c r="B2" s="2" t="str">
        <f ca="1">IFERROR(__xludf.DUMMYFUNCTION("IF(ISBLANK(A2),"""",GOOGLETRANSLATE(A2,""en"",""de""))"),"Vorstand")</f>
        <v>Vorstand</v>
      </c>
    </row>
    <row r="3" spans="1:2" ht="15.75" customHeight="1">
      <c r="B3" s="2" t="str">
        <f ca="1">IFERROR(__xludf.DUMMYFUNCTION("IF(ISBLANK(A3),"""",GOOGLETRANSLATE(A3,""en"",""de""))"),"")</f>
        <v/>
      </c>
    </row>
    <row r="4" spans="1:2" ht="15.75" customHeight="1">
      <c r="A4" s="2" t="s">
        <v>785</v>
      </c>
      <c r="B4" s="2" t="str">
        <f ca="1">IFERROR(__xludf.DUMMYFUNCTION("IF(ISBLANK(A4),"""",GOOGLETRANSLATE(A4,""en"",""de""))"),"Visionäre Governance basierend auf realen Erfahrungen")</f>
        <v>Visionäre Governance basierend auf realen Erfahrungen</v>
      </c>
    </row>
    <row r="5" spans="1:2" ht="15.75" customHeight="1">
      <c r="A5" s="2" t="s">
        <v>786</v>
      </c>
      <c r="B5" s="2" t="str">
        <f ca="1">IFERROR(__xludf.DUMMYFUNCTION("IF(ISBLANK(A5),"""",GOOGLETRANSLATE(A5,""en"",""de""))"),"Najeeb Ghauri")</f>
        <v>Najeeb Ghauri</v>
      </c>
    </row>
    <row r="6" spans="1:2" ht="15.75" customHeight="1">
      <c r="A6" s="2" t="s">
        <v>787</v>
      </c>
      <c r="B6" s="2" t="str">
        <f ca="1">IFERROR(__xludf.DUMMYFUNCTION("IF(ISBLANK(A6),"""",GOOGLETRANSLATE(A6,""en"",""de""))"),"Direktor, Chief Executive Officer und Vorstandsvorsitzender, NetSol Technologies, Inc.")</f>
        <v>Direktor, Chief Executive Officer und Vorstandsvorsitzender, NetSol Technologies, Inc.</v>
      </c>
    </row>
    <row r="7" spans="1:2" ht="15.75" customHeight="1">
      <c r="A7" s="2" t="s">
        <v>788</v>
      </c>
      <c r="B7" s="2" t="str">
        <f ca="1">IFERROR(__xludf.DUMMYFUNCTION("IF(ISBLANK(A7),"""",GOOGLETRANSLATE(A7,""en"",""de""))"),"Profil anzeigen")</f>
        <v>Profil anzeigen</v>
      </c>
    </row>
    <row r="8" spans="1:2" ht="15.75" customHeight="1">
      <c r="A8" s="2" t="s">
        <v>789</v>
      </c>
      <c r="B8" s="2" t="str">
        <f ca="1">IFERROR(__xludf.DUMMYFUNCTION("IF(ISBLANK(A8),"""",GOOGLETRANSLATE(A8,""en"",""de""))"),"Syed Kausar Kazmi")</f>
        <v>Syed Kausar Kazmi</v>
      </c>
    </row>
    <row r="9" spans="1:2" ht="15.75" customHeight="1">
      <c r="A9" s="2" t="s">
        <v>790</v>
      </c>
      <c r="B9" s="2" t="str">
        <f ca="1">IFERROR(__xludf.DUMMYFUNCTION("IF(ISBLANK(A9),"""",GOOGLETRANSLATE(A9,""en"",""de""))"),"Leiter Commercial Banking und Geschäftsentwicklung, Habib Bank Zurich PLC, Großbritannien")</f>
        <v>Leiter Commercial Banking und Geschäftsentwicklung, Habib Bank Zurich PLC, Großbritannien</v>
      </c>
    </row>
    <row r="10" spans="1:2" ht="15.75" customHeight="1">
      <c r="B10" s="2" t="str">
        <f ca="1">IFERROR(__xludf.DUMMYFUNCTION("IF(ISBLANK(A10),"""",GOOGLETRANSLATE(A10,""en"",""de""))"),"")</f>
        <v/>
      </c>
    </row>
    <row r="11" spans="1:2" ht="15.75" customHeight="1">
      <c r="A11" s="2" t="s">
        <v>791</v>
      </c>
      <c r="B11" s="2" t="str">
        <f ca="1">IFERROR(__xludf.DUMMYFUNCTION("IF(ISBLANK(A11),"""",GOOGLETRANSLATE(A11,""en"",""de""))"),"Mark Caton")</f>
        <v>Mark Caton</v>
      </c>
    </row>
    <row r="12" spans="1:2" ht="15.75" customHeight="1">
      <c r="A12" s="2" t="s">
        <v>792</v>
      </c>
      <c r="B12" s="2" t="str">
        <f ca="1">IFERROR(__xludf.DUMMYFUNCTION("IF(ISBLANK(A12),"""",GOOGLETRANSLATE(A12,""en"",""de""))"),"Direktor, Präsident von Centela Capital, Inc.")</f>
        <v>Direktor, Präsident von Centela Capital, Inc.</v>
      </c>
    </row>
    <row r="13" spans="1:2" ht="15.75" customHeight="1">
      <c r="B13" s="2" t="str">
        <f ca="1">IFERROR(__xludf.DUMMYFUNCTION("IF(ISBLANK(A13),"""",GOOGLETRANSLATE(A13,""en"",""de""))"),"")</f>
        <v/>
      </c>
    </row>
    <row r="14" spans="1:2" ht="15.75" customHeight="1">
      <c r="A14" s="2" t="s">
        <v>793</v>
      </c>
      <c r="B14" s="2" t="str">
        <f ca="1">IFERROR(__xludf.DUMMYFUNCTION("IF(ISBLANK(A14),"""",GOOGLETRANSLATE(A14,""en"",""de""))"),"Ian Smith")</f>
        <v>Ian Smith</v>
      </c>
    </row>
    <row r="15" spans="1:2" ht="15.75" customHeight="1">
      <c r="A15" s="2" t="s">
        <v>794</v>
      </c>
      <c r="B15" s="2" t="str">
        <f ca="1">IFERROR(__xludf.DUMMYFUNCTION("IF(ISBLANK(A15),"""",GOOGLETRANSLATE(A15,""en"",""de""))"),"Präsident, MIP, Inc.")</f>
        <v>Präsident, MIP, Inc.</v>
      </c>
    </row>
    <row r="16" spans="1:2" ht="15.75" customHeight="1">
      <c r="B16" s="2" t="str">
        <f ca="1">IFERROR(__xludf.DUMMYFUNCTION("IF(ISBLANK(A16),"""",GOOGLETRANSLATE(A16,""en"",""de""))"),"")</f>
        <v/>
      </c>
    </row>
    <row r="17" spans="1:2" ht="15.75" customHeight="1">
      <c r="A17" s="2" t="s">
        <v>795</v>
      </c>
      <c r="B17" s="2" t="str">
        <f ca="1">IFERROR(__xludf.DUMMYFUNCTION("IF(ISBLANK(A17),"""",GOOGLETRANSLATE(A17,""en"",""de""))"),"Malea Farsai")</f>
        <v>Malea Farsai</v>
      </c>
    </row>
    <row r="18" spans="1:2" ht="15.75" customHeight="1">
      <c r="A18" s="2" t="s">
        <v>796</v>
      </c>
      <c r="B18" s="2" t="str">
        <f ca="1">IFERROR(__xludf.DUMMYFUNCTION("IF(ISBLANK(A18),"""",GOOGLETRANSLATE(A18,""en"",""de""))"),"Unternehmensjurist, NetSol Technologies, Inc.")</f>
        <v>Unternehmensjurist, NetSol Technologies, Inc.</v>
      </c>
    </row>
    <row r="19" spans="1:2" ht="15.75" customHeight="1">
      <c r="B19" s="2" t="str">
        <f ca="1">IFERROR(__xludf.DUMMYFUNCTION("IF(ISBLANK(A19),"""",GOOGLETRANSLATE(A19,""en"",""de""))"),"")</f>
        <v/>
      </c>
    </row>
    <row r="20" spans="1:2" ht="15.75" customHeight="1">
      <c r="A20" s="2" t="s">
        <v>114</v>
      </c>
      <c r="B20" s="2" t="str">
        <f ca="1">IFERROR(__xludf.DUMMYFUNCTION("IF(ISBLANK(A20),"""",GOOGLETRANSLATE(A20,""en"",""de""))"),"Abonnieren Sie unseren Newsletter, um die neuesten Nachrichten in Ihrem Posteingang zu erhalten.")</f>
        <v>Abonnieren Sie unseren Newsletter, um die neuesten Nachrichten in Ihrem Posteingang zu erhalten.</v>
      </c>
    </row>
    <row r="21" spans="1:2" ht="15.75" customHeight="1">
      <c r="A21" s="2" t="s">
        <v>115</v>
      </c>
      <c r="B21" s="2" t="str">
        <f ca="1">IFERROR(__xludf.DUMMYFUNCTION("IF(ISBLANK(A21),"""",GOOGLETRANSLATE(A21,""en"",""de""))"),"abc@example.com")</f>
        <v>abc@example.com</v>
      </c>
    </row>
    <row r="22" spans="1:2" ht="15.75" customHeight="1">
      <c r="A22" s="2" t="s">
        <v>116</v>
      </c>
      <c r="B22" s="2" t="str">
        <f ca="1">IFERROR(__xludf.DUMMYFUNCTION("IF(ISBLANK(A22),"""",GOOGLETRANSLATE(A22,""en"",""de""))"),"Abonnieren ")</f>
        <v xml:space="preserve">Abonnieren </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57"/>
  <sheetViews>
    <sheetView topLeftCell="A44" workbookViewId="0">
      <selection sqref="A1:B57"/>
    </sheetView>
  </sheetViews>
  <sheetFormatPr defaultColWidth="12.5546875" defaultRowHeight="15.75" customHeight="1"/>
  <cols>
    <col min="1" max="1" width="75.33203125" customWidth="1"/>
  </cols>
  <sheetData>
    <row r="1" spans="1:2" ht="13.2">
      <c r="A1" s="1" t="s">
        <v>0</v>
      </c>
      <c r="B1" s="1" t="s">
        <v>1</v>
      </c>
    </row>
    <row r="2" spans="1:2" ht="15.75" customHeight="1">
      <c r="A2" s="2" t="s">
        <v>159</v>
      </c>
      <c r="B2" s="2" t="str">
        <f ca="1">IFERROR(__xludf.DUMMYFUNCTION("IF(ISBLANK(A2),"""",GOOGLETRANSLATE(A2,""en"",""de""))"),"Management-Team")</f>
        <v>Management-Team</v>
      </c>
    </row>
    <row r="3" spans="1:2" ht="15.75" customHeight="1">
      <c r="B3" s="2" t="str">
        <f ca="1">IFERROR(__xludf.DUMMYFUNCTION("IF(ISBLANK(A3),"""",GOOGLETRANSLATE(A3,""en"",""de""))"),"")</f>
        <v/>
      </c>
    </row>
    <row r="4" spans="1:2" ht="15.75" customHeight="1">
      <c r="A4" s="2" t="s">
        <v>797</v>
      </c>
      <c r="B4" s="2" t="str">
        <f ca="1">IFERROR(__xludf.DUMMYFUNCTION("IF(ISBLANK(A4),"""",GOOGLETRANSLATE(A4,""en"",""de""))"),"Wir kombinieren jahrzehntelange globale Erfahrung in den Bereichen Technologie, Finanzen und Betrieb, um Wachstum und Innovation voranzutreiben.")</f>
        <v>Wir kombinieren jahrzehntelange globale Erfahrung in den Bereichen Technologie, Finanzen und Betrieb, um Wachstum und Innovation voranzutreiben.</v>
      </c>
    </row>
    <row r="5" spans="1:2" ht="15.75" customHeight="1">
      <c r="A5" s="2" t="s">
        <v>786</v>
      </c>
      <c r="B5" s="2" t="str">
        <f ca="1">IFERROR(__xludf.DUMMYFUNCTION("IF(ISBLANK(A5),"""",GOOGLETRANSLATE(A5,""en"",""de""))"),"Najeeb Ghauri")</f>
        <v>Najeeb Ghauri</v>
      </c>
    </row>
    <row r="6" spans="1:2" ht="15.75" customHeight="1">
      <c r="A6" s="2" t="s">
        <v>798</v>
      </c>
      <c r="B6" s="2" t="str">
        <f ca="1">IFERROR(__xludf.DUMMYFUNCTION("IF(ISBLANK(A6),"""",GOOGLETRANSLATE(A6,""en"",""de""))"),"Gründer, Vorsitzender &amp;")</f>
        <v>Gründer, Vorsitzender &amp;</v>
      </c>
    </row>
    <row r="7" spans="1:2" ht="15.75" customHeight="1">
      <c r="A7" s="2" t="s">
        <v>799</v>
      </c>
      <c r="B7" s="2" t="str">
        <f ca="1">IFERROR(__xludf.DUMMYFUNCTION("IF(ISBLANK(A7),"""",GOOGLETRANSLATE(A7,""en"",""de""))"),"Geschäftsführer,")</f>
        <v>Geschäftsführer,</v>
      </c>
    </row>
    <row r="8" spans="1:2" ht="15.75" customHeight="1">
      <c r="A8" s="2" t="s">
        <v>800</v>
      </c>
      <c r="B8" s="2" t="str">
        <f ca="1">IFERROR(__xludf.DUMMYFUNCTION("IF(ISBLANK(A8),"""",GOOGLETRANSLATE(A8,""en"",""de""))"),"NETSOL Technologies, Inc.")</f>
        <v>NETSOL Technologies, Inc.</v>
      </c>
    </row>
    <row r="9" spans="1:2" ht="15.75" customHeight="1">
      <c r="A9" s="2" t="s">
        <v>788</v>
      </c>
      <c r="B9" s="2" t="str">
        <f ca="1">IFERROR(__xludf.DUMMYFUNCTION("IF(ISBLANK(A9),"""",GOOGLETRANSLATE(A9,""en"",""de""))"),"Profil anzeigen")</f>
        <v>Profil anzeigen</v>
      </c>
    </row>
    <row r="10" spans="1:2" ht="15.75" customHeight="1">
      <c r="A10" s="2" t="s">
        <v>801</v>
      </c>
      <c r="B10" s="2" t="str">
        <f ca="1">IFERROR(__xludf.DUMMYFUNCTION("IF(ISBLANK(A10),"""",GOOGLETRANSLATE(A10,""en"",""de""))"),"Naeem Ghauri")</f>
        <v>Naeem Ghauri</v>
      </c>
    </row>
    <row r="11" spans="1:2" ht="15.75" customHeight="1">
      <c r="A11" s="2" t="s">
        <v>802</v>
      </c>
      <c r="B11" s="2" t="str">
        <f ca="1">IFERROR(__xludf.DUMMYFUNCTION("IF(ISBLANK(A11),"""",GOOGLETRANSLATE(A11,""en"",""de""))"),"Gründer und Präsident von")</f>
        <v>Gründer und Präsident von</v>
      </c>
    </row>
    <row r="12" spans="1:2" ht="15.75" customHeight="1">
      <c r="A12" s="2" t="s">
        <v>800</v>
      </c>
      <c r="B12" s="2" t="str">
        <f ca="1">IFERROR(__xludf.DUMMYFUNCTION("IF(ISBLANK(A12),"""",GOOGLETRANSLATE(A12,""en"",""de""))"),"NETSOL Technologies, Inc.")</f>
        <v>NETSOL Technologies, Inc.</v>
      </c>
    </row>
    <row r="13" spans="1:2" ht="15.75" customHeight="1">
      <c r="B13" s="2" t="str">
        <f ca="1">IFERROR(__xludf.DUMMYFUNCTION("IF(ISBLANK(A13),"""",GOOGLETRANSLATE(A13,""en"",""de""))"),"")</f>
        <v/>
      </c>
    </row>
    <row r="14" spans="1:2" ht="15.75" customHeight="1">
      <c r="A14" s="2" t="s">
        <v>803</v>
      </c>
      <c r="B14" s="2" t="str">
        <f ca="1">IFERROR(__xludf.DUMMYFUNCTION("IF(ISBLANK(A14),"""",GOOGLETRANSLATE(A14,""en"",""de""))"),"Salim Ghauri")</f>
        <v>Salim Ghauri</v>
      </c>
    </row>
    <row r="15" spans="1:2" ht="15.75" customHeight="1">
      <c r="A15" s="2" t="s">
        <v>804</v>
      </c>
      <c r="B15" s="2" t="str">
        <f ca="1">IFERROR(__xludf.DUMMYFUNCTION("IF(ISBLANK(A15),"""",GOOGLETRANSLATE(A15,""en"",""de""))"),"Gründer und Chief Executive Officer von NETSOL Technologies, LLC (Pakistan)")</f>
        <v>Gründer und Chief Executive Officer von NETSOL Technologies, LLC (Pakistan)</v>
      </c>
    </row>
    <row r="16" spans="1:2" ht="15.75" customHeight="1">
      <c r="B16" s="2" t="str">
        <f ca="1">IFERROR(__xludf.DUMMYFUNCTION("IF(ISBLANK(A16),"""",GOOGLETRANSLATE(A16,""en"",""de""))"),"")</f>
        <v/>
      </c>
    </row>
    <row r="17" spans="1:2" ht="15.75" customHeight="1">
      <c r="A17" s="2" t="s">
        <v>805</v>
      </c>
      <c r="B17" s="2" t="str">
        <f ca="1">IFERROR(__xludf.DUMMYFUNCTION("IF(ISBLANK(A17),"""",GOOGLETRANSLATE(A17,""en"",""de""))"),"Peter Minshall")</f>
        <v>Peter Minshall</v>
      </c>
    </row>
    <row r="18" spans="1:2" ht="15.75" customHeight="1">
      <c r="A18" s="2" t="s">
        <v>806</v>
      </c>
      <c r="B18" s="2" t="str">
        <f ca="1">IFERROR(__xludf.DUMMYFUNCTION("IF(ISBLANK(A18),"""",GOOGLETRANSLATE(A18,""en"",""de""))"),"Geschäftsführender Vizepräsident")</f>
        <v>Geschäftsführender Vizepräsident</v>
      </c>
    </row>
    <row r="19" spans="1:2" ht="15.75" customHeight="1">
      <c r="A19" s="2" t="s">
        <v>807</v>
      </c>
      <c r="B19" s="2" t="str">
        <f ca="1">IFERROR(__xludf.DUMMYFUNCTION("IF(ISBLANK(A19),"""",GOOGLETRANSLATE(A19,""en"",""de""))"),"NETSOL Technologies,")</f>
        <v>NETSOL Technologies,</v>
      </c>
    </row>
    <row r="20" spans="1:2" ht="15.75" customHeight="1">
      <c r="A20" s="2" t="s">
        <v>808</v>
      </c>
      <c r="B20" s="2" t="str">
        <f ca="1">IFERROR(__xludf.DUMMYFUNCTION("IF(ISBLANK(A20),"""",GOOGLETRANSLATE(A20,""en"",""de""))"),"Nordamerika")</f>
        <v>Nordamerika</v>
      </c>
    </row>
    <row r="21" spans="1:2" ht="15.75" customHeight="1">
      <c r="B21" s="2" t="str">
        <f ca="1">IFERROR(__xludf.DUMMYFUNCTION("IF(ISBLANK(A21),"""",GOOGLETRANSLATE(A21,""en"",""de""))"),"")</f>
        <v/>
      </c>
    </row>
    <row r="22" spans="1:2" ht="15.75" customHeight="1">
      <c r="A22" s="2" t="s">
        <v>809</v>
      </c>
      <c r="B22" s="2" t="str">
        <f ca="1">IFERROR(__xludf.DUMMYFUNCTION("IF(ISBLANK(A22),"""",GOOGLETRANSLATE(A22,""en"",""de""))"),"Patti McGlasson")</f>
        <v>Patti McGlasson</v>
      </c>
    </row>
    <row r="23" spans="1:2" ht="15.75" customHeight="1">
      <c r="A23" s="2" t="s">
        <v>810</v>
      </c>
      <c r="B23" s="2" t="str">
        <f ca="1">IFERROR(__xludf.DUMMYFUNCTION("IF(ISBLANK(A23),"""",GOOGLETRANSLATE(A23,""en"",""de""))"),"Sr. V.P. Recht &amp; Unternehmensangelegenheiten, General Counsel und Unternehmenssekretär, NETSOL Technologies Inc.")</f>
        <v>Sr. V.P. Recht &amp; Unternehmensangelegenheiten, General Counsel und Unternehmenssekretär, NETSOL Technologies Inc.</v>
      </c>
    </row>
    <row r="24" spans="1:2" ht="13.2">
      <c r="B24" s="2" t="str">
        <f ca="1">IFERROR(__xludf.DUMMYFUNCTION("IF(ISBLANK(A24),"""",GOOGLETRANSLATE(A24,""en"",""de""))"),"")</f>
        <v/>
      </c>
    </row>
    <row r="25" spans="1:2" ht="13.2">
      <c r="A25" s="2" t="s">
        <v>811</v>
      </c>
      <c r="B25" s="2" t="str">
        <f ca="1">IFERROR(__xludf.DUMMYFUNCTION("IF(ISBLANK(A25),"""",GOOGLETRANSLATE(A25,""en"",""de""))"),"Roger Almond")</f>
        <v>Roger Almond</v>
      </c>
    </row>
    <row r="26" spans="1:2" ht="13.2">
      <c r="A26" s="2" t="s">
        <v>812</v>
      </c>
      <c r="B26" s="2" t="str">
        <f ca="1">IFERROR(__xludf.DUMMYFUNCTION("IF(ISBLANK(A26),"""",GOOGLETRANSLATE(A26,""en"",""de""))"),"Finanzvorstand, NETSOL Technologies, Inc.")</f>
        <v>Finanzvorstand, NETSOL Technologies, Inc.</v>
      </c>
    </row>
    <row r="27" spans="1:2" ht="13.2">
      <c r="B27" s="2" t="str">
        <f ca="1">IFERROR(__xludf.DUMMYFUNCTION("IF(ISBLANK(A27),"""",GOOGLETRANSLATE(A27,""en"",""de""))"),"")</f>
        <v/>
      </c>
    </row>
    <row r="28" spans="1:2" ht="13.2">
      <c r="A28" s="2" t="s">
        <v>813</v>
      </c>
      <c r="B28" s="2" t="str">
        <f ca="1">IFERROR(__xludf.DUMMYFUNCTION("IF(ISBLANK(A28),"""",GOOGLETRANSLATE(A28,""en"",""de""))"),"Erik Wagner")</f>
        <v>Erik Wagner</v>
      </c>
    </row>
    <row r="29" spans="1:2" ht="13.2">
      <c r="A29" s="2" t="s">
        <v>814</v>
      </c>
      <c r="B29" s="2" t="str">
        <f ca="1">IFERROR(__xludf.DUMMYFUNCTION("IF(ISBLANK(A29),"""",GOOGLETRANSLATE(A29,""en"",""de""))"),"Marketingleiter, NETSOL Technologies, Inc.")</f>
        <v>Marketingleiter, NETSOL Technologies, Inc.</v>
      </c>
    </row>
    <row r="30" spans="1:2" ht="13.2">
      <c r="B30" s="2" t="str">
        <f ca="1">IFERROR(__xludf.DUMMYFUNCTION("IF(ISBLANK(A30),"""",GOOGLETRANSLATE(A30,""en"",""de""))"),"")</f>
        <v/>
      </c>
    </row>
    <row r="31" spans="1:2" ht="13.2">
      <c r="A31" s="2" t="s">
        <v>815</v>
      </c>
      <c r="B31" s="2" t="str">
        <f ca="1">IFERROR(__xludf.DUMMYFUNCTION("IF(ISBLANK(A31),"""",GOOGLETRANSLATE(A31,""en"",""de""))"),"Farooq Ghauri")</f>
        <v>Farooq Ghauri</v>
      </c>
    </row>
    <row r="32" spans="1:2" ht="13.2">
      <c r="A32" s="2" t="s">
        <v>816</v>
      </c>
      <c r="B32" s="2" t="str">
        <f ca="1">IFERROR(__xludf.DUMMYFUNCTION("IF(ISBLANK(A32),"""",GOOGLETRANSLATE(A32,""en"",""de""))"),"Leiter Asien-Pazifik, NETSOL Technologies, APAC")</f>
        <v>Leiter Asien-Pazifik, NETSOL Technologies, APAC</v>
      </c>
    </row>
    <row r="33" spans="1:2" ht="13.2">
      <c r="B33" s="2" t="str">
        <f ca="1">IFERROR(__xludf.DUMMYFUNCTION("IF(ISBLANK(A33),"""",GOOGLETRANSLATE(A33,""en"",""de""))"),"")</f>
        <v/>
      </c>
    </row>
    <row r="34" spans="1:2" ht="13.2">
      <c r="A34" s="2" t="s">
        <v>817</v>
      </c>
      <c r="B34" s="2" t="str">
        <f ca="1">IFERROR(__xludf.DUMMYFUNCTION("IF(ISBLANK(A34),"""",GOOGLETRANSLATE(A34,""en"",""de""))"),"Asad Ghauri")</f>
        <v>Asad Ghauri</v>
      </c>
    </row>
    <row r="35" spans="1:2" ht="13.2">
      <c r="A35" s="2" t="s">
        <v>818</v>
      </c>
      <c r="B35" s="2" t="str">
        <f ca="1">IFERROR(__xludf.DUMMYFUNCTION("IF(ISBLANK(A35),"""",GOOGLETRANSLATE(A35,""en"",""de""))"),"Globaler Leiter für Vertrieb und GMD, NETSOL Technologies, Inc.")</f>
        <v>Globaler Leiter für Vertrieb und GMD, NETSOL Technologies, Inc.</v>
      </c>
    </row>
    <row r="36" spans="1:2" ht="13.2">
      <c r="B36" s="2" t="str">
        <f ca="1">IFERROR(__xludf.DUMMYFUNCTION("IF(ISBLANK(A36),"""",GOOGLETRANSLATE(A36,""en"",""de""))"),"")</f>
        <v/>
      </c>
    </row>
    <row r="37" spans="1:2" ht="13.2">
      <c r="A37" s="2" t="s">
        <v>819</v>
      </c>
      <c r="B37" s="2" t="str">
        <f ca="1">IFERROR(__xludf.DUMMYFUNCTION("IF(ISBLANK(A37),"""",GOOGLETRANSLATE(A37,""en"",""de""))"),"Umar Qadri")</f>
        <v>Umar Qadri</v>
      </c>
    </row>
    <row r="38" spans="1:2" ht="13.2">
      <c r="A38" s="2" t="s">
        <v>820</v>
      </c>
      <c r="B38" s="2" t="str">
        <f ca="1">IFERROR(__xludf.DUMMYFUNCTION("IF(ISBLANK(A38),"""",GOOGLETRANSLATE(A38,""en"",""de""))"),"Stellvertretender globaler Vertriebsleiter, NETSOL Technologies Inc.")</f>
        <v>Stellvertretender globaler Vertriebsleiter, NETSOL Technologies Inc.</v>
      </c>
    </row>
    <row r="39" spans="1:2" ht="13.2">
      <c r="B39" s="2" t="str">
        <f ca="1">IFERROR(__xludf.DUMMYFUNCTION("IF(ISBLANK(A39),"""",GOOGLETRANSLATE(A39,""en"",""de""))"),"")</f>
        <v/>
      </c>
    </row>
    <row r="40" spans="1:2" ht="13.2">
      <c r="A40" s="2" t="s">
        <v>821</v>
      </c>
      <c r="B40" s="2" t="str">
        <f ca="1">IFERROR(__xludf.DUMMYFUNCTION("IF(ISBLANK(A40),"""",GOOGLETRANSLATE(A40,""en"",""de""))"),"Faizaan Ghauri")</f>
        <v>Faizaan Ghauri</v>
      </c>
    </row>
    <row r="41" spans="1:2" ht="13.2">
      <c r="A41" s="2" t="s">
        <v>822</v>
      </c>
      <c r="B41" s="2" t="str">
        <f ca="1">IFERROR(__xludf.DUMMYFUNCTION("IF(ISBLANK(A41),"""",GOOGLETRANSLATE(A41,""en"",""de""))"),"Chief Strategy Officer, NETSOL Technologies, Inc.")</f>
        <v>Chief Strategy Officer, NETSOL Technologies, Inc.</v>
      </c>
    </row>
    <row r="42" spans="1:2" ht="13.2">
      <c r="B42" s="2" t="str">
        <f ca="1">IFERROR(__xludf.DUMMYFUNCTION("IF(ISBLANK(A42),"""",GOOGLETRANSLATE(A42,""en"",""de""))"),"")</f>
        <v/>
      </c>
    </row>
    <row r="43" spans="1:2" ht="13.2">
      <c r="A43" s="2" t="s">
        <v>823</v>
      </c>
      <c r="B43" s="2" t="str">
        <f ca="1">IFERROR(__xludf.DUMMYFUNCTION("IF(ISBLANK(A43),"""",GOOGLETRANSLATE(A43,""en"",""de""))"),"Amanda Li Linjie")</f>
        <v>Amanda Li Linjie</v>
      </c>
    </row>
    <row r="44" spans="1:2" ht="13.2">
      <c r="A44" s="2" t="s">
        <v>824</v>
      </c>
      <c r="B44" s="2" t="str">
        <f ca="1">IFERROR(__xludf.DUMMYFUNCTION("IF(ISBLANK(A44),"""",GOOGLETRANSLATE(A44,""en"",""de""))"),"Präsident, NETSOL Technologies, China.")</f>
        <v>Präsident, NETSOL Technologies, China.</v>
      </c>
    </row>
    <row r="45" spans="1:2" ht="13.2">
      <c r="B45" s="2" t="str">
        <f ca="1">IFERROR(__xludf.DUMMYFUNCTION("IF(ISBLANK(A45),"""",GOOGLETRANSLATE(A45,""en"",""de""))"),"")</f>
        <v/>
      </c>
    </row>
    <row r="46" spans="1:2" ht="13.2">
      <c r="A46" s="2" t="s">
        <v>825</v>
      </c>
      <c r="B46" s="2" t="str">
        <f ca="1">IFERROR(__xludf.DUMMYFUNCTION("IF(ISBLANK(A46),"""",GOOGLETRANSLATE(A46,""en"",""de""))"),"Khurram S. Rana")</f>
        <v>Khurram S. Rana</v>
      </c>
    </row>
    <row r="47" spans="1:2" ht="13.2">
      <c r="A47" s="2" t="s">
        <v>826</v>
      </c>
      <c r="B47" s="2" t="str">
        <f ca="1">IFERROR(__xludf.DUMMYFUNCTION("IF(ISBLANK(A47),"""",GOOGLETRANSLATE(A47,""en"",""de""))"),"Globaler CHRO – NETSOL Technologies Inc.")</f>
        <v>Globaler CHRO – NETSOL Technologies Inc.</v>
      </c>
    </row>
    <row r="48" spans="1:2" ht="13.2">
      <c r="B48" s="2" t="str">
        <f ca="1">IFERROR(__xludf.DUMMYFUNCTION("IF(ISBLANK(A48),"""",GOOGLETRANSLATE(A48,""en"",""de""))"),"")</f>
        <v/>
      </c>
    </row>
    <row r="49" spans="1:2" ht="13.2">
      <c r="A49" s="2" t="s">
        <v>827</v>
      </c>
      <c r="B49" s="2" t="str">
        <f ca="1">IFERROR(__xludf.DUMMYFUNCTION("IF(ISBLANK(A49),"""",GOOGLETRANSLATE(A49,""en"",""de""))"),"Kamran Khalid")</f>
        <v>Kamran Khalid</v>
      </c>
    </row>
    <row r="50" spans="1:2" ht="13.2">
      <c r="A50" s="2" t="s">
        <v>828</v>
      </c>
      <c r="B50" s="2" t="str">
        <f ca="1">IFERROR(__xludf.DUMMYFUNCTION("IF(ISBLANK(A50),"""",GOOGLETRANSLATE(A50,""en"",""de""))"),"Chief Product &amp; Delivery Officer, NETSOL Technology, Inc.")</f>
        <v>Chief Product &amp; Delivery Officer, NETSOL Technology, Inc.</v>
      </c>
    </row>
    <row r="51" spans="1:2" ht="13.2">
      <c r="B51" s="2" t="str">
        <f ca="1">IFERROR(__xludf.DUMMYFUNCTION("IF(ISBLANK(A51),"""",GOOGLETRANSLATE(A51,""en"",""de""))"),"")</f>
        <v/>
      </c>
    </row>
    <row r="52" spans="1:2" ht="13.2">
      <c r="A52" s="2" t="s">
        <v>829</v>
      </c>
      <c r="B52" s="2" t="str">
        <f ca="1">IFERROR(__xludf.DUMMYFUNCTION("IF(ISBLANK(A52),"""",GOOGLETRANSLATE(A52,""en"",""de""))"),"Omar Ghauri")</f>
        <v>Omar Ghauri</v>
      </c>
    </row>
    <row r="53" spans="1:2" ht="13.2">
      <c r="A53" s="2" t="s">
        <v>830</v>
      </c>
      <c r="B53" s="2" t="str">
        <f ca="1">IFERROR(__xludf.DUMMYFUNCTION("IF(ISBLANK(A53),"""",GOOGLETRANSLATE(A53,""en"",""de""))"),"Direktor, Chief Operating Officer, NETSOL Technologies Ltd. Pakistan")</f>
        <v>Direktor, Chief Operating Officer, NETSOL Technologies Ltd. Pakistan</v>
      </c>
    </row>
    <row r="54" spans="1:2" ht="13.2">
      <c r="B54" s="2" t="str">
        <f ca="1">IFERROR(__xludf.DUMMYFUNCTION("IF(ISBLANK(A54),"""",GOOGLETRANSLATE(A54,""en"",""de""))"),"")</f>
        <v/>
      </c>
    </row>
    <row r="55" spans="1:2" ht="13.2">
      <c r="A55" s="2" t="s">
        <v>114</v>
      </c>
      <c r="B55" s="2" t="str">
        <f ca="1">IFERROR(__xludf.DUMMYFUNCTION("IF(ISBLANK(A55),"""",GOOGLETRANSLATE(A55,""en"",""de""))"),"Abonnieren Sie unseren Newsletter, um die neuesten Nachrichten in Ihrem Posteingang zu erhalten.")</f>
        <v>Abonnieren Sie unseren Newsletter, um die neuesten Nachrichten in Ihrem Posteingang zu erhalten.</v>
      </c>
    </row>
    <row r="56" spans="1:2" ht="13.2">
      <c r="A56" s="2" t="s">
        <v>115</v>
      </c>
      <c r="B56" s="2" t="str">
        <f ca="1">IFERROR(__xludf.DUMMYFUNCTION("IF(ISBLANK(A56),"""",GOOGLETRANSLATE(A56,""en"",""de""))"),"abc@example.com")</f>
        <v>abc@example.com</v>
      </c>
    </row>
    <row r="57" spans="1:2" ht="13.2">
      <c r="A57" s="2" t="s">
        <v>116</v>
      </c>
      <c r="B57" s="2" t="str">
        <f ca="1">IFERROR(__xludf.DUMMYFUNCTION("IF(ISBLANK(A57),"""",GOOGLETRANSLATE(A57,""en"",""de""))"),"Abonnieren ")</f>
        <v xml:space="preserve">Abonnieren </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43"/>
  <sheetViews>
    <sheetView topLeftCell="A21" workbookViewId="0">
      <selection activeCell="B28" sqref="B28"/>
    </sheetView>
  </sheetViews>
  <sheetFormatPr defaultColWidth="12.5546875" defaultRowHeight="15.75" customHeight="1"/>
  <cols>
    <col min="1" max="1" width="88" customWidth="1"/>
  </cols>
  <sheetData>
    <row r="1" spans="1:2" ht="13.2">
      <c r="A1" s="1" t="s">
        <v>0</v>
      </c>
      <c r="B1" s="1" t="s">
        <v>1</v>
      </c>
    </row>
    <row r="2" spans="1:2" ht="15.75" customHeight="1">
      <c r="A2" s="2" t="s">
        <v>831</v>
      </c>
      <c r="B2" s="2" t="str">
        <f ca="1">IFERROR(__xludf.DUMMYFUNCTION("IF(ISBLANK(A2),"""",GOOGLETRANSLATE(A2,""en"",""de""))"),"Vertrieb kontaktieren")</f>
        <v>Vertrieb kontaktieren</v>
      </c>
    </row>
    <row r="3" spans="1:2" ht="15.75" customHeight="1">
      <c r="A3" s="2" t="s">
        <v>745</v>
      </c>
      <c r="B3" s="2" t="str">
        <f ca="1">IFERROR(__xludf.DUMMYFUNCTION("IF(ISBLANK(A3),"""",GOOGLETRANSLATE(A3,""en"",""de""))"),"Kontaktieren Sie uns")</f>
        <v>Kontaktieren Sie uns</v>
      </c>
    </row>
    <row r="4" spans="1:2" ht="15.75" customHeight="1">
      <c r="A4" s="2" t="s">
        <v>832</v>
      </c>
      <c r="B4" s="2" t="str">
        <f ca="1">IFERROR(__xludf.DUMMYFUNCTION("IF(ISBLANK(A4),"""",GOOGLETRANSLATE(A4,""en"",""de""))"),"Füllen Sie das Formular aus, um eine Demo zu vereinbaren oder Fragen dazu zu stellen, wie wir Ihre Geschäftsziele unterstützen können.")</f>
        <v>Füllen Sie das Formular aus, um eine Demo zu vereinbaren oder Fragen dazu zu stellen, wie wir Ihre Geschäftsziele unterstützen können.</v>
      </c>
    </row>
    <row r="5" spans="1:2" ht="15.75" customHeight="1">
      <c r="A5" s="2" t="s">
        <v>833</v>
      </c>
      <c r="B5" s="2" t="str">
        <f ca="1">IFERROR(__xludf.DUMMYFUNCTION("IF(ISBLANK(A5),"""",GOOGLETRANSLATE(A5,""en"",""de""))"),"Möchten Sie mehr über Karrieremöglichkeiten bei NETSOL erfahren?")</f>
        <v>Möchten Sie mehr über Karrieremöglichkeiten bei NETSOL erfahren?</v>
      </c>
    </row>
    <row r="6" spans="1:2" ht="15.75" customHeight="1">
      <c r="A6" s="2" t="s">
        <v>834</v>
      </c>
      <c r="B6" s="2" t="str">
        <f ca="1">IFERROR(__xludf.DUMMYFUNCTION("IF(ISBLANK(A6),"""",GOOGLETRANSLATE(A6,""en"",""de""))"),"Wir akzeptieren keine Bewerbungen über dieses Formular. Um sich für Stellen zu bewerben, besuchen Sie bitte unser Portal hier.")</f>
        <v>Wir akzeptieren keine Bewerbungen über dieses Formular. Um sich für Stellen zu bewerben, besuchen Sie bitte unser Portal hier.</v>
      </c>
    </row>
    <row r="7" spans="1:2" ht="15.75" customHeight="1">
      <c r="A7" s="2" t="s">
        <v>835</v>
      </c>
      <c r="B7" s="2" t="str">
        <f ca="1">IFERROR(__xludf.DUMMYFUNCTION("IF(ISBLANK(A7),"""",GOOGLETRANSLATE(A7,""en"",""de""))"),"Jetzt bewerben")</f>
        <v>Jetzt bewerben</v>
      </c>
    </row>
    <row r="8" spans="1:2" ht="15.75" customHeight="1">
      <c r="A8" s="2" t="s">
        <v>831</v>
      </c>
      <c r="B8" s="2" t="str">
        <f ca="1">IFERROR(__xludf.DUMMYFUNCTION("IF(ISBLANK(A8),"""",GOOGLETRANSLATE(A8,""en"",""de""))"),"Vertrieb kontaktieren")</f>
        <v>Vertrieb kontaktieren</v>
      </c>
    </row>
    <row r="9" spans="1:2" ht="15.75" customHeight="1">
      <c r="A9" s="2" t="s">
        <v>836</v>
      </c>
      <c r="B9" s="2" t="str">
        <f ca="1">IFERROR(__xludf.DUMMYFUNCTION("IF(ISBLANK(A9),"""",GOOGLETRANSLATE(A9,""en"",""de""))"),"Vorname*")</f>
        <v>Vorname*</v>
      </c>
    </row>
    <row r="10" spans="1:2" ht="15.75" customHeight="1">
      <c r="A10" s="2" t="s">
        <v>837</v>
      </c>
      <c r="B10" s="2" t="str">
        <f ca="1">IFERROR(__xludf.DUMMYFUNCTION("IF(ISBLANK(A10),"""",GOOGLETRANSLATE(A10,""en"",""de""))"),"Geben Sie Ihren Vornamen ein")</f>
        <v>Geben Sie Ihren Vornamen ein</v>
      </c>
    </row>
    <row r="11" spans="1:2" ht="15.75" customHeight="1">
      <c r="A11" s="2" t="s">
        <v>838</v>
      </c>
      <c r="B11" s="2" t="str">
        <f ca="1">IFERROR(__xludf.DUMMYFUNCTION("IF(ISBLANK(A11),"""",GOOGLETRANSLATE(A11,""en"",""de""))"),"Nachname*")</f>
        <v>Nachname*</v>
      </c>
    </row>
    <row r="12" spans="1:2" ht="15.75" customHeight="1">
      <c r="A12" s="2" t="s">
        <v>839</v>
      </c>
      <c r="B12" s="2" t="str">
        <f ca="1">IFERROR(__xludf.DUMMYFUNCTION("IF(ISBLANK(A12),"""",GOOGLETRANSLATE(A12,""en"",""de""))"),"Geben Sie Ihren Nachnamen ein")</f>
        <v>Geben Sie Ihren Nachnamen ein</v>
      </c>
    </row>
    <row r="13" spans="1:2" ht="15.75" customHeight="1">
      <c r="A13" s="2" t="s">
        <v>840</v>
      </c>
      <c r="B13" s="2" t="str">
        <f ca="1">IFERROR(__xludf.DUMMYFUNCTION("IF(ISBLANK(A13),"""",GOOGLETRANSLATE(A13,""en"",""de""))"),"Geschäftliche E-Mail-Adresse")</f>
        <v>Geschäftliche E-Mail-Adresse</v>
      </c>
    </row>
    <row r="14" spans="1:2" ht="15.75" customHeight="1">
      <c r="A14" s="2" t="s">
        <v>841</v>
      </c>
      <c r="B14" s="2" t="str">
        <f ca="1">IFERROR(__xludf.DUMMYFUNCTION("IF(ISBLANK(A14),"""",GOOGLETRANSLATE(A14,""en"",""de""))"),"Geben Sie Ihre geschäftliche E-Mail-Adresse ein")</f>
        <v>Geben Sie Ihre geschäftliche E-Mail-Adresse ein</v>
      </c>
    </row>
    <row r="15" spans="1:2" ht="15.75" customHeight="1">
      <c r="A15" s="2" t="s">
        <v>842</v>
      </c>
      <c r="B15" s="2" t="str">
        <f ca="1">IFERROR(__xludf.DUMMYFUNCTION("IF(ISBLANK(A15),"""",GOOGLETRANSLATE(A15,""en"",""de""))"),"Firmenname")</f>
        <v>Firmenname</v>
      </c>
    </row>
    <row r="16" spans="1:2" ht="15.75" customHeight="1">
      <c r="A16" s="2" t="s">
        <v>843</v>
      </c>
      <c r="B16" s="2" t="str">
        <f ca="1">IFERROR(__xludf.DUMMYFUNCTION("IF(ISBLANK(A16),"""",GOOGLETRANSLATE(A16,""en"",""de""))"),"Geben Sie Ihren Firmennamen ein")</f>
        <v>Geben Sie Ihren Firmennamen ein</v>
      </c>
    </row>
    <row r="17" spans="1:2" ht="15.75" customHeight="1">
      <c r="A17" s="2" t="s">
        <v>844</v>
      </c>
      <c r="B17" s="2" t="str">
        <f ca="1">IFERROR(__xludf.DUMMYFUNCTION("IF(ISBLANK(A17),"""",GOOGLETRANSLATE(A17,""en"",""de""))"),"Land*")</f>
        <v>Land*</v>
      </c>
    </row>
    <row r="18" spans="1:2" ht="15.75" customHeight="1">
      <c r="A18" s="2" t="s">
        <v>845</v>
      </c>
      <c r="B18" s="2" t="str">
        <f ca="1">IFERROR(__xludf.DUMMYFUNCTION("IF(ISBLANK(A18),"""",GOOGLETRANSLATE(A18,""en"",""de""))"),"Wählen Sie ein Land")</f>
        <v>Wählen Sie ein Land</v>
      </c>
    </row>
    <row r="19" spans="1:2" ht="15.75" customHeight="1">
      <c r="A19" s="2" t="s">
        <v>846</v>
      </c>
      <c r="B19" s="2" t="str">
        <f ca="1">IFERROR(__xludf.DUMMYFUNCTION("IF(ISBLANK(A19),"""",GOOGLETRANSLATE(A19,""en"",""de""))"),"Wie können wir helfen?*")</f>
        <v>Wie können wir helfen?*</v>
      </c>
    </row>
    <row r="20" spans="1:2" ht="15.75" customHeight="1">
      <c r="A20" s="2" t="s">
        <v>847</v>
      </c>
      <c r="B20" s="2" t="str">
        <f ca="1">IFERROR(__xludf.DUMMYFUNCTION("IF(ISBLANK(A20),"""",GOOGLETRANSLATE(A20,""en"",""de""))"),"Was sind Ihre Anforderungen?")</f>
        <v>Was sind Ihre Anforderungen?</v>
      </c>
    </row>
    <row r="21" spans="1:2" ht="15.75" customHeight="1">
      <c r="A21" s="2" t="s">
        <v>848</v>
      </c>
      <c r="B21" s="2" t="str">
        <f ca="1">IFERROR(__xludf.DUMMYFUNCTION("IF(ISBLANK(A21),"""",GOOGLETRANSLATE(A21,""en"",""de""))"),"Produkt-/Dienstleistungsinteresse*")</f>
        <v>Produkt-/Dienstleistungsinteresse*</v>
      </c>
    </row>
    <row r="22" spans="1:2" ht="15.75" customHeight="1">
      <c r="A22" s="2" t="s">
        <v>849</v>
      </c>
      <c r="B22" s="2" t="str">
        <f ca="1">IFERROR(__xludf.DUMMYFUNCTION("IF(ISBLANK(A22),"""",GOOGLETRANSLATE(A22,""en"",""de""))"),"Bitte wählen Sie")</f>
        <v>Bitte wählen Sie</v>
      </c>
    </row>
    <row r="23" spans="1:2" ht="15.75" customHeight="1">
      <c r="A23" s="2" t="s">
        <v>850</v>
      </c>
      <c r="B23" s="2" t="str">
        <f ca="1">IFERROR(__xludf.DUMMYFUNCTION("IF(ISBLANK(A23),"""",GOOGLETRANSLATE(A23,""en"",""de""))"),"Wie haben Sie von uns erfahren?*")</f>
        <v>Wie haben Sie von uns erfahren?*</v>
      </c>
    </row>
    <row r="24" spans="1:2" ht="13.2">
      <c r="A24" s="2" t="s">
        <v>849</v>
      </c>
      <c r="B24" s="2" t="str">
        <f ca="1">IFERROR(__xludf.DUMMYFUNCTION("IF(ISBLANK(A24),"""",GOOGLETRANSLATE(A24,""en"",""de""))"),"Bitte wählen Sie")</f>
        <v>Bitte wählen Sie</v>
      </c>
    </row>
    <row r="25" spans="1:2" ht="13.2">
      <c r="A25" s="2" t="s">
        <v>851</v>
      </c>
      <c r="B25" s="2" t="str">
        <f ca="1">IFERROR(__xludf.DUMMYFUNCTION("IF(ISBLANK(A25),"""",GOOGLETRANSLATE(A25,""en"",""de""))"),"Indem Sie dieses Kästchen ankreuzen, erklären Sie sich damit einverstanden, dass NETSOL Sie über Produkte, Dienstleistungen und Angebote informiert, die für Sie von Interesse sein könnten. Datenschutzrichtlinie.")</f>
        <v>Indem Sie dieses Kästchen ankreuzen, erklären Sie sich damit einverstanden, dass NETSOL Sie über Produkte, Dienstleistungen und Angebote informiert, die für Sie von Interesse sein könnten. Datenschutzrichtlinie.</v>
      </c>
    </row>
    <row r="26" spans="1:2" ht="13.2">
      <c r="A26" s="2" t="s">
        <v>852</v>
      </c>
      <c r="B26" s="2" t="str">
        <f ca="1">IFERROR(__xludf.DUMMYFUNCTION("IF(ISBLANK(A26),"""",GOOGLETRANSLATE(A26,""en"",""de""))"),"Einreichen")</f>
        <v>Einreichen</v>
      </c>
    </row>
    <row r="27" spans="1:2" ht="13.2">
      <c r="A27" s="2" t="s">
        <v>853</v>
      </c>
      <c r="B27" s="2" t="str">
        <f ca="1">IFERROR(__xludf.DUMMYFUNCTION("IF(ISBLANK(A27),"""",GOOGLETRANSLATE(A27,""en"",""de""))"),"Standorte")</f>
        <v>Standorte</v>
      </c>
    </row>
    <row r="28" spans="1:2" ht="13.2">
      <c r="A28" s="2" t="s">
        <v>854</v>
      </c>
      <c r="B28" s="2" t="str">
        <f ca="1">IFERROR(__xludf.DUMMYFUNCTION("IF(ISBLANK(A28),"""",GOOGLETRANSLATE(A28,""en"",""de""))"),"Encino, USA")</f>
        <v>Encino, USA</v>
      </c>
    </row>
    <row r="29" spans="1:2" ht="13.2">
      <c r="A29" s="2" t="s">
        <v>855</v>
      </c>
      <c r="B29" s="2" t="str">
        <f ca="1">IFERROR(__xludf.DUMMYFUNCTION("IF(ISBLANK(A29),"""",GOOGLETRANSLATE(A29,""en"",""de""))"),"NETSOL Technologies Inc. (Hauptsitz)")</f>
        <v>NETSOL Technologies Inc. (Hauptsitz)</v>
      </c>
    </row>
    <row r="30" spans="1:2" ht="13.2">
      <c r="A30" s="2" t="s">
        <v>856</v>
      </c>
      <c r="B30" s="2" t="str">
        <f ca="1">IFERROR(__xludf.DUMMYFUNCTION("IF(ISBLANK(A30),"""",GOOGLETRANSLATE(A30,""en"",""de""))"),"16000 Ventura Blvd., Suite 770 Encino, CA 91436")</f>
        <v>16000 Ventura Blvd., Suite 770 Encino, CA 91436</v>
      </c>
    </row>
    <row r="31" spans="1:2" ht="13.2">
      <c r="A31" s="2" t="s">
        <v>857</v>
      </c>
      <c r="B31" s="2" t="str">
        <f ca="1">IFERROR(__xludf.DUMMYFUNCTION("IF(ISBLANK(A31),"""",GOOGLETRANSLATE(A31,""en"",""de""))"),"O: +1 818 222 9195")</f>
        <v>O: +1 818 222 9195</v>
      </c>
    </row>
    <row r="32" spans="1:2" ht="13.2">
      <c r="A32" s="2" t="s">
        <v>858</v>
      </c>
      <c r="B32" s="2" t="str">
        <f ca="1">IFERROR(__xludf.DUMMYFUNCTION("IF(ISBLANK(A32),"""",GOOGLETRANSLATE(A32,""en"",""de""))"),"Austin, USA")</f>
        <v>Austin, USA</v>
      </c>
    </row>
    <row r="33" spans="1:2" ht="13.2">
      <c r="A33" s="2" t="s">
        <v>859</v>
      </c>
      <c r="B33" s="2" t="str">
        <f ca="1">IFERROR(__xludf.DUMMYFUNCTION("IF(ISBLANK(A33),"""",GOOGLETRANSLATE(A33,""en"",""de""))"),"NETSOL Technologies Inc.")</f>
        <v>NETSOL Technologies Inc.</v>
      </c>
    </row>
    <row r="34" spans="1:2" ht="13.2">
      <c r="A34" s="2" t="s">
        <v>860</v>
      </c>
      <c r="B34" s="2" t="str">
        <f ca="1">IFERROR(__xludf.DUMMYFUNCTION("IF(ISBLANK(A34),"""",GOOGLETRANSLATE(A34,""en"",""de""))"),"816 Congress Ave. #1270, Austin, TX 78701")</f>
        <v>816 Congress Ave. #1270, Austin, TX 78701</v>
      </c>
    </row>
    <row r="35" spans="1:2" ht="13.2">
      <c r="A35" s="2" t="s">
        <v>857</v>
      </c>
      <c r="B35" s="2" t="str">
        <f ca="1">IFERROR(__xludf.DUMMYFUNCTION("IF(ISBLANK(A35),"""",GOOGLETRANSLATE(A35,""en"",""de""))"),"O: +1 818 222 9195")</f>
        <v>O: +1 818 222 9195</v>
      </c>
    </row>
    <row r="36" spans="1:2" ht="13.2">
      <c r="A36" s="2" t="s">
        <v>861</v>
      </c>
      <c r="B36" s="2" t="str">
        <f ca="1">IFERROR(__xludf.DUMMYFUNCTION("IF(ISBLANK(A36),"""",GOOGLETRANSLATE(A36,""en"",""de""))"),"London, Großbritannien")</f>
        <v>London, Großbritannien</v>
      </c>
    </row>
    <row r="37" spans="1:2" ht="13.2">
      <c r="A37" s="2" t="s">
        <v>862</v>
      </c>
      <c r="B37" s="2" t="str">
        <f ca="1">IFERROR(__xludf.DUMMYFUNCTION("IF(ISBLANK(A37),"""",GOOGLETRANSLATE(A37,""en"",""de""))"),"NETSOL Technologies Europe Ltd.")</f>
        <v>NETSOL Technologies Europe Ltd.</v>
      </c>
    </row>
    <row r="38" spans="1:2" ht="13.2">
      <c r="A38" s="2" t="s">
        <v>863</v>
      </c>
      <c r="B38" s="2" t="str">
        <f ca="1">IFERROR(__xludf.DUMMYFUNCTION("IF(ISBLANK(A38),"""",GOOGLETRANSLATE(A38,""en"",""de""))"),"25 Wilton Road, Pimlico, London SW1V 1LW")</f>
        <v>25 Wilton Road, Pimlico, London SW1V 1LW</v>
      </c>
    </row>
    <row r="39" spans="1:2" ht="13.2">
      <c r="A39" s="2" t="s">
        <v>864</v>
      </c>
      <c r="B39" s="2" t="str">
        <f ca="1">IFERROR(__xludf.DUMMYFUNCTION("IF(ISBLANK(A39),"""",GOOGLETRANSLATE(A39,""en"",""de""))"),"O: +44 (0) 1403 282 300")</f>
        <v>O: +44 (0) 1403 282 300</v>
      </c>
    </row>
    <row r="40" spans="1:2" ht="13.2">
      <c r="A40" s="2" t="s">
        <v>781</v>
      </c>
      <c r="B40" s="2" t="str">
        <f ca="1">IFERROR(__xludf.DUMMYFUNCTION("IF(ISBLANK(A40),"""",GOOGLETRANSLATE(A40,""en"",""de""))"),"Mehr anzeigen")</f>
        <v>Mehr anzeigen</v>
      </c>
    </row>
    <row r="41" spans="1:2" ht="13.2">
      <c r="A41" s="2" t="s">
        <v>114</v>
      </c>
      <c r="B41" s="2" t="str">
        <f ca="1">IFERROR(__xludf.DUMMYFUNCTION("IF(ISBLANK(A41),"""",GOOGLETRANSLATE(A41,""en"",""de""))"),"Abonnieren Sie unseren Newsletter, um die neuesten Nachrichten in Ihrem Posteingang zu erhalten.")</f>
        <v>Abonnieren Sie unseren Newsletter, um die neuesten Nachrichten in Ihrem Posteingang zu erhalten.</v>
      </c>
    </row>
    <row r="42" spans="1:2" ht="13.2">
      <c r="A42" s="2" t="s">
        <v>115</v>
      </c>
      <c r="B42" s="2" t="str">
        <f ca="1">IFERROR(__xludf.DUMMYFUNCTION("IF(ISBLANK(A42),"""",GOOGLETRANSLATE(A42,""en"",""de""))"),"abc@example.com")</f>
        <v>abc@example.com</v>
      </c>
    </row>
    <row r="43" spans="1:2" ht="13.2">
      <c r="A43" s="2" t="s">
        <v>116</v>
      </c>
      <c r="B43" s="2" t="str">
        <f ca="1">IFERROR(__xludf.DUMMYFUNCTION("IF(ISBLANK(A43),"""",GOOGLETRANSLATE(A43,""en"",""de""))"),"Abonnieren ")</f>
        <v xml:space="preserve">Abonnieren </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53"/>
  <sheetViews>
    <sheetView workbookViewId="0">
      <selection activeCell="A9" sqref="A9"/>
    </sheetView>
  </sheetViews>
  <sheetFormatPr defaultColWidth="12.5546875" defaultRowHeight="15.75" customHeight="1"/>
  <cols>
    <col min="1" max="1" width="88.44140625" customWidth="1"/>
  </cols>
  <sheetData>
    <row r="1" spans="1:2" ht="13.2">
      <c r="A1" s="1" t="s">
        <v>0</v>
      </c>
      <c r="B1" s="1" t="s">
        <v>1</v>
      </c>
    </row>
    <row r="2" spans="1:2" ht="15.75" customHeight="1">
      <c r="A2" s="2" t="s">
        <v>18</v>
      </c>
      <c r="B2" s="2" t="str">
        <f ca="1">IFERROR(__xludf.DUMMYFUNCTION("IF(ISBLANK(A2),"""",GOOGLETRANSLATE(A2,""en"",""de""))"),"Transcend-Plattform")</f>
        <v>Transcend-Plattform</v>
      </c>
    </row>
    <row r="3" spans="1:2" ht="15.75" customHeight="1">
      <c r="A3" s="2" t="s">
        <v>865</v>
      </c>
      <c r="B3" s="2" t="str">
        <f ca="1">IFERROR(__xludf.DUMMYFUNCTION("IF(ISBLANK(A3),"""",GOOGLETRANSLATE(A3,""en"",""de""))"),"Überschreiten Sie die Grenzen der Technologie")</f>
        <v>Überschreiten Sie die Grenzen der Technologie</v>
      </c>
    </row>
    <row r="4" spans="1:2" ht="15.75" customHeight="1">
      <c r="A4" s="2" t="s">
        <v>866</v>
      </c>
      <c r="B4" s="2" t="str">
        <f ca="1">IFERROR(__xludf.DUMMYFUNCTION("IF(ISBLANK(A4),"""",GOOGLETRANSLATE(A4,""en"",""de""))"),"Von KI-gestützten Finanzlösungen bis hin zum nahtlosen digitalen Einzelhandel.")</f>
        <v>Von KI-gestützten Finanzlösungen bis hin zum nahtlosen digitalen Einzelhandel.</v>
      </c>
    </row>
    <row r="5" spans="1:2" ht="15.75" customHeight="1">
      <c r="A5" s="2" t="s">
        <v>745</v>
      </c>
      <c r="B5" s="2" t="str">
        <f ca="1">IFERROR(__xludf.DUMMYFUNCTION("IF(ISBLANK(A5),"""",GOOGLETRANSLATE(A5,""en"",""de""))"),"Kontaktieren Sie uns")</f>
        <v>Kontaktieren Sie uns</v>
      </c>
    </row>
    <row r="6" spans="1:2" ht="15.75" customHeight="1">
      <c r="A6" s="2" t="s">
        <v>17</v>
      </c>
      <c r="B6" s="2" t="str">
        <f ca="1">IFERROR(__xludf.DUMMYFUNCTION("IF(ISBLANK(A6),"""",GOOGLETRANSLATE(A6,""en"",""de""))"),"Die weltweit führenden Marken werden von NETSOL unterstützt")</f>
        <v>Die weltweit führenden Marken werden von NETSOL unterstützt</v>
      </c>
    </row>
    <row r="7" spans="1:2" ht="15.75" customHeight="1">
      <c r="A7" s="2" t="s">
        <v>18</v>
      </c>
      <c r="B7" s="2" t="str">
        <f ca="1">IFERROR(__xludf.DUMMYFUNCTION("IF(ISBLANK(A7),"""",GOOGLETRANSLATE(A7,""en"",""de""))"),"Transcend-Plattform")</f>
        <v>Transcend-Plattform</v>
      </c>
    </row>
    <row r="8" spans="1:2" ht="15.75" customHeight="1">
      <c r="A8" s="14" t="s">
        <v>867</v>
      </c>
      <c r="B8" s="2" t="str">
        <f ca="1">IFERROR(__xludf.DUMMYFUNCTION("IF(ISBLANK(A8),"""",GOOGLETRANSLATE(A8,""en"",""de""))"),"Die Zukunft des Finanzwesens, des Einzelhandels und darüber hinaus vorantreiben")</f>
        <v>Die Zukunft des Finanzwesens, des Einzelhandels und darüber hinaus vorantreiben</v>
      </c>
    </row>
    <row r="9" spans="1:2" ht="15.75" customHeight="1">
      <c r="A9" s="2" t="s">
        <v>868</v>
      </c>
      <c r="B9" s="2" t="e">
        <f ca="1">IFERROR(__xludf.DUMMYFUNCTION("IF(ISBLANK(A9),"""",GOOGLETRANSLATE(A9,""en"",""de""))"),_xlfn._LONGTEXT("Die Transcend-Plattform von NETSOL ist ein einheitliches, KI-gesteuertes Ökosystem, das jede Phase des Lebenszyklus von Vermögenswerten, Einzelhandel und Handel vereinfacht und optimiert. Von der Kreditvergabe über die Bestandspflege und das Inkasso bis h","in zur ")&amp;"Kundenbindung ermöglicht Transcend Kreditgebern, OEMs, Händlern und Flotten eine sichere Skalierung, die nahtlose Integration in Partnersysteme und die Bereitstellung vernetzter Erlebnisse über Märkte, Produkte und Kontaktpunkte hinweg. Basierend auf vera"&amp;"ntwortungsvoller KI und zusammensetzbarem Design verwandelt es Komplexität in Klarheit und hilft Unternehmen, messbare Ergebnisse zu erzielen und gleichzeitig Vertrauen, Transparenz und Zusammenarbeit in jedem Schritt zu gewährleisten.")</f>
        <v>#NAME?</v>
      </c>
    </row>
    <row r="10" spans="1:2" ht="15.75" customHeight="1">
      <c r="A10" s="2" t="s">
        <v>869</v>
      </c>
      <c r="B10" s="2" t="str">
        <f ca="1">IFERROR(__xludf.DUMMYFUNCTION("IF(ISBLANK(A10),"""",GOOGLETRANSLATE(A10,""en"",""de""))"),"KI im Mittelpunkt")</f>
        <v>KI im Mittelpunkt</v>
      </c>
    </row>
    <row r="11" spans="1:2" ht="15.75" customHeight="1">
      <c r="A11" s="2" t="s">
        <v>870</v>
      </c>
      <c r="B11" s="2" t="str">
        <f ca="1">IFERROR(__xludf.DUMMYFUNCTION("IF(ISBLANK(A11),"""",GOOGLETRANSLATE(A11,""en"",""de""))"),"Nutzen Sie künstliche Intelligenz und maschinelles Lernen, um prädiktive Erkenntnisse, automatisierte Arbeitsabläufe und Risikomanagement im gesamten Finanzökosystem zu ermöglichen")</f>
        <v>Nutzen Sie künstliche Intelligenz und maschinelles Lernen, um prädiktive Erkenntnisse, automatisierte Arbeitsabläufe und Risikomanagement im gesamten Finanzökosystem zu ermöglichen</v>
      </c>
    </row>
    <row r="12" spans="1:2" ht="15.75" customHeight="1">
      <c r="A12" s="2" t="s">
        <v>871</v>
      </c>
      <c r="B12" s="2" t="str">
        <f ca="1">IFERROR(__xludf.DUMMYFUNCTION("IF(ISBLANK(A12),"""",GOOGLETRANSLATE(A12,""en"",""de""))"),"Eine adaptive Plattform")</f>
        <v>Eine adaptive Plattform</v>
      </c>
    </row>
    <row r="13" spans="1:2" ht="15.75" customHeight="1">
      <c r="A13" s="2" t="s">
        <v>872</v>
      </c>
      <c r="B13" s="2" t="str">
        <f ca="1">IFERROR(__xludf.DUMMYFUNCTION("IF(ISBLANK(A13),"""",GOOGLETRANSLATE(A13,""en"",""de""))"),"Mit integrierten Frameworks und leistungsstarkem Datenmanagement bietet Transcend eine sichere Grundlage, damit Sie immer für die Zukunft bereit sind.")</f>
        <v>Mit integrierten Frameworks und leistungsstarkem Datenmanagement bietet Transcend eine sichere Grundlage, damit Sie immer für die Zukunft bereit sind.</v>
      </c>
    </row>
    <row r="14" spans="1:2" ht="15.75" customHeight="1">
      <c r="A14" s="2" t="s">
        <v>873</v>
      </c>
      <c r="B14" s="2" t="str">
        <f ca="1">IFERROR(__xludf.DUMMYFUNCTION("IF(ISBLANK(A14),"""",GOOGLETRANSLATE(A14,""en"",""de""))"),"Zukunftsfähige Infrastruktur")</f>
        <v>Zukunftsfähige Infrastruktur</v>
      </c>
    </row>
    <row r="15" spans="1:2" ht="15.75" customHeight="1">
      <c r="A15" s="2" t="s">
        <v>874</v>
      </c>
      <c r="B15" s="2" t="str">
        <f ca="1">IFERROR(__xludf.DUMMYFUNCTION("IF(ISBLANK(A15),"""",GOOGLETRANSLATE(A15,""en"",""de""))"),"Erstellen Sie Ihre Plattform mit API-First-Modulkomponenten, die plattformübergreifende Funktionen und anpassbare Lösungen bieten, die mit dem Wachstum Ihres Unternehmens skaliert werden.")</f>
        <v>Erstellen Sie Ihre Plattform mit API-First-Modulkomponenten, die plattformübergreifende Funktionen und anpassbare Lösungen bieten, die mit dem Wachstum Ihres Unternehmens skaliert werden.</v>
      </c>
    </row>
    <row r="16" spans="1:2" ht="15.75" customHeight="1">
      <c r="A16" s="2" t="s">
        <v>875</v>
      </c>
      <c r="B16" s="2" t="str">
        <f ca="1">IFERROR(__xludf.DUMMYFUNCTION("IF(ISBLANK(A16),"""",GOOGLETRANSLATE(A16,""en"",""de""))"),"Sicherheit auf Unternehmensebene")</f>
        <v>Sicherheit auf Unternehmensebene</v>
      </c>
    </row>
    <row r="17" spans="1:2" ht="15.75" customHeight="1">
      <c r="A17" s="2" t="s">
        <v>876</v>
      </c>
      <c r="B17" s="2" t="str">
        <f ca="1">IFERROR(__xludf.DUMMYFUNCTION("IF(ISBLANK(A17),"""",GOOGLETRANSLATE(A17,""en"",""de""))"),"Mit der unternehmensgerechten Cloud-Sicherheit von Transcend sind Ihre Finanztransaktionen und sensiblen Daten mit den neuesten Sicherheitsvorkehrungen geschützt, sodass Sie beruhigt sein können.")</f>
        <v>Mit der unternehmensgerechten Cloud-Sicherheit von Transcend sind Ihre Finanztransaktionen und sensiblen Daten mit den neuesten Sicherheitsvorkehrungen geschützt, sodass Sie beruhigt sein können.</v>
      </c>
    </row>
    <row r="18" spans="1:2" ht="15.75" customHeight="1">
      <c r="A18" s="2" t="s">
        <v>877</v>
      </c>
      <c r="B18" s="2" t="str">
        <f ca="1">IFERROR(__xludf.DUMMYFUNCTION("IF(ISBLANK(A18),"""",GOOGLETRANSLATE(A18,""en"",""de""))"),"Maßgeschneiderte Lösungen für jede Phase Ihres Unternehmens")</f>
        <v>Maßgeschneiderte Lösungen für jede Phase Ihres Unternehmens</v>
      </c>
    </row>
    <row r="19" spans="1:2" ht="15.75" customHeight="1">
      <c r="A19" s="2" t="s">
        <v>21</v>
      </c>
      <c r="B19" s="2" t="str">
        <f ca="1">IFERROR(__xludf.DUMMYFUNCTION("IF(ISBLANK(A19),"""",GOOGLETRANSLATE(A19,""en"",""de""))"),"Einzelhandel")</f>
        <v>Einzelhandel</v>
      </c>
    </row>
    <row r="20" spans="1:2" ht="15.75" customHeight="1">
      <c r="A20" s="2" t="s">
        <v>22</v>
      </c>
      <c r="B20" s="2" t="str">
        <f ca="1">IFERROR(__xludf.DUMMYFUNCTION("IF(ISBLANK(A20),"""",GOOGLETRANSLATE(A20,""en"",""de""))"),"End-to-End-Orchestrierung für OEMs und")</f>
        <v>End-to-End-Orchestrierung für OEMs und</v>
      </c>
    </row>
    <row r="21" spans="1:2" ht="15.75" customHeight="1">
      <c r="A21" s="2" t="s">
        <v>23</v>
      </c>
      <c r="B21" s="2" t="str">
        <f ca="1">IFERROR(__xludf.DUMMYFUNCTION("IF(ISBLANK(A21),"""",GOOGLETRANSLATE(A21,""en"",""de""))"),"Händler. Modular und skalierbar zur Vereinheitlichung")</f>
        <v>Händler. Modular und skalierbar zur Vereinheitlichung</v>
      </c>
    </row>
    <row r="22" spans="1:2" ht="15.75" customHeight="1">
      <c r="A22" s="2" t="s">
        <v>24</v>
      </c>
      <c r="B22" s="2" t="str">
        <f ca="1">IFERROR(__xludf.DUMMYFUNCTION("IF(ISBLANK(A22),"""",GOOGLETRANSLATE(A22,""en"",""de""))"),"Showroom und Online-Reisen in einem")</f>
        <v>Showroom und Online-Reisen in einem</v>
      </c>
    </row>
    <row r="23" spans="1:2" ht="15.75" customHeight="1">
      <c r="A23" s="2" t="s">
        <v>26</v>
      </c>
      <c r="B23" s="2" t="str">
        <f ca="1">IFERROR(__xludf.DUMMYFUNCTION("IF(ISBLANK(A23),"""",GOOGLETRANSLATE(A23,""en"",""de""))"),"nahtloses Einzelhandelserlebnis.")</f>
        <v>nahtloses Einzelhandelserlebnis.</v>
      </c>
    </row>
    <row r="24" spans="1:2" ht="13.2">
      <c r="A24" s="2" t="s">
        <v>27</v>
      </c>
      <c r="B24" s="2" t="str">
        <f ca="1">IFERROR(__xludf.DUMMYFUNCTION("IF(ISBLANK(A24),"""",GOOGLETRANSLATE(A24,""en"",""de""))"),"Mehr erfahren")</f>
        <v>Mehr erfahren</v>
      </c>
    </row>
    <row r="25" spans="1:2" ht="13.2">
      <c r="A25" s="2" t="s">
        <v>28</v>
      </c>
      <c r="B25" s="2" t="str">
        <f ca="1">IFERROR(__xludf.DUMMYFUNCTION("IF(ISBLANK(A25),"""",GOOGLETRANSLATE(A25,""en"",""de""))"),"Autohandel neu definiert. Personalisierte Wege,")</f>
        <v>Autohandel neu definiert. Personalisierte Wege,</v>
      </c>
    </row>
    <row r="26" spans="1:2" ht="13.2">
      <c r="A26" s="2" t="s">
        <v>29</v>
      </c>
      <c r="B26" s="2" t="str">
        <f ca="1">IFERROR(__xludf.DUMMYFUNCTION("IF(ISBLANK(A26),"""",GOOGLETRANSLATE(A26,""en"",""de""))"),"vernetzte Touchpoints und KI-gesteuerte Präzision.")</f>
        <v>vernetzte Touchpoints und KI-gesteuerte Präzision.</v>
      </c>
    </row>
    <row r="27" spans="1:2" ht="13.2">
      <c r="A27" s="2" t="s">
        <v>12</v>
      </c>
      <c r="B27" s="2" t="str">
        <f ca="1">IFERROR(__xludf.DUMMYFUNCTION("IF(ISBLANK(A27),"""",GOOGLETRANSLATE(A27,""en"",""de""))"),"OEMs")</f>
        <v>OEMs</v>
      </c>
    </row>
    <row r="28" spans="1:2" ht="13.2">
      <c r="A28" s="2" t="s">
        <v>30</v>
      </c>
      <c r="B28" s="2" t="str">
        <f ca="1">IFERROR(__xludf.DUMMYFUNCTION("IF(ISBLANK(A28),"""",GOOGLETRANSLATE(A28,""en"",""de""))"),"Unabhängige Händler")</f>
        <v>Unabhängige Händler</v>
      </c>
    </row>
    <row r="29" spans="1:2" ht="13.2">
      <c r="A29" s="2" t="s">
        <v>31</v>
      </c>
      <c r="B29" s="2" t="str">
        <f ca="1">IFERROR(__xludf.DUMMYFUNCTION("IF(ISBLANK(A29),"""",GOOGLETRANSLATE(A29,""en"",""de""))"),"Händlergruppen")</f>
        <v>Händlergruppen</v>
      </c>
    </row>
    <row r="30" spans="1:2" ht="13.2">
      <c r="A30" s="2" t="s">
        <v>32</v>
      </c>
      <c r="B30" s="2" t="str">
        <f ca="1">IFERROR(__xludf.DUMMYFUNCTION("IF(ISBLANK(A30),"""",GOOGLETRANSLATE(A30,""en"",""de""))"),"Finanzen")</f>
        <v>Finanzen</v>
      </c>
    </row>
    <row r="31" spans="1:2" ht="13.2">
      <c r="A31" s="2" t="s">
        <v>20</v>
      </c>
      <c r="B31" s="2" t="str">
        <f ca="1">IFERROR(__xludf.DUMMYFUNCTION("IF(ISBLANK(A31),"""",GOOGLETRANSLATE(A31,""en"",""de""))"),"Transzendieren")</f>
        <v>Transzendieren</v>
      </c>
    </row>
    <row r="32" spans="1:2" ht="13.2">
      <c r="A32" s="2" t="s">
        <v>32</v>
      </c>
      <c r="B32" s="2" t="str">
        <f ca="1">IFERROR(__xludf.DUMMYFUNCTION("IF(ISBLANK(A32),"""",GOOGLETRANSLATE(A32,""en"",""de""))"),"Finanzen")</f>
        <v>Finanzen</v>
      </c>
    </row>
    <row r="33" spans="1:2" ht="13.2">
      <c r="A33" s="2" t="s">
        <v>878</v>
      </c>
      <c r="B33" s="2" t="str">
        <f ca="1">IFERROR(__xludf.DUMMYFUNCTION("IF(ISBLANK(A33),"""",GOOGLETRANSLATE(A33,""en"",""de""))"),"KI-gesteuerte Intelligenz für den gesamten Vertrag")</f>
        <v>KI-gesteuerte Intelligenz für den gesamten Vertrag</v>
      </c>
    </row>
    <row r="34" spans="1:2" ht="13.2">
      <c r="A34" s="2" t="s">
        <v>879</v>
      </c>
      <c r="B34" s="2" t="str">
        <f ca="1">IFERROR(__xludf.DUMMYFUNCTION("IF(ISBLANK(A34),"""",GOOGLETRANSLATE(A34,""en"",""de""))"),"Lebenszyklus – Förderung von Entscheidungen, Onboarding und")</f>
        <v>Lebenszyklus – Förderung von Entscheidungen, Onboarding und</v>
      </c>
    </row>
    <row r="35" spans="1:2" ht="13.2">
      <c r="A35" s="2" t="s">
        <v>37</v>
      </c>
      <c r="B35" s="2" t="str">
        <f ca="1">IFERROR(__xludf.DUMMYFUNCTION("IF(ISBLANK(A35),"""",GOOGLETRANSLATE(A35,""en"",""de""))"),"Aktivitäten in den Bereichen Auto-, Ausrüstungs- und Handelsfinanzierung.")</f>
        <v>Aktivitäten in den Bereichen Auto-, Ausrüstungs- und Handelsfinanzierung.</v>
      </c>
    </row>
    <row r="36" spans="1:2" ht="13.2">
      <c r="A36" s="2" t="s">
        <v>10</v>
      </c>
      <c r="B36" s="2" t="str">
        <f ca="1">IFERROR(__xludf.DUMMYFUNCTION("IF(ISBLANK(A36),"""",GOOGLETRANSLATE(A36,""en"",""de""))"),"Kontaktieren Sie uns")</f>
        <v>Kontaktieren Sie uns</v>
      </c>
    </row>
    <row r="37" spans="1:2" ht="13.2">
      <c r="A37" s="2" t="s">
        <v>38</v>
      </c>
      <c r="B37" s="2" t="str">
        <f ca="1">IFERROR(__xludf.DUMMYFUNCTION("IF(ISBLANK(A37),"""",GOOGLETRANSLATE(A37,""en"",""de""))"),"Intelligentere Kreditvergabe beginnt hier. KI-gestützte Geschwindigkeit,")</f>
        <v>Intelligentere Kreditvergabe beginnt hier. KI-gestützte Geschwindigkeit,</v>
      </c>
    </row>
    <row r="38" spans="1:2" ht="13.2">
      <c r="A38" s="2" t="s">
        <v>39</v>
      </c>
      <c r="B38" s="2" t="str">
        <f ca="1">IFERROR(__xludf.DUMMYFUNCTION("IF(ISBLANK(A38),"""",GOOGLETRANSLATE(A38,""en"",""de""))"),"Flexibilität und Präzision.")</f>
        <v>Flexibilität und Präzision.</v>
      </c>
    </row>
    <row r="39" spans="1:2" ht="13.2">
      <c r="A39" s="2" t="s">
        <v>40</v>
      </c>
      <c r="B39" s="2" t="str">
        <f ca="1">IFERROR(__xludf.DUMMYFUNCTION("IF(ISBLANK(A39),"""",GOOGLETRANSLATE(A39,""en"",""de""))"),"Autofinanzierung")</f>
        <v>Autofinanzierung</v>
      </c>
    </row>
    <row r="40" spans="1:2" ht="13.2">
      <c r="A40" s="2" t="s">
        <v>41</v>
      </c>
      <c r="B40" s="2" t="str">
        <f ca="1">IFERROR(__xludf.DUMMYFUNCTION("IF(ISBLANK(A40),"""",GOOGLETRANSLATE(A40,""en"",""de""))"),"Ausrüstungsfinanzierung")</f>
        <v>Ausrüstungsfinanzierung</v>
      </c>
    </row>
    <row r="41" spans="1:2" ht="13.2">
      <c r="A41" s="2" t="s">
        <v>42</v>
      </c>
      <c r="B41" s="2" t="str">
        <f ca="1">IFERROR(__xludf.DUMMYFUNCTION("IF(ISBLANK(A41),"""",GOOGLETRANSLATE(A41,""en"",""de""))"),"Flottenfinanzierung")</f>
        <v>Flottenfinanzierung</v>
      </c>
    </row>
    <row r="42" spans="1:2" ht="13.2">
      <c r="A42" s="2" t="s">
        <v>16</v>
      </c>
      <c r="B42" s="2" t="str">
        <f ca="1">IFERROR(__xludf.DUMMYFUNCTION("IF(ISBLANK(A42),"""",GOOGLETRANSLATE(A42,""en"",""de""))"),"Gewerbliche Kreditgeber")</f>
        <v>Gewerbliche Kreditgeber</v>
      </c>
    </row>
    <row r="43" spans="1:2" ht="13.2">
      <c r="A43" s="2" t="s">
        <v>43</v>
      </c>
      <c r="B43" s="2" t="str">
        <f ca="1">IFERROR(__xludf.DUMMYFUNCTION("IF(ISBLANK(A43),"""",GOOGLETRANSLATE(A43,""en"",""de""))"),"Spezialisierte Kreditgeber")</f>
        <v>Spezialisierte Kreditgeber</v>
      </c>
    </row>
    <row r="44" spans="1:2" ht="13.2">
      <c r="A44" s="2" t="s">
        <v>44</v>
      </c>
      <c r="B44" s="2" t="str">
        <f ca="1">IFERROR(__xludf.DUMMYFUNCTION("IF(ISBLANK(A44),"""",GOOGLETRANSLATE(A44,""en"",""de""))"),"KI-Labore")</f>
        <v>KI-Labore</v>
      </c>
    </row>
    <row r="45" spans="1:2" ht="13.2">
      <c r="A45" s="2" t="s">
        <v>45</v>
      </c>
      <c r="B45" s="2" t="str">
        <f ca="1">IFERROR(__xludf.DUMMYFUNCTION("IF(ISBLANK(A45),"""",GOOGLETRANSLATE(A45,""en"",""de""))"),"Übertreffen Sie KI")</f>
        <v>Übertreffen Sie KI</v>
      </c>
    </row>
    <row r="46" spans="1:2" ht="13.2">
      <c r="A46" s="2" t="s">
        <v>46</v>
      </c>
      <c r="B46" s="2" t="str">
        <f ca="1">IFERROR(__xludf.DUMMYFUNCTION("IF(ISBLANK(A46),"""",GOOGLETRANSLATE(A46,""en"",""de""))"),"Labore")</f>
        <v>Labore</v>
      </c>
    </row>
    <row r="47" spans="1:2" ht="15">
      <c r="A47" s="4" t="s">
        <v>47</v>
      </c>
      <c r="B47" s="2" t="str">
        <f ca="1">IFERROR(__xludf.DUMMYFUNCTION("IF(ISBLANK(A47),"""",GOOGLETRANSLATE(A47,""en"",""de""))"),"KI-Innovation für Kreditvergabe, Leasing und Einzelhandel. Speziell entwickelte Tools, die")</f>
        <v>KI-Innovation für Kreditvergabe, Leasing und Einzelhandel. Speziell entwickelte Tools, die</v>
      </c>
    </row>
    <row r="48" spans="1:2" ht="13.2">
      <c r="A48" s="2" t="s">
        <v>48</v>
      </c>
      <c r="B48" s="2" t="str">
        <f ca="1">IFERROR(__xludf.DUMMYFUNCTION("IF(ISBLANK(A48),"""",GOOGLETRANSLATE(A48,""en"",""de""))"),"Beschleunigen Sie die Transformation und erzielen Sie echte Auswirkungen auf alle Arbeitsabläufe.")</f>
        <v>Beschleunigen Sie die Transformation und erzielen Sie echte Auswirkungen auf alle Arbeitsabläufe.</v>
      </c>
    </row>
    <row r="49" spans="1:2" ht="13.2">
      <c r="A49" s="2" t="s">
        <v>27</v>
      </c>
      <c r="B49" s="2" t="str">
        <f ca="1">IFERROR(__xludf.DUMMYFUNCTION("IF(ISBLANK(A49),"""",GOOGLETRANSLATE(A49,""en"",""de""))"),"Mehr erfahren")</f>
        <v>Mehr erfahren</v>
      </c>
    </row>
    <row r="50" spans="1:2" ht="13.2">
      <c r="A50" s="2" t="s">
        <v>49</v>
      </c>
      <c r="B50" s="2" t="str">
        <f ca="1">IFERROR(__xludf.DUMMYFUNCTION("IF(ISBLANK(A50),"""",GOOGLETRANSLATE(A50,""en"",""de""))"),"Transformation von BFSI, Finanzen und Leasing")</f>
        <v>Transformation von BFSI, Finanzen und Leasing</v>
      </c>
    </row>
    <row r="51" spans="1:2" ht="13.2">
      <c r="A51" s="2" t="s">
        <v>50</v>
      </c>
      <c r="B51" s="2" t="str">
        <f ca="1">IFERROR(__xludf.DUMMYFUNCTION("IF(ISBLANK(A51),"""",GOOGLETRANSLATE(A51,""en"",""de""))"),"mit intelligenter, branchenspezifischer KI.")</f>
        <v>mit intelligenter, branchenspezifischer KI.</v>
      </c>
    </row>
    <row r="52" spans="1:2" ht="13.2">
      <c r="A52" s="2" t="s">
        <v>51</v>
      </c>
      <c r="B52" s="2" t="str">
        <f ca="1">IFERROR(__xludf.DUMMYFUNCTION("IF(ISBLANK(A52),"""",GOOGLETRANSLATE(A52,""en"",""de""))"),"KI-Anwendungen")</f>
        <v>KI-Anwendungen</v>
      </c>
    </row>
    <row r="53" spans="1:2" ht="13.2">
      <c r="A53" s="2" t="s">
        <v>52</v>
      </c>
      <c r="B53" s="2" t="str">
        <f ca="1">IFERROR(__xludf.DUMMYFUNCTION("IF(ISBLANK(A53),"""",GOOGLETRANSLATE(A53,""en"",""de""))"),"KI-Dienste")</f>
        <v>KI-Dienste</v>
      </c>
    </row>
    <row r="54" spans="1:2" ht="13.2">
      <c r="A54" s="2" t="s">
        <v>53</v>
      </c>
      <c r="B54" s="2" t="str">
        <f ca="1">IFERROR(__xludf.DUMMYFUNCTION("IF(ISBLANK(A54),"""",GOOGLETRANSLATE(A54,""en"",""de""))"),"Laborinnovation")</f>
        <v>Laborinnovation</v>
      </c>
    </row>
    <row r="55" spans="1:2" ht="13.2">
      <c r="A55" s="2" t="s">
        <v>54</v>
      </c>
      <c r="B55" s="2" t="str">
        <f ca="1">IFERROR(__xludf.DUMMYFUNCTION("IF(ISBLANK(A55),"""",GOOGLETRANSLATE(A55,""en"",""de""))"),"Marktplatz")</f>
        <v>Marktplatz</v>
      </c>
    </row>
    <row r="56" spans="1:2" ht="13.2">
      <c r="A56" s="2" t="s">
        <v>20</v>
      </c>
      <c r="B56" s="2" t="str">
        <f ca="1">IFERROR(__xludf.DUMMYFUNCTION("IF(ISBLANK(A56),"""",GOOGLETRANSLATE(A56,""en"",""de""))"),"Transzendieren")</f>
        <v>Transzendieren</v>
      </c>
    </row>
    <row r="57" spans="1:2" ht="13.2">
      <c r="A57" s="2" t="s">
        <v>54</v>
      </c>
      <c r="B57" s="2" t="str">
        <f ca="1">IFERROR(__xludf.DUMMYFUNCTION("IF(ISBLANK(A57),"""",GOOGLETRANSLATE(A57,""en"",""de""))"),"Marktplatz")</f>
        <v>Marktplatz</v>
      </c>
    </row>
    <row r="58" spans="1:2" ht="13.2">
      <c r="A58" s="2" t="s">
        <v>55</v>
      </c>
      <c r="B58" s="2" t="str">
        <f ca="1">IFERROR(__xludf.DUMMYFUNCTION("IF(ISBLANK(A58),"""",GOOGLETRANSLATE(A58,""en"",""de""))"),"Ein einheitlicher Marktplatz mit modularen, API-gesteuerten Lösungen für Kreditvergabe, Leasing und Einzelhandel. Entwickelt, um jeden Arbeitsablauf zu vereinfachen und zu beschleunigen.")</f>
        <v>Ein einheitlicher Marktplatz mit modularen, API-gesteuerten Lösungen für Kreditvergabe, Leasing und Einzelhandel. Entwickelt, um jeden Arbeitsablauf zu vereinfachen und zu beschleunigen.</v>
      </c>
    </row>
    <row r="59" spans="1:2" ht="13.2">
      <c r="A59" s="2" t="s">
        <v>27</v>
      </c>
      <c r="B59" s="2" t="str">
        <f ca="1">IFERROR(__xludf.DUMMYFUNCTION("IF(ISBLANK(A59),"""",GOOGLETRANSLATE(A59,""en"",""de""))"),"Mehr erfahren")</f>
        <v>Mehr erfahren</v>
      </c>
    </row>
    <row r="60" spans="1:2" ht="13.2">
      <c r="A60" s="2" t="s">
        <v>56</v>
      </c>
      <c r="B60" s="2" t="str">
        <f ca="1">IFERROR(__xludf.DUMMYFUNCTION("IF(ISBLANK(A60),"""",GOOGLETRANSLATE(A60,""en"",""de""))"),"Intelligenter. Schneller. Vernetzt.")</f>
        <v>Intelligenter. Schneller. Vernetzt.</v>
      </c>
    </row>
    <row r="61" spans="1:2" ht="13.2">
      <c r="A61" s="2" t="s">
        <v>57</v>
      </c>
      <c r="B61" s="2" t="str">
        <f ca="1">IFERROR(__xludf.DUMMYFUNCTION("IF(ISBLANK(A61),"""",GOOGLETRANSLATE(A61,""en"",""de""))"),"Ihr modularer Marktplatz für Finanzierung und Leasing.")</f>
        <v>Ihr modularer Marktplatz für Finanzierung und Leasing.</v>
      </c>
    </row>
    <row r="62" spans="1:2" ht="13.2">
      <c r="A62" s="2" t="s">
        <v>58</v>
      </c>
      <c r="B62" s="2" t="str">
        <f ca="1">IFERROR(__xludf.DUMMYFUNCTION("IF(ISBLANK(A62),"""",GOOGLETRANSLATE(A62,""en"",""de""))"),"Abonnementbasiert")</f>
        <v>Abonnementbasiert</v>
      </c>
    </row>
    <row r="63" spans="1:2" ht="13.2">
      <c r="A63" s="2" t="s">
        <v>59</v>
      </c>
      <c r="B63" s="2" t="str">
        <f ca="1">IFERROR(__xludf.DUMMYFUNCTION("IF(ISBLANK(A63),"""",GOOGLETRANSLATE(A63,""en"",""de""))"),"API-First")</f>
        <v>API-First</v>
      </c>
    </row>
    <row r="64" spans="1:2" ht="13.2">
      <c r="A64" s="2" t="s">
        <v>60</v>
      </c>
      <c r="B64" s="2" t="str">
        <f ca="1">IFERROR(__xludf.DUMMYFUNCTION("IF(ISBLANK(A64),"""",GOOGLETRANSLATE(A64,""en"",""de""))"),"Komponentenbasiert")</f>
        <v>Komponentenbasiert</v>
      </c>
    </row>
    <row r="65" spans="1:2" ht="13.2">
      <c r="A65" s="2" t="s">
        <v>61</v>
      </c>
      <c r="B65" s="2" t="str">
        <f ca="1">IFERROR(__xludf.DUMMYFUNCTION("IF(ISBLANK(A65),"""",GOOGLETRANSLATE(A65,""en"",""de""))"),"Beratung")</f>
        <v>Beratung</v>
      </c>
    </row>
    <row r="66" spans="1:2" ht="13.2">
      <c r="A66" s="2" t="s">
        <v>20</v>
      </c>
      <c r="B66" s="2" t="str">
        <f ca="1">IFERROR(__xludf.DUMMYFUNCTION("IF(ISBLANK(A66),"""",GOOGLETRANSLATE(A66,""en"",""de""))"),"Transzendieren")</f>
        <v>Transzendieren</v>
      </c>
    </row>
    <row r="67" spans="1:2" ht="13.2">
      <c r="A67" s="2" t="s">
        <v>61</v>
      </c>
      <c r="B67" s="2" t="str">
        <f ca="1">IFERROR(__xludf.DUMMYFUNCTION("IF(ISBLANK(A67),"""",GOOGLETRANSLATE(A67,""en"",""de""))"),"Beratung")</f>
        <v>Beratung</v>
      </c>
    </row>
    <row r="68" spans="1:2" ht="15">
      <c r="A68" s="5" t="s">
        <v>62</v>
      </c>
      <c r="B68" s="2" t="str">
        <f ca="1">IFERROR(__xludf.DUMMYFUNCTION("IF(ISBLANK(A68),"""",GOOGLETRANSLATE(A68,""en"",""de""))"),"Fachwissen in den Bereichen KI, Daten, Cloud und Sicherheit – hilft BFSI und Kreditgebern bei der Modernisierung, sicheren Skalierung und dem Aufbau belastbarer, zukunftsfähiger Abläufe.")</f>
        <v>Fachwissen in den Bereichen KI, Daten, Cloud und Sicherheit – hilft BFSI und Kreditgebern bei der Modernisierung, sicheren Skalierung und dem Aufbau belastbarer, zukunftsfähiger Abläufe.</v>
      </c>
    </row>
    <row r="69" spans="1:2" ht="13.2">
      <c r="A69" s="2" t="s">
        <v>27</v>
      </c>
      <c r="B69" s="2" t="str">
        <f ca="1">IFERROR(__xludf.DUMMYFUNCTION("IF(ISBLANK(A69),"""",GOOGLETRANSLATE(A69,""en"",""de""))"),"Mehr erfahren")</f>
        <v>Mehr erfahren</v>
      </c>
    </row>
    <row r="70" spans="1:2" ht="13.2">
      <c r="A70" s="2" t="s">
        <v>63</v>
      </c>
      <c r="B70" s="2" t="str">
        <f ca="1">IFERROR(__xludf.DUMMYFUNCTION("IF(ISBLANK(A70),"""",GOOGLETRANSLATE(A70,""en"",""de""))"),"Komplexe Herausforderungen in transformative Chancen verwandeln.")</f>
        <v>Komplexe Herausforderungen in transformative Chancen verwandeln.</v>
      </c>
    </row>
    <row r="71" spans="1:2" ht="13.2">
      <c r="A71" s="2" t="s">
        <v>64</v>
      </c>
      <c r="B71" s="2" t="str">
        <f ca="1">IFERROR(__xludf.DUMMYFUNCTION("IF(ISBLANK(A71),"""",GOOGLETRANSLATE(A71,""en"",""de""))"),"Informationssicherheit")</f>
        <v>Informationssicherheit</v>
      </c>
    </row>
    <row r="72" spans="1:2" ht="13.2">
      <c r="A72" s="2" t="s">
        <v>65</v>
      </c>
      <c r="B72" s="2" t="str">
        <f ca="1">IFERROR(__xludf.DUMMYFUNCTION("IF(ISBLANK(A72),"""",GOOGLETRANSLATE(A72,""en"",""de""))"),"Daten- und KI-Dienste")</f>
        <v>Daten- und KI-Dienste</v>
      </c>
    </row>
    <row r="73" spans="1:2" ht="13.2">
      <c r="A73" s="2" t="s">
        <v>66</v>
      </c>
      <c r="B73" s="2" t="str">
        <f ca="1">IFERROR(__xludf.DUMMYFUNCTION("IF(ISBLANK(A73),"""",GOOGLETRANSLATE(A73,""en"",""de""))"),"Cloud-Dienste")</f>
        <v>Cloud-Dienste</v>
      </c>
    </row>
    <row r="74" spans="1:2" ht="13.2">
      <c r="A74" s="2" t="s">
        <v>67</v>
      </c>
      <c r="B74" s="2" t="str">
        <f ca="1">IFERROR(__xludf.DUMMYFUNCTION("IF(ISBLANK(A74),"""",GOOGLETRANSLATE(A74,""en"",""de""))"),"Maßgeschneiderte Entwicklung")</f>
        <v>Maßgeschneiderte Entwicklung</v>
      </c>
    </row>
    <row r="75" spans="1:2" ht="13.2">
      <c r="A75" s="2" t="s">
        <v>84</v>
      </c>
      <c r="B75" s="2" t="str">
        <f ca="1">IFERROR(__xludf.DUMMYFUNCTION("IF(ISBLANK(A75),"""",GOOGLETRANSLATE(A75,""en"",""de""))"),"Über 500 Milliarden US-Dollar")</f>
        <v>Über 500 Milliarden US-Dollar</v>
      </c>
    </row>
    <row r="76" spans="1:2" ht="13.2">
      <c r="A76" s="2" t="s">
        <v>85</v>
      </c>
      <c r="B76" s="2" t="str">
        <f ca="1">IFERROR(__xludf.DUMMYFUNCTION("IF(ISBLANK(A76),"""",GOOGLETRANSLATE(A76,""en"",""de""))"),"Global verwaltetes Vermögen")</f>
        <v>Global verwaltetes Vermögen</v>
      </c>
    </row>
    <row r="77" spans="1:2" ht="13.2">
      <c r="A77" s="2" t="s">
        <v>276</v>
      </c>
      <c r="B77" s="2" t="str">
        <f ca="1">IFERROR(__xludf.DUMMYFUNCTION("IF(ISBLANK(A77),"""",GOOGLETRANSLATE(A77,""en"",""de""))"),"350+")</f>
        <v>350+</v>
      </c>
    </row>
    <row r="78" spans="1:2" ht="13.2">
      <c r="A78" s="2" t="s">
        <v>83</v>
      </c>
      <c r="B78" s="2" t="str">
        <f ca="1">IFERROR(__xludf.DUMMYFUNCTION("IF(ISBLANK(A78),"""",GOOGLETRANSLATE(A78,""en"",""de""))"),"Erfolgreiche Implementierungen")</f>
        <v>Erfolgreiche Implementierungen</v>
      </c>
    </row>
    <row r="79" spans="1:2" ht="13.2">
      <c r="A79" s="2" t="s">
        <v>80</v>
      </c>
      <c r="B79" s="2" t="str">
        <f ca="1">IFERROR(__xludf.DUMMYFUNCTION("IF(ISBLANK(A79),"""",GOOGLETRANSLATE(A79,""en"",""de""))"),"200+")</f>
        <v>200+</v>
      </c>
    </row>
    <row r="80" spans="1:2" ht="13.2">
      <c r="A80" s="2" t="s">
        <v>81</v>
      </c>
      <c r="B80" s="2" t="str">
        <f ca="1">IFERROR(__xludf.DUMMYFUNCTION("IF(ISBLANK(A80),"""",GOOGLETRANSLATE(A80,""en"",""de""))"),"Kunden weltweit")</f>
        <v>Kunden weltweit</v>
      </c>
    </row>
    <row r="81" spans="1:2" ht="13.2">
      <c r="A81" s="2" t="s">
        <v>277</v>
      </c>
      <c r="B81" s="2" t="str">
        <f ca="1">IFERROR(__xludf.DUMMYFUNCTION("IF(ISBLANK(A81),"""",GOOGLETRANSLATE(A81,""en"",""de""))"),"30+")</f>
        <v>30+</v>
      </c>
    </row>
    <row r="82" spans="1:2" ht="13.2">
      <c r="A82" s="2" t="s">
        <v>278</v>
      </c>
      <c r="B82" s="2" t="str">
        <f ca="1">IFERROR(__xludf.DUMMYFUNCTION("IF(ISBLANK(A82),"""",GOOGLETRANSLATE(A82,""en"",""de""))"),"Bediente Länder")</f>
        <v>Bediente Länder</v>
      </c>
    </row>
    <row r="83" spans="1:2" ht="13.2">
      <c r="A83" s="2" t="s">
        <v>279</v>
      </c>
      <c r="B83" s="2" t="str">
        <f ca="1">IFERROR(__xludf.DUMMYFUNCTION("IF(ISBLANK(A83),"""",GOOGLETRANSLATE(A83,""en"",""de""))"),"End-to-End-Kontrolle und integrierte Intelligenz")</f>
        <v>End-to-End-Kontrolle und integrierte Intelligenz</v>
      </c>
    </row>
    <row r="84" spans="1:2" ht="13.2">
      <c r="A84" s="2" t="s">
        <v>880</v>
      </c>
      <c r="B84" s="2" t="str">
        <f ca="1">IFERROR(__xludf.DUMMYFUNCTION("IF(ISBLANK(A84),"""",GOOGLETRANSLATE(A84,""en"",""de""))"),"Eine Plattform. Alle Beteiligten.")</f>
        <v>Eine Plattform. Alle Beteiligten.</v>
      </c>
    </row>
    <row r="85" spans="1:2" ht="13.2">
      <c r="A85" s="2" t="s">
        <v>881</v>
      </c>
      <c r="B85" s="2" t="str">
        <f ca="1">IFERROR(__xludf.DUMMYFUNCTION("IF(ISBLANK(A85),"""",GOOGLETRANSLATE(A85,""en"",""de""))"),"Verbinden Sie Kreditgeber, Makler, Außendienstmitarbeiter und Kunden in einem einzigen Ökosystem, das die Zusammenarbeit und Transparenz über den gesamten Finanz- und Leasinglebenszyklus hinweg fördert.")</f>
        <v>Verbinden Sie Kreditgeber, Makler, Außendienstmitarbeiter und Kunden in einem einzigen Ökosystem, das die Zusammenarbeit und Transparenz über den gesamten Finanz- und Leasinglebenszyklus hinweg fördert.</v>
      </c>
    </row>
    <row r="86" spans="1:2" ht="13.2">
      <c r="A86" s="2" t="s">
        <v>882</v>
      </c>
      <c r="B86" s="2" t="str">
        <f ca="1">IFERROR(__xludf.DUMMYFUNCTION("IF(ISBLANK(A86),"""",GOOGLETRANSLATE(A86,""en"",""de""))"),"Omnichannel-Reisen")</f>
        <v>Omnichannel-Reisen</v>
      </c>
    </row>
    <row r="87" spans="1:2" ht="13.2">
      <c r="A87" s="2" t="s">
        <v>883</v>
      </c>
      <c r="B87" s="2" t="str">
        <f ca="1">IFERROR(__xludf.DUMMYFUNCTION("IF(ISBLANK(A87),"""",GOOGLETRANSLATE(A87,""en"",""de""))"),"Mobile Tools für Außendienstteams")</f>
        <v>Mobile Tools für Außendienstteams</v>
      </c>
    </row>
    <row r="88" spans="1:2" ht="13.2">
      <c r="A88" s="2" t="s">
        <v>884</v>
      </c>
      <c r="B88" s="2" t="str">
        <f ca="1">IFERROR(__xludf.DUMMYFUNCTION("IF(ISBLANK(A88),"""",GOOGLETRANSLATE(A88,""en"",""de""))"),"Workflow-Synchronisierung in Echtzeit")</f>
        <v>Workflow-Synchronisierung in Echtzeit</v>
      </c>
    </row>
    <row r="89" spans="1:2" ht="13.2">
      <c r="A89" s="2" t="s">
        <v>885</v>
      </c>
      <c r="B89" s="2" t="str">
        <f ca="1">IFERROR(__xludf.DUMMYFUNCTION("IF(ISBLANK(A89),"""",GOOGLETRANSLATE(A89,""en"",""de""))"),"Self-Service-Portale")</f>
        <v>Self-Service-Portale</v>
      </c>
    </row>
    <row r="90" spans="1:2" ht="13.2">
      <c r="A90" s="2" t="s">
        <v>886</v>
      </c>
      <c r="B90" s="2" t="str">
        <f ca="1">IFERROR(__xludf.DUMMYFUNCTION("IF(ISBLANK(A90),"""",GOOGLETRANSLATE(A90,""en"",""de""))"),"KI-gestützt. API-verbunden. Cloud-nativ.")</f>
        <v>KI-gestützt. API-verbunden. Cloud-nativ.</v>
      </c>
    </row>
    <row r="91" spans="1:2" ht="13.2">
      <c r="A91" s="2" t="s">
        <v>887</v>
      </c>
      <c r="B91" s="2" t="str">
        <f ca="1">IFERROR(__xludf.DUMMYFUNCTION("IF(ISBLANK(A91),"""",GOOGLETRANSLATE(A91,""en"",""de""))"),"Transcend ist auf Skalierbarkeit und Geschwindigkeit ausgelegt und verfügt über eine Architektur, die sich an Ihr Unternehmen anpasst und in Ihre Systeme integriert.")</f>
        <v>Transcend ist auf Skalierbarkeit und Geschwindigkeit ausgelegt und verfügt über eine Architektur, die sich an Ihr Unternehmen anpasst und in Ihre Systeme integriert.</v>
      </c>
    </row>
    <row r="92" spans="1:2" ht="13.2">
      <c r="A92" s="2" t="s">
        <v>888</v>
      </c>
      <c r="B92" s="2" t="str">
        <f ca="1">IFERROR(__xludf.DUMMYFUNCTION("IF(ISBLANK(A92),"""",GOOGLETRANSLATE(A92,""en"",""de""))"),"KI-basierte Entscheidungsfindung")</f>
        <v>KI-basierte Entscheidungsfindung</v>
      </c>
    </row>
    <row r="93" spans="1:2" ht="13.2">
      <c r="A93" s="2" t="s">
        <v>889</v>
      </c>
      <c r="B93" s="2" t="str">
        <f ca="1">IFERROR(__xludf.DUMMYFUNCTION("IF(ISBLANK(A93),"""",GOOGLETRANSLATE(A93,""en"",""de""))"),"Microservices-basierte Architektur")</f>
        <v>Microservices-basierte Architektur</v>
      </c>
    </row>
    <row r="94" spans="1:2" ht="13.2">
      <c r="A94" s="2" t="s">
        <v>889</v>
      </c>
      <c r="B94" s="2" t="str">
        <f ca="1">IFERROR(__xludf.DUMMYFUNCTION("IF(ISBLANK(A94),"""",GOOGLETRANSLATE(A94,""en"",""de""))"),"Microservices-basierte Architektur")</f>
        <v>Microservices-basierte Architektur</v>
      </c>
    </row>
    <row r="95" spans="1:2" ht="13.2">
      <c r="A95" s="2" t="s">
        <v>890</v>
      </c>
      <c r="B95" s="2" t="str">
        <f ca="1">IFERROR(__xludf.DUMMYFUNCTION("IF(ISBLANK(A95),"""",GOOGLETRANSLATE(A95,""en"",""de""))"),"Anleitung bei jedem Schritt.")</f>
        <v>Anleitung bei jedem Schritt.</v>
      </c>
    </row>
    <row r="96" spans="1:2" ht="13.2">
      <c r="A96" s="2" t="s">
        <v>891</v>
      </c>
      <c r="B96" s="2" t="str">
        <f ca="1">IFERROR(__xludf.DUMMYFUNCTION("IF(ISBLANK(A96),"""",GOOGLETRANSLATE(A96,""en"",""de""))"),"Von der Bereitstellung bis zur Optimierung helfen Ihnen unsere Spezialisten, das Beste aus Transcend herauszuholen – mit schnelleren Rollouts und einem höheren ROI.")</f>
        <v>Von der Bereitstellung bis zur Optimierung helfen Ihnen unsere Spezialisten, das Beste aus Transcend herauszuholen – mit schnelleren Rollouts und einem höheren ROI.</v>
      </c>
    </row>
    <row r="97" spans="1:2" ht="13.2">
      <c r="A97" s="2" t="s">
        <v>892</v>
      </c>
      <c r="B97" s="2" t="str">
        <f ca="1">IFERROR(__xludf.DUMMYFUNCTION("IF(ISBLANK(A97),"""",GOOGLETRANSLATE(A97,""en"",""de""))"),"Geführte Bereitstellung")</f>
        <v>Geführte Bereitstellung</v>
      </c>
    </row>
    <row r="98" spans="1:2" ht="13.2">
      <c r="A98" s="2" t="s">
        <v>893</v>
      </c>
      <c r="B98" s="2" t="str">
        <f ca="1">IFERROR(__xludf.DUMMYFUNCTION("IF(ISBLANK(A98),"""",GOOGLETRANSLATE(A98,""en"",""de""))"),"Schulung und Befähigung")</f>
        <v>Schulung und Befähigung</v>
      </c>
    </row>
    <row r="99" spans="1:2" ht="13.2">
      <c r="A99" s="2" t="s">
        <v>894</v>
      </c>
      <c r="B99" s="2" t="str">
        <f ca="1">IFERROR(__xludf.DUMMYFUNCTION("IF(ISBLANK(A99),"""",GOOGLETRANSLATE(A99,""en"",""de""))"),"Laufende Unterstützung")</f>
        <v>Laufende Unterstützung</v>
      </c>
    </row>
    <row r="100" spans="1:2" ht="13.2">
      <c r="A100" s="2" t="s">
        <v>895</v>
      </c>
      <c r="B100" s="2" t="str">
        <f ca="1">IFERROR(__xludf.DUMMYFUNCTION("IF(ISBLANK(A100),"""",GOOGLETRANSLATE(A100,""en"",""de""))"),"Sicher durch Design")</f>
        <v>Sicher durch Design</v>
      </c>
    </row>
    <row r="101" spans="1:2" ht="13.2">
      <c r="A101" s="2" t="s">
        <v>896</v>
      </c>
      <c r="B101" s="2" t="str">
        <f ca="1">IFERROR(__xludf.DUMMYFUNCTION("IF(ISBLANK(A101),"""",GOOGLETRANSLATE(A101,""en"",""de""))"),"Transcend bietet Sicherheits- und Compliance-Funktionen auf Unternehmensniveau und stellt so sicher, dass vertrauliche Daten geschützt bleiben und Ihr Unternehmen für Audits bereit bleibt.")</f>
        <v>Transcend bietet Sicherheits- und Compliance-Funktionen auf Unternehmensniveau und stellt so sicher, dass vertrauliche Daten geschützt bleiben und Ihr Unternehmen für Audits bereit bleibt.</v>
      </c>
    </row>
    <row r="102" spans="1:2" ht="13.2">
      <c r="A102" s="2" t="s">
        <v>897</v>
      </c>
      <c r="B102" s="2" t="str">
        <f ca="1">IFERROR(__xludf.DUMMYFUNCTION("IF(ISBLANK(A102),"""",GOOGLETRANSLATE(A102,""en"",""de""))"),"ISO 27001 zertifiziert")</f>
        <v>ISO 27001 zertifiziert</v>
      </c>
    </row>
    <row r="103" spans="1:2" ht="13.2">
      <c r="A103" s="2" t="s">
        <v>898</v>
      </c>
      <c r="B103" s="2" t="str">
        <f ca="1">IFERROR(__xludf.DUMMYFUNCTION("IF(ISBLANK(A103),"""",GOOGLETRANSLATE(A103,""en"",""de""))"),"Datenverschlüsselung und -verwaltung")</f>
        <v>Datenverschlüsselung und -verwaltung</v>
      </c>
    </row>
    <row r="104" spans="1:2" ht="13.2">
      <c r="A104" s="2" t="s">
        <v>899</v>
      </c>
      <c r="B104" s="2" t="str">
        <f ca="1">IFERROR(__xludf.DUMMYFUNCTION("IF(ISBLANK(A104),"""",GOOGLETRANSLATE(A104,""en"",""de""))"),"Verwaltetes SOC")</f>
        <v>Verwaltetes SOC</v>
      </c>
    </row>
    <row r="105" spans="1:2" ht="13.2">
      <c r="A105" s="2" t="s">
        <v>900</v>
      </c>
      <c r="B105" s="2" t="str">
        <f ca="1">IFERROR(__xludf.DUMMYFUNCTION("IF(ISBLANK(A105),"""",GOOGLETRANSLATE(A105,""en"",""de""))"),"Konfigurieren. Starten. Skalieren.")</f>
        <v>Konfigurieren. Starten. Skalieren.</v>
      </c>
    </row>
    <row r="106" spans="1:2" ht="13.2">
      <c r="A106" s="2" t="s">
        <v>901</v>
      </c>
      <c r="B106" s="2" t="str">
        <f ca="1">IFERROR(__xludf.DUMMYFUNCTION("IF(ISBLANK(A106),"""",GOOGLETRANSLATE(A106,""en"",""de""))"),"Keine IT-Engpässe. Geben Sie Ihren Geschäftsteams die Möglichkeit, Arbeitsabläufe zu entwerfen, Schnittstellen zu erstellen und Änderungen schnell umzusetzen.")</f>
        <v>Keine IT-Engpässe. Geben Sie Ihren Geschäftsteams die Möglichkeit, Arbeitsabläufe zu entwerfen, Schnittstellen zu erstellen und Änderungen schnell umzusetzen.</v>
      </c>
    </row>
    <row r="107" spans="1:2" ht="13.2">
      <c r="A107" s="2" t="s">
        <v>902</v>
      </c>
      <c r="B107" s="2" t="str">
        <f ca="1">IFERROR(__xludf.DUMMYFUNCTION("IF(ISBLANK(A107),"""",GOOGLETRANSLATE(A107,""en"",""de""))"),"Low-Code/No-Code-Tools")</f>
        <v>Low-Code/No-Code-Tools</v>
      </c>
    </row>
    <row r="108" spans="1:2" ht="13.2">
      <c r="A108" s="2" t="s">
        <v>903</v>
      </c>
      <c r="B108" s="2" t="str">
        <f ca="1">IFERROR(__xludf.DUMMYFUNCTION("IF(ISBLANK(A108),"""",GOOGLETRANSLATE(A108,""en"",""de""))"),"Über 1.000 vorgefertigte APIs")</f>
        <v>Über 1.000 vorgefertigte APIs</v>
      </c>
    </row>
    <row r="109" spans="1:2" ht="13.2">
      <c r="A109" s="2" t="s">
        <v>904</v>
      </c>
      <c r="B109" s="2" t="str">
        <f ca="1">IFERROR(__xludf.DUMMYFUNCTION("IF(ISBLANK(A109),"""",GOOGLETRANSLATE(A109,""en"",""de""))"),"Schnellere Markteinführung")</f>
        <v>Schnellere Markteinführung</v>
      </c>
    </row>
    <row r="110" spans="1:2" ht="13.2">
      <c r="A110" s="2" t="s">
        <v>905</v>
      </c>
      <c r="B110" s="2" t="str">
        <f ca="1">IFERROR(__xludf.DUMMYFUNCTION("IF(ISBLANK(A110),"""",GOOGLETRANSLATE(A110,""en"",""de""))"),"Regelmäßige Produktaktualisierungen")</f>
        <v>Regelmäßige Produktaktualisierungen</v>
      </c>
    </row>
    <row r="111" spans="1:2" ht="13.2">
      <c r="A111" s="2" t="s">
        <v>906</v>
      </c>
      <c r="B111" s="2" t="str">
        <f ca="1">IFERROR(__xludf.DUMMYFUNCTION("IF(ISBLANK(A111),"""",GOOGLETRANSLATE(A111,""en"",""de""))"),"99,99 % Betriebszeit")</f>
        <v>99,99 % Betriebszeit</v>
      </c>
    </row>
    <row r="112" spans="1:2" ht="13.2">
      <c r="A112" s="2" t="s">
        <v>907</v>
      </c>
      <c r="B112" s="2" t="str">
        <f ca="1">IFERROR(__xludf.DUMMYFUNCTION("IF(ISBLANK(A112),"""",GOOGLETRANSLATE(A112,""en"",""de""))"),"Produkt- und Marktflexibilität")</f>
        <v>Produkt- und Marktflexibilität</v>
      </c>
    </row>
    <row r="113" spans="1:2" ht="13.2">
      <c r="A113" s="2" t="s">
        <v>908</v>
      </c>
      <c r="B113" s="2" t="str">
        <f ca="1">IFERROR(__xludf.DUMMYFUNCTION("IF(ISBLANK(A113),"""",GOOGLETRANSLATE(A113,""en"",""de""))"),"Transcend unterstützt komplexe Finanzprodukte und passt sich den regulatorischen Anforderungen aller Branchen und Regionen an.")</f>
        <v>Transcend unterstützt komplexe Finanzprodukte und passt sich den regulatorischen Anforderungen aller Branchen und Regionen an.</v>
      </c>
    </row>
    <row r="114" spans="1:2" ht="13.2">
      <c r="A114" s="2" t="s">
        <v>909</v>
      </c>
      <c r="B114" s="2" t="str">
        <f ca="1">IFERROR(__xludf.DUMMYFUNCTION("IF(ISBLANK(A114),"""",GOOGLETRANSLATE(A114,""en"",""de""))"),"Automobil, Ausrüstung, Flotte und mehr")</f>
        <v>Automobil, Ausrüstung, Flotte und mehr</v>
      </c>
    </row>
    <row r="115" spans="1:2" ht="13.2">
      <c r="A115" s="2" t="s">
        <v>910</v>
      </c>
      <c r="B115" s="2" t="str">
        <f ca="1">IFERROR(__xludf.DUMMYFUNCTION("IF(ISBLANK(A115),"""",GOOGLETRANSLATE(A115,""en"",""de""))"),"Mehrere Länder, Währungen, Sprachen")</f>
        <v>Mehrere Länder, Währungen, Sprachen</v>
      </c>
    </row>
    <row r="116" spans="1:2" ht="13.2">
      <c r="A116" s="2" t="s">
        <v>911</v>
      </c>
      <c r="B116" s="2" t="str">
        <f ca="1">IFERROR(__xludf.DUMMYFUNCTION("IF(ISBLANK(A116),"""",GOOGLETRANSLATE(A116,""en"",""de""))"),"Lokale Compliance in über 30 Märkten")</f>
        <v>Lokale Compliance in über 30 Märkten</v>
      </c>
    </row>
    <row r="117" spans="1:2" ht="13.2">
      <c r="A117" s="2" t="s">
        <v>912</v>
      </c>
      <c r="B117" s="2" t="str">
        <f ca="1">IFERROR(__xludf.DUMMYFUNCTION("IF(ISBLANK(A117),"""",GOOGLETRANSLATE(A117,""en"",""de""))"),"MINI kooperiert mit NETSOL, um eine neue Ära des Autohandelserlebnisses einzuläuten")</f>
        <v>MINI kooperiert mit NETSOL, um eine neue Ära des Autohandelserlebnisses einzuläuten</v>
      </c>
    </row>
    <row r="118" spans="1:2" ht="13.2">
      <c r="A118" s="2" t="s">
        <v>913</v>
      </c>
      <c r="B118" s="2" t="str">
        <f ca="1">IFERROR(__xludf.DUMMYFUNCTION("IF(ISBLANK(A118),"""",GOOGLETRANSLATE(A118,""en"",""de""))"),"„Bei MINI haben wir beschlossen, dass es an der Zeit ist, für den Verbraucher ein durchgängiges Einkaufs- und Finanzierungserlebnis zu schaffen. Dabei war es wichtig, mehr als nur einen Lead-Generator zu schaffen, um jedem MINI-Kunden jederzeit und überal"&amp;"l die komplette Transaktion zu ermöglichen. Unsere Partnerschaft mit NETSOL hat es uns nicht nur ermöglicht, zu den Branchenführern aufzuschließen, sondern auch neue Maßstäbe im digitalen Autohandel zu setzen, die die üblichen Verdächtigen der Branche nic"&amp;"ht bieten konnten.“")</f>
        <v>„Bei MINI haben wir beschlossen, dass es an der Zeit ist, für den Verbraucher ein durchgängiges Einkaufs- und Finanzierungserlebnis zu schaffen. Dabei war es wichtig, mehr als nur einen Lead-Generator zu schaffen, um jedem MINI-Kunden jederzeit und überall die komplette Transaktion zu ermöglichen. Unsere Partnerschaft mit NETSOL hat es uns nicht nur ermöglicht, zu den Branchenführern aufzuschließen, sondern auch neue Maßstäbe im digitalen Autohandel zu setzen, die die üblichen Verdächtigen der Branche nicht bieten konnten.“</v>
      </c>
    </row>
    <row r="119" spans="1:2" ht="13.2">
      <c r="A119" s="2" t="s">
        <v>384</v>
      </c>
      <c r="B119" s="2" t="str">
        <f ca="1">IFERROR(__xludf.DUMMYFUNCTION("IF(ISBLANK(A119),"""",GOOGLETRANSLATE(A119,""en"",""de""))"),"Bereit, sich zu übertreffen?")</f>
        <v>Bereit, sich zu übertreffen?</v>
      </c>
    </row>
    <row r="120" spans="1:2" ht="13.2">
      <c r="A120" s="2" t="s">
        <v>336</v>
      </c>
      <c r="B120" s="2" t="str">
        <f ca="1">IFERROR(__xludf.DUMMYFUNCTION("IF(ISBLANK(A120),"""",GOOGLETRANSLATE(A120,""en"",""de""))"),"Entdecken Sie unsere komplette Plattform oder unsere Einzellösungen, um Ihr Unternehmen zukunftssicher zu machen und sich in der sich ständig weiterentwickelnden Landschaft von heute einen deutlichen Wettbewerbsvorteil zu verschaffen.")</f>
        <v>Entdecken Sie unsere komplette Plattform oder unsere Einzellösungen, um Ihr Unternehmen zukunftssicher zu machen und sich in der sich ständig weiterentwickelnden Landschaft von heute einen deutlichen Wettbewerbsvorteil zu verschaffen.</v>
      </c>
    </row>
    <row r="121" spans="1:2" ht="13.2">
      <c r="A121" s="2" t="s">
        <v>745</v>
      </c>
      <c r="B121" s="2" t="str">
        <f ca="1">IFERROR(__xludf.DUMMYFUNCTION("IF(ISBLANK(A121),"""",GOOGLETRANSLATE(A121,""en"",""de""))"),"Verbinden Sie sich mit uns")</f>
        <v>Verbinden Sie sich mit uns</v>
      </c>
    </row>
    <row r="122" spans="1:2" ht="13.2">
      <c r="A122" s="2" t="s">
        <v>100</v>
      </c>
      <c r="B122" s="2" t="str">
        <f ca="1">IFERROR(__xludf.DUMMYFUNCTION("IF(ISBLANK(A122),"""",GOOGLETRANSLATE(A122,""en"",""de""))"),"Empfohlene Lektüre und Einblicke")</f>
        <v>Empfohlene Lektüre und Einblicke</v>
      </c>
    </row>
    <row r="123" spans="1:2" ht="13.2">
      <c r="A123" s="10" t="s">
        <v>101</v>
      </c>
      <c r="B123" s="2" t="str">
        <f ca="1">IFERROR(__xludf.DUMMYFUNCTION("IF(ISBLANK(A123),"""",GOOGLETRANSLATE(A123,""en"",""de""))"),"Bleiben Sie mit den neuesten Informationen von NETSOL auf dem Laufenden. Vordenkertum, Produktaktualisierungen, Branchenperspektiven und Unternehmensnachrichten – alles an einem Ort.")</f>
        <v>Bleiben Sie mit den neuesten Informationen von NETSOL auf dem Laufenden. Vordenkertum, Produktaktualisierungen, Branchenperspektiven und Unternehmensnachrichten – alles an einem Ort.</v>
      </c>
    </row>
    <row r="124" spans="1:2" ht="13.2">
      <c r="A124" s="2" t="s">
        <v>102</v>
      </c>
      <c r="B124" s="2" t="str">
        <f ca="1">IFERROR(__xludf.DUMMYFUNCTION("IF(ISBLANK(A124),"""",GOOGLETRANSLATE(A124,""en"",""de""))"),"Der Blog")</f>
        <v>Der Blog</v>
      </c>
    </row>
    <row r="125" spans="1:2" ht="13.2">
      <c r="A125" s="2" t="s">
        <v>103</v>
      </c>
      <c r="B125" s="2" t="str">
        <f ca="1">IFERROR(__xludf.DUMMYFUNCTION("IF(ISBLANK(A125),"""",GOOGLETRANSLATE(A125,""en"",""de""))"),"Über das DMS hinaus: Warum die Zukunft des Automobilhandels API-first ist")</f>
        <v>Über das DMS hinaus: Warum die Zukunft des Automobilhandels API-first ist</v>
      </c>
    </row>
    <row r="126" spans="1:2" ht="13.2">
      <c r="A126" s="2" t="s">
        <v>27</v>
      </c>
      <c r="B126" s="2" t="str">
        <f ca="1">IFERROR(__xludf.DUMMYFUNCTION("IF(ISBLANK(A126),"""",GOOGLETRANSLATE(A126,""en"",""de""))"),"Mehr erfahren")</f>
        <v>Mehr erfahren</v>
      </c>
    </row>
    <row r="127" spans="1:2" ht="13.2">
      <c r="A127" s="2" t="s">
        <v>102</v>
      </c>
      <c r="B127" s="2" t="str">
        <f ca="1">IFERROR(__xludf.DUMMYFUNCTION("IF(ISBLANK(A127),"""",GOOGLETRANSLATE(A127,""en"",""de""))"),"Der Blog")</f>
        <v>Der Blog</v>
      </c>
    </row>
    <row r="128" spans="1:2" ht="13.2">
      <c r="A128" s="2" t="s">
        <v>104</v>
      </c>
      <c r="B128" s="2" t="str">
        <f ca="1">IFERROR(__xludf.DUMMYFUNCTION("IF(ISBLANK(A128),"""",GOOGLETRANSLATE(A128,""en"",""de""))"),"NETSOL ist auf der GlobalData Automotive Europe Conference and Awards 2025")</f>
        <v>NETSOL ist auf der GlobalData Automotive Europe Conference and Awards 2025</v>
      </c>
    </row>
    <row r="129" spans="1:2" ht="13.2">
      <c r="A129" s="2" t="s">
        <v>27</v>
      </c>
      <c r="B129" s="2" t="str">
        <f ca="1">IFERROR(__xludf.DUMMYFUNCTION("IF(ISBLANK(A129),"""",GOOGLETRANSLATE(A129,""en"",""de""))"),"Mehr erfahren")</f>
        <v>Mehr erfahren</v>
      </c>
    </row>
    <row r="130" spans="1:2" ht="13.2">
      <c r="A130" s="2" t="s">
        <v>102</v>
      </c>
      <c r="B130" s="2" t="str">
        <f ca="1">IFERROR(__xludf.DUMMYFUNCTION("IF(ISBLANK(A130),"""",GOOGLETRANSLATE(A130,""en"",""de""))"),"Der Blog")</f>
        <v>Der Blog</v>
      </c>
    </row>
    <row r="131" spans="1:2" ht="13.2">
      <c r="A131" s="2" t="s">
        <v>105</v>
      </c>
      <c r="B131" s="2" t="str">
        <f ca="1">IFERROR(__xludf.DUMMYFUNCTION("IF(ISBLANK(A131),"""",GOOGLETRANSLATE(A131,""en"",""de""))"),"NETSOL ist auf dem 25. jährlichen Auto Finance Summit: Die Zukunft der Autofinanzierung vorantreiben")</f>
        <v>NETSOL ist auf dem 25. jährlichen Auto Finance Summit: Die Zukunft der Autofinanzierung vorantreiben</v>
      </c>
    </row>
    <row r="132" spans="1:2" ht="13.2">
      <c r="A132" s="2" t="s">
        <v>27</v>
      </c>
      <c r="B132" s="2" t="str">
        <f ca="1">IFERROR(__xludf.DUMMYFUNCTION("IF(ISBLANK(A132),"""",GOOGLETRANSLATE(A132,""en"",""de""))"),"Mehr erfahren")</f>
        <v>Mehr erfahren</v>
      </c>
    </row>
    <row r="133" spans="1:2" ht="13.2">
      <c r="A133" s="2" t="s">
        <v>102</v>
      </c>
      <c r="B133" s="2" t="str">
        <f ca="1">IFERROR(__xludf.DUMMYFUNCTION("IF(ISBLANK(A133),"""",GOOGLETRANSLATE(A133,""en"",""de""))"),"Der Blog")</f>
        <v>Der Blog</v>
      </c>
    </row>
    <row r="134" spans="1:2" ht="13.2">
      <c r="A134" s="2" t="s">
        <v>106</v>
      </c>
      <c r="B134" s="2" t="str">
        <f ca="1">IFERROR(__xludf.DUMMYFUNCTION("IF(ISBLANK(A134),"""",GOOGLETRANSLATE(A134,""en"",""de""))"),"NETSOL ist beim Digital Dealer 2025 dabei: Wir stärken die Zukunft des Automobilhandels")</f>
        <v>NETSOL ist beim Digital Dealer 2025 dabei: Wir stärken die Zukunft des Automobilhandels</v>
      </c>
    </row>
    <row r="135" spans="1:2" ht="13.2">
      <c r="A135" s="2" t="s">
        <v>27</v>
      </c>
      <c r="B135" s="2" t="str">
        <f ca="1">IFERROR(__xludf.DUMMYFUNCTION("IF(ISBLANK(A135),"""",GOOGLETRANSLATE(A135,""en"",""de""))"),"Mehr erfahren")</f>
        <v>Mehr erfahren</v>
      </c>
    </row>
    <row r="136" spans="1:2" ht="13.2">
      <c r="A136" s="2" t="s">
        <v>102</v>
      </c>
      <c r="B136" s="2" t="str">
        <f ca="1">IFERROR(__xludf.DUMMYFUNCTION("IF(ISBLANK(A136),"""",GOOGLETRANSLATE(A136,""en"",""de""))"),"Der Blog")</f>
        <v>Der Blog</v>
      </c>
    </row>
    <row r="137" spans="1:2" ht="13.2">
      <c r="A137" s="6" t="s">
        <v>107</v>
      </c>
      <c r="B137" s="2" t="str">
        <f ca="1">IFERROR(__xludf.DUMMYFUNCTION("IF(ISBLANK(A137),"""",GOOGLETRANSLATE(A137,""en"",""de""))"),"KI im BFSI: Revolutionierung des Risikomanagements")</f>
        <v>KI im BFSI: Revolutionierung des Risikomanagements</v>
      </c>
    </row>
    <row r="138" spans="1:2" ht="13.2">
      <c r="A138" s="2" t="s">
        <v>27</v>
      </c>
      <c r="B138" s="2" t="str">
        <f ca="1">IFERROR(__xludf.DUMMYFUNCTION("IF(ISBLANK(A138),"""",GOOGLETRANSLATE(A138,""en"",""de""))"),"Mehr erfahren")</f>
        <v>Mehr erfahren</v>
      </c>
    </row>
    <row r="139" spans="1:2" ht="13.2">
      <c r="A139" s="2" t="s">
        <v>102</v>
      </c>
      <c r="B139" s="2" t="str">
        <f ca="1">IFERROR(__xludf.DUMMYFUNCTION("IF(ISBLANK(A139),"""",GOOGLETRANSLATE(A139,""en"",""de""))"),"Der Blog")</f>
        <v>Der Blog</v>
      </c>
    </row>
    <row r="140" spans="1:2" ht="13.2">
      <c r="A140" s="2" t="s">
        <v>108</v>
      </c>
      <c r="B140" s="2" t="str">
        <f ca="1">IFERROR(__xludf.DUMMYFUNCTION("IF(ISBLANK(A140),"""",GOOGLETRANSLATE(A140,""en"",""de""))"),"Die Bedeutung der Personalisierung im Kundenservice: Maßgeschneidertes Zahlungs- und Streitbeilegungsmanagement für Kunden")</f>
        <v>Die Bedeutung der Personalisierung im Kundenservice: Maßgeschneidertes Zahlungs- und Streitbeilegungsmanagement für Kunden</v>
      </c>
    </row>
    <row r="141" spans="1:2" ht="13.2">
      <c r="A141" s="2" t="s">
        <v>27</v>
      </c>
      <c r="B141" s="2" t="str">
        <f ca="1">IFERROR(__xludf.DUMMYFUNCTION("IF(ISBLANK(A141),"""",GOOGLETRANSLATE(A141,""en"",""de""))"),"Mehr erfahren")</f>
        <v>Mehr erfahren</v>
      </c>
    </row>
    <row r="142" spans="1:2" ht="13.2">
      <c r="A142" s="2" t="s">
        <v>102</v>
      </c>
      <c r="B142" s="2" t="str">
        <f ca="1">IFERROR(__xludf.DUMMYFUNCTION("IF(ISBLANK(A142),"""",GOOGLETRANSLATE(A142,""en"",""de""))"),"Der Blog")</f>
        <v>Der Blog</v>
      </c>
    </row>
    <row r="143" spans="1:2" ht="13.2">
      <c r="A143" s="2" t="s">
        <v>109</v>
      </c>
      <c r="B143" s="2" t="str">
        <f ca="1">IFERROR(__xludf.DUMMYFUNCTION("IF(ISBLANK(A143),"""",GOOGLETRANSLATE(A143,""en"",""de""))"),"Die wahren Kosten getrennter Systeme im Autohandel")</f>
        <v>Die wahren Kosten getrennter Systeme im Autohandel</v>
      </c>
    </row>
    <row r="144" spans="1:2" ht="13.2">
      <c r="A144" s="2" t="s">
        <v>27</v>
      </c>
      <c r="B144" s="2" t="str">
        <f ca="1">IFERROR(__xludf.DUMMYFUNCTION("IF(ISBLANK(A144),"""",GOOGLETRANSLATE(A144,""en"",""de""))"),"Mehr erfahren")</f>
        <v>Mehr erfahren</v>
      </c>
    </row>
    <row r="145" spans="1:2" ht="13.2">
      <c r="A145" s="2" t="s">
        <v>102</v>
      </c>
      <c r="B145" s="2" t="str">
        <f ca="1">IFERROR(__xludf.DUMMYFUNCTION("IF(ISBLANK(A145),"""",GOOGLETRANSLATE(A145,""en"",""de""))"),"Der Blog")</f>
        <v>Der Blog</v>
      </c>
    </row>
    <row r="146" spans="1:2" ht="13.2">
      <c r="A146" s="2" t="s">
        <v>110</v>
      </c>
      <c r="B146" s="2" t="str">
        <f ca="1">IFERROR(__xludf.DUMMYFUNCTION("IF(ISBLANK(A146),"""",GOOGLETRANSLATE(A146,""en"",""de""))"),"Captive der Zukunft: Wie Technologie Captive-Finanzierungsgeschäfte neu definiert – Wichtige Erkenntnisse aus dem Webinar der AFSA")</f>
        <v>Captive der Zukunft: Wie Technologie Captive-Finanzierungsgeschäfte neu definiert – Wichtige Erkenntnisse aus dem Webinar der AFSA</v>
      </c>
    </row>
    <row r="147" spans="1:2" ht="13.2">
      <c r="A147" s="2" t="s">
        <v>27</v>
      </c>
      <c r="B147" s="2" t="str">
        <f ca="1">IFERROR(__xludf.DUMMYFUNCTION("IF(ISBLANK(A147),"""",GOOGLETRANSLATE(A147,""en"",""de""))"),"Mehr erfahren")</f>
        <v>Mehr erfahren</v>
      </c>
    </row>
    <row r="148" spans="1:2" ht="13.2">
      <c r="A148" s="2" t="s">
        <v>102</v>
      </c>
      <c r="B148" s="2" t="str">
        <f ca="1">IFERROR(__xludf.DUMMYFUNCTION("IF(ISBLANK(A148),"""",GOOGLETRANSLATE(A148,""en"",""de""))"),"Der Blog")</f>
        <v>Der Blog</v>
      </c>
    </row>
    <row r="149" spans="1:2" ht="13.2">
      <c r="A149" s="2" t="s">
        <v>111</v>
      </c>
      <c r="B149" s="2" t="str">
        <f ca="1">IFERROR(__xludf.DUMMYFUNCTION("IF(ISBLANK(A149),"""",GOOGLETRANSLATE(A149,""en"",""de""))"),"Betrugsbekämpfung im Großkundengeschäft: Technologie zur Früherkennung und Risikominderung")</f>
        <v>Betrugsbekämpfung im Großkundengeschäft: Technologie zur Früherkennung und Risikominderung</v>
      </c>
    </row>
    <row r="150" spans="1:2" ht="13.2">
      <c r="A150" s="2" t="s">
        <v>27</v>
      </c>
      <c r="B150" s="2" t="str">
        <f ca="1">IFERROR(__xludf.DUMMYFUNCTION("IF(ISBLANK(A150),"""",GOOGLETRANSLATE(A150,""en"",""de""))"),"Mehr erfahren")</f>
        <v>Mehr erfahren</v>
      </c>
    </row>
    <row r="151" spans="1:2" ht="13.2">
      <c r="A151" s="2" t="s">
        <v>114</v>
      </c>
      <c r="B151" s="2" t="str">
        <f ca="1">IFERROR(__xludf.DUMMYFUNCTION("IF(ISBLANK(A151),"""",GOOGLETRANSLATE(A151,""en"",""de""))"),"Abonnieren Sie unseren Newsletter, um die neuesten Nachrichten in Ihrem Posteingang zu erhalten.")</f>
        <v>Abonnieren Sie unseren Newsletter, um die neuesten Nachrichten in Ihrem Posteingang zu erhalten.</v>
      </c>
    </row>
    <row r="152" spans="1:2" ht="13.2">
      <c r="A152" s="2" t="s">
        <v>115</v>
      </c>
      <c r="B152" s="2" t="str">
        <f ca="1">IFERROR(__xludf.DUMMYFUNCTION("IF(ISBLANK(A152),"""",GOOGLETRANSLATE(A152,""en"",""de""))"),"abc@example.com")</f>
        <v>abc@example.com</v>
      </c>
    </row>
    <row r="153" spans="1:2" ht="13.2">
      <c r="A153" s="2" t="s">
        <v>116</v>
      </c>
      <c r="B153" s="2" t="str">
        <f ca="1">IFERROR(__xludf.DUMMYFUNCTION("IF(ISBLANK(A153),"""",GOOGLETRANSLATE(A153,""en"",""de""))"),"Abonnieren ")</f>
        <v xml:space="preserve">Abonnieren </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57"/>
  <sheetViews>
    <sheetView workbookViewId="0"/>
  </sheetViews>
  <sheetFormatPr defaultColWidth="12.5546875" defaultRowHeight="15.75" customHeight="1"/>
  <cols>
    <col min="1" max="1" width="100.88671875" customWidth="1"/>
  </cols>
  <sheetData>
    <row r="1" spans="1:2" ht="13.2">
      <c r="A1" s="1" t="s">
        <v>0</v>
      </c>
      <c r="B1" s="1" t="s">
        <v>1</v>
      </c>
    </row>
    <row r="2" spans="1:2" ht="15.75" customHeight="1">
      <c r="A2" s="2" t="s">
        <v>914</v>
      </c>
      <c r="B2" s="2" t="str">
        <f ca="1">IFERROR(__xludf.DUMMYFUNCTION("IF(ISBLANK(A2),"""",GOOGLETRANSLATE(A2,""en"",""de""))"),"Nutzungsbedingungen der Website")</f>
        <v>Nutzungsbedingungen der Website</v>
      </c>
    </row>
    <row r="3" spans="1:2" ht="15.75" customHeight="1">
      <c r="A3" s="2" t="s">
        <v>915</v>
      </c>
      <c r="B3" s="2" t="str">
        <f ca="1">IFERROR(__xludf.DUMMYFUNCTION("IF(ISBLANK(A3),"""",GOOGLETRANSLATE(A3,""en"",""de""))"),"Willkommen auf der Website von NetSol Technologies, Inc. („Netsol“). NetSol stellt diese Website unter den folgenden Nutzungsbedingungen („Bedingungen“) zur Verfügung. Diese Bedingungen stellen eine vertragliche Vereinbarung zwischen Ihnen („Benutzer“, „S"&amp;"ie“, „Ihr“) und NetSol bezüglich Ihrer Nutzung dieser Website dar. Sie sollten eine Kopie dieser Bedingungen für Ihre Unterlagen ausdrucken. Bitte beachten Sie jedoch, dass NetSol diese Bedingungen von Zeit zu Zeit nach eigenem Ermessen aktualisieren und "&amp;"ändern kann.")</f>
        <v>Willkommen auf der Website von NetSol Technologies, Inc. („Netsol“). NetSol stellt diese Website unter den folgenden Nutzungsbedingungen („Bedingungen“) zur Verfügung. Diese Bedingungen stellen eine vertragliche Vereinbarung zwischen Ihnen („Benutzer“, „Sie“, „Ihr“) und NetSol bezüglich Ihrer Nutzung dieser Website dar. Sie sollten eine Kopie dieser Bedingungen für Ihre Unterlagen ausdrucken. Bitte beachten Sie jedoch, dass NetSol diese Bedingungen von Zeit zu Zeit nach eigenem Ermessen aktualisieren und ändern kann.</v>
      </c>
    </row>
    <row r="4" spans="1:2" ht="15.75" customHeight="1">
      <c r="A4" s="2" t="s">
        <v>916</v>
      </c>
      <c r="B4" s="2" t="str">
        <f ca="1">IFERROR(__xludf.DUMMYFUNCTION("IF(ISBLANK(A4),"""",GOOGLETRANSLATE(A4,""en"",""de""))"),"1. WAS SIE WISSEN SOLLTEN und WIE ÄNDERUNGEN VORGENOMMEN WERDEN KÖNNEN")</f>
        <v>1. WAS SIE WISSEN SOLLTEN und WIE ÄNDERUNGEN VORGENOMMEN WERDEN KÖNNEN</v>
      </c>
    </row>
    <row r="5" spans="1:2" ht="15.75" customHeight="1">
      <c r="A5" s="2" t="s">
        <v>917</v>
      </c>
      <c r="B5" s="2" t="str">
        <f ca="1">IFERROR(__xludf.DUMMYFUNCTION("IF(ISBLANK(A5),"""",GOOGLETRANSLATE(A5,""en"",""de""))"),"Das Hauptziel dieser Website besteht darin, Ihnen Zugang zu Informationen über die Geschäfte, Einrichtungen, Dienstleistungen, Produkte und zugehörigen Links von NetSol zu bieten, um Ihren Anforderungen in Bezug auf diese Geschäfte, Einrichtungen, Dienstl"&amp;"eistungen und Produkte gerecht zu werden (der „Inhalt“). Diese Bedingungen dienen dem Schutz aller Besucher und Benutzer dieser Website, und Ihr Zugriff auf diese Website und deren Nutzung gilt als Ihr Einverständnis mit diesen Bedingungen. NUTZEN SIE DIE"&amp;"SE WEBSITE NICHT, WENN SIE MIT DIESEN BEDINGUNGEN NICHT EINVERSTANDEN SIND. NetSol behält sich das Recht vor, diese Bedingungen nach eigenem Ermessen jederzeit zu modifizieren, zu ändern oder anderweitig zu aktualisieren oder Funktionen dieser Website zu "&amp;"ändern oder zu löschen. Solche Modifikationen, Änderungen und Aktualisierungen der Bedingungen werden sofort nach Veröffentlichung wirksam. Sie erklären sich damit einverstanden, an solche modifizierten, geänderten und aktualisierten Bedingungen gebunden "&amp;"zu sein, wenn Sie auf diese Website zugreifen oder sie nutzen, nachdem NetSol einen Hinweis auf solche Modifikationen, Änderungen oder Aktualisierungen veröffentlicht hat. WENN SIE MIT DEN GEÄNDERTEN, ABGEÄNDERTEN ODER AKTUALISIERTEN BEDINGUNGEN NICHT EIN"&amp;"VERSTANDEN SIND, SOLLTEN SIE DIESE WEBSITE NACH DER VERÖFFENTLICHUNG DERARTIGER ÄNDERUNGEN, ABÄNDERUNGEN ODER AKTUALISIERUNGEN NICHT NUTZEN.")</f>
        <v>Das Hauptziel dieser Website besteht darin, Ihnen Zugang zu Informationen über die Geschäfte, Einrichtungen, Dienstleistungen, Produkte und zugehörigen Links von NetSol zu bieten, um Ihren Anforderungen in Bezug auf diese Geschäfte, Einrichtungen, Dienstleistungen und Produkte gerecht zu werden (der „Inhalt“). Diese Bedingungen dienen dem Schutz aller Besucher und Benutzer dieser Website, und Ihr Zugriff auf diese Website und deren Nutzung gilt als Ihr Einverständnis mit diesen Bedingungen. NUTZEN SIE DIESE WEBSITE NICHT, WENN SIE MIT DIESEN BEDINGUNGEN NICHT EINVERSTANDEN SIND. NetSol behält sich das Recht vor, diese Bedingungen nach eigenem Ermessen jederzeit zu modifizieren, zu ändern oder anderweitig zu aktualisieren oder Funktionen dieser Website zu ändern oder zu löschen. Solche Modifikationen, Änderungen und Aktualisierungen der Bedingungen werden sofort nach Veröffentlichung wirksam. Sie erklären sich damit einverstanden, an solche modifizierten, geänderten und aktualisierten Bedingungen gebunden zu sein, wenn Sie auf diese Website zugreifen oder sie nutzen, nachdem NetSol einen Hinweis auf solche Modifikationen, Änderungen oder Aktualisierungen veröffentlicht hat. WENN SIE MIT DEN GEÄNDERTEN, ABGEÄNDERTEN ODER AKTUALISIERTEN BEDINGUNGEN NICHT EINVERSTANDEN SIND, SOLLTEN SIE DIESE WEBSITE NACH DER VERÖFFENTLICHUNG DERARTIGER ÄNDERUNGEN, ABÄNDERUNGEN ODER AKTUALISIERUNGEN NICHT NUTZEN.</v>
      </c>
    </row>
    <row r="6" spans="1:2" ht="15.75" customHeight="1">
      <c r="A6" s="2" t="s">
        <v>918</v>
      </c>
      <c r="B6" s="2" t="str">
        <f ca="1">IFERROR(__xludf.DUMMYFUNCTION("IF(ISBLANK(A6),"""",GOOGLETRANSLATE(A6,""en"",""de""))"),"Über diese Website können Sie auf zahlreiche andere Websites verlinken, die mit dieser Website und/oder NetSol verbunden sein können oder nicht. Diese anderen verlinkten Websites, einschließlich der Websites der mit NetSol verbundenen Unternehmen sowie de"&amp;"r Websites von Drittanbietern, Händlern, Geschäftspartnern, Sponsoren und Lizenzgebern von NetSol (zusammen die „Anbieter“), können andere Nutzungsbedingungen haben, die von diesen Bedingungen abweichen. Ihr Zugriff auf und Ihre Nutzung dieser verlinkten "&amp;"Websites über Links auf dieser Website unterliegen nicht diesen Bedingungen, sondern den Nutzungsbedingungen und Richtlinien dieser Websites. NetSol lehnt jegliche Verantwortung für Ihren Zugriff auf und Ihre Nutzung dieser verlinkten Websites ab.")</f>
        <v>Über diese Website können Sie auf zahlreiche andere Websites verlinken, die mit dieser Website und/oder NetSol verbunden sein können oder nicht. Diese anderen verlinkten Websites, einschließlich der Websites der mit NetSol verbundenen Unternehmen sowie der Websites von Drittanbietern, Händlern, Geschäftspartnern, Sponsoren und Lizenzgebern von NetSol (zusammen die „Anbieter“), können andere Nutzungsbedingungen haben, die von diesen Bedingungen abweichen. Ihr Zugriff auf und Ihre Nutzung dieser verlinkten Websites über Links auf dieser Website unterliegen nicht diesen Bedingungen, sondern den Nutzungsbedingungen und Richtlinien dieser Websites. NetSol lehnt jegliche Verantwortung für Ihren Zugriff auf und Ihre Nutzung dieser verlinkten Websites ab.</v>
      </c>
    </row>
    <row r="7" spans="1:2" ht="15.75" customHeight="1">
      <c r="A7" s="2" t="s">
        <v>919</v>
      </c>
      <c r="B7" s="2" t="str">
        <f ca="1">IFERROR(__xludf.DUMMYFUNCTION("IF(ISBLANK(A7),"""",GOOGLETRANSLATE(A7,""en"",""de""))"),"Bitte beachten Sie, dass diese Bedingungen zusätzliche Haftungsausschlüsse und -beschränkungen für NetSol enthalten, die Sie in den Abschnitten 9 und 10 unten finden. Bitte lesen Sie diese sorgfältig durch und stellen Sie sicher, dass Sie sie verstehen, b"&amp;"evor Sie mit der Nutzung dieser Website fortfahren.")</f>
        <v>Bitte beachten Sie, dass diese Bedingungen zusätzliche Haftungsausschlüsse und -beschränkungen für NetSol enthalten, die Sie in den Abschnitten 9 und 10 unten finden. Bitte lesen Sie diese sorgfältig durch und stellen Sie sicher, dass Sie sie verstehen, bevor Sie mit der Nutzung dieser Website fortfahren.</v>
      </c>
    </row>
    <row r="8" spans="1:2" ht="15.75" customHeight="1">
      <c r="A8" s="2" t="s">
        <v>920</v>
      </c>
      <c r="B8" s="2" t="str">
        <f ca="1">IFERROR(__xludf.DUMMYFUNCTION("IF(ISBLANK(A8),"""",GOOGLETRANSLATE(A8,""en"",""de""))"),"2. DATENSCHUTZ")</f>
        <v>2. DATENSCHUTZ</v>
      </c>
    </row>
    <row r="9" spans="1:2" ht="15.75" customHeight="1">
      <c r="A9" s="2" t="s">
        <v>921</v>
      </c>
      <c r="B9" s="2" t="str">
        <f ca="1">IFERROR(__xludf.DUMMYFUNCTION("IF(ISBLANK(A9),"""",GOOGLETRANSLATE(A9,""en"",""de""))"),"Registrierungsdaten und bestimmte andere Informationen über Sie, die Sie NetSol über diese Website übermitteln oder bereitstellen, unterliegen der Datenschutzrichtlinie von NetSol. Weitere Informationen zur Verwendung und zum Schutz Ihrer Daten durch NetS"&amp;"ol finden Sie in der Internet-Datenschutzrichtlinie von NetSol.")</f>
        <v>Registrierungsdaten und bestimmte andere Informationen über Sie, die Sie NetSol über diese Website übermitteln oder bereitstellen, unterliegen der Datenschutzrichtlinie von NetSol. Weitere Informationen zur Verwendung und zum Schutz Ihrer Daten durch NetSol finden Sie in der Internet-Datenschutzrichtlinie von NetSol.</v>
      </c>
    </row>
    <row r="10" spans="1:2" ht="15.75" customHeight="1">
      <c r="A10" s="2" t="s">
        <v>922</v>
      </c>
      <c r="B10" s="2" t="str">
        <f ca="1">IFERROR(__xludf.DUMMYFUNCTION("IF(ISBLANK(A10),"""",GOOGLETRANSLATE(A10,""en"",""de""))"),"3. NUTZUNG DIESER WEBSITE UND GEISTIGE EIGENTUMSRECHTE")</f>
        <v>3. NUTZUNG DIESER WEBSITE UND GEISTIGE EIGENTUMSRECHTE</v>
      </c>
    </row>
    <row r="11" spans="1:2" ht="15.75" customHeight="1">
      <c r="A11" s="2" t="s">
        <v>923</v>
      </c>
      <c r="B11" s="2" t="str">
        <f ca="1">IFERROR(__xludf.DUMMYFUNCTION("IF(ISBLANK(A11),"""",GOOGLETRANSLATE(A11,""en"",""de""))"),"NetSol kontrolliert und betreibt diese Website (entweder selbst und/oder über seine Drittanbieter). Alle Inhalte dieser Website, einschließlich, aber nicht beschränkt auf Texte, Bilder, Illustrationen, Grafiken, Logos, digitale Downloads, Daten, Software,"&amp;" Überschriften, Symbole, Skripte, Audio- und Videoclips, sind Eigentum von NetSol oder seinen Anbietern und durch Urheberrechte, Marken, Dienstleistungsmarken und/oder andere Rechte an geistigem Eigentum geschützt (die den US-amerikanischen und internatio"&amp;"nalen Urheberrechtsgesetzen und Vertragsbestimmungen, Datenschutz- und Öffentlichkeitsgesetzen sowie Kommunikationsvorschriften und -gesetzen unterliegen). Die Inhalte sind Eigentum von NetSol, seinen verbundenen oder verwandten Unternehmen oder den Anbie"&amp;"tern, die ihre Inhalte oder das Recht zur Vermarktung ihrer Produkte und/oder Dienstleistungen an NetSol lizenziert oder anderweitig zur Verfügung gestellt haben, und werden von diesen kontrolliert. Inhalte dieser Website oder anderer Websites, die den An"&amp;"bietern gehören, von ihnen betrieben, lizenziert oder kontrolliert werden, sind ausschließlich für Ihre persönliche, nicht-kommerzielle Nutzung bestimmt und dürfen nicht in einer Weise verwendet werden, die bei NetSol-Kunden, anderen Nutzern dieser Websit"&amp;"e oder der Öffentlichkeit zu Verwirrung führen könnte. Sie erklären sich damit einverstanden, alle zusätzlichen Urheberrechtshinweise, Informationen oder Einschränkungen einzuhalten, die in oder mit den Inhalten enthalten sind.")</f>
        <v>NetSol kontrolliert und betreibt diese Website (entweder selbst und/oder über seine Drittanbieter). Alle Inhalte dieser Website, einschließlich, aber nicht beschränkt auf Texte, Bilder, Illustrationen, Grafiken, Logos, digitale Downloads, Daten, Software, Überschriften, Symbole, Skripte, Audio- und Videoclips, sind Eigentum von NetSol oder seinen Anbietern und durch Urheberrechte, Marken, Dienstleistungsmarken und/oder andere Rechte an geistigem Eigentum geschützt (die den US-amerikanischen und internationalen Urheberrechtsgesetzen und Vertragsbestimmungen, Datenschutz- und Öffentlichkeitsgesetzen sowie Kommunikationsvorschriften und -gesetzen unterliegen). Die Inhalte sind Eigentum von NetSol, seinen verbundenen oder verwandten Unternehmen oder den Anbietern, die ihre Inhalte oder das Recht zur Vermarktung ihrer Produkte und/oder Dienstleistungen an NetSol lizenziert oder anderweitig zur Verfügung gestellt haben, und werden von diesen kontrolliert. Inhalte dieser Website oder anderer Websites, die den Anbietern gehören, von ihnen betrieben, lizenziert oder kontrolliert werden, sind ausschließlich für Ihre persönliche, nicht-kommerzielle Nutzung bestimmt und dürfen nicht in einer Weise verwendet werden, die bei NetSol-Kunden, anderen Nutzern dieser Website oder der Öffentlichkeit zu Verwirrung führen könnte. Sie erklären sich damit einverstanden, alle zusätzlichen Urheberrechtshinweise, Informationen oder Einschränkungen einzuhalten, die in oder mit den Inhalten enthalten sind.</v>
      </c>
    </row>
    <row r="12" spans="1:2" ht="15.75" customHeight="1">
      <c r="A12" s="2" t="s">
        <v>924</v>
      </c>
      <c r="B12" s="2" t="str">
        <f ca="1">IFERROR(__xludf.DUMMYFUNCTION("IF(ISBLANK(A12),"""",GOOGLETRANSLATE(A12,""en"",""de""))"),"Sie dürfen Inhalte dieser Website ausschließlich für Ihren persönlichen, nicht-kommerziellen Gebrauch gemäß diesen Bedingungen herunterladen oder eine Kopie davon erstellen, vorausgesetzt, Sie bewahren alle Urheberrechts- und sonstigen Hinweise auf, die i"&amp;"n oder mit diesen Inhalten enthalten sind. Sofern oben nicht anders angegeben, dürfen Sie die Inhalte ohne vorherige schriftliche Zustimmung von NetSol oder den Anbietern nicht kopieren, reproduzieren, duplizieren, erneut veröffentlichen, hochladen, poste"&amp;"n, übertragen, verteilen, verkaufen und/oder in irgendeiner Weise (einschließlich per E-Mail oder auf anderem elektronischen Wege) für kommerzielle Zwecke nutzen. Sie können die Zustimmung per Fax an die Rechtsabteilung von NetSol unter 818.222.9197818.22"&amp;"2.9197 anfordern. Ihre Änderung der Inhalte, die Verwendung der Inhalte auf anderen verlinkten Websites oder in vernetzten Computerumgebungen oder die Verwendung der Inhalte für andere als persönliche, nicht-kommerzielle Zwecke ohne vorherige schriftliche"&amp;" Zustimmung von NetSol oder den Anbietern verletzt die geistigen Eigentumsrechte und Eigentumsrechte der Inhaltseigentümer und ist strengstens untersagt.")</f>
        <v>Sie dürfen Inhalte dieser Website ausschließlich für Ihren persönlichen, nicht-kommerziellen Gebrauch gemäß diesen Bedingungen herunterladen oder eine Kopie davon erstellen, vorausgesetzt, Sie bewahren alle Urheberrechts- und sonstigen Hinweise auf, die in oder mit diesen Inhalten enthalten sind. Sofern oben nicht anders angegeben, dürfen Sie die Inhalte ohne vorherige schriftliche Zustimmung von NetSol oder den Anbietern nicht kopieren, reproduzieren, duplizieren, erneut veröffentlichen, hochladen, posten, übertragen, verteilen, verkaufen und/oder in irgendeiner Weise (einschließlich per E-Mail oder auf anderem elektronischen Wege) für kommerzielle Zwecke nutzen. Sie können die Zustimmung per Fax an die Rechtsabteilung von NetSol unter 818.222.9197818.222.9197 anfordern. Ihre Änderung der Inhalte, die Verwendung der Inhalte auf anderen verlinkten Websites oder in vernetzten Computerumgebungen oder die Verwendung der Inhalte für andere als persönliche, nicht-kommerzielle Zwecke ohne vorherige schriftliche Zustimmung von NetSol oder den Anbietern verletzt die geistigen Eigentumsrechte und Eigentumsrechte der Inhaltseigentümer und ist strengstens untersagt.</v>
      </c>
    </row>
    <row r="13" spans="1:2" ht="15.75" customHeight="1">
      <c r="A13" s="2" t="s">
        <v>925</v>
      </c>
      <c r="B13" s="2" t="str">
        <f ca="1">IFERROR(__xludf.DUMMYFUNCTION("IF(ISBLANK(A13),"""",GOOGLETRANSLATE(A13,""en"",""de""))"),"Sie dürfen keine eingetragenen oder nicht eingetragenen Marken, Dienstleistungsmarken, urheberrechtlich geschützten Materialien oder sonstige geschützte Informationen oder geistiges Eigentum dieser Website verwenden, einschließlich, aber nicht beschränkt "&amp;"auf Logos, Bilder oder Zeichen sowie Meta-Tags oder ähnlichen Code oder versteckten Text oder Elemente, die solche Informationen oder Eigentum enthalten, ohne die ausdrückliche schriftliche Zustimmung des Marken- oder Urheberrechtsinhabers. Sie dürfen kei"&amp;"ne Marken, Dienstleistungsmarken, Urheberrechte, Logos, Bilder, Texte oder sonstige geschützte Informationen oder geistiges Eigentum von NetSol rahmen oder Inhalte oder sonstige Materialien dieser Website anderweitig in eine andere Website integrieren, oh"&amp;"ne die ausdrückliche vorherige schriftliche Zustimmung von NetSol. Sie dürfen ohne vorherige schriftliche Zustimmung von NetSol keine Deeplinks zu Seiten oder Teilen dieser Website erstellen. Sie dürfen jedoch einen Hypertext-Link oder Hyperlink zur Start"&amp;"seite dieser Website erstellen oder bereitstellen, sofern Sie keine falschen, irreführenden, diffamierenden, verleumderischen, abfälligen oder beleidigenden Aussagen gegenüber NetSol, seinen verbundenen Unternehmen oder Anbietern machen oder diese zuschre"&amp;"iben. Ohne die ausdrückliche vorherige schriftliche Zustimmung von NetSol dürfen solche Links keine Logos, Grafiken oder Marken von NetSol, seinen verbundenen oder verwandten Unternehmen oder Anbietern enthalten.")</f>
        <v>Sie dürfen keine eingetragenen oder nicht eingetragenen Marken, Dienstleistungsmarken, urheberrechtlich geschützten Materialien oder sonstige geschützte Informationen oder geistiges Eigentum dieser Website verwenden, einschließlich, aber nicht beschränkt auf Logos, Bilder oder Zeichen sowie Meta-Tags oder ähnlichen Code oder versteckten Text oder Elemente, die solche Informationen oder Eigentum enthalten, ohne die ausdrückliche schriftliche Zustimmung des Marken- oder Urheberrechtsinhabers. Sie dürfen keine Marken, Dienstleistungsmarken, Urheberrechte, Logos, Bilder, Texte oder sonstige geschützte Informationen oder geistiges Eigentum von NetSol rahmen oder Inhalte oder sonstige Materialien dieser Website anderweitig in eine andere Website integrieren, ohne die ausdrückliche vorherige schriftliche Zustimmung von NetSol. Sie dürfen ohne vorherige schriftliche Zustimmung von NetSol keine Deeplinks zu Seiten oder Teilen dieser Website erstellen. Sie dürfen jedoch einen Hypertext-Link oder Hyperlink zur Startseite dieser Website erstellen oder bereitstellen, sofern Sie keine falschen, irreführenden, diffamierenden, verleumderischen, abfälligen oder beleidigenden Aussagen gegenüber NetSol, seinen verbundenen Unternehmen oder Anbietern machen oder diese zuschreiben. Ohne die ausdrückliche vorherige schriftliche Zustimmung von NetSol dürfen solche Links keine Logos, Grafiken oder Marken von NetSol, seinen verbundenen oder verwandten Unternehmen oder Anbietern enthalten.</v>
      </c>
    </row>
    <row r="14" spans="1:2" ht="15.75" customHeight="1">
      <c r="A14" s="2" t="s">
        <v>926</v>
      </c>
      <c r="B14" s="2" t="str">
        <f ca="1">IFERROR(__xludf.DUMMYFUNCTION("IF(ISBLANK(A14),"""",GOOGLETRANSLATE(A14,""en"",""de""))"),"Verstöße gegen Marken- und Urheberrechte („Verletzung“) können gemäß US-amerikanischem und/oder internationalem Urheber- und Markenrecht erhebliche zivil- oder strafrechtliche Folgen nach sich ziehen. Sie erkennen an, dass jede Vervielfältigung oder Verwe"&amp;"ndung von Inhalten, Urheberrechten, Marken, Dienstleistungsmarken oder anderem geistigen Eigentum dieser Website, sofern nicht in diesen Bedingungen gestattet, als vorsätzliche Verletzung gilt.")</f>
        <v>Verstöße gegen Marken- und Urheberrechte („Verletzung“) können gemäß US-amerikanischem und/oder internationalem Urheber- und Markenrecht erhebliche zivil- oder strafrechtliche Folgen nach sich ziehen. Sie erkennen an, dass jede Vervielfältigung oder Verwendung von Inhalten, Urheberrechten, Marken, Dienstleistungsmarken oder anderem geistigen Eigentum dieser Website, sofern nicht in diesen Bedingungen gestattet, als vorsätzliche Verletzung gilt.</v>
      </c>
    </row>
    <row r="15" spans="1:2" ht="15.75" customHeight="1">
      <c r="A15" s="2" t="s">
        <v>927</v>
      </c>
      <c r="B15" s="2" t="str">
        <f ca="1">IFERROR(__xludf.DUMMYFUNCTION("IF(ISBLANK(A15),"""",GOOGLETRANSLATE(A15,""en"",""de""))"),"4. VERANTWORTLICHKEITEN DES BENUTZERS")</f>
        <v>4. VERANTWORTLICHKEITEN DES BENUTZERS</v>
      </c>
    </row>
    <row r="16" spans="1:2" ht="15.75" customHeight="1">
      <c r="A16" s="2" t="s">
        <v>928</v>
      </c>
      <c r="B16" s="2" t="str">
        <f ca="1">IFERROR(__xludf.DUMMYFUNCTION("IF(ISBLANK(A16),"""",GOOGLETRANSLATE(A16,""en"",""de""))"),"Sie gewährleisten und sichern NetSol zu, dass Sie diese Website nicht für rechtswidrige, illegale oder durch diese Bedingungen verbotene Zwecke nutzen werden, einschließlich, aber nicht beschränkt auf das Senden, Posten, Übermitteln, Anzeigen, Verteilen o"&amp;"der den wissentlichen Empfang von oder die Suche nach bedrohlichen, belästigenden, verleumderischen, diffamierenden, obszönen, skandalösen, aufrührerischen, sexuell orientierten, pornografischen oder gotteslästerlichen Materialien, Inhalten oder Bildern o"&amp;"der anderen Bildern, Inhalten oder Nachrichten, die als unanständig, lasziv, übermäßig gewalttätig oder anderweitig anstößig angesehen werden könnten. Wenn Sie gegen eine dieser Bedingungen verstoßen, erlischt Ihre Erlaubnis zur Nutzung dieser Website sof"&amp;"ort und ohne dass es einer Benachrichtigung bedarf. NetSol behält sich das Recht vor, nach eigenem Ermessen jeder Person den Zugriff auf diese Website aus beliebigem Grund zu verweigern, einschließlich bei Verstoß gegen diese Bedingungen. Einige dieser Ar"&amp;"ten von Verstößen werden unten in Abschnitt 5 ausführlicher beschrieben.")</f>
        <v>Sie gewährleisten und sichern NetSol zu, dass Sie diese Website nicht für rechtswidrige, illegale oder durch diese Bedingungen verbotene Zwecke nutzen werden, einschließlich, aber nicht beschränkt auf das Senden, Posten, Übermitteln, Anzeigen, Verteilen oder den wissentlichen Empfang von oder die Suche nach bedrohlichen, belästigenden, verleumderischen, diffamierenden, obszönen, skandalösen, aufrührerischen, sexuell orientierten, pornografischen oder gotteslästerlichen Materialien, Inhalten oder Bildern oder anderen Bildern, Inhalten oder Nachrichten, die als unanständig, lasziv, übermäßig gewalttätig oder anderweitig anstößig angesehen werden könnten. Wenn Sie gegen eine dieser Bedingungen verstoßen, erlischt Ihre Erlaubnis zur Nutzung dieser Website sofort und ohne dass es einer Benachrichtigung bedarf. NetSol behält sich das Recht vor, nach eigenem Ermessen jeder Person den Zugriff auf diese Website aus beliebigem Grund zu verweigern, einschließlich bei Verstoß gegen diese Bedingungen. Einige dieser Arten von Verstößen werden unten in Abschnitt 5 ausführlicher beschrieben.</v>
      </c>
    </row>
    <row r="17" spans="1:2" ht="15.75" customHeight="1">
      <c r="A17" s="2" t="s">
        <v>929</v>
      </c>
      <c r="B17" s="2" t="str">
        <f ca="1">IFERROR(__xludf.DUMMYFUNCTION("IF(ISBLANK(A17),"""",GOOGLETRANSLATE(A17,""en"",""de""))"),"Sie sind allein verantwortlich für Inhalt, Richtigkeit und Nutzung Ihrer Informationen. NetSol fungiert lediglich als passiver Vermittler für die Online-Verbreitung und -Veröffentlichung Ihrer Informationen. „Informationen“ im Sinne dieser Bedingungen bez"&amp;"eichnet alle Informationen oder Daten, die Sie an oder über diese Website übermitteln, sowie alle Informationen oder Daten, die von dieser Website aufgrund Ihrer Nutzung oder Ihres Zugriffs auf diese Website generiert werden. Für Ihre personenbezogenen Da"&amp;"ten gelten möglicherweise besondere Regeln und Einschränkungen. Weitere Informationen zu diesen besonderen Regeln und Einschränkungen finden Sie in der Internet-Datenschutzrichtlinie von NetSol.")</f>
        <v>Sie sind allein verantwortlich für Inhalt, Richtigkeit und Nutzung Ihrer Informationen. NetSol fungiert lediglich als passiver Vermittler für die Online-Verbreitung und -Veröffentlichung Ihrer Informationen. „Informationen“ im Sinne dieser Bedingungen bezeichnet alle Informationen oder Daten, die Sie an oder über diese Website übermitteln, sowie alle Informationen oder Daten, die von dieser Website aufgrund Ihrer Nutzung oder Ihres Zugriffs auf diese Website generiert werden. Für Ihre personenbezogenen Daten gelten möglicherweise besondere Regeln und Einschränkungen. Weitere Informationen zu diesen besonderen Regeln und Einschränkungen finden Sie in der Internet-Datenschutzrichtlinie von NetSol.</v>
      </c>
    </row>
    <row r="18" spans="1:2" ht="15.75" customHeight="1">
      <c r="A18" s="2" t="s">
        <v>930</v>
      </c>
      <c r="B18" s="2" t="str">
        <f ca="1">IFERROR(__xludf.DUMMYFUNCTION("IF(ISBLANK(A18),"""",GOOGLETRANSLATE(A18,""en"",""de""))"),"Sie erklären sich damit einverstanden, dass alle von Ihnen bereitgestellten Informationen wahrheitsgemäß, genau, aktuell und vollständig sind. Sollten Sie unwahre, ungenaue, veraltete oder unvollständige Informationen bereitstellen (oder NetSol begründete"&amp;"n Verdacht hat, dass diese Informationen unwahr, ungenau, veraltet oder unvollständig sind), ist NetSol berechtigt, Ihren Zugriff und Ihre Aktivitäten auf dieser Website zu sperren oder zu beenden und Ihnen jegliche aktuelle oder zukünftige Nutzung dieser"&amp;" Website zu untersagen.")</f>
        <v>Sie erklären sich damit einverstanden, dass alle von Ihnen bereitgestellten Informationen wahrheitsgemäß, genau, aktuell und vollständig sind. Sollten Sie unwahre, ungenaue, veraltete oder unvollständige Informationen bereitstellen (oder NetSol begründeten Verdacht hat, dass diese Informationen unwahr, ungenau, veraltet oder unvollständig sind), ist NetSol berechtigt, Ihren Zugriff und Ihre Aktivitäten auf dieser Website zu sperren oder zu beenden und Ihnen jegliche aktuelle oder zukünftige Nutzung dieser Website zu untersagen.</v>
      </c>
    </row>
    <row r="19" spans="1:2" ht="15.75" customHeight="1">
      <c r="A19" s="2" t="s">
        <v>931</v>
      </c>
      <c r="B19" s="2" t="str">
        <f ca="1">IFERROR(__xludf.DUMMYFUNCTION("IF(ISBLANK(A19),"""",GOOGLETRANSLATE(A19,""en"",""de""))"),"5. VERBOTENE AKTIVITÄTEN")</f>
        <v>5. VERBOTENE AKTIVITÄTEN</v>
      </c>
    </row>
    <row r="20" spans="1:2" ht="15.75" customHeight="1">
      <c r="A20" s="2" t="s">
        <v>932</v>
      </c>
      <c r="B20" s="2" t="str">
        <f ca="1">IFERROR(__xludf.DUMMYFUNCTION("IF(ISBLANK(A20),"""",GOOGLETRANSLATE(A20,""en"",""de""))"),"Ihnen ist die Nutzung dieser Website ausdrücklich untersagt und Sie erklären sich damit einverstanden, diese Website nicht für die folgenden Zwecke zu nutzen oder anderen die Nutzung dieser Website zu gestatten:")</f>
        <v>Ihnen ist die Nutzung dieser Website ausdrücklich untersagt und Sie erklären sich damit einverstanden, diese Website nicht für die folgenden Zwecke zu nutzen oder anderen die Nutzung dieser Website zu gestatten:</v>
      </c>
    </row>
    <row r="21" spans="1:2" ht="15.75" customHeight="1">
      <c r="A21" s="2" t="s">
        <v>933</v>
      </c>
      <c r="B21" s="2" t="str">
        <f ca="1">IFERROR(__xludf.DUMMYFUNCTION("IF(ISBLANK(A21),"""",GOOGLETRANSLATE(A21,""en"",""de""))"),"(a) Maßnahmen zu ergreifen, die eine unangemessene oder unverhältnismäßig große Belastung der Infrastruktur oder Ressourcen der Website verursachen oder wertvolle Zeit dafür verschwenden, einschließlich, aber nicht beschränkt auf das Senden oder Fördern d"&amp;"er Verbreitung von „Spam“, „Junk-Mail“, Kettenbriefen oder anderen unerwünschten oder rechtswidrigen Massen-E-Mail-Techniken;")</f>
        <v>(a) Maßnahmen zu ergreifen, die eine unangemessene oder unverhältnismäßig große Belastung der Infrastruktur oder Ressourcen der Website verursachen oder wertvolle Zeit dafür verschwenden, einschließlich, aber nicht beschränkt auf das Senden oder Fördern der Verbreitung von „Spam“, „Junk-Mail“, Kettenbriefen oder anderen unerwünschten oder rechtswidrigen Massen-E-Mail-Techniken;</v>
      </c>
    </row>
    <row r="22" spans="1:2" ht="15.75" customHeight="1">
      <c r="A22" s="2" t="s">
        <v>934</v>
      </c>
      <c r="B22" s="2" t="str">
        <f ca="1">IFERROR(__xludf.DUMMYFUNCTION("IF(ISBLANK(A22),"""",GOOGLETRANSLATE(A22,""en"",""de""))"),"(b) die IDs, zugewiesenen Bestätigungsnummern und/oder Passwörter an unbefugte Dritte weitergeben oder mit diesen teilen, oder die IDs, zugewiesenen Bestätigungsnummern und/oder Passwörter für unbefugte Zwecke verwenden oder anderen auf andere Weise erlau"&amp;"ben oder erleichtern, durch die Verwendung der IDs, zugewiesenen Bestätigungsnummern und/oder Passwörter Zugriff auf die Informationstechnologiesysteme, Umgebungen, Netzwerke, Dateien, Daten oder Konten von NetSol zu erhalten;")</f>
        <v>(b) die IDs, zugewiesenen Bestätigungsnummern und/oder Passwörter an unbefugte Dritte weitergeben oder mit diesen teilen, oder die IDs, zugewiesenen Bestätigungsnummern und/oder Passwörter für unbefugte Zwecke verwenden oder anderen auf andere Weise erlauben oder erleichtern, durch die Verwendung der IDs, zugewiesenen Bestätigungsnummern und/oder Passwörter Zugriff auf die Informationstechnologiesysteme, Umgebungen, Netzwerke, Dateien, Daten oder Konten von NetSol zu erhalten;</v>
      </c>
    </row>
    <row r="23" spans="1:2" ht="15.75" customHeight="1">
      <c r="A23" s="2" t="s">
        <v>935</v>
      </c>
      <c r="B23" s="2" t="str">
        <f ca="1">IFERROR(__xludf.DUMMYFUNCTION("IF(ISBLANK(A23),"""",GOOGLETRANSLATE(A23,""en"",""de""))"),"(c) auf die Informationstechnologiesysteme, Umgebungen, Netzwerke, Dateien, Daten oder Konten von NetSol zuzugreifen oder dies zu versuchen, ohne dass hierfür eine ausdrückliche Genehmigung vorliegt (einschließlich des Zugriffs auf Daten, die nicht für Si"&amp;"e bestimmt sind), oder sich bei einem Server oder Konto anzumelden, für das Sie keine Zugriffsberechtigung haben;")</f>
        <v>(c) auf die Informationstechnologiesysteme, Umgebungen, Netzwerke, Dateien, Daten oder Konten von NetSol zuzugreifen oder dies zu versuchen, ohne dass hierfür eine ausdrückliche Genehmigung vorliegt (einschließlich des Zugriffs auf Daten, die nicht für Sie bestimmt sind), oder sich bei einem Server oder Konto anzumelden, für das Sie keine Zugriffsberechtigung haben;</v>
      </c>
    </row>
    <row r="24" spans="1:2" ht="13.2">
      <c r="A24" s="2" t="s">
        <v>936</v>
      </c>
      <c r="B24" s="2" t="str">
        <f ca="1">IFERROR(__xludf.DUMMYFUNCTION("IF(ISBLANK(A24),"""",GOOGLETRANSLATE(A24,""en"",""de""))"),"(d) zu versuchen, die Software oder den HTML-Code, aus denen diese Website besteht oder die in irgendeiner Weise einen Teil davon bilden, zu entschlüsseln, zu dekompilieren, zu disassemblieren, zu modifizieren, zu entfernen oder zurückzuentwickeln;")</f>
        <v>(d) zu versuchen, die Software oder den HTML-Code, aus denen diese Website besteht oder die in irgendeiner Weise einen Teil davon bilden, zu entschlüsseln, zu dekompilieren, zu disassemblieren, zu modifizieren, zu entfernen oder zurückzuentwickeln;</v>
      </c>
    </row>
    <row r="25" spans="1:2" ht="13.2">
      <c r="A25" s="2" t="s">
        <v>937</v>
      </c>
      <c r="B25" s="2" t="str">
        <f ca="1">IFERROR(__xludf.DUMMYFUNCTION("IF(ISBLANK(A25),"""",GOOGLETRANSLATE(A25,""en"",""de""))"),"(e) die Nutzung oder den Betrieb dieser Website oder der Systeme, Geräte oder Anwendungen von NetSol, seinen verbundenen Unternehmen oder den Anbietern oder die Dienste für Benutzer, Hosts oder Netzwerke auf unbefugte Weise zu stören, zu unterbrechen, zu "&amp;"deaktivieren oder zu beschädigen (oder zu versuchen, diese zu stören, zu unterbrechen, zu deaktivieren oder zu beschädigen), einschließlich durch die Verwendung von Programmen, Skripten, Befehlen, Viren, Würmern, Web-Bugs, schädlichem Code, Trojanern, and"&amp;"eren Verunreinigungen oder auf andere Weise. Dazu gehören Denial-of-Service-Angriffe, das „Flooding“ von Netzwerken, vorsätzliche Versuche, einen Dienst zu überlasten oder die Ressourcen eines Dienstes übermäßig zu belasten, Versuche, einen Host zum „Abst"&amp;"urz“ zu bringen und/oder die Änderung oder Umleitung von Inhalten oder Diensten dieser Website;")</f>
        <v>(e) die Nutzung oder den Betrieb dieser Website oder der Systeme, Geräte oder Anwendungen von NetSol, seinen verbundenen Unternehmen oder den Anbietern oder die Dienste für Benutzer, Hosts oder Netzwerke auf unbefugte Weise zu stören, zu unterbrechen, zu deaktivieren oder zu beschädigen (oder zu versuchen, diese zu stören, zu unterbrechen, zu deaktivieren oder zu beschädigen), einschließlich durch die Verwendung von Programmen, Skripten, Befehlen, Viren, Würmern, Web-Bugs, schädlichem Code, Trojanern, anderen Verunreinigungen oder auf andere Weise. Dazu gehören Denial-of-Service-Angriffe, das „Flooding“ von Netzwerken, vorsätzliche Versuche, einen Dienst zu überlasten oder die Ressourcen eines Dienstes übermäßig zu belasten, Versuche, einen Host zum „Absturz“ zu bringen und/oder die Änderung oder Umleitung von Inhalten oder Diensten dieser Website;</v>
      </c>
    </row>
    <row r="26" spans="1:2" ht="13.2">
      <c r="A26" s="2" t="s">
        <v>938</v>
      </c>
      <c r="B26" s="2" t="str">
        <f ca="1">IFERROR(__xludf.DUMMYFUNCTION("IF(ISBLANK(A26),"""",GOOGLETRANSLATE(A26,""en"",""de""))"),"(f) zu versuchen, Sicherheitsmechanismen (z. B. Authentifizierung) des Systems oder Netzwerks zu umgehen oder zu untergraben oder die Sicherheit eines Systems, Netzwerks oder Kontos zu testen, das mit dieser Website verbunden ist oder in Verbindung mit di"&amp;"eser Website verwendet wird;")</f>
        <v>(f) zu versuchen, Sicherheitsmechanismen (z. B. Authentifizierung) des Systems oder Netzwerks zu umgehen oder zu untergraben oder die Sicherheit eines Systems, Netzwerks oder Kontos zu testen, das mit dieser Website verbunden ist oder in Verbindung mit dieser Website verwendet wird;</v>
      </c>
    </row>
    <row r="27" spans="1:2" ht="13.2">
      <c r="A27" s="2" t="s">
        <v>939</v>
      </c>
      <c r="B27" s="2" t="str">
        <f ca="1">IFERROR(__xludf.DUMMYFUNCTION("IF(ISBLANK(A27),"""",GOOGLETRANSLATE(A27,""en"",""de""))"),"(g) Informationen, Inhalte oder Eigentumsrechte hochzuladen, zu posten, per E-Mail zu versenden oder anderweitig zu übermitteln, zu deren Übermittlung Sie gemäß den Bedingungen, Gesetzen oder anderen vertraglichen oder treuhänderischen Beziehungen nicht b"&amp;"erechtigt sind; und/oder")</f>
        <v>(g) Informationen, Inhalte oder Eigentumsrechte hochzuladen, zu posten, per E-Mail zu versenden oder anderweitig zu übermitteln, zu deren Übermittlung Sie gemäß den Bedingungen, Gesetzen oder anderen vertraglichen oder treuhänderischen Beziehungen nicht berechtigt sind; und/oder</v>
      </c>
    </row>
    <row r="28" spans="1:2" ht="13.2">
      <c r="A28" s="2" t="s">
        <v>940</v>
      </c>
      <c r="B28" s="2" t="str">
        <f ca="1">IFERROR(__xludf.DUMMYFUNCTION("IF(ISBLANK(A28),"""",GOOGLETRANSLATE(A28,""en"",""de""))"),"(h) Roboter, Spider, intelligente Agenten, Metasuchmaschinen, andere automatische Geräte oder manuelle Prozesse zu verwenden, um die Seiten oder Inhalte der NetSol-Website unter Verletzung der Bedingungen oder ohne vorherige schriftliche Genehmigung von N"&amp;"etSol zu durchsuchen, zu überwachen oder zu kopieren, vorausgesetzt, dass allgemein verfügbare Webbrowser von Drittanbietern wie Netscape Navigator® und Microsoft Internet Explorer® ohne eine solche Genehmigung verwendet werden dürfen.")</f>
        <v>(h) Roboter, Spider, intelligente Agenten, Metasuchmaschinen, andere automatische Geräte oder manuelle Prozesse zu verwenden, um die Seiten oder Inhalte der NetSol-Website unter Verletzung der Bedingungen oder ohne vorherige schriftliche Genehmigung von NetSol zu durchsuchen, zu überwachen oder zu kopieren, vorausgesetzt, dass allgemein verfügbare Webbrowser von Drittanbietern wie Netscape Navigator® und Microsoft Internet Explorer® ohne eine solche Genehmigung verwendet werden dürfen.</v>
      </c>
    </row>
    <row r="29" spans="1:2" ht="13.2">
      <c r="A29" s="2" t="s">
        <v>941</v>
      </c>
      <c r="B29" s="2" t="str">
        <f ca="1">IFERROR(__xludf.DUMMYFUNCTION("IF(ISBLANK(A29),"""",GOOGLETRANSLATE(A29,""en"",""de""))"),"6. AUF DER WEBSITE VERÖFFENTLICHTE INFORMATIONEN")</f>
        <v>6. AUF DER WEBSITE VERÖFFENTLICHTE INFORMATIONEN</v>
      </c>
    </row>
    <row r="30" spans="1:2" ht="13.2">
      <c r="A30" s="2" t="s">
        <v>942</v>
      </c>
      <c r="B30" s="2" t="str">
        <f ca="1">IFERROR(__xludf.DUMMYFUNCTION("IF(ISBLANK(A30),"""",GOOGLETRANSLATE(A30,""en"",""de""))"),"In Bezug auf alle Informationen, die Sie in öffentlich zugänglichen Bereichen der Website veröffentlichen, erklären Sie sich damit einverstanden, dass NetSol das Recht hat, diese Informationen (ganz oder teilweise) weltweit zu verwenden, zu reproduzieren,"&amp;" zu kopieren, zu ändern, zu veröffentlichen, zu verteilen, vorzuführen und anzuzeigen; vorausgesetzt, dass diese Verwendung den Bedingungen der Internet-Datenschutzrichtlinie von NetSol entspricht.")</f>
        <v>In Bezug auf alle Informationen, die Sie in öffentlich zugänglichen Bereichen der Website veröffentlichen, erklären Sie sich damit einverstanden, dass NetSol das Recht hat, diese Informationen (ganz oder teilweise) weltweit zu verwenden, zu reproduzieren, zu kopieren, zu ändern, zu veröffentlichen, zu verteilen, vorzuführen und anzuzeigen; vorausgesetzt, dass diese Verwendung den Bedingungen der Internet-Datenschutzrichtlinie von NetSol entspricht.</v>
      </c>
    </row>
    <row r="31" spans="1:2" ht="13.2">
      <c r="A31" s="2" t="s">
        <v>943</v>
      </c>
      <c r="B31" s="2" t="str">
        <f ca="1">IFERROR(__xludf.DUMMYFUNCTION("IF(ISBLANK(A31),"""",GOOGLETRANSLATE(A31,""en"",""de""))"),"Sie erkennen an und stimmen zu, dass NetSol Informationen aufbewahren und auch offenlegen kann, wenn dies gesetzlich vorgeschrieben ist oder in gutem Glauben davon ausgegangen wird, dass eine solche Aufbewahrung oder Offenlegung vernünftigerweise notwendi"&amp;"g ist, um: (a) rechtlichen Verfahren nachzukommen; (b) die Bedingungen durchzusetzen; (c) auf Behauptungen zu reagieren, dass Informationen die Rechte Dritter verletzen; oder (d) die Rechte, das Eigentum oder die persönliche Sicherheit des Unternehmens, d"&amp;"er Mitarbeiter, Anbieter, verbundenen oder verwandten Unternehmen, Benutzer und/oder der Öffentlichkeit von NetSol zu schützen.7. LINKS ZU WEBSITES DRITTER")</f>
        <v>Sie erkennen an und stimmen zu, dass NetSol Informationen aufbewahren und auch offenlegen kann, wenn dies gesetzlich vorgeschrieben ist oder in gutem Glauben davon ausgegangen wird, dass eine solche Aufbewahrung oder Offenlegung vernünftigerweise notwendig ist, um: (a) rechtlichen Verfahren nachzukommen; (b) die Bedingungen durchzusetzen; (c) auf Behauptungen zu reagieren, dass Informationen die Rechte Dritter verletzen; oder (d) die Rechte, das Eigentum oder die persönliche Sicherheit des Unternehmens, der Mitarbeiter, Anbieter, verbundenen oder verwandten Unternehmen, Benutzer und/oder der Öffentlichkeit von NetSol zu schützen.7. LINKS ZU WEBSITES DRITTER</v>
      </c>
    </row>
    <row r="32" spans="1:2" ht="13.2">
      <c r="A32" s="2" t="s">
        <v>944</v>
      </c>
      <c r="B32" s="2" t="str">
        <f ca="1">IFERROR(__xludf.DUMMYFUNCTION("IF(ISBLANK(A32),"""",GOOGLETRANSLATE(A32,""en"",""de""))"),"Diese Website kann Links zu Websites von Drittanbietern oder Anbietern enthalten, die nicht von NetSol kontrolliert oder betrieben werden (die „verlinkten Websites“). Über die Links verlassen Sie diese Website und werden zu den verlinkten Websites weiterg"&amp;"eleitet. Der Zugriff erfolgt auf Ihr eigenes Risiko. Sie erkennen an, dass NetSol die verlinkten Websites ausschließlich zu Ihrer Information und Information bereitstellt. NetSol übernimmt keine Verantwortung für Inhalte, Informationen oder andere zugehör"&amp;"ige Materialien, Produkte oder Dienstleistungen auf diesen verlinkten Websites oder für die darin enthaltenen Links, unabhängig davon, ob NetSol mit den Eigentümern dieser verlinkten Websites verbunden ist oder nicht. Sofern in diesen Bedingungen nicht an"&amp;"ders angegeben oder mit ausdrücklicher schriftlicher Zustimmung von NetSol, dürfen Sie von Ihrer Website oder den verlinkten Websites keinen Hyperlink zu dieser Website erstellen oder Links bereitstellen, die eine Förderung oder Unterstützung Ihrer Websit"&amp;"e oder der verlinkten Websites durch NetSol oder die Anbieter aussagen oder implizieren.")</f>
        <v>Diese Website kann Links zu Websites von Drittanbietern oder Anbietern enthalten, die nicht von NetSol kontrolliert oder betrieben werden (die „verlinkten Websites“). Über die Links verlassen Sie diese Website und werden zu den verlinkten Websites weitergeleitet. Der Zugriff erfolgt auf Ihr eigenes Risiko. Sie erkennen an, dass NetSol die verlinkten Websites ausschließlich zu Ihrer Information und Information bereitstellt. NetSol übernimmt keine Verantwortung für Inhalte, Informationen oder andere zugehörige Materialien, Produkte oder Dienstleistungen auf diesen verlinkten Websites oder für die darin enthaltenen Links, unabhängig davon, ob NetSol mit den Eigentümern dieser verlinkten Websites verbunden ist oder nicht. Sofern in diesen Bedingungen nicht anders angegeben oder mit ausdrücklicher schriftlicher Zustimmung von NetSol, dürfen Sie von Ihrer Website oder den verlinkten Websites keinen Hyperlink zu dieser Website erstellen oder Links bereitstellen, die eine Förderung oder Unterstützung Ihrer Website oder der verlinkten Websites durch NetSol oder die Anbieter aussagen oder implizieren.</v>
      </c>
    </row>
    <row r="33" spans="1:2" ht="13.2">
      <c r="A33" s="2" t="s">
        <v>945</v>
      </c>
      <c r="B33" s="2" t="str">
        <f ca="1">IFERROR(__xludf.DUMMYFUNCTION("IF(ISBLANK(A33),"""",GOOGLETRANSLATE(A33,""en"",""de""))"),"8. Umgang mit Werbetreibenden")</f>
        <v>8. Umgang mit Werbetreibenden</v>
      </c>
    </row>
    <row r="34" spans="1:2" ht="13.2">
      <c r="A34" s="2" t="s">
        <v>946</v>
      </c>
      <c r="B34" s="2" t="str">
        <f ca="1">IFERROR(__xludf.DUMMYFUNCTION("IF(ISBLANK(A34),"""",GOOGLETRANSLATE(A34,""en"",""de""))"),"Ihre Korrespondenz oder Geschäftsbeziehungen mit oder Ihre Teilnahme an Werbeaktionen von Werbetreibenden, die Sie auf oder über diese Website oder verlinkte Websites finden, einschließlich der Bezahlung und Lieferung zugehöriger Waren oder Dienstleistung"&amp;"en, sowie alle anderen Bedingungen, Garantien oder Zusicherungen im Zusammenhang mit solchen Geschäften, erfolgen ausschließlich zwischen Ihnen und den jeweiligen Werbetreibenden. Sie erklären sich damit einverstanden, dass NetSol (und seine verbundenen U"&amp;"nternehmen und die Anbieter) weder für Verluste oder Schäden verantwortlich noch haftbar sind, die Ihnen durch solche Geschäfte oder durch die Präsenz solcher Werbetreibenden auf oder über diese Website oder verlinkte Websites entstehen.")</f>
        <v>Ihre Korrespondenz oder Geschäftsbeziehungen mit oder Ihre Teilnahme an Werbeaktionen von Werbetreibenden, die Sie auf oder über diese Website oder verlinkte Websites finden, einschließlich der Bezahlung und Lieferung zugehöriger Waren oder Dienstleistungen, sowie alle anderen Bedingungen, Garantien oder Zusicherungen im Zusammenhang mit solchen Geschäften, erfolgen ausschließlich zwischen Ihnen und den jeweiligen Werbetreibenden. Sie erklären sich damit einverstanden, dass NetSol (und seine verbundenen Unternehmen und die Anbieter) weder für Verluste oder Schäden verantwortlich noch haftbar sind, die Ihnen durch solche Geschäfte oder durch die Präsenz solcher Werbetreibenden auf oder über diese Website oder verlinkte Websites entstehen.</v>
      </c>
    </row>
    <row r="35" spans="1:2" ht="13.2">
      <c r="A35" s="2" t="s">
        <v>947</v>
      </c>
      <c r="B35" s="2" t="str">
        <f ca="1">IFERROR(__xludf.DUMMYFUNCTION("IF(ISBLANK(A35),"""",GOOGLETRANSLATE(A35,""en"",""de""))"),"9. KEINE GARANTIEN")</f>
        <v>9. KEINE GARANTIEN</v>
      </c>
    </row>
    <row r="36" spans="1:2" ht="13.2">
      <c r="A36" s="2" t="s">
        <v>948</v>
      </c>
      <c r="B36" s="2" t="str">
        <f ca="1">IFERROR(__xludf.DUMMYFUNCTION("IF(ISBLANK(A36),"""",GOOGLETRANSLATE(A36,""en"",""de""))"),"Alle Inhalte, Produkte und Dienstleistungen auf dieser Website werden „wie besehen“ und ohne jegliche ausdrückliche oder stillschweigende Garantien bereitgestellt. Mit Ausnahme der Garantien, die gemäß den auf diese Bedingungen anwendbaren US-Gesetzen ges"&amp;"etzlich vorausgesetzt werden und nicht ausgeschlossen, eingeschränkt oder geändert werden können, lehnt Netsol jegliche ausdrückliche oder stillschweigende Garantien ab, einschließlich, aber nicht beschränkt auf stillschweigende Garantien der Marktgängigk"&amp;"eit und Eignung für einen bestimmten Zweck.")</f>
        <v>Alle Inhalte, Produkte und Dienstleistungen auf dieser Website werden „wie besehen“ und ohne jegliche ausdrückliche oder stillschweigende Garantien bereitgestellt. Mit Ausnahme der Garantien, die gemäß den auf diese Bedingungen anwendbaren US-Gesetzen gesetzlich vorausgesetzt werden und nicht ausgeschlossen, eingeschränkt oder geändert werden können, lehnt Netsol jegliche ausdrückliche oder stillschweigende Garantien ab, einschließlich, aber nicht beschränkt auf stillschweigende Garantien der Marktgängigkeit und Eignung für einen bestimmten Zweck.</v>
      </c>
    </row>
    <row r="37" spans="1:2" ht="13.2">
      <c r="A37" s="2" t="s">
        <v>949</v>
      </c>
      <c r="B37" s="2" t="str">
        <f ca="1">IFERROR(__xludf.DUMMYFUNCTION("IF(ISBLANK(A37),"""",GOOGLETRANSLATE(A37,""en"",""de""))"),"Weder Netsol noch seine verbundenen Unternehmen oder verwandten Unternehmen, die Anbieter oder andere Personen, die an der Erstellung, Produktion, dem Hosting und/oder der Verbreitung dieser Website beteiligt sind, garantieren, dass die Funktionen, Merkma"&amp;"le oder Dienste dieser Website ohne Unterbrechungen oder fehlerfrei verfügbar sind, dass Mängel behoben werden oder dass der Server, der die Inhalte bereitstellt, frei von Viren oder anderen schädlichen Komponenten ist. Die Inhalte, auf die Sie auf dieser"&amp;" Website zugreifen, werden ausschließlich zu Ihrer Bequemlichkeit und Information bereitgestellt. Netsol übernimmt keine Garantie oder Zusicherung hinsichtlich der Ergebnisse, die durch die Nutzung dieser Website erzielt werden können, oder hinsichtlich d"&amp;"er Zuverlässigkeit, Genauigkeit oder Aktualität von Inhalten, Diensten und/oder Waren, die aufgrund Ihrer Nutzung dieser Website bereitgestellt oder erworben werden.")</f>
        <v>Weder Netsol noch seine verbundenen Unternehmen oder verwandten Unternehmen, die Anbieter oder andere Personen, die an der Erstellung, Produktion, dem Hosting und/oder der Verbreitung dieser Website beteiligt sind, garantieren, dass die Funktionen, Merkmale oder Dienste dieser Website ohne Unterbrechungen oder fehlerfrei verfügbar sind, dass Mängel behoben werden oder dass der Server, der die Inhalte bereitstellt, frei von Viren oder anderen schädlichen Komponenten ist. Die Inhalte, auf die Sie auf dieser Website zugreifen, werden ausschließlich zu Ihrer Bequemlichkeit und Information bereitgestellt. Netsol übernimmt keine Garantie oder Zusicherung hinsichtlich der Ergebnisse, die durch die Nutzung dieser Website erzielt werden können, oder hinsichtlich der Zuverlässigkeit, Genauigkeit oder Aktualität von Inhalten, Diensten und/oder Waren, die aufgrund Ihrer Nutzung dieser Website bereitgestellt oder erworben werden.</v>
      </c>
    </row>
    <row r="38" spans="1:2" ht="13.2">
      <c r="A38" s="2" t="s">
        <v>950</v>
      </c>
      <c r="B38" s="2" t="str">
        <f ca="1">IFERROR(__xludf.DUMMYFUNCTION("IF(ISBLANK(A38),"""",GOOGLETRANSLATE(A38,""en"",""de""))"),"Netsol ist ein Verteiler und kein Herausgeber der Informationen und Inhalte dieser Website. Netsol hat über diese Informationen und Inhalte ebenso wenig redaktionelle Kontrolle wie eine öffentliche Bibliothek oder ein Zeitungskiosk. Alle Meinungen, Ratsch"&amp;"läge, Aussagen, Dienstleistungen, Angebote oder sonstigen Informationen, die von Dritten oder Anbietern (einschließlich der verlinkten Websites) geäußert oder zur Verfügung gestellt werden, stammen von den jeweiligen Autoren oder Verteilern dieser Informa"&amp;"tionen und Inhalte.")</f>
        <v>Netsol ist ein Verteiler und kein Herausgeber der Informationen und Inhalte dieser Website. Netsol hat über diese Informationen und Inhalte ebenso wenig redaktionelle Kontrolle wie eine öffentliche Bibliothek oder ein Zeitungskiosk. Alle Meinungen, Ratschläge, Aussagen, Dienstleistungen, Angebote oder sonstigen Informationen, die von Dritten oder Anbietern (einschließlich der verlinkten Websites) geäußert oder zur Verfügung gestellt werden, stammen von den jeweiligen Autoren oder Verteilern dieser Informationen und Inhalte.</v>
      </c>
    </row>
    <row r="39" spans="1:2" ht="13.2">
      <c r="A39" s="2" t="s">
        <v>951</v>
      </c>
      <c r="B39" s="2" t="str">
        <f ca="1">IFERROR(__xludf.DUMMYFUNCTION("IF(ISBLANK(A39),"""",GOOGLETRANSLATE(A39,""en"",""de""))"),"Die Nutzung dieser Website erfolgt auf Ihr eigenes Risiko. Sie (und nicht Netsol) übernehmen die gesamten Kosten für alle erforderlichen Wartungsarbeiten (einschließlich, aber nicht beschränkt auf Ihre Internetverbindung) und Reparaturen oder Korrekturen "&amp;"Ihres Computers, Netzwerks und/oder Systems.")</f>
        <v>Die Nutzung dieser Website erfolgt auf Ihr eigenes Risiko. Sie (und nicht Netsol) übernehmen die gesamten Kosten für alle erforderlichen Wartungsarbeiten (einschließlich, aber nicht beschränkt auf Ihre Internetverbindung) und Reparaturen oder Korrekturen Ihres Computers, Netzwerks und/oder Systems.</v>
      </c>
    </row>
    <row r="40" spans="1:2" ht="13.2">
      <c r="A40" s="2" t="s">
        <v>952</v>
      </c>
      <c r="B40" s="2" t="str">
        <f ca="1">IFERROR(__xludf.DUMMYFUNCTION("IF(ISBLANK(A40),"""",GOOGLETRANSLATE(A40,""en"",""de""))"),"10. HAFTUNGSBESCHRÄNKUNG")</f>
        <v>10. HAFTUNGSBESCHRÄNKUNG</v>
      </c>
    </row>
    <row r="41" spans="1:2" ht="13.2">
      <c r="A41" s="2" t="s">
        <v>953</v>
      </c>
      <c r="B41" s="2" t="str">
        <f ca="1">IFERROR(__xludf.DUMMYFUNCTION("IF(ISBLANK(A41),"""",GOOGLETRANSLATE(A41,""en"",""de""))"),"In keinem Fall haftet netsol, seine verbundenen oder verwandten Unternehmen oder Anbieter oder einer seiner oder deren jeweiligen leitenden Angestellten, Direktoren, Mitarbeiter oder Vertreter oder eine andere Person oder Organisation, die an der Erstellu"&amp;"ng, Produktion, Verbreitung und dem Hosting dieser Website beteiligt ist, für indirekte, Folge-, zufällige, Sonder-, Straf- oder exemplarische Schäden, unabhängig davon, ob diese aus Vertrag, Garantie oder unerlaubter Handlung (einschließlich Fahrlässigke"&amp;"it) oder einer anderen Haftungstheorie entstehen, unabhängig davon, ob netsol (oder seine verbundenen oder verwandten Unternehmen oder Anbieter) von der Möglichkeit solcher Schäden wusste oder hätte wissen müssen, einschließlich, aber nicht beschränkt auf"&amp;" die Nutzung oder versuchte Nutzung dieser Website oder einer anderen verlinkten Site.")</f>
        <v>In keinem Fall haftet netsol, seine verbundenen oder verwandten Unternehmen oder Anbieter oder einer seiner oder deren jeweiligen leitenden Angestellten, Direktoren, Mitarbeiter oder Vertreter oder eine andere Person oder Organisation, die an der Erstellung, Produktion, Verbreitung und dem Hosting dieser Website beteiligt ist, für indirekte, Folge-, zufällige, Sonder-, Straf- oder exemplarische Schäden, unabhängig davon, ob diese aus Vertrag, Garantie oder unerlaubter Handlung (einschließlich Fahrlässigkeit) oder einer anderen Haftungstheorie entstehen, unabhängig davon, ob netsol (oder seine verbundenen oder verwandten Unternehmen oder Anbieter) von der Möglichkeit solcher Schäden wusste oder hätte wissen müssen, einschließlich, aber nicht beschränkt auf die Nutzung oder versuchte Nutzung dieser Website oder einer anderen verlinkten Site.</v>
      </c>
    </row>
    <row r="42" spans="1:2" ht="13.2">
      <c r="A42" s="2" t="s">
        <v>954</v>
      </c>
      <c r="B42" s="2" t="str">
        <f ca="1">IFERROR(__xludf.DUMMYFUNCTION("IF(ISBLANK(A42),"""",GOOGLETRANSLATE(A42,""en"",""de""))"),"Die Haftung von NETSOL und der mit NETSOL verbundenen oder verwandten Unternehmen und/oder Anbieter gegenüber Ihnen oder Drittparteien ist unter allen Umständen auf den niedrigeren Betrag von (a) der Höhe der Gebühren, die Sie gegebenenfalls in den 12 Mon"&amp;"aten vor der Handlung, die die Haftung begründet, an NETSOL gezahlt haben, oder (b) 500 US-Dollar beschränkt. In einigen Staaten ist die oben beschriebene Haftungsbeschränkung möglicherweise nicht zulässig, sodass die vorstehende Beschränkung für Sie mögl"&amp;"icherweise nicht gilt.")</f>
        <v>Die Haftung von NETSOL und der mit NETSOL verbundenen oder verwandten Unternehmen und/oder Anbieter gegenüber Ihnen oder Drittparteien ist unter allen Umständen auf den niedrigeren Betrag von (a) der Höhe der Gebühren, die Sie gegebenenfalls in den 12 Monaten vor der Handlung, die die Haftung begründet, an NETSOL gezahlt haben, oder (b) 500 US-Dollar beschränkt. In einigen Staaten ist die oben beschriebene Haftungsbeschränkung möglicherweise nicht zulässig, sodass die vorstehende Beschränkung für Sie möglicherweise nicht gilt.</v>
      </c>
    </row>
    <row r="43" spans="1:2" ht="13.2">
      <c r="A43" s="2" t="s">
        <v>955</v>
      </c>
      <c r="B43" s="2" t="str">
        <f ca="1">IFERROR(__xludf.DUMMYFUNCTION("IF(ISBLANK(A43),"""",GOOGLETRANSLATE(A43,""en"",""de""))"),"Nur als Beispiel: Netsol und verbundene Personen und Unternehmen sind nicht verantwortlich oder haftbar für Ansprüche oder Schäden, die aus Leistungsstörungen, Fehlern, Auslassungen, Unterbrechungen, Löschungen, Mängeln, Betriebsverzögerungen, Computervir"&amp;"en, Diebstahl, Zerstörung, unbefugtem Zugriff auf oder Änderung von persönlichen Daten oder dem Vertrauen auf oder der Verwendung von Inhalten, Informationen, Meinungen oder anderen Materialien, die auf dieser Website erscheinen, entstehen. Darüber hinaus"&amp;" erkennen Sie ausdrücklich an und stimmen zu, dass Netsol nicht haftbar oder verantwortlich ist für diffamierendes, beleidigendes oder illegales Verhalten anderer Benutzer oder Dritter.")</f>
        <v>Nur als Beispiel: Netsol und verbundene Personen und Unternehmen sind nicht verantwortlich oder haftbar für Ansprüche oder Schäden, die aus Leistungsstörungen, Fehlern, Auslassungen, Unterbrechungen, Löschungen, Mängeln, Betriebsverzögerungen, Computerviren, Diebstahl, Zerstörung, unbefugtem Zugriff auf oder Änderung von persönlichen Daten oder dem Vertrauen auf oder der Verwendung von Inhalten, Informationen, Meinungen oder anderen Materialien, die auf dieser Website erscheinen, entstehen. Darüber hinaus erkennen Sie ausdrücklich an und stimmen zu, dass Netsol nicht haftbar oder verantwortlich ist für diffamierendes, beleidigendes oder illegales Verhalten anderer Benutzer oder Dritter.</v>
      </c>
    </row>
    <row r="44" spans="1:2" ht="13.2">
      <c r="A44" s="2" t="s">
        <v>956</v>
      </c>
      <c r="B44" s="2" t="str">
        <f ca="1">IFERROR(__xludf.DUMMYFUNCTION("IF(ISBLANK(A44),"""",GOOGLETRANSLATE(A44,""en"",""de""))"),"Die Haftungsbeschränkung spiegelt die Risikoverteilung zwischen den Parteien wider. Die in diesem Abschnitt 10 festgelegten Beschränkungen bleiben auch dann bestehen und gelten, wenn sich herausstellt, dass ein in diesen Bedingungen festgelegtes Rechtsmit"&amp;"tel seinen wesentlichen Zweck verfehlt hat. Die in diesen Bedingungen vorgesehenen Haftungsbeschränkungen kommen Netsol und den Anbietern sowie allen jeweiligen leitenden Angestellten, Direktoren, Mitarbeitern, Vertretern, Anwälten und Beauftragten zugute"&amp;".")</f>
        <v>Die Haftungsbeschränkung spiegelt die Risikoverteilung zwischen den Parteien wider. Die in diesem Abschnitt 10 festgelegten Beschränkungen bleiben auch dann bestehen und gelten, wenn sich herausstellt, dass ein in diesen Bedingungen festgelegtes Rechtsmittel seinen wesentlichen Zweck verfehlt hat. Die in diesen Bedingungen vorgesehenen Haftungsbeschränkungen kommen Netsol und den Anbietern sowie allen jeweiligen leitenden Angestellten, Direktoren, Mitarbeitern, Vertretern, Anwälten und Beauftragten zugute.</v>
      </c>
    </row>
    <row r="45" spans="1:2" ht="13.2">
      <c r="A45" s="2" t="s">
        <v>957</v>
      </c>
      <c r="B45" s="2" t="str">
        <f ca="1">IFERROR(__xludf.DUMMYFUNCTION("IF(ISBLANK(A45),"""",GOOGLETRANSLATE(A45,""en"",""de""))"),"11. Geltendes Recht und Gerichtsstand")</f>
        <v>11. Geltendes Recht und Gerichtsstand</v>
      </c>
    </row>
    <row r="46" spans="1:2" ht="13.2">
      <c r="A46" s="2" t="s">
        <v>958</v>
      </c>
      <c r="B46" s="2" t="str">
        <f ca="1">IFERROR(__xludf.DUMMYFUNCTION("IF(ISBLANK(A46),"""",GOOGLETRANSLATE(A46,""en"",""de""))"),"NetSol betreibt diese Website (ausgenommen verlinkte Websites, über die NetSol keine Autorität oder Kontrolle hat) von seinen Niederlassungen im US-Bundesstaat Kalifornien aus (die Bestimmungen können sich nach alleinigem Ermessen von NetSol von Zeit zu Z"&amp;"eit ändern). Auf die Website kann von allen 50 US-Bundesstaaten sowie von anderen Ländern weltweit aus zugegriffen werden. Da in jedem dieser Länder andere Gesetze als in Kalifornien gelten, erklären Sie sich durch den Zugriff auf diese Website damit einv"&amp;"erstanden, dass diese Bedingungen und Ihre Nutzung der Website in jeder Hinsicht dem internen materiellen Recht des US-Bundesstaates Kalifornien unterliegen, ohne Berücksichtigung kollisionsrechtlicher Bestimmungen, und nicht dem Übereinkommen der Vereint"&amp;"en Nationen über Verträge über den internationalen Warenkauf. Sie erklären sich ferner damit einverstanden, sich für alle Streitigkeiten, Fälle und Kontroversen bezüglich dieser Website, Ihrer Nutzung dieser Website und Ihrer Beziehung zu NetSol der aussc"&amp;"hließlichen Zuständigkeit und dem Gerichtsstand der Staats- und Bundesgerichte des US-Bundesstaates New Jersey zu unterwerfen. NetSol übernimmt keine Gewähr dafür, dass die Inhalte dieser Website für die Nutzung an anderen Standorten geeignet oder verfügb"&amp;"ar sind. Der Zugriff auf diese Website aus Gebieten, in denen die Inhalte illegal sind, ist untersagt. Wer von anderen Standorten auf diese Website zugreift, tut dies auf eigene Gefahr und ist für die Einhaltung der lokalen Gesetze verantwortlich, einschl"&amp;"ießlich der Gesetze zur Übertragung technischer Daten, die aus den USA oder dem Land, in dem Sie wohnen, exportiert werden.")</f>
        <v>NetSol betreibt diese Website (ausgenommen verlinkte Websites, über die NetSol keine Autorität oder Kontrolle hat) von seinen Niederlassungen im US-Bundesstaat Kalifornien aus (die Bestimmungen können sich nach alleinigem Ermessen von NetSol von Zeit zu Zeit ändern). Auf die Website kann von allen 50 US-Bundesstaaten sowie von anderen Ländern weltweit aus zugegriffen werden. Da in jedem dieser Länder andere Gesetze als in Kalifornien gelten, erklären Sie sich durch den Zugriff auf diese Website damit einverstanden, dass diese Bedingungen und Ihre Nutzung der Website in jeder Hinsicht dem internen materiellen Recht des US-Bundesstaates Kalifornien unterliegen, ohne Berücksichtigung kollisionsrechtlicher Bestimmungen, und nicht dem Übereinkommen der Vereinten Nationen über Verträge über den internationalen Warenkauf. Sie erklären sich ferner damit einverstanden, sich für alle Streitigkeiten, Fälle und Kontroversen bezüglich dieser Website, Ihrer Nutzung dieser Website und Ihrer Beziehung zu NetSol der ausschließlichen Zuständigkeit und dem Gerichtsstand der Staats- und Bundesgerichte des US-Bundesstaates New Jersey zu unterwerfen. NetSol übernimmt keine Gewähr dafür, dass die Inhalte dieser Website für die Nutzung an anderen Standorten geeignet oder verfügbar sind. Der Zugriff auf diese Website aus Gebieten, in denen die Inhalte illegal sind, ist untersagt. Wer von anderen Standorten auf diese Website zugreift, tut dies auf eigene Gefahr und ist für die Einhaltung der lokalen Gesetze verantwortlich, einschließlich der Gesetze zur Übertragung technischer Daten, die aus den USA oder dem Land, in dem Sie wohnen, exportiert werden.</v>
      </c>
    </row>
    <row r="47" spans="1:2" ht="13.2">
      <c r="A47" s="2" t="s">
        <v>959</v>
      </c>
      <c r="B47" s="2" t="str">
        <f ca="1">IFERROR(__xludf.DUMMYFUNCTION("IF(ISBLANK(A47),"""",GOOGLETRANSLATE(A47,""en"",""de""))"),"12. SCHADENSERSATZ")</f>
        <v>12. SCHADENSERSATZ</v>
      </c>
    </row>
    <row r="48" spans="1:2" ht="13.2">
      <c r="A48" s="2" t="s">
        <v>960</v>
      </c>
      <c r="B48" s="2" t="str">
        <f ca="1">IFERROR(__xludf.DUMMYFUNCTION("IF(ISBLANK(A48),"""",GOOGLETRANSLATE(A48,""en"",""de""))"),"NetSol behält sich das Recht vor, Fehlverhalten, sobald es davon Kenntnis erlangt, den zuständigen Regierungs- oder Strafverfolgungsbehörden zu melden. Sie erklären sich damit einverstanden, NetSol und die Anbieter, deren leitende Angestellte, Direktoren,"&amp;" Mitarbeiter, verbundene Unternehmen, Vertreter, Lizenzgeber und Lieferanten von allen Ansprüchen, Forderungen, Klagen, Kosten, Haftungen, Verlusten und Schäden jeglicher Art (einschließlich Anwaltskosten) freizustellen, die sich aus Ihrer Nutzung dieser "&amp;"Website, Ihrem Verstoß gegen Bestimmungen dieser Bedingungen und/oder fahrlässigen Handlungen, Unterlassungen oder vorsätzlichem Fehlverhalten Ihrerseits ergeben. Eine solche Schadloshaltung ist an folgende Bedingungen geknüpft: (a) NetSol benachrichtigt "&amp;"Sie schriftlich über derartige Ansprüche, Forderungen, Klagen, Kosten, Haftungen, Verluste oder die Androhung derartiger Ansprüche, Forderungen, Klagen, Kosten, Haftungen, Verluste oder deren Androhung; (b) arbeitet mit Ihnen bei der Verteidigung oder Bei"&amp;"legung zusammen; und (c) überlässt Ihnen die Kontrolle über diese Verteidigung oder Beilegung. NetSol ist berechtigt, sich auf eigene Kosten an dieser Verteidigung zu beteiligen.")</f>
        <v>NetSol behält sich das Recht vor, Fehlverhalten, sobald es davon Kenntnis erlangt, den zuständigen Regierungs- oder Strafverfolgungsbehörden zu melden. Sie erklären sich damit einverstanden, NetSol und die Anbieter, deren leitende Angestellte, Direktoren, Mitarbeiter, verbundene Unternehmen, Vertreter, Lizenzgeber und Lieferanten von allen Ansprüchen, Forderungen, Klagen, Kosten, Haftungen, Verlusten und Schäden jeglicher Art (einschließlich Anwaltskosten) freizustellen, die sich aus Ihrer Nutzung dieser Website, Ihrem Verstoß gegen Bestimmungen dieser Bedingungen und/oder fahrlässigen Handlungen, Unterlassungen oder vorsätzlichem Fehlverhalten Ihrerseits ergeben. Eine solche Schadloshaltung ist an folgende Bedingungen geknüpft: (a) NetSol benachrichtigt Sie schriftlich über derartige Ansprüche, Forderungen, Klagen, Kosten, Haftungen, Verluste oder die Androhung derartiger Ansprüche, Forderungen, Klagen, Kosten, Haftungen, Verluste oder deren Androhung; (b) arbeitet mit Ihnen bei der Verteidigung oder Beilegung zusammen; und (c) überlässt Ihnen die Kontrolle über diese Verteidigung oder Beilegung. NetSol ist berechtigt, sich auf eigene Kosten an dieser Verteidigung zu beteiligen.</v>
      </c>
    </row>
    <row r="49" spans="1:2" ht="13.2">
      <c r="A49" s="2" t="s">
        <v>961</v>
      </c>
      <c r="B49" s="2" t="str">
        <f ca="1">IFERROR(__xludf.DUMMYFUNCTION("IF(ISBLANK(A49),"""",GOOGLETRANSLATE(A49,""en"",""de""))"),"13. FOREN")</f>
        <v>13. FOREN</v>
      </c>
    </row>
    <row r="50" spans="1:2" ht="13.2">
      <c r="A50" s="2" t="s">
        <v>962</v>
      </c>
      <c r="B50" s="2" t="str">
        <f ca="1">IFERROR(__xludf.DUMMYFUNCTION("IF(ISBLANK(A50),"""",GOOGLETRANSLATE(A50,""en"",""de""))"),"Falls NetSol auf dieser Website Message Boards, Weblogs, Blogs oder Diskussionsforen (die „Foren“) bereitstellt, erklären Sie sich damit einverstanden, die Foren ausschließlich für persönliche Zwecke und nichtkommerziell zu nutzen. Ohne die ausdrückliche "&amp;"Zustimmung von NetSol dürfen Sie kein Material verbreiten oder anderweitig veröffentlichen, das Spendenaufrufe, Werbung oder schriftliche Angebote für Waren und Dienstleistungen enthält. Sie erklären sich damit einverstanden, dass hochgeladene Materialien"&amp;" ohne Entschädigung an Sie oder andere Personen oder Unternehmen erneut veröffentlicht werden dürfen. Darüber hinaus garantieren Sie, dass auf alle Urheberpersönlichkeitsrechte an hochgeladenen Materialien verzichtet wurde. Obwohl NetSol nicht jede von Ih"&amp;"nen oder anderen Benutzern in den Foren gepostete Nachricht überprüft und nicht für diese Nachrichten verantwortlich ist, behält sich NetSol das Recht (aber nicht die Pflicht) vor, Nachrichten zu löschen, zu verschieben oder zu bearbeiten, die nach eigene"&amp;"m Ermessen als beleidigend, diffamierend, obszön, urheber- oder markenrechtlich verletzend, gegen diese Bedingungen verstoßend oder anderweitig inakzeptabel erachtet werden. NetSol unterstützt keine Informationen, die möglicherweise über die Foren auf die"&amp;"ser Website veröffentlicht werden.")</f>
        <v>Falls NetSol auf dieser Website Message Boards, Weblogs, Blogs oder Diskussionsforen (die „Foren“) bereitstellt, erklären Sie sich damit einverstanden, die Foren ausschließlich für persönliche Zwecke und nichtkommerziell zu nutzen. Ohne die ausdrückliche Zustimmung von NetSol dürfen Sie kein Material verbreiten oder anderweitig veröffentlichen, das Spendenaufrufe, Werbung oder schriftliche Angebote für Waren und Dienstleistungen enthält. Sie erklären sich damit einverstanden, dass hochgeladene Materialien ohne Entschädigung an Sie oder andere Personen oder Unternehmen erneut veröffentlicht werden dürfen. Darüber hinaus garantieren Sie, dass auf alle Urheberpersönlichkeitsrechte an hochgeladenen Materialien verzichtet wurde. Obwohl NetSol nicht jede von Ihnen oder anderen Benutzern in den Foren gepostete Nachricht überprüft und nicht für diese Nachrichten verantwortlich ist, behält sich NetSol das Recht (aber nicht die Pflicht) vor, Nachrichten zu löschen, zu verschieben oder zu bearbeiten, die nach eigenem Ermessen als beleidigend, diffamierend, obszön, urheber- oder markenrechtlich verletzend, gegen diese Bedingungen verstoßend oder anderweitig inakzeptabel erachtet werden. NetSol unterstützt keine Informationen, die möglicherweise über die Foren auf dieser Website veröffentlicht werden.</v>
      </c>
    </row>
    <row r="51" spans="1:2" ht="13.2">
      <c r="A51" s="2" t="s">
        <v>963</v>
      </c>
      <c r="B51" s="2" t="str">
        <f ca="1">IFERROR(__xludf.DUMMYFUNCTION("IF(ISBLANK(A51),"""",GOOGLETRANSLATE(A51,""en"",""de""))"),"14. SONSTIGE ALLGEMEINE BESTIMMUNGEN Diese Bedingungen gelten zugunsten von NetSol und den Anbietern, deren leitenden Angestellten, Direktoren, Mitarbeitern, verbundenen Unternehmen, Vertretern, Lizenzgebern und Lieferanten. Jede dieser Personen oder Unte"&amp;"rnehmen ist berechtigt, diese Bedingungen in ihrem eigenen Namen direkt gegenüber Ihnen geltend zu machen und durchzusetzen. Das Unterlassen von Maßnahmen seitens NetSol bei einem Verstoß Ihrerseits oder Dritter stellt keinen Verzicht auf das Recht von Ne"&amp;"tSol dar, bei nachfolgenden oder ähnlichen Verstößen Maßnahmen zu ergreifen.")</f>
        <v>14. SONSTIGE ALLGEMEINE BESTIMMUNGEN Diese Bedingungen gelten zugunsten von NetSol und den Anbietern, deren leitenden Angestellten, Direktoren, Mitarbeitern, verbundenen Unternehmen, Vertretern, Lizenzgebern und Lieferanten. Jede dieser Personen oder Unternehmen ist berechtigt, diese Bedingungen in ihrem eigenen Namen direkt gegenüber Ihnen geltend zu machen und durchzusetzen. Das Unterlassen von Maßnahmen seitens NetSol bei einem Verstoß Ihrerseits oder Dritter stellt keinen Verzicht auf das Recht von NetSol dar, bei nachfolgenden oder ähnlichen Verstößen Maßnahmen zu ergreifen.</v>
      </c>
    </row>
    <row r="52" spans="1:2" ht="13.2">
      <c r="A52" s="2" t="s">
        <v>964</v>
      </c>
      <c r="B52" s="2" t="str">
        <f ca="1">IFERROR(__xludf.DUMMYFUNCTION("IF(ISBLANK(A52),"""",GOOGLETRANSLATE(A52,""en"",""de""))"),"Sollte eine Bestimmung dieser Bedingungen für ungültig oder nicht durchsetzbar befunden werden, wird diese Bestimmung gestrichen und die übrigen Bestimmungen bleiben in Kraft. Überschriften dienen nur zu Referenzzwecken.")</f>
        <v>Sollte eine Bestimmung dieser Bedingungen für ungültig oder nicht durchsetzbar befunden werden, wird diese Bestimmung gestrichen und die übrigen Bestimmungen bleiben in Kraft. Überschriften dienen nur zu Referenzzwecken.</v>
      </c>
    </row>
    <row r="53" spans="1:2" ht="13.2">
      <c r="A53" s="2" t="s">
        <v>965</v>
      </c>
      <c r="B53" s="2" t="str">
        <f ca="1">IFERROR(__xludf.DUMMYFUNCTION("IF(ISBLANK(A53),"""",GOOGLETRANSLATE(A53,""en"",""de""))"),"Sie und NetSol handeln auf Distanz und begründen eine Geschäftsbeziehung. NetSol ist nicht Ihr Vertreter oder Treuhänder. Viele Unternehmen und Einrichtungen von NetSol können sich im Besitz unabhängiger Franchisenehmer und Lizenznehmer befinden und von d"&amp;"iesen betrieben werden. In diesen Fällen verwalten und betreiben diese Franchisenehmer und Lizenznehmer die Einrichtungen und sind Arbeitgeber aller dort tätigen Mitarbeiter und Auftragnehmer. Diese Franchisenehmer sind unabhängige Auftragnehmer, und durc"&amp;"h diese Bedingungen wird weder ein Agentur-, Partnerschafts-, Joint-Venture-, Arbeitnehmer-Arbeitgeber- noch ein Franchisegeber-Franchisenehmer-Verhältnis beabsichtigt noch begründet.")</f>
        <v>Sie und NetSol handeln auf Distanz und begründen eine Geschäftsbeziehung. NetSol ist nicht Ihr Vertreter oder Treuhänder. Viele Unternehmen und Einrichtungen von NetSol können sich im Besitz unabhängiger Franchisenehmer und Lizenznehmer befinden und von diesen betrieben werden. In diesen Fällen verwalten und betreiben diese Franchisenehmer und Lizenznehmer die Einrichtungen und sind Arbeitgeber aller dort tätigen Mitarbeiter und Auftragnehmer. Diese Franchisenehmer sind unabhängige Auftragnehmer, und durch diese Bedingungen wird weder ein Agentur-, Partnerschafts-, Joint-Venture-, Arbeitnehmer-Arbeitgeber- noch ein Franchisegeber-Franchisenehmer-Verhältnis beabsichtigt noch begründet.</v>
      </c>
    </row>
    <row r="54" spans="1:2" ht="13.2">
      <c r="A54" s="2" t="s">
        <v>966</v>
      </c>
      <c r="B54" s="2" t="str">
        <f ca="1">IFERROR(__xludf.DUMMYFUNCTION("IF(ISBLANK(A54),"""",GOOGLETRANSLATE(A54,""en"",""de""))"),"Die Bestimmungen und Bedingungen dieser Bedingungen sowie alle darin genannten Verpflichtungen stellen die gesamte Vereinbarung zwischen NetSol (einschließlich der Anbieter), seinen verbundenen Unternehmen und Ihnen dar und ersetzen alle früheren Vereinba"&amp;"rungen oder Absprachen, die hier nicht enthalten sind. Im Falle von Unstimmigkeiten zwischen diesen Bedingungen und künftig veröffentlichten Nutzungsbedingungen oder Absprachen gelten die zuletzt veröffentlichten Bedingungen.")</f>
        <v>Die Bestimmungen und Bedingungen dieser Bedingungen sowie alle darin genannten Verpflichtungen stellen die gesamte Vereinbarung zwischen NetSol (einschließlich der Anbieter), seinen verbundenen Unternehmen und Ihnen dar und ersetzen alle früheren Vereinbarungen oder Absprachen, die hier nicht enthalten sind. Im Falle von Unstimmigkeiten zwischen diesen Bedingungen und künftig veröffentlichten Nutzungsbedingungen oder Absprachen gelten die zuletzt veröffentlichten Bedingungen.</v>
      </c>
    </row>
    <row r="55" spans="1:2" ht="13.2">
      <c r="A55" s="2" t="s">
        <v>967</v>
      </c>
      <c r="B55" s="2" t="str">
        <f ca="1">IFERROR(__xludf.DUMMYFUNCTION("IF(ISBLANK(A55),"""",GOOGLETRANSLATE(A55,""en"",""de""))"),"NETSOL BEHÄLT SICH ALLE RECHTE VOR, DIE IN DIESEN BEDINGUNGEN NICHT AUSDRÜCKLICH GEWÄHRT ODER ANGEGEBEN WERDEN.")</f>
        <v>NETSOL BEHÄLT SICH ALLE RECHTE VOR, DIE IN DIESEN BEDINGUNGEN NICHT AUSDRÜCKLICH GEWÄHRT ODER ANGEGEBEN WERDEN.</v>
      </c>
    </row>
    <row r="56" spans="1:2" ht="13.2">
      <c r="A56" s="2" t="s">
        <v>968</v>
      </c>
      <c r="B56" s="2" t="str">
        <f ca="1">IFERROR(__xludf.DUMMYFUNCTION("IF(ISBLANK(A56),"""",GOOGLETRANSLATE(A56,""en"",""de""))"),"Registrierte Firmendetails")</f>
        <v>Registrierte Firmendetails</v>
      </c>
    </row>
    <row r="57" spans="1:2" ht="13.2">
      <c r="A57" s="2" t="s">
        <v>969</v>
      </c>
      <c r="B57" s="2" t="str">
        <f ca="1">IFERROR(__xludf.DUMMYFUNCTION("IF(ISBLANK(A57),"""",GOOGLETRANSLATE(A57,""en"",""de""))"),"NetSol Technologies Europe Ltd (handelnd als NetSol Technologies). Eingetragene Geschäftsadresse: Planet House, North Heath Lane, Horsham RH12 5QE, West Sussex, England. Eingetragen in England unter der Nummer 1998080. USt-IdNr.: 826611533")</f>
        <v>NetSol Technologies Europe Ltd (handelnd als NetSol Technologies). Eingetragene Geschäftsadresse: Planet House, North Heath Lane, Horsham RH12 5QE, West Sussex, England. Eingetragen in England unter der Nummer 1998080. USt-IdNr.: 826611533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70"/>
  <sheetViews>
    <sheetView topLeftCell="A57" workbookViewId="0"/>
  </sheetViews>
  <sheetFormatPr defaultColWidth="12.5546875" defaultRowHeight="15.75" customHeight="1"/>
  <cols>
    <col min="1" max="1" width="101" customWidth="1"/>
  </cols>
  <sheetData>
    <row r="1" spans="1:2" ht="13.2">
      <c r="A1" s="1" t="s">
        <v>0</v>
      </c>
      <c r="B1" s="1" t="s">
        <v>1</v>
      </c>
    </row>
    <row r="2" spans="1:2" ht="15.75" customHeight="1">
      <c r="A2" s="2" t="s">
        <v>191</v>
      </c>
      <c r="B2" s="2" t="str">
        <f ca="1">IFERROR(__xludf.DUMMYFUNCTION("IF(ISBLANK(A2),"""",GOOGLETRANSLATE(A2,""en"",""de""))"),"Datenschutzrichtlinie")</f>
        <v>Datenschutzrichtlinie</v>
      </c>
    </row>
    <row r="3" spans="1:2" ht="15.75" customHeight="1">
      <c r="A3" s="2" t="s">
        <v>970</v>
      </c>
      <c r="B3" s="2" t="str">
        <f ca="1">IFERROR(__xludf.DUMMYFUNCTION("IF(ISBLANK(A3),"""",GOOGLETRANSLATE(A3,""en"",""de""))"),"Allgemeine Grundsätze:")</f>
        <v>Allgemeine Grundsätze:</v>
      </c>
    </row>
    <row r="4" spans="1:2" ht="15.75" customHeight="1">
      <c r="A4" s="2" t="s">
        <v>971</v>
      </c>
      <c r="B4" s="2" t="str">
        <f ca="1">IFERROR(__xludf.DUMMYFUNCTION("IF(ISBLANK(A4),"""",GOOGLETRANSLATE(A4,""en"",""de""))"),"NETSOL Technologies Ltd („NETSOL“) versteht, dass Ihnen Ihre Privatsphäre wichtig ist und dass Sie sich Gedanken darüber machen, wie Ihre personenbezogenen Daten online verwendet und weitergegeben werden. Wir respektieren und schätzen die Privatsphäre all"&amp;"er Besucher dieser Website, https://netsoltech.com („Unsere Website“), und erheben und verwenden personenbezogene Daten nur auf die hier beschriebene Weise und in einer Weise, die mit unseren Verpflichtungen und Ihren gesetzlichen Rechten vereinbar ist.")</f>
        <v>NETSOL Technologies Ltd („NETSOL“) versteht, dass Ihnen Ihre Privatsphäre wichtig ist und dass Sie sich Gedanken darüber machen, wie Ihre personenbezogenen Daten online verwendet und weitergegeben werden. Wir respektieren und schätzen die Privatsphäre aller Besucher dieser Website, https://netsoltech.com („Unsere Website“), und erheben und verwenden personenbezogene Daten nur auf die hier beschriebene Weise und in einer Weise, die mit unseren Verpflichtungen und Ihren gesetzlichen Rechten vereinbar ist.</v>
      </c>
    </row>
    <row r="5" spans="1:2" ht="15.75" customHeight="1">
      <c r="A5" s="2" t="s">
        <v>972</v>
      </c>
      <c r="B5" s="2" t="str">
        <f ca="1">IFERROR(__xludf.DUMMYFUNCTION("IF(ISBLANK(A5),"""",GOOGLETRANSLATE(A5,""en"",""de""))"),"Bitte lesen Sie diese Datenschutzrichtlinie und unsere Cookie-Richtlinie, die Teil dieser Vereinbarung sind, sorgfältig durch und stellen Sie sicher, dass Sie sie verstehen. Ihre Zustimmung zu unserer Datenschutzrichtlinie gilt mit Ihrer ersten Nutzung un"&amp;"serer Website als erteilt. Wenn Sie diese Datenschutzrichtlinie nicht akzeptieren, müssen Sie die Nutzung unserer Website unverzüglich einstellen.")</f>
        <v>Bitte lesen Sie diese Datenschutzrichtlinie und unsere Cookie-Richtlinie, die Teil dieser Vereinbarung sind, sorgfältig durch und stellen Sie sicher, dass Sie sie verstehen. Ihre Zustimmung zu unserer Datenschutzrichtlinie gilt mit Ihrer ersten Nutzung unserer Website als erteilt. Wenn Sie diese Datenschutzrichtlinie nicht akzeptieren, müssen Sie die Nutzung unserer Website unverzüglich einstellen.</v>
      </c>
    </row>
    <row r="6" spans="1:2" ht="15.75" customHeight="1">
      <c r="A6" s="2" t="s">
        <v>973</v>
      </c>
      <c r="B6" s="2" t="str">
        <f ca="1">IFERROR(__xludf.DUMMYFUNCTION("IF(ISBLANK(A6),"""",GOOGLETRANSLATE(A6,""en"",""de""))"),"Was deckt diese Police ab?")</f>
        <v>Was deckt diese Police ab?</v>
      </c>
    </row>
    <row r="7" spans="1:2" ht="15.75" customHeight="1">
      <c r="A7" s="2" t="s">
        <v>974</v>
      </c>
      <c r="B7" s="2" t="str">
        <f ca="1">IFERROR(__xludf.DUMMYFUNCTION("IF(ISBLANK(A7),"""",GOOGLETRANSLATE(A7,""en"",""de""))"),"Diese Datenschutzrichtlinie gilt nur für Ihre Nutzung unserer Website. Unsere Website kann Links zu anderen Websites enthalten. Bitte beachten Sie, dass wir keinen Einfluss darauf haben, wie Ihre Daten von anderen Websites erhoben, gespeichert oder verwen"&amp;"det werden. Wir empfehlen Ihnen, die Datenschutzrichtlinien dieser Websites zu prüfen, bevor Sie ihnen Daten zur Verfügung stellen.")</f>
        <v>Diese Datenschutzrichtlinie gilt nur für Ihre Nutzung unserer Website. Unsere Website kann Links zu anderen Websites enthalten. Bitte beachten Sie, dass wir keinen Einfluss darauf haben, wie Ihre Daten von anderen Websites erhoben, gespeichert oder verwendet werden. Wir empfehlen Ihnen, die Datenschutzrichtlinien dieser Websites zu prüfen, bevor Sie ihnen Daten zur Verfügung stellen.</v>
      </c>
    </row>
    <row r="8" spans="1:2" ht="15.75" customHeight="1">
      <c r="A8" s="2" t="s">
        <v>975</v>
      </c>
      <c r="B8" s="2" t="str">
        <f ca="1">IFERROR(__xludf.DUMMYFUNCTION("IF(ISBLANK(A8),"""",GOOGLETRANSLATE(A8,""en"",""de""))"),"Welche Daten werden erfasst?")</f>
        <v>Welche Daten werden erfasst?</v>
      </c>
    </row>
    <row r="9" spans="1:2" ht="15.75" customHeight="1">
      <c r="A9" s="2" t="s">
        <v>976</v>
      </c>
      <c r="B9" s="2" t="str">
        <f ca="1">IFERROR(__xludf.DUMMYFUNCTION("IF(ISBLANK(A9),"""",GOOGLETRANSLATE(A9,""en"",""de""))"),"Unsere Webseiten:")</f>
        <v>Unsere Webseiten:</v>
      </c>
    </row>
    <row r="10" spans="1:2" ht="15.75" customHeight="1">
      <c r="A10" s="2" t="s">
        <v>977</v>
      </c>
      <c r="B10" s="2" t="str">
        <f ca="1">IFERROR(__xludf.DUMMYFUNCTION("IF(ISBLANK(A10),"""",GOOGLETRANSLATE(A10,""en"",""de""))"),"netsoltech.com, ascent.netsoltech.com, mobility.netsoltech.com")</f>
        <v>netsoltech.com, ascent.netsoltech.com, mobility.netsoltech.com</v>
      </c>
    </row>
    <row r="11" spans="1:2" ht="15.75" customHeight="1">
      <c r="A11" s="2" t="s">
        <v>978</v>
      </c>
      <c r="B11" s="2" t="str">
        <f ca="1">IFERROR(__xludf.DUMMYFUNCTION("IF(ISBLANK(A11),"""",GOOGLETRANSLATE(A11,""en"",""de""))"),"Zu den Daten, die wir über unsere Websites von Ihnen erfassen, gehören Ihr Name, Ihre Berufsbezeichnung, Ihr Firmenname, Ihre E-Mail-Adresse und Ihre Telefonnummer. Diese Angaben machen Sie, wenn Sie über unsere Kontaktformulare oder Demo-Anfrageformulare"&amp;" mit uns in Kontakt treten. Unsere Website kann auch bestimmte Erstanbieter-Cookies auf Ihrem Computer oder Gerät platzieren und darauf zugreifen. Diese Cookies sind in unserer Cookie-Richtlinie aufgeführt. Diese Richtlinie ist durch diesen Verweis in die"&amp;"se Datenschutzrichtlinie integriert.")</f>
        <v>Zu den Daten, die wir über unsere Websites von Ihnen erfassen, gehören Ihr Name, Ihre Berufsbezeichnung, Ihr Firmenname, Ihre E-Mail-Adresse und Ihre Telefonnummer. Diese Angaben machen Sie, wenn Sie über unsere Kontaktformulare oder Demo-Anfrageformulare mit uns in Kontakt treten. Unsere Website kann auch bestimmte Erstanbieter-Cookies auf Ihrem Computer oder Gerät platzieren und darauf zugreifen. Diese Cookies sind in unserer Cookie-Richtlinie aufgeführt. Diese Richtlinie ist durch diesen Verweis in diese Datenschutzrichtlinie integriert.</v>
      </c>
    </row>
    <row r="12" spans="1:2" ht="15.75" customHeight="1">
      <c r="A12" s="2" t="s">
        <v>979</v>
      </c>
      <c r="B12" s="2" t="str">
        <f ca="1">IFERROR(__xludf.DUMMYFUNCTION("IF(ISBLANK(A12),"""",GOOGLETRANSLATE(A12,""en"",""de""))"),"Bewerber:")</f>
        <v>Bewerber:</v>
      </c>
    </row>
    <row r="13" spans="1:2" ht="15.75" customHeight="1">
      <c r="A13" s="2" t="s">
        <v>980</v>
      </c>
      <c r="B13" s="2" t="str">
        <f ca="1">IFERROR(__xludf.DUMMYFUNCTION("IF(ISBLANK(A13),"""",GOOGLETRANSLATE(A13,""en"",""de""))"),"Im Rahmen jedes Einstellungsverfahrens erhebt und verarbeitet NETSOL personenbezogene Daten von Bewerbern. Wir erfassen Ihren beruflichen Werdegang, Ihre Kontaktdaten und alle weiteren Informationen aus Ihrem Lebenslauf. Wir erklären Ihnen stets klar, was"&amp;" wir von Ihnen verlangen und warum. Wir bitten Sie stets um Ihre Einwilligung, die Informationen bereitzustellen, die wir zur Einhaltung des lokalen Arbeitsrechts benötigen.")</f>
        <v>Im Rahmen jedes Einstellungsverfahrens erhebt und verarbeitet NETSOL personenbezogene Daten von Bewerbern. Wir erfassen Ihren beruflichen Werdegang, Ihre Kontaktdaten und alle weiteren Informationen aus Ihrem Lebenslauf. Wir erklären Ihnen stets klar, was wir von Ihnen verlangen und warum. Wir bitten Sie stets um Ihre Einwilligung, die Informationen bereitzustellen, die wir zur Einhaltung des lokalen Arbeitsrechts benötigen.</v>
      </c>
    </row>
    <row r="14" spans="1:2" ht="15.75" customHeight="1">
      <c r="A14" s="2" t="s">
        <v>981</v>
      </c>
      <c r="B14" s="2" t="str">
        <f ca="1">IFERROR(__xludf.DUMMYFUNCTION("IF(ISBLANK(A14),"""",GOOGLETRANSLATE(A14,""en"",""de""))"),"Wie verwenden wir Ihre Daten?")</f>
        <v>Wie verwenden wir Ihre Daten?</v>
      </c>
    </row>
    <row r="15" spans="1:2" ht="15.75" customHeight="1">
      <c r="A15" s="2" t="s">
        <v>982</v>
      </c>
      <c r="B15" s="2" t="str">
        <f ca="1">IFERROR(__xludf.DUMMYFUNCTION("IF(ISBLANK(A15),"""",GOOGLETRANSLATE(A15,""en"",""de""))"),"Alle personenbezogenen Daten werden sicher verarbeitet und gespeichert, und zwar nur so lange, wie es für den Zweck ihrer Erhebung erforderlich ist. Wir werden unseren Verpflichtungen nachkommen und Ihre Rechte gemäß der DSGVO jederzeit wahren.")</f>
        <v>Alle personenbezogenen Daten werden sicher verarbeitet und gespeichert, und zwar nur so lange, wie es für den Zweck ihrer Erhebung erforderlich ist. Wir werden unseren Verpflichtungen nachkommen und Ihre Rechte gemäß der DSGVO jederzeit wahren.</v>
      </c>
    </row>
    <row r="16" spans="1:2" ht="15.75" customHeight="1">
      <c r="A16" s="2" t="s">
        <v>983</v>
      </c>
      <c r="B16" s="2" t="str">
        <f ca="1">IFERROR(__xludf.DUMMYFUNCTION("IF(ISBLANK(A16),"""",GOOGLETRANSLATE(A16,""en"",""de""))"),"Die Verwendung Ihrer personenbezogenen Daten erfolgt stets auf Grundlage einer gesetzlichen Grundlage, sei es, weil dies für die Erfüllung eines Vertrags mit Ihnen erforderlich ist, weil Sie der Verwendung Ihrer personenbezogenen Daten zugestimmt haben (z"&amp;". B. durch die Anmeldung zu unserem E-Mail-Newsletter) oder weil dies in unserem berechtigten Interesse liegt. Insbesondere können wir Ihre Daten für folgende Zwecke verwenden:")</f>
        <v>Die Verwendung Ihrer personenbezogenen Daten erfolgt stets auf Grundlage einer gesetzlichen Grundlage, sei es, weil dies für die Erfüllung eines Vertrags mit Ihnen erforderlich ist, weil Sie der Verwendung Ihrer personenbezogenen Daten zugestimmt haben (z. B. durch die Anmeldung zu unserem E-Mail-Newsletter) oder weil dies in unserem berechtigten Interesse liegt. Insbesondere können wir Ihre Daten für folgende Zwecke verwenden:</v>
      </c>
    </row>
    <row r="17" spans="1:2" ht="15.75" customHeight="1">
      <c r="A17" s="2" t="s">
        <v>984</v>
      </c>
      <c r="B17" s="2" t="str">
        <f ca="1">IFERROR(__xludf.DUMMYFUNCTION("IF(ISBLANK(A17),"""",GOOGLETRANSLATE(A17,""en"",""de""))"),"Bereitstellung und Verwaltung Ihres Kontos.")</f>
        <v>Bereitstellung und Verwaltung Ihres Kontos.</v>
      </c>
    </row>
    <row r="18" spans="1:2" ht="15.75" customHeight="1">
      <c r="A18" s="2" t="s">
        <v>985</v>
      </c>
      <c r="B18" s="2" t="str">
        <f ca="1">IFERROR(__xludf.DUMMYFUNCTION("IF(ISBLANK(A18),"""",GOOGLETRANSLATE(A18,""en"",""de""))"),"Bereitstellung und Verwaltung Ihres Zugriffs auf unsere Site.")</f>
        <v>Bereitstellung und Verwaltung Ihres Zugriffs auf unsere Site.</v>
      </c>
    </row>
    <row r="19" spans="1:2" ht="15.75" customHeight="1">
      <c r="A19" s="2" t="s">
        <v>986</v>
      </c>
      <c r="B19" s="2" t="str">
        <f ca="1">IFERROR(__xludf.DUMMYFUNCTION("IF(ISBLANK(A19),"""",GOOGLETRANSLATE(A19,""en"",""de""))"),"Bereitstellung unserer Produkte und Dienstleistungen für Sie (bitte beachten Sie, dass wir Ihre personenbezogenen Daten benötigen, um einen Vertrag mit Ihnen abzuschließen).")</f>
        <v>Bereitstellung unserer Produkte und Dienstleistungen für Sie (bitte beachten Sie, dass wir Ihre personenbezogenen Daten benötigen, um einen Vertrag mit Ihnen abzuschließen).</v>
      </c>
    </row>
    <row r="20" spans="1:2" ht="15.75" customHeight="1">
      <c r="A20" s="2" t="s">
        <v>987</v>
      </c>
      <c r="B20" s="2" t="str">
        <f ca="1">IFERROR(__xludf.DUMMYFUNCTION("IF(ISBLANK(A20),"""",GOOGLETRANSLATE(A20,""en"",""de""))"),"Personalisierung und Anpassung unserer Produkte und Dienstleistungen an Ihre Bedürfnisse.")</f>
        <v>Personalisierung und Anpassung unserer Produkte und Dienstleistungen an Ihre Bedürfnisse.</v>
      </c>
    </row>
    <row r="21" spans="1:2" ht="15.75" customHeight="1">
      <c r="A21" s="2" t="s">
        <v>988</v>
      </c>
      <c r="B21" s="2" t="str">
        <f ca="1">IFERROR(__xludf.DUMMYFUNCTION("IF(ISBLANK(A21),"""",GOOGLETRANSLATE(A21,""en"",""de""))"),"Beantwortung Ihrer E-Mails.")</f>
        <v>Beantwortung Ihrer E-Mails.</v>
      </c>
    </row>
    <row r="22" spans="1:2" ht="15.75" customHeight="1">
      <c r="A22" s="2" t="s">
        <v>989</v>
      </c>
      <c r="B22" s="2" t="str">
        <f ca="1">IFERROR(__xludf.DUMMYFUNCTION("IF(ISBLANK(A22),"""",GOOGLETRANSLATE(A22,""en"",""de""))"),"Um Ihnen E-Mails zu senden, für die Sie sich angemeldet haben (Sie können sich jederzeit abmelden oder den Newsletter abbestellen, indem Sie auf „Abmelden“ klicken).")</f>
        <v>Um Ihnen E-Mails zu senden, für die Sie sich angemeldet haben (Sie können sich jederzeit abmelden oder den Newsletter abbestellen, indem Sie auf „Abmelden“ klicken).</v>
      </c>
    </row>
    <row r="23" spans="1:2" ht="15.75" customHeight="1">
      <c r="A23" s="2" t="s">
        <v>990</v>
      </c>
      <c r="B23" s="2" t="str">
        <f ca="1">IFERROR(__xludf.DUMMYFUNCTION("IF(ISBLANK(A23),"""",GOOGLETRANSLATE(A23,""en"",""de""))"),"Analysieren Sie Ihre Nutzung unserer Site und sammeln Sie Feedback, damit wir unsere Site und Ihr Benutzererlebnis kontinuierlich verbessern können.")</f>
        <v>Analysieren Sie Ihre Nutzung unserer Site und sammeln Sie Feedback, damit wir unsere Site und Ihr Benutzererlebnis kontinuierlich verbessern können.</v>
      </c>
    </row>
    <row r="24" spans="1:2" ht="13.2">
      <c r="A24" s="2" t="s">
        <v>991</v>
      </c>
      <c r="B24" s="2" t="str">
        <f ca="1">IFERROR(__xludf.DUMMYFUNCTION("IF(ISBLANK(A24),"""",GOOGLETRANSLATE(A24,""en"",""de""))"),"Mit Ihrer Einwilligung und/oder soweit gesetzlich zulässig, können wir Ihre Daten auch für Marketingzwecke verwenden. Dazu gehört auch die Kontaktaufnahme per E-Mail und/oder Telefon mit Informationen, Neuigkeiten und Angeboten zu unseren Produkten und Di"&amp;"enstleistungen. Wir senden Ihnen jedoch keine unerwünschten Werbebotschaften oder Spam und ergreifen alle angemessenen Maßnahmen, um sicherzustellen, dass wir Ihre Rechte umfassend schützen und unseren Verpflichtungen gemäß der DSGVO und der Datenschutz- "&amp;"und elektronischen Kommunikationsverordnung (EG-Richtlinie) von 2003 nachkommen.")</f>
        <v>Mit Ihrer Einwilligung und/oder soweit gesetzlich zulässig, können wir Ihre Daten auch für Marketingzwecke verwenden. Dazu gehört auch die Kontaktaufnahme per E-Mail und/oder Telefon mit Informationen, Neuigkeiten und Angeboten zu unseren Produkten und Dienstleistungen. Wir senden Ihnen jedoch keine unerwünschten Werbebotschaften oder Spam und ergreifen alle angemessenen Maßnahmen, um sicherzustellen, dass wir Ihre Rechte umfassend schützen und unseren Verpflichtungen gemäß der DSGVO und der Datenschutz- und elektronischen Kommunikationsverordnung (EG-Richtlinie) von 2003 nachkommen.</v>
      </c>
    </row>
    <row r="25" spans="1:2" ht="13.2">
      <c r="A25" s="2" t="s">
        <v>992</v>
      </c>
      <c r="B25" s="2" t="str">
        <f ca="1">IFERROR(__xludf.DUMMYFUNCTION("IF(ISBLANK(A25),"""",GOOGLETRANSLATE(A25,""en"",""de""))"),"Sie haben jederzeit das Recht, Ihre Einwilligung zur Nutzung Ihrer personenbezogenen Daten zu widerrufen und deren Löschung zu verlangen. Sie können dies über die in dieser Datenschutzerklärung angegebenen Kontaktdaten tun.")</f>
        <v>Sie haben jederzeit das Recht, Ihre Einwilligung zur Nutzung Ihrer personenbezogenen Daten zu widerrufen und deren Löschung zu verlangen. Sie können dies über die in dieser Datenschutzerklärung angegebenen Kontaktdaten tun.</v>
      </c>
    </row>
    <row r="26" spans="1:2" ht="13.2">
      <c r="A26" s="2" t="s">
        <v>993</v>
      </c>
      <c r="B26" s="2" t="str">
        <f ca="1">IFERROR(__xludf.DUMMYFUNCTION("IF(ISBLANK(A26),"""",GOOGLETRANSLATE(A26,""en"",""de""))"),"Wie lange bewahren wir Ihre Daten auf?")</f>
        <v>Wie lange bewahren wir Ihre Daten auf?</v>
      </c>
    </row>
    <row r="27" spans="1:2" ht="13.2">
      <c r="A27" s="2" t="s">
        <v>994</v>
      </c>
      <c r="B27" s="2" t="str">
        <f ca="1">IFERROR(__xludf.DUMMYFUNCTION("IF(ISBLANK(A27),"""",GOOGLETRANSLATE(A27,""en"",""de""))"),"Wir speichern Ihre personenbezogenen Daten nicht länger, als es für den Zweck ihrer Erhebung erforderlich ist. Die Daten werden daher zwei Jahre nach ihrer letzten Verwendung gespeichert.")</f>
        <v>Wir speichern Ihre personenbezogenen Daten nicht länger, als es für den Zweck ihrer Erhebung erforderlich ist. Die Daten werden daher zwei Jahre nach ihrer letzten Verwendung gespeichert.</v>
      </c>
    </row>
    <row r="28" spans="1:2" ht="13.2">
      <c r="A28" s="2" t="s">
        <v>995</v>
      </c>
      <c r="B28" s="2" t="str">
        <f ca="1">IFERROR(__xludf.DUMMYFUNCTION("IF(ISBLANK(A28),"""",GOOGLETRANSLATE(A28,""en"",""de""))"),"Wenn Sie sich bei uns beworben haben:")</f>
        <v>Wenn Sie sich bei uns beworben haben:</v>
      </c>
    </row>
    <row r="29" spans="1:2" ht="13.2">
      <c r="A29" s="2" t="s">
        <v>996</v>
      </c>
      <c r="B29" s="2" t="str">
        <f ca="1">IFERROR(__xludf.DUMMYFUNCTION("IF(ISBLANK(A29),"""",GOOGLETRANSLATE(A29,""en"",""de""))"),"Wenn Sie nicht erfolgreich waren, speichern wir Ihre Bewerbungsdaten für 8 Monate ab dem Datum der Entscheidung und kontaktieren Sie während dieser Zeit gegebenenfalls mit Informationen zu relevanten Stellen. Nach Ablauf dieses Zeitraums werden Ihre Daten"&amp;" gelöscht.")</f>
        <v>Wenn Sie nicht erfolgreich waren, speichern wir Ihre Bewerbungsdaten für 8 Monate ab dem Datum der Entscheidung und kontaktieren Sie während dieser Zeit gegebenenfalls mit Informationen zu relevanten Stellen. Nach Ablauf dieses Zeitraums werden Ihre Daten gelöscht.</v>
      </c>
    </row>
    <row r="30" spans="1:2" ht="13.2">
      <c r="A30" s="2" t="s">
        <v>997</v>
      </c>
      <c r="B30" s="2" t="str">
        <f ca="1">IFERROR(__xludf.DUMMYFUNCTION("IF(ISBLANK(A30),"""",GOOGLETRANSLATE(A30,""en"",""de""))"),"Wenn Sie Mitarbeiter bei NETSOL werden, werden die von uns über Sie erhobenen Daten in Ihre Personalakte aufgenommen. Wir informieren Sie während Ihres Beschäftigungsverhältnisses über die Aufbewahrungsfristen Ihrer Daten nach Ihrem Ausscheiden.")</f>
        <v>Wenn Sie Mitarbeiter bei NETSOL werden, werden die von uns über Sie erhobenen Daten in Ihre Personalakte aufgenommen. Wir informieren Sie während Ihres Beschäftigungsverhältnisses über die Aufbewahrungsfristen Ihrer Daten nach Ihrem Ausscheiden.</v>
      </c>
    </row>
    <row r="31" spans="1:2" ht="13.2">
      <c r="A31" s="2" t="s">
        <v>998</v>
      </c>
      <c r="B31" s="2" t="str">
        <f ca="1">IFERROR(__xludf.DUMMYFUNCTION("IF(ISBLANK(A31),"""",GOOGLETRANSLATE(A31,""en"",""de""))"),"Wie und wo speichern wir Ihre Daten?")</f>
        <v>Wie und wo speichern wir Ihre Daten?</v>
      </c>
    </row>
    <row r="32" spans="1:2" ht="13.2">
      <c r="A32" s="2" t="s">
        <v>999</v>
      </c>
      <c r="B32" s="2" t="str">
        <f ca="1">IFERROR(__xludf.DUMMYFUNCTION("IF(ISBLANK(A32),"""",GOOGLETRANSLATE(A32,""en"",""de""))"),"Wir bewahren Ihre personenbezogenen Daten nur so lange auf, wie wir sie für die oben beschriebene Verwendung benötigen und/oder solange wir Ihre Einwilligung zur Aufbewahrung haben.")</f>
        <v>Wir bewahren Ihre personenbezogenen Daten nur so lange auf, wie wir sie für die oben beschriebene Verwendung benötigen und/oder solange wir Ihre Einwilligung zur Aufbewahrung haben.</v>
      </c>
    </row>
    <row r="33" spans="1:2" ht="13.2">
      <c r="A33" s="2" t="s">
        <v>1000</v>
      </c>
      <c r="B33" s="2" t="str">
        <f ca="1">IFERROR(__xludf.DUMMYFUNCTION("IF(ISBLANK(A33),"""",GOOGLETRANSLATE(A33,""en"",""de""))"),"Einige oder alle Ihrer Daten können außerhalb des Europäischen Wirtschaftsraums („EWR“) gespeichert werden (der EWR umfasst alle EU-Mitgliedsstaaten sowie Norwegen, Island und Liechtenstein). Durch die Nutzung unserer Website und die Übermittlung von Info"&amp;"rmationen an uns erklären Sie sich damit einverstanden. Wenn wir Daten außerhalb des EWR speichern, ergreifen wir alle angemessenen Maßnahmen, um sicherzustellen, dass Ihre Daten so sicher und geschützt behandelt werden, wie dies im Vereinigten Königreich"&amp;" und gemäß der DSGVO der Fall wäre. Dazu gehört auch die Nutzung DSGVO-konformer Lieferanten zur Verarbeitung und Speicherung personenbezogener Daten.")</f>
        <v>Einige oder alle Ihrer Daten können außerhalb des Europäischen Wirtschaftsraums („EWR“) gespeichert werden (der EWR umfasst alle EU-Mitgliedsstaaten sowie Norwegen, Island und Liechtenstein). Durch die Nutzung unserer Website und die Übermittlung von Informationen an uns erklären Sie sich damit einverstanden. Wenn wir Daten außerhalb des EWR speichern, ergreifen wir alle angemessenen Maßnahmen, um sicherzustellen, dass Ihre Daten so sicher und geschützt behandelt werden, wie dies im Vereinigten Königreich und gemäß der DSGVO der Fall wäre. Dazu gehört auch die Nutzung DSGVO-konformer Lieferanten zur Verarbeitung und Speicherung personenbezogener Daten.</v>
      </c>
    </row>
    <row r="34" spans="1:2" ht="13.2">
      <c r="A34" s="2" t="s">
        <v>1001</v>
      </c>
      <c r="B34" s="2" t="str">
        <f ca="1">IFERROR(__xludf.DUMMYFUNCTION("IF(ISBLANK(A34),"""",GOOGLETRANSLATE(A34,""en"",""de""))"),"Geben wir Ihre Daten weiter?")</f>
        <v>Geben wir Ihre Daten weiter?</v>
      </c>
    </row>
    <row r="35" spans="1:2" ht="13.2">
      <c r="A35" s="2" t="s">
        <v>1002</v>
      </c>
      <c r="B35" s="2" t="str">
        <f ca="1">IFERROR(__xludf.DUMMYFUNCTION("IF(ISBLANK(A35),"""",GOOGLETRANSLATE(A35,""en"",""de""))"),"Bei NETSOL nehmen wir Ihre Privatsphäre ernst und die Informationen, die wir über Sie speichern, sind vertraulich. Wir können Ihre Daten an andere Unternehmen unserer Gruppe weitergeben, um Ihnen unsere Produkte und Dienstleistungen bereitzustellen, Ihr K"&amp;"onto zu verwalten und die Nutzung unserer Produkte und Dienstleistungen zu überwachen. Dies gilt auch für unsere Muttergesellschaften und deren Tochtergesellschaften.")</f>
        <v>Bei NETSOL nehmen wir Ihre Privatsphäre ernst und die Informationen, die wir über Sie speichern, sind vertraulich. Wir können Ihre Daten an andere Unternehmen unserer Gruppe weitergeben, um Ihnen unsere Produkte und Dienstleistungen bereitzustellen, Ihr Konto zu verwalten und die Nutzung unserer Produkte und Dienstleistungen zu überwachen. Dies gilt auch für unsere Muttergesellschaften und deren Tochtergesellschaften.</v>
      </c>
    </row>
    <row r="36" spans="1:2" ht="13.2">
      <c r="A36" s="2" t="s">
        <v>1003</v>
      </c>
      <c r="B36" s="2" t="str">
        <f ca="1">IFERROR(__xludf.DUMMYFUNCTION("IF(ISBLANK(A36),"""",GOOGLETRANSLATE(A36,""en"",""de""))"),"Wir beauftragen gegebenenfalls Dritte mit der Bereitstellung von Produkten und Dienstleistungen in unserem Namen. Hierzu zählen unter anderem Zahlungsabwicklung, Warenlieferung, Suchmaschinenfunktionen, Werbung und Marketing. In manchen Fällen benötigen D"&amp;"ritte Zugriff auf Ihre Daten. Sollten wir Ihre Daten zu diesem Zweck benötigen, ergreifen wir alle angemessenen Maßnahmen, um sicherzustellen, dass Ihre Daten sicher und geschützt sowie in Übereinstimmung mit Ihren Rechten, unseren Pflichten und den geset"&amp;"zlichen Pflichten Dritter verarbeitet werden.")</f>
        <v>Wir beauftragen gegebenenfalls Dritte mit der Bereitstellung von Produkten und Dienstleistungen in unserem Namen. Hierzu zählen unter anderem Zahlungsabwicklung, Warenlieferung, Suchmaschinenfunktionen, Werbung und Marketing. In manchen Fällen benötigen Dritte Zugriff auf Ihre Daten. Sollten wir Ihre Daten zu diesem Zweck benötigen, ergreifen wir alle angemessenen Maßnahmen, um sicherzustellen, dass Ihre Daten sicher und geschützt sowie in Übereinstimmung mit Ihren Rechten, unseren Pflichten und den gesetzlichen Pflichten Dritter verarbeitet werden.</v>
      </c>
    </row>
    <row r="37" spans="1:2" ht="13.2">
      <c r="A37" s="2" t="s">
        <v>1004</v>
      </c>
      <c r="B37" s="2" t="str">
        <f ca="1">IFERROR(__xludf.DUMMYFUNCTION("IF(ISBLANK(A37),"""",GOOGLETRANSLATE(A37,""en"",""de""))"),"Wir können Statistiken über die Nutzung unserer Website erstellen, einschließlich Daten zu Verkehr, Nutzungsmustern, Benutzerzahlen, Verkäufen und anderen Informationen. Alle diese Daten werden anonymisiert und enthalten keine personenbezogenen Daten oder"&amp;" anonymisierte Daten, die mit anderen Daten kombiniert und zur Identifizierung Ihrer Person verwendet werden können. Wir können diese Daten von Zeit zu Zeit an Dritte weitergeben, beispielsweise an potenzielle Investoren, verbundene Unternehmen, Partner u"&amp;"nd Werbetreibende. Die Weitergabe und Nutzung der Daten erfolgt ausschließlich im Rahmen der gesetzlichen Bestimmungen.")</f>
        <v>Wir können Statistiken über die Nutzung unserer Website erstellen, einschließlich Daten zu Verkehr, Nutzungsmustern, Benutzerzahlen, Verkäufen und anderen Informationen. Alle diese Daten werden anonymisiert und enthalten keine personenbezogenen Daten oder anonymisierte Daten, die mit anderen Daten kombiniert und zur Identifizierung Ihrer Person verwendet werden können. Wir können diese Daten von Zeit zu Zeit an Dritte weitergeben, beispielsweise an potenzielle Investoren, verbundene Unternehmen, Partner und Werbetreibende. Die Weitergabe und Nutzung der Daten erfolgt ausschließlich im Rahmen der gesetzlichen Bestimmungen.</v>
      </c>
    </row>
    <row r="38" spans="1:2" ht="13.2">
      <c r="A38" s="2" t="s">
        <v>1005</v>
      </c>
      <c r="B38" s="2" t="str">
        <f ca="1">IFERROR(__xludf.DUMMYFUNCTION("IF(ISBLANK(A38),"""",GOOGLETRANSLATE(A38,""en"",""de""))"),"Wir nutzen gelegentlich externe Datenverarbeiter außerhalb des Europäischen Wirtschaftsraums („EWR“) (der EWR umfasst alle EU-Mitgliedsstaaten sowie Norwegen, Island und Liechtenstein). Wenn wir personenbezogene Daten außerhalb des EWR übermitteln, ergrei"&amp;"fen wir alle angemessenen Maßnahmen, um sicherzustellen, dass Ihre Daten genauso sicher und geschützt behandelt werden, wie dies im Vereinigten Königreich und gemäß der DSGVO der Fall wäre.")</f>
        <v>Wir nutzen gelegentlich externe Datenverarbeiter außerhalb des Europäischen Wirtschaftsraums („EWR“) (der EWR umfasst alle EU-Mitgliedsstaaten sowie Norwegen, Island und Liechtenstein). Wenn wir personenbezogene Daten außerhalb des EWR übermitteln, ergreifen wir alle angemessenen Maßnahmen, um sicherzustellen, dass Ihre Daten genauso sicher und geschützt behandelt werden, wie dies im Vereinigten Königreich und gemäß der DSGVO der Fall wäre.</v>
      </c>
    </row>
    <row r="39" spans="1:2" ht="13.2">
      <c r="A39" s="2" t="s">
        <v>1006</v>
      </c>
      <c r="B39" s="2" t="str">
        <f ca="1">IFERROR(__xludf.DUMMYFUNCTION("IF(ISBLANK(A39),"""",GOOGLETRANSLATE(A39,""en"",""de""))"),"Unter bestimmten Umständen sind wir möglicherweise gesetzlich verpflichtet, bestimmte von uns gespeicherte Daten weiterzugeben, darunter auch Ihre personenbezogenen Daten, beispielsweise wenn wir in ein Gerichtsverfahren verwickelt sind, wenn wir gesetzli"&amp;"chen Anforderungen, einem Gerichtsbeschluss oder einer Regierungsbehörde nachkommen müssen.")</f>
        <v>Unter bestimmten Umständen sind wir möglicherweise gesetzlich verpflichtet, bestimmte von uns gespeicherte Daten weiterzugeben, darunter auch Ihre personenbezogenen Daten, beispielsweise wenn wir in ein Gerichtsverfahren verwickelt sind, wenn wir gesetzlichen Anforderungen, einem Gerichtsbeschluss oder einer Regierungsbehörde nachkommen müssen.</v>
      </c>
    </row>
    <row r="40" spans="1:2" ht="13.2">
      <c r="A40" s="2" t="s">
        <v>1007</v>
      </c>
      <c r="B40" s="2" t="str">
        <f ca="1">IFERROR(__xludf.DUMMYFUNCTION("IF(ISBLANK(A40),"""",GOOGLETRANSLATE(A40,""en"",""de""))"),"Links zu anderen Websites")</f>
        <v>Links zu anderen Websites</v>
      </c>
    </row>
    <row r="41" spans="1:2" ht="13.2">
      <c r="A41" s="2" t="s">
        <v>1008</v>
      </c>
      <c r="B41" s="2" t="str">
        <f ca="1">IFERROR(__xludf.DUMMYFUNCTION("IF(ISBLANK(A41),"""",GOOGLETRANSLATE(A41,""en"",""de""))"),"Bitte beachten Sie, dass diese Datenschutzrichtlinie nur für NETSOL Technologies Ltd. gilt. Wenn Sie von dieser Website aus einem Link zu einer anderen Website folgen, sind wir nicht für die Sicherheit der dort angegebenen Informationen verantwortlich. Si"&amp;"e sind dafür verantwortlich, die Datenschutzrichtlinien dieser Websites Dritter zu überprüfen und einzuhalten, um sicherzustellen, dass sie den Datenschutzbestimmungen entsprechen.")</f>
        <v>Bitte beachten Sie, dass diese Datenschutzrichtlinie nur für NETSOL Technologies Ltd. gilt. Wenn Sie von dieser Website aus einem Link zu einer anderen Website folgen, sind wir nicht für die Sicherheit der dort angegebenen Informationen verantwortlich. Sie sind dafür verantwortlich, die Datenschutzrichtlinien dieser Websites Dritter zu überprüfen und einzuhalten, um sicherzustellen, dass sie den Datenschutzbestimmungen entsprechen.</v>
      </c>
    </row>
    <row r="42" spans="1:2" ht="13.2">
      <c r="A42" s="2" t="s">
        <v>1009</v>
      </c>
      <c r="B42" s="2" t="str">
        <f ca="1">IFERROR(__xludf.DUMMYFUNCTION("IF(ISBLANK(A42),"""",GOOGLETRANSLATE(A42,""en"",""de""))"),"Was passiert, wenn unser Unternehmen den Besitzer wechselt?")</f>
        <v>Was passiert, wenn unser Unternehmen den Besitzer wechselt?</v>
      </c>
    </row>
    <row r="43" spans="1:2" ht="13.2">
      <c r="A43" s="2" t="s">
        <v>1010</v>
      </c>
      <c r="B43" s="2" t="str">
        <f ca="1">IFERROR(__xludf.DUMMYFUNCTION("IF(ISBLANK(A43),"""",GOOGLETRANSLATE(A43,""en"",""de""))"),"Wir können unser Geschäft von Zeit zu Zeit erweitern oder reduzieren. Dies kann den Verkauf und/oder die Übertragung der Kontrolle über unser gesamtes oder Teile unseres Geschäfts mit sich bringen. Alle von Ihnen bereitgestellten personenbezogenen Daten w"&amp;"erden, sofern sie für einen zu übertragenden Teil unseres Geschäfts relevant sind, zusammen mit diesem Teil übertragen. Der neue Eigentümer oder die neue kontrollierende Partei darf diese Daten gemäß den Bestimmungen dieser Datenschutzrichtlinie nur für d"&amp;"ieselben Zwecke verwenden, für die sie ursprünglich von uns erhoben wurden.")</f>
        <v>Wir können unser Geschäft von Zeit zu Zeit erweitern oder reduzieren. Dies kann den Verkauf und/oder die Übertragung der Kontrolle über unser gesamtes oder Teile unseres Geschäfts mit sich bringen. Alle von Ihnen bereitgestellten personenbezogenen Daten werden, sofern sie für einen zu übertragenden Teil unseres Geschäfts relevant sind, zusammen mit diesem Teil übertragen. Der neue Eigentümer oder die neue kontrollierende Partei darf diese Daten gemäß den Bestimmungen dieser Datenschutzrichtlinie nur für dieselben Zwecke verwenden, für die sie ursprünglich von uns erhoben wurden.</v>
      </c>
    </row>
    <row r="44" spans="1:2" ht="13.2">
      <c r="A44" s="2" t="s">
        <v>1011</v>
      </c>
      <c r="B44" s="2" t="str">
        <f ca="1">IFERROR(__xludf.DUMMYFUNCTION("IF(ISBLANK(A44),"""",GOOGLETRANSLATE(A44,""en"",""de""))"),"Für den Fall, dass Ihre Daten auf diese Weise übermittelt werden, werden Sie vorher nicht kontaktiert.")</f>
        <v>Für den Fall, dass Ihre Daten auf diese Weise übermittelt werden, werden Sie vorher nicht kontaktiert.</v>
      </c>
    </row>
    <row r="45" spans="1:2" ht="13.2">
      <c r="A45" s="2" t="s">
        <v>1012</v>
      </c>
      <c r="B45" s="2" t="str">
        <f ca="1">IFERROR(__xludf.DUMMYFUNCTION("IF(ISBLANK(A45),"""",GOOGLETRANSLATE(A45,""en"",""de""))"),"Ihre Rechte und wie Sie uns kontaktieren können:")</f>
        <v>Ihre Rechte und wie Sie uns kontaktieren können:</v>
      </c>
    </row>
    <row r="46" spans="1:2" ht="13.2">
      <c r="A46" s="2" t="s">
        <v>1013</v>
      </c>
      <c r="B46" s="2" t="str">
        <f ca="1">IFERROR(__xludf.DUMMYFUNCTION("IF(ISBLANK(A46),"""",GOOGLETRANSLATE(A46,""en"",""de""))"),"Als betroffene Person innerhalb der EU haben Sie gemäß der DSGVO die folgenden Rechte, die durch diese Richtlinie und unsere Verwendung personenbezogener Daten gewahrt werden sollen:")</f>
        <v>Als betroffene Person innerhalb der EU haben Sie gemäß der DSGVO die folgenden Rechte, die durch diese Richtlinie und unsere Verwendung personenbezogener Daten gewahrt werden sollen:</v>
      </c>
    </row>
    <row r="47" spans="1:2" ht="13.2">
      <c r="A47" s="2" t="s">
        <v>1014</v>
      </c>
      <c r="B47" s="2" t="str">
        <f ca="1">IFERROR(__xludf.DUMMYFUNCTION("IF(ISBLANK(A47),"""",GOOGLETRANSLATE(A47,""en"",""de""))"),"Das Recht, über unsere Erhebung und Verwendung personenbezogener Daten informiert zu werden")</f>
        <v>Das Recht, über unsere Erhebung und Verwendung personenbezogener Daten informiert zu werden</v>
      </c>
    </row>
    <row r="48" spans="1:2" ht="13.2">
      <c r="A48" s="2" t="s">
        <v>1015</v>
      </c>
      <c r="B48" s="2" t="str">
        <f ca="1">IFERROR(__xludf.DUMMYFUNCTION("IF(ISBLANK(A48),"""",GOOGLETRANSLATE(A48,""en"",""de""))"),"Das Recht auf Zugriff auf die personenbezogenen Daten, die wir über Sie gespeichert haben.")</f>
        <v>Das Recht auf Zugriff auf die personenbezogenen Daten, die wir über Sie gespeichert haben.</v>
      </c>
    </row>
    <row r="49" spans="1:2" ht="13.2">
      <c r="A49" s="2" t="s">
        <v>1016</v>
      </c>
      <c r="B49" s="2" t="str">
        <f ca="1">IFERROR(__xludf.DUMMYFUNCTION("IF(ISBLANK(A49),"""",GOOGLETRANSLATE(A49,""en"",""de""))"),"Das Recht auf Berichtigung, wenn die von uns über Sie gespeicherten personenbezogenen Daten unrichtig oder unvollständig sind.")</f>
        <v>Das Recht auf Berichtigung, wenn die von uns über Sie gespeicherten personenbezogenen Daten unrichtig oder unvollständig sind.</v>
      </c>
    </row>
    <row r="50" spans="1:2" ht="13.2">
      <c r="A50" s="2" t="s">
        <v>1017</v>
      </c>
      <c r="B50" s="2" t="str">
        <f ca="1">IFERROR(__xludf.DUMMYFUNCTION("IF(ISBLANK(A50),"""",GOOGLETRANSLATE(A50,""en"",""de""))"),"Das Recht auf Vergessenwerden – d. h. das Recht, uns aufzufordern, alle personenbezogenen Daten zu löschen, die wir über Sie gespeichert haben (Wir speichern Ihre personenbezogenen Daten nur für einen begrenzten Zeitraum, wie in dieser Richtlinie erläuter"&amp;"t, aber wenn Sie möchten, dass wir sie früher löschen, kontaktieren Sie uns bitte).")</f>
        <v>Das Recht auf Vergessenwerden – d. h. das Recht, uns aufzufordern, alle personenbezogenen Daten zu löschen, die wir über Sie gespeichert haben (Wir speichern Ihre personenbezogenen Daten nur für einen begrenzten Zeitraum, wie in dieser Richtlinie erläutert, aber wenn Sie möchten, dass wir sie früher löschen, kontaktieren Sie uns bitte).</v>
      </c>
    </row>
    <row r="51" spans="1:2" ht="13.2">
      <c r="A51" s="2" t="s">
        <v>1018</v>
      </c>
      <c r="B51" s="2" t="str">
        <f ca="1">IFERROR(__xludf.DUMMYFUNCTION("IF(ISBLANK(A51),"""",GOOGLETRANSLATE(A51,""en"",""de""))"),"Das Recht, die Verarbeitung Ihrer personenbezogenen Daten einzuschränken (d. h. zu verhindern).")</f>
        <v>Das Recht, die Verarbeitung Ihrer personenbezogenen Daten einzuschränken (d. h. zu verhindern).</v>
      </c>
    </row>
    <row r="52" spans="1:2" ht="13.2">
      <c r="A52" s="2" t="s">
        <v>1019</v>
      </c>
      <c r="B52" s="2" t="str">
        <f ca="1">IFERROR(__xludf.DUMMYFUNCTION("IF(ISBLANK(A52),"""",GOOGLETRANSLATE(A52,""en"",""de""))"),"Das Recht auf Datenübertragbarkeit (Erhalt einer Kopie Ihrer personenbezogenen Daten zur Wiederverwendung bei einem anderen Dienst oder einer anderen Organisation).")</f>
        <v>Das Recht auf Datenübertragbarkeit (Erhalt einer Kopie Ihrer personenbezogenen Daten zur Wiederverwendung bei einem anderen Dienst oder einer anderen Organisation).</v>
      </c>
    </row>
    <row r="53" spans="1:2" ht="13.2">
      <c r="A53" s="2" t="s">
        <v>1020</v>
      </c>
      <c r="B53" s="2" t="str">
        <f ca="1">IFERROR(__xludf.DUMMYFUNCTION("IF(ISBLANK(A53),"""",GOOGLETRANSLATE(A53,""en"",""de""))"),"Das Recht, der Nutzung Ihrer personenbezogenen Daten durch uns für bestimmte Zwecke zu widersprechen, sowie Rechte in Bezug auf automatisierte Entscheidungsfindung und Profilerstellung.")</f>
        <v>Das Recht, der Nutzung Ihrer personenbezogenen Daten durch uns für bestimmte Zwecke zu widersprechen, sowie Rechte in Bezug auf automatisierte Entscheidungsfindung und Profilerstellung.</v>
      </c>
    </row>
    <row r="54" spans="1:2" ht="13.2">
      <c r="A54" s="2" t="s">
        <v>1021</v>
      </c>
      <c r="B54" s="2" t="str">
        <f ca="1">IFERROR(__xludf.DUMMYFUNCTION("IF(ISBLANK(A54),"""",GOOGLETRANSLATE(A54,""en"",""de""))"),"Sie können alle diese Rechte ausüben, indem Sie sich an unsere EU-DSGVO-Vertreterin Joanne Hope wenden:")</f>
        <v>Sie können alle diese Rechte ausüben, indem Sie sich an unsere EU-DSGVO-Vertreterin Joanne Hope wenden:</v>
      </c>
    </row>
    <row r="55" spans="1:2" ht="13.2">
      <c r="A55" s="2" t="s">
        <v>1022</v>
      </c>
      <c r="B55" s="2" t="str">
        <f ca="1">IFERROR(__xludf.DUMMYFUNCTION("IF(ISBLANK(A55),"""",GOOGLETRANSLATE(A55,""en"",""de""))"),"Tel: 01403 282300 E-Mail: nte.dpo@netsoltech.com Post: Planet House, North Heath Lane, Hosham, RH125QE")</f>
        <v>Tel: 01403 282300 E-Mail: nte.dpo@netsoltech.com Post: Planet House, North Heath Lane, Hosham, RH125QE</v>
      </c>
    </row>
    <row r="56" spans="1:2" ht="13.2">
      <c r="A56" s="2" t="s">
        <v>1023</v>
      </c>
      <c r="B56" s="2" t="str">
        <f ca="1">IFERROR(__xludf.DUMMYFUNCTION("IF(ISBLANK(A56),"""",GOOGLETRANSLATE(A56,""en"",""de""))"),"Wir werden Ihre Anfrage unverzüglich und spätestens innerhalb eines Monats nach Eingang Ihrer Anfrage beantworten.")</f>
        <v>Wir werden Ihre Anfrage unverzüglich und spätestens innerhalb eines Monats nach Eingang Ihrer Anfrage beantworten.</v>
      </c>
    </row>
    <row r="57" spans="1:2" ht="13.2">
      <c r="A57" s="2" t="s">
        <v>1024</v>
      </c>
      <c r="B57" s="2" t="str">
        <f ca="1">IFERROR(__xludf.DUMMYFUNCTION("IF(ISBLANK(A57),"""",GOOGLETRANSLATE(A57,""en"",""de""))"),"Sie können dieselben Kontaktdaten verwenden, wenn Sie Grund zur Beschwerde über unsere Verwendung Ihrer personenbezogenen Daten haben. Wir werden unser Bestes tun, das Problem für Sie zu lösen. Sollten wir Ihnen nicht helfen können, haben Sie auch das Rec"&amp;"ht, eine Beschwerde bei der britischen Aufsichtsbehörde, dem Information Commissioner’s Office (https://ico.org.uk), einzureichen. Für weitere Informationen zu Ihren Rechten wenden Sie sich bitte an das Information Commissioner’s Office oder Ihre örtliche"&amp;" Bürgerberatungsstelle.")</f>
        <v>Sie können dieselben Kontaktdaten verwenden, wenn Sie Grund zur Beschwerde über unsere Verwendung Ihrer personenbezogenen Daten haben. Wir werden unser Bestes tun, das Problem für Sie zu lösen. Sollten wir Ihnen nicht helfen können, haben Sie auch das Recht, eine Beschwerde bei der britischen Aufsichtsbehörde, dem Information Commissioner’s Office (https://ico.org.uk), einzureichen. Für weitere Informationen zu Ihren Rechten wenden Sie sich bitte an das Information Commissioner’s Office oder Ihre örtliche Bürgerberatungsstelle.</v>
      </c>
    </row>
    <row r="58" spans="1:2" ht="13.2">
      <c r="A58" s="2" t="s">
        <v>1025</v>
      </c>
      <c r="B58" s="2" t="str">
        <f ca="1">IFERROR(__xludf.DUMMYFUNCTION("IF(ISBLANK(A58),"""",GOOGLETRANSLATE(A58,""en"",""de""))"),"Wie können Sie Ihre Daten kontrollieren?")</f>
        <v>Wie können Sie Ihre Daten kontrollieren?</v>
      </c>
    </row>
    <row r="59" spans="1:2" ht="13.2">
      <c r="A59" s="2" t="s">
        <v>1026</v>
      </c>
      <c r="B59" s="2" t="str">
        <f ca="1">IFERROR(__xludf.DUMMYFUNCTION("IF(ISBLANK(A59),"""",GOOGLETRANSLATE(A59,""en"",""de""))"),"Wenn Sie personenbezogene Daten über unsere Website übermitteln, haben Sie möglicherweise die Möglichkeit, unsere Verwendung Ihrer Daten einzuschränken. Insbesondere möchten wir Ihnen umfassende Kontrolle über die Verwendung Ihrer Daten für Direktmarketin"&amp;"gzwecke geben (einschließlich der Möglichkeit, den Erhalt von E-Mails von uns abzulehnen, indem Sie sich über die in unseren E-Mails und bei der Angabe Ihrer Daten bereitgestellten Links abmelden).")</f>
        <v>Wenn Sie personenbezogene Daten über unsere Website übermitteln, haben Sie möglicherweise die Möglichkeit, unsere Verwendung Ihrer Daten einzuschränken. Insbesondere möchten wir Ihnen umfassende Kontrolle über die Verwendung Ihrer Daten für Direktmarketingzwecke geben (einschließlich der Möglichkeit, den Erhalt von E-Mails von uns abzulehnen, indem Sie sich über die in unseren E-Mails und bei der Angabe Ihrer Daten bereitgestellten Links abmelden).</v>
      </c>
    </row>
    <row r="60" spans="1:2" ht="13.2">
      <c r="A60" s="2" t="s">
        <v>1027</v>
      </c>
      <c r="B60" s="2" t="str">
        <f ca="1">IFERROR(__xludf.DUMMYFUNCTION("IF(ISBLANK(A60),"""",GOOGLETRANSLATE(A60,""en"",""de""))"),"Sie können sich auch bei einem oder mehreren der in Großbritannien angebotenen Präferenzdienste anmelden: dem Telephone Preference Service („TPS“), dem Corporate Telephone Preference Service („CTPS“) und dem Mailing Preference Service („MPS“). Diese Diens"&amp;"te können Ihnen helfen, unerwünschte Werbung zu vermeiden. Bitte beachten Sie jedoch, dass diese Dienste Sie nicht daran hindern, Marketingnachrichten zu erhalten, deren Erhalt Sie zugestimmt haben.")</f>
        <v>Sie können sich auch bei einem oder mehreren der in Großbritannien angebotenen Präferenzdienste anmelden: dem Telephone Preference Service („TPS“), dem Corporate Telephone Preference Service („CTPS“) und dem Mailing Preference Service („MPS“). Diese Dienste können Ihnen helfen, unerwünschte Werbung zu vermeiden. Bitte beachten Sie jedoch, dass diese Dienste Sie nicht daran hindern, Marketingnachrichten zu erhalten, deren Erhalt Sie zugestimmt haben.</v>
      </c>
    </row>
    <row r="61" spans="1:2" ht="13.2">
      <c r="A61" s="2" t="s">
        <v>1028</v>
      </c>
      <c r="B61" s="2" t="str">
        <f ca="1">IFERROR(__xludf.DUMMYFUNCTION("IF(ISBLANK(A61),"""",GOOGLETRANSLATE(A61,""en"",""de""))"),"Wie können Sie auf Ihre Daten zugreifen?")</f>
        <v>Wie können Sie auf Ihre Daten zugreifen?</v>
      </c>
    </row>
    <row r="62" spans="1:2" ht="13.2">
      <c r="A62" s="2" t="s">
        <v>1029</v>
      </c>
      <c r="B62" s="2" t="str">
        <f ca="1">IFERROR(__xludf.DUMMYFUNCTION("IF(ISBLANK(A62),"""",GOOGLETRANSLATE(A62,""en"",""de""))"),"Sie haben das Recht, eine Kopie Ihrer bei uns gespeicherten personenbezogenen Daten anzufordern (sofern diese gespeichert sind). Gemäß der DSGVO ist dies kostenlos und wir stellen Ihnen alle Informationen auf Anfrage kostenlos zur Verfügung. Bitte kontakt"&amp;"ieren Sie uns über die in dieser Datenschutzerklärung angegebenen Kontaktdaten.")</f>
        <v>Sie haben das Recht, eine Kopie Ihrer bei uns gespeicherten personenbezogenen Daten anzufordern (sofern diese gespeichert sind). Gemäß der DSGVO ist dies kostenlos und wir stellen Ihnen alle Informationen auf Anfrage kostenlos zur Verfügung. Bitte kontaktieren Sie uns über die in dieser Datenschutzerklärung angegebenen Kontaktdaten.</v>
      </c>
    </row>
    <row r="63" spans="1:2" ht="13.2">
      <c r="A63" s="2" t="s">
        <v>1030</v>
      </c>
      <c r="B63" s="2" t="str">
        <f ca="1">IFERROR(__xludf.DUMMYFUNCTION("IF(ISBLANK(A63),"""",GOOGLETRANSLATE(A63,""en"",""de""))"),"Ihr Recht, Informationen zurückzuhalten")</f>
        <v>Ihr Recht, Informationen zurückzuhalten</v>
      </c>
    </row>
    <row r="64" spans="1:2" ht="13.2">
      <c r="A64" s="2" t="s">
        <v>1031</v>
      </c>
      <c r="B64" s="2" t="str">
        <f ca="1">IFERROR(__xludf.DUMMYFUNCTION("IF(ISBLANK(A64),"""",GOOGLETRANSLATE(A64,""en"",""de""))"),"Sie können auf unsere Website zugreifen, ohne Daten anzugeben. Um alle verfügbaren Funktionen nutzen zu können, müssen Sie jedoch möglicherweise bestimmte Daten angeben oder deren Erfassung zulassen.")</f>
        <v>Sie können auf unsere Website zugreifen, ohne Daten anzugeben. Um alle verfügbaren Funktionen nutzen zu können, müssen Sie jedoch möglicherweise bestimmte Daten angeben oder deren Erfassung zulassen.</v>
      </c>
    </row>
    <row r="65" spans="1:2" ht="13.2">
      <c r="A65" s="2" t="s">
        <v>1032</v>
      </c>
      <c r="B65" s="2" t="str">
        <f ca="1">IFERROR(__xludf.DUMMYFUNCTION("IF(ISBLANK(A65),"""",GOOGLETRANSLATE(A65,""en"",""de""))"),"Sie können die Verwendung von Cookies einschränken. Weitere Informationen finden Sie in unserer Cookie-Richtlinie.")</f>
        <v>Sie können die Verwendung von Cookies einschränken. Weitere Informationen finden Sie in unserer Cookie-Richtlinie.</v>
      </c>
    </row>
    <row r="66" spans="1:2" ht="13.2">
      <c r="A66" s="2" t="s">
        <v>1033</v>
      </c>
      <c r="B66" s="2" t="str">
        <f ca="1">IFERROR(__xludf.DUMMYFUNCTION("IF(ISBLANK(A66),"""",GOOGLETRANSLATE(A66,""en"",""de""))"),"Änderungen unserer Datenschutzrichtlinie")</f>
        <v>Änderungen unserer Datenschutzrichtlinie</v>
      </c>
    </row>
    <row r="67" spans="1:2" ht="13.2">
      <c r="A67" s="2" t="s">
        <v>1034</v>
      </c>
      <c r="B67" s="2" t="str">
        <f ca="1">IFERROR(__xludf.DUMMYFUNCTION("IF(ISBLANK(A67),"""",GOOGLETRANSLATE(A67,""en"",""de""))"),"Wir behalten uns das Recht vor, diese Datenschutzrichtlinie gelegentlich zu ändern (z. B. aufgrund von Gesetzesänderungen). Änderungen werden umgehend auf unserer Website veröffentlicht. Bei Ihrer ersten Nutzung unserer Website nach den Änderungen akzepti"&amp;"eren Sie die Bedingungen der Datenschutzrichtlinie. Wir empfehlen Ihnen, diese Seite regelmäßig zu besuchen, um auf dem Laufenden zu bleiben.")</f>
        <v>Wir behalten uns das Recht vor, diese Datenschutzrichtlinie gelegentlich zu ändern (z. B. aufgrund von Gesetzesänderungen). Änderungen werden umgehend auf unserer Website veröffentlicht. Bei Ihrer ersten Nutzung unserer Website nach den Änderungen akzeptieren Sie die Bedingungen der Datenschutzrichtlinie. Wir empfehlen Ihnen, diese Seite regelmäßig zu besuchen, um auf dem Laufenden zu bleiben.</v>
      </c>
    </row>
    <row r="68" spans="1:2" ht="13.2">
      <c r="A68" s="2" t="s">
        <v>1035</v>
      </c>
      <c r="B68" s="2" t="str">
        <f ca="1">IFERROR(__xludf.DUMMYFUNCTION("IF(ISBLANK(A68),"""",GOOGLETRANSLATE(A68,""en"",""de""))"),"Datenschutzhinweis für Einwohner Kaliforniens")</f>
        <v>Datenschutzhinweis für Einwohner Kaliforniens</v>
      </c>
    </row>
    <row r="69" spans="1:2" ht="13.2">
      <c r="A69" s="2" t="s">
        <v>1036</v>
      </c>
      <c r="B69" s="2" t="str">
        <f ca="1">IFERROR(__xludf.DUMMYFUNCTION("IF(ISBLANK(A69),"""",GOOGLETRANSLATE(A69,""en"",""de""))"),"Bitte lesen Sie die Datenschutzerklärung von Netsol Technologies für Einwohner Kaliforniens unter Privacy-policy-CR")</f>
        <v>Bitte lesen Sie die Datenschutzerklärung von Netsol Technologies für Einwohner Kaliforniens unter Privacy-policy-CR</v>
      </c>
    </row>
    <row r="70" spans="1:2" ht="13.2">
      <c r="A70" s="2" t="s">
        <v>1037</v>
      </c>
      <c r="B70" s="2" t="str">
        <f ca="1">IFERROR(__xludf.DUMMYFUNCTION("IF(ISBLANK(A70),"""",GOOGLETRANSLATE(A70,""en"",""de""))"),"Wenn Sie unsere Website besuchen oder sich dort anmelden, können unsere Online-Datenpartner oder -Anbieter Cookies und ähnliche Technologien verwenden, um diese Aktivitäten mit anderen personenbezogenen Daten zu verknüpfen, die sie oder andere über Sie ha"&amp;"ben, einschließlich der Verknüpfung mit Ihrer E-Mail-Adresse oder Wohnadresse. Wir (oder Dienstleister in unserem Auftrag) können dann Mitteilungen und Marketing an diese E-Mail-Adresse oder Wohnadresse senden. Sie können den Erhalt dieser Werbung unter h"&amp;"ttps://app.retention.com/optout ablehnen.")</f>
        <v>Wenn Sie unsere Website besuchen oder sich dort anmelden, können unsere Online-Datenpartner oder -Anbieter Cookies und ähnliche Technologien verwenden, um diese Aktivitäten mit anderen personenbezogenen Daten zu verknüpfen, die sie oder andere über Sie haben, einschließlich der Verknüpfung mit Ihrer E-Mail-Adresse oder Wohnadresse. Wir (oder Dienstleister in unserem Auftrag) können dann Mitteilungen und Marketing an diese E-Mail-Adresse oder Wohnadresse senden. Sie können den Erhalt dieser Werbung unter https://app.retention.com/optout ablehnen.</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2"/>
  <sheetViews>
    <sheetView workbookViewId="0"/>
  </sheetViews>
  <sheetFormatPr defaultColWidth="12.5546875" defaultRowHeight="15.75" customHeight="1"/>
  <cols>
    <col min="1" max="1" width="100.6640625" customWidth="1"/>
  </cols>
  <sheetData>
    <row r="1" spans="1:2" ht="13.2">
      <c r="A1" s="1" t="s">
        <v>0</v>
      </c>
      <c r="B1" s="1" t="s">
        <v>1</v>
      </c>
    </row>
    <row r="2" spans="1:2" ht="15.75" customHeight="1">
      <c r="A2" s="2" t="s">
        <v>192</v>
      </c>
      <c r="B2" s="2" t="str">
        <f ca="1">IFERROR(__xludf.DUMMYFUNCTION("IF(ISBLANK(A2),"""",GOOGLETRANSLATE(A2,""en"",""de""))"),"Menschenrechtspolitik")</f>
        <v>Menschenrechtspolitik</v>
      </c>
    </row>
    <row r="3" spans="1:2" ht="15.75" customHeight="1">
      <c r="A3" s="2" t="s">
        <v>1038</v>
      </c>
      <c r="B3" s="2" t="str">
        <f ca="1">IFERROR(__xludf.DUMMYFUNCTION("IF(ISBLANK(A3),"""",GOOGLETRANSLATE(A3,""en"",""de""))"),"Die Menschenrechtspolitik von NETSOL gilt für jeden Netsol-Mitarbeiter und basiert auf den folgenden Grundprinzipien:")</f>
        <v>Die Menschenrechtspolitik von NETSOL gilt für jeden Netsol-Mitarbeiter und basiert auf den folgenden Grundprinzipien:</v>
      </c>
    </row>
    <row r="4" spans="1:2" ht="15.75" customHeight="1">
      <c r="A4" s="2" t="s">
        <v>1039</v>
      </c>
      <c r="B4" s="2" t="str">
        <f ca="1">IFERROR(__xludf.DUMMYFUNCTION("IF(ISBLANK(A4),"""",GOOGLETRANSLATE(A4,""en"",""de""))"),"Wir führen alle unsere Geschäfte in allen von uns betreuten Gemeinden rechtmäßig und in einer Weise, die die Menschenrechte und die Gleichberechtigung aller Mitarbeiter, Leiharbeitskräfte und Lieferanten respektiert und fördert, wo auch immer sie ihren St"&amp;"andort haben.")</f>
        <v>Wir führen alle unsere Geschäfte in allen von uns betreuten Gemeinden rechtmäßig und in einer Weise, die die Menschenrechte und die Gleichberechtigung aller Mitarbeiter, Leiharbeitskräfte und Lieferanten respektiert und fördert, wo auch immer sie ihren Standort haben.</v>
      </c>
    </row>
    <row r="5" spans="1:2" ht="15.75" customHeight="1">
      <c r="A5" s="2" t="s">
        <v>1040</v>
      </c>
      <c r="B5" s="2" t="str">
        <f ca="1">IFERROR(__xludf.DUMMYFUNCTION("IF(ISBLANK(A5),"""",GOOGLETRANSLATE(A5,""en"",""de""))"),"Die Anerkennung und Achtung des grundlegenden Menschenrechts, Mitarbeitern/Menschen ein würdiges und unabhängiges Leben ohne Missbrauch, Verletzungen und jegliche Form der Diskriminierung zu ermöglichen.")</f>
        <v>Die Anerkennung und Achtung des grundlegenden Menschenrechts, Mitarbeitern/Menschen ein würdiges und unabhängiges Leben ohne Missbrauch, Verletzungen und jegliche Form der Diskriminierung zu ermöglichen.</v>
      </c>
    </row>
    <row r="6" spans="1:2" ht="15.75" customHeight="1">
      <c r="A6" s="2" t="s">
        <v>1041</v>
      </c>
      <c r="B6" s="2" t="str">
        <f ca="1">IFERROR(__xludf.DUMMYFUNCTION("IF(ISBLANK(A6),"""",GOOGLETRANSLATE(A6,""en"",""de""))"),"Die Erkenntnis, dass die Menschenrechte der Menschen durch die Geschäftstätigkeit, Produkte und Dienstleistungen des Unternehmens direkt und indirekt beeinträchtigt werden können, und die Ergreifung von Maßnahmen, um die negativen Auswirkungen des Unterne"&amp;"hmens auf Gemeinschaften und die Umwelt zu ermitteln und nach Möglichkeit zu verringern.")</f>
        <v>Die Erkenntnis, dass die Menschenrechte der Menschen durch die Geschäftstätigkeit, Produkte und Dienstleistungen des Unternehmens direkt und indirekt beeinträchtigt werden können, und die Ergreifung von Maßnahmen, um die negativen Auswirkungen des Unternehmens auf Gemeinschaften und die Umwelt zu ermitteln und nach Möglichkeit zu verringern.</v>
      </c>
    </row>
    <row r="7" spans="1:2" ht="15.75" customHeight="1">
      <c r="A7" s="2" t="s">
        <v>1042</v>
      </c>
      <c r="B7" s="2" t="str">
        <f ca="1">IFERROR(__xludf.DUMMYFUNCTION("IF(ISBLANK(A7),"""",GOOGLETRANSLATE(A7,""en"",""de""))"),"Der Wunsch, als verantwortungsbewusste Organisation zu handeln und im Rahmen der Verpflichtung zu kontinuierlicher sozialer und wirtschaftlicher Verbesserung einen gemeinsamen Satz von Standards zu erreichen, der für alle Völker und Nationen gilt.")</f>
        <v>Der Wunsch, als verantwortungsbewusste Organisation zu handeln und im Rahmen der Verpflichtung zu kontinuierlicher sozialer und wirtschaftlicher Verbesserung einen gemeinsamen Satz von Standards zu erreichen, der für alle Völker und Nationen gilt.</v>
      </c>
    </row>
    <row r="8" spans="1:2" ht="15.75" customHeight="1">
      <c r="A8" s="2" t="s">
        <v>1043</v>
      </c>
      <c r="B8" s="2" t="str">
        <f ca="1">IFERROR(__xludf.DUMMYFUNCTION("IF(ISBLANK(A8),"""",GOOGLETRANSLATE(A8,""en"",""de""))"),"Wir lehnen Menschenhandel, Kinderarbeit, Sklaverei und Sklavenarbeit ab und verbieten diese. Dies erwarten wir auch von allen unseren Geschäftspartnern und Lieferanten. Als globales Unternehmen verpflichtet sich das Unternehmen zur Einhaltung der Internat"&amp;"ionalen Menschenrechtscharta und der geltenden Arbeitsgesetze sowie spezifischer Menschenrechtsgesetze wie dem britischen Modern Slavery Act.")</f>
        <v>Wir lehnen Menschenhandel, Kinderarbeit, Sklaverei und Sklavenarbeit ab und verbieten diese. Dies erwarten wir auch von allen unseren Geschäftspartnern und Lieferanten. Als globales Unternehmen verpflichtet sich das Unternehmen zur Einhaltung der Internationalen Menschenrechtscharta und der geltenden Arbeitsgesetze sowie spezifischer Menschenrechtsgesetze wie dem britischen Modern Slavery Act.</v>
      </c>
    </row>
    <row r="9" spans="1:2" ht="15.75" customHeight="1">
      <c r="A9" s="2" t="s">
        <v>1044</v>
      </c>
      <c r="B9" s="2" t="str">
        <f ca="1">IFERROR(__xludf.DUMMYFUNCTION("IF(ISBLANK(A9),"""",GOOGLETRANSLATE(A9,""en"",""de""))"),"Die Verpflichtung, nur mit Drittparteien Vertragsbeziehungen einzugehen, die den Wunsch zeigen, durch ihre eigenen Rahmenbedingungen und Initiativen ähnliche Grundsätze wie die oben genannten anzuwenden.")</f>
        <v>Die Verpflichtung, nur mit Drittparteien Vertragsbeziehungen einzugehen, die den Wunsch zeigen, durch ihre eigenen Rahmenbedingungen und Initiativen ähnliche Grundsätze wie die oben genannten anzuwenden.</v>
      </c>
    </row>
    <row r="10" spans="1:2" ht="15.75" customHeight="1">
      <c r="A10" s="2" t="s">
        <v>1045</v>
      </c>
      <c r="B10" s="2" t="str">
        <f ca="1">IFERROR(__xludf.DUMMYFUNCTION("IF(ISBLANK(A10),"""",GOOGLETRANSLATE(A10,""en"",""de""))"),"Lieferkette")</f>
        <v>Lieferkette</v>
      </c>
    </row>
    <row r="11" spans="1:2" ht="15.75" customHeight="1">
      <c r="A11" s="2" t="s">
        <v>1046</v>
      </c>
      <c r="B11" s="2" t="str">
        <f ca="1">IFERROR(__xludf.DUMMYFUNCTION("IF(ISBLANK(A11),"""",GOOGLETRANSLATE(A11,""en"",""de""))"),"NETSOL ist sich bewusst, dass die erfolgreiche Umsetzung unserer Menschenrechtspolitik stark von der Zusammenarbeit und Unterstützung unserer Lieferketten abhängt.")</f>
        <v>NETSOL ist sich bewusst, dass die erfolgreiche Umsetzung unserer Menschenrechtspolitik stark von der Zusammenarbeit und Unterstützung unserer Lieferketten abhängt.</v>
      </c>
    </row>
    <row r="12" spans="1:2" ht="15.75" customHeight="1">
      <c r="A12" s="2" t="s">
        <v>1047</v>
      </c>
      <c r="B12" s="2" t="str">
        <f ca="1">IFERROR(__xludf.DUMMYFUNCTION("IF(ISBLANK(A12),"""",GOOGLETRANSLATE(A12,""en"",""de""))"),"Wenn Lieferanten oder Auftragnehmer in einer Weise handeln, die nicht mit unserer Menschenrechtspolitik vereinbar ist und/oder sich an Menschenrechtsverletzungen mitschuldig machen, wird NETSOL versuchen, ihre Verträge zu kündigen und alle Geschäftsbezieh"&amp;"ungen mit ihnen zu beenden.")</f>
        <v>Wenn Lieferanten oder Auftragnehmer in einer Weise handeln, die nicht mit unserer Menschenrechtspolitik vereinbar ist und/oder sich an Menschenrechtsverletzungen mitschuldig machen, wird NETSOL versuchen, ihre Verträge zu kündigen und alle Geschäftsbeziehungen mit ihnen zu beenden.</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2"/>
  <sheetViews>
    <sheetView workbookViewId="0"/>
  </sheetViews>
  <sheetFormatPr defaultColWidth="12.5546875" defaultRowHeight="15.75" customHeight="1"/>
  <cols>
    <col min="1" max="1" width="100.5546875" customWidth="1"/>
  </cols>
  <sheetData>
    <row r="1" spans="1:2" ht="13.2">
      <c r="A1" s="1" t="s">
        <v>0</v>
      </c>
      <c r="B1" s="1" t="s">
        <v>1</v>
      </c>
    </row>
    <row r="2" spans="1:2" ht="15.75" customHeight="1">
      <c r="A2" s="2" t="s">
        <v>1048</v>
      </c>
      <c r="B2" s="2" t="str">
        <f ca="1">IFERROR(__xludf.DUMMYFUNCTION("IF(ISBLANK(A2),"""",GOOGLETRANSLATE(A2,""en"",""de""))"),"Transparenzerklärung zum Modern Slave Act")</f>
        <v>Transparenzerklärung zum Modern Slave Act</v>
      </c>
    </row>
    <row r="3" spans="1:2" ht="15.75" customHeight="1">
      <c r="A3" s="2" t="s">
        <v>1049</v>
      </c>
      <c r="B3" s="2" t="str">
        <f ca="1">IFERROR(__xludf.DUMMYFUNCTION("IF(ISBLANK(A3),"""",GOOGLETRANSLATE(A3,""en"",""de""))"),"Unsere Organisation:")</f>
        <v>Unsere Organisation:</v>
      </c>
    </row>
    <row r="4" spans="1:2" ht="15.75" customHeight="1">
      <c r="A4" s="2" t="s">
        <v>1050</v>
      </c>
      <c r="B4" s="2" t="str">
        <f ca="1">IFERROR(__xludf.DUMMYFUNCTION("IF(ISBLANK(A4),"""",GOOGLETRANSLATE(A4,""en"",""de""))"),"NetSol Technologies, Inc. („Netsol“) bekennt sich zu den international anerkannten Menschenrechten und engagiert sich für die Bekämpfung von Sklaverei und Menschenhandel. Wir konzipieren, entwickeln, vermarkten und exportieren proprietäre Softwareprodukte"&amp;" für Kunden aus den Bereichen Autofinanzierung und -leasing, Bankwesen und Finanzdienstleistungen weltweit. Darüber hinaus bieten wir gegen Entgelt unserer Kunden Systemintegration, Beratung sowie IT-Produkte und -Dienstleistungen an.")</f>
        <v>NetSol Technologies, Inc. („Netsol“) bekennt sich zu den international anerkannten Menschenrechten und engagiert sich für die Bekämpfung von Sklaverei und Menschenhandel. Wir konzipieren, entwickeln, vermarkten und exportieren proprietäre Softwareprodukte für Kunden aus den Bereichen Autofinanzierung und -leasing, Bankwesen und Finanzdienstleistungen weltweit. Darüber hinaus bieten wir gegen Entgelt unserer Kunden Systemintegration, Beratung sowie IT-Produkte und -Dienstleistungen an.</v>
      </c>
    </row>
    <row r="5" spans="1:2" ht="15.75" customHeight="1">
      <c r="A5" s="2" t="s">
        <v>1051</v>
      </c>
      <c r="B5" s="2" t="str">
        <f ca="1">IFERROR(__xludf.DUMMYFUNCTION("IF(ISBLANK(A5),"""",GOOGLETRANSLATE(A5,""en"",""de""))"),"Wir verfügen weltweit über zehn hundertprozentige und sechs mehrheitlich in unserem Besitz befindliche Tochtergesellschaften, darunter auch in Großbritannien. Unsere Muttergesellschaft ist in den USA eingetragen. NETSOL beschäftigt weltweit über 1400 fest"&amp;"angestellte Mitarbeiter.")</f>
        <v>Wir verfügen weltweit über zehn hundertprozentige und sechs mehrheitlich in unserem Besitz befindliche Tochtergesellschaften, darunter auch in Großbritannien. Unsere Muttergesellschaft ist in den USA eingetragen. NETSOL beschäftigt weltweit über 1400 festangestellte Mitarbeiter.</v>
      </c>
    </row>
    <row r="6" spans="1:2" ht="15.75" customHeight="1">
      <c r="A6" s="2" t="s">
        <v>1052</v>
      </c>
      <c r="B6" s="2" t="str">
        <f ca="1">IFERROR(__xludf.DUMMYFUNCTION("IF(ISBLANK(A6),"""",GOOGLETRANSLATE(A6,""en"",""de""))"),"Die NetSol-Menschenrechtspolitik erkennt die internationalen Menschenrechte an, wie sie in der Bill of Human Rights festgelegt sind. Unsere Politik spiegelt unsere Verantwortung im Hinblick auf Sklaverei und Menschenhandel wider.")</f>
        <v>Die NetSol-Menschenrechtspolitik erkennt die internationalen Menschenrechte an, wie sie in der Bill of Human Rights festgelegt sind. Unsere Politik spiegelt unsere Verantwortung im Hinblick auf Sklaverei und Menschenhandel wider.</v>
      </c>
    </row>
    <row r="7" spans="1:2" ht="15.75" customHeight="1">
      <c r="A7" s="2" t="s">
        <v>1053</v>
      </c>
      <c r="B7" s="2" t="str">
        <f ca="1">IFERROR(__xludf.DUMMYFUNCTION("IF(ISBLANK(A7),"""",GOOGLETRANSLATE(A7,""en"",""de""))"),"Unsere Richtlinien und Sorgfaltspflichten in Bezug auf Sklaverei und Menschenhandel:")</f>
        <v>Unsere Richtlinien und Sorgfaltspflichten in Bezug auf Sklaverei und Menschenhandel:</v>
      </c>
    </row>
    <row r="8" spans="1:2" ht="15.75" customHeight="1">
      <c r="A8" s="2" t="s">
        <v>1054</v>
      </c>
      <c r="B8" s="2" t="str">
        <f ca="1">IFERROR(__xludf.DUMMYFUNCTION("IF(ISBLANK(A8),"""",GOOGLETRANSLATE(A8,""en"",""de""))"),"Wir setzen uns dafür ein, dass es in unseren Lieferketten und in allen anderen Geschäftsbereichen weder moderne Sklaverei noch Menschenhandel gibt. Als Software- und Dienstleistungsunternehmen verfügen wir weder über eine Produktionsstätte noch über eine "&amp;"Lieferkette für materielle Güter. Daher gehen wir davon aus, dass die Wahrscheinlichkeit von Sklaverei und/oder Menschenhandel in unserer Lieferkette sehr gering ist. Unser Unternehmen setzt sich jedoch für die Förderung und den Schutz der Menschenrechte "&amp;"ein, wo immer wir geschäftlich tätig sind. Wir erwarten von unseren Lieferanten und anderen Geschäftspartnern, dass sie sich zu ethischem Verhalten verpflichten, alle geltenden Gesetze und Vorschriften einhalten und Maßnahmen zur Bekämpfung von Menschenha"&amp;"ndel und Sklaverei ergreifen. Wir werden weiterhin mit unseren Lieferanten zusammenarbeiten und unsere eigenen Anforderungen und Prozesse verfeinern, um unser Engagement für Menschenrechte und eine Kultur des ethischen Verhaltens, der Integrität und des R"&amp;"espekts zu bekräftigen.")</f>
        <v>Wir setzen uns dafür ein, dass es in unseren Lieferketten und in allen anderen Geschäftsbereichen weder moderne Sklaverei noch Menschenhandel gibt. Als Software- und Dienstleistungsunternehmen verfügen wir weder über eine Produktionsstätte noch über eine Lieferkette für materielle Güter. Daher gehen wir davon aus, dass die Wahrscheinlichkeit von Sklaverei und/oder Menschenhandel in unserer Lieferkette sehr gering ist. Unser Unternehmen setzt sich jedoch für die Förderung und den Schutz der Menschenrechte ein, wo immer wir geschäftlich tätig sind. Wir erwarten von unseren Lieferanten und anderen Geschäftspartnern, dass sie sich zu ethischem Verhalten verpflichten, alle geltenden Gesetze und Vorschriften einhalten und Maßnahmen zur Bekämpfung von Menschenhandel und Sklaverei ergreifen. Wir werden weiterhin mit unseren Lieferanten zusammenarbeiten und unsere eigenen Anforderungen und Prozesse verfeinern, um unser Engagement für Menschenrechte und eine Kultur des ethischen Verhaltens, der Integrität und des Respekts zu bekräftigen.</v>
      </c>
    </row>
    <row r="9" spans="1:2" ht="15.75" customHeight="1">
      <c r="A9" s="2" t="s">
        <v>1055</v>
      </c>
      <c r="B9" s="2" t="str">
        <f ca="1">IFERROR(__xludf.DUMMYFUNCTION("IF(ISBLANK(A9),"""",GOOGLETRANSLATE(A9,""en"",""de""))"),"Diese Erklärung wird gemäß Abschnitt 54(1) des Modern Slavery Act 2015 abgegeben und stellt die Erklärung unseres Unternehmens zu Sklaverei und Menschenhandel für das am 30. Juni 2024 endende Geschäftsjahr dar.")</f>
        <v>Diese Erklärung wird gemäß Abschnitt 54(1) des Modern Slavery Act 2015 abgegeben und stellt die Erklärung unseres Unternehmens zu Sklaverei und Menschenhandel für das am 30. Juni 2024 endende Geschäftsjahr dar.</v>
      </c>
    </row>
    <row r="10" spans="1:2" ht="15.75" customHeight="1">
      <c r="A10" s="2" t="s">
        <v>786</v>
      </c>
      <c r="B10" s="2" t="str">
        <f ca="1">IFERROR(__xludf.DUMMYFUNCTION("IF(ISBLANK(A10),"""",GOOGLETRANSLATE(A10,""en"",""de""))"),"Najeeb Ghauri")</f>
        <v>Najeeb Ghauri</v>
      </c>
    </row>
    <row r="11" spans="1:2" ht="15.75" customHeight="1">
      <c r="A11" s="2" t="s">
        <v>1056</v>
      </c>
      <c r="B11" s="2" t="str">
        <f ca="1">IFERROR(__xludf.DUMMYFUNCTION("IF(ISBLANK(A11),"""",GOOGLETRANSLATE(A11,""en"",""de""))"),"Geschäftsführer,")</f>
        <v>Geschäftsführer,</v>
      </c>
    </row>
    <row r="12" spans="1:2" ht="15.75" customHeight="1">
      <c r="A12" s="2" t="s">
        <v>800</v>
      </c>
      <c r="B12" s="2" t="str">
        <f ca="1">IFERROR(__xludf.DUMMYFUNCTION("IF(ISBLANK(A12),"""",GOOGLETRANSLATE(A12,""en"",""de""))"),"NETSOL Technologies, Inc.")</f>
        <v>NETSOL Technologies, Inc.</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
  <sheetViews>
    <sheetView workbookViewId="0"/>
  </sheetViews>
  <sheetFormatPr defaultColWidth="12.5546875" defaultRowHeight="15.75" customHeight="1"/>
  <cols>
    <col min="1" max="1" width="97.109375" customWidth="1"/>
  </cols>
  <sheetData>
    <row r="1" spans="1:2">
      <c r="A1" s="1" t="s">
        <v>0</v>
      </c>
      <c r="B1" s="1" t="s">
        <v>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554687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Main Page</vt:lpstr>
      <vt:lpstr>Menu</vt:lpstr>
      <vt:lpstr>Footer</vt:lpstr>
      <vt:lpstr>Digital Retail</vt:lpstr>
      <vt:lpstr>Portals</vt:lpstr>
      <vt:lpstr>Loan Origination</vt:lpstr>
      <vt:lpstr>Lease Servicing</vt:lpstr>
      <vt:lpstr>Wholesale Finance</vt:lpstr>
      <vt:lpstr>Mobility Solutions</vt:lpstr>
      <vt:lpstr>Transcend Ai Labs</vt:lpstr>
      <vt:lpstr>Marketplace</vt:lpstr>
      <vt:lpstr>Information Security</vt:lpstr>
      <vt:lpstr>Digital Solutions</vt:lpstr>
      <vt:lpstr>Ai Ml Services</vt:lpstr>
      <vt:lpstr>Generative Ai</vt:lpstr>
      <vt:lpstr>Policy Strategy Consulting</vt:lpstr>
      <vt:lpstr>Emerging Technologies</vt:lpstr>
      <vt:lpstr>Cloud Services</vt:lpstr>
      <vt:lpstr>Data Engineering</vt:lpstr>
      <vt:lpstr>Automotive Finance</vt:lpstr>
      <vt:lpstr>Equipment Finance</vt:lpstr>
      <vt:lpstr>Insights</vt:lpstr>
      <vt:lpstr>Board of Directors</vt:lpstr>
      <vt:lpstr>Management Team</vt:lpstr>
      <vt:lpstr>Contact Us</vt:lpstr>
      <vt:lpstr>Transcend</vt:lpstr>
      <vt:lpstr>Terms of Use</vt:lpstr>
      <vt:lpstr>Privacy Policy</vt:lpstr>
      <vt:lpstr>Human Rights Policy</vt:lpstr>
      <vt:lpstr>Modern Slavery Act</vt:lpstr>
      <vt:lpstr>Cookies</vt:lpstr>
      <vt:lpstr>Privacy Policy Ccpa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 Muqsit</dc:creator>
  <cp:keywords/>
  <dc:description/>
  <cp:lastModifiedBy>Abdul Muqsit</cp:lastModifiedBy>
  <cp:revision/>
  <dcterms:created xsi:type="dcterms:W3CDTF">2025-10-29T10:57:07Z</dcterms:created>
  <dcterms:modified xsi:type="dcterms:W3CDTF">2025-11-14T11:30:00Z</dcterms:modified>
  <cp:category/>
  <cp:contentStatus/>
</cp:coreProperties>
</file>